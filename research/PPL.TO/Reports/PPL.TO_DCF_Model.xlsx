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<sst xmlns="http://schemas.openxmlformats.org/spreadsheetml/2006/main" count="373" uniqueCount="170">
  <si>
    <t xml:space="preserve">Ticker</t>
  </si>
  <si>
    <t xml:space="preserve">PPL.TO</t>
  </si>
  <si>
    <t xml:space="preserve">Company</t>
  </si>
  <si>
    <t xml:space="preserve">Pembina Pipeline Corporation</t>
  </si>
  <si>
    <t xml:space="preserve">Valuation date</t>
  </si>
  <si>
    <t xml:space="preserve">2026-10-10</t>
  </si>
  <si>
    <t xml:space="preserve">Current price</t>
  </si>
  <si>
    <t xml:space="preserve">Price as of</t>
  </si>
  <si>
    <t xml:space="preserve">2026-10-09T20:00:00Z regular close (TSX), Yahoo Finance chart API</t>
  </si>
  <si>
    <t xml:space="preserve">Balance sheet date</t>
  </si>
  <si>
    <t xml:space="preserve">2026-06-30</t>
  </si>
  <si>
    <t xml:space="preserve">Model</t>
  </si>
  <si>
    <t xml:space="preserve">owner_fcf_dcf_component</t>
  </si>
  <si>
    <t xml:space="preserve">Currency (model)</t>
  </si>
  <si>
    <t xml:space="preserve">CAD</t>
  </si>
  <si>
    <t xml:space="preserve">Currency (quote)</t>
  </si>
  <si>
    <t xml:space="preserve">Units</t>
  </si>
  <si>
    <t xml:space="preserve">millions</t>
  </si>
  <si>
    <t xml:space="preserve">Engine</t>
  </si>
  <si>
    <t xml:space="preserve">dcf_engine v1</t>
  </si>
  <si>
    <t xml:space="preserve">Built at</t>
  </si>
  <si>
    <t xml:space="preserve">2026-10-10T09:40:44Z</t>
  </si>
  <si>
    <t xml:space="preserve">Drivers file</t>
  </si>
  <si>
    <t xml:space="preserve">PPL.TO_Drivers.json</t>
  </si>
  <si>
    <t xml:space="preserve">Convention</t>
  </si>
  <si>
    <t xml:space="preserve">Percents stored as percents; formulas divide by 100. Blue = input, green = link, black = formula.</t>
  </si>
  <si>
    <t xml:space="preserve">Methodology</t>
  </si>
  <si>
    <t xml:space="preserve">summary: Cash-basis owner-FCF DCF on a long-lived, mostly contracted midstream network. JVs are valued through their cash distributions with contributions charged as capex, so JV project debt is netted inside the flows rather than in the bridge. Preferred shares are a senior claim deducted at par. SBC is cash-settled and already in EBITDA, so house and street coincide. The valuation is terminal-heavy, as any long-duration infrastructure asset is; the cap multiple, not Gordon, binds in every scenario and encodes the energy-transition discount.
key_risks_to_valuation: Cedar LNG construction cost or schedule overrun (Pembina 49.9%, US$2bn net, in service late 2028); WCSB volume growth slowdown or LNG Canada Phase 2 delay reduces expansion throughput; Marketing segment commodity exposure (NGL frac spreads, propane export margins); Energy-transition policy (federal emissions cap) compressing the terminal multiple; Interest-rate sensitivity: ~13.2bn corporate debt plus ~3.9bn proportionate JV debt; 1.2bn current maturities at 30-Jun-2026; Cash-tax normalisation faster than modelled</t>
  </si>
  <si>
    <t xml:space="preserve">Data sources</t>
  </si>
  <si>
    <t xml:space="preserve">price: Yahoo Finance chart API at inputs.price_as_of; 52-week range 50.15-72.72
financials: PPL.TO_Metrics.csv / core_metrics (FY2012-Q2-2026); FY2025 Annual Report (Adjusted EBITDA reconciliation, cash flow statement, capex section, outstanding share data, financing table); Q2-2026 interim (balance sheet 30-Jun-2026, project updates for Cedar LNG and Greenlight, H1 Adjusted EBITDA, contributions to equity accounted investees)
qualitative: Company filings (MD&amp;A Projects &amp; New Developments); PPL.TO_Analysis.json not yet available at build time</t>
  </si>
  <si>
    <t xml:space="preserve">Scenario narrative: bear</t>
  </si>
  <si>
    <t xml:space="preserve">WCSB volume growth stalls (low gas prices, LNG ramp delays), Marketing margins compress further on narrow frac spreads, the Alliance new toll structure and contract re-pricing erode Pipelines revenue, and Cedar LNG suffers cost overruns or delay that raise contributions and defer distributions. Cash taxes reach statutory sooner. Federal emissions caps and transition policy compress the terminal multiple to 13x with ~1% perpetual growth. Leverage (~3.5x net debt / Adjusted EBITDA incl. hybrids, plus 3.9bn proportionate JV debt) limits flexibility but is not a solvency threat given investment-grade ratings and contracted cash flows.</t>
  </si>
  <si>
    <t xml:space="preserve">Scenario narrative: base</t>
  </si>
  <si>
    <t xml:space="preserve">Pembina remains the dominant WCSB liquids and gas-processing network: fee-based Pipelines and Facilities (~80%+ of Adjusted EBITDA) grow mid-single-digit on Montney/NEBC volumes and the Peace expansions; Marketing (499 in FY2025 vs 724 in FY2024) stays around its weaker recent level; Cedar LNG starts paying distributions from 2029 and Greenlight from 2031. The capex/contribution cycle peaks in 2026-29 and then tapers, lifting owner FCF materially in the back half. Cash taxes drift up toward statutory as tax pools are used.</t>
  </si>
  <si>
    <t xml:space="preserve">Scenario narrative: bull</t>
  </si>
  <si>
    <t xml:space="preserve">Montney drilling accelerates on LNG Canada Phase 2 and Canadian west-coast LNG exports; Pembina sanctions the Birch-to-Taylor and Taylor-to-Gordondale expansions and further PGI processing builds at attractive build multiples; Cedar LNG comes in on time and on budget with a second expansion option; GLEC's site expands toward its 1,864MW permit on further data-centre demand; NGL frac spreads and propane export margins support Marketing above 600. Higher growth capex is funded internally and the market keeps paying ~19x for long-lived contracted infrastructure.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</si>
  <si>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</si>
  <si>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</si>
  <si>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</si>
  <si>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</si>
  <si>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</si>
  <si>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</si>
  <si>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</si>
  <si>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</si>
  <si>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</si>
  <si>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</si>
  <si>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</si>
  <si>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</si>
  <si>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</si>
  <si>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</si>
  <si>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</si>
  <si>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</si>
  <si>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</si>
  <si>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</si>
  <si>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</si>
  <si>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</si>
  <si>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</si>
  <si>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</si>
  <si>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</si>
  <si>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</si>
  <si>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</si>
  <si>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</si>
  <si>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</si>
  <si>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</si>
  <si>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</si>
  <si>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</si>
  <si>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</si>
  <si>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</si>
  <si>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</si>
  <si>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</si>
  <si>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</si>
  <si>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</si>
  <si>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</si>
  <si>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</si>
  <si>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</si>
  <si>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</si>
  <si>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</si>
  <si>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</si>
  <si>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</si>
  <si>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</si>
  <si>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</si>
  <si>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</si>
  <si>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</si>
  <si>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</si>
  <si>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</si>
  <si>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</si>
  <si>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</si>
  <si>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</si>
  <si>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CAD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</si>
  <si>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</si>
  <si>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</si>
  <si>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</si>
  <si>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</si>
  <si>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</si>
  <si>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</si>
  <si>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</si>
  <si>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</si>
  <si>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</si>
  <si>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</si>
  <si>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</si>
  <si>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</si>
  <si>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</si>
  <si>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</si>
  <si>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</si>
  <si>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</si>
  <si>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</si>
  <si>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</si>
  <si>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</si>
  <si>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</si>
  <si>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</si>
  <si>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</si>
  <si>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</si>
  <si>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</si>
  <si>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</si>
  <si>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</si>
  <si>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PPL.TO owner-FCF component DCF: bear case (millions, CAD)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</si>
  <si>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</si>
  <si>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</si>
  <si>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</si>
  <si>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</si>
  <si>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</si>
  <si>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</si>
  <si>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</si>
  <si>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</si>
  <si>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</si>
  <si>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</si>
  <si>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</si>
  <si>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</si>
  <si>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</si>
  <si>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</si>
  <si>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</si>
  <si>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</si>
  <si>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</si>
  <si>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</si>
  <si>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</si>
  <si>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</si>
  <si>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</si>
  <si>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</si>
  <si>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</si>
  <si>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</si>
  <si>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</si>
  <si>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</si>
  <si>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</si>
  <si>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</si>
  <si>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</si>
  <si>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</si>
  <si>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PPL.TO owner-FCF component DCF: base case (millions, CAD)</t>
  </si>
  <si>
    <t xml:space="preserve">PPL.TO owner-FCF component DCF: bull case (millions, CAD)</t>
  </si>
  <si>
    <t xml:space="preserve">PPL.TO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</si>
  <si>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</si>
  <si>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</si>
  <si>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</si>
  <si>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</si>
  <si>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</si>
  <si>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</si>
  <si>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</si>
  <si>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</si>
  <si>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</si>
  <si>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</si>
  <si>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</si>
  <si>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</si>
  <si>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</si>
  <si>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</si>
  <si>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7.25%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</si>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</sst>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67.55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3427</v>
      </c>
      <c r="C2" s="0" t="n">
        <v>2920</v>
      </c>
      <c r="D2" s="0" t="n">
        <v>538</v>
      </c>
      <c r="E2" s="0" t="n">
        <v>15.7</v>
      </c>
      <c r="F2" s="0" t="n">
        <v>415</v>
      </c>
      <c r="G2" s="0" t="n">
        <v>12.1</v>
      </c>
      <c r="H2" s="0" t="n">
        <v>595</v>
      </c>
      <c r="I2" s="0" t="n">
        <v>225</v>
      </c>
      <c r="J2" s="0" t="n">
        <v>6.6</v>
      </c>
      <c r="K2" s="0" t="n">
        <v>0.87</v>
      </c>
      <c r="L2" s="0" t="n">
        <v>360</v>
      </c>
      <c r="M2" s="0" t="n">
        <v>584</v>
      </c>
      <c r="N2" s="0" t="n">
        <v>-224</v>
      </c>
      <c r="O2" s="0" t="n">
        <v>4275</v>
      </c>
      <c r="P2" s="0" t="n">
        <v>8284</v>
      </c>
      <c r="Q2" s="0" t="n">
        <v>4009</v>
      </c>
      <c r="R2" s="0" t="n">
        <v>2555</v>
      </c>
      <c r="S2" s="0" t="n">
        <v>27</v>
      </c>
      <c r="U2" s="0" t="n">
        <v>17</v>
      </c>
      <c r="AA2" s="0" t="s">
        <v>17</v>
      </c>
      <c r="AB2" s="0" t="s">
        <v>14</v>
      </c>
    </row>
    <row r="3" customFormat="false" ht="15" hidden="false" customHeight="false" outlineLevel="0" collapsed="false">
      <c r="A3" s="0" t="s">
        <v>65</v>
      </c>
      <c r="B3" s="0" t="n">
        <v>5006</v>
      </c>
      <c r="C3" s="0" t="n">
        <v>4219</v>
      </c>
      <c r="D3" s="0" t="n">
        <v>793</v>
      </c>
      <c r="E3" s="0" t="n">
        <v>15.8</v>
      </c>
      <c r="F3" s="0" t="n">
        <v>660</v>
      </c>
      <c r="G3" s="0" t="n">
        <v>13.2</v>
      </c>
      <c r="H3" s="0" t="n">
        <v>831</v>
      </c>
      <c r="I3" s="0" t="n">
        <v>351</v>
      </c>
      <c r="J3" s="0" t="n">
        <v>7</v>
      </c>
      <c r="K3" s="0" t="n">
        <v>1.12</v>
      </c>
      <c r="L3" s="0" t="n">
        <v>685</v>
      </c>
      <c r="M3" s="0" t="n">
        <v>880</v>
      </c>
      <c r="N3" s="0" t="n">
        <v>-195</v>
      </c>
      <c r="O3" s="0" t="n">
        <v>5171</v>
      </c>
      <c r="P3" s="0" t="n">
        <v>9142</v>
      </c>
      <c r="Q3" s="0" t="n">
        <v>3971</v>
      </c>
      <c r="R3" s="0" t="n">
        <v>2275</v>
      </c>
      <c r="S3" s="0" t="n">
        <v>51</v>
      </c>
      <c r="T3" s="0" t="n">
        <v>308</v>
      </c>
      <c r="U3" s="0" t="n">
        <v>34</v>
      </c>
      <c r="AA3" s="0" t="s">
        <v>17</v>
      </c>
      <c r="AB3" s="0" t="s">
        <v>14</v>
      </c>
    </row>
    <row r="4" customFormat="false" ht="15" hidden="false" customHeight="false" outlineLevel="0" collapsed="false">
      <c r="A4" s="0" t="s">
        <v>66</v>
      </c>
      <c r="B4" s="0" t="n">
        <v>6069</v>
      </c>
      <c r="C4" s="0" t="n">
        <v>5217</v>
      </c>
      <c r="D4" s="0" t="n">
        <v>876</v>
      </c>
      <c r="E4" s="0" t="n">
        <v>14.4</v>
      </c>
      <c r="F4" s="0" t="n">
        <v>702</v>
      </c>
      <c r="G4" s="0" t="n">
        <v>11.6</v>
      </c>
      <c r="H4" s="0" t="n">
        <v>928</v>
      </c>
      <c r="I4" s="0" t="n">
        <v>383</v>
      </c>
      <c r="J4" s="0" t="n">
        <v>6.3</v>
      </c>
      <c r="K4" s="0" t="n">
        <v>1.06</v>
      </c>
      <c r="L4" s="0" t="n">
        <v>800</v>
      </c>
      <c r="M4" s="0" t="n">
        <v>1412</v>
      </c>
      <c r="N4" s="0" t="n">
        <v>-612</v>
      </c>
      <c r="O4" s="0" t="n">
        <v>6336</v>
      </c>
      <c r="P4" s="0" t="n">
        <v>11262</v>
      </c>
      <c r="Q4" s="0" t="n">
        <v>4926</v>
      </c>
      <c r="R4" s="0" t="n">
        <v>2861</v>
      </c>
      <c r="S4" s="0" t="n">
        <v>53</v>
      </c>
      <c r="T4" s="0" t="n">
        <v>328</v>
      </c>
      <c r="U4" s="0" t="n">
        <v>39</v>
      </c>
      <c r="AA4" s="0" t="s">
        <v>17</v>
      </c>
      <c r="AB4" s="0" t="s">
        <v>14</v>
      </c>
    </row>
    <row r="5" customFormat="false" ht="15" hidden="false" customHeight="false" outlineLevel="0" collapsed="false">
      <c r="A5" s="0" t="s">
        <v>67</v>
      </c>
      <c r="B5" s="0" t="n">
        <v>4635</v>
      </c>
      <c r="C5" s="0" t="n">
        <v>3803</v>
      </c>
      <c r="D5" s="0" t="n">
        <v>866</v>
      </c>
      <c r="E5" s="0" t="n">
        <v>18.7</v>
      </c>
      <c r="F5" s="0" t="n">
        <v>685</v>
      </c>
      <c r="G5" s="0" t="n">
        <v>14.8</v>
      </c>
      <c r="H5" s="0" t="n">
        <v>948</v>
      </c>
      <c r="I5" s="0" t="n">
        <v>406</v>
      </c>
      <c r="J5" s="0" t="n">
        <v>8.8</v>
      </c>
      <c r="K5" s="0" t="n">
        <v>1.02</v>
      </c>
      <c r="L5" s="0" t="n">
        <v>801</v>
      </c>
      <c r="M5" s="0" t="n">
        <v>1811</v>
      </c>
      <c r="N5" s="0" t="n">
        <v>-1010</v>
      </c>
      <c r="O5" s="0" t="n">
        <v>7424</v>
      </c>
      <c r="P5" s="0" t="n">
        <v>12902</v>
      </c>
      <c r="Q5" s="0" t="n">
        <v>5478</v>
      </c>
      <c r="R5" s="0" t="n">
        <v>3323</v>
      </c>
      <c r="S5" s="0" t="n">
        <v>28</v>
      </c>
      <c r="T5" s="0" t="n">
        <v>348</v>
      </c>
      <c r="U5" s="0" t="n">
        <v>25</v>
      </c>
      <c r="AA5" s="0" t="s">
        <v>17</v>
      </c>
      <c r="AB5" s="0" t="s">
        <v>14</v>
      </c>
    </row>
    <row r="6" customFormat="false" ht="15" hidden="false" customHeight="false" outlineLevel="0" collapsed="false">
      <c r="A6" s="0" t="s">
        <v>68</v>
      </c>
      <c r="B6" s="0" t="n">
        <v>4265</v>
      </c>
      <c r="C6" s="0" t="n">
        <v>3193</v>
      </c>
      <c r="D6" s="0" t="n">
        <v>1002</v>
      </c>
      <c r="E6" s="0" t="n">
        <v>23.5</v>
      </c>
      <c r="F6" s="0" t="n">
        <v>808</v>
      </c>
      <c r="G6" s="0" t="n">
        <v>18.9</v>
      </c>
      <c r="H6" s="0" t="n">
        <v>1101</v>
      </c>
      <c r="I6" s="0" t="n">
        <v>466</v>
      </c>
      <c r="J6" s="0" t="n">
        <v>10.9</v>
      </c>
      <c r="K6" s="0" t="n">
        <v>1.01</v>
      </c>
      <c r="L6" s="0" t="n">
        <v>1077</v>
      </c>
      <c r="M6" s="0" t="n">
        <v>1745</v>
      </c>
      <c r="N6" s="0" t="n">
        <v>-668</v>
      </c>
      <c r="O6" s="0" t="n">
        <v>8296</v>
      </c>
      <c r="P6" s="0" t="n">
        <v>15017</v>
      </c>
      <c r="Q6" s="0" t="n">
        <v>6721</v>
      </c>
      <c r="R6" s="0" t="n">
        <v>4151</v>
      </c>
      <c r="S6" s="0" t="n">
        <v>35</v>
      </c>
      <c r="T6" s="0" t="n">
        <v>389</v>
      </c>
      <c r="U6" s="0" t="n">
        <v>46</v>
      </c>
      <c r="AA6" s="0" t="s">
        <v>17</v>
      </c>
      <c r="AB6" s="0" t="s">
        <v>14</v>
      </c>
    </row>
    <row r="7" customFormat="false" ht="15" hidden="false" customHeight="false" outlineLevel="0" collapsed="false">
      <c r="A7" s="0" t="s">
        <v>69</v>
      </c>
      <c r="B7" s="0" t="n">
        <v>5400</v>
      </c>
      <c r="C7" s="0" t="n">
        <v>3971</v>
      </c>
      <c r="D7" s="0" t="n">
        <v>1474</v>
      </c>
      <c r="E7" s="0" t="n">
        <v>27.3</v>
      </c>
      <c r="F7" s="0" t="n">
        <v>1210</v>
      </c>
      <c r="G7" s="0" t="n">
        <v>22.4</v>
      </c>
      <c r="H7" s="0" t="n">
        <v>1592</v>
      </c>
      <c r="I7" s="0" t="n">
        <v>883</v>
      </c>
      <c r="J7" s="0" t="n">
        <v>16.4</v>
      </c>
      <c r="K7" s="0" t="n">
        <v>1.86</v>
      </c>
      <c r="L7" s="0" t="n">
        <v>1513</v>
      </c>
      <c r="M7" s="0" t="n">
        <v>1839</v>
      </c>
      <c r="N7" s="0" t="n">
        <v>-326</v>
      </c>
      <c r="O7" s="0" t="n">
        <v>13841</v>
      </c>
      <c r="P7" s="0" t="n">
        <v>25566</v>
      </c>
      <c r="Q7" s="0" t="n">
        <v>11725</v>
      </c>
      <c r="R7" s="0" t="n">
        <v>7556</v>
      </c>
      <c r="S7" s="0" t="n">
        <v>321</v>
      </c>
      <c r="T7" s="0" t="n">
        <v>432</v>
      </c>
      <c r="U7" s="0" t="n">
        <v>73</v>
      </c>
      <c r="AA7" s="0" t="s">
        <v>17</v>
      </c>
      <c r="AB7" s="0" t="s">
        <v>14</v>
      </c>
      <c r="AC7" s="0" t="n">
        <v>1697</v>
      </c>
    </row>
    <row r="8" customFormat="false" ht="15" hidden="false" customHeight="false" outlineLevel="0" collapsed="false">
      <c r="A8" s="0" t="s">
        <v>70</v>
      </c>
      <c r="B8" s="0" t="n">
        <v>7351</v>
      </c>
      <c r="C8" s="0" t="n">
        <v>5457</v>
      </c>
      <c r="D8" s="0" t="n">
        <v>2327</v>
      </c>
      <c r="E8" s="0" t="n">
        <v>31.7</v>
      </c>
      <c r="F8" s="0" t="n">
        <v>2021</v>
      </c>
      <c r="G8" s="0" t="n">
        <v>27.5</v>
      </c>
      <c r="H8" s="0" t="n">
        <v>2438</v>
      </c>
      <c r="I8" s="0" t="n">
        <v>1278</v>
      </c>
      <c r="J8" s="0" t="n">
        <v>17.4</v>
      </c>
      <c r="K8" s="0" t="n">
        <v>2.28</v>
      </c>
      <c r="L8" s="0" t="n">
        <v>2256</v>
      </c>
      <c r="M8" s="0" t="n">
        <v>1226</v>
      </c>
      <c r="N8" s="0" t="n">
        <v>1030</v>
      </c>
      <c r="O8" s="0" t="n">
        <v>14404</v>
      </c>
      <c r="P8" s="0" t="n">
        <v>26664</v>
      </c>
      <c r="Q8" s="0" t="n">
        <v>12260</v>
      </c>
      <c r="R8" s="0" t="n">
        <v>7537</v>
      </c>
      <c r="S8" s="0" t="n">
        <v>157</v>
      </c>
      <c r="T8" s="0" t="n">
        <v>509</v>
      </c>
      <c r="U8" s="0" t="n">
        <v>63</v>
      </c>
      <c r="AA8" s="0" t="s">
        <v>17</v>
      </c>
      <c r="AB8" s="0" t="s">
        <v>14</v>
      </c>
      <c r="AC8" s="0" t="n">
        <v>2835</v>
      </c>
    </row>
    <row r="9" customFormat="false" ht="15" hidden="false" customHeight="false" outlineLevel="0" collapsed="false">
      <c r="A9" s="0" t="s">
        <v>71</v>
      </c>
      <c r="B9" s="0" t="n">
        <v>7230</v>
      </c>
      <c r="C9" s="0" t="n">
        <v>5183</v>
      </c>
      <c r="D9" s="0" t="n">
        <v>2442</v>
      </c>
      <c r="E9" s="0" t="n">
        <v>33.8</v>
      </c>
      <c r="F9" s="0" t="n">
        <v>1831</v>
      </c>
      <c r="G9" s="0" t="n">
        <v>25.3</v>
      </c>
      <c r="H9" s="0" t="n">
        <v>2338</v>
      </c>
      <c r="I9" s="0" t="n">
        <v>1507</v>
      </c>
      <c r="J9" s="0" t="n">
        <v>20.8</v>
      </c>
      <c r="K9" s="0" t="n">
        <v>2.68</v>
      </c>
      <c r="L9" s="0" t="n">
        <v>2532</v>
      </c>
      <c r="M9" s="0" t="n">
        <v>1645</v>
      </c>
      <c r="N9" s="0" t="n">
        <v>887</v>
      </c>
      <c r="O9" s="0" t="n">
        <v>16868</v>
      </c>
      <c r="P9" s="0" t="n">
        <v>32755</v>
      </c>
      <c r="Q9" s="0" t="n">
        <v>15887</v>
      </c>
      <c r="R9" s="0" t="n">
        <v>10152</v>
      </c>
      <c r="S9" s="0" t="n">
        <v>129</v>
      </c>
      <c r="T9" s="0" t="n">
        <v>514</v>
      </c>
      <c r="U9" s="0" t="n">
        <v>66</v>
      </c>
      <c r="AA9" s="0" t="s">
        <v>17</v>
      </c>
      <c r="AB9" s="0" t="s">
        <v>14</v>
      </c>
      <c r="AC9" s="0" t="n">
        <v>3061</v>
      </c>
    </row>
    <row r="10" customFormat="false" ht="15" hidden="false" customHeight="false" outlineLevel="0" collapsed="false">
      <c r="A10" s="0" t="s">
        <v>72</v>
      </c>
      <c r="B10" s="0" t="n">
        <v>5953</v>
      </c>
      <c r="C10" s="0" t="n">
        <v>3883</v>
      </c>
      <c r="D10" s="0" t="n">
        <v>2008</v>
      </c>
      <c r="E10" s="0" t="n">
        <v>33.7</v>
      </c>
      <c r="F10" s="0" t="n">
        <v>4</v>
      </c>
      <c r="G10" s="0" t="n">
        <v>0.1</v>
      </c>
      <c r="H10" s="0" t="n">
        <v>704</v>
      </c>
      <c r="I10" s="0" t="n">
        <v>-316</v>
      </c>
      <c r="J10" s="0" t="n">
        <v>-5.3</v>
      </c>
      <c r="K10" s="0" t="n">
        <v>-0.86</v>
      </c>
      <c r="L10" s="0" t="n">
        <v>2252</v>
      </c>
      <c r="M10" s="0" t="n">
        <v>1029</v>
      </c>
      <c r="N10" s="0" t="n">
        <v>1223</v>
      </c>
      <c r="O10" s="0" t="n">
        <v>15015</v>
      </c>
      <c r="P10" s="0" t="n">
        <v>31416</v>
      </c>
      <c r="Q10" s="0" t="n">
        <v>16401</v>
      </c>
      <c r="R10" s="0" t="n">
        <v>10876</v>
      </c>
      <c r="S10" s="0" t="n">
        <v>81</v>
      </c>
      <c r="T10" s="0" t="n">
        <v>550</v>
      </c>
      <c r="U10" s="0" t="n">
        <v>28</v>
      </c>
      <c r="AA10" s="0" t="s">
        <v>17</v>
      </c>
      <c r="AB10" s="0" t="s">
        <v>14</v>
      </c>
      <c r="AC10" s="0" t="n">
        <v>3281</v>
      </c>
    </row>
    <row r="11" customFormat="false" ht="15" hidden="false" customHeight="false" outlineLevel="0" collapsed="false">
      <c r="A11" s="0" t="s">
        <v>73</v>
      </c>
      <c r="B11" s="0" t="n">
        <v>8627</v>
      </c>
      <c r="C11" s="0" t="n">
        <v>6134</v>
      </c>
      <c r="D11" s="0" t="n">
        <v>2647</v>
      </c>
      <c r="E11" s="0" t="n">
        <v>30.7</v>
      </c>
      <c r="F11" s="0" t="n">
        <v>2115</v>
      </c>
      <c r="G11" s="0" t="n">
        <v>24.5</v>
      </c>
      <c r="H11" s="0" t="n">
        <v>2838</v>
      </c>
      <c r="I11" s="0" t="n">
        <v>1242</v>
      </c>
      <c r="J11" s="0" t="n">
        <v>14.4</v>
      </c>
      <c r="K11" s="0" t="n">
        <v>1.99</v>
      </c>
      <c r="L11" s="0" t="n">
        <v>2650</v>
      </c>
      <c r="M11" s="0" t="n">
        <v>658</v>
      </c>
      <c r="N11" s="0" t="n">
        <v>1992</v>
      </c>
      <c r="O11" s="0" t="n">
        <v>14363</v>
      </c>
      <c r="P11" s="0" t="n">
        <v>31456</v>
      </c>
      <c r="Q11" s="0" t="n">
        <v>17093</v>
      </c>
      <c r="R11" s="0" t="n">
        <v>11239</v>
      </c>
      <c r="S11" s="0" t="n">
        <v>43</v>
      </c>
      <c r="T11" s="0" t="n">
        <v>551</v>
      </c>
      <c r="U11" s="0" t="n">
        <v>100</v>
      </c>
      <c r="AA11" s="0" t="s">
        <v>17</v>
      </c>
      <c r="AB11" s="0" t="s">
        <v>14</v>
      </c>
      <c r="AC11" s="0" t="n">
        <v>3433</v>
      </c>
    </row>
    <row r="12" customFormat="false" ht="15" hidden="false" customHeight="false" outlineLevel="0" collapsed="false">
      <c r="A12" s="0" t="s">
        <v>74</v>
      </c>
      <c r="B12" s="0" t="n">
        <v>11611</v>
      </c>
      <c r="C12" s="0" t="n">
        <v>8877</v>
      </c>
      <c r="D12" s="0" t="n">
        <v>3123</v>
      </c>
      <c r="E12" s="0" t="n">
        <v>26.9</v>
      </c>
      <c r="F12" s="0" t="n">
        <v>3705</v>
      </c>
      <c r="G12" s="0" t="n">
        <v>31.9</v>
      </c>
      <c r="H12" s="0" t="n">
        <v>4388</v>
      </c>
      <c r="I12" s="0" t="n">
        <v>2971</v>
      </c>
      <c r="J12" s="0" t="n">
        <v>25.6</v>
      </c>
      <c r="K12" s="0" t="n">
        <v>5.12</v>
      </c>
      <c r="L12" s="0" t="n">
        <v>2929</v>
      </c>
      <c r="M12" s="0" t="n">
        <v>605</v>
      </c>
      <c r="N12" s="0" t="n">
        <v>2324</v>
      </c>
      <c r="O12" s="0" t="n">
        <v>15789</v>
      </c>
      <c r="P12" s="0" t="n">
        <v>31487</v>
      </c>
      <c r="Q12" s="0" t="n">
        <v>15698</v>
      </c>
      <c r="R12" s="0" t="n">
        <v>10600</v>
      </c>
      <c r="S12" s="0" t="n">
        <v>94</v>
      </c>
      <c r="T12" s="0" t="n">
        <v>554</v>
      </c>
      <c r="U12" s="0" t="n">
        <v>126</v>
      </c>
      <c r="AA12" s="0" t="s">
        <v>17</v>
      </c>
      <c r="AB12" s="0" t="s">
        <v>14</v>
      </c>
      <c r="AC12" s="0" t="n">
        <v>3746</v>
      </c>
    </row>
    <row r="13" customFormat="false" ht="15" hidden="false" customHeight="false" outlineLevel="0" collapsed="false">
      <c r="A13" s="0" t="s">
        <v>75</v>
      </c>
      <c r="B13" s="0" t="n">
        <v>6331</v>
      </c>
      <c r="C13" s="0" t="n">
        <v>3807</v>
      </c>
      <c r="D13" s="0" t="n">
        <v>2840</v>
      </c>
      <c r="E13" s="0" t="n">
        <v>44.9</v>
      </c>
      <c r="F13" s="0" t="n">
        <v>2655</v>
      </c>
      <c r="G13" s="0" t="n">
        <v>41.9</v>
      </c>
      <c r="H13" s="0" t="n">
        <v>3318</v>
      </c>
      <c r="I13" s="0" t="n">
        <v>1776</v>
      </c>
      <c r="J13" s="0" t="n">
        <v>28.1</v>
      </c>
      <c r="K13" s="0" t="n">
        <v>2.99</v>
      </c>
      <c r="L13" s="0" t="n">
        <v>2635</v>
      </c>
      <c r="M13" s="0" t="n">
        <v>606</v>
      </c>
      <c r="N13" s="0" t="n">
        <v>2029</v>
      </c>
      <c r="O13" s="0" t="n">
        <v>15813</v>
      </c>
      <c r="P13" s="0" t="n">
        <v>32618</v>
      </c>
      <c r="Q13" s="0" t="n">
        <v>16805</v>
      </c>
      <c r="R13" s="0" t="n">
        <v>10499</v>
      </c>
      <c r="S13" s="0" t="n">
        <v>137</v>
      </c>
      <c r="T13" s="0" t="n">
        <v>551</v>
      </c>
      <c r="U13" s="0" t="n">
        <v>72</v>
      </c>
      <c r="AA13" s="0" t="s">
        <v>17</v>
      </c>
      <c r="AB13" s="0" t="s">
        <v>14</v>
      </c>
      <c r="AC13" s="0" t="n">
        <v>3824</v>
      </c>
    </row>
    <row r="14" customFormat="false" ht="15" hidden="false" customHeight="false" outlineLevel="0" collapsed="false">
      <c r="A14" s="0" t="s">
        <v>76</v>
      </c>
      <c r="B14" s="0" t="n">
        <v>7384</v>
      </c>
      <c r="C14" s="0" t="n">
        <v>4396</v>
      </c>
      <c r="D14" s="0" t="n">
        <v>3316</v>
      </c>
      <c r="E14" s="0" t="n">
        <v>44.9</v>
      </c>
      <c r="F14" s="0" t="n">
        <v>2281</v>
      </c>
      <c r="G14" s="0" t="n">
        <v>30.9</v>
      </c>
      <c r="H14" s="0" t="n">
        <v>3143</v>
      </c>
      <c r="I14" s="0" t="n">
        <v>1864</v>
      </c>
      <c r="J14" s="0" t="n">
        <v>25.2</v>
      </c>
      <c r="K14" s="0" t="n">
        <v>3</v>
      </c>
      <c r="L14" s="0" t="n">
        <v>3214</v>
      </c>
      <c r="M14" s="0" t="n">
        <v>955</v>
      </c>
      <c r="N14" s="0" t="n">
        <v>2259</v>
      </c>
      <c r="O14" s="0" t="n">
        <v>17510</v>
      </c>
      <c r="P14" s="0" t="n">
        <v>35967</v>
      </c>
      <c r="Q14" s="0" t="n">
        <v>18457</v>
      </c>
      <c r="R14" s="0" t="n">
        <v>12656</v>
      </c>
      <c r="S14" s="0" t="n">
        <v>141</v>
      </c>
      <c r="T14" s="0" t="n">
        <v>574</v>
      </c>
      <c r="U14" s="0" t="n">
        <v>84</v>
      </c>
      <c r="AA14" s="0" t="s">
        <v>17</v>
      </c>
      <c r="AB14" s="0" t="s">
        <v>14</v>
      </c>
      <c r="AC14" s="0" t="n">
        <v>4408</v>
      </c>
    </row>
    <row r="15" customFormat="false" ht="15" hidden="false" customHeight="false" outlineLevel="0" collapsed="false">
      <c r="A15" s="0" t="s">
        <v>77</v>
      </c>
      <c r="B15" s="0" t="n">
        <v>7778</v>
      </c>
      <c r="C15" s="0" t="n">
        <v>4794</v>
      </c>
      <c r="D15" s="0" t="n">
        <v>3193</v>
      </c>
      <c r="E15" s="0" t="n">
        <v>41.1</v>
      </c>
      <c r="F15" s="0" t="n">
        <v>2809</v>
      </c>
      <c r="G15" s="0" t="n">
        <v>36.1</v>
      </c>
      <c r="H15" s="0" t="n">
        <v>3796</v>
      </c>
      <c r="I15" s="0" t="n">
        <v>1694</v>
      </c>
      <c r="J15" s="0" t="n">
        <v>21.8</v>
      </c>
      <c r="K15" s="0" t="n">
        <v>2.66</v>
      </c>
      <c r="L15" s="0" t="n">
        <v>3301</v>
      </c>
      <c r="M15" s="0" t="n">
        <v>784</v>
      </c>
      <c r="N15" s="0" t="n">
        <v>2517</v>
      </c>
      <c r="O15" s="0" t="n">
        <v>16771</v>
      </c>
      <c r="P15" s="0" t="n">
        <v>35555</v>
      </c>
      <c r="Q15" s="0" t="n">
        <v>18784</v>
      </c>
      <c r="R15" s="0" t="n">
        <v>12688</v>
      </c>
      <c r="S15" s="0" t="n">
        <v>106</v>
      </c>
      <c r="T15" s="0" t="n">
        <v>582</v>
      </c>
      <c r="U15" s="0" t="n">
        <v>94</v>
      </c>
      <c r="AA15" s="0" t="s">
        <v>17</v>
      </c>
      <c r="AB15" s="0" t="s">
        <v>14</v>
      </c>
      <c r="AC15" s="0" t="n">
        <v>4289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67.55</v>
      </c>
    </row>
    <row r="3" customFormat="false" ht="15" hidden="false" customHeight="false" outlineLevel="0" collapsed="false">
      <c r="A3" s="0" t="s">
        <v>81</v>
      </c>
      <c r="B3" s="3" t="n">
        <v>582</v>
      </c>
    </row>
    <row r="4" customFormat="false" ht="15" hidden="false" customHeight="false" outlineLevel="0" collapsed="false">
      <c r="A4" s="0" t="s">
        <v>82</v>
      </c>
      <c r="B4" s="3" t="n">
        <v>13060</v>
      </c>
    </row>
    <row r="5" customFormat="false" ht="15" hidden="false" customHeight="false" outlineLevel="0" collapsed="false">
      <c r="A5" s="0" t="s">
        <v>83</v>
      </c>
      <c r="B5" s="3" t="n">
        <v>-1874</v>
      </c>
    </row>
    <row r="6" customFormat="false" ht="15" hidden="false" customHeight="false" outlineLevel="0" collapsed="false">
      <c r="A6" s="0" t="s">
        <v>84</v>
      </c>
      <c r="B6" s="3" t="n">
        <v>15</v>
      </c>
    </row>
    <row r="7" customFormat="false" ht="15" hidden="false" customHeight="false" outlineLevel="0" collapsed="false">
      <c r="A7" s="0" t="s">
        <v>85</v>
      </c>
      <c r="B7" s="3" t="n">
        <v>7778</v>
      </c>
    </row>
    <row r="8" customFormat="false" ht="15" hidden="false" customHeight="false" outlineLevel="0" collapsed="false">
      <c r="A8" s="0" t="s">
        <v>86</v>
      </c>
      <c r="B8" s="3" t="s">
        <v>77</v>
      </c>
    </row>
    <row r="9" customFormat="false" ht="15" hidden="false" customHeight="false" outlineLevel="0" collapsed="false">
      <c r="A9" s="0" t="s">
        <v>87</v>
      </c>
      <c r="B9" s="3" t="s">
        <v>88</v>
      </c>
    </row>
    <row r="10" customFormat="false" ht="15" hidden="false" customHeight="false" outlineLevel="0" collapsed="false">
      <c r="A10" s="0" t="s">
        <v>89</v>
      </c>
      <c r="B10" s="3" t="n">
        <v>1</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-1.5</v>
      </c>
      <c r="D13" s="3" t="n">
        <v>1</v>
      </c>
      <c r="E13" s="3" t="n">
        <v>1.5</v>
      </c>
      <c r="F13" s="3" t="n">
        <v>3</v>
      </c>
      <c r="G13" s="3" t="n">
        <v>2</v>
      </c>
      <c r="H13" s="3" t="n">
        <v>2</v>
      </c>
      <c r="I13" s="3" t="n">
        <v>1.5</v>
      </c>
      <c r="J13" s="3" t="n">
        <v>1.5</v>
      </c>
      <c r="K13" s="3" t="n">
        <v>1</v>
      </c>
      <c r="L13" s="3" t="n">
        <v>1</v>
      </c>
    </row>
    <row r="14" customFormat="false" ht="15" hidden="false" customHeight="false" outlineLevel="0" collapsed="false">
      <c r="A14" s="0" t="s">
        <v>102</v>
      </c>
      <c r="C14" s="3" t="n">
        <v>51.5</v>
      </c>
      <c r="D14" s="3" t="n">
        <v>51.5</v>
      </c>
      <c r="E14" s="3" t="n">
        <v>51.5</v>
      </c>
      <c r="F14" s="3" t="n">
        <v>52</v>
      </c>
      <c r="G14" s="3" t="n">
        <v>52</v>
      </c>
      <c r="H14" s="3" t="n">
        <v>52</v>
      </c>
      <c r="I14" s="3" t="n">
        <v>52</v>
      </c>
      <c r="J14" s="3" t="n">
        <v>52</v>
      </c>
      <c r="K14" s="3" t="n">
        <v>52</v>
      </c>
      <c r="L14" s="3" t="n">
        <v>52</v>
      </c>
    </row>
    <row r="15" customFormat="false" ht="15" hidden="false" customHeight="false" outlineLevel="0" collapsed="false">
      <c r="A15" s="0" t="s">
        <v>103</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104</v>
      </c>
      <c r="C16" s="3" t="n">
        <v>1.4</v>
      </c>
      <c r="D16" s="3" t="n">
        <v>1.4</v>
      </c>
      <c r="E16" s="3" t="n">
        <v>1.4</v>
      </c>
      <c r="F16" s="3" t="n">
        <v>1.4</v>
      </c>
      <c r="G16" s="3" t="n">
        <v>1.4</v>
      </c>
      <c r="H16" s="3" t="n">
        <v>1.4</v>
      </c>
      <c r="I16" s="3" t="n">
        <v>1.4</v>
      </c>
      <c r="J16" s="3" t="n">
        <v>1.4</v>
      </c>
      <c r="K16" s="3" t="n">
        <v>1.4</v>
      </c>
      <c r="L16" s="3" t="n">
        <v>1.4</v>
      </c>
    </row>
    <row r="17" customFormat="false" ht="15" hidden="false" customHeight="false" outlineLevel="0" collapsed="false">
      <c r="A17" s="0" t="s">
        <v>105</v>
      </c>
      <c r="C17" s="3" t="n">
        <v>11.7</v>
      </c>
      <c r="D17" s="3" t="n">
        <v>11.6</v>
      </c>
      <c r="E17" s="3" t="n">
        <v>11.5</v>
      </c>
      <c r="F17" s="3" t="n">
        <v>11.4</v>
      </c>
      <c r="G17" s="3" t="n">
        <v>11.3</v>
      </c>
      <c r="H17" s="3" t="n">
        <v>11.2</v>
      </c>
      <c r="I17" s="3" t="n">
        <v>11.1</v>
      </c>
      <c r="J17" s="3" t="n">
        <v>11</v>
      </c>
      <c r="K17" s="3" t="n">
        <v>11</v>
      </c>
      <c r="L17" s="3" t="n">
        <v>11</v>
      </c>
    </row>
    <row r="18" customFormat="false" ht="15" hidden="false" customHeight="false" outlineLevel="0" collapsed="false">
      <c r="A18" s="0" t="s">
        <v>106</v>
      </c>
      <c r="C18" s="3" t="n">
        <v>20.5</v>
      </c>
      <c r="D18" s="3" t="n">
        <v>18.5</v>
      </c>
      <c r="E18" s="3" t="n">
        <v>18.5</v>
      </c>
      <c r="F18" s="3" t="n">
        <v>17</v>
      </c>
      <c r="G18" s="3" t="n">
        <v>15</v>
      </c>
      <c r="H18" s="3" t="n">
        <v>14</v>
      </c>
      <c r="I18" s="3" t="n">
        <v>13</v>
      </c>
      <c r="J18" s="3" t="n">
        <v>12.5</v>
      </c>
      <c r="K18" s="3" t="n">
        <v>12</v>
      </c>
      <c r="L18" s="3" t="n">
        <v>12</v>
      </c>
    </row>
    <row r="19" customFormat="false" ht="15" hidden="false" customHeight="false" outlineLevel="0" collapsed="false">
      <c r="A19" s="0" t="s">
        <v>107</v>
      </c>
      <c r="C19" s="3" t="n">
        <v>18</v>
      </c>
      <c r="D19" s="3" t="n">
        <v>19.5</v>
      </c>
      <c r="E19" s="3" t="n">
        <v>21</v>
      </c>
      <c r="F19" s="3" t="n">
        <v>22</v>
      </c>
      <c r="G19" s="3" t="n">
        <v>23</v>
      </c>
      <c r="H19" s="3" t="n">
        <v>23</v>
      </c>
      <c r="I19" s="3" t="n">
        <v>23</v>
      </c>
      <c r="J19" s="3" t="n">
        <v>23</v>
      </c>
      <c r="K19" s="3" t="n">
        <v>23</v>
      </c>
      <c r="L19" s="3" t="n">
        <v>23</v>
      </c>
    </row>
    <row r="20" customFormat="false" ht="15" hidden="false" customHeight="false" outlineLevel="0" collapsed="false">
      <c r="A20" s="0" t="s">
        <v>108</v>
      </c>
      <c r="B20" s="3" t="n">
        <v>7.25</v>
      </c>
    </row>
    <row r="21" customFormat="false" ht="15" hidden="false" customHeight="false" outlineLevel="0" collapsed="false">
      <c r="A21" s="0" t="s">
        <v>109</v>
      </c>
      <c r="B21" s="3" t="n">
        <v>1</v>
      </c>
    </row>
    <row r="22" customFormat="false" ht="15" hidden="false" customHeight="false" outlineLevel="0" collapsed="false">
      <c r="A22" s="0" t="s">
        <v>110</v>
      </c>
      <c r="B22" s="3" t="n">
        <v>13</v>
      </c>
    </row>
    <row r="23" customFormat="false" ht="15" hidden="false" customHeight="false" outlineLevel="0" collapsed="false">
      <c r="A23" s="0" t="s">
        <v>111</v>
      </c>
      <c r="B23" s="3" t="n">
        <v>0</v>
      </c>
    </row>
    <row r="24" customFormat="false" ht="15" hidden="false" customHeight="false" outlineLevel="0" collapsed="false">
      <c r="A24" s="0" t="s">
        <v>112</v>
      </c>
      <c r="B24" s="3" t="n">
        <v>0.2</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2.5</v>
      </c>
      <c r="D27" s="3" t="n">
        <v>4</v>
      </c>
      <c r="E27" s="3" t="n">
        <v>4</v>
      </c>
      <c r="F27" s="3" t="n">
        <v>5</v>
      </c>
      <c r="G27" s="3" t="n">
        <v>4.5</v>
      </c>
      <c r="H27" s="3" t="n">
        <v>4.5</v>
      </c>
      <c r="I27" s="3" t="n">
        <v>3.5</v>
      </c>
      <c r="J27" s="3" t="n">
        <v>3</v>
      </c>
      <c r="K27" s="3" t="n">
        <v>2.5</v>
      </c>
      <c r="L27" s="3" t="n">
        <v>2</v>
      </c>
    </row>
    <row r="28" customFormat="false" ht="15" hidden="false" customHeight="false" outlineLevel="0" collapsed="false">
      <c r="A28" s="0" t="s">
        <v>102</v>
      </c>
      <c r="C28" s="3" t="n">
        <v>52.5</v>
      </c>
      <c r="D28" s="3" t="n">
        <v>52.5</v>
      </c>
      <c r="E28" s="3" t="n">
        <v>52.7</v>
      </c>
      <c r="F28" s="3" t="n">
        <v>53.5</v>
      </c>
      <c r="G28" s="3" t="n">
        <v>54</v>
      </c>
      <c r="H28" s="3" t="n">
        <v>54.3</v>
      </c>
      <c r="I28" s="3" t="n">
        <v>54.5</v>
      </c>
      <c r="J28" s="3" t="n">
        <v>54.5</v>
      </c>
      <c r="K28" s="3" t="n">
        <v>54.5</v>
      </c>
      <c r="L28" s="3" t="n">
        <v>54.5</v>
      </c>
    </row>
    <row r="29" customFormat="false" ht="15" hidden="false" customHeight="false" outlineLevel="0" collapsed="false">
      <c r="A29" s="0" t="s">
        <v>103</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104</v>
      </c>
      <c r="C30" s="3" t="n">
        <v>1.4</v>
      </c>
      <c r="D30" s="3" t="n">
        <v>1.4</v>
      </c>
      <c r="E30" s="3" t="n">
        <v>1.4</v>
      </c>
      <c r="F30" s="3" t="n">
        <v>1.4</v>
      </c>
      <c r="G30" s="3" t="n">
        <v>1.4</v>
      </c>
      <c r="H30" s="3" t="n">
        <v>1.4</v>
      </c>
      <c r="I30" s="3" t="n">
        <v>1.4</v>
      </c>
      <c r="J30" s="3" t="n">
        <v>1.4</v>
      </c>
      <c r="K30" s="3" t="n">
        <v>1.4</v>
      </c>
      <c r="L30" s="3" t="n">
        <v>1.4</v>
      </c>
    </row>
    <row r="31" customFormat="false" ht="15" hidden="false" customHeight="false" outlineLevel="0" collapsed="false">
      <c r="A31" s="0" t="s">
        <v>105</v>
      </c>
      <c r="C31" s="3" t="n">
        <v>11.7</v>
      </c>
      <c r="D31" s="3" t="n">
        <v>11.6</v>
      </c>
      <c r="E31" s="3" t="n">
        <v>11.5</v>
      </c>
      <c r="F31" s="3" t="n">
        <v>11.4</v>
      </c>
      <c r="G31" s="3" t="n">
        <v>11.3</v>
      </c>
      <c r="H31" s="3" t="n">
        <v>11.2</v>
      </c>
      <c r="I31" s="3" t="n">
        <v>11.1</v>
      </c>
      <c r="J31" s="3" t="n">
        <v>11</v>
      </c>
      <c r="K31" s="3" t="n">
        <v>11</v>
      </c>
      <c r="L31" s="3" t="n">
        <v>11</v>
      </c>
    </row>
    <row r="32" customFormat="false" ht="15" hidden="false" customHeight="false" outlineLevel="0" collapsed="false">
      <c r="A32" s="0" t="s">
        <v>106</v>
      </c>
      <c r="C32" s="3" t="n">
        <v>19.9</v>
      </c>
      <c r="D32" s="3" t="n">
        <v>17.5</v>
      </c>
      <c r="E32" s="3" t="n">
        <v>18</v>
      </c>
      <c r="F32" s="3" t="n">
        <v>16.4</v>
      </c>
      <c r="G32" s="3" t="n">
        <v>14.6</v>
      </c>
      <c r="H32" s="3" t="n">
        <v>13.5</v>
      </c>
      <c r="I32" s="3" t="n">
        <v>12.5</v>
      </c>
      <c r="J32" s="3" t="n">
        <v>12</v>
      </c>
      <c r="K32" s="3" t="n">
        <v>11.5</v>
      </c>
      <c r="L32" s="3" t="n">
        <v>11.5</v>
      </c>
    </row>
    <row r="33" customFormat="false" ht="15" hidden="false" customHeight="false" outlineLevel="0" collapsed="false">
      <c r="A33" s="0" t="s">
        <v>107</v>
      </c>
      <c r="C33" s="3" t="n">
        <v>18</v>
      </c>
      <c r="D33" s="3" t="n">
        <v>19</v>
      </c>
      <c r="E33" s="3" t="n">
        <v>20</v>
      </c>
      <c r="F33" s="3" t="n">
        <v>21</v>
      </c>
      <c r="G33" s="3" t="n">
        <v>21.5</v>
      </c>
      <c r="H33" s="3" t="n">
        <v>22</v>
      </c>
      <c r="I33" s="3" t="n">
        <v>22</v>
      </c>
      <c r="J33" s="3" t="n">
        <v>22</v>
      </c>
      <c r="K33" s="3" t="n">
        <v>22</v>
      </c>
      <c r="L33" s="3" t="n">
        <v>22</v>
      </c>
    </row>
    <row r="34" customFormat="false" ht="15" hidden="false" customHeight="false" outlineLevel="0" collapsed="false">
      <c r="A34" s="0" t="s">
        <v>108</v>
      </c>
      <c r="B34" s="3" t="n">
        <v>7.25</v>
      </c>
    </row>
    <row r="35" customFormat="false" ht="15" hidden="false" customHeight="false" outlineLevel="0" collapsed="false">
      <c r="A35" s="0" t="s">
        <v>109</v>
      </c>
      <c r="B35" s="3" t="n">
        <v>2</v>
      </c>
    </row>
    <row r="36" customFormat="false" ht="15" hidden="false" customHeight="false" outlineLevel="0" collapsed="false">
      <c r="A36" s="0" t="s">
        <v>110</v>
      </c>
      <c r="B36" s="3" t="n">
        <v>17</v>
      </c>
    </row>
    <row r="37" customFormat="false" ht="15" hidden="false" customHeight="false" outlineLevel="0" collapsed="false">
      <c r="A37" s="0" t="s">
        <v>111</v>
      </c>
      <c r="B37" s="3" t="n">
        <v>0</v>
      </c>
    </row>
    <row r="38" customFormat="false" ht="15" hidden="false" customHeight="false" outlineLevel="0" collapsed="false">
      <c r="A38" s="0" t="s">
        <v>112</v>
      </c>
      <c r="B38" s="3" t="n">
        <v>0.55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4</v>
      </c>
      <c r="D41" s="3" t="n">
        <v>6</v>
      </c>
      <c r="E41" s="3" t="n">
        <v>6</v>
      </c>
      <c r="F41" s="3" t="n">
        <v>7</v>
      </c>
      <c r="G41" s="3" t="n">
        <v>6</v>
      </c>
      <c r="H41" s="3" t="n">
        <v>6</v>
      </c>
      <c r="I41" s="3" t="n">
        <v>5</v>
      </c>
      <c r="J41" s="3" t="n">
        <v>4</v>
      </c>
      <c r="K41" s="3" t="n">
        <v>3.5</v>
      </c>
      <c r="L41" s="3" t="n">
        <v>3</v>
      </c>
    </row>
    <row r="42" customFormat="false" ht="15" hidden="false" customHeight="false" outlineLevel="0" collapsed="false">
      <c r="A42" s="0" t="s">
        <v>102</v>
      </c>
      <c r="C42" s="3" t="n">
        <v>53</v>
      </c>
      <c r="D42" s="3" t="n">
        <v>53.5</v>
      </c>
      <c r="E42" s="3" t="n">
        <v>54</v>
      </c>
      <c r="F42" s="3" t="n">
        <v>55</v>
      </c>
      <c r="G42" s="3" t="n">
        <v>55.5</v>
      </c>
      <c r="H42" s="3" t="n">
        <v>56</v>
      </c>
      <c r="I42" s="3" t="n">
        <v>56</v>
      </c>
      <c r="J42" s="3" t="n">
        <v>56</v>
      </c>
      <c r="K42" s="3" t="n">
        <v>56</v>
      </c>
      <c r="L42" s="3" t="n">
        <v>56</v>
      </c>
    </row>
    <row r="43" customFormat="false" ht="15" hidden="false" customHeight="false" outlineLevel="0" collapsed="false">
      <c r="A43" s="0" t="s">
        <v>103</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104</v>
      </c>
      <c r="C44" s="3" t="n">
        <v>1.4</v>
      </c>
      <c r="D44" s="3" t="n">
        <v>1.4</v>
      </c>
      <c r="E44" s="3" t="n">
        <v>1.4</v>
      </c>
      <c r="F44" s="3" t="n">
        <v>1.4</v>
      </c>
      <c r="G44" s="3" t="n">
        <v>1.4</v>
      </c>
      <c r="H44" s="3" t="n">
        <v>1.4</v>
      </c>
      <c r="I44" s="3" t="n">
        <v>1.4</v>
      </c>
      <c r="J44" s="3" t="n">
        <v>1.4</v>
      </c>
      <c r="K44" s="3" t="n">
        <v>1.4</v>
      </c>
      <c r="L44" s="3" t="n">
        <v>1.4</v>
      </c>
    </row>
    <row r="45" customFormat="false" ht="15" hidden="false" customHeight="false" outlineLevel="0" collapsed="false">
      <c r="A45" s="0" t="s">
        <v>105</v>
      </c>
      <c r="C45" s="3" t="n">
        <v>11.7</v>
      </c>
      <c r="D45" s="3" t="n">
        <v>11.6</v>
      </c>
      <c r="E45" s="3" t="n">
        <v>11.5</v>
      </c>
      <c r="F45" s="3" t="n">
        <v>11.4</v>
      </c>
      <c r="G45" s="3" t="n">
        <v>11.3</v>
      </c>
      <c r="H45" s="3" t="n">
        <v>11.2</v>
      </c>
      <c r="I45" s="3" t="n">
        <v>11.1</v>
      </c>
      <c r="J45" s="3" t="n">
        <v>11</v>
      </c>
      <c r="K45" s="3" t="n">
        <v>11</v>
      </c>
      <c r="L45" s="3" t="n">
        <v>11</v>
      </c>
    </row>
    <row r="46" customFormat="false" ht="15" hidden="false" customHeight="false" outlineLevel="0" collapsed="false">
      <c r="A46" s="0" t="s">
        <v>106</v>
      </c>
      <c r="C46" s="3" t="n">
        <v>20</v>
      </c>
      <c r="D46" s="3" t="n">
        <v>18.5</v>
      </c>
      <c r="E46" s="3" t="n">
        <v>18.5</v>
      </c>
      <c r="F46" s="3" t="n">
        <v>17.5</v>
      </c>
      <c r="G46" s="3" t="n">
        <v>16</v>
      </c>
      <c r="H46" s="3" t="n">
        <v>15</v>
      </c>
      <c r="I46" s="3" t="n">
        <v>14</v>
      </c>
      <c r="J46" s="3" t="n">
        <v>13</v>
      </c>
      <c r="K46" s="3" t="n">
        <v>12.5</v>
      </c>
      <c r="L46" s="3" t="n">
        <v>12</v>
      </c>
    </row>
    <row r="47" customFormat="false" ht="15" hidden="false" customHeight="false" outlineLevel="0" collapsed="false">
      <c r="A47" s="0" t="s">
        <v>107</v>
      </c>
      <c r="C47" s="3" t="n">
        <v>17.5</v>
      </c>
      <c r="D47" s="3" t="n">
        <v>18.5</v>
      </c>
      <c r="E47" s="3" t="n">
        <v>19.5</v>
      </c>
      <c r="F47" s="3" t="n">
        <v>20.5</v>
      </c>
      <c r="G47" s="3" t="n">
        <v>21</v>
      </c>
      <c r="H47" s="3" t="n">
        <v>21.5</v>
      </c>
      <c r="I47" s="3" t="n">
        <v>21.5</v>
      </c>
      <c r="J47" s="3" t="n">
        <v>21.5</v>
      </c>
      <c r="K47" s="3" t="n">
        <v>21.5</v>
      </c>
      <c r="L47" s="3" t="n">
        <v>21.5</v>
      </c>
    </row>
    <row r="48" customFormat="false" ht="15" hidden="false" customHeight="false" outlineLevel="0" collapsed="false">
      <c r="A48" s="0" t="s">
        <v>108</v>
      </c>
      <c r="B48" s="3" t="n">
        <v>7.25</v>
      </c>
    </row>
    <row r="49" customFormat="false" ht="15" hidden="false" customHeight="false" outlineLevel="0" collapsed="false">
      <c r="A49" s="0" t="s">
        <v>109</v>
      </c>
      <c r="B49" s="3" t="n">
        <v>2.5</v>
      </c>
    </row>
    <row r="50" customFormat="false" ht="15" hidden="false" customHeight="false" outlineLevel="0" collapsed="false">
      <c r="A50" s="0" t="s">
        <v>110</v>
      </c>
      <c r="B50" s="3" t="n">
        <v>19</v>
      </c>
    </row>
    <row r="51" customFormat="false" ht="15" hidden="false" customHeight="false" outlineLevel="0" collapsed="false">
      <c r="A51" s="0" t="s">
        <v>111</v>
      </c>
      <c r="B51" s="3" t="n">
        <v>0</v>
      </c>
    </row>
    <row r="52" customFormat="false" ht="15" hidden="false" customHeight="false" outlineLevel="0" collapsed="false">
      <c r="A52" s="0" t="s">
        <v>112</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-1.5</v>
      </c>
      <c r="D5" s="4" t="n">
        <f aca="false">Assumptions!D13</f>
        <v>1</v>
      </c>
      <c r="E5" s="4" t="n">
        <f aca="false">Assumptions!E13</f>
        <v>1.5</v>
      </c>
      <c r="F5" s="4" t="n">
        <f aca="false">Assumptions!F13</f>
        <v>3</v>
      </c>
      <c r="G5" s="4" t="n">
        <f aca="false">Assumptions!G13</f>
        <v>2</v>
      </c>
      <c r="H5" s="4" t="n">
        <f aca="false">Assumptions!H13</f>
        <v>2</v>
      </c>
      <c r="I5" s="4" t="n">
        <f aca="false">Assumptions!I13</f>
        <v>1.5</v>
      </c>
      <c r="J5" s="4" t="n">
        <f aca="false">Assumptions!J13</f>
        <v>1.5</v>
      </c>
      <c r="K5" s="4" t="n">
        <f aca="false">Assumptions!K13</f>
        <v>1</v>
      </c>
      <c r="L5" s="4" t="n">
        <f aca="false">Assumptions!L13</f>
        <v>1</v>
      </c>
    </row>
    <row r="6" customFormat="false" ht="15" hidden="false" customHeight="false" outlineLevel="0" collapsed="false">
      <c r="A6" s="0" t="s">
        <v>37</v>
      </c>
      <c r="B6" s="3" t="n">
        <v>7778</v>
      </c>
      <c r="C6" s="0" t="n">
        <f aca="false">B6*(1+C5/100)</f>
        <v>7661.33</v>
      </c>
      <c r="D6" s="0" t="n">
        <f aca="false">C6*(1+D5/100)</f>
        <v>7737.9433</v>
      </c>
      <c r="E6" s="0" t="n">
        <f aca="false">D6*(1+E5/100)</f>
        <v>7854.0124495</v>
      </c>
      <c r="F6" s="0" t="n">
        <f aca="false">E6*(1+F5/100)</f>
        <v>8089.632822985</v>
      </c>
      <c r="G6" s="0" t="n">
        <f aca="false">F6*(1+G5/100)</f>
        <v>8251.4254794447</v>
      </c>
      <c r="H6" s="0" t="n">
        <f aca="false">G6*(1+H5/100)</f>
        <v>8416.4539890336</v>
      </c>
      <c r="I6" s="0" t="n">
        <f aca="false">H6*(1+I5/100)</f>
        <v>8542.7007988691</v>
      </c>
      <c r="J6" s="0" t="n">
        <f aca="false">I6*(1+J5/100)</f>
        <v>8670.84131085213</v>
      </c>
      <c r="K6" s="0" t="n">
        <f aca="false">J6*(1+K5/100)</f>
        <v>8757.54972396066</v>
      </c>
      <c r="L6" s="0" t="n">
        <f aca="false">K6*(1+L5/100)</f>
        <v>8845.12522120026</v>
      </c>
    </row>
    <row r="7" customFormat="false" ht="15" hidden="false" customHeight="false" outlineLevel="0" collapsed="false">
      <c r="A7" s="0" t="s">
        <v>102</v>
      </c>
      <c r="C7" s="4" t="n">
        <f aca="false">Assumptions!C14</f>
        <v>51.5</v>
      </c>
      <c r="D7" s="4" t="n">
        <f aca="false">Assumptions!D14</f>
        <v>51.5</v>
      </c>
      <c r="E7" s="4" t="n">
        <f aca="false">Assumptions!E14</f>
        <v>51.5</v>
      </c>
      <c r="F7" s="4" t="n">
        <f aca="false">Assumptions!F14</f>
        <v>52</v>
      </c>
      <c r="G7" s="4" t="n">
        <f aca="false">Assumptions!G14</f>
        <v>52</v>
      </c>
      <c r="H7" s="4" t="n">
        <f aca="false">Assumptions!H14</f>
        <v>52</v>
      </c>
      <c r="I7" s="4" t="n">
        <f aca="false">Assumptions!I14</f>
        <v>52</v>
      </c>
      <c r="J7" s="4" t="n">
        <f aca="false">Assumptions!J14</f>
        <v>52</v>
      </c>
      <c r="K7" s="4" t="n">
        <f aca="false">Assumptions!K14</f>
        <v>52</v>
      </c>
      <c r="L7" s="4" t="n">
        <f aca="false">Assumptions!L14</f>
        <v>52</v>
      </c>
    </row>
    <row r="8" customFormat="false" ht="15" hidden="false" customHeight="false" outlineLevel="0" collapsed="false">
      <c r="A8" s="0" t="s">
        <v>43</v>
      </c>
      <c r="C8" s="0" t="n">
        <f aca="false">C6*C7/100</f>
        <v>3945.58495</v>
      </c>
      <c r="D8" s="0" t="n">
        <f aca="false">D6*D7/100</f>
        <v>3985.0407995</v>
      </c>
      <c r="E8" s="0" t="n">
        <f aca="false">E6*E7/100</f>
        <v>4044.8164114925</v>
      </c>
      <c r="F8" s="0" t="n">
        <f aca="false">F6*F7/100</f>
        <v>4206.6090679522</v>
      </c>
      <c r="G8" s="0" t="n">
        <f aca="false">G6*G7/100</f>
        <v>4290.74124931124</v>
      </c>
      <c r="H8" s="0" t="n">
        <f aca="false">H6*H7/100</f>
        <v>4376.55607429747</v>
      </c>
      <c r="I8" s="0" t="n">
        <f aca="false">I6*I7/100</f>
        <v>4442.20441541193</v>
      </c>
      <c r="J8" s="0" t="n">
        <f aca="false">J6*J7/100</f>
        <v>4508.83748164311</v>
      </c>
      <c r="K8" s="0" t="n">
        <f aca="false">K6*K7/100</f>
        <v>4553.92585645954</v>
      </c>
      <c r="L8" s="0" t="n">
        <f aca="false">L6*L7/100</f>
        <v>4599.46511502414</v>
      </c>
    </row>
    <row r="9" customFormat="false" ht="15" hidden="false" customHeight="false" outlineLevel="0" collapsed="false">
      <c r="A9" s="0" t="s">
        <v>103</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3838.32633</v>
      </c>
      <c r="D11" s="0" t="n">
        <f aca="false">D8+D10+D24</f>
        <v>3876.7095933</v>
      </c>
      <c r="E11" s="0" t="n">
        <f aca="false">E8+E10+E24</f>
        <v>3934.8602371995</v>
      </c>
      <c r="F11" s="0" t="n">
        <f aca="false">F8+F10+F24</f>
        <v>4093.35420843041</v>
      </c>
      <c r="G11" s="0" t="n">
        <f aca="false">G8+G10+G24</f>
        <v>4175.22129259902</v>
      </c>
      <c r="H11" s="0" t="n">
        <f aca="false">H8+H10+H24</f>
        <v>4258.725718451</v>
      </c>
      <c r="I11" s="0" t="n">
        <f aca="false">I8+I10+I24</f>
        <v>4322.60660422776</v>
      </c>
      <c r="J11" s="0" t="n">
        <f aca="false">J8+J10+J24</f>
        <v>4387.44570329118</v>
      </c>
      <c r="K11" s="0" t="n">
        <f aca="false">K8+K10+K24</f>
        <v>4431.32016032409</v>
      </c>
      <c r="L11" s="0" t="n">
        <f aca="false">L8+L10+L24</f>
        <v>4475.63336192733</v>
      </c>
    </row>
    <row r="12" customFormat="false" ht="15" hidden="false" customHeight="false" outlineLevel="0" collapsed="false">
      <c r="A12" s="0" t="s">
        <v>120</v>
      </c>
      <c r="C12" s="4" t="n">
        <f aca="false">-C6*Assumptions!C17/100</f>
        <v>-896.37561</v>
      </c>
      <c r="D12" s="4" t="n">
        <f aca="false">-D6*Assumptions!D17/100</f>
        <v>-897.6014228</v>
      </c>
      <c r="E12" s="4" t="n">
        <f aca="false">-E6*Assumptions!E17/100</f>
        <v>-903.2114316925</v>
      </c>
      <c r="F12" s="4" t="n">
        <f aca="false">-F6*Assumptions!F17/100</f>
        <v>-922.21814182029</v>
      </c>
      <c r="G12" s="4" t="n">
        <f aca="false">-G6*Assumptions!G17/100</f>
        <v>-932.411079177251</v>
      </c>
      <c r="H12" s="4" t="n">
        <f aca="false">-H6*Assumptions!H17/100</f>
        <v>-942.642846771763</v>
      </c>
      <c r="I12" s="4" t="n">
        <f aca="false">-I6*Assumptions!I17/100</f>
        <v>-948.23978867447</v>
      </c>
      <c r="J12" s="4" t="n">
        <f aca="false">-J6*Assumptions!J17/100</f>
        <v>-953.792544193735</v>
      </c>
      <c r="K12" s="4" t="n">
        <f aca="false">-K6*Assumptions!K17/100</f>
        <v>-963.330469635672</v>
      </c>
      <c r="L12" s="4" t="n">
        <f aca="false">-L6*Assumptions!L17/100</f>
        <v>-972.963774332029</v>
      </c>
    </row>
    <row r="13" customFormat="false" ht="15" hidden="false" customHeight="false" outlineLevel="0" collapsed="false">
      <c r="A13" s="0" t="s">
        <v>121</v>
      </c>
      <c r="C13" s="0" t="n">
        <f aca="false">C11+C12</f>
        <v>2941.95072</v>
      </c>
      <c r="D13" s="0" t="n">
        <f aca="false">D11+D12</f>
        <v>2979.1081705</v>
      </c>
      <c r="E13" s="0" t="n">
        <f aca="false">E11+E12</f>
        <v>3031.648805507</v>
      </c>
      <c r="F13" s="0" t="n">
        <f aca="false">F11+F12</f>
        <v>3171.13606661012</v>
      </c>
      <c r="G13" s="0" t="n">
        <f aca="false">G11+G12</f>
        <v>3242.81021342177</v>
      </c>
      <c r="H13" s="0" t="n">
        <f aca="false">H11+H12</f>
        <v>3316.08287167924</v>
      </c>
      <c r="I13" s="0" t="n">
        <f aca="false">I11+I12</f>
        <v>3374.36681555329</v>
      </c>
      <c r="J13" s="0" t="n">
        <f aca="false">J11+J12</f>
        <v>3433.65315909744</v>
      </c>
      <c r="K13" s="0" t="n">
        <f aca="false">K11+K12</f>
        <v>3467.98969068842</v>
      </c>
      <c r="L13" s="0" t="n">
        <f aca="false">L11+L12</f>
        <v>3502.6695875953</v>
      </c>
    </row>
    <row r="14" customFormat="false" ht="15" hidden="false" customHeight="false" outlineLevel="0" collapsed="false">
      <c r="A14" s="0" t="s">
        <v>107</v>
      </c>
      <c r="C14" s="4" t="n">
        <f aca="false">Assumptions!C19</f>
        <v>18</v>
      </c>
      <c r="D14" s="4" t="n">
        <f aca="false">Assumptions!D19</f>
        <v>19.5</v>
      </c>
      <c r="E14" s="4" t="n">
        <f aca="false">Assumptions!E19</f>
        <v>21</v>
      </c>
      <c r="F14" s="4" t="n">
        <f aca="false">Assumptions!F19</f>
        <v>22</v>
      </c>
      <c r="G14" s="4" t="n">
        <f aca="false">Assumptions!G19</f>
        <v>23</v>
      </c>
      <c r="H14" s="4" t="n">
        <f aca="false">Assumptions!H19</f>
        <v>23</v>
      </c>
      <c r="I14" s="4" t="n">
        <f aca="false">Assumptions!I19</f>
        <v>23</v>
      </c>
      <c r="J14" s="4" t="n">
        <f aca="false">Assumptions!J19</f>
        <v>23</v>
      </c>
      <c r="K14" s="4" t="n">
        <f aca="false">Assumptions!K19</f>
        <v>23</v>
      </c>
      <c r="L14" s="4" t="n">
        <f aca="false">Assumptions!L19</f>
        <v>23</v>
      </c>
    </row>
    <row r="15" customFormat="false" ht="15" hidden="false" customHeight="false" outlineLevel="0" collapsed="false">
      <c r="A15" s="0" t="s">
        <v>122</v>
      </c>
      <c r="C15" s="0" t="n">
        <f aca="false">C13-MAX(0,C13)*C14/100</f>
        <v>2412.3995904</v>
      </c>
      <c r="D15" s="0" t="n">
        <f aca="false">D13-MAX(0,D13)*D14/100</f>
        <v>2398.1820772525</v>
      </c>
      <c r="E15" s="0" t="n">
        <f aca="false">E13-MAX(0,E13)*E14/100</f>
        <v>2395.00255635053</v>
      </c>
      <c r="F15" s="0" t="n">
        <f aca="false">F13-MAX(0,F13)*F14/100</f>
        <v>2473.48613195589</v>
      </c>
      <c r="G15" s="0" t="n">
        <f aca="false">G13-MAX(0,G13)*G14/100</f>
        <v>2496.96386433476</v>
      </c>
      <c r="H15" s="0" t="n">
        <f aca="false">H13-MAX(0,H13)*H14/100</f>
        <v>2553.38381119301</v>
      </c>
      <c r="I15" s="0" t="n">
        <f aca="false">I13-MAX(0,I13)*I14/100</f>
        <v>2598.26244797604</v>
      </c>
      <c r="J15" s="0" t="n">
        <f aca="false">J13-MAX(0,J13)*J14/100</f>
        <v>2643.91293250503</v>
      </c>
      <c r="K15" s="0" t="n">
        <f aca="false">K13-MAX(0,K13)*K14/100</f>
        <v>2670.35206183008</v>
      </c>
      <c r="L15" s="0" t="n">
        <f aca="false">L13-MAX(0,L13)*L14/100</f>
        <v>2697.05558244838</v>
      </c>
    </row>
    <row r="16" customFormat="false" ht="15" hidden="false" customHeight="false" outlineLevel="0" collapsed="false">
      <c r="A16" s="0" t="s">
        <v>123</v>
      </c>
      <c r="C16" s="0" t="n">
        <f aca="false">-C12</f>
        <v>896.37561</v>
      </c>
      <c r="D16" s="0" t="n">
        <f aca="false">-D12</f>
        <v>897.6014228</v>
      </c>
      <c r="E16" s="0" t="n">
        <f aca="false">-E12</f>
        <v>903.2114316925</v>
      </c>
      <c r="F16" s="0" t="n">
        <f aca="false">-F12</f>
        <v>922.21814182029</v>
      </c>
      <c r="G16" s="0" t="n">
        <f aca="false">-G12</f>
        <v>932.411079177251</v>
      </c>
      <c r="H16" s="0" t="n">
        <f aca="false">-H12</f>
        <v>942.642846771763</v>
      </c>
      <c r="I16" s="0" t="n">
        <f aca="false">-I12</f>
        <v>948.23978867447</v>
      </c>
      <c r="J16" s="0" t="n">
        <f aca="false">-J12</f>
        <v>953.792544193735</v>
      </c>
      <c r="K16" s="0" t="n">
        <f aca="false">-K12</f>
        <v>963.330469635672</v>
      </c>
      <c r="L16" s="0" t="n">
        <f aca="false">-L12</f>
        <v>972.963774332029</v>
      </c>
    </row>
    <row r="17" customFormat="false" ht="15" hidden="false" customHeight="false" outlineLevel="0" collapsed="false">
      <c r="A17" s="0" t="s">
        <v>124</v>
      </c>
      <c r="C17" s="4" t="n">
        <f aca="false">-C6*Assumptions!C18/100</f>
        <v>-1570.57265</v>
      </c>
      <c r="D17" s="4" t="n">
        <f aca="false">-D6*Assumptions!D18/100</f>
        <v>-1431.5195105</v>
      </c>
      <c r="E17" s="4" t="n">
        <f aca="false">-E6*Assumptions!E18/100</f>
        <v>-1452.9923031575</v>
      </c>
      <c r="F17" s="4" t="n">
        <f aca="false">-F6*Assumptions!F18/100</f>
        <v>-1375.23757990745</v>
      </c>
      <c r="G17" s="4" t="n">
        <f aca="false">-G6*Assumptions!G18/100</f>
        <v>-1237.71382191671</v>
      </c>
      <c r="H17" s="4" t="n">
        <f aca="false">-H6*Assumptions!H18/100</f>
        <v>-1178.3035584647</v>
      </c>
      <c r="I17" s="4" t="n">
        <f aca="false">-I6*Assumptions!I18/100</f>
        <v>-1110.55110385298</v>
      </c>
      <c r="J17" s="4" t="n">
        <f aca="false">-J6*Assumptions!J18/100</f>
        <v>-1083.85516385652</v>
      </c>
      <c r="K17" s="4" t="n">
        <f aca="false">-K6*Assumptions!K18/100</f>
        <v>-1050.90596687528</v>
      </c>
      <c r="L17" s="4" t="n">
        <f aca="false">-L6*Assumptions!L18/100</f>
        <v>-1061.41502654403</v>
      </c>
    </row>
    <row r="18" customFormat="false" ht="15" hidden="false" customHeight="false" outlineLevel="0" collapsed="false">
      <c r="A18" s="0" t="s">
        <v>125</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126</v>
      </c>
      <c r="C19" s="0" t="n">
        <f aca="false">C15+C16+C17+C18</f>
        <v>1738.2025504</v>
      </c>
      <c r="D19" s="0" t="n">
        <f aca="false">D15+D16+D17+D18</f>
        <v>1864.2639895525</v>
      </c>
      <c r="E19" s="0" t="n">
        <f aca="false">E15+E16+E17+E18</f>
        <v>1845.22168488553</v>
      </c>
      <c r="F19" s="0" t="n">
        <f aca="false">F15+F16+F17+F18</f>
        <v>2020.46669386873</v>
      </c>
      <c r="G19" s="0" t="n">
        <f aca="false">G15+G16+G17+G18</f>
        <v>2191.66112159531</v>
      </c>
      <c r="H19" s="0" t="n">
        <f aca="false">H15+H16+H17+H18</f>
        <v>2317.72309950007</v>
      </c>
      <c r="I19" s="0" t="n">
        <f aca="false">I15+I16+I17+I18</f>
        <v>2435.95113279752</v>
      </c>
      <c r="J19" s="0" t="n">
        <f aca="false">J15+J16+J17+J18</f>
        <v>2513.85031284225</v>
      </c>
      <c r="K19" s="0" t="n">
        <f aca="false">K15+K16+K17+K18</f>
        <v>2582.77656459048</v>
      </c>
      <c r="L19" s="0" t="n">
        <f aca="false">L15+L16+L17+L18</f>
        <v>2608.60433023638</v>
      </c>
    </row>
    <row r="20" customFormat="false" ht="15" hidden="false" customHeight="false" outlineLevel="0" collapsed="false">
      <c r="A20" s="0" t="s">
        <v>127</v>
      </c>
      <c r="C20" s="0" t="n">
        <f aca="false">1/(1+$B$27/100)^C4</f>
        <v>0.932400932400932</v>
      </c>
      <c r="D20" s="0" t="n">
        <f aca="false">1/(1+$B$27/100)^D4</f>
        <v>0.869371498742128</v>
      </c>
      <c r="E20" s="0" t="n">
        <f aca="false">1/(1+$B$27/100)^E4</f>
        <v>0.810602796029956</v>
      </c>
      <c r="F20" s="0" t="n">
        <f aca="false">1/(1+$B$27/100)^F4</f>
        <v>0.755806802825134</v>
      </c>
      <c r="G20" s="0" t="n">
        <f aca="false">1/(1+$B$27/100)^G4</f>
        <v>0.704714967669123</v>
      </c>
      <c r="H20" s="0" t="n">
        <f aca="false">1/(1+$B$27/100)^H4</f>
        <v>0.657076892931583</v>
      </c>
      <c r="I20" s="0" t="n">
        <f aca="false">1/(1+$B$27/100)^I4</f>
        <v>0.612659107628516</v>
      </c>
      <c r="J20" s="0" t="n">
        <f aca="false">1/(1+$B$27/100)^J4</f>
        <v>0.571243923196751</v>
      </c>
      <c r="K20" s="0" t="n">
        <f aca="false">1/(1+$B$27/100)^K4</f>
        <v>0.532628366617017</v>
      </c>
      <c r="L20" s="0" t="n">
        <f aca="false">1/(1+$B$27/100)^L4</f>
        <v>0.496623185656893</v>
      </c>
    </row>
    <row r="21" customFormat="false" ht="15" hidden="false" customHeight="false" outlineLevel="0" collapsed="false">
      <c r="A21" s="0" t="s">
        <v>128</v>
      </c>
      <c r="C21" s="0" t="n">
        <f aca="false">C19*C20</f>
        <v>1620.70167869464</v>
      </c>
      <c r="D21" s="0" t="n">
        <f aca="false">D19*D20</f>
        <v>1620.73797864824</v>
      </c>
      <c r="E21" s="0" t="n">
        <f aca="false">E19*E20</f>
        <v>1495.74185706332</v>
      </c>
      <c r="F21" s="0" t="n">
        <f aca="false">F19*F20</f>
        <v>1527.0824721076</v>
      </c>
      <c r="G21" s="0" t="n">
        <f aca="false">G19*G20</f>
        <v>1544.49639644671</v>
      </c>
      <c r="H21" s="0" t="n">
        <f aca="false">H19*H20</f>
        <v>1522.92229289526</v>
      </c>
      <c r="I21" s="0" t="n">
        <f aca="false">I19*I20</f>
        <v>1492.4076472464</v>
      </c>
      <c r="J21" s="0" t="n">
        <f aca="false">J19*J20</f>
        <v>1436.02171503739</v>
      </c>
      <c r="K21" s="0" t="n">
        <f aca="false">K19*K20</f>
        <v>1375.66006293454</v>
      </c>
      <c r="L21" s="0" t="n">
        <f aca="false">L19*L20</f>
        <v>1295.49339260036</v>
      </c>
    </row>
    <row r="23" customFormat="false" ht="15" hidden="false" customHeight="false" outlineLevel="0" collapsed="false">
      <c r="A23" s="0" t="s">
        <v>104</v>
      </c>
      <c r="C23" s="4" t="n">
        <f aca="false">Assumptions!C16</f>
        <v>1.4</v>
      </c>
      <c r="D23" s="4" t="n">
        <f aca="false">Assumptions!D16</f>
        <v>1.4</v>
      </c>
      <c r="E23" s="4" t="n">
        <f aca="false">Assumptions!E16</f>
        <v>1.4</v>
      </c>
      <c r="F23" s="4" t="n">
        <f aca="false">Assumptions!F16</f>
        <v>1.4</v>
      </c>
      <c r="G23" s="4" t="n">
        <f aca="false">Assumptions!G16</f>
        <v>1.4</v>
      </c>
      <c r="H23" s="4" t="n">
        <f aca="false">Assumptions!H16</f>
        <v>1.4</v>
      </c>
      <c r="I23" s="4" t="n">
        <f aca="false">Assumptions!I16</f>
        <v>1.4</v>
      </c>
      <c r="J23" s="4" t="n">
        <f aca="false">Assumptions!J16</f>
        <v>1.4</v>
      </c>
      <c r="K23" s="4" t="n">
        <f aca="false">Assumptions!K16</f>
        <v>1.4</v>
      </c>
      <c r="L23" s="4" t="n">
        <f aca="false">Assumptions!L16</f>
        <v>1.4</v>
      </c>
    </row>
    <row r="24" customFormat="false" ht="15" hidden="false" customHeight="false" outlineLevel="0" collapsed="false">
      <c r="A24" s="0" t="s">
        <v>129</v>
      </c>
      <c r="C24" s="0" t="n">
        <f aca="false">-C6*C23/100</f>
        <v>-107.25862</v>
      </c>
      <c r="D24" s="0" t="n">
        <f aca="false">-D6*D23/100</f>
        <v>-108.3312062</v>
      </c>
      <c r="E24" s="0" t="n">
        <f aca="false">-E6*E23/100</f>
        <v>-109.956174293</v>
      </c>
      <c r="F24" s="0" t="n">
        <f aca="false">-F6*F23/100</f>
        <v>-113.25485952179</v>
      </c>
      <c r="G24" s="0" t="n">
        <f aca="false">-G6*G23/100</f>
        <v>-115.519956712226</v>
      </c>
      <c r="H24" s="0" t="n">
        <f aca="false">-H6*H23/100</f>
        <v>-117.83035584647</v>
      </c>
      <c r="I24" s="0" t="n">
        <f aca="false">-I6*I23/100</f>
        <v>-119.597811184167</v>
      </c>
      <c r="J24" s="0" t="n">
        <f aca="false">-J6*J23/100</f>
        <v>-121.39177835193</v>
      </c>
      <c r="K24" s="0" t="n">
        <f aca="false">-K6*K23/100</f>
        <v>-122.605696135449</v>
      </c>
      <c r="L24" s="0" t="n">
        <f aca="false">-L6*L23/100</f>
        <v>-123.831753096804</v>
      </c>
    </row>
    <row r="26" customFormat="false" ht="15" hidden="false" customHeight="false" outlineLevel="0" collapsed="false">
      <c r="A26" s="2" t="s">
        <v>130</v>
      </c>
    </row>
    <row r="27" customFormat="false" ht="15" hidden="false" customHeight="false" outlineLevel="0" collapsed="false">
      <c r="A27" s="0" t="s">
        <v>108</v>
      </c>
      <c r="B27" s="4" t="n">
        <f aca="false">Assumptions!$B$20</f>
        <v>7.25</v>
      </c>
    </row>
    <row r="28" customFormat="false" ht="15" hidden="false" customHeight="false" outlineLevel="0" collapsed="false">
      <c r="A28" s="0" t="s">
        <v>109</v>
      </c>
      <c r="B28" s="4" t="n">
        <f aca="false">Assumptions!$B$21</f>
        <v>1</v>
      </c>
    </row>
    <row r="29" customFormat="false" ht="15" hidden="false" customHeight="false" outlineLevel="0" collapsed="false">
      <c r="A29" s="0" t="s">
        <v>110</v>
      </c>
      <c r="B29" s="4" t="n">
        <f aca="false">Assumptions!$B$22</f>
        <v>13</v>
      </c>
    </row>
    <row r="30" customFormat="false" ht="15" hidden="false" customHeight="false" outlineLevel="0" collapsed="false">
      <c r="A30" s="0" t="s">
        <v>131</v>
      </c>
      <c r="B30" s="0" t="n">
        <f aca="false">SUM(C21:L21)</f>
        <v>14931.2654936744</v>
      </c>
    </row>
    <row r="31" customFormat="false" ht="15" hidden="false" customHeight="false" outlineLevel="0" collapsed="false">
      <c r="A31" s="0" t="s">
        <v>132</v>
      </c>
      <c r="B31" s="0" t="n">
        <f aca="false">L19</f>
        <v>2608.60433023638</v>
      </c>
    </row>
    <row r="32" customFormat="false" ht="15" hidden="false" customHeight="false" outlineLevel="0" collapsed="false">
      <c r="A32" s="0" t="s">
        <v>133</v>
      </c>
      <c r="B32" s="0" t="n">
        <f aca="false">IF(B27&gt;B28,B31*(1+B28/100)/((B27-B28)/100),B31*B29)</f>
        <v>42155.0459766199</v>
      </c>
    </row>
    <row r="33" customFormat="false" ht="15" hidden="false" customHeight="false" outlineLevel="0" collapsed="false">
      <c r="A33" s="0" t="s">
        <v>134</v>
      </c>
      <c r="B33" s="0" t="n">
        <f aca="false">B31*B29</f>
        <v>33911.856293073</v>
      </c>
    </row>
    <row r="34" customFormat="false" ht="15" hidden="false" customHeight="false" outlineLevel="0" collapsed="false">
      <c r="A34" s="0" t="s">
        <v>135</v>
      </c>
      <c r="B34" s="0" t="n">
        <f aca="false">MAX(0,MIN(B32,B33))</f>
        <v>33911.856293073</v>
      </c>
    </row>
    <row r="35" customFormat="false" ht="15" hidden="false" customHeight="false" outlineLevel="0" collapsed="false">
      <c r="A35" s="0" t="s">
        <v>136</v>
      </c>
      <c r="B35" s="0" t="n">
        <f aca="false">B34/(1+B27/100)^L4</f>
        <v>16841.4141038046</v>
      </c>
    </row>
    <row r="36" customFormat="false" ht="15" hidden="false" customHeight="false" outlineLevel="0" collapsed="false">
      <c r="A36" s="0" t="s">
        <v>137</v>
      </c>
      <c r="B36" s="0" t="n">
        <f aca="false">B30+B35</f>
        <v>31772.6795974791</v>
      </c>
    </row>
    <row r="37" customFormat="false" ht="15" hidden="false" customHeight="false" outlineLevel="0" collapsed="false">
      <c r="A37" s="0" t="s">
        <v>138</v>
      </c>
      <c r="B37" s="0" t="n">
        <f aca="false">B36+Assumptions!$B$5-Assumptions!$B$4</f>
        <v>16838.6795974791</v>
      </c>
    </row>
    <row r="38" customFormat="false" ht="15" hidden="false" customHeight="false" outlineLevel="0" collapsed="false">
      <c r="A38" s="0" t="s">
        <v>139</v>
      </c>
      <c r="B38" s="0" t="n">
        <f aca="false">B37/Assumptions!$B$3*Assumptions!$B$10</f>
        <v>28.9324391709262</v>
      </c>
    </row>
    <row r="39" customFormat="false" ht="15" hidden="false" customHeight="false" outlineLevel="0" collapsed="false">
      <c r="A39" s="0" t="s">
        <v>140</v>
      </c>
      <c r="B39" s="4" t="n">
        <f aca="false">B38/Assumptions!$B$2-1</f>
        <v>-0.571688539290507</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28.9324391709262</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18819.2169538482</v>
      </c>
    </row>
    <row r="47" customFormat="false" ht="15" hidden="false" customHeight="false" outlineLevel="0" collapsed="false">
      <c r="A47" s="0" t="s">
        <v>145</v>
      </c>
      <c r="B47" s="0" t="n">
        <f aca="false">(SUMPRODUCT(C19:L19/(1+B45/100)^C4:L4)+B46/(1+B45/100)^L4+Assumptions!$B$5-Assumptions!$B$4)/Assumptions!$B$3*Assumptions!$B$10</f>
        <v>0.370488751084534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2.5</v>
      </c>
      <c r="D5" s="4" t="n">
        <f aca="false">Assumptions!D27</f>
        <v>4</v>
      </c>
      <c r="E5" s="4" t="n">
        <f aca="false">Assumptions!E27</f>
        <v>4</v>
      </c>
      <c r="F5" s="4" t="n">
        <f aca="false">Assumptions!F27</f>
        <v>5</v>
      </c>
      <c r="G5" s="4" t="n">
        <f aca="false">Assumptions!G27</f>
        <v>4.5</v>
      </c>
      <c r="H5" s="4" t="n">
        <f aca="false">Assumptions!H27</f>
        <v>4.5</v>
      </c>
      <c r="I5" s="4" t="n">
        <f aca="false">Assumptions!I27</f>
        <v>3.5</v>
      </c>
      <c r="J5" s="4" t="n">
        <f aca="false">Assumptions!J27</f>
        <v>3</v>
      </c>
      <c r="K5" s="4" t="n">
        <f aca="false">Assumptions!K27</f>
        <v>2.5</v>
      </c>
      <c r="L5" s="4" t="n">
        <f aca="false">Assumptions!L27</f>
        <v>2</v>
      </c>
    </row>
    <row r="6" customFormat="false" ht="15" hidden="false" customHeight="false" outlineLevel="0" collapsed="false">
      <c r="A6" s="0" t="s">
        <v>37</v>
      </c>
      <c r="B6" s="3" t="n">
        <v>7778</v>
      </c>
      <c r="C6" s="0" t="n">
        <f aca="false">B6*(1+C5/100)</f>
        <v>7972.45</v>
      </c>
      <c r="D6" s="0" t="n">
        <f aca="false">C6*(1+D5/100)</f>
        <v>8291.348</v>
      </c>
      <c r="E6" s="0" t="n">
        <f aca="false">D6*(1+E5/100)</f>
        <v>8623.00192</v>
      </c>
      <c r="F6" s="0" t="n">
        <f aca="false">E6*(1+F5/100)</f>
        <v>9054.152016</v>
      </c>
      <c r="G6" s="0" t="n">
        <f aca="false">F6*(1+G5/100)</f>
        <v>9461.58885672</v>
      </c>
      <c r="H6" s="0" t="n">
        <f aca="false">G6*(1+H5/100)</f>
        <v>9887.3603552724</v>
      </c>
      <c r="I6" s="0" t="n">
        <f aca="false">H6*(1+I5/100)</f>
        <v>10233.4179677069</v>
      </c>
      <c r="J6" s="0" t="n">
        <f aca="false">I6*(1+J5/100)</f>
        <v>10540.4205067381</v>
      </c>
      <c r="K6" s="0" t="n">
        <f aca="false">J6*(1+K5/100)</f>
        <v>10803.9310194066</v>
      </c>
      <c r="L6" s="0" t="n">
        <f aca="false">K6*(1+L5/100)</f>
        <v>11020.0096397947</v>
      </c>
    </row>
    <row r="7" customFormat="false" ht="15" hidden="false" customHeight="false" outlineLevel="0" collapsed="false">
      <c r="A7" s="0" t="s">
        <v>102</v>
      </c>
      <c r="C7" s="4" t="n">
        <f aca="false">Assumptions!C28</f>
        <v>52.5</v>
      </c>
      <c r="D7" s="4" t="n">
        <f aca="false">Assumptions!D28</f>
        <v>52.5</v>
      </c>
      <c r="E7" s="4" t="n">
        <f aca="false">Assumptions!E28</f>
        <v>52.7</v>
      </c>
      <c r="F7" s="4" t="n">
        <f aca="false">Assumptions!F28</f>
        <v>53.5</v>
      </c>
      <c r="G7" s="4" t="n">
        <f aca="false">Assumptions!G28</f>
        <v>54</v>
      </c>
      <c r="H7" s="4" t="n">
        <f aca="false">Assumptions!H28</f>
        <v>54.3</v>
      </c>
      <c r="I7" s="4" t="n">
        <f aca="false">Assumptions!I28</f>
        <v>54.5</v>
      </c>
      <c r="J7" s="4" t="n">
        <f aca="false">Assumptions!J28</f>
        <v>54.5</v>
      </c>
      <c r="K7" s="4" t="n">
        <f aca="false">Assumptions!K28</f>
        <v>54.5</v>
      </c>
      <c r="L7" s="4" t="n">
        <f aca="false">Assumptions!L28</f>
        <v>54.5</v>
      </c>
    </row>
    <row r="8" customFormat="false" ht="15" hidden="false" customHeight="false" outlineLevel="0" collapsed="false">
      <c r="A8" s="0" t="s">
        <v>43</v>
      </c>
      <c r="C8" s="0" t="n">
        <f aca="false">C6*C7/100</f>
        <v>4185.53625</v>
      </c>
      <c r="D8" s="0" t="n">
        <f aca="false">D6*D7/100</f>
        <v>4352.9577</v>
      </c>
      <c r="E8" s="0" t="n">
        <f aca="false">E6*E7/100</f>
        <v>4544.32201184</v>
      </c>
      <c r="F8" s="0" t="n">
        <f aca="false">F6*F7/100</f>
        <v>4843.97132856</v>
      </c>
      <c r="G8" s="0" t="n">
        <f aca="false">G6*G7/100</f>
        <v>5109.2579826288</v>
      </c>
      <c r="H8" s="0" t="n">
        <f aca="false">H6*H7/100</f>
        <v>5368.83667291291</v>
      </c>
      <c r="I8" s="0" t="n">
        <f aca="false">I6*I7/100</f>
        <v>5577.21279240028</v>
      </c>
      <c r="J8" s="0" t="n">
        <f aca="false">J6*J7/100</f>
        <v>5744.52917617229</v>
      </c>
      <c r="K8" s="0" t="n">
        <f aca="false">K6*K7/100</f>
        <v>5888.14240557659</v>
      </c>
      <c r="L8" s="0" t="n">
        <f aca="false">L6*L7/100</f>
        <v>6005.90525368813</v>
      </c>
    </row>
    <row r="9" customFormat="false" ht="15" hidden="false" customHeight="false" outlineLevel="0" collapsed="false">
      <c r="A9" s="0" t="s">
        <v>103</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4073.92195</v>
      </c>
      <c r="D11" s="0" t="n">
        <f aca="false">D8+D10+D24</f>
        <v>4236.878828</v>
      </c>
      <c r="E11" s="0" t="n">
        <f aca="false">E8+E10+E24</f>
        <v>4423.59998496</v>
      </c>
      <c r="F11" s="0" t="n">
        <f aca="false">F8+F10+F24</f>
        <v>4717.213200336</v>
      </c>
      <c r="G11" s="0" t="n">
        <f aca="false">G8+G10+G24</f>
        <v>4976.79573863472</v>
      </c>
      <c r="H11" s="0" t="n">
        <f aca="false">H8+H10+H24</f>
        <v>5230.4136279391</v>
      </c>
      <c r="I11" s="0" t="n">
        <f aca="false">I8+I10+I24</f>
        <v>5433.94494085238</v>
      </c>
      <c r="J11" s="0" t="n">
        <f aca="false">J8+J10+J24</f>
        <v>5596.96328907795</v>
      </c>
      <c r="K11" s="0" t="n">
        <f aca="false">K8+K10+K24</f>
        <v>5736.8873713049</v>
      </c>
      <c r="L11" s="0" t="n">
        <f aca="false">L8+L10+L24</f>
        <v>5851.625118731</v>
      </c>
    </row>
    <row r="12" customFormat="false" ht="15" hidden="false" customHeight="false" outlineLevel="0" collapsed="false">
      <c r="A12" s="0" t="s">
        <v>120</v>
      </c>
      <c r="C12" s="4" t="n">
        <f aca="false">-C6*Assumptions!C31/100</f>
        <v>-932.77665</v>
      </c>
      <c r="D12" s="4" t="n">
        <f aca="false">-D6*Assumptions!D31/100</f>
        <v>-961.796368</v>
      </c>
      <c r="E12" s="4" t="n">
        <f aca="false">-E6*Assumptions!E31/100</f>
        <v>-991.6452208</v>
      </c>
      <c r="F12" s="4" t="n">
        <f aca="false">-F6*Assumptions!F31/100</f>
        <v>-1032.173329824</v>
      </c>
      <c r="G12" s="4" t="n">
        <f aca="false">-G6*Assumptions!G31/100</f>
        <v>-1069.15954080936</v>
      </c>
      <c r="H12" s="4" t="n">
        <f aca="false">-H6*Assumptions!H31/100</f>
        <v>-1107.38435979051</v>
      </c>
      <c r="I12" s="4" t="n">
        <f aca="false">-I6*Assumptions!I31/100</f>
        <v>-1135.90939441547</v>
      </c>
      <c r="J12" s="4" t="n">
        <f aca="false">-J6*Assumptions!J31/100</f>
        <v>-1159.4462557412</v>
      </c>
      <c r="K12" s="4" t="n">
        <f aca="false">-K6*Assumptions!K31/100</f>
        <v>-1188.43241213473</v>
      </c>
      <c r="L12" s="4" t="n">
        <f aca="false">-L6*Assumptions!L31/100</f>
        <v>-1212.20106037742</v>
      </c>
    </row>
    <row r="13" customFormat="false" ht="15" hidden="false" customHeight="false" outlineLevel="0" collapsed="false">
      <c r="A13" s="0" t="s">
        <v>121</v>
      </c>
      <c r="C13" s="0" t="n">
        <f aca="false">C11+C12</f>
        <v>3141.1453</v>
      </c>
      <c r="D13" s="0" t="n">
        <f aca="false">D11+D12</f>
        <v>3275.08246</v>
      </c>
      <c r="E13" s="0" t="n">
        <f aca="false">E11+E12</f>
        <v>3431.95476416</v>
      </c>
      <c r="F13" s="0" t="n">
        <f aca="false">F11+F12</f>
        <v>3685.039870512</v>
      </c>
      <c r="G13" s="0" t="n">
        <f aca="false">G11+G12</f>
        <v>3907.63619782536</v>
      </c>
      <c r="H13" s="0" t="n">
        <f aca="false">H11+H12</f>
        <v>4123.02926814859</v>
      </c>
      <c r="I13" s="0" t="n">
        <f aca="false">I11+I12</f>
        <v>4298.03554643691</v>
      </c>
      <c r="J13" s="0" t="n">
        <f aca="false">J11+J12</f>
        <v>4437.51703333676</v>
      </c>
      <c r="K13" s="0" t="n">
        <f aca="false">K11+K12</f>
        <v>4548.45495917018</v>
      </c>
      <c r="L13" s="0" t="n">
        <f aca="false">L11+L12</f>
        <v>4639.42405835358</v>
      </c>
    </row>
    <row r="14" customFormat="false" ht="15" hidden="false" customHeight="false" outlineLevel="0" collapsed="false">
      <c r="A14" s="0" t="s">
        <v>107</v>
      </c>
      <c r="C14" s="4" t="n">
        <f aca="false">Assumptions!C33</f>
        <v>18</v>
      </c>
      <c r="D14" s="4" t="n">
        <f aca="false">Assumptions!D33</f>
        <v>19</v>
      </c>
      <c r="E14" s="4" t="n">
        <f aca="false">Assumptions!E33</f>
        <v>20</v>
      </c>
      <c r="F14" s="4" t="n">
        <f aca="false">Assumptions!F33</f>
        <v>21</v>
      </c>
      <c r="G14" s="4" t="n">
        <f aca="false">Assumptions!G33</f>
        <v>21.5</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122</v>
      </c>
      <c r="C15" s="0" t="n">
        <f aca="false">C13-MAX(0,C13)*C14/100</f>
        <v>2575.739146</v>
      </c>
      <c r="D15" s="0" t="n">
        <f aca="false">D13-MAX(0,D13)*D14/100</f>
        <v>2652.8167926</v>
      </c>
      <c r="E15" s="0" t="n">
        <f aca="false">E13-MAX(0,E13)*E14/100</f>
        <v>2745.563811328</v>
      </c>
      <c r="F15" s="0" t="n">
        <f aca="false">F13-MAX(0,F13)*F14/100</f>
        <v>2911.18149770448</v>
      </c>
      <c r="G15" s="0" t="n">
        <f aca="false">G13-MAX(0,G13)*G14/100</f>
        <v>3067.49441529291</v>
      </c>
      <c r="H15" s="0" t="n">
        <f aca="false">H13-MAX(0,H13)*H14/100</f>
        <v>3215.9628291559</v>
      </c>
      <c r="I15" s="0" t="n">
        <f aca="false">I13-MAX(0,I13)*I14/100</f>
        <v>3352.46772622079</v>
      </c>
      <c r="J15" s="0" t="n">
        <f aca="false">J13-MAX(0,J13)*J14/100</f>
        <v>3461.26328600267</v>
      </c>
      <c r="K15" s="0" t="n">
        <f aca="false">K13-MAX(0,K13)*K14/100</f>
        <v>3547.79486815274</v>
      </c>
      <c r="L15" s="0" t="n">
        <f aca="false">L13-MAX(0,L13)*L14/100</f>
        <v>3618.75076551579</v>
      </c>
    </row>
    <row r="16" customFormat="false" ht="15" hidden="false" customHeight="false" outlineLevel="0" collapsed="false">
      <c r="A16" s="0" t="s">
        <v>123</v>
      </c>
      <c r="C16" s="0" t="n">
        <f aca="false">-C12</f>
        <v>932.77665</v>
      </c>
      <c r="D16" s="0" t="n">
        <f aca="false">-D12</f>
        <v>961.796368</v>
      </c>
      <c r="E16" s="0" t="n">
        <f aca="false">-E12</f>
        <v>991.6452208</v>
      </c>
      <c r="F16" s="0" t="n">
        <f aca="false">-F12</f>
        <v>1032.173329824</v>
      </c>
      <c r="G16" s="0" t="n">
        <f aca="false">-G12</f>
        <v>1069.15954080936</v>
      </c>
      <c r="H16" s="0" t="n">
        <f aca="false">-H12</f>
        <v>1107.38435979051</v>
      </c>
      <c r="I16" s="0" t="n">
        <f aca="false">-I12</f>
        <v>1135.90939441547</v>
      </c>
      <c r="J16" s="0" t="n">
        <f aca="false">-J12</f>
        <v>1159.4462557412</v>
      </c>
      <c r="K16" s="0" t="n">
        <f aca="false">-K12</f>
        <v>1188.43241213473</v>
      </c>
      <c r="L16" s="0" t="n">
        <f aca="false">-L12</f>
        <v>1212.20106037742</v>
      </c>
    </row>
    <row r="17" customFormat="false" ht="15" hidden="false" customHeight="false" outlineLevel="0" collapsed="false">
      <c r="A17" s="0" t="s">
        <v>124</v>
      </c>
      <c r="C17" s="4" t="n">
        <f aca="false">-C6*Assumptions!C32/100</f>
        <v>-1586.51755</v>
      </c>
      <c r="D17" s="4" t="n">
        <f aca="false">-D6*Assumptions!D32/100</f>
        <v>-1450.9859</v>
      </c>
      <c r="E17" s="4" t="n">
        <f aca="false">-E6*Assumptions!E32/100</f>
        <v>-1552.1403456</v>
      </c>
      <c r="F17" s="4" t="n">
        <f aca="false">-F6*Assumptions!F32/100</f>
        <v>-1484.880930624</v>
      </c>
      <c r="G17" s="4" t="n">
        <f aca="false">-G6*Assumptions!G32/100</f>
        <v>-1381.39197308112</v>
      </c>
      <c r="H17" s="4" t="n">
        <f aca="false">-H6*Assumptions!H32/100</f>
        <v>-1334.79364796177</v>
      </c>
      <c r="I17" s="4" t="n">
        <f aca="false">-I6*Assumptions!I32/100</f>
        <v>-1279.17724596337</v>
      </c>
      <c r="J17" s="4" t="n">
        <f aca="false">-J6*Assumptions!J32/100</f>
        <v>-1264.85046080858</v>
      </c>
      <c r="K17" s="4" t="n">
        <f aca="false">-K6*Assumptions!K32/100</f>
        <v>-1242.45206723176</v>
      </c>
      <c r="L17" s="4" t="n">
        <f aca="false">-L6*Assumptions!L32/100</f>
        <v>-1267.30110857639</v>
      </c>
    </row>
    <row r="18" customFormat="false" ht="15" hidden="false" customHeight="false" outlineLevel="0" collapsed="false">
      <c r="A18" s="0" t="s">
        <v>125</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126</v>
      </c>
      <c r="C19" s="0" t="n">
        <f aca="false">C15+C16+C17+C18</f>
        <v>1921.998246</v>
      </c>
      <c r="D19" s="0" t="n">
        <f aca="false">D15+D16+D17+D18</f>
        <v>2163.6272606</v>
      </c>
      <c r="E19" s="0" t="n">
        <f aca="false">E15+E16+E17+E18</f>
        <v>2185.068686528</v>
      </c>
      <c r="F19" s="0" t="n">
        <f aca="false">F15+F16+F17+F18</f>
        <v>2458.47389690448</v>
      </c>
      <c r="G19" s="0" t="n">
        <f aca="false">G15+G16+G17+G18</f>
        <v>2755.26198302115</v>
      </c>
      <c r="H19" s="0" t="n">
        <f aca="false">H15+H16+H17+H18</f>
        <v>2988.55354098464</v>
      </c>
      <c r="I19" s="0" t="n">
        <f aca="false">I15+I16+I17+I18</f>
        <v>3209.1998746729</v>
      </c>
      <c r="J19" s="0" t="n">
        <f aca="false">J15+J16+J17+J18</f>
        <v>3355.85908093529</v>
      </c>
      <c r="K19" s="0" t="n">
        <f aca="false">K15+K16+K17+K18</f>
        <v>3493.7752130557</v>
      </c>
      <c r="L19" s="0" t="n">
        <f aca="false">L15+L16+L17+L18</f>
        <v>3563.65071731682</v>
      </c>
    </row>
    <row r="20" customFormat="false" ht="15" hidden="false" customHeight="false" outlineLevel="0" collapsed="false">
      <c r="A20" s="0" t="s">
        <v>127</v>
      </c>
      <c r="C20" s="0" t="n">
        <f aca="false">1/(1+$B$27/100)^C4</f>
        <v>0.932400932400932</v>
      </c>
      <c r="D20" s="0" t="n">
        <f aca="false">1/(1+$B$27/100)^D4</f>
        <v>0.869371498742128</v>
      </c>
      <c r="E20" s="0" t="n">
        <f aca="false">1/(1+$B$27/100)^E4</f>
        <v>0.810602796029956</v>
      </c>
      <c r="F20" s="0" t="n">
        <f aca="false">1/(1+$B$27/100)^F4</f>
        <v>0.755806802825134</v>
      </c>
      <c r="G20" s="0" t="n">
        <f aca="false">1/(1+$B$27/100)^G4</f>
        <v>0.704714967669123</v>
      </c>
      <c r="H20" s="0" t="n">
        <f aca="false">1/(1+$B$27/100)^H4</f>
        <v>0.657076892931583</v>
      </c>
      <c r="I20" s="0" t="n">
        <f aca="false">1/(1+$B$27/100)^I4</f>
        <v>0.612659107628516</v>
      </c>
      <c r="J20" s="0" t="n">
        <f aca="false">1/(1+$B$27/100)^J4</f>
        <v>0.571243923196751</v>
      </c>
      <c r="K20" s="0" t="n">
        <f aca="false">1/(1+$B$27/100)^K4</f>
        <v>0.532628366617017</v>
      </c>
      <c r="L20" s="0" t="n">
        <f aca="false">1/(1+$B$27/100)^L4</f>
        <v>0.496623185656893</v>
      </c>
    </row>
    <row r="21" customFormat="false" ht="15" hidden="false" customHeight="false" outlineLevel="0" collapsed="false">
      <c r="A21" s="0" t="s">
        <v>128</v>
      </c>
      <c r="C21" s="0" t="n">
        <f aca="false">C19*C20</f>
        <v>1792.07295664336</v>
      </c>
      <c r="D21" s="0" t="n">
        <f aca="false">D19*D20</f>
        <v>1880.99587426715</v>
      </c>
      <c r="E21" s="0" t="n">
        <f aca="false">E19*E20</f>
        <v>1771.2227868171</v>
      </c>
      <c r="F21" s="0" t="n">
        <f aca="false">F19*F20</f>
        <v>1858.13129584842</v>
      </c>
      <c r="G21" s="0" t="n">
        <f aca="false">G19*G20</f>
        <v>1941.67435928471</v>
      </c>
      <c r="H21" s="0" t="n">
        <f aca="false">H19*H20</f>
        <v>1963.70947506986</v>
      </c>
      <c r="I21" s="0" t="n">
        <f aca="false">I19*I20</f>
        <v>1966.14553141864</v>
      </c>
      <c r="J21" s="0" t="n">
        <f aca="false">J19*J20</f>
        <v>1917.01410708892</v>
      </c>
      <c r="K21" s="0" t="n">
        <f aca="false">K19*K20</f>
        <v>1860.88378505688</v>
      </c>
      <c r="L21" s="0" t="n">
        <f aca="false">L19*L20</f>
        <v>1769.79157180235</v>
      </c>
    </row>
    <row r="23" customFormat="false" ht="15" hidden="false" customHeight="false" outlineLevel="0" collapsed="false">
      <c r="A23" s="0" t="s">
        <v>104</v>
      </c>
      <c r="C23" s="4" t="n">
        <f aca="false">Assumptions!C30</f>
        <v>1.4</v>
      </c>
      <c r="D23" s="4" t="n">
        <f aca="false">Assumptions!D30</f>
        <v>1.4</v>
      </c>
      <c r="E23" s="4" t="n">
        <f aca="false">Assumptions!E30</f>
        <v>1.4</v>
      </c>
      <c r="F23" s="4" t="n">
        <f aca="false">Assumptions!F30</f>
        <v>1.4</v>
      </c>
      <c r="G23" s="4" t="n">
        <f aca="false">Assumptions!G30</f>
        <v>1.4</v>
      </c>
      <c r="H23" s="4" t="n">
        <f aca="false">Assumptions!H30</f>
        <v>1.4</v>
      </c>
      <c r="I23" s="4" t="n">
        <f aca="false">Assumptions!I30</f>
        <v>1.4</v>
      </c>
      <c r="J23" s="4" t="n">
        <f aca="false">Assumptions!J30</f>
        <v>1.4</v>
      </c>
      <c r="K23" s="4" t="n">
        <f aca="false">Assumptions!K30</f>
        <v>1.4</v>
      </c>
      <c r="L23" s="4" t="n">
        <f aca="false">Assumptions!L30</f>
        <v>1.4</v>
      </c>
    </row>
    <row r="24" customFormat="false" ht="15" hidden="false" customHeight="false" outlineLevel="0" collapsed="false">
      <c r="A24" s="0" t="s">
        <v>129</v>
      </c>
      <c r="C24" s="0" t="n">
        <f aca="false">-C6*C23/100</f>
        <v>-111.6143</v>
      </c>
      <c r="D24" s="0" t="n">
        <f aca="false">-D6*D23/100</f>
        <v>-116.078872</v>
      </c>
      <c r="E24" s="0" t="n">
        <f aca="false">-E6*E23/100</f>
        <v>-120.72202688</v>
      </c>
      <c r="F24" s="0" t="n">
        <f aca="false">-F6*F23/100</f>
        <v>-126.758128224</v>
      </c>
      <c r="G24" s="0" t="n">
        <f aca="false">-G6*G23/100</f>
        <v>-132.46224399408</v>
      </c>
      <c r="H24" s="0" t="n">
        <f aca="false">-H6*H23/100</f>
        <v>-138.423044973814</v>
      </c>
      <c r="I24" s="0" t="n">
        <f aca="false">-I6*I23/100</f>
        <v>-143.267851547897</v>
      </c>
      <c r="J24" s="0" t="n">
        <f aca="false">-J6*J23/100</f>
        <v>-147.565887094334</v>
      </c>
      <c r="K24" s="0" t="n">
        <f aca="false">-K6*K23/100</f>
        <v>-151.255034271692</v>
      </c>
      <c r="L24" s="0" t="n">
        <f aca="false">-L6*L23/100</f>
        <v>-154.280134957126</v>
      </c>
    </row>
    <row r="26" customFormat="false" ht="15" hidden="false" customHeight="false" outlineLevel="0" collapsed="false">
      <c r="A26" s="2" t="s">
        <v>130</v>
      </c>
    </row>
    <row r="27" customFormat="false" ht="15" hidden="false" customHeight="false" outlineLevel="0" collapsed="false">
      <c r="A27" s="0" t="s">
        <v>108</v>
      </c>
      <c r="B27" s="4" t="n">
        <f aca="false">Assumptions!$B$34</f>
        <v>7.25</v>
      </c>
    </row>
    <row r="28" customFormat="false" ht="15" hidden="false" customHeight="false" outlineLevel="0" collapsed="false">
      <c r="A28" s="0" t="s">
        <v>109</v>
      </c>
      <c r="B28" s="4" t="n">
        <f aca="false">Assumptions!$B$35</f>
        <v>2</v>
      </c>
    </row>
    <row r="29" customFormat="false" ht="15" hidden="false" customHeight="false" outlineLevel="0" collapsed="false">
      <c r="A29" s="0" t="s">
        <v>110</v>
      </c>
      <c r="B29" s="4" t="n">
        <f aca="false">Assumptions!$B$36</f>
        <v>17</v>
      </c>
    </row>
    <row r="30" customFormat="false" ht="15" hidden="false" customHeight="false" outlineLevel="0" collapsed="false">
      <c r="A30" s="0" t="s">
        <v>131</v>
      </c>
      <c r="B30" s="0" t="n">
        <f aca="false">SUM(C21:L21)</f>
        <v>18721.6417432974</v>
      </c>
    </row>
    <row r="31" customFormat="false" ht="15" hidden="false" customHeight="false" outlineLevel="0" collapsed="false">
      <c r="A31" s="0" t="s">
        <v>132</v>
      </c>
      <c r="B31" s="0" t="n">
        <f aca="false">L19</f>
        <v>3563.65071731682</v>
      </c>
    </row>
    <row r="32" customFormat="false" ht="15" hidden="false" customHeight="false" outlineLevel="0" collapsed="false">
      <c r="A32" s="0" t="s">
        <v>133</v>
      </c>
      <c r="B32" s="0" t="n">
        <f aca="false">IF(B27&gt;B28,B31*(1+B28/100)/((B27-B28)/100),B31*B29)</f>
        <v>69236.6425078696</v>
      </c>
    </row>
    <row r="33" customFormat="false" ht="15" hidden="false" customHeight="false" outlineLevel="0" collapsed="false">
      <c r="A33" s="0" t="s">
        <v>134</v>
      </c>
      <c r="B33" s="0" t="n">
        <f aca="false">B31*B29</f>
        <v>60582.0621943859</v>
      </c>
    </row>
    <row r="34" customFormat="false" ht="15" hidden="false" customHeight="false" outlineLevel="0" collapsed="false">
      <c r="A34" s="0" t="s">
        <v>135</v>
      </c>
      <c r="B34" s="0" t="n">
        <f aca="false">MAX(0,MIN(B32,B33))</f>
        <v>60582.0621943859</v>
      </c>
    </row>
    <row r="35" customFormat="false" ht="15" hidden="false" customHeight="false" outlineLevel="0" collapsed="false">
      <c r="A35" s="0" t="s">
        <v>136</v>
      </c>
      <c r="B35" s="0" t="n">
        <f aca="false">B34/(1+B27/100)^L4</f>
        <v>30086.4567206399</v>
      </c>
    </row>
    <row r="36" customFormat="false" ht="15" hidden="false" customHeight="false" outlineLevel="0" collapsed="false">
      <c r="A36" s="0" t="s">
        <v>137</v>
      </c>
      <c r="B36" s="0" t="n">
        <f aca="false">B30+B35</f>
        <v>48808.0984639373</v>
      </c>
    </row>
    <row r="37" customFormat="false" ht="15" hidden="false" customHeight="false" outlineLevel="0" collapsed="false">
      <c r="A37" s="0" t="s">
        <v>138</v>
      </c>
      <c r="B37" s="0" t="n">
        <f aca="false">B36+Assumptions!$B$5-Assumptions!$B$4</f>
        <v>33874.0984639373</v>
      </c>
    </row>
    <row r="38" customFormat="false" ht="15" hidden="false" customHeight="false" outlineLevel="0" collapsed="false">
      <c r="A38" s="0" t="s">
        <v>139</v>
      </c>
      <c r="B38" s="0" t="n">
        <f aca="false">B37/Assumptions!$B$3*Assumptions!$B$10</f>
        <v>58.2029183229164</v>
      </c>
    </row>
    <row r="39" customFormat="false" ht="15" hidden="false" customHeight="false" outlineLevel="0" collapsed="false">
      <c r="A39" s="0" t="s">
        <v>140</v>
      </c>
      <c r="B39" s="4" t="n">
        <f aca="false">B38/Assumptions!$B$2-1</f>
        <v>-0.138372785745132</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58.2029183229164</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27960.9517820243</v>
      </c>
    </row>
    <row r="47" customFormat="false" ht="15" hidden="false" customHeight="false" outlineLevel="0" collapsed="false">
      <c r="A47" s="0" t="s">
        <v>145</v>
      </c>
      <c r="B47" s="0" t="n">
        <f aca="false">(SUMPRODUCT(C19:L19/(1+B45/100)^C4:L4)+B46/(1+B45/100)^L4+Assumptions!$B$5-Assumptions!$B$4)/Assumptions!$B$3*Assumptions!$B$10</f>
        <v>8.53368165087617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4</v>
      </c>
      <c r="D5" s="4" t="n">
        <f aca="false">Assumptions!D41</f>
        <v>6</v>
      </c>
      <c r="E5" s="4" t="n">
        <f aca="false">Assumptions!E41</f>
        <v>6</v>
      </c>
      <c r="F5" s="4" t="n">
        <f aca="false">Assumptions!F41</f>
        <v>7</v>
      </c>
      <c r="G5" s="4" t="n">
        <f aca="false">Assumptions!G41</f>
        <v>6</v>
      </c>
      <c r="H5" s="4" t="n">
        <f aca="false">Assumptions!H41</f>
        <v>6</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37</v>
      </c>
      <c r="B6" s="3" t="n">
        <v>7778</v>
      </c>
      <c r="C6" s="0" t="n">
        <f aca="false">B6*(1+C5/100)</f>
        <v>8089.12</v>
      </c>
      <c r="D6" s="0" t="n">
        <f aca="false">C6*(1+D5/100)</f>
        <v>8574.4672</v>
      </c>
      <c r="E6" s="0" t="n">
        <f aca="false">D6*(1+E5/100)</f>
        <v>9088.935232</v>
      </c>
      <c r="F6" s="0" t="n">
        <f aca="false">E6*(1+F5/100)</f>
        <v>9725.16069824</v>
      </c>
      <c r="G6" s="0" t="n">
        <f aca="false">F6*(1+G5/100)</f>
        <v>10308.6703401344</v>
      </c>
      <c r="H6" s="0" t="n">
        <f aca="false">G6*(1+H5/100)</f>
        <v>10927.1905605425</v>
      </c>
      <c r="I6" s="0" t="n">
        <f aca="false">H6*(1+I5/100)</f>
        <v>11473.5500885696</v>
      </c>
      <c r="J6" s="0" t="n">
        <f aca="false">I6*(1+J5/100)</f>
        <v>11932.4920921124</v>
      </c>
      <c r="K6" s="0" t="n">
        <f aca="false">J6*(1+K5/100)</f>
        <v>12350.1293153363</v>
      </c>
      <c r="L6" s="0" t="n">
        <f aca="false">K6*(1+L5/100)</f>
        <v>12720.6331947964</v>
      </c>
    </row>
    <row r="7" customFormat="false" ht="15" hidden="false" customHeight="false" outlineLevel="0" collapsed="false">
      <c r="A7" s="0" t="s">
        <v>102</v>
      </c>
      <c r="C7" s="4" t="n">
        <f aca="false">Assumptions!C42</f>
        <v>53</v>
      </c>
      <c r="D7" s="4" t="n">
        <f aca="false">Assumptions!D42</f>
        <v>53.5</v>
      </c>
      <c r="E7" s="4" t="n">
        <f aca="false">Assumptions!E42</f>
        <v>54</v>
      </c>
      <c r="F7" s="4" t="n">
        <f aca="false">Assumptions!F42</f>
        <v>55</v>
      </c>
      <c r="G7" s="4" t="n">
        <f aca="false">Assumptions!G42</f>
        <v>55.5</v>
      </c>
      <c r="H7" s="4" t="n">
        <f aca="false">Assumptions!H42</f>
        <v>56</v>
      </c>
      <c r="I7" s="4" t="n">
        <f aca="false">Assumptions!I42</f>
        <v>56</v>
      </c>
      <c r="J7" s="4" t="n">
        <f aca="false">Assumptions!J42</f>
        <v>56</v>
      </c>
      <c r="K7" s="4" t="n">
        <f aca="false">Assumptions!K42</f>
        <v>56</v>
      </c>
      <c r="L7" s="4" t="n">
        <f aca="false">Assumptions!L42</f>
        <v>56</v>
      </c>
    </row>
    <row r="8" customFormat="false" ht="15" hidden="false" customHeight="false" outlineLevel="0" collapsed="false">
      <c r="A8" s="0" t="s">
        <v>43</v>
      </c>
      <c r="C8" s="0" t="n">
        <f aca="false">C6*C7/100</f>
        <v>4287.2336</v>
      </c>
      <c r="D8" s="0" t="n">
        <f aca="false">D6*D7/100</f>
        <v>4587.339952</v>
      </c>
      <c r="E8" s="0" t="n">
        <f aca="false">E6*E7/100</f>
        <v>4908.02502528</v>
      </c>
      <c r="F8" s="0" t="n">
        <f aca="false">F6*F7/100</f>
        <v>5348.838384032</v>
      </c>
      <c r="G8" s="0" t="n">
        <f aca="false">G6*G7/100</f>
        <v>5721.31203877459</v>
      </c>
      <c r="H8" s="0" t="n">
        <f aca="false">H6*H7/100</f>
        <v>6119.22671390378</v>
      </c>
      <c r="I8" s="0" t="n">
        <f aca="false">I6*I7/100</f>
        <v>6425.18804959897</v>
      </c>
      <c r="J8" s="0" t="n">
        <f aca="false">J6*J7/100</f>
        <v>6682.19557158293</v>
      </c>
      <c r="K8" s="0" t="n">
        <f aca="false">K6*K7/100</f>
        <v>6916.07241658833</v>
      </c>
      <c r="L8" s="0" t="n">
        <f aca="false">L6*L7/100</f>
        <v>7123.55458908598</v>
      </c>
    </row>
    <row r="9" customFormat="false" ht="15" hidden="false" customHeight="false" outlineLevel="0" collapsed="false">
      <c r="A9" s="0" t="s">
        <v>103</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4173.98592</v>
      </c>
      <c r="D11" s="0" t="n">
        <f aca="false">D8+D10+D24</f>
        <v>4467.2974112</v>
      </c>
      <c r="E11" s="0" t="n">
        <f aca="false">E8+E10+E24</f>
        <v>4780.779932032</v>
      </c>
      <c r="F11" s="0" t="n">
        <f aca="false">F8+F10+F24</f>
        <v>5212.68613425664</v>
      </c>
      <c r="G11" s="0" t="n">
        <f aca="false">G8+G10+G24</f>
        <v>5576.99065401271</v>
      </c>
      <c r="H11" s="0" t="n">
        <f aca="false">H8+H10+H24</f>
        <v>5966.24604605619</v>
      </c>
      <c r="I11" s="0" t="n">
        <f aca="false">I8+I10+I24</f>
        <v>6264.558348359</v>
      </c>
      <c r="J11" s="0" t="n">
        <f aca="false">J8+J10+J24</f>
        <v>6515.14068229336</v>
      </c>
      <c r="K11" s="0" t="n">
        <f aca="false">K8+K10+K24</f>
        <v>6743.17060617363</v>
      </c>
      <c r="L11" s="0" t="n">
        <f aca="false">L8+L10+L24</f>
        <v>6945.46572435883</v>
      </c>
    </row>
    <row r="12" customFormat="false" ht="15" hidden="false" customHeight="false" outlineLevel="0" collapsed="false">
      <c r="A12" s="0" t="s">
        <v>120</v>
      </c>
      <c r="C12" s="4" t="n">
        <f aca="false">-C6*Assumptions!C45/100</f>
        <v>-946.42704</v>
      </c>
      <c r="D12" s="4" t="n">
        <f aca="false">-D6*Assumptions!D45/100</f>
        <v>-994.6381952</v>
      </c>
      <c r="E12" s="4" t="n">
        <f aca="false">-E6*Assumptions!E45/100</f>
        <v>-1045.22755168</v>
      </c>
      <c r="F12" s="4" t="n">
        <f aca="false">-F6*Assumptions!F45/100</f>
        <v>-1108.66831959936</v>
      </c>
      <c r="G12" s="4" t="n">
        <f aca="false">-G6*Assumptions!G45/100</f>
        <v>-1164.87974843519</v>
      </c>
      <c r="H12" s="4" t="n">
        <f aca="false">-H6*Assumptions!H45/100</f>
        <v>-1223.84534278076</v>
      </c>
      <c r="I12" s="4" t="n">
        <f aca="false">-I6*Assumptions!I45/100</f>
        <v>-1273.56405983122</v>
      </c>
      <c r="J12" s="4" t="n">
        <f aca="false">-J6*Assumptions!J45/100</f>
        <v>-1312.57413013236</v>
      </c>
      <c r="K12" s="4" t="n">
        <f aca="false">-K6*Assumptions!K45/100</f>
        <v>-1358.51422468699</v>
      </c>
      <c r="L12" s="4" t="n">
        <f aca="false">-L6*Assumptions!L45/100</f>
        <v>-1399.2696514276</v>
      </c>
    </row>
    <row r="13" customFormat="false" ht="15" hidden="false" customHeight="false" outlineLevel="0" collapsed="false">
      <c r="A13" s="0" t="s">
        <v>121</v>
      </c>
      <c r="C13" s="0" t="n">
        <f aca="false">C11+C12</f>
        <v>3227.55888</v>
      </c>
      <c r="D13" s="0" t="n">
        <f aca="false">D11+D12</f>
        <v>3472.659216</v>
      </c>
      <c r="E13" s="0" t="n">
        <f aca="false">E11+E12</f>
        <v>3735.552380352</v>
      </c>
      <c r="F13" s="0" t="n">
        <f aca="false">F11+F12</f>
        <v>4104.01781465728</v>
      </c>
      <c r="G13" s="0" t="n">
        <f aca="false">G11+G12</f>
        <v>4412.11090557753</v>
      </c>
      <c r="H13" s="0" t="n">
        <f aca="false">H11+H12</f>
        <v>4742.40070327543</v>
      </c>
      <c r="I13" s="0" t="n">
        <f aca="false">I11+I12</f>
        <v>4990.99428852777</v>
      </c>
      <c r="J13" s="0" t="n">
        <f aca="false">J11+J12</f>
        <v>5202.566552161</v>
      </c>
      <c r="K13" s="0" t="n">
        <f aca="false">K11+K12</f>
        <v>5384.65638148663</v>
      </c>
      <c r="L13" s="0" t="n">
        <f aca="false">L11+L12</f>
        <v>5546.19607293123</v>
      </c>
    </row>
    <row r="14" customFormat="false" ht="15" hidden="false" customHeight="false" outlineLevel="0" collapsed="false">
      <c r="A14" s="0" t="s">
        <v>107</v>
      </c>
      <c r="C14" s="4" t="n">
        <f aca="false">Assumptions!C47</f>
        <v>17.5</v>
      </c>
      <c r="D14" s="4" t="n">
        <f aca="false">Assumptions!D47</f>
        <v>18.5</v>
      </c>
      <c r="E14" s="4" t="n">
        <f aca="false">Assumptions!E47</f>
        <v>19.5</v>
      </c>
      <c r="F14" s="4" t="n">
        <f aca="false">Assumptions!F47</f>
        <v>20.5</v>
      </c>
      <c r="G14" s="4" t="n">
        <f aca="false">Assumptions!G47</f>
        <v>21</v>
      </c>
      <c r="H14" s="4" t="n">
        <f aca="false">Assumptions!H47</f>
        <v>21.5</v>
      </c>
      <c r="I14" s="4" t="n">
        <f aca="false">Assumptions!I47</f>
        <v>21.5</v>
      </c>
      <c r="J14" s="4" t="n">
        <f aca="false">Assumptions!J47</f>
        <v>21.5</v>
      </c>
      <c r="K14" s="4" t="n">
        <f aca="false">Assumptions!K47</f>
        <v>21.5</v>
      </c>
      <c r="L14" s="4" t="n">
        <f aca="false">Assumptions!L47</f>
        <v>21.5</v>
      </c>
    </row>
    <row r="15" customFormat="false" ht="15" hidden="false" customHeight="false" outlineLevel="0" collapsed="false">
      <c r="A15" s="0" t="s">
        <v>122</v>
      </c>
      <c r="C15" s="0" t="n">
        <f aca="false">C13-MAX(0,C13)*C14/100</f>
        <v>2662.736076</v>
      </c>
      <c r="D15" s="0" t="n">
        <f aca="false">D13-MAX(0,D13)*D14/100</f>
        <v>2830.21726104</v>
      </c>
      <c r="E15" s="0" t="n">
        <f aca="false">E13-MAX(0,E13)*E14/100</f>
        <v>3007.11966618336</v>
      </c>
      <c r="F15" s="0" t="n">
        <f aca="false">F13-MAX(0,F13)*F14/100</f>
        <v>3262.69416265254</v>
      </c>
      <c r="G15" s="0" t="n">
        <f aca="false">G13-MAX(0,G13)*G14/100</f>
        <v>3485.56761540625</v>
      </c>
      <c r="H15" s="0" t="n">
        <f aca="false">H13-MAX(0,H13)*H14/100</f>
        <v>3722.78455207121</v>
      </c>
      <c r="I15" s="0" t="n">
        <f aca="false">I13-MAX(0,I13)*I14/100</f>
        <v>3917.9305164943</v>
      </c>
      <c r="J15" s="0" t="n">
        <f aca="false">J13-MAX(0,J13)*J14/100</f>
        <v>4084.01474344638</v>
      </c>
      <c r="K15" s="0" t="n">
        <f aca="false">K13-MAX(0,K13)*K14/100</f>
        <v>4226.95525946701</v>
      </c>
      <c r="L15" s="0" t="n">
        <f aca="false">L13-MAX(0,L13)*L14/100</f>
        <v>4353.76391725102</v>
      </c>
    </row>
    <row r="16" customFormat="false" ht="15" hidden="false" customHeight="false" outlineLevel="0" collapsed="false">
      <c r="A16" s="0" t="s">
        <v>123</v>
      </c>
      <c r="C16" s="0" t="n">
        <f aca="false">-C12</f>
        <v>946.42704</v>
      </c>
      <c r="D16" s="0" t="n">
        <f aca="false">-D12</f>
        <v>994.6381952</v>
      </c>
      <c r="E16" s="0" t="n">
        <f aca="false">-E12</f>
        <v>1045.22755168</v>
      </c>
      <c r="F16" s="0" t="n">
        <f aca="false">-F12</f>
        <v>1108.66831959936</v>
      </c>
      <c r="G16" s="0" t="n">
        <f aca="false">-G12</f>
        <v>1164.87974843519</v>
      </c>
      <c r="H16" s="0" t="n">
        <f aca="false">-H12</f>
        <v>1223.84534278076</v>
      </c>
      <c r="I16" s="0" t="n">
        <f aca="false">-I12</f>
        <v>1273.56405983122</v>
      </c>
      <c r="J16" s="0" t="n">
        <f aca="false">-J12</f>
        <v>1312.57413013236</v>
      </c>
      <c r="K16" s="0" t="n">
        <f aca="false">-K12</f>
        <v>1358.51422468699</v>
      </c>
      <c r="L16" s="0" t="n">
        <f aca="false">-L12</f>
        <v>1399.2696514276</v>
      </c>
    </row>
    <row r="17" customFormat="false" ht="15" hidden="false" customHeight="false" outlineLevel="0" collapsed="false">
      <c r="A17" s="0" t="s">
        <v>124</v>
      </c>
      <c r="C17" s="4" t="n">
        <f aca="false">-C6*Assumptions!C46/100</f>
        <v>-1617.824</v>
      </c>
      <c r="D17" s="4" t="n">
        <f aca="false">-D6*Assumptions!D46/100</f>
        <v>-1586.276432</v>
      </c>
      <c r="E17" s="4" t="n">
        <f aca="false">-E6*Assumptions!E46/100</f>
        <v>-1681.45301792</v>
      </c>
      <c r="F17" s="4" t="n">
        <f aca="false">-F6*Assumptions!F46/100</f>
        <v>-1701.903122192</v>
      </c>
      <c r="G17" s="4" t="n">
        <f aca="false">-G6*Assumptions!G46/100</f>
        <v>-1649.3872544215</v>
      </c>
      <c r="H17" s="4" t="n">
        <f aca="false">-H6*Assumptions!H46/100</f>
        <v>-1639.07858408137</v>
      </c>
      <c r="I17" s="4" t="n">
        <f aca="false">-I6*Assumptions!I46/100</f>
        <v>-1606.29701239974</v>
      </c>
      <c r="J17" s="4" t="n">
        <f aca="false">-J6*Assumptions!J46/100</f>
        <v>-1551.22397197461</v>
      </c>
      <c r="K17" s="4" t="n">
        <f aca="false">-K6*Assumptions!K46/100</f>
        <v>-1543.76616441704</v>
      </c>
      <c r="L17" s="4" t="n">
        <f aca="false">-L6*Assumptions!L46/100</f>
        <v>-1526.47598337557</v>
      </c>
    </row>
    <row r="18" customFormat="false" ht="15" hidden="false" customHeight="false" outlineLevel="0" collapsed="false">
      <c r="A18" s="0" t="s">
        <v>125</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126</v>
      </c>
      <c r="C19" s="0" t="n">
        <f aca="false">C15+C16+C17+C18</f>
        <v>1991.339116</v>
      </c>
      <c r="D19" s="0" t="n">
        <f aca="false">D15+D16+D17+D18</f>
        <v>2238.57902424</v>
      </c>
      <c r="E19" s="0" t="n">
        <f aca="false">E15+E16+E17+E18</f>
        <v>2370.89419994336</v>
      </c>
      <c r="F19" s="0" t="n">
        <f aca="false">F15+F16+F17+F18</f>
        <v>2669.4593600599</v>
      </c>
      <c r="G19" s="0" t="n">
        <f aca="false">G15+G16+G17+G18</f>
        <v>3001.06010941993</v>
      </c>
      <c r="H19" s="0" t="n">
        <f aca="false">H15+H16+H17+H18</f>
        <v>3307.5513107706</v>
      </c>
      <c r="I19" s="0" t="n">
        <f aca="false">I15+I16+I17+I18</f>
        <v>3585.19756392578</v>
      </c>
      <c r="J19" s="0" t="n">
        <f aca="false">J15+J16+J17+J18</f>
        <v>3845.36490160414</v>
      </c>
      <c r="K19" s="0" t="n">
        <f aca="false">K15+K16+K17+K18</f>
        <v>4041.70331973696</v>
      </c>
      <c r="L19" s="0" t="n">
        <f aca="false">L15+L16+L17+L18</f>
        <v>4226.55758530305</v>
      </c>
    </row>
    <row r="20" customFormat="false" ht="15" hidden="false" customHeight="false" outlineLevel="0" collapsed="false">
      <c r="A20" s="0" t="s">
        <v>127</v>
      </c>
      <c r="C20" s="0" t="n">
        <f aca="false">1/(1+$B$27/100)^C4</f>
        <v>0.932400932400932</v>
      </c>
      <c r="D20" s="0" t="n">
        <f aca="false">1/(1+$B$27/100)^D4</f>
        <v>0.869371498742128</v>
      </c>
      <c r="E20" s="0" t="n">
        <f aca="false">1/(1+$B$27/100)^E4</f>
        <v>0.810602796029956</v>
      </c>
      <c r="F20" s="0" t="n">
        <f aca="false">1/(1+$B$27/100)^F4</f>
        <v>0.755806802825134</v>
      </c>
      <c r="G20" s="0" t="n">
        <f aca="false">1/(1+$B$27/100)^G4</f>
        <v>0.704714967669123</v>
      </c>
      <c r="H20" s="0" t="n">
        <f aca="false">1/(1+$B$27/100)^H4</f>
        <v>0.657076892931583</v>
      </c>
      <c r="I20" s="0" t="n">
        <f aca="false">1/(1+$B$27/100)^I4</f>
        <v>0.612659107628516</v>
      </c>
      <c r="J20" s="0" t="n">
        <f aca="false">1/(1+$B$27/100)^J4</f>
        <v>0.571243923196751</v>
      </c>
      <c r="K20" s="0" t="n">
        <f aca="false">1/(1+$B$27/100)^K4</f>
        <v>0.532628366617017</v>
      </c>
      <c r="L20" s="0" t="n">
        <f aca="false">1/(1+$B$27/100)^L4</f>
        <v>0.496623185656893</v>
      </c>
    </row>
    <row r="21" customFormat="false" ht="15" hidden="false" customHeight="false" outlineLevel="0" collapsed="false">
      <c r="A21" s="0" t="s">
        <v>128</v>
      </c>
      <c r="C21" s="0" t="n">
        <f aca="false">C19*C20</f>
        <v>1856.72644848485</v>
      </c>
      <c r="D21" s="0" t="n">
        <f aca="false">D19*D20</f>
        <v>1946.15680135622</v>
      </c>
      <c r="E21" s="0" t="n">
        <f aca="false">E19*E20</f>
        <v>1921.85346756529</v>
      </c>
      <c r="F21" s="0" t="n">
        <f aca="false">F19*F20</f>
        <v>2017.5955441985</v>
      </c>
      <c r="G21" s="0" t="n">
        <f aca="false">G19*G20</f>
        <v>2114.89197798296</v>
      </c>
      <c r="H21" s="0" t="n">
        <f aca="false">H19*H20</f>
        <v>2173.31553849293</v>
      </c>
      <c r="I21" s="0" t="n">
        <f aca="false">I19*I20</f>
        <v>2196.5039401867</v>
      </c>
      <c r="J21" s="0" t="n">
        <f aca="false">J19*J20</f>
        <v>2196.64133251544</v>
      </c>
      <c r="K21" s="0" t="n">
        <f aca="false">K19*K20</f>
        <v>2152.72583754207</v>
      </c>
      <c r="L21" s="0" t="n">
        <f aca="false">L19*L20</f>
        <v>2099.00649237551</v>
      </c>
    </row>
    <row r="23" customFormat="false" ht="15" hidden="false" customHeight="false" outlineLevel="0" collapsed="false">
      <c r="A23" s="0" t="s">
        <v>104</v>
      </c>
      <c r="C23" s="4" t="n">
        <f aca="false">Assumptions!C44</f>
        <v>1.4</v>
      </c>
      <c r="D23" s="4" t="n">
        <f aca="false">Assumptions!D44</f>
        <v>1.4</v>
      </c>
      <c r="E23" s="4" t="n">
        <f aca="false">Assumptions!E44</f>
        <v>1.4</v>
      </c>
      <c r="F23" s="4" t="n">
        <f aca="false">Assumptions!F44</f>
        <v>1.4</v>
      </c>
      <c r="G23" s="4" t="n">
        <f aca="false">Assumptions!G44</f>
        <v>1.4</v>
      </c>
      <c r="H23" s="4" t="n">
        <f aca="false">Assumptions!H44</f>
        <v>1.4</v>
      </c>
      <c r="I23" s="4" t="n">
        <f aca="false">Assumptions!I44</f>
        <v>1.4</v>
      </c>
      <c r="J23" s="4" t="n">
        <f aca="false">Assumptions!J44</f>
        <v>1.4</v>
      </c>
      <c r="K23" s="4" t="n">
        <f aca="false">Assumptions!K44</f>
        <v>1.4</v>
      </c>
      <c r="L23" s="4" t="n">
        <f aca="false">Assumptions!L44</f>
        <v>1.4</v>
      </c>
    </row>
    <row r="24" customFormat="false" ht="15" hidden="false" customHeight="false" outlineLevel="0" collapsed="false">
      <c r="A24" s="0" t="s">
        <v>129</v>
      </c>
      <c r="C24" s="0" t="n">
        <f aca="false">-C6*C23/100</f>
        <v>-113.24768</v>
      </c>
      <c r="D24" s="0" t="n">
        <f aca="false">-D6*D23/100</f>
        <v>-120.0425408</v>
      </c>
      <c r="E24" s="0" t="n">
        <f aca="false">-E6*E23/100</f>
        <v>-127.245093248</v>
      </c>
      <c r="F24" s="0" t="n">
        <f aca="false">-F6*F23/100</f>
        <v>-136.15224977536</v>
      </c>
      <c r="G24" s="0" t="n">
        <f aca="false">-G6*G23/100</f>
        <v>-144.321384761882</v>
      </c>
      <c r="H24" s="0" t="n">
        <f aca="false">-H6*H23/100</f>
        <v>-152.980667847595</v>
      </c>
      <c r="I24" s="0" t="n">
        <f aca="false">-I6*I23/100</f>
        <v>-160.629701239974</v>
      </c>
      <c r="J24" s="0" t="n">
        <f aca="false">-J6*J23/100</f>
        <v>-167.054889289573</v>
      </c>
      <c r="K24" s="0" t="n">
        <f aca="false">-K6*K23/100</f>
        <v>-172.901810414708</v>
      </c>
      <c r="L24" s="0" t="n">
        <f aca="false">-L6*L23/100</f>
        <v>-178.08886472715</v>
      </c>
    </row>
    <row r="26" customFormat="false" ht="15" hidden="false" customHeight="false" outlineLevel="0" collapsed="false">
      <c r="A26" s="2" t="s">
        <v>130</v>
      </c>
    </row>
    <row r="27" customFormat="false" ht="15" hidden="false" customHeight="false" outlineLevel="0" collapsed="false">
      <c r="A27" s="0" t="s">
        <v>108</v>
      </c>
      <c r="B27" s="4" t="n">
        <f aca="false">Assumptions!$B$48</f>
        <v>7.25</v>
      </c>
    </row>
    <row r="28" customFormat="false" ht="15" hidden="false" customHeight="false" outlineLevel="0" collapsed="false">
      <c r="A28" s="0" t="s">
        <v>109</v>
      </c>
      <c r="B28" s="4" t="n">
        <f aca="false">Assumptions!$B$49</f>
        <v>2.5</v>
      </c>
    </row>
    <row r="29" customFormat="false" ht="15" hidden="false" customHeight="false" outlineLevel="0" collapsed="false">
      <c r="A29" s="0" t="s">
        <v>110</v>
      </c>
      <c r="B29" s="4" t="n">
        <f aca="false">Assumptions!$B$50</f>
        <v>19</v>
      </c>
    </row>
    <row r="30" customFormat="false" ht="15" hidden="false" customHeight="false" outlineLevel="0" collapsed="false">
      <c r="A30" s="0" t="s">
        <v>131</v>
      </c>
      <c r="B30" s="0" t="n">
        <f aca="false">SUM(C21:L21)</f>
        <v>20675.4173807005</v>
      </c>
    </row>
    <row r="31" customFormat="false" ht="15" hidden="false" customHeight="false" outlineLevel="0" collapsed="false">
      <c r="A31" s="0" t="s">
        <v>132</v>
      </c>
      <c r="B31" s="0" t="n">
        <f aca="false">L19</f>
        <v>4226.55758530305</v>
      </c>
    </row>
    <row r="32" customFormat="false" ht="15" hidden="false" customHeight="false" outlineLevel="0" collapsed="false">
      <c r="A32" s="0" t="s">
        <v>133</v>
      </c>
      <c r="B32" s="0" t="n">
        <f aca="false">IF(B27&gt;B28,B31*(1+B28/100)/((B27-B28)/100),B31*B29)</f>
        <v>91204.6636828554</v>
      </c>
    </row>
    <row r="33" customFormat="false" ht="15" hidden="false" customHeight="false" outlineLevel="0" collapsed="false">
      <c r="A33" s="0" t="s">
        <v>134</v>
      </c>
      <c r="B33" s="0" t="n">
        <f aca="false">B31*B29</f>
        <v>80304.594120758</v>
      </c>
    </row>
    <row r="34" customFormat="false" ht="15" hidden="false" customHeight="false" outlineLevel="0" collapsed="false">
      <c r="A34" s="0" t="s">
        <v>135</v>
      </c>
      <c r="B34" s="0" t="n">
        <f aca="false">MAX(0,MIN(B32,B33))</f>
        <v>80304.594120758</v>
      </c>
    </row>
    <row r="35" customFormat="false" ht="15" hidden="false" customHeight="false" outlineLevel="0" collapsed="false">
      <c r="A35" s="0" t="s">
        <v>136</v>
      </c>
      <c r="B35" s="0" t="n">
        <f aca="false">B34/(1+B27/100)^L4</f>
        <v>39881.1233551346</v>
      </c>
    </row>
    <row r="36" customFormat="false" ht="15" hidden="false" customHeight="false" outlineLevel="0" collapsed="false">
      <c r="A36" s="0" t="s">
        <v>137</v>
      </c>
      <c r="B36" s="0" t="n">
        <f aca="false">B30+B35</f>
        <v>60556.5407358351</v>
      </c>
    </row>
    <row r="37" customFormat="false" ht="15" hidden="false" customHeight="false" outlineLevel="0" collapsed="false">
      <c r="A37" s="0" t="s">
        <v>138</v>
      </c>
      <c r="B37" s="0" t="n">
        <f aca="false">B36+Assumptions!$B$5-Assumptions!$B$4</f>
        <v>45622.5407358351</v>
      </c>
    </row>
    <row r="38" customFormat="false" ht="15" hidden="false" customHeight="false" outlineLevel="0" collapsed="false">
      <c r="A38" s="0" t="s">
        <v>139</v>
      </c>
      <c r="B38" s="0" t="n">
        <f aca="false">B37/Assumptions!$B$3*Assumptions!$B$10</f>
        <v>78.3892452505757</v>
      </c>
    </row>
    <row r="39" customFormat="false" ht="15" hidden="false" customHeight="false" outlineLevel="0" collapsed="false">
      <c r="A39" s="0" t="s">
        <v>140</v>
      </c>
      <c r="B39" s="4" t="n">
        <f aca="false">B38/Assumptions!$B$2-1</f>
        <v>0.160462549971513</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78.3892452505757</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34657.772199485</v>
      </c>
    </row>
    <row r="47" customFormat="false" ht="15" hidden="false" customHeight="false" outlineLevel="0" collapsed="false">
      <c r="A47" s="0" t="s">
        <v>145</v>
      </c>
      <c r="B47" s="0" t="n">
        <f aca="false">(SUMPRODUCT(C19:L19/(1+B45/100)^C4:L4)+B46/(1+B45/100)^L4+Assumptions!$B$5-Assumptions!$B$4)/Assumptions!$B$3*Assumptions!$B$10</f>
        <v>13.5100415214706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28.9324391709262</v>
      </c>
      <c r="C4" s="0" t="n">
        <f aca="false">B4/Assumptions!$B$2-1</f>
        <v>-0.571688539290507</v>
      </c>
      <c r="D4" s="4" t="n">
        <f aca="false">Assumptions!$B$24</f>
        <v>0.2</v>
      </c>
      <c r="E4" s="4" t="n">
        <f aca="false">DCF_Bear!$B$43</f>
        <v>28.9324391709262</v>
      </c>
      <c r="F4" s="4" t="n">
        <f aca="false">DCF_Bear!$B$47</f>
        <v>0.370488751084534</v>
      </c>
    </row>
    <row r="5" customFormat="false" ht="15" hidden="false" customHeight="false" outlineLevel="0" collapsed="false">
      <c r="A5" s="0" t="s">
        <v>154</v>
      </c>
      <c r="B5" s="4" t="n">
        <f aca="false">DCF_Base!$B$38</f>
        <v>58.2029183229164</v>
      </c>
      <c r="C5" s="0" t="n">
        <f aca="false">B5/Assumptions!$B$2-1</f>
        <v>-0.138372785745132</v>
      </c>
      <c r="D5" s="4" t="n">
        <f aca="false">Assumptions!$B$38</f>
        <v>0.55</v>
      </c>
      <c r="E5" s="4" t="n">
        <f aca="false">DCF_Base!$B$43</f>
        <v>58.2029183229164</v>
      </c>
      <c r="F5" s="4" t="n">
        <f aca="false">DCF_Base!$B$47</f>
        <v>8.53368165087617</v>
      </c>
    </row>
    <row r="6" customFormat="false" ht="15" hidden="false" customHeight="false" outlineLevel="0" collapsed="false">
      <c r="A6" s="0" t="s">
        <v>155</v>
      </c>
      <c r="B6" s="4" t="n">
        <f aca="false">DCF_Bull!$B$38</f>
        <v>78.3892452505757</v>
      </c>
      <c r="C6" s="0" t="n">
        <f aca="false">B6/Assumptions!$B$2-1</f>
        <v>0.160462549971513</v>
      </c>
      <c r="D6" s="4" t="n">
        <f aca="false">Assumptions!$B$52</f>
        <v>0.25</v>
      </c>
      <c r="E6" s="4" t="n">
        <f aca="false">DCF_Bull!$B$43</f>
        <v>78.3892452505757</v>
      </c>
      <c r="F6" s="4" t="n">
        <f aca="false">DCF_Bull!$B$47</f>
        <v>13.5100415214706</v>
      </c>
    </row>
    <row r="8" customFormat="false" ht="15" hidden="false" customHeight="false" outlineLevel="0" collapsed="false">
      <c r="A8" s="0" t="s">
        <v>156</v>
      </c>
      <c r="B8" s="0" t="n">
        <f aca="false">SUMPRODUCT(B4:B6,D4:D6)</f>
        <v>57.3954042244332</v>
      </c>
    </row>
    <row r="9" customFormat="false" ht="15" hidden="false" customHeight="false" outlineLevel="0" collapsed="false">
      <c r="A9" s="0" t="s">
        <v>157</v>
      </c>
      <c r="B9" s="0" t="n">
        <f aca="false">SUMPRODUCT(E4:E6,D4:D6)</f>
        <v>57.3954042244332</v>
      </c>
    </row>
    <row r="10" customFormat="false" ht="15" hidden="false" customHeight="false" outlineLevel="0" collapsed="false">
      <c r="A10" s="0" t="s">
        <v>158</v>
      </c>
      <c r="B10" s="0" t="n">
        <f aca="false">1-Assumptions!$B$2/B8</f>
        <v>-0.176923499586471</v>
      </c>
    </row>
    <row r="11" customFormat="false" ht="15" hidden="false" customHeight="false" outlineLevel="0" collapsed="false">
      <c r="A11" s="0" t="s">
        <v>159</v>
      </c>
      <c r="B11" s="0" t="str">
        <f aca="false">IF(ABS(B9-B8)&gt;0.01*ABS(B8),(Assumptions!$B$2-B8)/(B9-B8)*100,"n/a")</f>
        <v>n/a</v>
      </c>
    </row>
    <row r="12" customFormat="false" ht="15" hidden="false" customHeight="false" outlineLevel="0" collapsed="false">
      <c r="A12" s="0" t="s">
        <v>160</v>
      </c>
      <c r="B12" s="0" t="n">
        <f aca="false">SUMPRODUCT(F4:F6,D4:D6)</f>
        <v>8.14513303856645</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58.2029183229164</v>
      </c>
      <c r="C15" s="3" t="n">
        <v>7.25</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41.4784017634931</v>
      </c>
      <c r="C16" s="3" t="n">
        <v>9</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32.4841211828564</v>
      </c>
      <c r="C17" s="3" t="n">
        <v>10</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25.5163448101669</v>
      </c>
      <c r="C18" s="3" t="n">
        <v>11</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19.9655048677567</v>
      </c>
      <c r="C19" s="3" t="n">
        <v>12</v>
      </c>
    </row>
    <row r="20" customFormat="false" ht="15" hidden="false" customHeight="false" outlineLevel="0" collapsed="false">
      <c r="A20" s="0" t="s">
        <v>168</v>
      </c>
      <c r="B20" s="0" t="n">
        <f aca="false">(SUMPRODUCT(DCF_Base!$C$19:$L$19/(1+$C$20/100)^DCF_Base!$C$4:$L$4)+MAX(0,MIN(IF($C$20&gt;DCF_Base!$B$28,DCF_Base!$L$19*(1+DCF_Base!$B$28/100)/(($C$20-DCF_Base!$B$28)/100),DCF_Base!$L$19*DCF_Base!$B$29),DCF_Base!$L$19*DCF_Base!$B$29))/(1+$C$20/100)^DCF_Base!$L$4+Assumptions!$B$5-Assumptions!$B$4)/Assumptions!$B$3*Assumptions!$B$10</f>
        <v>8.53368165087617</v>
      </c>
      <c r="C20" s="3" t="n">
        <v>15</v>
      </c>
    </row>
    <row r="22" customFormat="false" ht="15" hidden="false" customHeight="false" outlineLevel="0" collapsed="false">
      <c r="A22" s="2" t="s">
        <v>169</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5.25</v>
      </c>
      <c r="B24" s="0" t="n">
        <f aca="false">(SUMPRODUCT(DCF_Base!$C$19:$L$19/(1+$A$24/100)^DCF_Base!$C$4:$L$4)+MAX(0,MIN(IF($A$24&gt;$B$23,DCF_Base!$L$19*(1+$B$23/100)/(($A$24-$B$23)/100),DCF_Base!$L$19*DCF_Base!$B$29),DCF_Base!$L$19*DCF_Base!$B$29))/(1+$A$24/100)^DCF_Base!$L$4+Assumptions!$B$5-Assumptions!$B$4)/Assumptions!$B$3*Assumptions!$B$10</f>
        <v>72.4831386375668</v>
      </c>
      <c r="C24" s="0" t="n">
        <f aca="false">(SUMPRODUCT(DCF_Base!$C$19:$L$19/(1+$A$24/100)^DCF_Base!$C$4:$L$4)+MAX(0,MIN(IF($A$24&gt;$C$23,DCF_Base!$L$19*(1+$C$23/100)/(($A$24-$C$23)/100),DCF_Base!$L$19*DCF_Base!$B$29),DCF_Base!$L$19*DCF_Base!$B$29))/(1+$A$24/100)^DCF_Base!$L$4+Assumptions!$B$5-Assumptions!$B$4)/Assumptions!$B$3*Assumptions!$B$10</f>
        <v>72.4831386375668</v>
      </c>
      <c r="D24" s="0" t="n">
        <f aca="false">(SUMPRODUCT(DCF_Base!$C$19:$L$19/(1+$A$24/100)^DCF_Base!$C$4:$L$4)+MAX(0,MIN(IF($A$24&gt;$D$23,DCF_Base!$L$19*(1+$D$23/100)/(($A$24-$D$23)/100),DCF_Base!$L$19*DCF_Base!$B$29),DCF_Base!$L$19*DCF_Base!$B$29))/(1+$A$24/100)^DCF_Base!$L$4+Assumptions!$B$5-Assumptions!$B$4)/Assumptions!$B$3*Assumptions!$B$10</f>
        <v>72.4831386375668</v>
      </c>
      <c r="E24" s="0" t="n">
        <f aca="false">(SUMPRODUCT(DCF_Base!$C$19:$L$19/(1+$A$24/100)^DCF_Base!$C$4:$L$4)+MAX(0,MIN(IF($A$24&gt;$E$23,DCF_Base!$L$19*(1+$E$23/100)/(($A$24-$E$23)/100),DCF_Base!$L$19*DCF_Base!$B$29),DCF_Base!$L$19*DCF_Base!$B$29))/(1+$A$24/100)^DCF_Base!$L$4+Assumptions!$B$5-Assumptions!$B$4)/Assumptions!$B$3*Assumptions!$B$10</f>
        <v>72.4831386375668</v>
      </c>
      <c r="F24" s="0" t="n">
        <f aca="false">(SUMPRODUCT(DCF_Base!$C$19:$L$19/(1+$A$24/100)^DCF_Base!$C$4:$L$4)+MAX(0,MIN(IF($A$24&gt;$F$23,DCF_Base!$L$19*(1+$F$23/100)/(($A$24-$F$23)/100),DCF_Base!$L$19*DCF_Base!$B$29),DCF_Base!$L$19*DCF_Base!$B$29))/(1+$A$24/100)^DCF_Base!$L$4+Assumptions!$B$5-Assumptions!$B$4)/Assumptions!$B$3*Assumptions!$B$10</f>
        <v>72.4831386375668</v>
      </c>
    </row>
    <row r="25" customFormat="false" ht="15" hidden="false" customHeight="false" outlineLevel="0" collapsed="false">
      <c r="A25" s="3" t="n">
        <v>6.25</v>
      </c>
      <c r="B25" s="0" t="n">
        <f aca="false">(SUMPRODUCT(DCF_Base!$C$19:$L$19/(1+$A$25/100)^DCF_Base!$C$4:$L$4)+MAX(0,MIN(IF($A$25&gt;$B$23,DCF_Base!$L$19*(1+$B$23/100)/(($A$25-$B$23)/100),DCF_Base!$L$19*DCF_Base!$B$29),DCF_Base!$L$19*DCF_Base!$B$29))/(1+$A$25/100)^DCF_Base!$L$4+Assumptions!$B$5-Assumptions!$B$4)/Assumptions!$B$3*Assumptions!$B$10</f>
        <v>64.9986259420588</v>
      </c>
      <c r="C25" s="0" t="n">
        <f aca="false">(SUMPRODUCT(DCF_Base!$C$19:$L$19/(1+$A$25/100)^DCF_Base!$C$4:$L$4)+MAX(0,MIN(IF($A$25&gt;$C$23,DCF_Base!$L$19*(1+$C$23/100)/(($A$25-$C$23)/100),DCF_Base!$L$19*DCF_Base!$B$29),DCF_Base!$L$19*DCF_Base!$B$29))/(1+$A$25/100)^DCF_Base!$L$4+Assumptions!$B$5-Assumptions!$B$4)/Assumptions!$B$3*Assumptions!$B$10</f>
        <v>64.9986259420588</v>
      </c>
      <c r="D25" s="0" t="n">
        <f aca="false">(SUMPRODUCT(DCF_Base!$C$19:$L$19/(1+$A$25/100)^DCF_Base!$C$4:$L$4)+MAX(0,MIN(IF($A$25&gt;$D$23,DCF_Base!$L$19*(1+$D$23/100)/(($A$25-$D$23)/100),DCF_Base!$L$19*DCF_Base!$B$29),DCF_Base!$L$19*DCF_Base!$B$29))/(1+$A$25/100)^DCF_Base!$L$4+Assumptions!$B$5-Assumptions!$B$4)/Assumptions!$B$3*Assumptions!$B$10</f>
        <v>64.9986259420588</v>
      </c>
      <c r="E25" s="0" t="n">
        <f aca="false">(SUMPRODUCT(DCF_Base!$C$19:$L$19/(1+$A$25/100)^DCF_Base!$C$4:$L$4)+MAX(0,MIN(IF($A$25&gt;$E$23,DCF_Base!$L$19*(1+$E$23/100)/(($A$25-$E$23)/100),DCF_Base!$L$19*DCF_Base!$B$29),DCF_Base!$L$19*DCF_Base!$B$29))/(1+$A$25/100)^DCF_Base!$L$4+Assumptions!$B$5-Assumptions!$B$4)/Assumptions!$B$3*Assumptions!$B$10</f>
        <v>64.9986259420588</v>
      </c>
      <c r="F25" s="0" t="n">
        <f aca="false">(SUMPRODUCT(DCF_Base!$C$19:$L$19/(1+$A$25/100)^DCF_Base!$C$4:$L$4)+MAX(0,MIN(IF($A$25&gt;$F$23,DCF_Base!$L$19*(1+$F$23/100)/(($A$25-$F$23)/100),DCF_Base!$L$19*DCF_Base!$B$29),DCF_Base!$L$19*DCF_Base!$B$29))/(1+$A$25/100)^DCF_Base!$L$4+Assumptions!$B$5-Assumptions!$B$4)/Assumptions!$B$3*Assumptions!$B$10</f>
        <v>64.9986259420588</v>
      </c>
    </row>
    <row r="26" customFormat="false" ht="15" hidden="false" customHeight="false" outlineLevel="0" collapsed="false">
      <c r="A26" s="3" t="n">
        <v>7.25</v>
      </c>
      <c r="B26" s="0" t="n">
        <f aca="false">(SUMPRODUCT(DCF_Base!$C$19:$L$19/(1+$A$26/100)^DCF_Base!$C$4:$L$4)+MAX(0,MIN(IF($A$26&gt;$B$23,DCF_Base!$L$19*(1+$B$23/100)/(($A$26-$B$23)/100),DCF_Base!$L$19*DCF_Base!$B$29),DCF_Base!$L$19*DCF_Base!$B$29))/(1+$A$26/100)^DCF_Base!$L$4+Assumptions!$B$5-Assumptions!$B$4)/Assumptions!$B$3*Assumptions!$B$10</f>
        <v>55.6485799718614</v>
      </c>
      <c r="C26" s="0" t="n">
        <f aca="false">(SUMPRODUCT(DCF_Base!$C$19:$L$19/(1+$A$26/100)^DCF_Base!$C$4:$L$4)+MAX(0,MIN(IF($A$26&gt;$C$23,DCF_Base!$L$19*(1+$C$23/100)/(($A$26-$C$23)/100),DCF_Base!$L$19*DCF_Base!$B$29),DCF_Base!$L$19*DCF_Base!$B$29))/(1+$A$26/100)^DCF_Base!$L$4+Assumptions!$B$5-Assumptions!$B$4)/Assumptions!$B$3*Assumptions!$B$10</f>
        <v>58.2029183229164</v>
      </c>
      <c r="D26" s="0" t="n">
        <f aca="false">(SUMPRODUCT(DCF_Base!$C$19:$L$19/(1+$A$26/100)^DCF_Base!$C$4:$L$4)+MAX(0,MIN(IF($A$26&gt;$D$23,DCF_Base!$L$19*(1+$D$23/100)/(($A$26-$D$23)/100),DCF_Base!$L$19*DCF_Base!$B$29),DCF_Base!$L$19*DCF_Base!$B$29))/(1+$A$26/100)^DCF_Base!$L$4+Assumptions!$B$5-Assumptions!$B$4)/Assumptions!$B$3*Assumptions!$B$10</f>
        <v>58.2029183229164</v>
      </c>
      <c r="E26" s="0" t="n">
        <f aca="false">(SUMPRODUCT(DCF_Base!$C$19:$L$19/(1+$A$26/100)^DCF_Base!$C$4:$L$4)+MAX(0,MIN(IF($A$26&gt;$E$23,DCF_Base!$L$19*(1+$E$23/100)/(($A$26-$E$23)/100),DCF_Base!$L$19*DCF_Base!$B$29),DCF_Base!$L$19*DCF_Base!$B$29))/(1+$A$26/100)^DCF_Base!$L$4+Assumptions!$B$5-Assumptions!$B$4)/Assumptions!$B$3*Assumptions!$B$10</f>
        <v>58.2029183229164</v>
      </c>
      <c r="F26" s="0" t="n">
        <f aca="false">(SUMPRODUCT(DCF_Base!$C$19:$L$19/(1+$A$26/100)^DCF_Base!$C$4:$L$4)+MAX(0,MIN(IF($A$26&gt;$F$23,DCF_Base!$L$19*(1+$F$23/100)/(($A$26-$F$23)/100),DCF_Base!$L$19*DCF_Base!$B$29),DCF_Base!$L$19*DCF_Base!$B$29))/(1+$A$26/100)^DCF_Base!$L$4+Assumptions!$B$5-Assumptions!$B$4)/Assumptions!$B$3*Assumptions!$B$10</f>
        <v>58.2029183229164</v>
      </c>
    </row>
    <row r="27" customFormat="false" ht="15" hidden="false" customHeight="false" outlineLevel="0" collapsed="false">
      <c r="A27" s="3" t="n">
        <v>8.25</v>
      </c>
      <c r="B27" s="0" t="n">
        <f aca="false">(SUMPRODUCT(DCF_Base!$C$19:$L$19/(1+$A$27/100)^DCF_Base!$C$4:$L$4)+MAX(0,MIN(IF($A$27&gt;$B$23,DCF_Base!$L$19*(1+$B$23/100)/(($A$27-$B$23)/100),DCF_Base!$L$19*DCF_Base!$B$29),DCF_Base!$L$19*DCF_Base!$B$29))/(1+$A$27/100)^DCF_Base!$L$4+Assumptions!$B$5-Assumptions!$B$4)/Assumptions!$B$3*Assumptions!$B$10</f>
        <v>43.5201493148766</v>
      </c>
      <c r="C27" s="0" t="n">
        <f aca="false">(SUMPRODUCT(DCF_Base!$C$19:$L$19/(1+$A$27/100)^DCF_Base!$C$4:$L$4)+MAX(0,MIN(IF($A$27&gt;$C$23,DCF_Base!$L$19*(1+$C$23/100)/(($A$27-$C$23)/100),DCF_Base!$L$19*DCF_Base!$B$29),DCF_Base!$L$19*DCF_Base!$B$29))/(1+$A$27/100)^DCF_Base!$L$4+Assumptions!$B$5-Assumptions!$B$4)/Assumptions!$B$3*Assumptions!$B$10</f>
        <v>46.5852816254992</v>
      </c>
      <c r="D27" s="0" t="n">
        <f aca="false">(SUMPRODUCT(DCF_Base!$C$19:$L$19/(1+$A$27/100)^DCF_Base!$C$4:$L$4)+MAX(0,MIN(IF($A$27&gt;$D$23,DCF_Base!$L$19*(1+$D$23/100)/(($A$27-$D$23)/100),DCF_Base!$L$19*DCF_Base!$B$29),DCF_Base!$L$19*DCF_Base!$B$29))/(1+$A$27/100)^DCF_Base!$L$4+Assumptions!$B$5-Assumptions!$B$4)/Assumptions!$B$3*Assumptions!$B$10</f>
        <v>50.1408351058214</v>
      </c>
      <c r="E27" s="0" t="n">
        <f aca="false">(SUMPRODUCT(DCF_Base!$C$19:$L$19/(1+$A$27/100)^DCF_Base!$C$4:$L$4)+MAX(0,MIN(IF($A$27&gt;$E$23,DCF_Base!$L$19*(1+$E$23/100)/(($A$27-$E$23)/100),DCF_Base!$L$19*DCF_Base!$B$29),DCF_Base!$L$19*DCF_Base!$B$29))/(1+$A$27/100)^DCF_Base!$L$4+Assumptions!$B$5-Assumptions!$B$4)/Assumptions!$B$3*Assumptions!$B$10</f>
        <v>52.0253605647912</v>
      </c>
      <c r="F27" s="0" t="n">
        <f aca="false">(SUMPRODUCT(DCF_Base!$C$19:$L$19/(1+$A$27/100)^DCF_Base!$C$4:$L$4)+MAX(0,MIN(IF($A$27&gt;$F$23,DCF_Base!$L$19*(1+$F$23/100)/(($A$27-$F$23)/100),DCF_Base!$L$19*DCF_Base!$B$29),DCF_Base!$L$19*DCF_Base!$B$29))/(1+$A$27/100)^DCF_Base!$L$4+Assumptions!$B$5-Assumptions!$B$4)/Assumptions!$B$3*Assumptions!$B$10</f>
        <v>52.0253605647912</v>
      </c>
    </row>
    <row r="28" customFormat="false" ht="15" hidden="false" customHeight="false" outlineLevel="0" collapsed="false">
      <c r="A28" s="3" t="n">
        <v>9.25</v>
      </c>
      <c r="B28" s="0" t="n">
        <f aca="false">(SUMPRODUCT(DCF_Base!$C$19:$L$19/(1+$A$28/100)^DCF_Base!$C$4:$L$4)+MAX(0,MIN(IF($A$28&gt;$B$23,DCF_Base!$L$19*(1+$B$23/100)/(($A$28-$B$23)/100),DCF_Base!$L$19*DCF_Base!$B$29),DCF_Base!$L$19*DCF_Base!$B$29))/(1+$A$28/100)^DCF_Base!$L$4+Assumptions!$B$5-Assumptions!$B$4)/Assumptions!$B$3*Assumptions!$B$10</f>
        <v>34.3765694215395</v>
      </c>
      <c r="C28" s="0" t="n">
        <f aca="false">(SUMPRODUCT(DCF_Base!$C$19:$L$19/(1+$A$28/100)^DCF_Base!$C$4:$L$4)+MAX(0,MIN(IF($A$28&gt;$C$23,DCF_Base!$L$19*(1+$C$23/100)/(($A$28-$C$23)/100),DCF_Base!$L$19*DCF_Base!$B$29),DCF_Base!$L$19*DCF_Base!$B$29))/(1+$A$28/100)^DCF_Base!$L$4+Assumptions!$B$5-Assumptions!$B$4)/Assumptions!$B$3*Assumptions!$B$10</f>
        <v>36.5362697233051</v>
      </c>
      <c r="D28" s="0" t="n">
        <f aca="false">(SUMPRODUCT(DCF_Base!$C$19:$L$19/(1+$A$28/100)^DCF_Base!$C$4:$L$4)+MAX(0,MIN(IF($A$28&gt;$D$23,DCF_Base!$L$19*(1+$D$23/100)/(($A$28-$D$23)/100),DCF_Base!$L$19*DCF_Base!$B$29),DCF_Base!$L$19*DCF_Base!$B$29))/(1+$A$28/100)^DCF_Base!$L$4+Assumptions!$B$5-Assumptions!$B$4)/Assumptions!$B$3*Assumptions!$B$10</f>
        <v>38.9938597218661</v>
      </c>
      <c r="E28" s="0" t="n">
        <f aca="false">(SUMPRODUCT(DCF_Base!$C$19:$L$19/(1+$A$28/100)^DCF_Base!$C$4:$L$4)+MAX(0,MIN(IF($A$28&gt;$E$23,DCF_Base!$L$19*(1+$E$23/100)/(($A$28-$E$23)/100),DCF_Base!$L$19*DCF_Base!$B$29),DCF_Base!$L$19*DCF_Base!$B$29))/(1+$A$28/100)^DCF_Base!$L$4+Assumptions!$B$5-Assumptions!$B$4)/Assumptions!$B$3*Assumptions!$B$10</f>
        <v>41.8155371276212</v>
      </c>
      <c r="F28" s="0" t="n">
        <f aca="false">(SUMPRODUCT(DCF_Base!$C$19:$L$19/(1+$A$28/100)^DCF_Base!$C$4:$L$4)+MAX(0,MIN(IF($A$28&gt;$F$23,DCF_Base!$L$19*(1+$F$23/100)/(($A$28-$F$23)/100),DCF_Base!$L$19*DCF_Base!$B$29),DCF_Base!$L$19*DCF_Base!$B$29))/(1+$A$28/100)^DCF_Base!$L$4+Assumptions!$B$5-Assumptions!$B$4)/Assumptions!$B$3*Assumptions!$B$10</f>
        <v>45.0886829182972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2026-10-10T09:40:44Z</dcterms:created>
  <dc:creator>openpyxl</dc:creator>
  <dc:description/>
  <dc:language>en-NZ</dc:language>
  <cp:lastModifiedBy/>
  <dcterms:modified xsi:type="dcterms:W3CDTF">2026-10-10T09:40:44Z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