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<sst xmlns="http://schemas.openxmlformats.org/spreadsheetml/2006/main" count="359" uniqueCount="167">
  <si>
    <t xml:space="preserve">Ticker</t>
  </si>
  <si>
    <t xml:space="preserve">SGO.PA</t>
  </si>
  <si>
    <t xml:space="preserve">Company</t>
  </si>
  <si>
    <t xml:space="preserve">Compagnie de Saint-Gobain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</si>
  <si>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</si>
  <si>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</si>
  <si>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</si>
  <si>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</si>
  <si>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2026-10-23T15:37:25Z regular close (Euronext Paris, Friday); 52-week range 63.52-91.30</t>
  </si>
  <si>
    <t xml:space="preserve">Balance sheet date</t>
  </si>
  <si>
    <t xml:space="preserve">2025-06-30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</si>
  <si>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</si>
  <si>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</si>
  <si>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</si>
  <si>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</si>
  <si>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</si>
  <si>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</si>
  <si>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</si>
  <si>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</si>
  <si>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</si>
  <si>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</si>
  <si>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2026-10-25T19:46:07Z</t>
  </si>
  <si>
    <t xml:space="preserve">Drivers file</t>
  </si>
  <si>
    <t xml:space="preserve">SGO.PA_Drivers.json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</si>
  <si>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</si>
  <si>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</si>
  <si>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</si>
  <si>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Saint-Gobain is valued as a mature, moderately cyclical industrial compounder whose 2018-2025 portfolio rotation permanently lifted the margin and cash-conversion profile (EBITDA margin 15.5% vs ~11% pre-2018; ROCE 14% vs 10.7%). Value comes from a steady ~6-7% owner-FCF margin on ~EUR47-62bn of sales compounded at 3-4%, discounted at a EUR 8.3% WACC with the terminal multiple capped at 15x owner FCF. Leases are charged as an operating cost (principal + interest) and excluded from net debt; pensions, NCI and associates are bridged explicitly. The market price at ~6.3x EV/EBITDA (lease-inclusive) and ~10x recurring earnings sits well below the base case: the question the model poses is whether the post-2018 margin structure holds through a downturn, which is exactly what the bear case tests.
key_risks_to_valuation: Balance-sheet vintage: the EUR2.4bn H2 2025 net-debt reduction (worth ~EUR4.8/share) is a secondary-sourced roll-forward until the FY2025 URD is extracted; the FY2025 and H1 2026 flows likewise come from the Analysis JSON rather than filings.; Cyclical margin durability: every scenario assumes the EBITDA margin stays above 14%; FY2020 printed ~12% and the model has no sub-14% path.; Terminal-value weight: the 15x cap binds in base and bull, so ~55-60% of EV is terminal; a 13x cap (bear) is worth roughly EUR8/share on the base case.; FX translation: ~70% of sales are outside the eurozone; a strong EUR has cost 2-4pts of reported growth in 2024-26 and the growth paths carry only ~1pt of drag.; Unmodelled M&amp;A: the plan's ~EUR12bn growth-capex/M&amp;A envelope is assumed value-neutral; overpaying (or a transformational deal) is not in the paths.; US asbestos (DBMP Chapter 11 ring-fence) and EU carbon costs (ETS/CBAM on glass melting) are tail liabilities left to the bear weight rather than the bridge.</t>
  </si>
  <si>
    <t xml:space="preserve">Data sources</t>
  </si>
  <si>
    <t xml:space="preserve">price: Yahoo Finance chart API regular close at inputs.price_as_of; 52-week range 63.52-91.30 (make dcf-context).
financials: SGO.PA_Metrics.csv / metrics_normalized FY2016-FY2024 + H1 2025 (EUR millions); component lines from SGO.PA_Annual_FY2024.txt (EBITDA reconciliation L25770-25780, cash-flow statement L24239-24299, balance sheet L24108-24143, net-debt note L27700-27717, share buyback L24269, SBC L24347, NCI L24182) and SGO.PA_HalfYear_H1-2025.txt (net-debt note L2343-2349, diluted shares L643, pensions L584, lease cash L746-747); lease principal FY2019-23 from each URD's 'Diminution des dettes de loyers' line. FY2025 results (sales, EBITDA margin, FCF, net debt EUR10.4bn), H1 2026 results and FY2026 guidance ('EBITDA margin above 15%') from SGO.PA_Analysis.json, because those filings are not yet in Extracted/.
qualitative: SGO.PA_Analysis.json (2026-10-26): Lead &amp; Grow 2026-2030 plan targets, bull/bear axes, risk register.</t>
  </si>
  <si>
    <t xml:space="preserve">Scenario narrative: bear</t>
  </si>
  <si>
    <t xml:space="preserve">The new-build downturn deepens and spreads: US housing starts stay depressed, China new-build keeps shrinking, and the European recovery stalls, so sales fall 2% in 2026 and are flat in 2027. Pricing in commoditised insulation, plasterboard and mortars breaks under CRH/Holcim/Knauf competition and an energy-cost spike (2022-style) is only partly passed through, taking the EBITDA margin back to 14% (FY2023 was 14.6%, FY2020 ~12%). Integration of 24+ simultaneous acquisitions disappoints, management cuts capex to 4% to protect the balance sheet (net debt/EBITDA already 1.7x at H1 2025), and the DBMP asbestos ring-fence is challenged in court. Terminal growth 1.5% at a 13x cap.</t>
  </si>
  <si>
    <t xml:space="preserve">Scenario narrative: base</t>
  </si>
  <si>
    <t xml:space="preserve">Construction demand recovers slowly and unevenly: European renovation grinds higher from a multi-year trough, North American new-build stays soft until rates fall further, India/SE Asia/Australia (CSR) and construction chemicals (Fosroc, Cemix) outgrow the group. FY2026 is a flat, weather-dented year at the 'above 15%' EBITDA margin; from 2027 the Lead &amp; Grow plan delivers mid-single-digit local-currency growth with ~1pt lost to FX translation, and mix (construction chemicals at ~20% margin, synergies on EUR4.5bn of 2024-25 deals) lifts the EBITDA margin to 16.5%, the lower-middle of the 15-18% target. Capex stays at the guided 4.5% of sales; no further M&amp;A is counted. Owner FCF runs ~6-7% of sales, roughly EUR3bn today rising to ~EUR4.4bn by 2035.</t>
  </si>
  <si>
    <t xml:space="preserve">Scenario narrative: bull</t>
  </si>
  <si>
    <t xml:space="preserve">Rate cuts unlock the pent-up US and European new-build cycle in 2027-28 while energy-renovation programmes and decarbonisation rules (low-carbon plasterboard, glass, construction chemistry) pull demand toward Saint-Gobain's differentiated systems. Local-for-local manufacturing turns the tariff regime into share gains against importers. Growth runs at the top of the plan (5-5.5% for three years), the EBITDA margin reaches 17.5% (upper half of the 15-18% range) on construction-chemicals mix and CSR/Bailey synergies, and asset rotation keeps ROCE above 13%. Terminal growth 2.5%.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</si>
  <si>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</si>
  <si>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</si>
  <si>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</si>
  <si>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</si>
  <si>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</si>
  <si>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</si>
  <si>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</si>
  <si>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</si>
  <si>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</si>
  <si>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</si>
  <si>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</si>
  <si>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</si>
  <si>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</si>
  <si>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</si>
  <si>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</si>
  <si>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</si>
  <si>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</si>
  <si>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</si>
  <si>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</si>
  <si>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</si>
  <si>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</si>
  <si>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</si>
  <si>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</si>
  <si>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</si>
  <si>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</si>
  <si>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</si>
  <si>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</si>
  <si>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</si>
  <si>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NetIncomeInclNCI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</si>
  <si>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</si>
  <si>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</si>
  <si>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</si>
  <si>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</si>
  <si>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</si>
  <si>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</si>
  <si>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</si>
  <si>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</si>
  <si>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</si>
  <si>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</si>
  <si>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</si>
  <si>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</si>
  <si>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</si>
  <si>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</si>
  <si>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</si>
  <si>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</si>
  <si>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</si>
  <si>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</si>
  <si>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FY2025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</si>
  <si>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</si>
  <si>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</si>
  <si>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</si>
  <si>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</si>
  <si>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</si>
  <si>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</si>
  <si>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</si>
  <si>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</si>
  <si>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</si>
  <si>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</si>
  <si>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</si>
  <si>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</si>
  <si>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</si>
  <si>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</si>
  <si>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</si>
  <si>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</si>
  <si>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</si>
  <si>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</si>
  <si>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</si>
  <si>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</si>
  <si>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</si>
  <si>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</si>
  <si>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</si>
  <si>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</si>
  <si>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</si>
  <si>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</si>
  <si>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</si>
  <si>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</si>
  <si>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SGO.PA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</si>
  <si>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</si>
  <si>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</si>
  <si>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</si>
  <si>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</si>
  <si>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</si>
  <si>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</si>
  <si>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</si>
  <si>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</si>
  <si>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</si>
  <si>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</si>
  <si>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</si>
  <si>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</si>
  <si>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</si>
  <si>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</si>
  <si>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</si>
  <si>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</si>
  <si>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</si>
  <si>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</si>
  <si>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</si>
  <si>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</si>
  <si>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</si>
  <si>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</si>
  <si>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</si>
  <si>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</si>
  <si>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</si>
  <si>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</si>
  <si>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</si>
  <si>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</si>
  <si>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</si>
  <si>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</si>
  <si>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SGO.PA owner-FCF component DCF: base case (millions, EUR)</t>
  </si>
  <si>
    <t xml:space="preserve">SGO.PA owner-FCF component DCF: bull case (millions, EUR)</t>
  </si>
  <si>
    <t xml:space="preserve">SGO.PA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</si>
  <si>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</si>
  <si>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</si>
  <si>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</si>
  <si>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</si>
  <si>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</si>
  <si>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</si>
  <si>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</si>
  <si>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</si>
  <si>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</si>
  <si>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</si>
  <si>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</si>
  <si>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</si>
  <si>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</si>
  <si>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</si>
  <si>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8.3%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</si>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</sst>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66.92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39093</v>
      </c>
      <c r="C2" s="0" t="n">
        <v>29106</v>
      </c>
      <c r="D2" s="0" t="n">
        <v>9987</v>
      </c>
      <c r="E2" s="0" t="n">
        <v>25.5</v>
      </c>
      <c r="F2" s="0" t="n">
        <v>2818</v>
      </c>
      <c r="G2" s="0" t="n">
        <v>7.2</v>
      </c>
      <c r="I2" s="0" t="n">
        <v>1311</v>
      </c>
      <c r="J2" s="0" t="n">
        <v>3.4</v>
      </c>
      <c r="K2" s="0" t="n">
        <v>2.35</v>
      </c>
      <c r="L2" s="0" t="n">
        <v>1965</v>
      </c>
      <c r="M2" s="0" t="n">
        <v>1497</v>
      </c>
      <c r="N2" s="0" t="n">
        <v>468</v>
      </c>
      <c r="O2" s="0" t="n">
        <v>18765</v>
      </c>
      <c r="P2" s="0" t="n">
        <v>43767</v>
      </c>
      <c r="Q2" s="0" t="n">
        <v>24627</v>
      </c>
      <c r="R2" s="0" t="n">
        <v>9382</v>
      </c>
      <c r="S2" s="0" t="n">
        <v>3738</v>
      </c>
      <c r="T2" s="0" t="n">
        <v>557.163</v>
      </c>
      <c r="U2" s="0" t="n">
        <v>11</v>
      </c>
      <c r="AA2" s="0" t="s">
        <v>17</v>
      </c>
      <c r="AB2" s="0" t="s">
        <v>14</v>
      </c>
      <c r="AC2" s="0" t="n">
        <v>2.36</v>
      </c>
      <c r="AD2" s="0" t="n">
        <v>1352</v>
      </c>
    </row>
    <row r="3" customFormat="false" ht="15" hidden="false" customHeight="false" outlineLevel="0" collapsed="false">
      <c r="A3" s="0" t="s">
        <v>66</v>
      </c>
      <c r="B3" s="0" t="n">
        <v>40810</v>
      </c>
      <c r="C3" s="0" t="n">
        <v>30420</v>
      </c>
      <c r="D3" s="0" t="n">
        <v>10390</v>
      </c>
      <c r="E3" s="0" t="n">
        <v>25.5</v>
      </c>
      <c r="F3" s="0" t="n">
        <v>3028</v>
      </c>
      <c r="G3" s="0" t="n">
        <v>7.4</v>
      </c>
      <c r="I3" s="0" t="n">
        <v>1566</v>
      </c>
      <c r="J3" s="0" t="n">
        <v>3.8</v>
      </c>
      <c r="K3" s="0" t="n">
        <v>2.81</v>
      </c>
      <c r="L3" s="0" t="n">
        <v>2765</v>
      </c>
      <c r="M3" s="0" t="n">
        <v>1623</v>
      </c>
      <c r="N3" s="0" t="n">
        <v>1142</v>
      </c>
      <c r="O3" s="0" t="n">
        <v>18468</v>
      </c>
      <c r="P3" s="0" t="n">
        <v>42917</v>
      </c>
      <c r="Q3" s="0" t="n">
        <v>24065</v>
      </c>
      <c r="R3" s="0" t="n">
        <v>9239</v>
      </c>
      <c r="S3" s="0" t="n">
        <v>3284</v>
      </c>
      <c r="T3" s="0" t="n">
        <v>556.656</v>
      </c>
      <c r="U3" s="0" t="n">
        <v>17</v>
      </c>
      <c r="AA3" s="0" t="s">
        <v>17</v>
      </c>
      <c r="AB3" s="0" t="s">
        <v>14</v>
      </c>
      <c r="AC3" s="0" t="n">
        <v>2.83</v>
      </c>
      <c r="AD3" s="0" t="n">
        <v>1625</v>
      </c>
    </row>
    <row r="4" customFormat="false" ht="15" hidden="false" customHeight="false" outlineLevel="0" collapsed="false">
      <c r="A4" s="0" t="s">
        <v>67</v>
      </c>
      <c r="B4" s="0" t="n">
        <v>41774</v>
      </c>
      <c r="C4" s="0" t="n">
        <v>31172</v>
      </c>
      <c r="D4" s="0" t="n">
        <v>10602</v>
      </c>
      <c r="E4" s="0" t="n">
        <v>25.4</v>
      </c>
      <c r="F4" s="0" t="n">
        <v>3122</v>
      </c>
      <c r="G4" s="0" t="n">
        <v>7.5</v>
      </c>
      <c r="I4" s="0" t="n">
        <v>420</v>
      </c>
      <c r="J4" s="0" t="n">
        <v>1</v>
      </c>
      <c r="K4" s="0" t="n">
        <v>0.76</v>
      </c>
      <c r="L4" s="0" t="n">
        <v>2492</v>
      </c>
      <c r="M4" s="0" t="n">
        <v>1874</v>
      </c>
      <c r="N4" s="0" t="n">
        <v>618</v>
      </c>
      <c r="O4" s="0" t="n">
        <v>17931</v>
      </c>
      <c r="P4" s="0" t="n">
        <v>44042</v>
      </c>
      <c r="Q4" s="0" t="n">
        <v>25780</v>
      </c>
      <c r="R4" s="0" t="n">
        <v>10881</v>
      </c>
      <c r="S4" s="0" t="n">
        <v>2688</v>
      </c>
      <c r="T4" s="0" t="n">
        <v>550.016</v>
      </c>
      <c r="U4" s="0" t="n">
        <v>28</v>
      </c>
      <c r="AA4" s="0" t="s">
        <v>17</v>
      </c>
      <c r="AB4" s="0" t="s">
        <v>14</v>
      </c>
      <c r="AC4" s="0" t="n">
        <v>0.77</v>
      </c>
      <c r="AD4" s="0" t="n">
        <v>497</v>
      </c>
    </row>
    <row r="5" customFormat="false" ht="15" hidden="false" customHeight="false" outlineLevel="0" collapsed="false">
      <c r="A5" s="0" t="s">
        <v>68</v>
      </c>
      <c r="B5" s="0" t="n">
        <v>42573</v>
      </c>
      <c r="C5" s="0" t="n">
        <v>31717</v>
      </c>
      <c r="D5" s="0" t="n">
        <v>10856</v>
      </c>
      <c r="E5" s="0" t="n">
        <v>25.5</v>
      </c>
      <c r="F5" s="0" t="n">
        <v>3390</v>
      </c>
      <c r="G5" s="0" t="n">
        <v>8</v>
      </c>
      <c r="I5" s="0" t="n">
        <v>1406</v>
      </c>
      <c r="J5" s="0" t="n">
        <v>3.3</v>
      </c>
      <c r="K5" s="0" t="n">
        <v>2.58</v>
      </c>
      <c r="L5" s="0" t="n">
        <v>3804</v>
      </c>
      <c r="M5" s="0" t="n">
        <v>1848</v>
      </c>
      <c r="N5" s="0" t="n">
        <v>1956</v>
      </c>
      <c r="O5" s="0" t="n">
        <v>19416</v>
      </c>
      <c r="P5" s="0" t="n">
        <v>49983</v>
      </c>
      <c r="Q5" s="0" t="n">
        <v>30203</v>
      </c>
      <c r="R5" s="0" t="n">
        <v>12261</v>
      </c>
      <c r="S5" s="0" t="n">
        <v>4987</v>
      </c>
      <c r="T5" s="0" t="n">
        <v>545.16</v>
      </c>
      <c r="U5" s="0" t="n">
        <v>28</v>
      </c>
      <c r="AA5" s="0" t="s">
        <v>17</v>
      </c>
      <c r="AB5" s="0" t="s">
        <v>14</v>
      </c>
      <c r="AC5" s="0" t="n">
        <v>2.59</v>
      </c>
      <c r="AD5" s="0" t="n">
        <v>1454</v>
      </c>
    </row>
    <row r="6" customFormat="false" ht="15" hidden="false" customHeight="false" outlineLevel="0" collapsed="false">
      <c r="A6" s="0" t="s">
        <v>69</v>
      </c>
      <c r="B6" s="0" t="n">
        <v>38128</v>
      </c>
      <c r="C6" s="0" t="n">
        <v>28635</v>
      </c>
      <c r="D6" s="0" t="n">
        <v>9493</v>
      </c>
      <c r="E6" s="0" t="n">
        <v>24.9</v>
      </c>
      <c r="F6" s="0" t="n">
        <v>2855</v>
      </c>
      <c r="G6" s="0" t="n">
        <v>7.5</v>
      </c>
      <c r="I6" s="0" t="n">
        <v>456</v>
      </c>
      <c r="J6" s="0" t="n">
        <v>1.2</v>
      </c>
      <c r="K6" s="0" t="n">
        <v>0.85</v>
      </c>
      <c r="L6" s="0" t="n">
        <v>4711</v>
      </c>
      <c r="M6" s="0" t="n">
        <v>1290</v>
      </c>
      <c r="N6" s="0" t="n">
        <v>3421</v>
      </c>
      <c r="O6" s="0" t="n">
        <v>17892</v>
      </c>
      <c r="P6" s="0" t="n">
        <v>48626</v>
      </c>
      <c r="Q6" s="0" t="n">
        <v>30423</v>
      </c>
      <c r="R6" s="0" t="n">
        <v>12526</v>
      </c>
      <c r="S6" s="0" t="n">
        <v>8443</v>
      </c>
      <c r="T6" s="0" t="n">
        <v>539.325</v>
      </c>
      <c r="U6" s="0" t="n">
        <v>32</v>
      </c>
      <c r="AA6" s="0" t="s">
        <v>17</v>
      </c>
      <c r="AB6" s="0" t="s">
        <v>14</v>
      </c>
      <c r="AC6" s="0" t="n">
        <v>0.85</v>
      </c>
      <c r="AD6" s="0" t="n">
        <v>489</v>
      </c>
    </row>
    <row r="7" customFormat="false" ht="15" hidden="false" customHeight="false" outlineLevel="0" collapsed="false">
      <c r="A7" s="0" t="s">
        <v>70</v>
      </c>
      <c r="B7" s="0" t="n">
        <v>44160</v>
      </c>
      <c r="C7" s="0" t="n">
        <v>32440</v>
      </c>
      <c r="D7" s="0" t="n">
        <v>11720</v>
      </c>
      <c r="E7" s="0" t="n">
        <v>26.5</v>
      </c>
      <c r="F7" s="0" t="n">
        <v>4507</v>
      </c>
      <c r="G7" s="0" t="n">
        <v>10.2</v>
      </c>
      <c r="I7" s="0" t="n">
        <v>2521</v>
      </c>
      <c r="J7" s="0" t="n">
        <v>5.7</v>
      </c>
      <c r="K7" s="0" t="n">
        <v>4.76</v>
      </c>
      <c r="L7" s="0" t="n">
        <v>4439</v>
      </c>
      <c r="M7" s="0" t="n">
        <v>1441</v>
      </c>
      <c r="N7" s="0" t="n">
        <v>2998</v>
      </c>
      <c r="O7" s="0" t="n">
        <v>20715</v>
      </c>
      <c r="P7" s="0" t="n">
        <v>51584</v>
      </c>
      <c r="Q7" s="0" t="n">
        <v>30458</v>
      </c>
      <c r="R7" s="0" t="n">
        <v>11075</v>
      </c>
      <c r="S7" s="0" t="n">
        <v>6943</v>
      </c>
      <c r="T7" s="0" t="n">
        <v>529.905</v>
      </c>
      <c r="U7" s="0" t="n">
        <v>58</v>
      </c>
      <c r="AA7" s="0" t="s">
        <v>17</v>
      </c>
      <c r="AB7" s="0" t="s">
        <v>14</v>
      </c>
      <c r="AC7" s="0" t="n">
        <v>4.79</v>
      </c>
      <c r="AD7" s="0" t="n">
        <v>2614</v>
      </c>
    </row>
    <row r="8" customFormat="false" ht="15" hidden="false" customHeight="false" outlineLevel="0" collapsed="false">
      <c r="A8" s="0" t="s">
        <v>71</v>
      </c>
      <c r="B8" s="0" t="n">
        <v>51197</v>
      </c>
      <c r="C8" s="0" t="n">
        <v>38006</v>
      </c>
      <c r="D8" s="0" t="n">
        <v>13191</v>
      </c>
      <c r="E8" s="0" t="n">
        <v>25.8</v>
      </c>
      <c r="F8" s="0" t="n">
        <v>5337</v>
      </c>
      <c r="G8" s="0" t="n">
        <v>10.4</v>
      </c>
      <c r="I8" s="0" t="n">
        <v>3003</v>
      </c>
      <c r="J8" s="0" t="n">
        <v>5.9</v>
      </c>
      <c r="K8" s="0" t="n">
        <v>5.8</v>
      </c>
      <c r="L8" s="0" t="n">
        <v>5711</v>
      </c>
      <c r="M8" s="0" t="n">
        <v>1889</v>
      </c>
      <c r="N8" s="0" t="n">
        <v>3822</v>
      </c>
      <c r="O8" s="0" t="n">
        <v>22711</v>
      </c>
      <c r="P8" s="0" t="n">
        <v>55377</v>
      </c>
      <c r="Q8" s="0" t="n">
        <v>32223</v>
      </c>
      <c r="R8" s="0" t="n">
        <v>11445</v>
      </c>
      <c r="S8" s="0" t="n">
        <v>6134</v>
      </c>
      <c r="T8" s="0" t="n">
        <v>517.596</v>
      </c>
      <c r="U8" s="0" t="n">
        <v>43</v>
      </c>
      <c r="AA8" s="0" t="s">
        <v>17</v>
      </c>
      <c r="AB8" s="0" t="s">
        <v>14</v>
      </c>
      <c r="AC8" s="0" t="n">
        <v>5.84</v>
      </c>
      <c r="AD8" s="0" t="n">
        <v>3101</v>
      </c>
    </row>
    <row r="9" customFormat="false" ht="15" hidden="false" customHeight="false" outlineLevel="0" collapsed="false">
      <c r="A9" s="0" t="s">
        <v>72</v>
      </c>
      <c r="B9" s="0" t="n">
        <v>47944</v>
      </c>
      <c r="C9" s="0" t="n">
        <v>35109</v>
      </c>
      <c r="D9" s="0" t="n">
        <v>12835</v>
      </c>
      <c r="E9" s="0" t="n">
        <v>26.8</v>
      </c>
      <c r="F9" s="0" t="n">
        <v>5251</v>
      </c>
      <c r="G9" s="0" t="n">
        <v>11</v>
      </c>
      <c r="I9" s="0" t="n">
        <v>2669</v>
      </c>
      <c r="J9" s="0" t="n">
        <v>5.6</v>
      </c>
      <c r="K9" s="0" t="n">
        <v>5.23</v>
      </c>
      <c r="L9" s="0" t="n">
        <v>6035</v>
      </c>
      <c r="M9" s="0" t="n">
        <v>1971</v>
      </c>
      <c r="N9" s="0" t="n">
        <v>4064</v>
      </c>
      <c r="O9" s="0" t="n">
        <v>23273</v>
      </c>
      <c r="P9" s="0" t="n">
        <v>57299</v>
      </c>
      <c r="Q9" s="0" t="n">
        <v>33541</v>
      </c>
      <c r="R9" s="0" t="n">
        <v>13026</v>
      </c>
      <c r="S9" s="0" t="n">
        <v>8602</v>
      </c>
      <c r="T9" s="0" t="n">
        <v>510.459</v>
      </c>
      <c r="U9" s="0" t="n">
        <v>62</v>
      </c>
      <c r="AA9" s="0" t="s">
        <v>17</v>
      </c>
      <c r="AB9" s="0" t="s">
        <v>14</v>
      </c>
      <c r="AC9" s="0" t="n">
        <v>5.26</v>
      </c>
      <c r="AD9" s="0" t="n">
        <v>2756</v>
      </c>
    </row>
    <row r="10" customFormat="false" ht="15" hidden="false" customHeight="false" outlineLevel="0" collapsed="false">
      <c r="A10" s="0" t="s">
        <v>73</v>
      </c>
      <c r="B10" s="0" t="n">
        <v>46571</v>
      </c>
      <c r="C10" s="0" t="n">
        <v>33688</v>
      </c>
      <c r="D10" s="0" t="n">
        <v>12883</v>
      </c>
      <c r="E10" s="0" t="n">
        <v>27.7</v>
      </c>
      <c r="F10" s="0" t="n">
        <v>5304</v>
      </c>
      <c r="G10" s="0" t="n">
        <v>11.4</v>
      </c>
      <c r="I10" s="0" t="n">
        <v>2844</v>
      </c>
      <c r="J10" s="0" t="n">
        <v>6.1</v>
      </c>
      <c r="K10" s="0" t="n">
        <v>5.64</v>
      </c>
      <c r="L10" s="0" t="n">
        <v>5569</v>
      </c>
      <c r="M10" s="0" t="n">
        <v>2083</v>
      </c>
      <c r="N10" s="0" t="n">
        <v>3486</v>
      </c>
      <c r="O10" s="0" t="n">
        <v>25135</v>
      </c>
      <c r="P10" s="0" t="n">
        <v>61718</v>
      </c>
      <c r="Q10" s="0" t="n">
        <v>36070</v>
      </c>
      <c r="R10" s="0" t="n">
        <v>15060</v>
      </c>
      <c r="S10" s="0" t="n">
        <v>8460</v>
      </c>
      <c r="T10" s="0" t="n">
        <v>503.934</v>
      </c>
      <c r="U10" s="0" t="n">
        <v>72</v>
      </c>
      <c r="AA10" s="0" t="s">
        <v>17</v>
      </c>
      <c r="AB10" s="0" t="s">
        <v>14</v>
      </c>
      <c r="AC10" s="0" t="n">
        <v>5.69</v>
      </c>
      <c r="AD10" s="0" t="n">
        <v>2934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66.92</v>
      </c>
    </row>
    <row r="3" customFormat="false" ht="15" hidden="false" customHeight="false" outlineLevel="0" collapsed="false">
      <c r="A3" s="0" t="s">
        <v>77</v>
      </c>
      <c r="B3" s="3" t="n">
        <v>499</v>
      </c>
    </row>
    <row r="4" customFormat="false" ht="15" hidden="false" customHeight="false" outlineLevel="0" collapsed="false">
      <c r="A4" s="0" t="s">
        <v>78</v>
      </c>
      <c r="B4" s="3" t="n">
        <v>9732</v>
      </c>
    </row>
    <row r="5" customFormat="false" ht="15" hidden="false" customHeight="false" outlineLevel="0" collapsed="false">
      <c r="A5" s="0" t="s">
        <v>79</v>
      </c>
      <c r="B5" s="3" t="n">
        <v>1555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46500</v>
      </c>
    </row>
    <row r="8" customFormat="false" ht="15" hidden="false" customHeight="false" outlineLevel="0" collapsed="false">
      <c r="A8" s="0" t="s">
        <v>82</v>
      </c>
      <c r="B8" s="3" t="s">
        <v>83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-2</v>
      </c>
      <c r="D13" s="3" t="n">
        <v>0</v>
      </c>
      <c r="E13" s="3" t="n">
        <v>2</v>
      </c>
      <c r="F13" s="3" t="n">
        <v>2.5</v>
      </c>
      <c r="G13" s="3" t="n">
        <v>2.5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14.5</v>
      </c>
      <c r="D14" s="3" t="n">
        <v>14</v>
      </c>
      <c r="E14" s="3" t="n">
        <v>14</v>
      </c>
      <c r="F14" s="3" t="n">
        <v>14.2</v>
      </c>
      <c r="G14" s="3" t="n">
        <v>14.3</v>
      </c>
      <c r="H14" s="3" t="n">
        <v>14.5</v>
      </c>
      <c r="I14" s="3" t="n">
        <v>14.5</v>
      </c>
      <c r="J14" s="3" t="n">
        <v>14.5</v>
      </c>
      <c r="K14" s="3" t="n">
        <v>14.5</v>
      </c>
      <c r="L14" s="3" t="n">
        <v>14.5</v>
      </c>
    </row>
    <row r="15" customFormat="false" ht="15" hidden="false" customHeight="false" outlineLevel="0" collapsed="false">
      <c r="A15" s="0" t="s">
        <v>100</v>
      </c>
      <c r="C15" s="3" t="n">
        <v>0.15</v>
      </c>
      <c r="D15" s="3" t="n">
        <v>0.15</v>
      </c>
      <c r="E15" s="3" t="n">
        <v>0.15</v>
      </c>
      <c r="F15" s="3" t="n">
        <v>0.15</v>
      </c>
      <c r="G15" s="3" t="n">
        <v>0.15</v>
      </c>
      <c r="H15" s="3" t="n">
        <v>0.15</v>
      </c>
      <c r="I15" s="3" t="n">
        <v>0.15</v>
      </c>
      <c r="J15" s="3" t="n">
        <v>0.15</v>
      </c>
      <c r="K15" s="3" t="n">
        <v>0.15</v>
      </c>
      <c r="L15" s="3" t="n">
        <v>0.15</v>
      </c>
    </row>
    <row r="16" customFormat="false" ht="15" hidden="false" customHeight="false" outlineLevel="0" collapsed="false">
      <c r="A16" s="0" t="s">
        <v>101</v>
      </c>
      <c r="C16" s="3" t="n">
        <v>1.8</v>
      </c>
      <c r="D16" s="3" t="n">
        <v>1.8</v>
      </c>
      <c r="E16" s="3" t="n">
        <v>1.8</v>
      </c>
      <c r="F16" s="3" t="n">
        <v>1.8</v>
      </c>
      <c r="G16" s="3" t="n">
        <v>1.8</v>
      </c>
      <c r="H16" s="3" t="n">
        <v>1.8</v>
      </c>
      <c r="I16" s="3" t="n">
        <v>1.8</v>
      </c>
      <c r="J16" s="3" t="n">
        <v>1.8</v>
      </c>
      <c r="K16" s="3" t="n">
        <v>1.8</v>
      </c>
      <c r="L16" s="3" t="n">
        <v>1.8</v>
      </c>
    </row>
    <row r="17" customFormat="false" ht="15" hidden="false" customHeight="false" outlineLevel="0" collapsed="false">
      <c r="A17" s="0" t="s">
        <v>102</v>
      </c>
      <c r="C17" s="3" t="n">
        <v>3.05</v>
      </c>
      <c r="D17" s="3" t="n">
        <v>3.15</v>
      </c>
      <c r="E17" s="3" t="n">
        <v>3.2</v>
      </c>
      <c r="F17" s="3" t="n">
        <v>3.25</v>
      </c>
      <c r="G17" s="3" t="n">
        <v>3.3</v>
      </c>
      <c r="H17" s="3" t="n">
        <v>3.3</v>
      </c>
      <c r="I17" s="3" t="n">
        <v>3.3</v>
      </c>
      <c r="J17" s="3" t="n">
        <v>3.3</v>
      </c>
      <c r="K17" s="3" t="n">
        <v>3.3</v>
      </c>
      <c r="L17" s="3" t="n">
        <v>3.3</v>
      </c>
    </row>
    <row r="18" customFormat="false" ht="15" hidden="false" customHeight="false" outlineLevel="0" collapsed="false">
      <c r="A18" s="0" t="s">
        <v>103</v>
      </c>
      <c r="C18" s="3" t="n">
        <v>4.2</v>
      </c>
      <c r="D18" s="3" t="n">
        <v>4</v>
      </c>
      <c r="E18" s="3" t="n">
        <v>4</v>
      </c>
      <c r="F18" s="3" t="n">
        <v>4.2</v>
      </c>
      <c r="G18" s="3" t="n">
        <v>4.3</v>
      </c>
      <c r="H18" s="3" t="n">
        <v>4.3</v>
      </c>
      <c r="I18" s="3" t="n">
        <v>4.3</v>
      </c>
      <c r="J18" s="3" t="n">
        <v>4.3</v>
      </c>
      <c r="K18" s="3" t="n">
        <v>4.3</v>
      </c>
      <c r="L18" s="3" t="n">
        <v>4.3</v>
      </c>
    </row>
    <row r="19" customFormat="false" ht="15" hidden="false" customHeight="false" outlineLevel="0" collapsed="false">
      <c r="A19" s="0" t="s">
        <v>104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105</v>
      </c>
      <c r="B20" s="3" t="n">
        <v>8.3</v>
      </c>
    </row>
    <row r="21" customFormat="false" ht="15" hidden="false" customHeight="false" outlineLevel="0" collapsed="false">
      <c r="A21" s="0" t="s">
        <v>106</v>
      </c>
      <c r="B21" s="3" t="n">
        <v>1.5</v>
      </c>
    </row>
    <row r="22" customFormat="false" ht="15" hidden="false" customHeight="false" outlineLevel="0" collapsed="false">
      <c r="A22" s="0" t="s">
        <v>107</v>
      </c>
      <c r="B22" s="3" t="n">
        <v>13</v>
      </c>
    </row>
    <row r="23" customFormat="false" ht="15" hidden="false" customHeight="false" outlineLevel="0" collapsed="false">
      <c r="A23" s="0" t="s">
        <v>108</v>
      </c>
      <c r="B23" s="3" t="n">
        <v>-3.5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0.5</v>
      </c>
      <c r="D27" s="3" t="n">
        <v>3.5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</v>
      </c>
    </row>
    <row r="28" customFormat="false" ht="15" hidden="false" customHeight="false" outlineLevel="0" collapsed="false">
      <c r="A28" s="0" t="s">
        <v>99</v>
      </c>
      <c r="C28" s="3" t="n">
        <v>15.2</v>
      </c>
      <c r="D28" s="3" t="n">
        <v>15.5</v>
      </c>
      <c r="E28" s="3" t="n">
        <v>15.8</v>
      </c>
      <c r="F28" s="3" t="n">
        <v>16</v>
      </c>
      <c r="G28" s="3" t="n">
        <v>16.2</v>
      </c>
      <c r="H28" s="3" t="n">
        <v>16.3</v>
      </c>
      <c r="I28" s="3" t="n">
        <v>16.4</v>
      </c>
      <c r="J28" s="3" t="n">
        <v>16.5</v>
      </c>
      <c r="K28" s="3" t="n">
        <v>16.5</v>
      </c>
      <c r="L28" s="3" t="n">
        <v>16.5</v>
      </c>
    </row>
    <row r="29" customFormat="false" ht="15" hidden="false" customHeight="false" outlineLevel="0" collapsed="false">
      <c r="A29" s="0" t="s">
        <v>100</v>
      </c>
      <c r="C29" s="3" t="n">
        <v>0.15</v>
      </c>
      <c r="D29" s="3" t="n">
        <v>0.15</v>
      </c>
      <c r="E29" s="3" t="n">
        <v>0.15</v>
      </c>
      <c r="F29" s="3" t="n">
        <v>0.15</v>
      </c>
      <c r="G29" s="3" t="n">
        <v>0.15</v>
      </c>
      <c r="H29" s="3" t="n">
        <v>0.15</v>
      </c>
      <c r="I29" s="3" t="n">
        <v>0.15</v>
      </c>
      <c r="J29" s="3" t="n">
        <v>0.15</v>
      </c>
      <c r="K29" s="3" t="n">
        <v>0.15</v>
      </c>
      <c r="L29" s="3" t="n">
        <v>0.15</v>
      </c>
    </row>
    <row r="30" customFormat="false" ht="15" hidden="false" customHeight="false" outlineLevel="0" collapsed="false">
      <c r="A30" s="0" t="s">
        <v>101</v>
      </c>
      <c r="C30" s="3" t="n">
        <v>1.75</v>
      </c>
      <c r="D30" s="3" t="n">
        <v>1.75</v>
      </c>
      <c r="E30" s="3" t="n">
        <v>1.75</v>
      </c>
      <c r="F30" s="3" t="n">
        <v>1.75</v>
      </c>
      <c r="G30" s="3" t="n">
        <v>1.75</v>
      </c>
      <c r="H30" s="3" t="n">
        <v>1.75</v>
      </c>
      <c r="I30" s="3" t="n">
        <v>1.75</v>
      </c>
      <c r="J30" s="3" t="n">
        <v>1.75</v>
      </c>
      <c r="K30" s="3" t="n">
        <v>1.75</v>
      </c>
      <c r="L30" s="3" t="n">
        <v>1.75</v>
      </c>
    </row>
    <row r="31" customFormat="false" ht="15" hidden="false" customHeight="false" outlineLevel="0" collapsed="false">
      <c r="A31" s="0" t="s">
        <v>102</v>
      </c>
      <c r="C31" s="3" t="n">
        <v>3</v>
      </c>
      <c r="D31" s="3" t="n">
        <v>3.05</v>
      </c>
      <c r="E31" s="3" t="n">
        <v>3.1</v>
      </c>
      <c r="F31" s="3" t="n">
        <v>3.15</v>
      </c>
      <c r="G31" s="3" t="n">
        <v>3.2</v>
      </c>
      <c r="H31" s="3" t="n">
        <v>3.25</v>
      </c>
      <c r="I31" s="3" t="n">
        <v>3.3</v>
      </c>
      <c r="J31" s="3" t="n">
        <v>3.3</v>
      </c>
      <c r="K31" s="3" t="n">
        <v>3.3</v>
      </c>
      <c r="L31" s="3" t="n">
        <v>3.3</v>
      </c>
    </row>
    <row r="32" customFormat="false" ht="15" hidden="false" customHeight="false" outlineLevel="0" collapsed="false">
      <c r="A32" s="0" t="s">
        <v>103</v>
      </c>
      <c r="C32" s="3" t="n">
        <v>4.5</v>
      </c>
      <c r="D32" s="3" t="n">
        <v>4.5</v>
      </c>
      <c r="E32" s="3" t="n">
        <v>4.5</v>
      </c>
      <c r="F32" s="3" t="n">
        <v>4.5</v>
      </c>
      <c r="G32" s="3" t="n">
        <v>4.5</v>
      </c>
      <c r="H32" s="3" t="n">
        <v>4.5</v>
      </c>
      <c r="I32" s="3" t="n">
        <v>4.4</v>
      </c>
      <c r="J32" s="3" t="n">
        <v>4.4</v>
      </c>
      <c r="K32" s="3" t="n">
        <v>4.3</v>
      </c>
      <c r="L32" s="3" t="n">
        <v>4.3</v>
      </c>
    </row>
    <row r="33" customFormat="false" ht="15" hidden="false" customHeight="false" outlineLevel="0" collapsed="false">
      <c r="A33" s="0" t="s">
        <v>104</v>
      </c>
      <c r="C33" s="3" t="n">
        <v>26.5</v>
      </c>
      <c r="D33" s="3" t="n">
        <v>26.5</v>
      </c>
      <c r="E33" s="3" t="n">
        <v>26.5</v>
      </c>
      <c r="F33" s="3" t="n">
        <v>26.5</v>
      </c>
      <c r="G33" s="3" t="n">
        <v>26.5</v>
      </c>
      <c r="H33" s="3" t="n">
        <v>26.5</v>
      </c>
      <c r="I33" s="3" t="n">
        <v>26.5</v>
      </c>
      <c r="J33" s="3" t="n">
        <v>26.5</v>
      </c>
      <c r="K33" s="3" t="n">
        <v>26.5</v>
      </c>
      <c r="L33" s="3" t="n">
        <v>26.5</v>
      </c>
    </row>
    <row r="34" customFormat="false" ht="15" hidden="false" customHeight="false" outlineLevel="0" collapsed="false">
      <c r="A34" s="0" t="s">
        <v>105</v>
      </c>
      <c r="B34" s="3" t="n">
        <v>8.3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-3.5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1.5</v>
      </c>
      <c r="D41" s="3" t="n">
        <v>5</v>
      </c>
      <c r="E41" s="3" t="n">
        <v>5.5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99</v>
      </c>
      <c r="C42" s="3" t="n">
        <v>15.5</v>
      </c>
      <c r="D42" s="3" t="n">
        <v>16</v>
      </c>
      <c r="E42" s="3" t="n">
        <v>16.5</v>
      </c>
      <c r="F42" s="3" t="n">
        <v>17</v>
      </c>
      <c r="G42" s="3" t="n">
        <v>17.3</v>
      </c>
      <c r="H42" s="3" t="n">
        <v>17.5</v>
      </c>
      <c r="I42" s="3" t="n">
        <v>17.5</v>
      </c>
      <c r="J42" s="3" t="n">
        <v>17.5</v>
      </c>
      <c r="K42" s="3" t="n">
        <v>17.5</v>
      </c>
      <c r="L42" s="3" t="n">
        <v>17.5</v>
      </c>
    </row>
    <row r="43" customFormat="false" ht="15" hidden="false" customHeight="false" outlineLevel="0" collapsed="false">
      <c r="A43" s="0" t="s">
        <v>100</v>
      </c>
      <c r="C43" s="3" t="n">
        <v>0.15</v>
      </c>
      <c r="D43" s="3" t="n">
        <v>0.15</v>
      </c>
      <c r="E43" s="3" t="n">
        <v>0.15</v>
      </c>
      <c r="F43" s="3" t="n">
        <v>0.15</v>
      </c>
      <c r="G43" s="3" t="n">
        <v>0.15</v>
      </c>
      <c r="H43" s="3" t="n">
        <v>0.15</v>
      </c>
      <c r="I43" s="3" t="n">
        <v>0.15</v>
      </c>
      <c r="J43" s="3" t="n">
        <v>0.15</v>
      </c>
      <c r="K43" s="3" t="n">
        <v>0.15</v>
      </c>
      <c r="L43" s="3" t="n">
        <v>0.15</v>
      </c>
    </row>
    <row r="44" customFormat="false" ht="15" hidden="false" customHeight="false" outlineLevel="0" collapsed="false">
      <c r="A44" s="0" t="s">
        <v>101</v>
      </c>
      <c r="C44" s="3" t="n">
        <v>1.75</v>
      </c>
      <c r="D44" s="3" t="n">
        <v>1.75</v>
      </c>
      <c r="E44" s="3" t="n">
        <v>1.75</v>
      </c>
      <c r="F44" s="3" t="n">
        <v>1.75</v>
      </c>
      <c r="G44" s="3" t="n">
        <v>1.75</v>
      </c>
      <c r="H44" s="3" t="n">
        <v>1.75</v>
      </c>
      <c r="I44" s="3" t="n">
        <v>1.75</v>
      </c>
      <c r="J44" s="3" t="n">
        <v>1.75</v>
      </c>
      <c r="K44" s="3" t="n">
        <v>1.75</v>
      </c>
      <c r="L44" s="3" t="n">
        <v>1.75</v>
      </c>
    </row>
    <row r="45" customFormat="false" ht="15" hidden="false" customHeight="false" outlineLevel="0" collapsed="false">
      <c r="A45" s="0" t="s">
        <v>102</v>
      </c>
      <c r="C45" s="3" t="n">
        <v>3</v>
      </c>
      <c r="D45" s="3" t="n">
        <v>3.05</v>
      </c>
      <c r="E45" s="3" t="n">
        <v>3.1</v>
      </c>
      <c r="F45" s="3" t="n">
        <v>3.15</v>
      </c>
      <c r="G45" s="3" t="n">
        <v>3.2</v>
      </c>
      <c r="H45" s="3" t="n">
        <v>3.25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103</v>
      </c>
      <c r="C46" s="3" t="n">
        <v>4.6</v>
      </c>
      <c r="D46" s="3" t="n">
        <v>4.6</v>
      </c>
      <c r="E46" s="3" t="n">
        <v>4.6</v>
      </c>
      <c r="F46" s="3" t="n">
        <v>4.6</v>
      </c>
      <c r="G46" s="3" t="n">
        <v>4.6</v>
      </c>
      <c r="H46" s="3" t="n">
        <v>4.6</v>
      </c>
      <c r="I46" s="3" t="n">
        <v>4.5</v>
      </c>
      <c r="J46" s="3" t="n">
        <v>4.5</v>
      </c>
      <c r="K46" s="3" t="n">
        <v>4.4</v>
      </c>
      <c r="L46" s="3" t="n">
        <v>4.4</v>
      </c>
    </row>
    <row r="47" customFormat="false" ht="15" hidden="false" customHeight="false" outlineLevel="0" collapsed="false">
      <c r="A47" s="0" t="s">
        <v>104</v>
      </c>
      <c r="C47" s="3" t="n">
        <v>26.5</v>
      </c>
      <c r="D47" s="3" t="n">
        <v>26.5</v>
      </c>
      <c r="E47" s="3" t="n">
        <v>26.5</v>
      </c>
      <c r="F47" s="3" t="n">
        <v>26.5</v>
      </c>
      <c r="G47" s="3" t="n">
        <v>26.5</v>
      </c>
      <c r="H47" s="3" t="n">
        <v>26.5</v>
      </c>
      <c r="I47" s="3" t="n">
        <v>26.5</v>
      </c>
      <c r="J47" s="3" t="n">
        <v>26.5</v>
      </c>
      <c r="K47" s="3" t="n">
        <v>26.5</v>
      </c>
      <c r="L47" s="3" t="n">
        <v>26.5</v>
      </c>
    </row>
    <row r="48" customFormat="false" ht="15" hidden="false" customHeight="false" outlineLevel="0" collapsed="false">
      <c r="A48" s="0" t="s">
        <v>105</v>
      </c>
      <c r="B48" s="3" t="n">
        <v>8.3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-3.5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-2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46500</v>
      </c>
      <c r="C6" s="0" t="n">
        <f aca="false">B6*(1+C5/100)</f>
        <v>45570</v>
      </c>
      <c r="D6" s="0" t="n">
        <f aca="false">C6*(1+D5/100)</f>
        <v>45570</v>
      </c>
      <c r="E6" s="0" t="n">
        <f aca="false">D6*(1+E5/100)</f>
        <v>46481.4</v>
      </c>
      <c r="F6" s="0" t="n">
        <f aca="false">E6*(1+F5/100)</f>
        <v>47643.435</v>
      </c>
      <c r="G6" s="0" t="n">
        <f aca="false">F6*(1+G5/100)</f>
        <v>48834.520875</v>
      </c>
      <c r="H6" s="0" t="n">
        <f aca="false">G6*(1+H5/100)</f>
        <v>49811.2112925</v>
      </c>
      <c r="I6" s="0" t="n">
        <f aca="false">H6*(1+I5/100)</f>
        <v>50807.43551835</v>
      </c>
      <c r="J6" s="0" t="n">
        <f aca="false">I6*(1+J5/100)</f>
        <v>51823.584228717</v>
      </c>
      <c r="K6" s="0" t="n">
        <f aca="false">J6*(1+K5/100)</f>
        <v>52860.0559132913</v>
      </c>
      <c r="L6" s="0" t="n">
        <f aca="false">K6*(1+L5/100)</f>
        <v>53917.2570315572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14.5</v>
      </c>
      <c r="D7" s="4" t="n">
        <f aca="false">Assumptions!D14</f>
        <v>14</v>
      </c>
      <c r="E7" s="4" t="n">
        <f aca="false">Assumptions!E14</f>
        <v>14</v>
      </c>
      <c r="F7" s="4" t="n">
        <f aca="false">Assumptions!F14</f>
        <v>14.2</v>
      </c>
      <c r="G7" s="4" t="n">
        <f aca="false">Assumptions!G14</f>
        <v>14.3</v>
      </c>
      <c r="H7" s="4" t="n">
        <f aca="false">Assumptions!H14</f>
        <v>14.5</v>
      </c>
      <c r="I7" s="4" t="n">
        <f aca="false">Assumptions!I14</f>
        <v>14.5</v>
      </c>
      <c r="J7" s="4" t="n">
        <f aca="false">Assumptions!J14</f>
        <v>14.5</v>
      </c>
      <c r="K7" s="4" t="n">
        <f aca="false">Assumptions!K14</f>
        <v>14.5</v>
      </c>
      <c r="L7" s="4" t="n">
        <f aca="false">Assumptions!L14</f>
        <v>14.5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6607.65</v>
      </c>
      <c r="D8" s="0" t="n">
        <f aca="false">D6*D7/100</f>
        <v>6379.8</v>
      </c>
      <c r="E8" s="0" t="n">
        <f aca="false">E6*E7/100</f>
        <v>6507.396</v>
      </c>
      <c r="F8" s="0" t="n">
        <f aca="false">F6*F7/100</f>
        <v>6765.36777</v>
      </c>
      <c r="G8" s="0" t="n">
        <f aca="false">G6*G7/100</f>
        <v>6983.336485125</v>
      </c>
      <c r="H8" s="0" t="n">
        <f aca="false">H6*H7/100</f>
        <v>7222.6256374125</v>
      </c>
      <c r="I8" s="0" t="n">
        <f aca="false">I6*I7/100</f>
        <v>7367.07815016075</v>
      </c>
      <c r="J8" s="0" t="n">
        <f aca="false">J6*J7/100</f>
        <v>7514.41971316396</v>
      </c>
      <c r="K8" s="0" t="n">
        <f aca="false">K6*K7/100</f>
        <v>7664.70810742724</v>
      </c>
      <c r="L8" s="0" t="n">
        <f aca="false">L6*L7/100</f>
        <v>7818.00226957579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0.15</v>
      </c>
      <c r="D9" s="4" t="n">
        <f aca="false">Assumptions!D15</f>
        <v>0.15</v>
      </c>
      <c r="E9" s="4" t="n">
        <f aca="false">Assumptions!E15</f>
        <v>0.15</v>
      </c>
      <c r="F9" s="4" t="n">
        <f aca="false">Assumptions!F15</f>
        <v>0.15</v>
      </c>
      <c r="G9" s="4" t="n">
        <f aca="false">Assumptions!G15</f>
        <v>0.15</v>
      </c>
      <c r="H9" s="4" t="n">
        <f aca="false">Assumptions!H15</f>
        <v>0.15</v>
      </c>
      <c r="I9" s="4" t="n">
        <f aca="false">Assumptions!I15</f>
        <v>0.15</v>
      </c>
      <c r="J9" s="4" t="n">
        <f aca="false">Assumptions!J15</f>
        <v>0.15</v>
      </c>
      <c r="K9" s="4" t="n">
        <f aca="false">Assumptions!K15</f>
        <v>0.15</v>
      </c>
      <c r="L9" s="4" t="n">
        <f aca="false">Assumptions!L15</f>
        <v>0.15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-68.355</v>
      </c>
      <c r="D10" s="0" t="n">
        <f aca="false">-D6*D9/100</f>
        <v>-68.355</v>
      </c>
      <c r="E10" s="0" t="n">
        <f aca="false">-E6*E9/100</f>
        <v>-69.7221</v>
      </c>
      <c r="F10" s="0" t="n">
        <f aca="false">-F6*F9/100</f>
        <v>-71.4651525</v>
      </c>
      <c r="G10" s="0" t="n">
        <f aca="false">-G6*G9/100</f>
        <v>-73.2517813125</v>
      </c>
      <c r="H10" s="0" t="n">
        <f aca="false">-H6*H9/100</f>
        <v>-74.71681693875</v>
      </c>
      <c r="I10" s="0" t="n">
        <f aca="false">-I6*I9/100</f>
        <v>-76.211153277525</v>
      </c>
      <c r="J10" s="0" t="n">
        <f aca="false">-J6*J9/100</f>
        <v>-77.7353763430755</v>
      </c>
      <c r="K10" s="0" t="n">
        <f aca="false">-K6*K9/100</f>
        <v>-79.290083869937</v>
      </c>
      <c r="L10" s="0" t="n">
        <f aca="false">-L6*L9/100</f>
        <v>-80.8758855473357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5719.035</v>
      </c>
      <c r="D11" s="0" t="n">
        <f aca="false">D8+D10+D24</f>
        <v>5491.185</v>
      </c>
      <c r="E11" s="0" t="n">
        <f aca="false">E8+E10+E24</f>
        <v>5601.0087</v>
      </c>
      <c r="F11" s="0" t="n">
        <f aca="false">F8+F10+F24</f>
        <v>5836.3207875</v>
      </c>
      <c r="G11" s="0" t="n">
        <f aca="false">G8+G10+G24</f>
        <v>6031.0633280625</v>
      </c>
      <c r="H11" s="0" t="n">
        <f aca="false">H8+H10+H24</f>
        <v>6251.30701720875</v>
      </c>
      <c r="I11" s="0" t="n">
        <f aca="false">I8+I10+I24</f>
        <v>6376.33315755292</v>
      </c>
      <c r="J11" s="0" t="n">
        <f aca="false">J8+J10+J24</f>
        <v>6503.85982070398</v>
      </c>
      <c r="K11" s="0" t="n">
        <f aca="false">K8+K10+K24</f>
        <v>6633.93701711806</v>
      </c>
      <c r="L11" s="0" t="n">
        <f aca="false">L8+L10+L24</f>
        <v>6766.61575746042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-1389.885</v>
      </c>
      <c r="D12" s="4" t="n">
        <f aca="false">-D6*Assumptions!D17/100</f>
        <v>-1435.455</v>
      </c>
      <c r="E12" s="4" t="n">
        <f aca="false">-E6*Assumptions!E17/100</f>
        <v>-1487.4048</v>
      </c>
      <c r="F12" s="4" t="n">
        <f aca="false">-F6*Assumptions!F17/100</f>
        <v>-1548.4116375</v>
      </c>
      <c r="G12" s="4" t="n">
        <f aca="false">-G6*Assumptions!G17/100</f>
        <v>-1611.539188875</v>
      </c>
      <c r="H12" s="4" t="n">
        <f aca="false">-H6*Assumptions!H17/100</f>
        <v>-1643.7699726525</v>
      </c>
      <c r="I12" s="4" t="n">
        <f aca="false">-I6*Assumptions!I17/100</f>
        <v>-1676.64537210555</v>
      </c>
      <c r="J12" s="4" t="n">
        <f aca="false">-J6*Assumptions!J17/100</f>
        <v>-1710.17827954766</v>
      </c>
      <c r="K12" s="4" t="n">
        <f aca="false">-K6*Assumptions!K17/100</f>
        <v>-1744.38184513861</v>
      </c>
      <c r="L12" s="4" t="n">
        <f aca="false">-L6*Assumptions!L17/100</f>
        <v>-1779.26948204139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4329.15</v>
      </c>
      <c r="D13" s="0" t="n">
        <f aca="false">D11+D12</f>
        <v>4055.73</v>
      </c>
      <c r="E13" s="0" t="n">
        <f aca="false">E11+E12</f>
        <v>4113.6039</v>
      </c>
      <c r="F13" s="0" t="n">
        <f aca="false">F11+F12</f>
        <v>4287.90915</v>
      </c>
      <c r="G13" s="0" t="n">
        <f aca="false">G11+G12</f>
        <v>4419.5241391875</v>
      </c>
      <c r="H13" s="0" t="n">
        <f aca="false">H11+H12</f>
        <v>4607.53704455625</v>
      </c>
      <c r="I13" s="0" t="n">
        <f aca="false">I11+I12</f>
        <v>4699.68778544737</v>
      </c>
      <c r="J13" s="0" t="n">
        <f aca="false">J11+J12</f>
        <v>4793.68154115632</v>
      </c>
      <c r="K13" s="0" t="n">
        <f aca="false">K11+K12</f>
        <v>4889.55517197945</v>
      </c>
      <c r="L13" s="0" t="n">
        <f aca="false">L11+L12</f>
        <v>4987.34627541904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3160.2795</v>
      </c>
      <c r="D15" s="0" t="n">
        <f aca="false">D13-MAX(0,D13)*D14/100</f>
        <v>2960.6829</v>
      </c>
      <c r="E15" s="0" t="n">
        <f aca="false">E13-MAX(0,E13)*E14/100</f>
        <v>3002.930847</v>
      </c>
      <c r="F15" s="0" t="n">
        <f aca="false">F13-MAX(0,F13)*F14/100</f>
        <v>3130.1736795</v>
      </c>
      <c r="G15" s="0" t="n">
        <f aca="false">G13-MAX(0,G13)*G14/100</f>
        <v>3226.25262160688</v>
      </c>
      <c r="H15" s="0" t="n">
        <f aca="false">H13-MAX(0,H13)*H14/100</f>
        <v>3363.50204252606</v>
      </c>
      <c r="I15" s="0" t="n">
        <f aca="false">I13-MAX(0,I13)*I14/100</f>
        <v>3430.77208337658</v>
      </c>
      <c r="J15" s="0" t="n">
        <f aca="false">J13-MAX(0,J13)*J14/100</f>
        <v>3499.38752504411</v>
      </c>
      <c r="K15" s="0" t="n">
        <f aca="false">K13-MAX(0,K13)*K14/100</f>
        <v>3569.375275545</v>
      </c>
      <c r="L15" s="0" t="n">
        <f aca="false">L13-MAX(0,L13)*L14/100</f>
        <v>3640.7627810559</v>
      </c>
    </row>
    <row r="16" customFormat="false" ht="15" hidden="false" customHeight="false" outlineLevel="0" collapsed="false">
      <c r="A16" s="0" t="s">
        <v>120</v>
      </c>
      <c r="C16" s="0" t="n">
        <f aca="false">-C12</f>
        <v>1389.885</v>
      </c>
      <c r="D16" s="0" t="n">
        <f aca="false">-D12</f>
        <v>1435.455</v>
      </c>
      <c r="E16" s="0" t="n">
        <f aca="false">-E12</f>
        <v>1487.4048</v>
      </c>
      <c r="F16" s="0" t="n">
        <f aca="false">-F12</f>
        <v>1548.4116375</v>
      </c>
      <c r="G16" s="0" t="n">
        <f aca="false">-G12</f>
        <v>1611.539188875</v>
      </c>
      <c r="H16" s="0" t="n">
        <f aca="false">-H12</f>
        <v>1643.7699726525</v>
      </c>
      <c r="I16" s="0" t="n">
        <f aca="false">-I12</f>
        <v>1676.64537210555</v>
      </c>
      <c r="J16" s="0" t="n">
        <f aca="false">-J12</f>
        <v>1710.17827954766</v>
      </c>
      <c r="K16" s="0" t="n">
        <f aca="false">-K12</f>
        <v>1744.38184513861</v>
      </c>
      <c r="L16" s="0" t="n">
        <f aca="false">-L12</f>
        <v>1779.26948204139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-1913.94</v>
      </c>
      <c r="D17" s="4" t="n">
        <f aca="false">-D6*Assumptions!D18/100</f>
        <v>-1822.8</v>
      </c>
      <c r="E17" s="4" t="n">
        <f aca="false">-E6*Assumptions!E18/100</f>
        <v>-1859.256</v>
      </c>
      <c r="F17" s="4" t="n">
        <f aca="false">-F6*Assumptions!F18/100</f>
        <v>-2001.02427</v>
      </c>
      <c r="G17" s="4" t="n">
        <f aca="false">-G6*Assumptions!G18/100</f>
        <v>-2099.884397625</v>
      </c>
      <c r="H17" s="4" t="n">
        <f aca="false">-H6*Assumptions!H18/100</f>
        <v>-2141.8820855775</v>
      </c>
      <c r="I17" s="4" t="n">
        <f aca="false">-I6*Assumptions!I18/100</f>
        <v>-2184.71972728905</v>
      </c>
      <c r="J17" s="4" t="n">
        <f aca="false">-J6*Assumptions!J18/100</f>
        <v>-2228.41412183483</v>
      </c>
      <c r="K17" s="4" t="n">
        <f aca="false">-K6*Assumptions!K18/100</f>
        <v>-2272.98240427153</v>
      </c>
      <c r="L17" s="4" t="n">
        <f aca="false">-L6*Assumptions!L18/100</f>
        <v>-2318.44205235696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32.55</v>
      </c>
      <c r="D18" s="4" t="n">
        <f aca="false">(D6-C6)*Assumptions!$B$23/100</f>
        <v>-0</v>
      </c>
      <c r="E18" s="4" t="n">
        <f aca="false">(E6-D6)*Assumptions!$B$23/100</f>
        <v>-31.8990000000001</v>
      </c>
      <c r="F18" s="4" t="n">
        <f aca="false">(F6-E6)*Assumptions!$B$23/100</f>
        <v>-40.6712249999999</v>
      </c>
      <c r="G18" s="4" t="n">
        <f aca="false">(G6-F6)*Assumptions!$B$23/100</f>
        <v>-41.6880056249999</v>
      </c>
      <c r="H18" s="4" t="n">
        <f aca="false">(H6-G6)*Assumptions!$B$23/100</f>
        <v>-34.1841646125001</v>
      </c>
      <c r="I18" s="4" t="n">
        <f aca="false">(I6-H6)*Assumptions!$B$23/100</f>
        <v>-34.8678479047499</v>
      </c>
      <c r="J18" s="4" t="n">
        <f aca="false">(J6-I6)*Assumptions!$B$23/100</f>
        <v>-35.565204862845</v>
      </c>
      <c r="K18" s="4" t="n">
        <f aca="false">(K6-J6)*Assumptions!$B$23/100</f>
        <v>-36.2765089601019</v>
      </c>
      <c r="L18" s="4" t="n">
        <f aca="false">(L6-K6)*Assumptions!$B$23/100</f>
        <v>-37.0020391393039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2668.7745</v>
      </c>
      <c r="D19" s="0" t="n">
        <f aca="false">D15+D16+D17+D18</f>
        <v>2573.3379</v>
      </c>
      <c r="E19" s="0" t="n">
        <f aca="false">E15+E16+E17+E18</f>
        <v>2599.180647</v>
      </c>
      <c r="F19" s="0" t="n">
        <f aca="false">F15+F16+F17+F18</f>
        <v>2636.889822</v>
      </c>
      <c r="G19" s="0" t="n">
        <f aca="false">G15+G16+G17+G18</f>
        <v>2696.21940723188</v>
      </c>
      <c r="H19" s="0" t="n">
        <f aca="false">H15+H16+H17+H18</f>
        <v>2831.20576498856</v>
      </c>
      <c r="I19" s="0" t="n">
        <f aca="false">I15+I16+I17+I18</f>
        <v>2887.82988028833</v>
      </c>
      <c r="J19" s="0" t="n">
        <f aca="false">J15+J16+J17+J18</f>
        <v>2945.5864778941</v>
      </c>
      <c r="K19" s="0" t="n">
        <f aca="false">K15+K16+K17+K18</f>
        <v>3004.49820745198</v>
      </c>
      <c r="L19" s="0" t="n">
        <f aca="false">L15+L16+L17+L18</f>
        <v>3064.58817160102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0.923361034164358</v>
      </c>
      <c r="D20" s="0" t="n">
        <f aca="false">1/(1+$B$27/100)^D4</f>
        <v>0.852595599413073</v>
      </c>
      <c r="E20" s="0" t="n">
        <f aca="false">1/(1+$B$27/100)^E4</f>
        <v>0.787253554398036</v>
      </c>
      <c r="F20" s="0" t="n">
        <f aca="false">1/(1+$B$27/100)^F4</f>
        <v>0.726919256138538</v>
      </c>
      <c r="G20" s="0" t="n">
        <f aca="false">1/(1+$B$27/100)^G4</f>
        <v>0.671208916102066</v>
      </c>
      <c r="H20" s="0" t="n">
        <f aca="false">1/(1+$B$27/100)^H4</f>
        <v>0.619768158912342</v>
      </c>
      <c r="I20" s="0" t="n">
        <f aca="false">1/(1+$B$27/100)^I4</f>
        <v>0.57226976815544</v>
      </c>
      <c r="J20" s="0" t="n">
        <f aca="false">1/(1+$B$27/100)^J4</f>
        <v>0.528411604945005</v>
      </c>
      <c r="K20" s="0" t="n">
        <f aca="false">1/(1+$B$27/100)^K4</f>
        <v>0.487914686006468</v>
      </c>
      <c r="L20" s="0" t="n">
        <f aca="false">1/(1+$B$27/100)^L4</f>
        <v>0.450521409054911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2464.24238227147</v>
      </c>
      <c r="D21" s="0" t="n">
        <f aca="false">D19*D20</f>
        <v>2194.01656934288</v>
      </c>
      <c r="E21" s="0" t="n">
        <f aca="false">E19*E20</f>
        <v>2046.21420287334</v>
      </c>
      <c r="F21" s="0" t="n">
        <f aca="false">F19*F20</f>
        <v>1916.80598792752</v>
      </c>
      <c r="G21" s="0" t="n">
        <f aca="false">G19*G20</f>
        <v>1809.72650590146</v>
      </c>
      <c r="H21" s="0" t="n">
        <f aca="false">H19*H20</f>
        <v>1754.69118446897</v>
      </c>
      <c r="I21" s="0" t="n">
        <f aca="false">I19*I20</f>
        <v>1652.61773606496</v>
      </c>
      <c r="J21" s="0" t="n">
        <f aca="false">J19*J20</f>
        <v>1556.48207828833</v>
      </c>
      <c r="K21" s="0" t="n">
        <f aca="false">K19*K20</f>
        <v>1465.93879949593</v>
      </c>
      <c r="L21" s="0" t="n">
        <f aca="false">L19*L20</f>
        <v>1380.6625812427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1.8</v>
      </c>
      <c r="D23" s="4" t="n">
        <f aca="false">Assumptions!D16</f>
        <v>1.8</v>
      </c>
      <c r="E23" s="4" t="n">
        <f aca="false">Assumptions!E16</f>
        <v>1.8</v>
      </c>
      <c r="F23" s="4" t="n">
        <f aca="false">Assumptions!F16</f>
        <v>1.8</v>
      </c>
      <c r="G23" s="4" t="n">
        <f aca="false">Assumptions!G16</f>
        <v>1.8</v>
      </c>
      <c r="H23" s="4" t="n">
        <f aca="false">Assumptions!H16</f>
        <v>1.8</v>
      </c>
      <c r="I23" s="4" t="n">
        <f aca="false">Assumptions!I16</f>
        <v>1.8</v>
      </c>
      <c r="J23" s="4" t="n">
        <f aca="false">Assumptions!J16</f>
        <v>1.8</v>
      </c>
      <c r="K23" s="4" t="n">
        <f aca="false">Assumptions!K16</f>
        <v>1.8</v>
      </c>
      <c r="L23" s="4" t="n">
        <f aca="false">Assumptions!L16</f>
        <v>1.8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-820.26</v>
      </c>
      <c r="D24" s="0" t="n">
        <f aca="false">-D6*D23/100</f>
        <v>-820.26</v>
      </c>
      <c r="E24" s="0" t="n">
        <f aca="false">-E6*E23/100</f>
        <v>-836.6652</v>
      </c>
      <c r="F24" s="0" t="n">
        <f aca="false">-F6*F23/100</f>
        <v>-857.58183</v>
      </c>
      <c r="G24" s="0" t="n">
        <f aca="false">-G6*G23/100</f>
        <v>-879.02137575</v>
      </c>
      <c r="H24" s="0" t="n">
        <f aca="false">-H6*H23/100</f>
        <v>-896.601803265</v>
      </c>
      <c r="I24" s="0" t="n">
        <f aca="false">-I6*I23/100</f>
        <v>-914.5338393303</v>
      </c>
      <c r="J24" s="0" t="n">
        <f aca="false">-J6*J23/100</f>
        <v>-932.824516116906</v>
      </c>
      <c r="K24" s="0" t="n">
        <f aca="false">-K6*K23/100</f>
        <v>-951.481006439244</v>
      </c>
      <c r="L24" s="0" t="n">
        <f aca="false">-L6*L23/100</f>
        <v>-970.510626568029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8.3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18241.3980278776</v>
      </c>
    </row>
    <row r="31" customFormat="false" ht="15" hidden="false" customHeight="false" outlineLevel="0" collapsed="false">
      <c r="A31" s="0" t="s">
        <v>129</v>
      </c>
      <c r="B31" s="0" t="n">
        <f aca="false">L19</f>
        <v>3064.58817160102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45743.4852084564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39839.6462308133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39839.6462308133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17948.6135561552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36190.0115840327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28013.0115840327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56.1382997676006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-0.161113273048406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483.520963321249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543.865627707053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58.1971907315852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23041.1629198151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22.4974235284783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0.5</v>
      </c>
      <c r="D5" s="4" t="n">
        <f aca="false">Assumptions!D27</f>
        <v>3.5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46500</v>
      </c>
      <c r="C6" s="0" t="n">
        <f aca="false">B6*(1+C5/100)</f>
        <v>46732.5</v>
      </c>
      <c r="D6" s="0" t="n">
        <f aca="false">C6*(1+D5/100)</f>
        <v>48368.1375</v>
      </c>
      <c r="E6" s="0" t="n">
        <f aca="false">D6*(1+E5/100)</f>
        <v>50302.863</v>
      </c>
      <c r="F6" s="0" t="n">
        <f aca="false">E6*(1+F5/100)</f>
        <v>52314.97752</v>
      </c>
      <c r="G6" s="0" t="n">
        <f aca="false">F6*(1+G5/100)</f>
        <v>54146.0017332</v>
      </c>
      <c r="H6" s="0" t="n">
        <f aca="false">G6*(1+H5/100)</f>
        <v>55770.381785196</v>
      </c>
      <c r="I6" s="0" t="n">
        <f aca="false">H6*(1+I5/100)</f>
        <v>57443.4932387519</v>
      </c>
      <c r="J6" s="0" t="n">
        <f aca="false">I6*(1+J5/100)</f>
        <v>58879.5805697207</v>
      </c>
      <c r="K6" s="0" t="n">
        <f aca="false">J6*(1+K5/100)</f>
        <v>60351.5700839637</v>
      </c>
      <c r="L6" s="0" t="n">
        <f aca="false">K6*(1+L5/100)</f>
        <v>61558.601485643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15.2</v>
      </c>
      <c r="D7" s="4" t="n">
        <f aca="false">Assumptions!D28</f>
        <v>15.5</v>
      </c>
      <c r="E7" s="4" t="n">
        <f aca="false">Assumptions!E28</f>
        <v>15.8</v>
      </c>
      <c r="F7" s="4" t="n">
        <f aca="false">Assumptions!F28</f>
        <v>16</v>
      </c>
      <c r="G7" s="4" t="n">
        <f aca="false">Assumptions!G28</f>
        <v>16.2</v>
      </c>
      <c r="H7" s="4" t="n">
        <f aca="false">Assumptions!H28</f>
        <v>16.3</v>
      </c>
      <c r="I7" s="4" t="n">
        <f aca="false">Assumptions!I28</f>
        <v>16.4</v>
      </c>
      <c r="J7" s="4" t="n">
        <f aca="false">Assumptions!J28</f>
        <v>16.5</v>
      </c>
      <c r="K7" s="4" t="n">
        <f aca="false">Assumptions!K28</f>
        <v>16.5</v>
      </c>
      <c r="L7" s="4" t="n">
        <f aca="false">Assumptions!L28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7103.34</v>
      </c>
      <c r="D8" s="0" t="n">
        <f aca="false">D6*D7/100</f>
        <v>7497.0613125</v>
      </c>
      <c r="E8" s="0" t="n">
        <f aca="false">E6*E7/100</f>
        <v>7947.852354</v>
      </c>
      <c r="F8" s="0" t="n">
        <f aca="false">F6*F7/100</f>
        <v>8370.3964032</v>
      </c>
      <c r="G8" s="0" t="n">
        <f aca="false">G6*G7/100</f>
        <v>8771.6522807784</v>
      </c>
      <c r="H8" s="0" t="n">
        <f aca="false">H6*H7/100</f>
        <v>9090.57223098695</v>
      </c>
      <c r="I8" s="0" t="n">
        <f aca="false">I6*I7/100</f>
        <v>9420.73289115531</v>
      </c>
      <c r="J8" s="0" t="n">
        <f aca="false">J6*J7/100</f>
        <v>9715.13079400391</v>
      </c>
      <c r="K8" s="0" t="n">
        <f aca="false">K6*K7/100</f>
        <v>9958.00906385401</v>
      </c>
      <c r="L8" s="0" t="n">
        <f aca="false">L6*L7/100</f>
        <v>10157.1692451311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0.15</v>
      </c>
      <c r="D9" s="4" t="n">
        <f aca="false">Assumptions!D29</f>
        <v>0.15</v>
      </c>
      <c r="E9" s="4" t="n">
        <f aca="false">Assumptions!E29</f>
        <v>0.15</v>
      </c>
      <c r="F9" s="4" t="n">
        <f aca="false">Assumptions!F29</f>
        <v>0.15</v>
      </c>
      <c r="G9" s="4" t="n">
        <f aca="false">Assumptions!G29</f>
        <v>0.15</v>
      </c>
      <c r="H9" s="4" t="n">
        <f aca="false">Assumptions!H29</f>
        <v>0.15</v>
      </c>
      <c r="I9" s="4" t="n">
        <f aca="false">Assumptions!I29</f>
        <v>0.15</v>
      </c>
      <c r="J9" s="4" t="n">
        <f aca="false">Assumptions!J29</f>
        <v>0.15</v>
      </c>
      <c r="K9" s="4" t="n">
        <f aca="false">Assumptions!K29</f>
        <v>0.15</v>
      </c>
      <c r="L9" s="4" t="n">
        <f aca="false">Assumptions!L29</f>
        <v>0.15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-70.09875</v>
      </c>
      <c r="D10" s="0" t="n">
        <f aca="false">-D6*D9/100</f>
        <v>-72.55220625</v>
      </c>
      <c r="E10" s="0" t="n">
        <f aca="false">-E6*E9/100</f>
        <v>-75.4542945</v>
      </c>
      <c r="F10" s="0" t="n">
        <f aca="false">-F6*F9/100</f>
        <v>-78.47246628</v>
      </c>
      <c r="G10" s="0" t="n">
        <f aca="false">-G6*G9/100</f>
        <v>-81.2190025998</v>
      </c>
      <c r="H10" s="0" t="n">
        <f aca="false">-H6*H9/100</f>
        <v>-83.655572677794</v>
      </c>
      <c r="I10" s="0" t="n">
        <f aca="false">-I6*I9/100</f>
        <v>-86.1652398581278</v>
      </c>
      <c r="J10" s="0" t="n">
        <f aca="false">-J6*J9/100</f>
        <v>-88.319370854581</v>
      </c>
      <c r="K10" s="0" t="n">
        <f aca="false">-K6*K9/100</f>
        <v>-90.5273551259455</v>
      </c>
      <c r="L10" s="0" t="n">
        <f aca="false">-L6*L9/100</f>
        <v>-92.3379022284644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6215.4225</v>
      </c>
      <c r="D11" s="0" t="n">
        <f aca="false">D8+D10+D24</f>
        <v>6578.0667</v>
      </c>
      <c r="E11" s="0" t="n">
        <f aca="false">E8+E10+E24</f>
        <v>6992.097957</v>
      </c>
      <c r="F11" s="0" t="n">
        <f aca="false">F8+F10+F24</f>
        <v>7376.41183032</v>
      </c>
      <c r="G11" s="0" t="n">
        <f aca="false">G8+G10+G24</f>
        <v>7742.8782478476</v>
      </c>
      <c r="H11" s="0" t="n">
        <f aca="false">H8+H10+H24</f>
        <v>8030.93497706822</v>
      </c>
      <c r="I11" s="0" t="n">
        <f aca="false">I8+I10+I24</f>
        <v>8329.30651961902</v>
      </c>
      <c r="J11" s="0" t="n">
        <f aca="false">J8+J10+J24</f>
        <v>8596.41876317922</v>
      </c>
      <c r="K11" s="0" t="n">
        <f aca="false">K8+K10+K24</f>
        <v>8811.3292322587</v>
      </c>
      <c r="L11" s="0" t="n">
        <f aca="false">L8+L10+L24</f>
        <v>8987.55581690387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-1401.975</v>
      </c>
      <c r="D12" s="4" t="n">
        <f aca="false">-D6*Assumptions!D31/100</f>
        <v>-1475.22819375</v>
      </c>
      <c r="E12" s="4" t="n">
        <f aca="false">-E6*Assumptions!E31/100</f>
        <v>-1559.388753</v>
      </c>
      <c r="F12" s="4" t="n">
        <f aca="false">-F6*Assumptions!F31/100</f>
        <v>-1647.92179188</v>
      </c>
      <c r="G12" s="4" t="n">
        <f aca="false">-G6*Assumptions!G31/100</f>
        <v>-1732.6720554624</v>
      </c>
      <c r="H12" s="4" t="n">
        <f aca="false">-H6*Assumptions!H31/100</f>
        <v>-1812.53740801887</v>
      </c>
      <c r="I12" s="4" t="n">
        <f aca="false">-I6*Assumptions!I31/100</f>
        <v>-1895.63527687881</v>
      </c>
      <c r="J12" s="4" t="n">
        <f aca="false">-J6*Assumptions!J31/100</f>
        <v>-1943.02615880078</v>
      </c>
      <c r="K12" s="4" t="n">
        <f aca="false">-K6*Assumptions!K31/100</f>
        <v>-1991.6018127708</v>
      </c>
      <c r="L12" s="4" t="n">
        <f aca="false">-L6*Assumptions!L31/100</f>
        <v>-2031.43384902622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4813.4475</v>
      </c>
      <c r="D13" s="0" t="n">
        <f aca="false">D11+D12</f>
        <v>5102.83850625</v>
      </c>
      <c r="E13" s="0" t="n">
        <f aca="false">E11+E12</f>
        <v>5432.709204</v>
      </c>
      <c r="F13" s="0" t="n">
        <f aca="false">F11+F12</f>
        <v>5728.49003844</v>
      </c>
      <c r="G13" s="0" t="n">
        <f aca="false">G11+G12</f>
        <v>6010.2061923852</v>
      </c>
      <c r="H13" s="0" t="n">
        <f aca="false">H11+H12</f>
        <v>6218.39756904935</v>
      </c>
      <c r="I13" s="0" t="n">
        <f aca="false">I11+I12</f>
        <v>6433.67124274021</v>
      </c>
      <c r="J13" s="0" t="n">
        <f aca="false">J11+J12</f>
        <v>6653.39260437843</v>
      </c>
      <c r="K13" s="0" t="n">
        <f aca="false">K11+K12</f>
        <v>6819.7274194879</v>
      </c>
      <c r="L13" s="0" t="n">
        <f aca="false">L11+L12</f>
        <v>6956.12196787765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26.5</v>
      </c>
      <c r="D14" s="4" t="n">
        <f aca="false">Assumptions!D33</f>
        <v>26.5</v>
      </c>
      <c r="E14" s="4" t="n">
        <f aca="false">Assumptions!E33</f>
        <v>26.5</v>
      </c>
      <c r="F14" s="4" t="n">
        <f aca="false">Assumptions!F33</f>
        <v>26.5</v>
      </c>
      <c r="G14" s="4" t="n">
        <f aca="false">Assumptions!G33</f>
        <v>26.5</v>
      </c>
      <c r="H14" s="4" t="n">
        <f aca="false">Assumptions!H33</f>
        <v>26.5</v>
      </c>
      <c r="I14" s="4" t="n">
        <f aca="false">Assumptions!I33</f>
        <v>26.5</v>
      </c>
      <c r="J14" s="4" t="n">
        <f aca="false">Assumptions!J33</f>
        <v>26.5</v>
      </c>
      <c r="K14" s="4" t="n">
        <f aca="false">Assumptions!K33</f>
        <v>26.5</v>
      </c>
      <c r="L14" s="4" t="n">
        <f aca="false">Assumptions!L33</f>
        <v>26.5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3537.8839125</v>
      </c>
      <c r="D15" s="0" t="n">
        <f aca="false">D13-MAX(0,D13)*D14/100</f>
        <v>3750.58630209375</v>
      </c>
      <c r="E15" s="0" t="n">
        <f aca="false">E13-MAX(0,E13)*E14/100</f>
        <v>3993.04126494</v>
      </c>
      <c r="F15" s="0" t="n">
        <f aca="false">F13-MAX(0,F13)*F14/100</f>
        <v>4210.4401782534</v>
      </c>
      <c r="G15" s="0" t="n">
        <f aca="false">G13-MAX(0,G13)*G14/100</f>
        <v>4417.50155140312</v>
      </c>
      <c r="H15" s="0" t="n">
        <f aca="false">H13-MAX(0,H13)*H14/100</f>
        <v>4570.52221325128</v>
      </c>
      <c r="I15" s="0" t="n">
        <f aca="false">I13-MAX(0,I13)*I14/100</f>
        <v>4728.74836341405</v>
      </c>
      <c r="J15" s="0" t="n">
        <f aca="false">J13-MAX(0,J13)*J14/100</f>
        <v>4890.24356421815</v>
      </c>
      <c r="K15" s="0" t="n">
        <f aca="false">K13-MAX(0,K13)*K14/100</f>
        <v>5012.4996533236</v>
      </c>
      <c r="L15" s="0" t="n">
        <f aca="false">L13-MAX(0,L13)*L14/100</f>
        <v>5112.74964639008</v>
      </c>
    </row>
    <row r="16" customFormat="false" ht="15" hidden="false" customHeight="false" outlineLevel="0" collapsed="false">
      <c r="A16" s="0" t="s">
        <v>120</v>
      </c>
      <c r="C16" s="0" t="n">
        <f aca="false">-C12</f>
        <v>1401.975</v>
      </c>
      <c r="D16" s="0" t="n">
        <f aca="false">-D12</f>
        <v>1475.22819375</v>
      </c>
      <c r="E16" s="0" t="n">
        <f aca="false">-E12</f>
        <v>1559.388753</v>
      </c>
      <c r="F16" s="0" t="n">
        <f aca="false">-F12</f>
        <v>1647.92179188</v>
      </c>
      <c r="G16" s="0" t="n">
        <f aca="false">-G12</f>
        <v>1732.6720554624</v>
      </c>
      <c r="H16" s="0" t="n">
        <f aca="false">-H12</f>
        <v>1812.53740801887</v>
      </c>
      <c r="I16" s="0" t="n">
        <f aca="false">-I12</f>
        <v>1895.63527687881</v>
      </c>
      <c r="J16" s="0" t="n">
        <f aca="false">-J12</f>
        <v>1943.02615880078</v>
      </c>
      <c r="K16" s="0" t="n">
        <f aca="false">-K12</f>
        <v>1991.6018127708</v>
      </c>
      <c r="L16" s="0" t="n">
        <f aca="false">-L12</f>
        <v>2031.43384902622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-2102.9625</v>
      </c>
      <c r="D17" s="4" t="n">
        <f aca="false">-D6*Assumptions!D32/100</f>
        <v>-2176.5661875</v>
      </c>
      <c r="E17" s="4" t="n">
        <f aca="false">-E6*Assumptions!E32/100</f>
        <v>-2263.628835</v>
      </c>
      <c r="F17" s="4" t="n">
        <f aca="false">-F6*Assumptions!F32/100</f>
        <v>-2354.1739884</v>
      </c>
      <c r="G17" s="4" t="n">
        <f aca="false">-G6*Assumptions!G32/100</f>
        <v>-2436.570077994</v>
      </c>
      <c r="H17" s="4" t="n">
        <f aca="false">-H6*Assumptions!H32/100</f>
        <v>-2509.66718033382</v>
      </c>
      <c r="I17" s="4" t="n">
        <f aca="false">-I6*Assumptions!I32/100</f>
        <v>-2527.51370250508</v>
      </c>
      <c r="J17" s="4" t="n">
        <f aca="false">-J6*Assumptions!J32/100</f>
        <v>-2590.70154506771</v>
      </c>
      <c r="K17" s="4" t="n">
        <f aca="false">-K6*Assumptions!K32/100</f>
        <v>-2595.11751361044</v>
      </c>
      <c r="L17" s="4" t="n">
        <f aca="false">-L6*Assumptions!L32/100</f>
        <v>-2647.01986388265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-8.13749999999975</v>
      </c>
      <c r="D18" s="4" t="n">
        <f aca="false">(D6-C6)*Assumptions!$B$37/100</f>
        <v>-57.2473124999999</v>
      </c>
      <c r="E18" s="4" t="n">
        <f aca="false">(E6-D6)*Assumptions!$B$37/100</f>
        <v>-67.7153925</v>
      </c>
      <c r="F18" s="4" t="n">
        <f aca="false">(F6-E6)*Assumptions!$B$37/100</f>
        <v>-70.4240082000001</v>
      </c>
      <c r="G18" s="4" t="n">
        <f aca="false">(G6-F6)*Assumptions!$B$37/100</f>
        <v>-64.085847462</v>
      </c>
      <c r="H18" s="4" t="n">
        <f aca="false">(H6-G6)*Assumptions!$B$37/100</f>
        <v>-56.85330181986</v>
      </c>
      <c r="I18" s="4" t="n">
        <f aca="false">(I6-H6)*Assumptions!$B$37/100</f>
        <v>-58.5589008744558</v>
      </c>
      <c r="J18" s="4" t="n">
        <f aca="false">(J6-I6)*Assumptions!$B$37/100</f>
        <v>-50.2630565839076</v>
      </c>
      <c r="K18" s="4" t="n">
        <f aca="false">(K6-J6)*Assumptions!$B$37/100</f>
        <v>-51.5196329985054</v>
      </c>
      <c r="L18" s="4" t="n">
        <f aca="false">(L6-K6)*Assumptions!$B$37/100</f>
        <v>-42.2460990587747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2828.7589125</v>
      </c>
      <c r="D19" s="0" t="n">
        <f aca="false">D15+D16+D17+D18</f>
        <v>2992.00099584375</v>
      </c>
      <c r="E19" s="0" t="n">
        <f aca="false">E15+E16+E17+E18</f>
        <v>3221.08579044</v>
      </c>
      <c r="F19" s="0" t="n">
        <f aca="false">F15+F16+F17+F18</f>
        <v>3433.7639735334</v>
      </c>
      <c r="G19" s="0" t="n">
        <f aca="false">G15+G16+G17+G18</f>
        <v>3649.51768140952</v>
      </c>
      <c r="H19" s="0" t="n">
        <f aca="false">H15+H16+H17+H18</f>
        <v>3816.53913911647</v>
      </c>
      <c r="I19" s="0" t="n">
        <f aca="false">I15+I16+I17+I18</f>
        <v>4038.31103691333</v>
      </c>
      <c r="J19" s="0" t="n">
        <f aca="false">J15+J16+J17+J18</f>
        <v>4192.30512136731</v>
      </c>
      <c r="K19" s="0" t="n">
        <f aca="false">K15+K16+K17+K18</f>
        <v>4357.46431948546</v>
      </c>
      <c r="L19" s="0" t="n">
        <f aca="false">L15+L16+L17+L18</f>
        <v>4454.91753247487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0.923361034164358</v>
      </c>
      <c r="D20" s="0" t="n">
        <f aca="false">1/(1+$B$27/100)^D4</f>
        <v>0.852595599413073</v>
      </c>
      <c r="E20" s="0" t="n">
        <f aca="false">1/(1+$B$27/100)^E4</f>
        <v>0.787253554398036</v>
      </c>
      <c r="F20" s="0" t="n">
        <f aca="false">1/(1+$B$27/100)^F4</f>
        <v>0.726919256138538</v>
      </c>
      <c r="G20" s="0" t="n">
        <f aca="false">1/(1+$B$27/100)^G4</f>
        <v>0.671208916102066</v>
      </c>
      <c r="H20" s="0" t="n">
        <f aca="false">1/(1+$B$27/100)^H4</f>
        <v>0.619768158912342</v>
      </c>
      <c r="I20" s="0" t="n">
        <f aca="false">1/(1+$B$27/100)^I4</f>
        <v>0.57226976815544</v>
      </c>
      <c r="J20" s="0" t="n">
        <f aca="false">1/(1+$B$27/100)^J4</f>
        <v>0.528411604945005</v>
      </c>
      <c r="K20" s="0" t="n">
        <f aca="false">1/(1+$B$27/100)^K4</f>
        <v>0.487914686006468</v>
      </c>
      <c r="L20" s="0" t="n">
        <f aca="false">1/(1+$B$27/100)^L4</f>
        <v>0.450521409054911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2611.96575484765</v>
      </c>
      <c r="D21" s="0" t="n">
        <f aca="false">D19*D20</f>
        <v>2550.96688249591</v>
      </c>
      <c r="E21" s="0" t="n">
        <f aca="false">E19*E20</f>
        <v>2535.8112375449</v>
      </c>
      <c r="F21" s="0" t="n">
        <f aca="false">F19*F20</f>
        <v>2496.06915339621</v>
      </c>
      <c r="G21" s="0" t="n">
        <f aca="false">G19*G20</f>
        <v>2449.58880723421</v>
      </c>
      <c r="H21" s="0" t="n">
        <f aca="false">H19*H20</f>
        <v>2365.36943566711</v>
      </c>
      <c r="I21" s="0" t="n">
        <f aca="false">I19*I20</f>
        <v>2311.00332083394</v>
      </c>
      <c r="J21" s="0" t="n">
        <f aca="false">J19*J20</f>
        <v>2215.26267760087</v>
      </c>
      <c r="K21" s="0" t="n">
        <f aca="false">K19*K20</f>
        <v>2126.07083522614</v>
      </c>
      <c r="L21" s="0" t="n">
        <f aca="false">L19*L20</f>
        <v>2007.035723954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1.75</v>
      </c>
      <c r="D23" s="4" t="n">
        <f aca="false">Assumptions!D30</f>
        <v>1.75</v>
      </c>
      <c r="E23" s="4" t="n">
        <f aca="false">Assumptions!E30</f>
        <v>1.75</v>
      </c>
      <c r="F23" s="4" t="n">
        <f aca="false">Assumptions!F30</f>
        <v>1.75</v>
      </c>
      <c r="G23" s="4" t="n">
        <f aca="false">Assumptions!G30</f>
        <v>1.75</v>
      </c>
      <c r="H23" s="4" t="n">
        <f aca="false">Assumptions!H30</f>
        <v>1.75</v>
      </c>
      <c r="I23" s="4" t="n">
        <f aca="false">Assumptions!I30</f>
        <v>1.75</v>
      </c>
      <c r="J23" s="4" t="n">
        <f aca="false">Assumptions!J30</f>
        <v>1.75</v>
      </c>
      <c r="K23" s="4" t="n">
        <f aca="false">Assumptions!K30</f>
        <v>1.75</v>
      </c>
      <c r="L23" s="4" t="n">
        <f aca="false">Assumptions!L30</f>
        <v>1.75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-817.81875</v>
      </c>
      <c r="D24" s="0" t="n">
        <f aca="false">-D6*D23/100</f>
        <v>-846.44240625</v>
      </c>
      <c r="E24" s="0" t="n">
        <f aca="false">-E6*E23/100</f>
        <v>-880.3001025</v>
      </c>
      <c r="F24" s="0" t="n">
        <f aca="false">-F6*F23/100</f>
        <v>-915.5121066</v>
      </c>
      <c r="G24" s="0" t="n">
        <f aca="false">-G6*G23/100</f>
        <v>-947.555030331</v>
      </c>
      <c r="H24" s="0" t="n">
        <f aca="false">-H6*H23/100</f>
        <v>-975.98168124093</v>
      </c>
      <c r="I24" s="0" t="n">
        <f aca="false">-I6*I23/100</f>
        <v>-1005.26113167816</v>
      </c>
      <c r="J24" s="0" t="n">
        <f aca="false">-J6*J23/100</f>
        <v>-1030.39265997011</v>
      </c>
      <c r="K24" s="0" t="n">
        <f aca="false">-K6*K23/100</f>
        <v>-1056.15247646936</v>
      </c>
      <c r="L24" s="0" t="n">
        <f aca="false">-L6*L23/100</f>
        <v>-1077.27552599875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8.3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23669.1438288009</v>
      </c>
    </row>
    <row r="31" customFormat="false" ht="15" hidden="false" customHeight="false" outlineLevel="0" collapsed="false">
      <c r="A31" s="0" t="s">
        <v>129</v>
      </c>
      <c r="B31" s="0" t="n">
        <f aca="false">L19</f>
        <v>4454.91753247487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72127.2362400694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66823.7629871231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66823.7629871231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30105.5358593101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53774.679688111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45597.679688111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91.3781156074369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0.365482899094992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531.139503598685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673.52707710421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93.7922770918114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34953.9683317259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35.9907118194668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1.5</v>
      </c>
      <c r="D5" s="4" t="n">
        <f aca="false">Assumptions!D41</f>
        <v>5</v>
      </c>
      <c r="E5" s="4" t="n">
        <f aca="false">Assumptions!E41</f>
        <v>5.5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46500</v>
      </c>
      <c r="C6" s="0" t="n">
        <f aca="false">B6*(1+C5/100)</f>
        <v>47197.5</v>
      </c>
      <c r="D6" s="0" t="n">
        <f aca="false">C6*(1+D5/100)</f>
        <v>49557.375</v>
      </c>
      <c r="E6" s="0" t="n">
        <f aca="false">D6*(1+E5/100)</f>
        <v>52283.030625</v>
      </c>
      <c r="F6" s="0" t="n">
        <f aca="false">E6*(1+F5/100)</f>
        <v>55158.597309375</v>
      </c>
      <c r="G6" s="0" t="n">
        <f aca="false">F6*(1+G5/100)</f>
        <v>57916.5271748437</v>
      </c>
      <c r="H6" s="0" t="n">
        <f aca="false">G6*(1+H5/100)</f>
        <v>60522.7708977117</v>
      </c>
      <c r="I6" s="0" t="n">
        <f aca="false">H6*(1+I5/100)</f>
        <v>62943.6817336202</v>
      </c>
      <c r="J6" s="0" t="n">
        <f aca="false">I6*(1+J5/100)</f>
        <v>65146.7105942969</v>
      </c>
      <c r="K6" s="0" t="n">
        <f aca="false">J6*(1+K5/100)</f>
        <v>67101.1119121258</v>
      </c>
      <c r="L6" s="0" t="n">
        <f aca="false">K6*(1+L5/100)</f>
        <v>68778.6397099289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15.5</v>
      </c>
      <c r="D7" s="4" t="n">
        <f aca="false">Assumptions!D42</f>
        <v>16</v>
      </c>
      <c r="E7" s="4" t="n">
        <f aca="false">Assumptions!E42</f>
        <v>16.5</v>
      </c>
      <c r="F7" s="4" t="n">
        <f aca="false">Assumptions!F42</f>
        <v>17</v>
      </c>
      <c r="G7" s="4" t="n">
        <f aca="false">Assumptions!G42</f>
        <v>17.3</v>
      </c>
      <c r="H7" s="4" t="n">
        <f aca="false">Assumptions!H42</f>
        <v>17.5</v>
      </c>
      <c r="I7" s="4" t="n">
        <f aca="false">Assumptions!I42</f>
        <v>17.5</v>
      </c>
      <c r="J7" s="4" t="n">
        <f aca="false">Assumptions!J42</f>
        <v>17.5</v>
      </c>
      <c r="K7" s="4" t="n">
        <f aca="false">Assumptions!K42</f>
        <v>17.5</v>
      </c>
      <c r="L7" s="4" t="n">
        <f aca="false">Assumptions!L42</f>
        <v>17.5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7315.6125</v>
      </c>
      <c r="D8" s="0" t="n">
        <f aca="false">D6*D7/100</f>
        <v>7929.18</v>
      </c>
      <c r="E8" s="0" t="n">
        <f aca="false">E6*E7/100</f>
        <v>8626.700053125</v>
      </c>
      <c r="F8" s="0" t="n">
        <f aca="false">F6*F7/100</f>
        <v>9376.96154259375</v>
      </c>
      <c r="G8" s="0" t="n">
        <f aca="false">G6*G7/100</f>
        <v>10019.559201248</v>
      </c>
      <c r="H8" s="0" t="n">
        <f aca="false">H6*H7/100</f>
        <v>10591.4849070995</v>
      </c>
      <c r="I8" s="0" t="n">
        <f aca="false">I6*I7/100</f>
        <v>11015.1443033835</v>
      </c>
      <c r="J8" s="0" t="n">
        <f aca="false">J6*J7/100</f>
        <v>11400.674354002</v>
      </c>
      <c r="K8" s="0" t="n">
        <f aca="false">K6*K7/100</f>
        <v>11742.694584622</v>
      </c>
      <c r="L8" s="0" t="n">
        <f aca="false">L6*L7/100</f>
        <v>12036.2619492376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0.15</v>
      </c>
      <c r="D9" s="4" t="n">
        <f aca="false">Assumptions!D43</f>
        <v>0.15</v>
      </c>
      <c r="E9" s="4" t="n">
        <f aca="false">Assumptions!E43</f>
        <v>0.15</v>
      </c>
      <c r="F9" s="4" t="n">
        <f aca="false">Assumptions!F43</f>
        <v>0.15</v>
      </c>
      <c r="G9" s="4" t="n">
        <f aca="false">Assumptions!G43</f>
        <v>0.15</v>
      </c>
      <c r="H9" s="4" t="n">
        <f aca="false">Assumptions!H43</f>
        <v>0.15</v>
      </c>
      <c r="I9" s="4" t="n">
        <f aca="false">Assumptions!I43</f>
        <v>0.15</v>
      </c>
      <c r="J9" s="4" t="n">
        <f aca="false">Assumptions!J43</f>
        <v>0.15</v>
      </c>
      <c r="K9" s="4" t="n">
        <f aca="false">Assumptions!K43</f>
        <v>0.15</v>
      </c>
      <c r="L9" s="4" t="n">
        <f aca="false">Assumptions!L43</f>
        <v>0.15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-70.79625</v>
      </c>
      <c r="D10" s="0" t="n">
        <f aca="false">-D6*D9/100</f>
        <v>-74.3360625</v>
      </c>
      <c r="E10" s="0" t="n">
        <f aca="false">-E6*E9/100</f>
        <v>-78.4245459375</v>
      </c>
      <c r="F10" s="0" t="n">
        <f aca="false">-F6*F9/100</f>
        <v>-82.7378959640625</v>
      </c>
      <c r="G10" s="0" t="n">
        <f aca="false">-G6*G9/100</f>
        <v>-86.8747907622656</v>
      </c>
      <c r="H10" s="0" t="n">
        <f aca="false">-H6*H9/100</f>
        <v>-90.7841563465675</v>
      </c>
      <c r="I10" s="0" t="n">
        <f aca="false">-I6*I9/100</f>
        <v>-94.4155226004303</v>
      </c>
      <c r="J10" s="0" t="n">
        <f aca="false">-J6*J9/100</f>
        <v>-97.7200658914453</v>
      </c>
      <c r="K10" s="0" t="n">
        <f aca="false">-K6*K9/100</f>
        <v>-100.651667868189</v>
      </c>
      <c r="L10" s="0" t="n">
        <f aca="false">-L6*L9/100</f>
        <v>-103.167959564893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6418.86</v>
      </c>
      <c r="D11" s="0" t="n">
        <f aca="false">D8+D10+D24</f>
        <v>6987.589875</v>
      </c>
      <c r="E11" s="0" t="n">
        <f aca="false">E8+E10+E24</f>
        <v>7633.32247125</v>
      </c>
      <c r="F11" s="0" t="n">
        <f aca="false">F8+F10+F24</f>
        <v>8328.94819371562</v>
      </c>
      <c r="G11" s="0" t="n">
        <f aca="false">G8+G10+G24</f>
        <v>8919.14518492594</v>
      </c>
      <c r="H11" s="0" t="n">
        <f aca="false">H8+H10+H24</f>
        <v>9441.55226004302</v>
      </c>
      <c r="I11" s="0" t="n">
        <f aca="false">I8+I10+I24</f>
        <v>9819.21435044475</v>
      </c>
      <c r="J11" s="0" t="n">
        <f aca="false">J8+J10+J24</f>
        <v>10162.8868527103</v>
      </c>
      <c r="K11" s="0" t="n">
        <f aca="false">K8+K10+K24</f>
        <v>10467.7734582916</v>
      </c>
      <c r="L11" s="0" t="n">
        <f aca="false">L8+L10+L24</f>
        <v>10729.4677947489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-1415.925</v>
      </c>
      <c r="D12" s="4" t="n">
        <f aca="false">-D6*Assumptions!D45/100</f>
        <v>-1511.4999375</v>
      </c>
      <c r="E12" s="4" t="n">
        <f aca="false">-E6*Assumptions!E45/100</f>
        <v>-1620.773949375</v>
      </c>
      <c r="F12" s="4" t="n">
        <f aca="false">-F6*Assumptions!F45/100</f>
        <v>-1737.49581524531</v>
      </c>
      <c r="G12" s="4" t="n">
        <f aca="false">-G6*Assumptions!G45/100</f>
        <v>-1853.328869595</v>
      </c>
      <c r="H12" s="4" t="n">
        <f aca="false">-H6*Assumptions!H45/100</f>
        <v>-1966.99005417563</v>
      </c>
      <c r="I12" s="4" t="n">
        <f aca="false">-I6*Assumptions!I45/100</f>
        <v>-2077.14149720947</v>
      </c>
      <c r="J12" s="4" t="n">
        <f aca="false">-J6*Assumptions!J45/100</f>
        <v>-2149.8414496118</v>
      </c>
      <c r="K12" s="4" t="n">
        <f aca="false">-K6*Assumptions!K45/100</f>
        <v>-2214.33669310015</v>
      </c>
      <c r="L12" s="4" t="n">
        <f aca="false">-L6*Assumptions!L45/100</f>
        <v>-2269.69511042765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5002.935</v>
      </c>
      <c r="D13" s="0" t="n">
        <f aca="false">D11+D12</f>
        <v>5476.0899375</v>
      </c>
      <c r="E13" s="0" t="n">
        <f aca="false">E11+E12</f>
        <v>6012.548521875</v>
      </c>
      <c r="F13" s="0" t="n">
        <f aca="false">F11+F12</f>
        <v>6591.45237847031</v>
      </c>
      <c r="G13" s="0" t="n">
        <f aca="false">G11+G12</f>
        <v>7065.81631533094</v>
      </c>
      <c r="H13" s="0" t="n">
        <f aca="false">H11+H12</f>
        <v>7474.56220586739</v>
      </c>
      <c r="I13" s="0" t="n">
        <f aca="false">I11+I12</f>
        <v>7742.07285323528</v>
      </c>
      <c r="J13" s="0" t="n">
        <f aca="false">J11+J12</f>
        <v>8013.04540309852</v>
      </c>
      <c r="K13" s="0" t="n">
        <f aca="false">K11+K12</f>
        <v>8253.43676519147</v>
      </c>
      <c r="L13" s="0" t="n">
        <f aca="false">L11+L12</f>
        <v>8459.77268432126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26.5</v>
      </c>
      <c r="D14" s="4" t="n">
        <f aca="false">Assumptions!D47</f>
        <v>26.5</v>
      </c>
      <c r="E14" s="4" t="n">
        <f aca="false">Assumptions!E47</f>
        <v>26.5</v>
      </c>
      <c r="F14" s="4" t="n">
        <f aca="false">Assumptions!F47</f>
        <v>26.5</v>
      </c>
      <c r="G14" s="4" t="n">
        <f aca="false">Assumptions!G47</f>
        <v>26.5</v>
      </c>
      <c r="H14" s="4" t="n">
        <f aca="false">Assumptions!H47</f>
        <v>26.5</v>
      </c>
      <c r="I14" s="4" t="n">
        <f aca="false">Assumptions!I47</f>
        <v>26.5</v>
      </c>
      <c r="J14" s="4" t="n">
        <f aca="false">Assumptions!J47</f>
        <v>26.5</v>
      </c>
      <c r="K14" s="4" t="n">
        <f aca="false">Assumptions!K47</f>
        <v>26.5</v>
      </c>
      <c r="L14" s="4" t="n">
        <f aca="false">Assumptions!L47</f>
        <v>26.5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3677.157225</v>
      </c>
      <c r="D15" s="0" t="n">
        <f aca="false">D13-MAX(0,D13)*D14/100</f>
        <v>4024.9261040625</v>
      </c>
      <c r="E15" s="0" t="n">
        <f aca="false">E13-MAX(0,E13)*E14/100</f>
        <v>4419.22316357812</v>
      </c>
      <c r="F15" s="0" t="n">
        <f aca="false">F13-MAX(0,F13)*F14/100</f>
        <v>4844.71749817568</v>
      </c>
      <c r="G15" s="0" t="n">
        <f aca="false">G13-MAX(0,G13)*G14/100</f>
        <v>5193.37499176824</v>
      </c>
      <c r="H15" s="0" t="n">
        <f aca="false">H13-MAX(0,H13)*H14/100</f>
        <v>5493.80322131253</v>
      </c>
      <c r="I15" s="0" t="n">
        <f aca="false">I13-MAX(0,I13)*I14/100</f>
        <v>5690.42354712793</v>
      </c>
      <c r="J15" s="0" t="n">
        <f aca="false">J13-MAX(0,J13)*J14/100</f>
        <v>5889.58837127741</v>
      </c>
      <c r="K15" s="0" t="n">
        <f aca="false">K13-MAX(0,K13)*K14/100</f>
        <v>6066.27602241573</v>
      </c>
      <c r="L15" s="0" t="n">
        <f aca="false">L13-MAX(0,L13)*L14/100</f>
        <v>6217.93292297612</v>
      </c>
    </row>
    <row r="16" customFormat="false" ht="15" hidden="false" customHeight="false" outlineLevel="0" collapsed="false">
      <c r="A16" s="0" t="s">
        <v>120</v>
      </c>
      <c r="C16" s="0" t="n">
        <f aca="false">-C12</f>
        <v>1415.925</v>
      </c>
      <c r="D16" s="0" t="n">
        <f aca="false">-D12</f>
        <v>1511.4999375</v>
      </c>
      <c r="E16" s="0" t="n">
        <f aca="false">-E12</f>
        <v>1620.773949375</v>
      </c>
      <c r="F16" s="0" t="n">
        <f aca="false">-F12</f>
        <v>1737.49581524531</v>
      </c>
      <c r="G16" s="0" t="n">
        <f aca="false">-G12</f>
        <v>1853.328869595</v>
      </c>
      <c r="H16" s="0" t="n">
        <f aca="false">-H12</f>
        <v>1966.99005417563</v>
      </c>
      <c r="I16" s="0" t="n">
        <f aca="false">-I12</f>
        <v>2077.14149720947</v>
      </c>
      <c r="J16" s="0" t="n">
        <f aca="false">-J12</f>
        <v>2149.8414496118</v>
      </c>
      <c r="K16" s="0" t="n">
        <f aca="false">-K12</f>
        <v>2214.33669310015</v>
      </c>
      <c r="L16" s="0" t="n">
        <f aca="false">-L12</f>
        <v>2269.69511042765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-2171.085</v>
      </c>
      <c r="D17" s="4" t="n">
        <f aca="false">-D6*Assumptions!D46/100</f>
        <v>-2279.63925</v>
      </c>
      <c r="E17" s="4" t="n">
        <f aca="false">-E6*Assumptions!E46/100</f>
        <v>-2405.01940875</v>
      </c>
      <c r="F17" s="4" t="n">
        <f aca="false">-F6*Assumptions!F46/100</f>
        <v>-2537.29547623125</v>
      </c>
      <c r="G17" s="4" t="n">
        <f aca="false">-G6*Assumptions!G46/100</f>
        <v>-2664.16025004281</v>
      </c>
      <c r="H17" s="4" t="n">
        <f aca="false">-H6*Assumptions!H46/100</f>
        <v>-2784.04746129474</v>
      </c>
      <c r="I17" s="4" t="n">
        <f aca="false">-I6*Assumptions!I46/100</f>
        <v>-2832.46567801291</v>
      </c>
      <c r="J17" s="4" t="n">
        <f aca="false">-J6*Assumptions!J46/100</f>
        <v>-2931.60197674336</v>
      </c>
      <c r="K17" s="4" t="n">
        <f aca="false">-K6*Assumptions!K46/100</f>
        <v>-2952.44892413353</v>
      </c>
      <c r="L17" s="4" t="n">
        <f aca="false">-L6*Assumptions!L46/100</f>
        <v>-3026.26014723687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-24.4124999999997</v>
      </c>
      <c r="D18" s="4" t="n">
        <f aca="false">(D6-C6)*Assumptions!$B$51/100</f>
        <v>-82.595625</v>
      </c>
      <c r="E18" s="4" t="n">
        <f aca="false">(E6-D6)*Assumptions!$B$51/100</f>
        <v>-95.397946875</v>
      </c>
      <c r="F18" s="4" t="n">
        <f aca="false">(F6-E6)*Assumptions!$B$51/100</f>
        <v>-100.644833953125</v>
      </c>
      <c r="G18" s="4" t="n">
        <f aca="false">(G6-F6)*Assumptions!$B$51/100</f>
        <v>-96.5275452914063</v>
      </c>
      <c r="H18" s="4" t="n">
        <f aca="false">(H6-G6)*Assumptions!$B$51/100</f>
        <v>-91.2185303003787</v>
      </c>
      <c r="I18" s="4" t="n">
        <f aca="false">(I6-H6)*Assumptions!$B$51/100</f>
        <v>-84.7318792567965</v>
      </c>
      <c r="J18" s="4" t="n">
        <f aca="false">(J6-I6)*Assumptions!$B$51/100</f>
        <v>-77.1060101236845</v>
      </c>
      <c r="K18" s="4" t="n">
        <f aca="false">(K6-J6)*Assumptions!$B$51/100</f>
        <v>-68.4040461240118</v>
      </c>
      <c r="L18" s="4" t="n">
        <f aca="false">(L6-K6)*Assumptions!$B$51/100</f>
        <v>-58.7134729231098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2897.584725</v>
      </c>
      <c r="D19" s="0" t="n">
        <f aca="false">D15+D16+D17+D18</f>
        <v>3174.1911665625</v>
      </c>
      <c r="E19" s="0" t="n">
        <f aca="false">E15+E16+E17+E18</f>
        <v>3539.57975732812</v>
      </c>
      <c r="F19" s="0" t="n">
        <f aca="false">F15+F16+F17+F18</f>
        <v>3944.27300323662</v>
      </c>
      <c r="G19" s="0" t="n">
        <f aca="false">G15+G16+G17+G18</f>
        <v>4286.01606602902</v>
      </c>
      <c r="H19" s="0" t="n">
        <f aca="false">H15+H16+H17+H18</f>
        <v>4585.52728389305</v>
      </c>
      <c r="I19" s="0" t="n">
        <f aca="false">I15+I16+I17+I18</f>
        <v>4850.36748706769</v>
      </c>
      <c r="J19" s="0" t="n">
        <f aca="false">J15+J16+J17+J18</f>
        <v>5030.72183402216</v>
      </c>
      <c r="K19" s="0" t="n">
        <f aca="false">K15+K16+K17+K18</f>
        <v>5259.75974525834</v>
      </c>
      <c r="L19" s="0" t="n">
        <f aca="false">L15+L16+L17+L18</f>
        <v>5402.6544132438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0.923361034164358</v>
      </c>
      <c r="D20" s="0" t="n">
        <f aca="false">1/(1+$B$27/100)^D4</f>
        <v>0.852595599413073</v>
      </c>
      <c r="E20" s="0" t="n">
        <f aca="false">1/(1+$B$27/100)^E4</f>
        <v>0.787253554398036</v>
      </c>
      <c r="F20" s="0" t="n">
        <f aca="false">1/(1+$B$27/100)^F4</f>
        <v>0.726919256138538</v>
      </c>
      <c r="G20" s="0" t="n">
        <f aca="false">1/(1+$B$27/100)^G4</f>
        <v>0.671208916102066</v>
      </c>
      <c r="H20" s="0" t="n">
        <f aca="false">1/(1+$B$27/100)^H4</f>
        <v>0.619768158912342</v>
      </c>
      <c r="I20" s="0" t="n">
        <f aca="false">1/(1+$B$27/100)^I4</f>
        <v>0.57226976815544</v>
      </c>
      <c r="J20" s="0" t="n">
        <f aca="false">1/(1+$B$27/100)^J4</f>
        <v>0.528411604945005</v>
      </c>
      <c r="K20" s="0" t="n">
        <f aca="false">1/(1+$B$27/100)^K4</f>
        <v>0.487914686006468</v>
      </c>
      <c r="L20" s="0" t="n">
        <f aca="false">1/(1+$B$27/100)^L4</f>
        <v>0.450521409054911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2675.51682825485</v>
      </c>
      <c r="D21" s="0" t="n">
        <f aca="false">D19*D20</f>
        <v>2706.30142030704</v>
      </c>
      <c r="E21" s="0" t="n">
        <f aca="false">E19*E20</f>
        <v>2786.5467450319</v>
      </c>
      <c r="F21" s="0" t="n">
        <f aca="false">F19*F20</f>
        <v>2867.16799752008</v>
      </c>
      <c r="G21" s="0" t="n">
        <f aca="false">G19*G20</f>
        <v>2876.81219807538</v>
      </c>
      <c r="H21" s="0" t="n">
        <f aca="false">H19*H20</f>
        <v>2841.96380238071</v>
      </c>
      <c r="I21" s="0" t="n">
        <f aca="false">I19*I20</f>
        <v>2775.71867729291</v>
      </c>
      <c r="J21" s="0" t="n">
        <f aca="false">J19*J20</f>
        <v>2658.29179834753</v>
      </c>
      <c r="K21" s="0" t="n">
        <f aca="false">K19*K20</f>
        <v>2566.31402457718</v>
      </c>
      <c r="L21" s="0" t="n">
        <f aca="false">L19*L20</f>
        <v>2434.01147889133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1.75</v>
      </c>
      <c r="D23" s="4" t="n">
        <f aca="false">Assumptions!D44</f>
        <v>1.75</v>
      </c>
      <c r="E23" s="4" t="n">
        <f aca="false">Assumptions!E44</f>
        <v>1.75</v>
      </c>
      <c r="F23" s="4" t="n">
        <f aca="false">Assumptions!F44</f>
        <v>1.75</v>
      </c>
      <c r="G23" s="4" t="n">
        <f aca="false">Assumptions!G44</f>
        <v>1.75</v>
      </c>
      <c r="H23" s="4" t="n">
        <f aca="false">Assumptions!H44</f>
        <v>1.75</v>
      </c>
      <c r="I23" s="4" t="n">
        <f aca="false">Assumptions!I44</f>
        <v>1.75</v>
      </c>
      <c r="J23" s="4" t="n">
        <f aca="false">Assumptions!J44</f>
        <v>1.75</v>
      </c>
      <c r="K23" s="4" t="n">
        <f aca="false">Assumptions!K44</f>
        <v>1.75</v>
      </c>
      <c r="L23" s="4" t="n">
        <f aca="false">Assumptions!L44</f>
        <v>1.75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-825.95625</v>
      </c>
      <c r="D24" s="0" t="n">
        <f aca="false">-D6*D23/100</f>
        <v>-867.2540625</v>
      </c>
      <c r="E24" s="0" t="n">
        <f aca="false">-E6*E23/100</f>
        <v>-914.9530359375</v>
      </c>
      <c r="F24" s="0" t="n">
        <f aca="false">-F6*F23/100</f>
        <v>-965.275452914062</v>
      </c>
      <c r="G24" s="0" t="n">
        <f aca="false">-G6*G23/100</f>
        <v>-1013.53922555977</v>
      </c>
      <c r="H24" s="0" t="n">
        <f aca="false">-H6*H23/100</f>
        <v>-1059.14849070995</v>
      </c>
      <c r="I24" s="0" t="n">
        <f aca="false">-I6*I23/100</f>
        <v>-1101.51443033835</v>
      </c>
      <c r="J24" s="0" t="n">
        <f aca="false">-J6*J23/100</f>
        <v>-1140.0674354002</v>
      </c>
      <c r="K24" s="0" t="n">
        <f aca="false">-K6*K23/100</f>
        <v>-1174.2694584622</v>
      </c>
      <c r="L24" s="0" t="n">
        <f aca="false">-L6*L23/100</f>
        <v>-1203.62619492376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8.3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27188.6449706789</v>
      </c>
    </row>
    <row r="31" customFormat="false" ht="15" hidden="false" customHeight="false" outlineLevel="0" collapsed="false">
      <c r="A31" s="0" t="s">
        <v>129</v>
      </c>
      <c r="B31" s="0" t="n">
        <f aca="false">L19</f>
        <v>5402.6544132438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95477.9443719809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81039.8161986569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81039.8161986569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36510.1721833699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63698.8171540488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55521.8171540488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111.26616664138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0.662674337139575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566.465501809907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821.402739229451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114.04746572162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44301.7661885991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45.4667980325891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56.1382997676006</v>
      </c>
      <c r="C4" s="0" t="n">
        <f aca="false">B4/Assumptions!$B$2-1</f>
        <v>-0.161113273048406</v>
      </c>
      <c r="D4" s="4" t="n">
        <f aca="false">Assumptions!$B$24</f>
        <v>0.25</v>
      </c>
      <c r="E4" s="4" t="n">
        <f aca="false">DCF_Bear!$B$43</f>
        <v>58.1971907315852</v>
      </c>
      <c r="F4" s="4" t="n">
        <f aca="false">DCF_Bear!$B$47</f>
        <v>22.4974235284783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91.3781156074369</v>
      </c>
      <c r="C5" s="0" t="n">
        <f aca="false">B5/Assumptions!$B$2-1</f>
        <v>0.365482899094992</v>
      </c>
      <c r="D5" s="4" t="n">
        <f aca="false">Assumptions!$B$38</f>
        <v>0.5</v>
      </c>
      <c r="E5" s="4" t="n">
        <f aca="false">DCF_Base!$B$43</f>
        <v>93.7922770918114</v>
      </c>
      <c r="F5" s="4" t="n">
        <f aca="false">DCF_Base!$B$47</f>
        <v>35.9907118194668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111.26616664138</v>
      </c>
      <c r="C6" s="0" t="n">
        <f aca="false">B6/Assumptions!$B$2-1</f>
        <v>0.662674337139575</v>
      </c>
      <c r="D6" s="4" t="n">
        <f aca="false">Assumptions!$B$52</f>
        <v>0.25</v>
      </c>
      <c r="E6" s="4" t="n">
        <f aca="false">DCF_Bull!$B$43</f>
        <v>114.04746572162</v>
      </c>
      <c r="F6" s="4" t="n">
        <f aca="false">DCF_Bull!$B$47</f>
        <v>45.4667980325891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87.5401744059637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89.9573026592069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0.235550986114541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-853.085655603766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34.9864113000003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91.3781156074369</v>
      </c>
      <c r="C15" s="3" t="n">
        <v>8.3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84.4202655453681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71.2336799270906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61.0047088180599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52.8444323526673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35.9907118194668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6.3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108.714561610143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108.714561610143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108.714561610143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108.714561610143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108.714561610143</v>
      </c>
    </row>
    <row r="25" customFormat="false" ht="15" hidden="false" customHeight="false" outlineLevel="0" collapsed="false">
      <c r="A25" s="3" t="n">
        <v>7.3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99.6386436453648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99.6386436453648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99.6386436453648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99.6386436453648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99.6386436453648</v>
      </c>
    </row>
    <row r="26" customFormat="false" ht="15" hidden="false" customHeight="false" outlineLevel="0" collapsed="false">
      <c r="A26" s="3" t="n">
        <v>8.3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86.694830227469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91.0823718074908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91.3781156074369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91.3781156074369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91.3781156074369</v>
      </c>
    </row>
    <row r="27" customFormat="false" ht="15" hidden="false" customHeight="false" outlineLevel="0" collapsed="false">
      <c r="A27" s="3" t="n">
        <v>9.3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73.4628232750761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76.5599214699365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80.0812796914901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83.8507116395393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83.8507116395393</v>
      </c>
    </row>
    <row r="28" customFormat="false" ht="15" hidden="false" customHeight="false" outlineLevel="0" collapsed="false">
      <c r="A28" s="3" t="n">
        <v>10.3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63.1168881010987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65.3740561551341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67.9031721674871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70.7565338224494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74.0007669369956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2026-10-25T19:46:07Z</dcterms:created>
  <dc:creator>openpyxl</dc:creator>
  <dc:description/>
  <dc:language>en-NZ</dc:language>
  <cp:lastModifiedBy/>
  <dcterms:modified xsi:type="dcterms:W3CDTF">2026-10-25T19:46:07Z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