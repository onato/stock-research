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<sst xmlns="http://schemas.openxmlformats.org/spreadsheetml/2006/main" count="347" uniqueCount="163">
  <si>
    <t xml:space="preserve">Ticker</t>
  </si>
  <si>
    <t xml:space="preserve">HLN.L</t>
  </si>
  <si>
    <t xml:space="preserve">Company</t>
  </si>
  <si>
    <t xml:space="preserve">Haleon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</si>
  <si>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</si>
  <si>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</si>
  <si>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</si>
  <si>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</si>
  <si>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2026-10-09T18:03:55Z LSE regular close (not after-hours)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</si>
  <si>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</si>
  <si>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</si>
  <si>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</si>
  <si>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</si>
  <si>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</si>
  <si>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</si>
  <si>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</si>
  <si>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</si>
  <si>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</si>
  <si>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</si>
  <si>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</si>
  <si>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</si>
  <si>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</si>
  <si>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2026-10-09T23:20:22Z</t>
  </si>
  <si>
    <t xml:space="preserve">Drivers file</t>
  </si>
  <si>
    <t xml:space="preserve">HLN.L_Drivers.json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</si>
  <si>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</si>
  <si>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</si>
  <si>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</si>
  <si>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Haleon is a defensive, cash-generative consumer-health compounder whose value rests on 3-5% growth plus steady margin expansion, discounted at a GBP WACC of 7%. The valuation is deliberately built on owner FCF (SBC expensed, restructuring charged, cash tax normalised to 24.5%, interest excluded from the base because net debt is deducted in the bridge) rather than the company's adjusted and post-interest 'free cash flow'. Base-case terminal value is capped at the current c.18x EV/owner-FCF so the house number assumes no re-rating; with WACC at 7% and a 15% hurdle the entry price will sit well below intrinsic value, which is the arithmetic of demanding 15% from a 7%-risk asset and not a signal of mispricing.
key_risks_to_valuation: Terminal value dominates (long-duration, slow-growth flows at a 7% WACC): a 1pp move in WACC or terminal growth moves per-share value by double digits in pence.; Margin-expansion delivery: the base case banks c.2pp of adjusted EBITDA margin from productivity and operating-model savings; if those are competed away in price or reinvested in A&amp;P the base collapses toward the bear.; Organic growth has undershot the 4-6% target in FY2025 and FY2026 guidance; a formal downgrade of the medium-term algorithm would move the base growth path down by 1pp.; Respiratory/cold &amp; flu seasonality adds +/-1pp of annual growth noise that the model treats as mean-reverting.; Zantac/ranitidine indemnification claims from GSK and Pfizer (rejected by Haleon, upstream cases mostly settled) are not in the flows; a successful claim would be a bridge deduction.; FX: c.33% North America, c.25% EUR; GBP translation moved FY2026 guidance from a 1% headwind to slightly positive within five months. The model is in GBP at constant currency.; Share count: 8,826m is a 30 June 2026 figure; the ongoing £500m buyback lowers it by c.1.5%/yr, which the flat-count convention does not credit (buybacks are treated as the SBC-neutralising mechanism).</t>
  </si>
  <si>
    <t xml:space="preserve">Data sources</t>
  </si>
  <si>
    <t xml:space="preserve">price: Yahoo Finance chart API for HLN.L at inputs.price_as_of (LSE regular close, GBp); 52-week range 317.8-416.1p. Parity-checked against the NYSE ADS (HLN, 2 shares per ADS) at GBPUSD 1.3233 on the same date.
financials: HLN.L_Metrics.csv / core_metrics (GBP millions, FY2021-FY2025 annual, Q1 FY2025, H1 FY2025, H1 FY2026) and kpis (AdjustedEBITDA, CashTaxesPaid, DandA, StockBasedComp, ShareRepurchases, InterestIncome/Expense). Net debt, borrowings, cash, NCI, lease liabilities and the dilutive share table from HLN.L_HalfYear_H1-2026.txt (30 June 2026); FCF reconciliation, adjusted EBITDA reconciliation, capex split and lease principal from HLN.L_Annual_FY2025.txt.
qualitative: HLN.L_Analysis.json (2026-10-10): business model, moat, bull/bear axes, FY2026 guidance (reaffirmed 30 July 2026), medium-term 4-6% / high-single-digit algorithm, 2.5x leverage target, £175-200m operating-model savings, Zantac indemnification status.</t>
  </si>
  <si>
    <t xml:space="preserve">Scenario narrative: bear</t>
  </si>
  <si>
    <t xml:space="preserve">Top line stalls at 2-2.5% as the promotional environment in North America and a stronger Kimberly-Clark/Kenvue competitor absorb pricing, respiratory stays weak and the 2026-27 restructuring distracts execution; margin gains are reinvested rather than banked; the market treats Haleon as an ex-growth leveraged staple at 15x FCF. No going-concern or covenant dimension: the balance sheet (2.5x net debt/EBITDA, investment grade, maturities to 2052) survives the bear case comfortably, so the downside is valuation, not solvency.</t>
  </si>
  <si>
    <t xml:space="preserve">Scenario narrative: base</t>
  </si>
  <si>
    <t xml:space="preserve">Haleon delivers the low end of its own medium-term algorithm: c.4% organic growth through FY2030 (after a 3% FY2026), 40-50bps/yr of adjusted margin expansion from the £800m productivity programme and the new operating model, cash tax at the guided 24.5%, and capex easing after the China/India site build. The base case takes management at its word on margins but discounts the top line, because FY2025 (+3.0%) and FY2026 (3-5% guided) both sit below the 4-6% target. Terminal multiple capped at today's c.18x EV/owner-FCF, so no re-rating is assumed.</t>
  </si>
  <si>
    <t xml:space="preserve">Scenario narrative: bull</t>
  </si>
  <si>
    <t xml:space="preserve">Growth re-accelerates to the middle of the 4-6% range on North America recovery, emerging-market volume (India distribution doubling, China e-commerce, affordable packs) and Oral Health share gains; the productivity and operating-model programmes deliver in full, taking adjusted EBITDA margin to c.30%; a defensive compounder with a deleveraged balance sheet re-rates to a 20x FCF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</si>
  <si>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</si>
  <si>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</si>
  <si>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</si>
  <si>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</si>
  <si>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</si>
  <si>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</si>
  <si>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</si>
  <si>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</si>
  <si>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</si>
  <si>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</si>
  <si>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</si>
  <si>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</si>
  <si>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</si>
  <si>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</si>
  <si>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</si>
  <si>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</si>
  <si>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</si>
  <si>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</si>
  <si>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</si>
  <si>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</si>
  <si>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</si>
  <si>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</si>
  <si>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</si>
  <si>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</si>
  <si>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</si>
  <si>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</si>
  <si>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</si>
  <si>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</si>
  <si>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OrganicRevenueGrowth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</si>
  <si>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</si>
  <si>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</si>
  <si>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</si>
  <si>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</si>
  <si>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</si>
  <si>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</si>
  <si>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</si>
  <si>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</si>
  <si>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</si>
  <si>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</si>
  <si>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</si>
  <si>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</si>
  <si>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</si>
  <si>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</si>
  <si>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</si>
  <si>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</si>
  <si>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</si>
  <si>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</si>
  <si>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</si>
  <si>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</si>
  <si>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</si>
  <si>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</si>
  <si>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</si>
  <si>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</si>
  <si>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</si>
  <si>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</si>
  <si>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</si>
  <si>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</si>
  <si>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</si>
  <si>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</si>
  <si>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</si>
  <si>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</si>
  <si>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</si>
  <si>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</si>
  <si>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</si>
  <si>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</si>
  <si>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</si>
  <si>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</si>
  <si>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</si>
  <si>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</si>
  <si>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</si>
  <si>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</si>
  <si>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HLN.L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</si>
  <si>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</si>
  <si>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</si>
  <si>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</si>
  <si>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</si>
  <si>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</si>
  <si>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</si>
  <si>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</si>
  <si>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</si>
  <si>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</si>
  <si>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</si>
  <si>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</si>
  <si>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</si>
  <si>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</si>
  <si>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</si>
  <si>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</si>
  <si>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</si>
  <si>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</si>
  <si>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</si>
  <si>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</si>
  <si>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</si>
  <si>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</si>
  <si>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</si>
  <si>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</si>
  <si>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</si>
  <si>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</si>
  <si>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</si>
  <si>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</si>
  <si>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</si>
  <si>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</si>
  <si>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</si>
  <si>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HLN.L owner-FCF component DCF: base case (millions, GBP)</t>
  </si>
  <si>
    <t xml:space="preserve">HLN.L owner-FCF component DCF: bull case (millions, GBP)</t>
  </si>
  <si>
    <t xml:space="preserve">HLN.L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</si>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</sst>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349.2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9545</v>
      </c>
      <c r="C2" s="0" t="n">
        <v>3595</v>
      </c>
      <c r="D2" s="0" t="n">
        <v>5950</v>
      </c>
      <c r="E2" s="0" t="n">
        <v>62.3</v>
      </c>
      <c r="F2" s="0" t="n">
        <v>1638</v>
      </c>
      <c r="G2" s="0" t="n">
        <v>17.2</v>
      </c>
      <c r="H2" s="0" t="n">
        <v>1906</v>
      </c>
      <c r="I2" s="0" t="n">
        <v>1390</v>
      </c>
      <c r="J2" s="0" t="n">
        <v>14.6</v>
      </c>
      <c r="K2" s="0" t="n">
        <v>0.151</v>
      </c>
      <c r="L2" s="0" t="n">
        <v>1356</v>
      </c>
      <c r="M2" s="0" t="n">
        <v>298</v>
      </c>
      <c r="N2" s="0" t="n">
        <v>1058</v>
      </c>
      <c r="O2" s="0" t="n">
        <v>26355</v>
      </c>
      <c r="P2" s="0" t="n">
        <v>34451</v>
      </c>
      <c r="Q2" s="0" t="n">
        <v>7971</v>
      </c>
      <c r="S2" s="0" t="n">
        <v>414</v>
      </c>
      <c r="T2" s="0" t="n">
        <v>9235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10858</v>
      </c>
      <c r="C3" s="0" t="n">
        <v>4281</v>
      </c>
      <c r="D3" s="0" t="n">
        <v>6577</v>
      </c>
      <c r="E3" s="0" t="n">
        <v>60.6</v>
      </c>
      <c r="F3" s="0" t="n">
        <v>1825</v>
      </c>
      <c r="G3" s="0" t="n">
        <v>16.8</v>
      </c>
      <c r="H3" s="0" t="n">
        <v>2112</v>
      </c>
      <c r="I3" s="0" t="n">
        <v>1060</v>
      </c>
      <c r="J3" s="0" t="n">
        <v>9.8</v>
      </c>
      <c r="K3" s="0" t="n">
        <v>0.115</v>
      </c>
      <c r="L3" s="0" t="n">
        <v>2063</v>
      </c>
      <c r="M3" s="0" t="n">
        <v>328</v>
      </c>
      <c r="N3" s="0" t="n">
        <v>1735</v>
      </c>
      <c r="O3" s="0" t="n">
        <v>16331</v>
      </c>
      <c r="P3" s="0" t="n">
        <v>34815</v>
      </c>
      <c r="Q3" s="0" t="n">
        <v>18358</v>
      </c>
      <c r="R3" s="0" t="n">
        <v>10440</v>
      </c>
      <c r="S3" s="0" t="n">
        <v>684</v>
      </c>
      <c r="T3" s="0" t="n">
        <v>9239</v>
      </c>
      <c r="U3" s="0" t="n">
        <v>15</v>
      </c>
      <c r="AA3" s="0" t="s">
        <v>18</v>
      </c>
      <c r="AB3" s="0" t="s">
        <v>14</v>
      </c>
      <c r="AC3" s="0" t="n">
        <v>2730</v>
      </c>
    </row>
    <row r="4" customFormat="false" ht="15" hidden="false" customHeight="false" outlineLevel="0" collapsed="false">
      <c r="A4" s="0" t="s">
        <v>68</v>
      </c>
      <c r="B4" s="0" t="n">
        <v>11302</v>
      </c>
      <c r="C4" s="0" t="n">
        <v>4555</v>
      </c>
      <c r="D4" s="0" t="n">
        <v>6747</v>
      </c>
      <c r="E4" s="0" t="n">
        <v>59.7</v>
      </c>
      <c r="F4" s="0" t="n">
        <v>1996</v>
      </c>
      <c r="G4" s="0" t="n">
        <v>17.7</v>
      </c>
      <c r="H4" s="0" t="n">
        <v>2305</v>
      </c>
      <c r="I4" s="0" t="n">
        <v>1049</v>
      </c>
      <c r="J4" s="0" t="n">
        <v>9.3</v>
      </c>
      <c r="K4" s="0" t="n">
        <v>0.113</v>
      </c>
      <c r="L4" s="0" t="n">
        <v>2100</v>
      </c>
      <c r="M4" s="0" t="n">
        <v>336</v>
      </c>
      <c r="N4" s="0" t="n">
        <v>1764</v>
      </c>
      <c r="O4" s="0" t="n">
        <v>16606</v>
      </c>
      <c r="P4" s="0" t="n">
        <v>34055</v>
      </c>
      <c r="Q4" s="0" t="n">
        <v>17326</v>
      </c>
      <c r="R4" s="0" t="n">
        <v>9456</v>
      </c>
      <c r="S4" s="0" t="n">
        <v>1044</v>
      </c>
      <c r="T4" s="0" t="n">
        <v>9263</v>
      </c>
      <c r="U4" s="0" t="n">
        <v>76</v>
      </c>
      <c r="AA4" s="0" t="s">
        <v>18</v>
      </c>
      <c r="AB4" s="0" t="s">
        <v>14</v>
      </c>
      <c r="AC4" s="0" t="n">
        <v>2831</v>
      </c>
    </row>
    <row r="5" customFormat="false" ht="15" hidden="false" customHeight="false" outlineLevel="0" collapsed="false">
      <c r="A5" s="0" t="s">
        <v>69</v>
      </c>
      <c r="B5" s="0" t="n">
        <v>11233</v>
      </c>
      <c r="C5" s="0" t="n">
        <v>4409</v>
      </c>
      <c r="D5" s="0" t="n">
        <v>6824</v>
      </c>
      <c r="E5" s="0" t="n">
        <v>60.7</v>
      </c>
      <c r="F5" s="0" t="n">
        <v>2206</v>
      </c>
      <c r="G5" s="0" t="n">
        <v>19.6</v>
      </c>
      <c r="H5" s="0" t="n">
        <v>2530</v>
      </c>
      <c r="I5" s="0" t="n">
        <v>1442</v>
      </c>
      <c r="J5" s="0" t="n">
        <v>12.8</v>
      </c>
      <c r="K5" s="0" t="n">
        <v>0.157</v>
      </c>
      <c r="L5" s="0" t="n">
        <v>2301</v>
      </c>
      <c r="M5" s="0" t="n">
        <v>318</v>
      </c>
      <c r="N5" s="0" t="n">
        <v>1983</v>
      </c>
      <c r="O5" s="0" t="n">
        <v>16166</v>
      </c>
      <c r="P5" s="0" t="n">
        <v>34315</v>
      </c>
      <c r="Q5" s="0" t="n">
        <v>18091</v>
      </c>
      <c r="R5" s="0" t="n">
        <v>10127</v>
      </c>
      <c r="S5" s="0" t="n">
        <v>2250</v>
      </c>
      <c r="T5" s="0" t="n">
        <v>9185</v>
      </c>
      <c r="U5" s="0" t="n">
        <v>102</v>
      </c>
      <c r="AA5" s="0" t="s">
        <v>18</v>
      </c>
      <c r="AB5" s="0" t="s">
        <v>14</v>
      </c>
      <c r="AC5" s="0" t="n">
        <v>2805</v>
      </c>
    </row>
    <row r="6" customFormat="false" ht="15" hidden="false" customHeight="false" outlineLevel="0" collapsed="false">
      <c r="A6" s="0" t="s">
        <v>70</v>
      </c>
      <c r="B6" s="0" t="n">
        <v>11030</v>
      </c>
      <c r="C6" s="0" t="n">
        <v>3950</v>
      </c>
      <c r="D6" s="0" t="n">
        <v>7080</v>
      </c>
      <c r="E6" s="0" t="n">
        <v>64.2</v>
      </c>
      <c r="F6" s="0" t="n">
        <v>2412</v>
      </c>
      <c r="G6" s="0" t="n">
        <v>21.9</v>
      </c>
      <c r="H6" s="0" t="n">
        <v>2772</v>
      </c>
      <c r="I6" s="0" t="n">
        <v>1667</v>
      </c>
      <c r="J6" s="0" t="n">
        <v>15.1</v>
      </c>
      <c r="K6" s="0" t="n">
        <v>0.185</v>
      </c>
      <c r="L6" s="0" t="n">
        <v>2634</v>
      </c>
      <c r="M6" s="0" t="n">
        <v>413</v>
      </c>
      <c r="N6" s="0" t="n">
        <v>2221</v>
      </c>
      <c r="O6" s="0" t="n">
        <v>16425</v>
      </c>
      <c r="P6" s="0" t="n">
        <v>32630</v>
      </c>
      <c r="Q6" s="0" t="n">
        <v>16146</v>
      </c>
      <c r="R6" s="0" t="n">
        <v>8609</v>
      </c>
      <c r="S6" s="0" t="n">
        <v>1324</v>
      </c>
      <c r="T6" s="0" t="n">
        <v>9011</v>
      </c>
      <c r="U6" s="0" t="n">
        <v>86</v>
      </c>
      <c r="AA6" s="0" t="s">
        <v>18</v>
      </c>
      <c r="AB6" s="0" t="s">
        <v>14</v>
      </c>
      <c r="AC6" s="0" t="n">
        <v>2838</v>
      </c>
      <c r="AD6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349.2</v>
      </c>
    </row>
    <row r="3" customFormat="false" ht="15" hidden="false" customHeight="false" outlineLevel="0" collapsed="false">
      <c r="A3" s="0" t="s">
        <v>74</v>
      </c>
      <c r="B3" s="3" t="n">
        <v>8826</v>
      </c>
    </row>
    <row r="4" customFormat="false" ht="15" hidden="false" customHeight="false" outlineLevel="0" collapsed="false">
      <c r="A4" s="0" t="s">
        <v>75</v>
      </c>
      <c r="B4" s="3" t="n">
        <v>7513</v>
      </c>
    </row>
    <row r="5" customFormat="false" ht="15" hidden="false" customHeight="false" outlineLevel="0" collapsed="false">
      <c r="A5" s="0" t="s">
        <v>76</v>
      </c>
      <c r="B5" s="3" t="n">
        <v>-60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11030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100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2</v>
      </c>
      <c r="D13" s="3" t="n">
        <v>2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24.6</v>
      </c>
      <c r="D14" s="3" t="n">
        <v>25</v>
      </c>
      <c r="E14" s="3" t="n">
        <v>25.5</v>
      </c>
      <c r="F14" s="3" t="n">
        <v>25.8</v>
      </c>
      <c r="G14" s="3" t="n">
        <v>26</v>
      </c>
      <c r="H14" s="3" t="n">
        <v>26</v>
      </c>
      <c r="I14" s="3" t="n">
        <v>26</v>
      </c>
      <c r="J14" s="3" t="n">
        <v>26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96</v>
      </c>
      <c r="C15" s="3" t="n">
        <v>0.8</v>
      </c>
      <c r="D15" s="3" t="n">
        <v>0.8</v>
      </c>
      <c r="E15" s="3" t="n">
        <v>0.8</v>
      </c>
      <c r="F15" s="3" t="n">
        <v>0.8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2.85</v>
      </c>
      <c r="D17" s="3" t="n">
        <v>2.9</v>
      </c>
      <c r="E17" s="3" t="n">
        <v>2.95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99</v>
      </c>
      <c r="C18" s="3" t="n">
        <v>4.3</v>
      </c>
      <c r="D18" s="3" t="n">
        <v>4.3</v>
      </c>
      <c r="E18" s="3" t="n">
        <v>4.1</v>
      </c>
      <c r="F18" s="3" t="n">
        <v>4</v>
      </c>
      <c r="G18" s="3" t="n">
        <v>3.9</v>
      </c>
      <c r="H18" s="3" t="n">
        <v>3.8</v>
      </c>
      <c r="I18" s="3" t="n">
        <v>3.8</v>
      </c>
      <c r="J18" s="3" t="n">
        <v>3.8</v>
      </c>
      <c r="K18" s="3" t="n">
        <v>3.8</v>
      </c>
      <c r="L18" s="3" t="n">
        <v>3.8</v>
      </c>
    </row>
    <row r="19" customFormat="false" ht="15" hidden="false" customHeight="false" outlineLevel="0" collapsed="false">
      <c r="A19" s="0" t="s">
        <v>100</v>
      </c>
      <c r="C19" s="3" t="n">
        <v>24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101</v>
      </c>
      <c r="B20" s="3" t="n">
        <v>7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3</v>
      </c>
      <c r="D27" s="3" t="n">
        <v>4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25.2</v>
      </c>
      <c r="D28" s="3" t="n">
        <v>26</v>
      </c>
      <c r="E28" s="3" t="n">
        <v>26.7</v>
      </c>
      <c r="F28" s="3" t="n">
        <v>27.2</v>
      </c>
      <c r="G28" s="3" t="n">
        <v>27.6</v>
      </c>
      <c r="H28" s="3" t="n">
        <v>27.8</v>
      </c>
      <c r="I28" s="3" t="n">
        <v>27.8</v>
      </c>
      <c r="J28" s="3" t="n">
        <v>27.8</v>
      </c>
      <c r="K28" s="3" t="n">
        <v>27.8</v>
      </c>
      <c r="L28" s="3" t="n">
        <v>27.8</v>
      </c>
    </row>
    <row r="29" customFormat="false" ht="15" hidden="false" customHeight="false" outlineLevel="0" collapsed="false">
      <c r="A29" s="0" t="s">
        <v>96</v>
      </c>
      <c r="C29" s="3" t="n">
        <v>0.8</v>
      </c>
      <c r="D29" s="3" t="n">
        <v>0.8</v>
      </c>
      <c r="E29" s="3" t="n">
        <v>0.8</v>
      </c>
      <c r="F29" s="3" t="n">
        <v>0.8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2.85</v>
      </c>
      <c r="D31" s="3" t="n">
        <v>2.9</v>
      </c>
      <c r="E31" s="3" t="n">
        <v>2.95</v>
      </c>
      <c r="F31" s="3" t="n">
        <v>3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99</v>
      </c>
      <c r="C32" s="3" t="n">
        <v>4.3</v>
      </c>
      <c r="D32" s="3" t="n">
        <v>4.3</v>
      </c>
      <c r="E32" s="3" t="n">
        <v>4</v>
      </c>
      <c r="F32" s="3" t="n">
        <v>3.8</v>
      </c>
      <c r="G32" s="3" t="n">
        <v>3.7</v>
      </c>
      <c r="H32" s="3" t="n">
        <v>3.6</v>
      </c>
      <c r="I32" s="3" t="n">
        <v>3.6</v>
      </c>
      <c r="J32" s="3" t="n">
        <v>3.6</v>
      </c>
      <c r="K32" s="3" t="n">
        <v>3.6</v>
      </c>
      <c r="L32" s="3" t="n">
        <v>3.6</v>
      </c>
    </row>
    <row r="33" customFormat="false" ht="15" hidden="false" customHeight="false" outlineLevel="0" collapsed="false">
      <c r="A33" s="0" t="s">
        <v>100</v>
      </c>
      <c r="C33" s="3" t="n">
        <v>24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101</v>
      </c>
      <c r="B34" s="3" t="n">
        <v>7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18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4</v>
      </c>
      <c r="D41" s="3" t="n">
        <v>5</v>
      </c>
      <c r="E41" s="3" t="n">
        <v>5.5</v>
      </c>
      <c r="F41" s="3" t="n">
        <v>5.5</v>
      </c>
      <c r="G41" s="3" t="n">
        <v>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25.5</v>
      </c>
      <c r="D42" s="3" t="n">
        <v>26.8</v>
      </c>
      <c r="E42" s="3" t="n">
        <v>27.8</v>
      </c>
      <c r="F42" s="3" t="n">
        <v>28.5</v>
      </c>
      <c r="G42" s="3" t="n">
        <v>29</v>
      </c>
      <c r="H42" s="3" t="n">
        <v>29.3</v>
      </c>
      <c r="I42" s="3" t="n">
        <v>29.5</v>
      </c>
      <c r="J42" s="3" t="n">
        <v>29.5</v>
      </c>
      <c r="K42" s="3" t="n">
        <v>29.5</v>
      </c>
      <c r="L42" s="3" t="n">
        <v>29.5</v>
      </c>
    </row>
    <row r="43" customFormat="false" ht="15" hidden="false" customHeight="false" outlineLevel="0" collapsed="false">
      <c r="A43" s="0" t="s">
        <v>96</v>
      </c>
      <c r="C43" s="3" t="n">
        <v>0.8</v>
      </c>
      <c r="D43" s="3" t="n">
        <v>0.8</v>
      </c>
      <c r="E43" s="3" t="n">
        <v>0.8</v>
      </c>
      <c r="F43" s="3" t="n">
        <v>0.8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2.85</v>
      </c>
      <c r="D45" s="3" t="n">
        <v>2.9</v>
      </c>
      <c r="E45" s="3" t="n">
        <v>2.95</v>
      </c>
      <c r="F45" s="3" t="n">
        <v>3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99</v>
      </c>
      <c r="C46" s="3" t="n">
        <v>4.3</v>
      </c>
      <c r="D46" s="3" t="n">
        <v>4.2</v>
      </c>
      <c r="E46" s="3" t="n">
        <v>3.9</v>
      </c>
      <c r="F46" s="3" t="n">
        <v>3.7</v>
      </c>
      <c r="G46" s="3" t="n">
        <v>3.6</v>
      </c>
      <c r="H46" s="3" t="n">
        <v>3.5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100</v>
      </c>
      <c r="C47" s="3" t="n">
        <v>24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101</v>
      </c>
      <c r="B48" s="3" t="n">
        <v>7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20</v>
      </c>
    </row>
    <row r="51" customFormat="false" ht="15" hidden="false" customHeight="false" outlineLevel="0" collapsed="false">
      <c r="A51" s="0" t="s">
        <v>104</v>
      </c>
      <c r="B51" s="3" t="n">
        <v>0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2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11030</v>
      </c>
      <c r="C6" s="0" t="n">
        <f aca="false">B6*(1+C5/100)</f>
        <v>11250.6</v>
      </c>
      <c r="D6" s="0" t="n">
        <f aca="false">C6*(1+D5/100)</f>
        <v>11475.612</v>
      </c>
      <c r="E6" s="0" t="n">
        <f aca="false">D6*(1+E5/100)</f>
        <v>11762.5023</v>
      </c>
      <c r="F6" s="0" t="n">
        <f aca="false">E6*(1+F5/100)</f>
        <v>12056.5648575</v>
      </c>
      <c r="G6" s="0" t="n">
        <f aca="false">F6*(1+G5/100)</f>
        <v>12357.9789789375</v>
      </c>
      <c r="H6" s="0" t="n">
        <f aca="false">G6*(1+H5/100)</f>
        <v>12666.9284534109</v>
      </c>
      <c r="I6" s="0" t="n">
        <f aca="false">H6*(1+I5/100)</f>
        <v>12983.6016647462</v>
      </c>
      <c r="J6" s="0" t="n">
        <f aca="false">I6*(1+J5/100)</f>
        <v>13243.2736980411</v>
      </c>
      <c r="K6" s="0" t="n">
        <f aca="false">J6*(1+K5/100)</f>
        <v>13508.139172002</v>
      </c>
      <c r="L6" s="0" t="n">
        <f aca="false">K6*(1+L5/100)</f>
        <v>13778.301955442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24.6</v>
      </c>
      <c r="D7" s="4" t="n">
        <f aca="false">Assumptions!D14</f>
        <v>25</v>
      </c>
      <c r="E7" s="4" t="n">
        <f aca="false">Assumptions!E14</f>
        <v>25.5</v>
      </c>
      <c r="F7" s="4" t="n">
        <f aca="false">Assumptions!F14</f>
        <v>25.8</v>
      </c>
      <c r="G7" s="4" t="n">
        <f aca="false">Assumptions!G14</f>
        <v>26</v>
      </c>
      <c r="H7" s="4" t="n">
        <f aca="false">Assumptions!H14</f>
        <v>26</v>
      </c>
      <c r="I7" s="4" t="n">
        <f aca="false">Assumptions!I14</f>
        <v>26</v>
      </c>
      <c r="J7" s="4" t="n">
        <f aca="false">Assumptions!J14</f>
        <v>26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2767.6476</v>
      </c>
      <c r="D8" s="0" t="n">
        <f aca="false">D6*D7/100</f>
        <v>2868.903</v>
      </c>
      <c r="E8" s="0" t="n">
        <f aca="false">E6*E7/100</f>
        <v>2999.4380865</v>
      </c>
      <c r="F8" s="0" t="n">
        <f aca="false">F6*F7/100</f>
        <v>3110.593733235</v>
      </c>
      <c r="G8" s="0" t="n">
        <f aca="false">G6*G7/100</f>
        <v>3213.07453452375</v>
      </c>
      <c r="H8" s="0" t="n">
        <f aca="false">H6*H7/100</f>
        <v>3293.40139788684</v>
      </c>
      <c r="I8" s="0" t="n">
        <f aca="false">I6*I7/100</f>
        <v>3375.73643283401</v>
      </c>
      <c r="J8" s="0" t="n">
        <f aca="false">J6*J7/100</f>
        <v>3443.25116149069</v>
      </c>
      <c r="K8" s="0" t="n">
        <f aca="false">K6*K7/100</f>
        <v>3512.11618472051</v>
      </c>
      <c r="L8" s="0" t="n">
        <f aca="false">L6*L7/100</f>
        <v>3582.35850841492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-90.0048</v>
      </c>
      <c r="D10" s="0" t="n">
        <f aca="false">-D6*D9/100</f>
        <v>-91.804896</v>
      </c>
      <c r="E10" s="0" t="n">
        <f aca="false">-E6*E9/100</f>
        <v>-94.1000184</v>
      </c>
      <c r="F10" s="0" t="n">
        <f aca="false">-F6*F9/100</f>
        <v>-96.45251886</v>
      </c>
      <c r="G10" s="0" t="n">
        <f aca="false">-G6*G9/100</f>
        <v>-98.8638318315</v>
      </c>
      <c r="H10" s="0" t="n">
        <f aca="false">-H6*H9/100</f>
        <v>-101.335427627288</v>
      </c>
      <c r="I10" s="0" t="n">
        <f aca="false">-I6*I9/100</f>
        <v>-103.86881331797</v>
      </c>
      <c r="J10" s="0" t="n">
        <f aca="false">-J6*J9/100</f>
        <v>-105.946189584329</v>
      </c>
      <c r="K10" s="0" t="n">
        <f aca="false">-K6*K9/100</f>
        <v>-108.065113376016</v>
      </c>
      <c r="L10" s="0" t="n">
        <f aca="false">-L6*L9/100</f>
        <v>-110.226415643536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2677.6428</v>
      </c>
      <c r="D11" s="0" t="n">
        <f aca="false">D8+D10+D24</f>
        <v>2777.098104</v>
      </c>
      <c r="E11" s="0" t="n">
        <f aca="false">E8+E10+E24</f>
        <v>2905.3380681</v>
      </c>
      <c r="F11" s="0" t="n">
        <f aca="false">F8+F10+F24</f>
        <v>3014.141214375</v>
      </c>
      <c r="G11" s="0" t="n">
        <f aca="false">G8+G10+G24</f>
        <v>3114.21070269225</v>
      </c>
      <c r="H11" s="0" t="n">
        <f aca="false">H8+H10+H24</f>
        <v>3192.06597025956</v>
      </c>
      <c r="I11" s="0" t="n">
        <f aca="false">I8+I10+I24</f>
        <v>3271.86761951604</v>
      </c>
      <c r="J11" s="0" t="n">
        <f aca="false">J8+J10+J24</f>
        <v>3337.30497190637</v>
      </c>
      <c r="K11" s="0" t="n">
        <f aca="false">K8+K10+K24</f>
        <v>3404.05107134449</v>
      </c>
      <c r="L11" s="0" t="n">
        <f aca="false">L8+L10+L24</f>
        <v>3472.13209277138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-320.6421</v>
      </c>
      <c r="D12" s="4" t="n">
        <f aca="false">-D6*Assumptions!D17/100</f>
        <v>-332.792748</v>
      </c>
      <c r="E12" s="4" t="n">
        <f aca="false">-E6*Assumptions!E17/100</f>
        <v>-346.99381785</v>
      </c>
      <c r="F12" s="4" t="n">
        <f aca="false">-F6*Assumptions!F17/100</f>
        <v>-361.696945725</v>
      </c>
      <c r="G12" s="4" t="n">
        <f aca="false">-G6*Assumptions!G17/100</f>
        <v>-370.739369368125</v>
      </c>
      <c r="H12" s="4" t="n">
        <f aca="false">-H6*Assumptions!H17/100</f>
        <v>-380.007853602328</v>
      </c>
      <c r="I12" s="4" t="n">
        <f aca="false">-I6*Assumptions!I17/100</f>
        <v>-389.508049942386</v>
      </c>
      <c r="J12" s="4" t="n">
        <f aca="false">-J6*Assumptions!J17/100</f>
        <v>-397.298210941234</v>
      </c>
      <c r="K12" s="4" t="n">
        <f aca="false">-K6*Assumptions!K17/100</f>
        <v>-405.244175160059</v>
      </c>
      <c r="L12" s="4" t="n">
        <f aca="false">-L6*Assumptions!L17/100</f>
        <v>-413.34905866326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2357.0007</v>
      </c>
      <c r="D13" s="0" t="n">
        <f aca="false">D11+D12</f>
        <v>2444.305356</v>
      </c>
      <c r="E13" s="0" t="n">
        <f aca="false">E11+E12</f>
        <v>2558.34425025</v>
      </c>
      <c r="F13" s="0" t="n">
        <f aca="false">F11+F12</f>
        <v>2652.44426865</v>
      </c>
      <c r="G13" s="0" t="n">
        <f aca="false">G11+G12</f>
        <v>2743.47133332412</v>
      </c>
      <c r="H13" s="0" t="n">
        <f aca="false">H11+H12</f>
        <v>2812.05811665723</v>
      </c>
      <c r="I13" s="0" t="n">
        <f aca="false">I11+I12</f>
        <v>2882.35956957366</v>
      </c>
      <c r="J13" s="0" t="n">
        <f aca="false">J11+J12</f>
        <v>2940.00676096513</v>
      </c>
      <c r="K13" s="0" t="n">
        <f aca="false">K11+K12</f>
        <v>2998.80689618443</v>
      </c>
      <c r="L13" s="0" t="n">
        <f aca="false">L11+L12</f>
        <v>3058.78303410812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24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1791.320532</v>
      </c>
      <c r="D15" s="0" t="n">
        <f aca="false">D13-MAX(0,D13)*D14/100</f>
        <v>1833.229017</v>
      </c>
      <c r="E15" s="0" t="n">
        <f aca="false">E13-MAX(0,E13)*E14/100</f>
        <v>1918.7581876875</v>
      </c>
      <c r="F15" s="0" t="n">
        <f aca="false">F13-MAX(0,F13)*F14/100</f>
        <v>1989.3332014875</v>
      </c>
      <c r="G15" s="0" t="n">
        <f aca="false">G13-MAX(0,G13)*G14/100</f>
        <v>2057.60349999309</v>
      </c>
      <c r="H15" s="0" t="n">
        <f aca="false">H13-MAX(0,H13)*H14/100</f>
        <v>2109.04358749292</v>
      </c>
      <c r="I15" s="0" t="n">
        <f aca="false">I13-MAX(0,I13)*I14/100</f>
        <v>2161.76967718024</v>
      </c>
      <c r="J15" s="0" t="n">
        <f aca="false">J13-MAX(0,J13)*J14/100</f>
        <v>2205.00507072385</v>
      </c>
      <c r="K15" s="0" t="n">
        <f aca="false">K13-MAX(0,K13)*K14/100</f>
        <v>2249.10517213833</v>
      </c>
      <c r="L15" s="0" t="n">
        <f aca="false">L13-MAX(0,L13)*L14/100</f>
        <v>2294.08727558109</v>
      </c>
    </row>
    <row r="16" customFormat="false" ht="15" hidden="false" customHeight="false" outlineLevel="0" collapsed="false">
      <c r="A16" s="0" t="s">
        <v>116</v>
      </c>
      <c r="C16" s="0" t="n">
        <f aca="false">-C12</f>
        <v>320.6421</v>
      </c>
      <c r="D16" s="0" t="n">
        <f aca="false">-D12</f>
        <v>332.792748</v>
      </c>
      <c r="E16" s="0" t="n">
        <f aca="false">-E12</f>
        <v>346.99381785</v>
      </c>
      <c r="F16" s="0" t="n">
        <f aca="false">-F12</f>
        <v>361.696945725</v>
      </c>
      <c r="G16" s="0" t="n">
        <f aca="false">-G12</f>
        <v>370.739369368125</v>
      </c>
      <c r="H16" s="0" t="n">
        <f aca="false">-H12</f>
        <v>380.007853602328</v>
      </c>
      <c r="I16" s="0" t="n">
        <f aca="false">-I12</f>
        <v>389.508049942386</v>
      </c>
      <c r="J16" s="0" t="n">
        <f aca="false">-J12</f>
        <v>397.298210941234</v>
      </c>
      <c r="K16" s="0" t="n">
        <f aca="false">-K12</f>
        <v>405.244175160059</v>
      </c>
      <c r="L16" s="0" t="n">
        <f aca="false">-L12</f>
        <v>413.34905866326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-483.7758</v>
      </c>
      <c r="D17" s="4" t="n">
        <f aca="false">-D6*Assumptions!D18/100</f>
        <v>-493.451316</v>
      </c>
      <c r="E17" s="4" t="n">
        <f aca="false">-E6*Assumptions!E18/100</f>
        <v>-482.2625943</v>
      </c>
      <c r="F17" s="4" t="n">
        <f aca="false">-F6*Assumptions!F18/100</f>
        <v>-482.2625943</v>
      </c>
      <c r="G17" s="4" t="n">
        <f aca="false">-G6*Assumptions!G18/100</f>
        <v>-481.961180178562</v>
      </c>
      <c r="H17" s="4" t="n">
        <f aca="false">-H6*Assumptions!H18/100</f>
        <v>-481.343281229616</v>
      </c>
      <c r="I17" s="4" t="n">
        <f aca="false">-I6*Assumptions!I18/100</f>
        <v>-493.376863260356</v>
      </c>
      <c r="J17" s="4" t="n">
        <f aca="false">-J6*Assumptions!J18/100</f>
        <v>-503.244400525563</v>
      </c>
      <c r="K17" s="4" t="n">
        <f aca="false">-K6*Assumptions!K18/100</f>
        <v>-513.309288536074</v>
      </c>
      <c r="L17" s="4" t="n">
        <f aca="false">-L6*Assumptions!L18/100</f>
        <v>-523.575474306796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1628.186832</v>
      </c>
      <c r="D19" s="0" t="n">
        <f aca="false">D15+D16+D17+D18</f>
        <v>1672.570449</v>
      </c>
      <c r="E19" s="0" t="n">
        <f aca="false">E15+E16+E17+E18</f>
        <v>1783.4894112375</v>
      </c>
      <c r="F19" s="0" t="n">
        <f aca="false">F15+F16+F17+F18</f>
        <v>1868.7675529125</v>
      </c>
      <c r="G19" s="0" t="n">
        <f aca="false">G15+G16+G17+G18</f>
        <v>1946.38168918266</v>
      </c>
      <c r="H19" s="0" t="n">
        <f aca="false">H15+H16+H17+H18</f>
        <v>2007.70815986563</v>
      </c>
      <c r="I19" s="0" t="n">
        <f aca="false">I15+I16+I17+I18</f>
        <v>2057.90086386227</v>
      </c>
      <c r="J19" s="0" t="n">
        <f aca="false">J15+J16+J17+J18</f>
        <v>2099.05888113952</v>
      </c>
      <c r="K19" s="0" t="n">
        <f aca="false">K15+K16+K17+K18</f>
        <v>2141.04005876231</v>
      </c>
      <c r="L19" s="0" t="n">
        <f aca="false">L15+L16+L17+L18</f>
        <v>2183.86085993756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1521.6699364486</v>
      </c>
      <c r="D21" s="0" t="n">
        <f aca="false">D19*D20</f>
        <v>1460.88780592191</v>
      </c>
      <c r="E21" s="0" t="n">
        <f aca="false">E19*E20</f>
        <v>1455.85861985049</v>
      </c>
      <c r="F21" s="0" t="n">
        <f aca="false">F19*F20</f>
        <v>1425.67381854672</v>
      </c>
      <c r="G21" s="0" t="n">
        <f aca="false">G19*G20</f>
        <v>1387.74324438731</v>
      </c>
      <c r="H21" s="0" t="n">
        <f aca="false">H19*H20</f>
        <v>1337.82072001942</v>
      </c>
      <c r="I21" s="0" t="n">
        <f aca="false">I19*I20</f>
        <v>1281.55723179431</v>
      </c>
      <c r="J21" s="0" t="n">
        <f aca="false">J19*J20</f>
        <v>1221.6713798413</v>
      </c>
      <c r="K21" s="0" t="n">
        <f aca="false">K19*K20</f>
        <v>1164.58393218517</v>
      </c>
      <c r="L21" s="0" t="n">
        <f aca="false">L19*L20</f>
        <v>1110.16412226997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13367.6308112652</v>
      </c>
    </row>
    <row r="31" customFormat="false" ht="15" hidden="false" customHeight="false" outlineLevel="0" collapsed="false">
      <c r="A31" s="0" t="s">
        <v>125</v>
      </c>
      <c r="B31" s="0" t="n">
        <f aca="false">L19</f>
        <v>2183.86085993756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44550.7615427261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32757.9128990633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32757.9128990633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16652.4618340496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30020.0926453148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22447.0926453148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254.329171145647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-0.271680495001012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693.871722676275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1143.08381548555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275.142172937646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17134.9082856639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68.2993133196612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3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11030</v>
      </c>
      <c r="C6" s="0" t="n">
        <f aca="false">B6*(1+C5/100)</f>
        <v>11360.9</v>
      </c>
      <c r="D6" s="0" t="n">
        <f aca="false">C6*(1+D5/100)</f>
        <v>11815.336</v>
      </c>
      <c r="E6" s="0" t="n">
        <f aca="false">D6*(1+E5/100)</f>
        <v>12287.94944</v>
      </c>
      <c r="F6" s="0" t="n">
        <f aca="false">E6*(1+F5/100)</f>
        <v>12779.4674176</v>
      </c>
      <c r="G6" s="0" t="n">
        <f aca="false">F6*(1+G5/100)</f>
        <v>13290.646114304</v>
      </c>
      <c r="H6" s="0" t="n">
        <f aca="false">G6*(1+H5/100)</f>
        <v>13755.8187283046</v>
      </c>
      <c r="I6" s="0" t="n">
        <f aca="false">H6*(1+I5/100)</f>
        <v>14237.2723837953</v>
      </c>
      <c r="J6" s="0" t="n">
        <f aca="false">I6*(1+J5/100)</f>
        <v>14664.3905553092</v>
      </c>
      <c r="K6" s="0" t="n">
        <f aca="false">J6*(1+K5/100)</f>
        <v>15104.3222719684</v>
      </c>
      <c r="L6" s="0" t="n">
        <f aca="false">K6*(1+L5/100)</f>
        <v>15481.9303287676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25.2</v>
      </c>
      <c r="D7" s="4" t="n">
        <f aca="false">Assumptions!D28</f>
        <v>26</v>
      </c>
      <c r="E7" s="4" t="n">
        <f aca="false">Assumptions!E28</f>
        <v>26.7</v>
      </c>
      <c r="F7" s="4" t="n">
        <f aca="false">Assumptions!F28</f>
        <v>27.2</v>
      </c>
      <c r="G7" s="4" t="n">
        <f aca="false">Assumptions!G28</f>
        <v>27.6</v>
      </c>
      <c r="H7" s="4" t="n">
        <f aca="false">Assumptions!H28</f>
        <v>27.8</v>
      </c>
      <c r="I7" s="4" t="n">
        <f aca="false">Assumptions!I28</f>
        <v>27.8</v>
      </c>
      <c r="J7" s="4" t="n">
        <f aca="false">Assumptions!J28</f>
        <v>27.8</v>
      </c>
      <c r="K7" s="4" t="n">
        <f aca="false">Assumptions!K28</f>
        <v>27.8</v>
      </c>
      <c r="L7" s="4" t="n">
        <f aca="false">Assumptions!L28</f>
        <v>27.8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2862.9468</v>
      </c>
      <c r="D8" s="0" t="n">
        <f aca="false">D6*D7/100</f>
        <v>3071.98736</v>
      </c>
      <c r="E8" s="0" t="n">
        <f aca="false">E6*E7/100</f>
        <v>3280.88250048</v>
      </c>
      <c r="F8" s="0" t="n">
        <f aca="false">F6*F7/100</f>
        <v>3476.0151375872</v>
      </c>
      <c r="G8" s="0" t="n">
        <f aca="false">G6*G7/100</f>
        <v>3668.2183275479</v>
      </c>
      <c r="H8" s="0" t="n">
        <f aca="false">H6*H7/100</f>
        <v>3824.11760646869</v>
      </c>
      <c r="I8" s="0" t="n">
        <f aca="false">I6*I7/100</f>
        <v>3957.96172269509</v>
      </c>
      <c r="J8" s="0" t="n">
        <f aca="false">J6*J7/100</f>
        <v>4076.70057437595</v>
      </c>
      <c r="K8" s="0" t="n">
        <f aca="false">K6*K7/100</f>
        <v>4199.00159160723</v>
      </c>
      <c r="L8" s="0" t="n">
        <f aca="false">L6*L7/100</f>
        <v>4303.97663139741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0.8</v>
      </c>
      <c r="D9" s="4" t="n">
        <f aca="false">Assumptions!D29</f>
        <v>0.8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-90.8872</v>
      </c>
      <c r="D10" s="0" t="n">
        <f aca="false">-D6*D9/100</f>
        <v>-94.522688</v>
      </c>
      <c r="E10" s="0" t="n">
        <f aca="false">-E6*E9/100</f>
        <v>-98.30359552</v>
      </c>
      <c r="F10" s="0" t="n">
        <f aca="false">-F6*F9/100</f>
        <v>-102.2357393408</v>
      </c>
      <c r="G10" s="0" t="n">
        <f aca="false">-G6*G9/100</f>
        <v>-106.325168914432</v>
      </c>
      <c r="H10" s="0" t="n">
        <f aca="false">-H6*H9/100</f>
        <v>-110.046549826437</v>
      </c>
      <c r="I10" s="0" t="n">
        <f aca="false">-I6*I9/100</f>
        <v>-113.898179070362</v>
      </c>
      <c r="J10" s="0" t="n">
        <f aca="false">-J6*J9/100</f>
        <v>-117.315124442473</v>
      </c>
      <c r="K10" s="0" t="n">
        <f aca="false">-K6*K9/100</f>
        <v>-120.834578175748</v>
      </c>
      <c r="L10" s="0" t="n">
        <f aca="false">-L6*L9/100</f>
        <v>-123.855442630141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2772.0596</v>
      </c>
      <c r="D11" s="0" t="n">
        <f aca="false">D8+D10+D24</f>
        <v>2977.464672</v>
      </c>
      <c r="E11" s="0" t="n">
        <f aca="false">E8+E10+E24</f>
        <v>3182.57890496</v>
      </c>
      <c r="F11" s="0" t="n">
        <f aca="false">F8+F10+F24</f>
        <v>3373.7793982464</v>
      </c>
      <c r="G11" s="0" t="n">
        <f aca="false">G8+G10+G24</f>
        <v>3561.89315863347</v>
      </c>
      <c r="H11" s="0" t="n">
        <f aca="false">H8+H10+H24</f>
        <v>3714.07105664225</v>
      </c>
      <c r="I11" s="0" t="n">
        <f aca="false">I8+I10+I24</f>
        <v>3844.06354362473</v>
      </c>
      <c r="J11" s="0" t="n">
        <f aca="false">J8+J10+J24</f>
        <v>3959.38544993347</v>
      </c>
      <c r="K11" s="0" t="n">
        <f aca="false">K8+K10+K24</f>
        <v>4078.16701343148</v>
      </c>
      <c r="L11" s="0" t="n">
        <f aca="false">L8+L10+L24</f>
        <v>4180.12118876726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-323.78565</v>
      </c>
      <c r="D12" s="4" t="n">
        <f aca="false">-D6*Assumptions!D31/100</f>
        <v>-342.644744</v>
      </c>
      <c r="E12" s="4" t="n">
        <f aca="false">-E6*Assumptions!E31/100</f>
        <v>-362.49450848</v>
      </c>
      <c r="F12" s="4" t="n">
        <f aca="false">-F6*Assumptions!F31/100</f>
        <v>-383.384022528</v>
      </c>
      <c r="G12" s="4" t="n">
        <f aca="false">-G6*Assumptions!G31/100</f>
        <v>-398.71938342912</v>
      </c>
      <c r="H12" s="4" t="n">
        <f aca="false">-H6*Assumptions!H31/100</f>
        <v>-412.674561849139</v>
      </c>
      <c r="I12" s="4" t="n">
        <f aca="false">-I6*Assumptions!I31/100</f>
        <v>-427.118171513859</v>
      </c>
      <c r="J12" s="4" t="n">
        <f aca="false">-J6*Assumptions!J31/100</f>
        <v>-439.931716659275</v>
      </c>
      <c r="K12" s="4" t="n">
        <f aca="false">-K6*Assumptions!K31/100</f>
        <v>-453.129668159053</v>
      </c>
      <c r="L12" s="4" t="n">
        <f aca="false">-L6*Assumptions!L31/100</f>
        <v>-464.457909863029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2448.27395</v>
      </c>
      <c r="D13" s="0" t="n">
        <f aca="false">D11+D12</f>
        <v>2634.819928</v>
      </c>
      <c r="E13" s="0" t="n">
        <f aca="false">E11+E12</f>
        <v>2820.08439648</v>
      </c>
      <c r="F13" s="0" t="n">
        <f aca="false">F11+F12</f>
        <v>2990.3953757184</v>
      </c>
      <c r="G13" s="0" t="n">
        <f aca="false">G11+G12</f>
        <v>3163.17377520435</v>
      </c>
      <c r="H13" s="0" t="n">
        <f aca="false">H11+H12</f>
        <v>3301.39649479311</v>
      </c>
      <c r="I13" s="0" t="n">
        <f aca="false">I11+I12</f>
        <v>3416.94537211087</v>
      </c>
      <c r="J13" s="0" t="n">
        <f aca="false">J11+J12</f>
        <v>3519.4537332742</v>
      </c>
      <c r="K13" s="0" t="n">
        <f aca="false">K11+K12</f>
        <v>3625.03734527243</v>
      </c>
      <c r="L13" s="0" t="n">
        <f aca="false">L11+L12</f>
        <v>3715.66327890424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24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1860.688202</v>
      </c>
      <c r="D15" s="0" t="n">
        <f aca="false">D13-MAX(0,D13)*D14/100</f>
        <v>1989.28904564</v>
      </c>
      <c r="E15" s="0" t="n">
        <f aca="false">E13-MAX(0,E13)*E14/100</f>
        <v>2129.1637193424</v>
      </c>
      <c r="F15" s="0" t="n">
        <f aca="false">F13-MAX(0,F13)*F14/100</f>
        <v>2257.74850866739</v>
      </c>
      <c r="G15" s="0" t="n">
        <f aca="false">G13-MAX(0,G13)*G14/100</f>
        <v>2388.19620027929</v>
      </c>
      <c r="H15" s="0" t="n">
        <f aca="false">H13-MAX(0,H13)*H14/100</f>
        <v>2492.5543535688</v>
      </c>
      <c r="I15" s="0" t="n">
        <f aca="false">I13-MAX(0,I13)*I14/100</f>
        <v>2579.79375594371</v>
      </c>
      <c r="J15" s="0" t="n">
        <f aca="false">J13-MAX(0,J13)*J14/100</f>
        <v>2657.18756862202</v>
      </c>
      <c r="K15" s="0" t="n">
        <f aca="false">K13-MAX(0,K13)*K14/100</f>
        <v>2736.90319568068</v>
      </c>
      <c r="L15" s="0" t="n">
        <f aca="false">L13-MAX(0,L13)*L14/100</f>
        <v>2805.3257755727</v>
      </c>
    </row>
    <row r="16" customFormat="false" ht="15" hidden="false" customHeight="false" outlineLevel="0" collapsed="false">
      <c r="A16" s="0" t="s">
        <v>116</v>
      </c>
      <c r="C16" s="0" t="n">
        <f aca="false">-C12</f>
        <v>323.78565</v>
      </c>
      <c r="D16" s="0" t="n">
        <f aca="false">-D12</f>
        <v>342.644744</v>
      </c>
      <c r="E16" s="0" t="n">
        <f aca="false">-E12</f>
        <v>362.49450848</v>
      </c>
      <c r="F16" s="0" t="n">
        <f aca="false">-F12</f>
        <v>383.384022528</v>
      </c>
      <c r="G16" s="0" t="n">
        <f aca="false">-G12</f>
        <v>398.71938342912</v>
      </c>
      <c r="H16" s="0" t="n">
        <f aca="false">-H12</f>
        <v>412.674561849139</v>
      </c>
      <c r="I16" s="0" t="n">
        <f aca="false">-I12</f>
        <v>427.118171513859</v>
      </c>
      <c r="J16" s="0" t="n">
        <f aca="false">-J12</f>
        <v>439.931716659275</v>
      </c>
      <c r="K16" s="0" t="n">
        <f aca="false">-K12</f>
        <v>453.129668159053</v>
      </c>
      <c r="L16" s="0" t="n">
        <f aca="false">-L12</f>
        <v>464.457909863029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-488.5187</v>
      </c>
      <c r="D17" s="4" t="n">
        <f aca="false">-D6*Assumptions!D32/100</f>
        <v>-508.059448</v>
      </c>
      <c r="E17" s="4" t="n">
        <f aca="false">-E6*Assumptions!E32/100</f>
        <v>-491.5179776</v>
      </c>
      <c r="F17" s="4" t="n">
        <f aca="false">-F6*Assumptions!F32/100</f>
        <v>-485.6197618688</v>
      </c>
      <c r="G17" s="4" t="n">
        <f aca="false">-G6*Assumptions!G32/100</f>
        <v>-491.753906229248</v>
      </c>
      <c r="H17" s="4" t="n">
        <f aca="false">-H6*Assumptions!H32/100</f>
        <v>-495.209474218967</v>
      </c>
      <c r="I17" s="4" t="n">
        <f aca="false">-I6*Assumptions!I32/100</f>
        <v>-512.541805816631</v>
      </c>
      <c r="J17" s="4" t="n">
        <f aca="false">-J6*Assumptions!J32/100</f>
        <v>-527.91805999113</v>
      </c>
      <c r="K17" s="4" t="n">
        <f aca="false">-K6*Assumptions!K32/100</f>
        <v>-543.755601790864</v>
      </c>
      <c r="L17" s="4" t="n">
        <f aca="false">-L6*Assumptions!L32/100</f>
        <v>-557.349491835635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1695.955152</v>
      </c>
      <c r="D19" s="0" t="n">
        <f aca="false">D15+D16+D17+D18</f>
        <v>1823.87434164</v>
      </c>
      <c r="E19" s="0" t="n">
        <f aca="false">E15+E16+E17+E18</f>
        <v>2000.1402502224</v>
      </c>
      <c r="F19" s="0" t="n">
        <f aca="false">F15+F16+F17+F18</f>
        <v>2155.51276932659</v>
      </c>
      <c r="G19" s="0" t="n">
        <f aca="false">G15+G16+G17+G18</f>
        <v>2295.16167747916</v>
      </c>
      <c r="H19" s="0" t="n">
        <f aca="false">H15+H16+H17+H18</f>
        <v>2410.01944119897</v>
      </c>
      <c r="I19" s="0" t="n">
        <f aca="false">I15+I16+I17+I18</f>
        <v>2494.37012164094</v>
      </c>
      <c r="J19" s="0" t="n">
        <f aca="false">J15+J16+J17+J18</f>
        <v>2569.20122529017</v>
      </c>
      <c r="K19" s="0" t="n">
        <f aca="false">K15+K16+K17+K18</f>
        <v>2646.27726204887</v>
      </c>
      <c r="L19" s="0" t="n">
        <f aca="false">L15+L16+L17+L18</f>
        <v>2712.43419360009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1585.00481495327</v>
      </c>
      <c r="D21" s="0" t="n">
        <f aca="false">D19*D20</f>
        <v>1593.04248549218</v>
      </c>
      <c r="E21" s="0" t="n">
        <f aca="false">E19*E20</f>
        <v>1632.71023974048</v>
      </c>
      <c r="F21" s="0" t="n">
        <f aca="false">F19*F20</f>
        <v>1644.43037122656</v>
      </c>
      <c r="G21" s="0" t="n">
        <f aca="false">G19*G20</f>
        <v>1636.41855572319</v>
      </c>
      <c r="H21" s="0" t="n">
        <f aca="false">H19*H20</f>
        <v>1605.89771388955</v>
      </c>
      <c r="I21" s="0" t="n">
        <f aca="false">I19*I20</f>
        <v>1553.36834941653</v>
      </c>
      <c r="J21" s="0" t="n">
        <f aca="false">J19*J20</f>
        <v>1495.29850457853</v>
      </c>
      <c r="K21" s="0" t="n">
        <f aca="false">K19*K20</f>
        <v>1439.39949506157</v>
      </c>
      <c r="L21" s="0" t="n">
        <f aca="false">L19*L20</f>
        <v>1378.86400227861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15564.4345323605</v>
      </c>
    </row>
    <row r="31" customFormat="false" ht="15" hidden="false" customHeight="false" outlineLevel="0" collapsed="false">
      <c r="A31" s="0" t="s">
        <v>125</v>
      </c>
      <c r="B31" s="0" t="n">
        <f aca="false">L19</f>
        <v>2712.43419360009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61783.2232986687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48823.8154848016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48823.8154848016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24819.552041015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40383.9865733755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32810.9865733755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371.75375677969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0.0645869323587922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742.774658944457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1434.13049450591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396.418442406819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22241.9603875207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98.6812152106823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4</v>
      </c>
      <c r="D5" s="4" t="n">
        <f aca="false">Assumptions!D41</f>
        <v>5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11030</v>
      </c>
      <c r="C6" s="0" t="n">
        <f aca="false">B6*(1+C5/100)</f>
        <v>11471.2</v>
      </c>
      <c r="D6" s="0" t="n">
        <f aca="false">C6*(1+D5/100)</f>
        <v>12044.76</v>
      </c>
      <c r="E6" s="0" t="n">
        <f aca="false">D6*(1+E5/100)</f>
        <v>12707.2218</v>
      </c>
      <c r="F6" s="0" t="n">
        <f aca="false">E6*(1+F5/100)</f>
        <v>13406.118999</v>
      </c>
      <c r="G6" s="0" t="n">
        <f aca="false">F6*(1+G5/100)</f>
        <v>14076.42494895</v>
      </c>
      <c r="H6" s="0" t="n">
        <f aca="false">G6*(1+H5/100)</f>
        <v>14780.2461963975</v>
      </c>
      <c r="I6" s="0" t="n">
        <f aca="false">H6*(1+I5/100)</f>
        <v>15445.3572752354</v>
      </c>
      <c r="J6" s="0" t="n">
        <f aca="false">I6*(1+J5/100)</f>
        <v>16063.1715662448</v>
      </c>
      <c r="K6" s="0" t="n">
        <f aca="false">J6*(1+K5/100)</f>
        <v>16625.3825710634</v>
      </c>
      <c r="L6" s="0" t="n">
        <f aca="false">K6*(1+L5/100)</f>
        <v>17124.1440481953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25.5</v>
      </c>
      <c r="D7" s="4" t="n">
        <f aca="false">Assumptions!D42</f>
        <v>26.8</v>
      </c>
      <c r="E7" s="4" t="n">
        <f aca="false">Assumptions!E42</f>
        <v>27.8</v>
      </c>
      <c r="F7" s="4" t="n">
        <f aca="false">Assumptions!F42</f>
        <v>28.5</v>
      </c>
      <c r="G7" s="4" t="n">
        <f aca="false">Assumptions!G42</f>
        <v>29</v>
      </c>
      <c r="H7" s="4" t="n">
        <f aca="false">Assumptions!H42</f>
        <v>29.3</v>
      </c>
      <c r="I7" s="4" t="n">
        <f aca="false">Assumptions!I42</f>
        <v>29.5</v>
      </c>
      <c r="J7" s="4" t="n">
        <f aca="false">Assumptions!J42</f>
        <v>29.5</v>
      </c>
      <c r="K7" s="4" t="n">
        <f aca="false">Assumptions!K42</f>
        <v>29.5</v>
      </c>
      <c r="L7" s="4" t="n">
        <f aca="false">Assumptions!L42</f>
        <v>29.5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2925.156</v>
      </c>
      <c r="D8" s="0" t="n">
        <f aca="false">D6*D7/100</f>
        <v>3227.99568</v>
      </c>
      <c r="E8" s="0" t="n">
        <f aca="false">E6*E7/100</f>
        <v>3532.6076604</v>
      </c>
      <c r="F8" s="0" t="n">
        <f aca="false">F6*F7/100</f>
        <v>3820.743914715</v>
      </c>
      <c r="G8" s="0" t="n">
        <f aca="false">G6*G7/100</f>
        <v>4082.1632351955</v>
      </c>
      <c r="H8" s="0" t="n">
        <f aca="false">H6*H7/100</f>
        <v>4330.61213554447</v>
      </c>
      <c r="I8" s="0" t="n">
        <f aca="false">I6*I7/100</f>
        <v>4556.38039619444</v>
      </c>
      <c r="J8" s="0" t="n">
        <f aca="false">J6*J7/100</f>
        <v>4738.63561204222</v>
      </c>
      <c r="K8" s="0" t="n">
        <f aca="false">K6*K7/100</f>
        <v>4904.48785846369</v>
      </c>
      <c r="L8" s="0" t="n">
        <f aca="false">L6*L7/100</f>
        <v>5051.62249421761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0.8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-91.7696</v>
      </c>
      <c r="D10" s="0" t="n">
        <f aca="false">-D6*D9/100</f>
        <v>-96.35808</v>
      </c>
      <c r="E10" s="0" t="n">
        <f aca="false">-E6*E9/100</f>
        <v>-101.6577744</v>
      </c>
      <c r="F10" s="0" t="n">
        <f aca="false">-F6*F9/100</f>
        <v>-107.248951992</v>
      </c>
      <c r="G10" s="0" t="n">
        <f aca="false">-G6*G9/100</f>
        <v>-112.6113995916</v>
      </c>
      <c r="H10" s="0" t="n">
        <f aca="false">-H6*H9/100</f>
        <v>-118.24196957118</v>
      </c>
      <c r="I10" s="0" t="n">
        <f aca="false">-I6*I9/100</f>
        <v>-123.562858201883</v>
      </c>
      <c r="J10" s="0" t="n">
        <f aca="false">-J6*J9/100</f>
        <v>-128.505372529958</v>
      </c>
      <c r="K10" s="0" t="n">
        <f aca="false">-K6*K9/100</f>
        <v>-133.003060568507</v>
      </c>
      <c r="L10" s="0" t="n">
        <f aca="false">-L6*L9/100</f>
        <v>-136.993152385562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2833.3864</v>
      </c>
      <c r="D11" s="0" t="n">
        <f aca="false">D8+D10+D24</f>
        <v>3131.6376</v>
      </c>
      <c r="E11" s="0" t="n">
        <f aca="false">E8+E10+E24</f>
        <v>3430.949886</v>
      </c>
      <c r="F11" s="0" t="n">
        <f aca="false">F8+F10+F24</f>
        <v>3713.494962723</v>
      </c>
      <c r="G11" s="0" t="n">
        <f aca="false">G8+G10+G24</f>
        <v>3969.5518356039</v>
      </c>
      <c r="H11" s="0" t="n">
        <f aca="false">H8+H10+H24</f>
        <v>4212.37016597329</v>
      </c>
      <c r="I11" s="0" t="n">
        <f aca="false">I8+I10+I24</f>
        <v>4432.81753799256</v>
      </c>
      <c r="J11" s="0" t="n">
        <f aca="false">J8+J10+J24</f>
        <v>4610.13023951226</v>
      </c>
      <c r="K11" s="0" t="n">
        <f aca="false">K8+K10+K24</f>
        <v>4771.48479789519</v>
      </c>
      <c r="L11" s="0" t="n">
        <f aca="false">L8+L10+L24</f>
        <v>4914.62934183204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-326.9292</v>
      </c>
      <c r="D12" s="4" t="n">
        <f aca="false">-D6*Assumptions!D45/100</f>
        <v>-349.29804</v>
      </c>
      <c r="E12" s="4" t="n">
        <f aca="false">-E6*Assumptions!E45/100</f>
        <v>-374.8630431</v>
      </c>
      <c r="F12" s="4" t="n">
        <f aca="false">-F6*Assumptions!F45/100</f>
        <v>-402.18356997</v>
      </c>
      <c r="G12" s="4" t="n">
        <f aca="false">-G6*Assumptions!G45/100</f>
        <v>-422.2927484685</v>
      </c>
      <c r="H12" s="4" t="n">
        <f aca="false">-H6*Assumptions!H45/100</f>
        <v>-443.407385891925</v>
      </c>
      <c r="I12" s="4" t="n">
        <f aca="false">-I6*Assumptions!I45/100</f>
        <v>-463.360718257062</v>
      </c>
      <c r="J12" s="4" t="n">
        <f aca="false">-J6*Assumptions!J45/100</f>
        <v>-481.895146987344</v>
      </c>
      <c r="K12" s="4" t="n">
        <f aca="false">-K6*Assumptions!K45/100</f>
        <v>-498.761477131901</v>
      </c>
      <c r="L12" s="4" t="n">
        <f aca="false">-L6*Assumptions!L45/100</f>
        <v>-513.724321445858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2506.4572</v>
      </c>
      <c r="D13" s="0" t="n">
        <f aca="false">D11+D12</f>
        <v>2782.33956</v>
      </c>
      <c r="E13" s="0" t="n">
        <f aca="false">E11+E12</f>
        <v>3056.0868429</v>
      </c>
      <c r="F13" s="0" t="n">
        <f aca="false">F11+F12</f>
        <v>3311.311392753</v>
      </c>
      <c r="G13" s="0" t="n">
        <f aca="false">G11+G12</f>
        <v>3547.2590871354</v>
      </c>
      <c r="H13" s="0" t="n">
        <f aca="false">H11+H12</f>
        <v>3768.96278008136</v>
      </c>
      <c r="I13" s="0" t="n">
        <f aca="false">I11+I12</f>
        <v>3969.45681973549</v>
      </c>
      <c r="J13" s="0" t="n">
        <f aca="false">J11+J12</f>
        <v>4128.23509252491</v>
      </c>
      <c r="K13" s="0" t="n">
        <f aca="false">K11+K12</f>
        <v>4272.72332076329</v>
      </c>
      <c r="L13" s="0" t="n">
        <f aca="false">L11+L12</f>
        <v>4400.90502038619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24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1904.907472</v>
      </c>
      <c r="D15" s="0" t="n">
        <f aca="false">D13-MAX(0,D13)*D14/100</f>
        <v>2100.6663678</v>
      </c>
      <c r="E15" s="0" t="n">
        <f aca="false">E13-MAX(0,E13)*E14/100</f>
        <v>2307.3455663895</v>
      </c>
      <c r="F15" s="0" t="n">
        <f aca="false">F13-MAX(0,F13)*F14/100</f>
        <v>2500.04010152851</v>
      </c>
      <c r="G15" s="0" t="n">
        <f aca="false">G13-MAX(0,G13)*G14/100</f>
        <v>2678.18061078723</v>
      </c>
      <c r="H15" s="0" t="n">
        <f aca="false">H13-MAX(0,H13)*H14/100</f>
        <v>2845.56689896143</v>
      </c>
      <c r="I15" s="0" t="n">
        <f aca="false">I13-MAX(0,I13)*I14/100</f>
        <v>2996.9398989003</v>
      </c>
      <c r="J15" s="0" t="n">
        <f aca="false">J13-MAX(0,J13)*J14/100</f>
        <v>3116.81749485631</v>
      </c>
      <c r="K15" s="0" t="n">
        <f aca="false">K13-MAX(0,K13)*K14/100</f>
        <v>3225.90610717628</v>
      </c>
      <c r="L15" s="0" t="n">
        <f aca="false">L13-MAX(0,L13)*L14/100</f>
        <v>3322.68329039157</v>
      </c>
    </row>
    <row r="16" customFormat="false" ht="15" hidden="false" customHeight="false" outlineLevel="0" collapsed="false">
      <c r="A16" s="0" t="s">
        <v>116</v>
      </c>
      <c r="C16" s="0" t="n">
        <f aca="false">-C12</f>
        <v>326.9292</v>
      </c>
      <c r="D16" s="0" t="n">
        <f aca="false">-D12</f>
        <v>349.29804</v>
      </c>
      <c r="E16" s="0" t="n">
        <f aca="false">-E12</f>
        <v>374.8630431</v>
      </c>
      <c r="F16" s="0" t="n">
        <f aca="false">-F12</f>
        <v>402.18356997</v>
      </c>
      <c r="G16" s="0" t="n">
        <f aca="false">-G12</f>
        <v>422.2927484685</v>
      </c>
      <c r="H16" s="0" t="n">
        <f aca="false">-H12</f>
        <v>443.407385891925</v>
      </c>
      <c r="I16" s="0" t="n">
        <f aca="false">-I12</f>
        <v>463.360718257062</v>
      </c>
      <c r="J16" s="0" t="n">
        <f aca="false">-J12</f>
        <v>481.895146987344</v>
      </c>
      <c r="K16" s="0" t="n">
        <f aca="false">-K12</f>
        <v>498.761477131901</v>
      </c>
      <c r="L16" s="0" t="n">
        <f aca="false">-L12</f>
        <v>513.724321445858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-493.2616</v>
      </c>
      <c r="D17" s="4" t="n">
        <f aca="false">-D6*Assumptions!D46/100</f>
        <v>-505.87992</v>
      </c>
      <c r="E17" s="4" t="n">
        <f aca="false">-E6*Assumptions!E46/100</f>
        <v>-495.5816502</v>
      </c>
      <c r="F17" s="4" t="n">
        <f aca="false">-F6*Assumptions!F46/100</f>
        <v>-496.026402963</v>
      </c>
      <c r="G17" s="4" t="n">
        <f aca="false">-G6*Assumptions!G46/100</f>
        <v>-506.7512981622</v>
      </c>
      <c r="H17" s="4" t="n">
        <f aca="false">-H6*Assumptions!H46/100</f>
        <v>-517.308616873913</v>
      </c>
      <c r="I17" s="4" t="n">
        <f aca="false">-I6*Assumptions!I46/100</f>
        <v>-540.587504633239</v>
      </c>
      <c r="J17" s="4" t="n">
        <f aca="false">-J6*Assumptions!J46/100</f>
        <v>-562.211004818568</v>
      </c>
      <c r="K17" s="4" t="n">
        <f aca="false">-K6*Assumptions!K46/100</f>
        <v>-581.888389987218</v>
      </c>
      <c r="L17" s="4" t="n">
        <f aca="false">-L6*Assumptions!L46/100</f>
        <v>-599.345041686835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1738.575072</v>
      </c>
      <c r="D19" s="0" t="n">
        <f aca="false">D15+D16+D17+D18</f>
        <v>1944.0844878</v>
      </c>
      <c r="E19" s="0" t="n">
        <f aca="false">E15+E16+E17+E18</f>
        <v>2186.6269592895</v>
      </c>
      <c r="F19" s="0" t="n">
        <f aca="false">F15+F16+F17+F18</f>
        <v>2406.19726853552</v>
      </c>
      <c r="G19" s="0" t="n">
        <f aca="false">G15+G16+G17+G18</f>
        <v>2593.72206109353</v>
      </c>
      <c r="H19" s="0" t="n">
        <f aca="false">H15+H16+H17+H18</f>
        <v>2771.66566797944</v>
      </c>
      <c r="I19" s="0" t="n">
        <f aca="false">I15+I16+I17+I18</f>
        <v>2919.71311252412</v>
      </c>
      <c r="J19" s="0" t="n">
        <f aca="false">J15+J16+J17+J18</f>
        <v>3036.50163702509</v>
      </c>
      <c r="K19" s="0" t="n">
        <f aca="false">K15+K16+K17+K18</f>
        <v>3142.77919432096</v>
      </c>
      <c r="L19" s="0" t="n">
        <f aca="false">L15+L16+L17+L18</f>
        <v>3237.06257015059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1624.83651588785</v>
      </c>
      <c r="D21" s="0" t="n">
        <f aca="false">D19*D20</f>
        <v>1698.03868267971</v>
      </c>
      <c r="E21" s="0" t="n">
        <f aca="false">E19*E20</f>
        <v>1784.93894442032</v>
      </c>
      <c r="F21" s="0" t="n">
        <f aca="false">F19*F20</f>
        <v>1835.67637540758</v>
      </c>
      <c r="G21" s="0" t="n">
        <f aca="false">G19*G20</f>
        <v>1849.28798298158</v>
      </c>
      <c r="H21" s="0" t="n">
        <f aca="false">H19*H20</f>
        <v>1846.8778648773</v>
      </c>
      <c r="I21" s="0" t="n">
        <f aca="false">I19*I20</f>
        <v>1818.25058720145</v>
      </c>
      <c r="J21" s="0" t="n">
        <f aca="false">J19*J20</f>
        <v>1767.27159877524</v>
      </c>
      <c r="K21" s="0" t="n">
        <f aca="false">K19*K20</f>
        <v>1709.46364928259</v>
      </c>
      <c r="L21" s="0" t="n">
        <f aca="false">L19*L20</f>
        <v>1645.55846613184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17580.2006676455</v>
      </c>
    </row>
    <row r="31" customFormat="false" ht="15" hidden="false" customHeight="false" outlineLevel="0" collapsed="false">
      <c r="A31" s="0" t="s">
        <v>125</v>
      </c>
      <c r="B31" s="0" t="n">
        <f aca="false">L19</f>
        <v>3237.06257015059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73733.0918756524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64741.2514030119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64741.2514030119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32911.1693226369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50491.3699902823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42918.3699902823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486.272037052825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0.392531606680484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787.53684546245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1586.25291874593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513.167456996269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26543.9130752349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125.256662219675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254.329171145647</v>
      </c>
      <c r="C4" s="0" t="n">
        <f aca="false">B4/Assumptions!$B$2-1</f>
        <v>-0.271680495001012</v>
      </c>
      <c r="D4" s="4" t="n">
        <f aca="false">Assumptions!$B$24</f>
        <v>0.25</v>
      </c>
      <c r="E4" s="4" t="n">
        <f aca="false">DCF_Bear!$B$43</f>
        <v>275.142172937646</v>
      </c>
      <c r="F4" s="4" t="n">
        <f aca="false">DCF_Bear!$B$47</f>
        <v>68.2993133196612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371.75375677969</v>
      </c>
      <c r="C5" s="0" t="n">
        <f aca="false">B5/Assumptions!$B$2-1</f>
        <v>0.0645869323587922</v>
      </c>
      <c r="D5" s="4" t="n">
        <f aca="false">Assumptions!$B$38</f>
        <v>0.5</v>
      </c>
      <c r="E5" s="4" t="n">
        <f aca="false">DCF_Base!$B$43</f>
        <v>396.418442406819</v>
      </c>
      <c r="F5" s="4" t="n">
        <f aca="false">DCF_Base!$B$47</f>
        <v>98.6812152106823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486.272037052825</v>
      </c>
      <c r="C6" s="0" t="n">
        <f aca="false">B6/Assumptions!$B$2-1</f>
        <v>0.392531606680484</v>
      </c>
      <c r="D6" s="4" t="n">
        <f aca="false">Assumptions!$B$52</f>
        <v>0.25</v>
      </c>
      <c r="E6" s="4" t="n">
        <f aca="false">DCF_Bull!$B$43</f>
        <v>513.167456996269</v>
      </c>
      <c r="F6" s="4" t="n">
        <f aca="false">DCF_Bull!$B$47</f>
        <v>125.256662219675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371.027180439463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395.286628686888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0.0588290604844903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-89.9739359974102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97.7296014901752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371.75375677969</v>
      </c>
      <c r="C15" s="3" t="n">
        <v>7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278.768515573476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228.588956816693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190.27538624735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160.077670128376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98.6812152106823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449.247648846187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449.247648846187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449.247648846187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449.247648846187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449.247648846187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408.630386740563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408.630386740563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408.630386740563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408.630386740563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408.630386740563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371.75375677969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371.75375677969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371.75375677969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371.75375677969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371.75375677969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304.288289160682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323.998301010295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338.233309568348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338.233309568348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338.233309568348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249.742850078327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263.21905191536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278.768515573476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296.909556507944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307.727608441342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2026-10-09T23:20:22Z</dcterms:created>
  <dc:creator>openpyxl</dc:creator>
  <dc:description/>
  <dc:language>en-NZ</dc:language>
  <cp:lastModifiedBy/>
  <dcterms:modified xsi:type="dcterms:W3CDTF">2026-10-09T23:20:22Z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