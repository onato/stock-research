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<sst xmlns="http://schemas.openxmlformats.org/spreadsheetml/2006/main" count="390" uniqueCount="175">
  <si>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</si>
  <si>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ZBH</t>
  </si>
  <si>
    <t xml:space="preserve">Company</t>
  </si>
  <si>
    <t xml:space="preserve">Zimmer Biomet Holdings,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</si>
  <si>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</si>
  <si>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</si>
  <si>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</si>
  <si>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</si>
  <si>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2026-10-02T20:02:17Z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</si>
  <si>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</si>
  <si>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</si>
  <si>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</si>
  <si>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</si>
  <si>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</si>
  <si>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</si>
  <si>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</si>
  <si>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</si>
  <si>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</si>
  <si>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</si>
  <si>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</si>
  <si>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</si>
  <si>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2026-10-02T22:06:25Z</t>
  </si>
  <si>
    <t xml:space="preserve">Drivers file</t>
  </si>
  <si>
    <t xml:space="preserve">ZBH_Drivers.json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</si>
  <si>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</si>
  <si>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</si>
  <si>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</si>
  <si>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Mature, cash-generative orthopaedic franchise with a durable installed base of surgeons and instrument sets, valued on owner FCF (company FCF definition, including instrument additions, less SBC) with an unlevered component build and 10-year horizon while margins recover from the FY2025 trough. The Metrics.csv FCF excludes ~$300M/yr of instrument additions and must not be used as the base.
key_risks_to_valuation: Knee share loss to Stryker Mako continuing (knees +0.4% in Q2-26); US go-to-market rebuild and senior leadership turnover disrupting sales execution; Recurring 'special items' (restructuring, integration, quality remediation, EU MDR) - margin recovery assumes they fade; Pricing: China VBP, European tenders, US hospital/ASC pricing pressure; Leverage ~2.9x net debt / EBITDA after Paragon 28 and Monogram; $1.2B current maturities in the next 12 months; Terminal value carries most of the value; terminal cap multiple binds</t>
  </si>
  <si>
    <t xml:space="preserve">Data sources</t>
  </si>
  <si>
    <t xml:space="preserve">price: Yahoo Finance chart API at inputs.price_as_of; 52-week range 79.12-106.88
financials: research/ZBH/Reports/ZBH_Metrics.csv (SEC XBRL); SEC companyfacts API (diluted shares, SBC, D&amp;A, cash taxes, interest, buybacks, leases); Q4-2025 earnings release 8-K ex-99.1 (2026-02-10: FY25 company FCF, instrument additions, FY26 guidance); Q2-2026 earnings release 8-K ex-99.1 (2026-08-05: raised guidance, balance sheet, diluted shares); 8-K 2026-09-08 (leadership changes, guidance reiterated)
qualitative: Company releases above; Analysis JSON produced concurrently and not available at build time</t>
  </si>
  <si>
    <t xml:space="preserve">Scenario narrative: bear</t>
  </si>
  <si>
    <t xml:space="preserve">Mako-driven share loss in knees continues (ZBH knees grew 0.4% in Q2-26 against a mid-single-digit market), the US go-to-market reorganisation and repeated leadership turnover disrupt the sales channel, and China volume-based procurement plus European pricing compress international price. Organic growth settles at ~2.5%, special items keep recurring so margins drift to ~29%, and instrument capex rises to defend robotics placements. Exit multiple compresses to 13x as ZBH is valued as an ex-growth share donor.</t>
  </si>
  <si>
    <t xml:space="preserve">Scenario narrative: base</t>
  </si>
  <si>
    <t xml:space="preserve">Zimmer Biomet stays the #1 hip/knee implant franchise growing roughly with a 4-5% procedure market but still losing a little knee share: organic growth of 3-4% (knees ~1-2%, hips ~4-5%, S.E.T. 4-6% as Paragon 28 foot &amp; ankle compounds, Technology &amp; Data double-digit from ROSA and Monogram), reported growth 4-4.5%. FY2025's deal and restructuring costs fade and GAAP EBITDA margin (pre-SBC) recovers from 27.7% to ~31.5%, still below the 33%+ peers earn. Cash conversion stays held back by ~7% of revenue in instrument sets and PP&amp;E and an inventory-heavy working-capital model. Buybacks of ~$1B/yr keep the count flat.</t>
  </si>
  <si>
    <t xml:space="preserve">Scenario narrative: bull</t>
  </si>
  <si>
    <t xml:space="preserve">The innovation cycle finally lands: ROSA (knee, hip, and the new shoulder system) plus Monogram's semi-autonomous robot narrow the gap to Stryker's Mako installed base, the Persona/Oxford cementless knee portfolio stops the US share bleed, and the specialised US sales-force rebuild under the new Americas leadership lifts productivity. Organic growth reaches 5-6% for several years as S.E.T. (sports, extremities, Paragon 28 foot &amp; ankle) and the ASC shift add mix, and EBITDA margin expands to ~33.5% on operating leverage and the end of serial restructuring.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</si>
  <si>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</si>
  <si>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</si>
  <si>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</si>
  <si>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</si>
  <si>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</si>
  <si>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</si>
  <si>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</si>
  <si>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</si>
  <si>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</si>
  <si>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</si>
  <si>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</si>
  <si>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</si>
  <si>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</si>
  <si>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</si>
  <si>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</si>
  <si>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</si>
  <si>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</si>
  <si>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</si>
  <si>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</si>
  <si>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</si>
  <si>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</si>
  <si>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</si>
  <si>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</si>
  <si>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</si>
  <si>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</si>
  <si>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</si>
  <si>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</si>
  <si>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</si>
  <si>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</si>
  <si>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</si>
  <si>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</si>
  <si>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</si>
  <si>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</si>
  <si>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</si>
  <si>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</si>
  <si>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</si>
  <si>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</si>
  <si>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</si>
  <si>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</si>
  <si>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</si>
  <si>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</si>
  <si>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</si>
  <si>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</si>
  <si>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</si>
  <si>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</si>
  <si>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</si>
  <si>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</si>
  <si>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</si>
  <si>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</si>
  <si>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</si>
  <si>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</si>
  <si>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</si>
  <si>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</si>
  <si>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</si>
  <si>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</si>
  <si>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</si>
  <si>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</si>
  <si>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</si>
  <si>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</si>
  <si>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</si>
  <si>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</si>
  <si>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</si>
  <si>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</si>
  <si>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</si>
  <si>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</si>
  <si>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</si>
  <si>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</si>
  <si>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</si>
  <si>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</si>
  <si>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</si>
  <si>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</si>
  <si>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</si>
  <si>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</si>
  <si>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</si>
  <si>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</si>
  <si>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</si>
  <si>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</si>
  <si>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</si>
  <si>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</si>
  <si>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</si>
  <si>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</si>
  <si>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</si>
  <si>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</si>
  <si>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</si>
  <si>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ZBH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</si>
  <si>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</si>
  <si>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</si>
  <si>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</si>
  <si>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</si>
  <si>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</si>
  <si>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</si>
  <si>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</si>
  <si>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</si>
  <si>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</si>
  <si>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</si>
  <si>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</si>
  <si>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</si>
  <si>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</si>
  <si>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</si>
  <si>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</si>
  <si>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</si>
  <si>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</si>
  <si>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</si>
  <si>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</si>
  <si>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</si>
  <si>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</si>
  <si>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</si>
  <si>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</si>
  <si>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</si>
  <si>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</si>
  <si>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</si>
  <si>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</si>
  <si>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</si>
  <si>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</si>
  <si>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</si>
  <si>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ZBH owner-FCF component DCF: base case (millions, USD)</t>
  </si>
  <si>
    <t xml:space="preserve">ZBH owner-FCF component DCF: bull case (millions, USD)</t>
  </si>
  <si>
    <t xml:space="preserve">ZBH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</si>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</sst>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88.29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4923.2</v>
      </c>
      <c r="S2" s="0" t="n">
        <v>265.7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3897.5</v>
      </c>
      <c r="C3" s="0" t="n">
        <v>875.9</v>
      </c>
      <c r="D3" s="0" t="n">
        <v>3021.6</v>
      </c>
      <c r="E3" s="0" t="n">
        <v>77.5266196279666</v>
      </c>
      <c r="F3" s="0" t="n">
        <v>1127.6</v>
      </c>
      <c r="G3" s="0" t="n">
        <v>28.9313662604234</v>
      </c>
      <c r="H3" s="0" t="n">
        <v>1357.6</v>
      </c>
      <c r="I3" s="0" t="n">
        <v>773.7</v>
      </c>
      <c r="J3" s="0" t="n">
        <v>19.8511866581142</v>
      </c>
      <c r="K3" s="0" t="n">
        <v>3.28</v>
      </c>
      <c r="L3" s="0" t="n">
        <v>1084.4</v>
      </c>
      <c r="M3" s="0" t="n">
        <v>192.7</v>
      </c>
      <c r="N3" s="0" t="n">
        <v>891.7</v>
      </c>
      <c r="O3" s="0" t="n">
        <v>5452.4</v>
      </c>
      <c r="S3" s="0" t="n">
        <v>463.9</v>
      </c>
      <c r="T3" s="0" t="n">
        <v>237.5</v>
      </c>
      <c r="U3" s="0" t="n">
        <v>70.1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4121.1</v>
      </c>
      <c r="C4" s="0" t="n">
        <v>997.3</v>
      </c>
      <c r="D4" s="0" t="n">
        <v>3123.8</v>
      </c>
      <c r="E4" s="0" t="n">
        <v>75.8001504452695</v>
      </c>
      <c r="F4" s="0" t="n">
        <v>1090</v>
      </c>
      <c r="G4" s="0" t="n">
        <v>26.449248986921</v>
      </c>
      <c r="H4" s="0" t="n">
        <v>1365.1</v>
      </c>
      <c r="I4" s="0" t="n">
        <v>849.5</v>
      </c>
      <c r="J4" s="0" t="n">
        <v>20.6134284535682</v>
      </c>
      <c r="K4" s="0" t="n">
        <v>3.73</v>
      </c>
      <c r="L4" s="0" t="n">
        <v>1038.1</v>
      </c>
      <c r="M4" s="0" t="n">
        <v>250</v>
      </c>
      <c r="N4" s="0" t="n">
        <v>788.1</v>
      </c>
      <c r="O4" s="0" t="n">
        <v>5653.9</v>
      </c>
      <c r="P4" s="0" t="n">
        <v>7239</v>
      </c>
      <c r="Q4" s="0" t="n">
        <v>1585.1</v>
      </c>
      <c r="R4" s="0" t="n">
        <v>460.1</v>
      </c>
      <c r="S4" s="0" t="n">
        <v>212.6</v>
      </c>
      <c r="T4" s="0" t="n">
        <v>228.3</v>
      </c>
      <c r="U4" s="0" t="n">
        <v>69.9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4095.4</v>
      </c>
      <c r="C5" s="0" t="n">
        <v>990.7</v>
      </c>
      <c r="D5" s="0" t="n">
        <v>3104.7</v>
      </c>
      <c r="E5" s="0" t="n">
        <v>75.8094447428823</v>
      </c>
      <c r="F5" s="0" t="n">
        <v>1018.8</v>
      </c>
      <c r="G5" s="0" t="n">
        <v>24.8766909215217</v>
      </c>
      <c r="H5" s="0" t="n">
        <v>1356.2</v>
      </c>
      <c r="I5" s="0" t="n">
        <v>717.4</v>
      </c>
      <c r="J5" s="0" t="n">
        <v>17.5172144357084</v>
      </c>
      <c r="K5" s="0" t="n">
        <v>3.34</v>
      </c>
      <c r="L5" s="0" t="n">
        <v>1117.5</v>
      </c>
      <c r="M5" s="0" t="n">
        <v>105.1</v>
      </c>
      <c r="N5" s="0" t="n">
        <v>1012.4</v>
      </c>
      <c r="O5" s="0" t="n">
        <v>5638.7</v>
      </c>
      <c r="P5" s="0" t="n">
        <v>7785.5</v>
      </c>
      <c r="Q5" s="0" t="n">
        <v>2146.8</v>
      </c>
      <c r="R5" s="0" t="n">
        <v>1127.6</v>
      </c>
      <c r="S5" s="0" t="n">
        <v>691.7</v>
      </c>
      <c r="T5" s="0" t="n">
        <v>215.8</v>
      </c>
      <c r="U5" s="0" t="n">
        <v>75.3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4220.2</v>
      </c>
      <c r="C6" s="0" t="n">
        <v>1012.4</v>
      </c>
      <c r="D6" s="0" t="n">
        <v>3208</v>
      </c>
      <c r="E6" s="0" t="n">
        <v>76.015354722525</v>
      </c>
      <c r="F6" s="0" t="n">
        <v>916.7</v>
      </c>
      <c r="G6" s="0" t="n">
        <v>21.7217193497939</v>
      </c>
      <c r="H6" s="0" t="n">
        <v>1256.9</v>
      </c>
      <c r="I6" s="0" t="n">
        <v>596.9</v>
      </c>
      <c r="J6" s="0" t="n">
        <v>14.1438794369935</v>
      </c>
      <c r="K6" s="0" t="n">
        <v>2.98</v>
      </c>
      <c r="L6" s="0" t="n">
        <v>1193.5</v>
      </c>
      <c r="M6" s="0" t="n">
        <v>79.2</v>
      </c>
      <c r="N6" s="0" t="n">
        <v>1114.3</v>
      </c>
      <c r="O6" s="0" t="n">
        <v>5771.3</v>
      </c>
      <c r="P6" s="0" t="n">
        <v>7999.9</v>
      </c>
      <c r="Q6" s="0" t="n">
        <v>2228.6</v>
      </c>
      <c r="R6" s="0" t="n">
        <v>1142.1</v>
      </c>
      <c r="S6" s="0" t="n">
        <v>668.9</v>
      </c>
      <c r="T6" s="0" t="n">
        <v>201.1</v>
      </c>
      <c r="U6" s="0" t="n">
        <v>62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3329.8</v>
      </c>
      <c r="F7" s="0" t="n">
        <v>1024.1</v>
      </c>
      <c r="H7" s="0" t="n">
        <v>1384</v>
      </c>
      <c r="I7" s="0" t="n">
        <v>760.8</v>
      </c>
      <c r="K7" s="0" t="n">
        <v>4.05</v>
      </c>
      <c r="L7" s="0" t="n">
        <v>1176.9</v>
      </c>
      <c r="M7" s="0" t="n">
        <v>113.8</v>
      </c>
      <c r="N7" s="0" t="n">
        <v>1063.1</v>
      </c>
      <c r="O7" s="0" t="n">
        <v>5514.8</v>
      </c>
      <c r="P7" s="0" t="n">
        <v>8515.3</v>
      </c>
      <c r="Q7" s="0" t="n">
        <v>3000.5</v>
      </c>
      <c r="R7" s="0" t="n">
        <v>1576</v>
      </c>
      <c r="S7" s="0" t="n">
        <v>768.3</v>
      </c>
      <c r="T7" s="0" t="n">
        <v>188.7</v>
      </c>
      <c r="U7" s="0" t="n">
        <v>60.5</v>
      </c>
      <c r="V7" s="0" t="n">
        <v>0.18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D8" s="0" t="n">
        <v>3346.5</v>
      </c>
      <c r="F8" s="0" t="n">
        <v>1047.4</v>
      </c>
      <c r="H8" s="0" t="n">
        <v>1410.5</v>
      </c>
      <c r="I8" s="0" t="n">
        <v>755</v>
      </c>
      <c r="K8" s="0" t="n">
        <v>4.32</v>
      </c>
      <c r="L8" s="0" t="n">
        <v>1151.9</v>
      </c>
      <c r="M8" s="0" t="n">
        <v>114.7</v>
      </c>
      <c r="N8" s="0" t="n">
        <v>1037.2</v>
      </c>
      <c r="O8" s="0" t="n">
        <v>5848</v>
      </c>
      <c r="P8" s="0" t="n">
        <v>9012.4</v>
      </c>
      <c r="Q8" s="0" t="n">
        <v>3146.1</v>
      </c>
      <c r="R8" s="0" t="n">
        <v>1720.8</v>
      </c>
      <c r="S8" s="0" t="n">
        <v>884.3</v>
      </c>
      <c r="T8" s="0" t="n">
        <v>176</v>
      </c>
      <c r="U8" s="0" t="n">
        <v>55</v>
      </c>
      <c r="V8" s="0" t="n">
        <v>0.54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D9" s="0" t="n">
        <v>3337.3</v>
      </c>
      <c r="F9" s="0" t="n">
        <v>1068.6</v>
      </c>
      <c r="H9" s="0" t="n">
        <v>1427.1</v>
      </c>
      <c r="I9" s="0" t="n">
        <v>780.4</v>
      </c>
      <c r="K9" s="0" t="n">
        <v>4.6</v>
      </c>
      <c r="L9" s="0" t="n">
        <v>963.1</v>
      </c>
      <c r="M9" s="0" t="n">
        <v>100</v>
      </c>
      <c r="N9" s="0" t="n">
        <v>863.1</v>
      </c>
      <c r="O9" s="0" t="n">
        <v>6310.6</v>
      </c>
      <c r="P9" s="0" t="n">
        <v>9595</v>
      </c>
      <c r="Q9" s="0" t="n">
        <v>3280.5</v>
      </c>
      <c r="R9" s="0" t="n">
        <v>1672.3</v>
      </c>
      <c r="S9" s="0" t="n">
        <v>1080.6</v>
      </c>
      <c r="T9" s="0" t="n">
        <v>171.8</v>
      </c>
      <c r="U9" s="0" t="n">
        <v>48.5</v>
      </c>
      <c r="V9" s="0" t="n">
        <v>0.8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D10" s="0" t="n">
        <v>3423.5</v>
      </c>
      <c r="F10" s="0" t="n">
        <v>1037.3</v>
      </c>
      <c r="H10" s="0" t="n">
        <v>1413.1</v>
      </c>
      <c r="I10" s="0" t="n">
        <v>720.3</v>
      </c>
      <c r="K10" s="0" t="n">
        <v>4.26</v>
      </c>
      <c r="M10" s="0" t="n">
        <v>144.9</v>
      </c>
      <c r="O10" s="0" t="n">
        <v>6551.7</v>
      </c>
      <c r="P10" s="0" t="n">
        <v>9658</v>
      </c>
      <c r="Q10" s="0" t="n">
        <v>3106.3</v>
      </c>
      <c r="R10" s="0" t="n">
        <v>1425.5</v>
      </c>
      <c r="S10" s="0" t="n">
        <v>1083.3</v>
      </c>
      <c r="T10" s="0" t="n">
        <v>171.7</v>
      </c>
      <c r="U10" s="0" t="n">
        <v>49.4</v>
      </c>
      <c r="V10" s="0" t="n">
        <v>0.88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F11" s="0" t="n">
        <v>467.3</v>
      </c>
      <c r="H11" s="0" t="n">
        <v>1179.7</v>
      </c>
      <c r="I11" s="0" t="n">
        <v>147</v>
      </c>
      <c r="K11" s="0" t="n">
        <v>0.78</v>
      </c>
      <c r="M11" s="0" t="n">
        <v>167.7</v>
      </c>
      <c r="O11" s="0" t="n">
        <v>9889.4</v>
      </c>
      <c r="P11" s="0" t="n">
        <v>27160.6</v>
      </c>
      <c r="Q11" s="0" t="n">
        <v>17271.2</v>
      </c>
      <c r="R11" s="0" t="n">
        <v>11497.4</v>
      </c>
      <c r="S11" s="0" t="n">
        <v>1459.3</v>
      </c>
      <c r="T11" s="0" t="n">
        <v>189.8</v>
      </c>
      <c r="U11" s="0" t="n">
        <v>46.4</v>
      </c>
      <c r="V11" s="0" t="n">
        <v>0.88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7668.4</v>
      </c>
      <c r="C12" s="0" t="n">
        <v>2381.8</v>
      </c>
      <c r="F12" s="0" t="n">
        <v>821.1</v>
      </c>
      <c r="G12" s="0" t="n">
        <v>10.7075791560169</v>
      </c>
      <c r="H12" s="0" t="n">
        <v>1860.4</v>
      </c>
      <c r="I12" s="0" t="n">
        <v>305.9</v>
      </c>
      <c r="J12" s="0" t="n">
        <v>3.98909811694747</v>
      </c>
      <c r="K12" s="0" t="n">
        <v>1.53</v>
      </c>
      <c r="L12" s="0" t="n">
        <v>1632.2</v>
      </c>
      <c r="M12" s="0" t="n">
        <v>184.7</v>
      </c>
      <c r="N12" s="0" t="n">
        <v>1447.5</v>
      </c>
      <c r="O12" s="0" t="n">
        <v>9669.9</v>
      </c>
      <c r="P12" s="0" t="n">
        <v>26684.4</v>
      </c>
      <c r="Q12" s="0" t="n">
        <v>17014.5</v>
      </c>
      <c r="R12" s="0" t="n">
        <v>11241.4</v>
      </c>
      <c r="S12" s="0" t="n">
        <v>634.1</v>
      </c>
      <c r="T12" s="0" t="n">
        <v>202.4</v>
      </c>
      <c r="U12" s="0" t="n">
        <v>57.3</v>
      </c>
      <c r="V12" s="0" t="n">
        <v>0.96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7803.3</v>
      </c>
      <c r="C13" s="0" t="n">
        <v>2132.9</v>
      </c>
      <c r="F13" s="0" t="n">
        <v>799.3</v>
      </c>
      <c r="G13" s="0" t="n">
        <v>10.2431022772417</v>
      </c>
      <c r="H13" s="0" t="n">
        <v>1862</v>
      </c>
      <c r="I13" s="0" t="n">
        <v>1813.8</v>
      </c>
      <c r="J13" s="0" t="n">
        <v>23.2440121487063</v>
      </c>
      <c r="K13" s="0" t="n">
        <v>8.98</v>
      </c>
      <c r="L13" s="0" t="n">
        <v>1582.3</v>
      </c>
      <c r="M13" s="0" t="n">
        <v>156</v>
      </c>
      <c r="N13" s="0" t="n">
        <v>1426.3</v>
      </c>
      <c r="O13" s="0" t="n">
        <v>11735.5</v>
      </c>
      <c r="P13" s="0" t="n">
        <v>26014</v>
      </c>
      <c r="Q13" s="0" t="n">
        <v>14278.5</v>
      </c>
      <c r="R13" s="0" t="n">
        <v>10142.5</v>
      </c>
      <c r="S13" s="0" t="n">
        <v>524.4</v>
      </c>
      <c r="T13" s="0" t="n">
        <v>203.7</v>
      </c>
      <c r="U13" s="0" t="n">
        <v>53.7</v>
      </c>
      <c r="V13" s="0" t="n">
        <v>0.96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7932.9</v>
      </c>
      <c r="C14" s="0" t="n">
        <v>2271.9</v>
      </c>
      <c r="F14" s="0" t="n">
        <v>33.8</v>
      </c>
      <c r="G14" s="0" t="n">
        <v>0.426073693100884</v>
      </c>
      <c r="H14" s="0" t="n">
        <v>1074.3</v>
      </c>
      <c r="I14" s="0" t="n">
        <v>-379.3</v>
      </c>
      <c r="J14" s="0" t="n">
        <v>-4.78135360334808</v>
      </c>
      <c r="K14" s="0" t="n">
        <v>-1.86</v>
      </c>
      <c r="L14" s="0" t="n">
        <v>1747.4</v>
      </c>
      <c r="M14" s="0" t="n">
        <v>162.7</v>
      </c>
      <c r="N14" s="0" t="n">
        <v>1584.7</v>
      </c>
      <c r="O14" s="0" t="n">
        <v>11276.1</v>
      </c>
      <c r="P14" s="0" t="n">
        <v>24126.8</v>
      </c>
      <c r="Q14" s="0" t="n">
        <v>12850.7</v>
      </c>
      <c r="R14" s="0" t="n">
        <v>8938.7</v>
      </c>
      <c r="S14" s="0" t="n">
        <v>542.8</v>
      </c>
      <c r="T14" s="0" t="n">
        <v>203.5</v>
      </c>
      <c r="U14" s="0" t="n">
        <v>65.5</v>
      </c>
      <c r="V14" s="0" t="n">
        <v>0.96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7982.2</v>
      </c>
      <c r="C15" s="0" t="n">
        <v>2252.6</v>
      </c>
      <c r="F15" s="0" t="n">
        <v>1137.5</v>
      </c>
      <c r="G15" s="0" t="n">
        <v>14.25045726742</v>
      </c>
      <c r="H15" s="0" t="n">
        <v>2143.6</v>
      </c>
      <c r="I15" s="0" t="n">
        <v>1131.6</v>
      </c>
      <c r="J15" s="0" t="n">
        <v>14.1765428077472</v>
      </c>
      <c r="K15" s="0" t="n">
        <v>5.52</v>
      </c>
      <c r="L15" s="0" t="n">
        <v>1585.8</v>
      </c>
      <c r="M15" s="0" t="n">
        <v>207.1</v>
      </c>
      <c r="N15" s="0" t="n">
        <v>1378.7</v>
      </c>
      <c r="O15" s="0" t="n">
        <v>12392.8</v>
      </c>
      <c r="P15" s="0" t="n">
        <v>24638.7</v>
      </c>
      <c r="Q15" s="0" t="n">
        <v>12245.9</v>
      </c>
      <c r="R15" s="0" t="n">
        <v>8221.4</v>
      </c>
      <c r="S15" s="0" t="n">
        <v>617.9</v>
      </c>
      <c r="T15" s="0" t="n">
        <v>206.7</v>
      </c>
      <c r="U15" s="0" t="n">
        <v>84.3</v>
      </c>
      <c r="V15" s="0" t="n">
        <v>0.96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6127.5</v>
      </c>
      <c r="C16" s="0" t="n">
        <v>1824.3</v>
      </c>
      <c r="F16" s="0" t="n">
        <v>83.1</v>
      </c>
      <c r="G16" s="0" t="n">
        <v>1.3561811505508</v>
      </c>
      <c r="H16" s="0" t="n">
        <v>981.5</v>
      </c>
      <c r="I16" s="0" t="n">
        <v>-138.9</v>
      </c>
      <c r="J16" s="0" t="n">
        <v>-2.26682986536108</v>
      </c>
      <c r="K16" s="0" t="n">
        <v>-0.67</v>
      </c>
      <c r="L16" s="0" t="n">
        <v>1204.5</v>
      </c>
      <c r="M16" s="0" t="n">
        <v>111.9</v>
      </c>
      <c r="N16" s="0" t="n">
        <v>1092.6</v>
      </c>
      <c r="O16" s="0" t="n">
        <v>12199.4</v>
      </c>
      <c r="P16" s="0" t="n">
        <v>24417.7</v>
      </c>
      <c r="Q16" s="0" t="n">
        <v>12218.3</v>
      </c>
      <c r="R16" s="0" t="n">
        <v>8126.5</v>
      </c>
      <c r="S16" s="0" t="n">
        <v>802.1</v>
      </c>
      <c r="T16" s="0" t="n">
        <v>207</v>
      </c>
      <c r="U16" s="0" t="n">
        <v>73.8</v>
      </c>
      <c r="V16" s="0" t="n">
        <v>0.96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6827.3</v>
      </c>
      <c r="C17" s="0" t="n">
        <v>1960.4</v>
      </c>
      <c r="F17" s="0" t="n">
        <v>860.3</v>
      </c>
      <c r="G17" s="0" t="n">
        <v>12.6008817541341</v>
      </c>
      <c r="H17" s="0" t="n">
        <v>1798</v>
      </c>
      <c r="I17" s="0" t="n">
        <v>402.1</v>
      </c>
      <c r="J17" s="0" t="n">
        <v>5.88959032121043</v>
      </c>
      <c r="K17" s="0" t="n">
        <v>1.93</v>
      </c>
      <c r="L17" s="0" t="n">
        <v>1499.2</v>
      </c>
      <c r="M17" s="0" t="n">
        <v>143.6</v>
      </c>
      <c r="N17" s="0" t="n">
        <v>1355.6</v>
      </c>
      <c r="O17" s="0" t="n">
        <v>12666.4</v>
      </c>
      <c r="P17" s="0" t="n">
        <v>23456.4</v>
      </c>
      <c r="Q17" s="0" t="n">
        <v>10790</v>
      </c>
      <c r="R17" s="0" t="n">
        <v>2605.1</v>
      </c>
      <c r="S17" s="0" t="n">
        <v>378.1</v>
      </c>
      <c r="T17" s="0" t="n">
        <v>210.4</v>
      </c>
      <c r="U17" s="0" t="n">
        <v>76</v>
      </c>
      <c r="V17" s="0" t="n">
        <v>0.96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6939.9</v>
      </c>
      <c r="C18" s="0" t="n">
        <v>2019.5</v>
      </c>
      <c r="F18" s="0" t="n">
        <v>696.3</v>
      </c>
      <c r="G18" s="0" t="n">
        <v>10.0332857822159</v>
      </c>
      <c r="H18" s="0" t="n">
        <v>1622.7</v>
      </c>
      <c r="I18" s="0" t="n">
        <v>232.4</v>
      </c>
      <c r="J18" s="0" t="n">
        <v>3.34875142293117</v>
      </c>
      <c r="K18" s="0" t="n">
        <v>1.1</v>
      </c>
      <c r="M18" s="0" t="n">
        <v>187.9</v>
      </c>
      <c r="O18" s="0" t="n">
        <v>12027</v>
      </c>
      <c r="P18" s="0" t="n">
        <v>21066</v>
      </c>
      <c r="Q18" s="0" t="n">
        <v>9039</v>
      </c>
      <c r="R18" s="0" t="n">
        <v>5696.5</v>
      </c>
      <c r="S18" s="0" t="n">
        <v>375.7</v>
      </c>
      <c r="T18" s="0" t="n">
        <v>210.3</v>
      </c>
      <c r="U18" s="0" t="n">
        <v>105</v>
      </c>
      <c r="V18" s="0" t="n">
        <v>0.96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7394.2</v>
      </c>
      <c r="C19" s="0" t="n">
        <v>2083.8</v>
      </c>
      <c r="F19" s="0" t="n">
        <v>1277.7</v>
      </c>
      <c r="G19" s="0" t="n">
        <v>17.2797598117443</v>
      </c>
      <c r="H19" s="0" t="n">
        <v>2229.4</v>
      </c>
      <c r="I19" s="0" t="n">
        <v>1025.1</v>
      </c>
      <c r="J19" s="0" t="n">
        <v>13.8635687430689</v>
      </c>
      <c r="K19" s="0" t="n">
        <v>4.91</v>
      </c>
      <c r="L19" s="0" t="n">
        <v>1581.6</v>
      </c>
      <c r="M19" s="0" t="n">
        <v>291.1</v>
      </c>
      <c r="N19" s="0" t="n">
        <v>1290.5</v>
      </c>
      <c r="O19" s="0" t="n">
        <v>12488.1</v>
      </c>
      <c r="P19" s="0" t="n">
        <v>21496.9</v>
      </c>
      <c r="Q19" s="0" t="n">
        <v>9008.7</v>
      </c>
      <c r="R19" s="0" t="n">
        <v>5767.9</v>
      </c>
      <c r="S19" s="0" t="n">
        <v>415.8</v>
      </c>
      <c r="T19" s="0" t="n">
        <v>209.7</v>
      </c>
      <c r="U19" s="0" t="n">
        <v>99.8</v>
      </c>
      <c r="V19" s="0" t="n">
        <v>0.96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7678.6</v>
      </c>
      <c r="C20" s="0" t="n">
        <v>2191.2</v>
      </c>
      <c r="F20" s="0" t="n">
        <v>1285.7</v>
      </c>
      <c r="G20" s="0" t="n">
        <v>16.743937696976</v>
      </c>
      <c r="H20" s="0" t="n">
        <v>2282</v>
      </c>
      <c r="I20" s="0" t="n">
        <v>905.3</v>
      </c>
      <c r="J20" s="0" t="n">
        <v>11.789909618941</v>
      </c>
      <c r="K20" s="0" t="n">
        <v>4.45</v>
      </c>
      <c r="L20" s="0" t="n">
        <v>1499.4</v>
      </c>
      <c r="M20" s="0" t="n">
        <v>203.8</v>
      </c>
      <c r="N20" s="0" t="n">
        <v>1295.6</v>
      </c>
      <c r="O20" s="0" t="n">
        <v>12476.2</v>
      </c>
      <c r="P20" s="0" t="n">
        <v>21365.3</v>
      </c>
      <c r="Q20" s="0" t="n">
        <v>8889.1</v>
      </c>
      <c r="R20" s="0" t="n">
        <v>6204.6</v>
      </c>
      <c r="S20" s="0" t="n">
        <v>525.5</v>
      </c>
      <c r="T20" s="0" t="n">
        <v>203.9</v>
      </c>
      <c r="U20" s="0" t="n">
        <v>101</v>
      </c>
      <c r="V20" s="0" t="n">
        <v>0.96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8231.5</v>
      </c>
      <c r="C21" s="0" t="n">
        <v>2493.7</v>
      </c>
      <c r="F21" s="0" t="n">
        <v>1098.1</v>
      </c>
      <c r="G21" s="0" t="n">
        <v>13.3402174573286</v>
      </c>
      <c r="H21" s="0" t="n">
        <v>2191.9</v>
      </c>
      <c r="I21" s="0" t="n">
        <v>705.1</v>
      </c>
      <c r="J21" s="0" t="n">
        <v>8.56587499240722</v>
      </c>
      <c r="K21" s="0" t="n">
        <v>3.56</v>
      </c>
      <c r="L21" s="0" t="n">
        <v>1697.1</v>
      </c>
      <c r="M21" s="0" t="n">
        <v>224.5</v>
      </c>
      <c r="N21" s="0" t="n">
        <v>1472.6</v>
      </c>
      <c r="O21" s="0" t="n">
        <v>12705.8</v>
      </c>
      <c r="P21" s="0" t="n">
        <v>23091.7</v>
      </c>
      <c r="Q21" s="0" t="n">
        <v>10386</v>
      </c>
      <c r="R21" s="0" t="n">
        <v>7519.1</v>
      </c>
      <c r="S21" s="0" t="n">
        <v>591.9</v>
      </c>
      <c r="T21" s="0" t="n">
        <v>198.7</v>
      </c>
      <c r="U21" s="0" t="n">
        <v>90.2</v>
      </c>
      <c r="V21" s="0" t="n">
        <v>0.96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88.29</v>
      </c>
    </row>
    <row r="3" customFormat="false" ht="15" hidden="false" customHeight="false" outlineLevel="0" collapsed="false">
      <c r="A3" s="0" t="s">
        <v>86</v>
      </c>
      <c r="B3" s="3" t="n">
        <v>192.8</v>
      </c>
    </row>
    <row r="4" customFormat="false" ht="15" hidden="false" customHeight="false" outlineLevel="0" collapsed="false">
      <c r="A4" s="0" t="s">
        <v>87</v>
      </c>
      <c r="B4" s="3" t="n">
        <v>7069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8231.5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3.9</v>
      </c>
      <c r="D13" s="3" t="n">
        <v>2.5</v>
      </c>
      <c r="E13" s="3" t="n">
        <v>2.5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29.8</v>
      </c>
      <c r="D14" s="3" t="n">
        <v>29.5</v>
      </c>
      <c r="E14" s="3" t="n">
        <v>29.3</v>
      </c>
      <c r="F14" s="3" t="n">
        <v>29</v>
      </c>
      <c r="G14" s="3" t="n">
        <v>29</v>
      </c>
      <c r="H14" s="3" t="n">
        <v>29</v>
      </c>
      <c r="I14" s="3" t="n">
        <v>29</v>
      </c>
      <c r="J14" s="3" t="n">
        <v>29</v>
      </c>
      <c r="K14" s="3" t="n">
        <v>29</v>
      </c>
      <c r="L14" s="3" t="n">
        <v>29</v>
      </c>
    </row>
    <row r="15" customFormat="false" ht="15" hidden="false" customHeight="false" outlineLevel="0" collapsed="false">
      <c r="A15" s="0" t="s">
        <v>108</v>
      </c>
      <c r="C15" s="3" t="n">
        <v>1.15</v>
      </c>
      <c r="D15" s="3" t="n">
        <v>1.15</v>
      </c>
      <c r="E15" s="3" t="n">
        <v>1.15</v>
      </c>
      <c r="F15" s="3" t="n">
        <v>1.15</v>
      </c>
      <c r="G15" s="3" t="n">
        <v>1.15</v>
      </c>
      <c r="H15" s="3" t="n">
        <v>1.15</v>
      </c>
      <c r="I15" s="3" t="n">
        <v>1.15</v>
      </c>
      <c r="J15" s="3" t="n">
        <v>1.15</v>
      </c>
      <c r="K15" s="3" t="n">
        <v>1.15</v>
      </c>
      <c r="L15" s="3" t="n">
        <v>1.15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13</v>
      </c>
      <c r="D17" s="3" t="n">
        <v>12.9</v>
      </c>
      <c r="E17" s="3" t="n">
        <v>12.8</v>
      </c>
      <c r="F17" s="3" t="n">
        <v>12.7</v>
      </c>
      <c r="G17" s="3" t="n">
        <v>12.6</v>
      </c>
      <c r="H17" s="3" t="n">
        <v>12.5</v>
      </c>
      <c r="I17" s="3" t="n">
        <v>12.5</v>
      </c>
      <c r="J17" s="3" t="n">
        <v>12.5</v>
      </c>
      <c r="K17" s="3" t="n">
        <v>12.5</v>
      </c>
      <c r="L17" s="3" t="n">
        <v>12.5</v>
      </c>
    </row>
    <row r="18" customFormat="false" ht="15" hidden="false" customHeight="false" outlineLevel="0" collapsed="false">
      <c r="A18" s="0" t="s">
        <v>111</v>
      </c>
      <c r="C18" s="3" t="n">
        <v>7.2</v>
      </c>
      <c r="D18" s="3" t="n">
        <v>7.3</v>
      </c>
      <c r="E18" s="3" t="n">
        <v>7.3</v>
      </c>
      <c r="F18" s="3" t="n">
        <v>7.3</v>
      </c>
      <c r="G18" s="3" t="n">
        <v>7.3</v>
      </c>
      <c r="H18" s="3" t="n">
        <v>7.3</v>
      </c>
      <c r="I18" s="3" t="n">
        <v>7.3</v>
      </c>
      <c r="J18" s="3" t="n">
        <v>7.3</v>
      </c>
      <c r="K18" s="3" t="n">
        <v>7.3</v>
      </c>
      <c r="L18" s="3" t="n">
        <v>7.3</v>
      </c>
    </row>
    <row r="19" customFormat="false" ht="15" hidden="false" customHeight="false" outlineLevel="0" collapsed="false">
      <c r="A19" s="0" t="s">
        <v>112</v>
      </c>
      <c r="C19" s="3" t="n">
        <v>32</v>
      </c>
      <c r="D19" s="3" t="n">
        <v>32</v>
      </c>
      <c r="E19" s="3" t="n">
        <v>32</v>
      </c>
      <c r="F19" s="3" t="n">
        <v>32</v>
      </c>
      <c r="G19" s="3" t="n">
        <v>32</v>
      </c>
      <c r="H19" s="3" t="n">
        <v>32</v>
      </c>
      <c r="I19" s="3" t="n">
        <v>32</v>
      </c>
      <c r="J19" s="3" t="n">
        <v>32</v>
      </c>
      <c r="K19" s="3" t="n">
        <v>32</v>
      </c>
      <c r="L19" s="3" t="n">
        <v>32</v>
      </c>
    </row>
    <row r="20" customFormat="false" ht="15" hidden="false" customHeight="false" outlineLevel="0" collapsed="false">
      <c r="A20" s="0" t="s">
        <v>113</v>
      </c>
      <c r="B20" s="3" t="n">
        <v>8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-35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4.4</v>
      </c>
      <c r="D27" s="3" t="n">
        <v>4.5</v>
      </c>
      <c r="E27" s="3" t="n">
        <v>4.5</v>
      </c>
      <c r="F27" s="3" t="n">
        <v>4.3</v>
      </c>
      <c r="G27" s="3" t="n">
        <v>4</v>
      </c>
      <c r="H27" s="3" t="n">
        <v>3.8</v>
      </c>
      <c r="I27" s="3" t="n">
        <v>3.5</v>
      </c>
      <c r="J27" s="3" t="n">
        <v>3.2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30</v>
      </c>
      <c r="D28" s="3" t="n">
        <v>30.4</v>
      </c>
      <c r="E28" s="3" t="n">
        <v>30.8</v>
      </c>
      <c r="F28" s="3" t="n">
        <v>31.1</v>
      </c>
      <c r="G28" s="3" t="n">
        <v>31.4</v>
      </c>
      <c r="H28" s="3" t="n">
        <v>31.5</v>
      </c>
      <c r="I28" s="3" t="n">
        <v>31.5</v>
      </c>
      <c r="J28" s="3" t="n">
        <v>31.5</v>
      </c>
      <c r="K28" s="3" t="n">
        <v>31.5</v>
      </c>
      <c r="L28" s="3" t="n">
        <v>31.5</v>
      </c>
    </row>
    <row r="29" customFormat="false" ht="15" hidden="false" customHeight="false" outlineLevel="0" collapsed="false">
      <c r="A29" s="0" t="s">
        <v>108</v>
      </c>
      <c r="C29" s="3" t="n">
        <v>1.15</v>
      </c>
      <c r="D29" s="3" t="n">
        <v>1.15</v>
      </c>
      <c r="E29" s="3" t="n">
        <v>1.15</v>
      </c>
      <c r="F29" s="3" t="n">
        <v>1.15</v>
      </c>
      <c r="G29" s="3" t="n">
        <v>1.15</v>
      </c>
      <c r="H29" s="3" t="n">
        <v>1.15</v>
      </c>
      <c r="I29" s="3" t="n">
        <v>1.15</v>
      </c>
      <c r="J29" s="3" t="n">
        <v>1.15</v>
      </c>
      <c r="K29" s="3" t="n">
        <v>1.15</v>
      </c>
      <c r="L29" s="3" t="n">
        <v>1.15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13</v>
      </c>
      <c r="D31" s="3" t="n">
        <v>12.9</v>
      </c>
      <c r="E31" s="3" t="n">
        <v>12.8</v>
      </c>
      <c r="F31" s="3" t="n">
        <v>12.7</v>
      </c>
      <c r="G31" s="3" t="n">
        <v>12.6</v>
      </c>
      <c r="H31" s="3" t="n">
        <v>12.5</v>
      </c>
      <c r="I31" s="3" t="n">
        <v>12.5</v>
      </c>
      <c r="J31" s="3" t="n">
        <v>12.5</v>
      </c>
      <c r="K31" s="3" t="n">
        <v>12.5</v>
      </c>
      <c r="L31" s="3" t="n">
        <v>12.5</v>
      </c>
    </row>
    <row r="32" customFormat="false" ht="15" hidden="false" customHeight="false" outlineLevel="0" collapsed="false">
      <c r="A32" s="0" t="s">
        <v>111</v>
      </c>
      <c r="C32" s="3" t="n">
        <v>7</v>
      </c>
      <c r="D32" s="3" t="n">
        <v>7</v>
      </c>
      <c r="E32" s="3" t="n">
        <v>7</v>
      </c>
      <c r="F32" s="3" t="n">
        <v>7</v>
      </c>
      <c r="G32" s="3" t="n">
        <v>7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112</v>
      </c>
      <c r="C33" s="3" t="n">
        <v>32</v>
      </c>
      <c r="D33" s="3" t="n">
        <v>32</v>
      </c>
      <c r="E33" s="3" t="n">
        <v>31.5</v>
      </c>
      <c r="F33" s="3" t="n">
        <v>31</v>
      </c>
      <c r="G33" s="3" t="n">
        <v>30.5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-35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4.8</v>
      </c>
      <c r="D41" s="3" t="n">
        <v>5.8</v>
      </c>
      <c r="E41" s="3" t="n">
        <v>6.2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30.3</v>
      </c>
      <c r="D42" s="3" t="n">
        <v>31</v>
      </c>
      <c r="E42" s="3" t="n">
        <v>31.8</v>
      </c>
      <c r="F42" s="3" t="n">
        <v>32.5</v>
      </c>
      <c r="G42" s="3" t="n">
        <v>33</v>
      </c>
      <c r="H42" s="3" t="n">
        <v>33.3</v>
      </c>
      <c r="I42" s="3" t="n">
        <v>33.5</v>
      </c>
      <c r="J42" s="3" t="n">
        <v>33.5</v>
      </c>
      <c r="K42" s="3" t="n">
        <v>33.5</v>
      </c>
      <c r="L42" s="3" t="n">
        <v>33.5</v>
      </c>
    </row>
    <row r="43" customFormat="false" ht="15" hidden="false" customHeight="false" outlineLevel="0" collapsed="false">
      <c r="A43" s="0" t="s">
        <v>108</v>
      </c>
      <c r="C43" s="3" t="n">
        <v>1.15</v>
      </c>
      <c r="D43" s="3" t="n">
        <v>1.15</v>
      </c>
      <c r="E43" s="3" t="n">
        <v>1.15</v>
      </c>
      <c r="F43" s="3" t="n">
        <v>1.15</v>
      </c>
      <c r="G43" s="3" t="n">
        <v>1.15</v>
      </c>
      <c r="H43" s="3" t="n">
        <v>1.15</v>
      </c>
      <c r="I43" s="3" t="n">
        <v>1.15</v>
      </c>
      <c r="J43" s="3" t="n">
        <v>1.15</v>
      </c>
      <c r="K43" s="3" t="n">
        <v>1.15</v>
      </c>
      <c r="L43" s="3" t="n">
        <v>1.15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13</v>
      </c>
      <c r="D45" s="3" t="n">
        <v>12.9</v>
      </c>
      <c r="E45" s="3" t="n">
        <v>12.8</v>
      </c>
      <c r="F45" s="3" t="n">
        <v>12.7</v>
      </c>
      <c r="G45" s="3" t="n">
        <v>12.6</v>
      </c>
      <c r="H45" s="3" t="n">
        <v>12.5</v>
      </c>
      <c r="I45" s="3" t="n">
        <v>12.5</v>
      </c>
      <c r="J45" s="3" t="n">
        <v>12.5</v>
      </c>
      <c r="K45" s="3" t="n">
        <v>12.5</v>
      </c>
      <c r="L45" s="3" t="n">
        <v>12.5</v>
      </c>
    </row>
    <row r="46" customFormat="false" ht="15" hidden="false" customHeight="false" outlineLevel="0" collapsed="false">
      <c r="A46" s="0" t="s">
        <v>111</v>
      </c>
      <c r="C46" s="3" t="n">
        <v>7</v>
      </c>
      <c r="D46" s="3" t="n">
        <v>7</v>
      </c>
      <c r="E46" s="3" t="n">
        <v>7</v>
      </c>
      <c r="F46" s="3" t="n">
        <v>7</v>
      </c>
      <c r="G46" s="3" t="n">
        <v>7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112</v>
      </c>
      <c r="C47" s="3" t="n">
        <v>32</v>
      </c>
      <c r="D47" s="3" t="n">
        <v>32</v>
      </c>
      <c r="E47" s="3" t="n">
        <v>31.5</v>
      </c>
      <c r="F47" s="3" t="n">
        <v>31</v>
      </c>
      <c r="G47" s="3" t="n">
        <v>30.5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17</v>
      </c>
    </row>
    <row r="51" customFormat="false" ht="15" hidden="false" customHeight="false" outlineLevel="0" collapsed="false">
      <c r="A51" s="0" t="s">
        <v>116</v>
      </c>
      <c r="B51" s="3" t="n">
        <v>-35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3.9</v>
      </c>
      <c r="D5" s="4" t="n">
        <f aca="false">Assumptions!D13</f>
        <v>2.5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8231.5</v>
      </c>
      <c r="C6" s="0" t="n">
        <f aca="false">B6*(1+C5/100)</f>
        <v>8552.5285</v>
      </c>
      <c r="D6" s="0" t="n">
        <f aca="false">C6*(1+D5/100)</f>
        <v>8766.3417125</v>
      </c>
      <c r="E6" s="0" t="n">
        <f aca="false">D6*(1+E5/100)</f>
        <v>8985.5002553125</v>
      </c>
      <c r="F6" s="0" t="n">
        <f aca="false">E6*(1+F5/100)</f>
        <v>9210.13776169531</v>
      </c>
      <c r="G6" s="0" t="n">
        <f aca="false">F6*(1+G5/100)</f>
        <v>9440.39120573769</v>
      </c>
      <c r="H6" s="0" t="n">
        <f aca="false">G6*(1+H5/100)</f>
        <v>9676.40098588113</v>
      </c>
      <c r="I6" s="0" t="n">
        <f aca="false">H6*(1+I5/100)</f>
        <v>9918.31101052816</v>
      </c>
      <c r="J6" s="0" t="n">
        <f aca="false">I6*(1+J5/100)</f>
        <v>10166.2687857914</v>
      </c>
      <c r="K6" s="0" t="n">
        <f aca="false">J6*(1+K5/100)</f>
        <v>10420.4255054361</v>
      </c>
      <c r="L6" s="0" t="n">
        <f aca="false">K6*(1+L5/100)</f>
        <v>10680.9361430721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29.8</v>
      </c>
      <c r="D7" s="4" t="n">
        <f aca="false">Assumptions!D14</f>
        <v>29.5</v>
      </c>
      <c r="E7" s="4" t="n">
        <f aca="false">Assumptions!E14</f>
        <v>29.3</v>
      </c>
      <c r="F7" s="4" t="n">
        <f aca="false">Assumptions!F14</f>
        <v>29</v>
      </c>
      <c r="G7" s="4" t="n">
        <f aca="false">Assumptions!G14</f>
        <v>29</v>
      </c>
      <c r="H7" s="4" t="n">
        <f aca="false">Assumptions!H14</f>
        <v>29</v>
      </c>
      <c r="I7" s="4" t="n">
        <f aca="false">Assumptions!I14</f>
        <v>29</v>
      </c>
      <c r="J7" s="4" t="n">
        <f aca="false">Assumptions!J14</f>
        <v>29</v>
      </c>
      <c r="K7" s="4" t="n">
        <f aca="false">Assumptions!K14</f>
        <v>29</v>
      </c>
      <c r="L7" s="4" t="n">
        <f aca="false">Assumptions!L14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2548.653493</v>
      </c>
      <c r="D8" s="0" t="n">
        <f aca="false">D6*D7/100</f>
        <v>2586.0708051875</v>
      </c>
      <c r="E8" s="0" t="n">
        <f aca="false">E6*E7/100</f>
        <v>2632.75157480656</v>
      </c>
      <c r="F8" s="0" t="n">
        <f aca="false">F6*F7/100</f>
        <v>2670.93995089164</v>
      </c>
      <c r="G8" s="0" t="n">
        <f aca="false">G6*G7/100</f>
        <v>2737.71344966393</v>
      </c>
      <c r="H8" s="0" t="n">
        <f aca="false">H6*H7/100</f>
        <v>2806.15628590553</v>
      </c>
      <c r="I8" s="0" t="n">
        <f aca="false">I6*I7/100</f>
        <v>2876.31019305317</v>
      </c>
      <c r="J8" s="0" t="n">
        <f aca="false">J6*J7/100</f>
        <v>2948.2179478795</v>
      </c>
      <c r="K8" s="0" t="n">
        <f aca="false">K6*K7/100</f>
        <v>3021.92339657648</v>
      </c>
      <c r="L8" s="0" t="n">
        <f aca="false">L6*L7/100</f>
        <v>3097.4714814909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1.15</v>
      </c>
      <c r="D9" s="4" t="n">
        <f aca="false">Assumptions!D15</f>
        <v>1.15</v>
      </c>
      <c r="E9" s="4" t="n">
        <f aca="false">Assumptions!E15</f>
        <v>1.15</v>
      </c>
      <c r="F9" s="4" t="n">
        <f aca="false">Assumptions!F15</f>
        <v>1.15</v>
      </c>
      <c r="G9" s="4" t="n">
        <f aca="false">Assumptions!G15</f>
        <v>1.15</v>
      </c>
      <c r="H9" s="4" t="n">
        <f aca="false">Assumptions!H15</f>
        <v>1.15</v>
      </c>
      <c r="I9" s="4" t="n">
        <f aca="false">Assumptions!I15</f>
        <v>1.15</v>
      </c>
      <c r="J9" s="4" t="n">
        <f aca="false">Assumptions!J15</f>
        <v>1.15</v>
      </c>
      <c r="K9" s="4" t="n">
        <f aca="false">Assumptions!K15</f>
        <v>1.15</v>
      </c>
      <c r="L9" s="4" t="n">
        <f aca="false">Assumptions!L15</f>
        <v>1.15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-98.35407775</v>
      </c>
      <c r="D10" s="0" t="n">
        <f aca="false">-D6*D9/100</f>
        <v>-100.81292969375</v>
      </c>
      <c r="E10" s="0" t="n">
        <f aca="false">-E6*E9/100</f>
        <v>-103.333252936094</v>
      </c>
      <c r="F10" s="0" t="n">
        <f aca="false">-F6*F9/100</f>
        <v>-105.916584259496</v>
      </c>
      <c r="G10" s="0" t="n">
        <f aca="false">-G6*G9/100</f>
        <v>-108.564498865983</v>
      </c>
      <c r="H10" s="0" t="n">
        <f aca="false">-H6*H9/100</f>
        <v>-111.278611337633</v>
      </c>
      <c r="I10" s="0" t="n">
        <f aca="false">-I6*I9/100</f>
        <v>-114.060576621074</v>
      </c>
      <c r="J10" s="0" t="n">
        <f aca="false">-J6*J9/100</f>
        <v>-116.912091036601</v>
      </c>
      <c r="K10" s="0" t="n">
        <f aca="false">-K6*K9/100</f>
        <v>-119.834893312516</v>
      </c>
      <c r="L10" s="0" t="n">
        <f aca="false">-L6*L9/100</f>
        <v>-122.830765645329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2450.29941525</v>
      </c>
      <c r="D11" s="0" t="n">
        <f aca="false">D8+D10+D24</f>
        <v>2485.25787549375</v>
      </c>
      <c r="E11" s="0" t="n">
        <f aca="false">E8+E10+E24</f>
        <v>2529.41832187047</v>
      </c>
      <c r="F11" s="0" t="n">
        <f aca="false">F8+F10+F24</f>
        <v>2565.02336663214</v>
      </c>
      <c r="G11" s="0" t="n">
        <f aca="false">G8+G10+G24</f>
        <v>2629.14895079795</v>
      </c>
      <c r="H11" s="0" t="n">
        <f aca="false">H8+H10+H24</f>
        <v>2694.8776745679</v>
      </c>
      <c r="I11" s="0" t="n">
        <f aca="false">I8+I10+I24</f>
        <v>2762.24961643209</v>
      </c>
      <c r="J11" s="0" t="n">
        <f aca="false">J8+J10+J24</f>
        <v>2831.3058568429</v>
      </c>
      <c r="K11" s="0" t="n">
        <f aca="false">K8+K10+K24</f>
        <v>2902.08850326397</v>
      </c>
      <c r="L11" s="0" t="n">
        <f aca="false">L8+L10+L24</f>
        <v>2974.64071584557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-1111.828705</v>
      </c>
      <c r="D12" s="4" t="n">
        <f aca="false">-D6*Assumptions!D17/100</f>
        <v>-1130.8580809125</v>
      </c>
      <c r="E12" s="4" t="n">
        <f aca="false">-E6*Assumptions!E17/100</f>
        <v>-1150.14403268</v>
      </c>
      <c r="F12" s="4" t="n">
        <f aca="false">-F6*Assumptions!F17/100</f>
        <v>-1169.6874957353</v>
      </c>
      <c r="G12" s="4" t="n">
        <f aca="false">-G6*Assumptions!G17/100</f>
        <v>-1189.48929192295</v>
      </c>
      <c r="H12" s="4" t="n">
        <f aca="false">-H6*Assumptions!H17/100</f>
        <v>-1209.55012323514</v>
      </c>
      <c r="I12" s="4" t="n">
        <f aca="false">-I6*Assumptions!I17/100</f>
        <v>-1239.78887631602</v>
      </c>
      <c r="J12" s="4" t="n">
        <f aca="false">-J6*Assumptions!J17/100</f>
        <v>-1270.78359822392</v>
      </c>
      <c r="K12" s="4" t="n">
        <f aca="false">-K6*Assumptions!K17/100</f>
        <v>-1302.55318817952</v>
      </c>
      <c r="L12" s="4" t="n">
        <f aca="false">-L6*Assumptions!L17/100</f>
        <v>-1335.11701788401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1338.47071025</v>
      </c>
      <c r="D13" s="0" t="n">
        <f aca="false">D11+D12</f>
        <v>1354.39979458125</v>
      </c>
      <c r="E13" s="0" t="n">
        <f aca="false">E11+E12</f>
        <v>1379.27428919047</v>
      </c>
      <c r="F13" s="0" t="n">
        <f aca="false">F11+F12</f>
        <v>1395.33587089684</v>
      </c>
      <c r="G13" s="0" t="n">
        <f aca="false">G11+G12</f>
        <v>1439.659658875</v>
      </c>
      <c r="H13" s="0" t="n">
        <f aca="false">H11+H12</f>
        <v>1485.32755133275</v>
      </c>
      <c r="I13" s="0" t="n">
        <f aca="false">I11+I12</f>
        <v>1522.46074011607</v>
      </c>
      <c r="J13" s="0" t="n">
        <f aca="false">J11+J12</f>
        <v>1560.52225861898</v>
      </c>
      <c r="K13" s="0" t="n">
        <f aca="false">K11+K12</f>
        <v>1599.53531508445</v>
      </c>
      <c r="L13" s="0" t="n">
        <f aca="false">L11+L12</f>
        <v>1639.52369796156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32</v>
      </c>
      <c r="D14" s="4" t="n">
        <f aca="false">Assumptions!D19</f>
        <v>32</v>
      </c>
      <c r="E14" s="4" t="n">
        <f aca="false">Assumptions!E19</f>
        <v>32</v>
      </c>
      <c r="F14" s="4" t="n">
        <f aca="false">Assumptions!F19</f>
        <v>32</v>
      </c>
      <c r="G14" s="4" t="n">
        <f aca="false">Assumptions!G19</f>
        <v>32</v>
      </c>
      <c r="H14" s="4" t="n">
        <f aca="false">Assumptions!H19</f>
        <v>32</v>
      </c>
      <c r="I14" s="4" t="n">
        <f aca="false">Assumptions!I19</f>
        <v>32</v>
      </c>
      <c r="J14" s="4" t="n">
        <f aca="false">Assumptions!J19</f>
        <v>32</v>
      </c>
      <c r="K14" s="4" t="n">
        <f aca="false">Assumptions!K19</f>
        <v>32</v>
      </c>
      <c r="L14" s="4" t="n">
        <f aca="false">Assumptions!L19</f>
        <v>32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910.16008297</v>
      </c>
      <c r="D15" s="0" t="n">
        <f aca="false">D13-MAX(0,D13)*D14/100</f>
        <v>920.99186031525</v>
      </c>
      <c r="E15" s="0" t="n">
        <f aca="false">E13-MAX(0,E13)*E14/100</f>
        <v>937.906516649518</v>
      </c>
      <c r="F15" s="0" t="n">
        <f aca="false">F13-MAX(0,F13)*F14/100</f>
        <v>948.828392209851</v>
      </c>
      <c r="G15" s="0" t="n">
        <f aca="false">G13-MAX(0,G13)*G14/100</f>
        <v>978.968568034999</v>
      </c>
      <c r="H15" s="0" t="n">
        <f aca="false">H13-MAX(0,H13)*H14/100</f>
        <v>1010.02273490627</v>
      </c>
      <c r="I15" s="0" t="n">
        <f aca="false">I13-MAX(0,I13)*I14/100</f>
        <v>1035.27330327893</v>
      </c>
      <c r="J15" s="0" t="n">
        <f aca="false">J13-MAX(0,J13)*J14/100</f>
        <v>1061.1551358609</v>
      </c>
      <c r="K15" s="0" t="n">
        <f aca="false">K13-MAX(0,K13)*K14/100</f>
        <v>1087.68401425743</v>
      </c>
      <c r="L15" s="0" t="n">
        <f aca="false">L13-MAX(0,L13)*L14/100</f>
        <v>1114.87611461386</v>
      </c>
    </row>
    <row r="16" customFormat="false" ht="15" hidden="false" customHeight="false" outlineLevel="0" collapsed="false">
      <c r="A16" s="0" t="s">
        <v>128</v>
      </c>
      <c r="C16" s="0" t="n">
        <f aca="false">-C12</f>
        <v>1111.828705</v>
      </c>
      <c r="D16" s="0" t="n">
        <f aca="false">-D12</f>
        <v>1130.8580809125</v>
      </c>
      <c r="E16" s="0" t="n">
        <f aca="false">-E12</f>
        <v>1150.14403268</v>
      </c>
      <c r="F16" s="0" t="n">
        <f aca="false">-F12</f>
        <v>1169.6874957353</v>
      </c>
      <c r="G16" s="0" t="n">
        <f aca="false">-G12</f>
        <v>1189.48929192295</v>
      </c>
      <c r="H16" s="0" t="n">
        <f aca="false">-H12</f>
        <v>1209.55012323514</v>
      </c>
      <c r="I16" s="0" t="n">
        <f aca="false">-I12</f>
        <v>1239.78887631602</v>
      </c>
      <c r="J16" s="0" t="n">
        <f aca="false">-J12</f>
        <v>1270.78359822392</v>
      </c>
      <c r="K16" s="0" t="n">
        <f aca="false">-K12</f>
        <v>1302.55318817952</v>
      </c>
      <c r="L16" s="0" t="n">
        <f aca="false">-L12</f>
        <v>1335.11701788401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-615.782052</v>
      </c>
      <c r="D17" s="4" t="n">
        <f aca="false">-D6*Assumptions!D18/100</f>
        <v>-639.9429450125</v>
      </c>
      <c r="E17" s="4" t="n">
        <f aca="false">-E6*Assumptions!E18/100</f>
        <v>-655.941518637812</v>
      </c>
      <c r="F17" s="4" t="n">
        <f aca="false">-F6*Assumptions!F18/100</f>
        <v>-672.340056603758</v>
      </c>
      <c r="G17" s="4" t="n">
        <f aca="false">-G6*Assumptions!G18/100</f>
        <v>-689.148558018851</v>
      </c>
      <c r="H17" s="4" t="n">
        <f aca="false">-H6*Assumptions!H18/100</f>
        <v>-706.377271969323</v>
      </c>
      <c r="I17" s="4" t="n">
        <f aca="false">-I6*Assumptions!I18/100</f>
        <v>-724.036703768556</v>
      </c>
      <c r="J17" s="4" t="n">
        <f aca="false">-J6*Assumptions!J18/100</f>
        <v>-742.13762136277</v>
      </c>
      <c r="K17" s="4" t="n">
        <f aca="false">-K6*Assumptions!K18/100</f>
        <v>-760.691061896839</v>
      </c>
      <c r="L17" s="4" t="n">
        <f aca="false">-L6*Assumptions!L18/100</f>
        <v>-779.70833844426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-112.359974999999</v>
      </c>
      <c r="D18" s="4" t="n">
        <f aca="false">(D6-C6)*Assumptions!$B$23/100</f>
        <v>-74.8346243749998</v>
      </c>
      <c r="E18" s="4" t="n">
        <f aca="false">(E6-D6)*Assumptions!$B$23/100</f>
        <v>-76.705489984375</v>
      </c>
      <c r="F18" s="4" t="n">
        <f aca="false">(F6-E6)*Assumptions!$B$23/100</f>
        <v>-78.6231272339838</v>
      </c>
      <c r="G18" s="4" t="n">
        <f aca="false">(G6-F6)*Assumptions!$B$23/100</f>
        <v>-80.5887054148338</v>
      </c>
      <c r="H18" s="4" t="n">
        <f aca="false">(H6-G6)*Assumptions!$B$23/100</f>
        <v>-82.6034230502048</v>
      </c>
      <c r="I18" s="4" t="n">
        <f aca="false">(I6-H6)*Assumptions!$B$23/100</f>
        <v>-84.6685086264598</v>
      </c>
      <c r="J18" s="4" t="n">
        <f aca="false">(J6-I6)*Assumptions!$B$23/100</f>
        <v>-86.7852213421211</v>
      </c>
      <c r="K18" s="4" t="n">
        <f aca="false">(K6-J6)*Assumptions!$B$23/100</f>
        <v>-88.9548518756741</v>
      </c>
      <c r="L18" s="4" t="n">
        <f aca="false">(L6-K6)*Assumptions!$B$23/100</f>
        <v>-91.1787231725662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1293.84676097</v>
      </c>
      <c r="D19" s="0" t="n">
        <f aca="false">D15+D16+D17+D18</f>
        <v>1337.07237184025</v>
      </c>
      <c r="E19" s="0" t="n">
        <f aca="false">E15+E16+E17+E18</f>
        <v>1355.40354070733</v>
      </c>
      <c r="F19" s="0" t="n">
        <f aca="false">F15+F16+F17+F18</f>
        <v>1367.55270410741</v>
      </c>
      <c r="G19" s="0" t="n">
        <f aca="false">G15+G16+G17+G18</f>
        <v>1398.72059652426</v>
      </c>
      <c r="H19" s="0" t="n">
        <f aca="false">H15+H16+H17+H18</f>
        <v>1430.59216312189</v>
      </c>
      <c r="I19" s="0" t="n">
        <f aca="false">I15+I16+I17+I18</f>
        <v>1466.35696719993</v>
      </c>
      <c r="J19" s="0" t="n">
        <f aca="false">J15+J16+J17+J18</f>
        <v>1503.01589137993</v>
      </c>
      <c r="K19" s="0" t="n">
        <f aca="false">K15+K16+K17+K18</f>
        <v>1540.59128866443</v>
      </c>
      <c r="L19" s="0" t="n">
        <f aca="false">L15+L16+L17+L18</f>
        <v>1579.10607088104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1198.00626015741</v>
      </c>
      <c r="D21" s="0" t="n">
        <f aca="false">D19*D20</f>
        <v>1146.32404993163</v>
      </c>
      <c r="E21" s="0" t="n">
        <f aca="false">E19*E20</f>
        <v>1075.96303020637</v>
      </c>
      <c r="F21" s="0" t="n">
        <f aca="false">F19*F20</f>
        <v>1005.19206279146</v>
      </c>
      <c r="G21" s="0" t="n">
        <f aca="false">G19*G20</f>
        <v>951.94573533944</v>
      </c>
      <c r="H21" s="0" t="n">
        <f aca="false">H19*H20</f>
        <v>901.515729656413</v>
      </c>
      <c r="I21" s="0" t="n">
        <f aca="false">I19*I20</f>
        <v>855.605206386873</v>
      </c>
      <c r="J21" s="0" t="n">
        <f aca="false">J19*J20</f>
        <v>812.032719024579</v>
      </c>
      <c r="K21" s="0" t="n">
        <f aca="false">K19*K20</f>
        <v>770.679200926105</v>
      </c>
      <c r="L21" s="0" t="n">
        <f aca="false">L19*L20</f>
        <v>731.43164902709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9448.69564344737</v>
      </c>
    </row>
    <row r="31" customFormat="false" ht="15" hidden="false" customHeight="false" outlineLevel="0" collapsed="false">
      <c r="A31" s="0" t="s">
        <v>137</v>
      </c>
      <c r="B31" s="0" t="n">
        <f aca="false">L19</f>
        <v>1579.10607088104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26844.8032049777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20528.3789214535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20528.3789214535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9508.61143735217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18957.3070807995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11888.3070807995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61.6613437800806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-0.301604442404796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727.951030855335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967.204983317326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70.4536467581546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12389.9091715282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15.4956268961121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4.4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4.3</v>
      </c>
      <c r="G5" s="4" t="n">
        <f aca="false">Assumptions!G27</f>
        <v>4</v>
      </c>
      <c r="H5" s="4" t="n">
        <f aca="false">Assumptions!H27</f>
        <v>3.8</v>
      </c>
      <c r="I5" s="4" t="n">
        <f aca="false">Assumptions!I27</f>
        <v>3.5</v>
      </c>
      <c r="J5" s="4" t="n">
        <f aca="false">Assumptions!J27</f>
        <v>3.2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8231.5</v>
      </c>
      <c r="C6" s="0" t="n">
        <f aca="false">B6*(1+C5/100)</f>
        <v>8593.686</v>
      </c>
      <c r="D6" s="0" t="n">
        <f aca="false">C6*(1+D5/100)</f>
        <v>8980.40187</v>
      </c>
      <c r="E6" s="0" t="n">
        <f aca="false">D6*(1+E5/100)</f>
        <v>9384.51995415</v>
      </c>
      <c r="F6" s="0" t="n">
        <f aca="false">E6*(1+F5/100)</f>
        <v>9788.05431217845</v>
      </c>
      <c r="G6" s="0" t="n">
        <f aca="false">F6*(1+G5/100)</f>
        <v>10179.5764846656</v>
      </c>
      <c r="H6" s="0" t="n">
        <f aca="false">G6*(1+H5/100)</f>
        <v>10566.4003910829</v>
      </c>
      <c r="I6" s="0" t="n">
        <f aca="false">H6*(1+I5/100)</f>
        <v>10936.2244047708</v>
      </c>
      <c r="J6" s="0" t="n">
        <f aca="false">I6*(1+J5/100)</f>
        <v>11286.1835857234</v>
      </c>
      <c r="K6" s="0" t="n">
        <f aca="false">J6*(1+K5/100)</f>
        <v>11624.7690932951</v>
      </c>
      <c r="L6" s="0" t="n">
        <f aca="false">K6*(1+L5/100)</f>
        <v>11973.512166094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30</v>
      </c>
      <c r="D7" s="4" t="n">
        <f aca="false">Assumptions!D28</f>
        <v>30.4</v>
      </c>
      <c r="E7" s="4" t="n">
        <f aca="false">Assumptions!E28</f>
        <v>30.8</v>
      </c>
      <c r="F7" s="4" t="n">
        <f aca="false">Assumptions!F28</f>
        <v>31.1</v>
      </c>
      <c r="G7" s="4" t="n">
        <f aca="false">Assumptions!G28</f>
        <v>31.4</v>
      </c>
      <c r="H7" s="4" t="n">
        <f aca="false">Assumptions!H28</f>
        <v>31.5</v>
      </c>
      <c r="I7" s="4" t="n">
        <f aca="false">Assumptions!I28</f>
        <v>31.5</v>
      </c>
      <c r="J7" s="4" t="n">
        <f aca="false">Assumptions!J28</f>
        <v>31.5</v>
      </c>
      <c r="K7" s="4" t="n">
        <f aca="false">Assumptions!K28</f>
        <v>31.5</v>
      </c>
      <c r="L7" s="4" t="n">
        <f aca="false">Assumptions!L28</f>
        <v>31.5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2578.1058</v>
      </c>
      <c r="D8" s="0" t="n">
        <f aca="false">D6*D7/100</f>
        <v>2730.04216848</v>
      </c>
      <c r="E8" s="0" t="n">
        <f aca="false">E6*E7/100</f>
        <v>2890.4321458782</v>
      </c>
      <c r="F8" s="0" t="n">
        <f aca="false">F6*F7/100</f>
        <v>3044.0848910875</v>
      </c>
      <c r="G8" s="0" t="n">
        <f aca="false">G6*G7/100</f>
        <v>3196.38701618499</v>
      </c>
      <c r="H8" s="0" t="n">
        <f aca="false">H6*H7/100</f>
        <v>3328.41612319111</v>
      </c>
      <c r="I8" s="0" t="n">
        <f aca="false">I6*I7/100</f>
        <v>3444.9106875028</v>
      </c>
      <c r="J8" s="0" t="n">
        <f aca="false">J6*J7/100</f>
        <v>3555.14782950289</v>
      </c>
      <c r="K8" s="0" t="n">
        <f aca="false">K6*K7/100</f>
        <v>3661.80226438797</v>
      </c>
      <c r="L8" s="0" t="n">
        <f aca="false">L6*L7/100</f>
        <v>3771.65633231961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1.15</v>
      </c>
      <c r="D9" s="4" t="n">
        <f aca="false">Assumptions!D29</f>
        <v>1.15</v>
      </c>
      <c r="E9" s="4" t="n">
        <f aca="false">Assumptions!E29</f>
        <v>1.15</v>
      </c>
      <c r="F9" s="4" t="n">
        <f aca="false">Assumptions!F29</f>
        <v>1.15</v>
      </c>
      <c r="G9" s="4" t="n">
        <f aca="false">Assumptions!G29</f>
        <v>1.15</v>
      </c>
      <c r="H9" s="4" t="n">
        <f aca="false">Assumptions!H29</f>
        <v>1.15</v>
      </c>
      <c r="I9" s="4" t="n">
        <f aca="false">Assumptions!I29</f>
        <v>1.15</v>
      </c>
      <c r="J9" s="4" t="n">
        <f aca="false">Assumptions!J29</f>
        <v>1.15</v>
      </c>
      <c r="K9" s="4" t="n">
        <f aca="false">Assumptions!K29</f>
        <v>1.15</v>
      </c>
      <c r="L9" s="4" t="n">
        <f aca="false">Assumptions!L29</f>
        <v>1.15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-98.827389</v>
      </c>
      <c r="D10" s="0" t="n">
        <f aca="false">-D6*D9/100</f>
        <v>-103.274621505</v>
      </c>
      <c r="E10" s="0" t="n">
        <f aca="false">-E6*E9/100</f>
        <v>-107.921979472725</v>
      </c>
      <c r="F10" s="0" t="n">
        <f aca="false">-F6*F9/100</f>
        <v>-112.562624590052</v>
      </c>
      <c r="G10" s="0" t="n">
        <f aca="false">-G6*G9/100</f>
        <v>-117.065129573654</v>
      </c>
      <c r="H10" s="0" t="n">
        <f aca="false">-H6*H9/100</f>
        <v>-121.513604497453</v>
      </c>
      <c r="I10" s="0" t="n">
        <f aca="false">-I6*I9/100</f>
        <v>-125.766580654864</v>
      </c>
      <c r="J10" s="0" t="n">
        <f aca="false">-J6*J9/100</f>
        <v>-129.79111123582</v>
      </c>
      <c r="K10" s="0" t="n">
        <f aca="false">-K6*K9/100</f>
        <v>-133.684844572894</v>
      </c>
      <c r="L10" s="0" t="n">
        <f aca="false">-L6*L9/100</f>
        <v>-137.695389910081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2479.278411</v>
      </c>
      <c r="D11" s="0" t="n">
        <f aca="false">D8+D10+D24</f>
        <v>2626.767546975</v>
      </c>
      <c r="E11" s="0" t="n">
        <f aca="false">E8+E10+E24</f>
        <v>2782.51016640548</v>
      </c>
      <c r="F11" s="0" t="n">
        <f aca="false">F8+F10+F24</f>
        <v>2931.52226649745</v>
      </c>
      <c r="G11" s="0" t="n">
        <f aca="false">G8+G10+G24</f>
        <v>3079.32188661134</v>
      </c>
      <c r="H11" s="0" t="n">
        <f aca="false">H8+H10+H24</f>
        <v>3206.90251869365</v>
      </c>
      <c r="I11" s="0" t="n">
        <f aca="false">I8+I10+I24</f>
        <v>3319.14410684793</v>
      </c>
      <c r="J11" s="0" t="n">
        <f aca="false">J8+J10+J24</f>
        <v>3425.35671826707</v>
      </c>
      <c r="K11" s="0" t="n">
        <f aca="false">K8+K10+K24</f>
        <v>3528.11741981508</v>
      </c>
      <c r="L11" s="0" t="n">
        <f aca="false">L8+L10+L24</f>
        <v>3633.96094240953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-1117.17918</v>
      </c>
      <c r="D12" s="4" t="n">
        <f aca="false">-D6*Assumptions!D31/100</f>
        <v>-1158.47184123</v>
      </c>
      <c r="E12" s="4" t="n">
        <f aca="false">-E6*Assumptions!E31/100</f>
        <v>-1201.2185541312</v>
      </c>
      <c r="F12" s="4" t="n">
        <f aca="false">-F6*Assumptions!F31/100</f>
        <v>-1243.08289764666</v>
      </c>
      <c r="G12" s="4" t="n">
        <f aca="false">-G6*Assumptions!G31/100</f>
        <v>-1282.62663706786</v>
      </c>
      <c r="H12" s="4" t="n">
        <f aca="false">-H6*Assumptions!H31/100</f>
        <v>-1320.80004888536</v>
      </c>
      <c r="I12" s="4" t="n">
        <f aca="false">-I6*Assumptions!I31/100</f>
        <v>-1367.02805059635</v>
      </c>
      <c r="J12" s="4" t="n">
        <f aca="false">-J6*Assumptions!J31/100</f>
        <v>-1410.77294821543</v>
      </c>
      <c r="K12" s="4" t="n">
        <f aca="false">-K6*Assumptions!K31/100</f>
        <v>-1453.09613666189</v>
      </c>
      <c r="L12" s="4" t="n">
        <f aca="false">-L6*Assumptions!L31/100</f>
        <v>-1496.68902076175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1362.099231</v>
      </c>
      <c r="D13" s="0" t="n">
        <f aca="false">D11+D12</f>
        <v>1468.295705745</v>
      </c>
      <c r="E13" s="0" t="n">
        <f aca="false">E11+E12</f>
        <v>1581.29161227428</v>
      </c>
      <c r="F13" s="0" t="n">
        <f aca="false">F11+F12</f>
        <v>1688.43936885078</v>
      </c>
      <c r="G13" s="0" t="n">
        <f aca="false">G11+G12</f>
        <v>1796.69524954348</v>
      </c>
      <c r="H13" s="0" t="n">
        <f aca="false">H11+H12</f>
        <v>1886.10246980829</v>
      </c>
      <c r="I13" s="0" t="n">
        <f aca="false">I11+I12</f>
        <v>1952.11605625158</v>
      </c>
      <c r="J13" s="0" t="n">
        <f aca="false">J11+J12</f>
        <v>2014.58377005164</v>
      </c>
      <c r="K13" s="0" t="n">
        <f aca="false">K11+K12</f>
        <v>2075.02128315318</v>
      </c>
      <c r="L13" s="0" t="n">
        <f aca="false">L11+L12</f>
        <v>2137.27192164778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32</v>
      </c>
      <c r="D14" s="4" t="n">
        <f aca="false">Assumptions!D33</f>
        <v>32</v>
      </c>
      <c r="E14" s="4" t="n">
        <f aca="false">Assumptions!E33</f>
        <v>31.5</v>
      </c>
      <c r="F14" s="4" t="n">
        <f aca="false">Assumptions!F33</f>
        <v>31</v>
      </c>
      <c r="G14" s="4" t="n">
        <f aca="false">Assumptions!G33</f>
        <v>30.5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926.22747708</v>
      </c>
      <c r="D15" s="0" t="n">
        <f aca="false">D13-MAX(0,D13)*D14/100</f>
        <v>998.4410799066</v>
      </c>
      <c r="E15" s="0" t="n">
        <f aca="false">E13-MAX(0,E13)*E14/100</f>
        <v>1083.18475440788</v>
      </c>
      <c r="F15" s="0" t="n">
        <f aca="false">F13-MAX(0,F13)*F14/100</f>
        <v>1165.02316450704</v>
      </c>
      <c r="G15" s="0" t="n">
        <f aca="false">G13-MAX(0,G13)*G14/100</f>
        <v>1248.70319843272</v>
      </c>
      <c r="H15" s="0" t="n">
        <f aca="false">H13-MAX(0,H13)*H14/100</f>
        <v>1320.27172886581</v>
      </c>
      <c r="I15" s="0" t="n">
        <f aca="false">I13-MAX(0,I13)*I14/100</f>
        <v>1366.48123937611</v>
      </c>
      <c r="J15" s="0" t="n">
        <f aca="false">J13-MAX(0,J13)*J14/100</f>
        <v>1410.20863903614</v>
      </c>
      <c r="K15" s="0" t="n">
        <f aca="false">K13-MAX(0,K13)*K14/100</f>
        <v>1452.51489820723</v>
      </c>
      <c r="L15" s="0" t="n">
        <f aca="false">L13-MAX(0,L13)*L14/100</f>
        <v>1496.09034515345</v>
      </c>
    </row>
    <row r="16" customFormat="false" ht="15" hidden="false" customHeight="false" outlineLevel="0" collapsed="false">
      <c r="A16" s="0" t="s">
        <v>128</v>
      </c>
      <c r="C16" s="0" t="n">
        <f aca="false">-C12</f>
        <v>1117.17918</v>
      </c>
      <c r="D16" s="0" t="n">
        <f aca="false">-D12</f>
        <v>1158.47184123</v>
      </c>
      <c r="E16" s="0" t="n">
        <f aca="false">-E12</f>
        <v>1201.2185541312</v>
      </c>
      <c r="F16" s="0" t="n">
        <f aca="false">-F12</f>
        <v>1243.08289764666</v>
      </c>
      <c r="G16" s="0" t="n">
        <f aca="false">-G12</f>
        <v>1282.62663706786</v>
      </c>
      <c r="H16" s="0" t="n">
        <f aca="false">-H12</f>
        <v>1320.80004888536</v>
      </c>
      <c r="I16" s="0" t="n">
        <f aca="false">-I12</f>
        <v>1367.02805059635</v>
      </c>
      <c r="J16" s="0" t="n">
        <f aca="false">-J12</f>
        <v>1410.77294821543</v>
      </c>
      <c r="K16" s="0" t="n">
        <f aca="false">-K12</f>
        <v>1453.09613666189</v>
      </c>
      <c r="L16" s="0" t="n">
        <f aca="false">-L12</f>
        <v>1496.68902076175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-601.55802</v>
      </c>
      <c r="D17" s="4" t="n">
        <f aca="false">-D6*Assumptions!D32/100</f>
        <v>-628.6281309</v>
      </c>
      <c r="E17" s="4" t="n">
        <f aca="false">-E6*Assumptions!E32/100</f>
        <v>-656.9163967905</v>
      </c>
      <c r="F17" s="4" t="n">
        <f aca="false">-F6*Assumptions!F32/100</f>
        <v>-685.163801852492</v>
      </c>
      <c r="G17" s="4" t="n">
        <f aca="false">-G6*Assumptions!G32/100</f>
        <v>-712.570353926591</v>
      </c>
      <c r="H17" s="4" t="n">
        <f aca="false">-H6*Assumptions!H32/100</f>
        <v>-739.648027375802</v>
      </c>
      <c r="I17" s="4" t="n">
        <f aca="false">-I6*Assumptions!I32/100</f>
        <v>-765.535708333955</v>
      </c>
      <c r="J17" s="4" t="n">
        <f aca="false">-J6*Assumptions!J32/100</f>
        <v>-790.032851000641</v>
      </c>
      <c r="K17" s="4" t="n">
        <f aca="false">-K6*Assumptions!K32/100</f>
        <v>-813.73383653066</v>
      </c>
      <c r="L17" s="4" t="n">
        <f aca="false">-L6*Assumptions!L32/100</f>
        <v>-838.14585162658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-126.7651</v>
      </c>
      <c r="D18" s="4" t="n">
        <f aca="false">(D6-C6)*Assumptions!$B$37/100</f>
        <v>-135.3505545</v>
      </c>
      <c r="E18" s="4" t="n">
        <f aca="false">(E6-D6)*Assumptions!$B$37/100</f>
        <v>-141.4413294525</v>
      </c>
      <c r="F18" s="4" t="n">
        <f aca="false">(F6-E6)*Assumptions!$B$37/100</f>
        <v>-141.237025309957</v>
      </c>
      <c r="G18" s="4" t="n">
        <f aca="false">(G6-F6)*Assumptions!$B$37/100</f>
        <v>-137.032760370499</v>
      </c>
      <c r="H18" s="4" t="n">
        <f aca="false">(H6-G6)*Assumptions!$B$37/100</f>
        <v>-135.388367246052</v>
      </c>
      <c r="I18" s="4" t="n">
        <f aca="false">(I6-H6)*Assumptions!$B$37/100</f>
        <v>-129.438404790765</v>
      </c>
      <c r="J18" s="4" t="n">
        <f aca="false">(J6-I6)*Assumptions!$B$37/100</f>
        <v>-122.485713333433</v>
      </c>
      <c r="K18" s="4" t="n">
        <f aca="false">(K6-J6)*Assumptions!$B$37/100</f>
        <v>-118.504927650097</v>
      </c>
      <c r="L18" s="4" t="n">
        <f aca="false">(L6-K6)*Assumptions!$B$37/100</f>
        <v>-122.060075479599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1315.08353708</v>
      </c>
      <c r="D19" s="0" t="n">
        <f aca="false">D15+D16+D17+D18</f>
        <v>1392.9342357366</v>
      </c>
      <c r="E19" s="0" t="n">
        <f aca="false">E15+E16+E17+E18</f>
        <v>1486.04558229608</v>
      </c>
      <c r="F19" s="0" t="n">
        <f aca="false">F15+F16+F17+F18</f>
        <v>1581.70523499125</v>
      </c>
      <c r="G19" s="0" t="n">
        <f aca="false">G15+G16+G17+G18</f>
        <v>1681.72672120349</v>
      </c>
      <c r="H19" s="0" t="n">
        <f aca="false">H15+H16+H17+H18</f>
        <v>1766.03538312931</v>
      </c>
      <c r="I19" s="0" t="n">
        <f aca="false">I15+I16+I17+I18</f>
        <v>1838.53517684774</v>
      </c>
      <c r="J19" s="0" t="n">
        <f aca="false">J15+J16+J17+J18</f>
        <v>1908.4630229175</v>
      </c>
      <c r="K19" s="0" t="n">
        <f aca="false">K15+K16+K17+K18</f>
        <v>1973.37227068837</v>
      </c>
      <c r="L19" s="0" t="n">
        <f aca="false">L15+L16+L17+L18</f>
        <v>2032.57343880902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1217.66994174074</v>
      </c>
      <c r="D21" s="0" t="n">
        <f aca="false">D19*D20</f>
        <v>1194.21659442438</v>
      </c>
      <c r="E21" s="0" t="n">
        <f aca="false">E19*E20</f>
        <v>1179.67089485222</v>
      </c>
      <c r="F21" s="0" t="n">
        <f aca="false">F19*F20</f>
        <v>1162.600566043</v>
      </c>
      <c r="G21" s="0" t="n">
        <f aca="false">G19*G20</f>
        <v>1144.55494845376</v>
      </c>
      <c r="H21" s="0" t="n">
        <f aca="false">H19*H20</f>
        <v>1112.90185844896</v>
      </c>
      <c r="I21" s="0" t="n">
        <f aca="false">I19*I20</f>
        <v>1072.76761704222</v>
      </c>
      <c r="J21" s="0" t="n">
        <f aca="false">J19*J20</f>
        <v>1031.08318850491</v>
      </c>
      <c r="K21" s="0" t="n">
        <f aca="false">K19*K20</f>
        <v>987.177440177717</v>
      </c>
      <c r="L21" s="0" t="n">
        <f aca="false">L19*L20</f>
        <v>941.47478091023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11044.1178305981</v>
      </c>
    </row>
    <row r="31" customFormat="false" ht="15" hidden="false" customHeight="false" outlineLevel="0" collapsed="false">
      <c r="A31" s="0" t="s">
        <v>137</v>
      </c>
      <c r="B31" s="0" t="n">
        <f aca="false">L19</f>
        <v>2032.57343880902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37879.7777232589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32521.1750209443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32521.1750209443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15063.5964945637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26107.7143251618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19038.7143251618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98.7485182840343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0.118456430898565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778.864767098713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1188.61996625949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108.95331461888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16667.1021982339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26.4894063164617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4.8</v>
      </c>
      <c r="D5" s="4" t="n">
        <f aca="false">Assumptions!D41</f>
        <v>5.8</v>
      </c>
      <c r="E5" s="4" t="n">
        <f aca="false">Assumptions!E41</f>
        <v>6.2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8231.5</v>
      </c>
      <c r="C6" s="0" t="n">
        <f aca="false">B6*(1+C5/100)</f>
        <v>8626.612</v>
      </c>
      <c r="D6" s="0" t="n">
        <f aca="false">C6*(1+D5/100)</f>
        <v>9126.955496</v>
      </c>
      <c r="E6" s="0" t="n">
        <f aca="false">D6*(1+E5/100)</f>
        <v>9692.826736752</v>
      </c>
      <c r="F6" s="0" t="n">
        <f aca="false">E6*(1+F5/100)</f>
        <v>10274.3963409571</v>
      </c>
      <c r="G6" s="0" t="n">
        <f aca="false">F6*(1+G5/100)</f>
        <v>10839.4881397098</v>
      </c>
      <c r="H6" s="0" t="n">
        <f aca="false">G6*(1+H5/100)</f>
        <v>11381.4625466953</v>
      </c>
      <c r="I6" s="0" t="n">
        <f aca="false">H6*(1+I5/100)</f>
        <v>11893.6283612965</v>
      </c>
      <c r="J6" s="0" t="n">
        <f aca="false">I6*(1+J5/100)</f>
        <v>12369.3734957484</v>
      </c>
      <c r="K6" s="0" t="n">
        <f aca="false">J6*(1+K5/100)</f>
        <v>12802.3015680996</v>
      </c>
      <c r="L6" s="0" t="n">
        <f aca="false">K6*(1+L5/100)</f>
        <v>13186.3706151426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30.3</v>
      </c>
      <c r="D7" s="4" t="n">
        <f aca="false">Assumptions!D42</f>
        <v>31</v>
      </c>
      <c r="E7" s="4" t="n">
        <f aca="false">Assumptions!E42</f>
        <v>31.8</v>
      </c>
      <c r="F7" s="4" t="n">
        <f aca="false">Assumptions!F42</f>
        <v>32.5</v>
      </c>
      <c r="G7" s="4" t="n">
        <f aca="false">Assumptions!G42</f>
        <v>33</v>
      </c>
      <c r="H7" s="4" t="n">
        <f aca="false">Assumptions!H42</f>
        <v>33.3</v>
      </c>
      <c r="I7" s="4" t="n">
        <f aca="false">Assumptions!I42</f>
        <v>33.5</v>
      </c>
      <c r="J7" s="4" t="n">
        <f aca="false">Assumptions!J42</f>
        <v>33.5</v>
      </c>
      <c r="K7" s="4" t="n">
        <f aca="false">Assumptions!K42</f>
        <v>33.5</v>
      </c>
      <c r="L7" s="4" t="n">
        <f aca="false">Assumptions!L42</f>
        <v>33.5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2613.863436</v>
      </c>
      <c r="D8" s="0" t="n">
        <f aca="false">D6*D7/100</f>
        <v>2829.35620376</v>
      </c>
      <c r="E8" s="0" t="n">
        <f aca="false">E6*E7/100</f>
        <v>3082.31890228714</v>
      </c>
      <c r="F8" s="0" t="n">
        <f aca="false">F6*F7/100</f>
        <v>3339.17881081107</v>
      </c>
      <c r="G8" s="0" t="n">
        <f aca="false">G6*G7/100</f>
        <v>3577.03108610422</v>
      </c>
      <c r="H8" s="0" t="n">
        <f aca="false">H6*H7/100</f>
        <v>3790.02702804952</v>
      </c>
      <c r="I8" s="0" t="n">
        <f aca="false">I6*I7/100</f>
        <v>3984.36550103434</v>
      </c>
      <c r="J8" s="0" t="n">
        <f aca="false">J6*J7/100</f>
        <v>4143.74012107571</v>
      </c>
      <c r="K8" s="0" t="n">
        <f aca="false">K6*K7/100</f>
        <v>4288.77102531337</v>
      </c>
      <c r="L8" s="0" t="n">
        <f aca="false">L6*L7/100</f>
        <v>4417.43415607277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1.15</v>
      </c>
      <c r="D9" s="4" t="n">
        <f aca="false">Assumptions!D43</f>
        <v>1.15</v>
      </c>
      <c r="E9" s="4" t="n">
        <f aca="false">Assumptions!E43</f>
        <v>1.15</v>
      </c>
      <c r="F9" s="4" t="n">
        <f aca="false">Assumptions!F43</f>
        <v>1.15</v>
      </c>
      <c r="G9" s="4" t="n">
        <f aca="false">Assumptions!G43</f>
        <v>1.15</v>
      </c>
      <c r="H9" s="4" t="n">
        <f aca="false">Assumptions!H43</f>
        <v>1.15</v>
      </c>
      <c r="I9" s="4" t="n">
        <f aca="false">Assumptions!I43</f>
        <v>1.15</v>
      </c>
      <c r="J9" s="4" t="n">
        <f aca="false">Assumptions!J43</f>
        <v>1.15</v>
      </c>
      <c r="K9" s="4" t="n">
        <f aca="false">Assumptions!K43</f>
        <v>1.15</v>
      </c>
      <c r="L9" s="4" t="n">
        <f aca="false">Assumptions!L43</f>
        <v>1.15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-99.206038</v>
      </c>
      <c r="D10" s="0" t="n">
        <f aca="false">-D6*D9/100</f>
        <v>-104.959988204</v>
      </c>
      <c r="E10" s="0" t="n">
        <f aca="false">-E6*E9/100</f>
        <v>-111.467507472648</v>
      </c>
      <c r="F10" s="0" t="n">
        <f aca="false">-F6*F9/100</f>
        <v>-118.155557921007</v>
      </c>
      <c r="G10" s="0" t="n">
        <f aca="false">-G6*G9/100</f>
        <v>-124.654113606662</v>
      </c>
      <c r="H10" s="0" t="n">
        <f aca="false">-H6*H9/100</f>
        <v>-130.886819286995</v>
      </c>
      <c r="I10" s="0" t="n">
        <f aca="false">-I6*I9/100</f>
        <v>-136.77672615491</v>
      </c>
      <c r="J10" s="0" t="n">
        <f aca="false">-J6*J9/100</f>
        <v>-142.247795201107</v>
      </c>
      <c r="K10" s="0" t="n">
        <f aca="false">-K6*K9/100</f>
        <v>-147.226468033145</v>
      </c>
      <c r="L10" s="0" t="n">
        <f aca="false">-L6*L9/100</f>
        <v>-151.64326207414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2514.657398</v>
      </c>
      <c r="D11" s="0" t="n">
        <f aca="false">D8+D10+D24</f>
        <v>2724.396215556</v>
      </c>
      <c r="E11" s="0" t="n">
        <f aca="false">E8+E10+E24</f>
        <v>2970.85139481449</v>
      </c>
      <c r="F11" s="0" t="n">
        <f aca="false">F8+F10+F24</f>
        <v>3221.02325289006</v>
      </c>
      <c r="G11" s="0" t="n">
        <f aca="false">G8+G10+G24</f>
        <v>3452.37697249756</v>
      </c>
      <c r="H11" s="0" t="n">
        <f aca="false">H8+H10+H24</f>
        <v>3659.14020876252</v>
      </c>
      <c r="I11" s="0" t="n">
        <f aca="false">I8+I10+I24</f>
        <v>3847.58877487943</v>
      </c>
      <c r="J11" s="0" t="n">
        <f aca="false">J8+J10+J24</f>
        <v>4001.49232587461</v>
      </c>
      <c r="K11" s="0" t="n">
        <f aca="false">K8+K10+K24</f>
        <v>4141.54455728022</v>
      </c>
      <c r="L11" s="0" t="n">
        <f aca="false">L8+L10+L24</f>
        <v>4265.79089399863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-1121.45956</v>
      </c>
      <c r="D12" s="4" t="n">
        <f aca="false">-D6*Assumptions!D45/100</f>
        <v>-1177.377258984</v>
      </c>
      <c r="E12" s="4" t="n">
        <f aca="false">-E6*Assumptions!E45/100</f>
        <v>-1240.68182230426</v>
      </c>
      <c r="F12" s="4" t="n">
        <f aca="false">-F6*Assumptions!F45/100</f>
        <v>-1304.84833530155</v>
      </c>
      <c r="G12" s="4" t="n">
        <f aca="false">-G6*Assumptions!G45/100</f>
        <v>-1365.77550560343</v>
      </c>
      <c r="H12" s="4" t="n">
        <f aca="false">-H6*Assumptions!H45/100</f>
        <v>-1422.68281833691</v>
      </c>
      <c r="I12" s="4" t="n">
        <f aca="false">-I6*Assumptions!I45/100</f>
        <v>-1486.70354516207</v>
      </c>
      <c r="J12" s="4" t="n">
        <f aca="false">-J6*Assumptions!J45/100</f>
        <v>-1546.17168696855</v>
      </c>
      <c r="K12" s="4" t="n">
        <f aca="false">-K6*Assumptions!K45/100</f>
        <v>-1600.28769601245</v>
      </c>
      <c r="L12" s="4" t="n">
        <f aca="false">-L6*Assumptions!L45/100</f>
        <v>-1648.29632689282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1393.197838</v>
      </c>
      <c r="D13" s="0" t="n">
        <f aca="false">D11+D12</f>
        <v>1547.018956572</v>
      </c>
      <c r="E13" s="0" t="n">
        <f aca="false">E11+E12</f>
        <v>1730.16957251023</v>
      </c>
      <c r="F13" s="0" t="n">
        <f aca="false">F11+F12</f>
        <v>1916.1749175885</v>
      </c>
      <c r="G13" s="0" t="n">
        <f aca="false">G11+G12</f>
        <v>2086.60146689413</v>
      </c>
      <c r="H13" s="0" t="n">
        <f aca="false">H11+H12</f>
        <v>2236.45739042562</v>
      </c>
      <c r="I13" s="0" t="n">
        <f aca="false">I11+I12</f>
        <v>2360.88522971736</v>
      </c>
      <c r="J13" s="0" t="n">
        <f aca="false">J11+J12</f>
        <v>2455.32063890606</v>
      </c>
      <c r="K13" s="0" t="n">
        <f aca="false">K11+K12</f>
        <v>2541.25686126777</v>
      </c>
      <c r="L13" s="0" t="n">
        <f aca="false">L11+L12</f>
        <v>2617.4945671058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32</v>
      </c>
      <c r="D14" s="4" t="n">
        <f aca="false">Assumptions!D47</f>
        <v>32</v>
      </c>
      <c r="E14" s="4" t="n">
        <f aca="false">Assumptions!E47</f>
        <v>31.5</v>
      </c>
      <c r="F14" s="4" t="n">
        <f aca="false">Assumptions!F47</f>
        <v>31</v>
      </c>
      <c r="G14" s="4" t="n">
        <f aca="false">Assumptions!G47</f>
        <v>30.5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947.37452984</v>
      </c>
      <c r="D15" s="0" t="n">
        <f aca="false">D13-MAX(0,D13)*D14/100</f>
        <v>1051.97289046896</v>
      </c>
      <c r="E15" s="0" t="n">
        <f aca="false">E13-MAX(0,E13)*E14/100</f>
        <v>1185.16615716951</v>
      </c>
      <c r="F15" s="0" t="n">
        <f aca="false">F13-MAX(0,F13)*F14/100</f>
        <v>1322.16069313607</v>
      </c>
      <c r="G15" s="0" t="n">
        <f aca="false">G13-MAX(0,G13)*G14/100</f>
        <v>1450.18801949142</v>
      </c>
      <c r="H15" s="0" t="n">
        <f aca="false">H13-MAX(0,H13)*H14/100</f>
        <v>1565.52017329793</v>
      </c>
      <c r="I15" s="0" t="n">
        <f aca="false">I13-MAX(0,I13)*I14/100</f>
        <v>1652.61966080215</v>
      </c>
      <c r="J15" s="0" t="n">
        <f aca="false">J13-MAX(0,J13)*J14/100</f>
        <v>1718.72444723424</v>
      </c>
      <c r="K15" s="0" t="n">
        <f aca="false">K13-MAX(0,K13)*K14/100</f>
        <v>1778.87980288744</v>
      </c>
      <c r="L15" s="0" t="n">
        <f aca="false">L13-MAX(0,L13)*L14/100</f>
        <v>1832.24619697406</v>
      </c>
    </row>
    <row r="16" customFormat="false" ht="15" hidden="false" customHeight="false" outlineLevel="0" collapsed="false">
      <c r="A16" s="0" t="s">
        <v>128</v>
      </c>
      <c r="C16" s="0" t="n">
        <f aca="false">-C12</f>
        <v>1121.45956</v>
      </c>
      <c r="D16" s="0" t="n">
        <f aca="false">-D12</f>
        <v>1177.377258984</v>
      </c>
      <c r="E16" s="0" t="n">
        <f aca="false">-E12</f>
        <v>1240.68182230426</v>
      </c>
      <c r="F16" s="0" t="n">
        <f aca="false">-F12</f>
        <v>1304.84833530155</v>
      </c>
      <c r="G16" s="0" t="n">
        <f aca="false">-G12</f>
        <v>1365.77550560343</v>
      </c>
      <c r="H16" s="0" t="n">
        <f aca="false">-H12</f>
        <v>1422.68281833691</v>
      </c>
      <c r="I16" s="0" t="n">
        <f aca="false">-I12</f>
        <v>1486.70354516207</v>
      </c>
      <c r="J16" s="0" t="n">
        <f aca="false">-J12</f>
        <v>1546.17168696855</v>
      </c>
      <c r="K16" s="0" t="n">
        <f aca="false">-K12</f>
        <v>1600.28769601245</v>
      </c>
      <c r="L16" s="0" t="n">
        <f aca="false">-L12</f>
        <v>1648.29632689282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-603.86284</v>
      </c>
      <c r="D17" s="4" t="n">
        <f aca="false">-D6*Assumptions!D46/100</f>
        <v>-638.88688472</v>
      </c>
      <c r="E17" s="4" t="n">
        <f aca="false">-E6*Assumptions!E46/100</f>
        <v>-678.49787157264</v>
      </c>
      <c r="F17" s="4" t="n">
        <f aca="false">-F6*Assumptions!F46/100</f>
        <v>-719.207743866999</v>
      </c>
      <c r="G17" s="4" t="n">
        <f aca="false">-G6*Assumptions!G46/100</f>
        <v>-758.764169779684</v>
      </c>
      <c r="H17" s="4" t="n">
        <f aca="false">-H6*Assumptions!H46/100</f>
        <v>-796.702378268668</v>
      </c>
      <c r="I17" s="4" t="n">
        <f aca="false">-I6*Assumptions!I46/100</f>
        <v>-832.553985290758</v>
      </c>
      <c r="J17" s="4" t="n">
        <f aca="false">-J6*Assumptions!J46/100</f>
        <v>-865.856144702388</v>
      </c>
      <c r="K17" s="4" t="n">
        <f aca="false">-K6*Assumptions!K46/100</f>
        <v>-896.161109766972</v>
      </c>
      <c r="L17" s="4" t="n">
        <f aca="false">-L6*Assumptions!L46/100</f>
        <v>-923.045943059981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-138.2892</v>
      </c>
      <c r="D18" s="4" t="n">
        <f aca="false">(D6-C6)*Assumptions!$B$51/100</f>
        <v>-175.1202236</v>
      </c>
      <c r="E18" s="4" t="n">
        <f aca="false">(E6-D6)*Assumptions!$B$51/100</f>
        <v>-198.054934263201</v>
      </c>
      <c r="F18" s="4" t="n">
        <f aca="false">(F6-E6)*Assumptions!$B$51/100</f>
        <v>-203.549361471792</v>
      </c>
      <c r="G18" s="4" t="n">
        <f aca="false">(G6-F6)*Assumptions!$B$51/100</f>
        <v>-197.782129563424</v>
      </c>
      <c r="H18" s="4" t="n">
        <f aca="false">(H6-G6)*Assumptions!$B$51/100</f>
        <v>-189.691042444921</v>
      </c>
      <c r="I18" s="4" t="n">
        <f aca="false">(I6-H6)*Assumptions!$B$51/100</f>
        <v>-179.25803511045</v>
      </c>
      <c r="J18" s="4" t="n">
        <f aca="false">(J6-I6)*Assumptions!$B$51/100</f>
        <v>-166.510797058151</v>
      </c>
      <c r="K18" s="4" t="n">
        <f aca="false">(K6-J6)*Assumptions!$B$51/100</f>
        <v>-151.524825322918</v>
      </c>
      <c r="L18" s="4" t="n">
        <f aca="false">(L6-K6)*Assumptions!$B$51/100</f>
        <v>-134.424166465046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1326.68204984</v>
      </c>
      <c r="D19" s="0" t="n">
        <f aca="false">D15+D16+D17+D18</f>
        <v>1415.34304113296</v>
      </c>
      <c r="E19" s="0" t="n">
        <f aca="false">E15+E16+E17+E18</f>
        <v>1549.29517363793</v>
      </c>
      <c r="F19" s="0" t="n">
        <f aca="false">F15+F16+F17+F18</f>
        <v>1704.25192309883</v>
      </c>
      <c r="G19" s="0" t="n">
        <f aca="false">G15+G16+G17+G18</f>
        <v>1859.41722575174</v>
      </c>
      <c r="H19" s="0" t="n">
        <f aca="false">H15+H16+H17+H18</f>
        <v>2001.80957092125</v>
      </c>
      <c r="I19" s="0" t="n">
        <f aca="false">I15+I16+I17+I18</f>
        <v>2127.51118556302</v>
      </c>
      <c r="J19" s="0" t="n">
        <f aca="false">J15+J16+J17+J18</f>
        <v>2232.52919244225</v>
      </c>
      <c r="K19" s="0" t="n">
        <f aca="false">K15+K16+K17+K18</f>
        <v>2331.48156381</v>
      </c>
      <c r="L19" s="0" t="n">
        <f aca="false">L15+L16+L17+L18</f>
        <v>2423.07241434186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1228.40930540741</v>
      </c>
      <c r="D21" s="0" t="n">
        <f aca="false">D19*D20</f>
        <v>1213.42853320727</v>
      </c>
      <c r="E21" s="0" t="n">
        <f aca="false">E19*E20</f>
        <v>1229.88045969073</v>
      </c>
      <c r="F21" s="0" t="n">
        <f aca="false">F19*F20</f>
        <v>1252.67604016341</v>
      </c>
      <c r="G21" s="0" t="n">
        <f aca="false">G19*G20</f>
        <v>1265.48812012175</v>
      </c>
      <c r="H21" s="0" t="n">
        <f aca="false">H19*H20</f>
        <v>1261.47959039847</v>
      </c>
      <c r="I21" s="0" t="n">
        <f aca="false">I19*I20</f>
        <v>1241.38234258877</v>
      </c>
      <c r="J21" s="0" t="n">
        <f aca="false">J19*J20</f>
        <v>1206.16605641887</v>
      </c>
      <c r="K21" s="0" t="n">
        <f aca="false">K19*K20</f>
        <v>1166.32124418199</v>
      </c>
      <c r="L21" s="0" t="n">
        <f aca="false">L19*L20</f>
        <v>1122.35136348078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12187.5830556595</v>
      </c>
    </row>
    <row r="31" customFormat="false" ht="15" hidden="false" customHeight="false" outlineLevel="0" collapsed="false">
      <c r="A31" s="0" t="s">
        <v>137</v>
      </c>
      <c r="B31" s="0" t="n">
        <f aca="false">L19</f>
        <v>2423.07241434186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45157.2586309164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41192.2310438116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41192.2310438116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19079.9731791733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31267.5562348327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24198.5562348327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125.511183790626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0.421578704163849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825.046495613448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1309.0213780414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136.580000562695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19869.1937976032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34.4425409630034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61.6613437800806</v>
      </c>
      <c r="C4" s="0" t="n">
        <f aca="false">B4/Assumptions!$B$2-1</f>
        <v>-0.301604442404796</v>
      </c>
      <c r="D4" s="4" t="n">
        <f aca="false">Assumptions!$B$24</f>
        <v>0.25</v>
      </c>
      <c r="E4" s="4" t="n">
        <f aca="false">DCF_Bear!$B$43</f>
        <v>70.4536467581546</v>
      </c>
      <c r="F4" s="4" t="n">
        <f aca="false">DCF_Bear!$B$47</f>
        <v>15.4956268961121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98.7485182840343</v>
      </c>
      <c r="C5" s="0" t="n">
        <f aca="false">B5/Assumptions!$B$2-1</f>
        <v>0.118456430898565</v>
      </c>
      <c r="D5" s="4" t="n">
        <f aca="false">Assumptions!$B$38</f>
        <v>0.5</v>
      </c>
      <c r="E5" s="4" t="n">
        <f aca="false">DCF_Base!$B$43</f>
        <v>108.95331461888</v>
      </c>
      <c r="F5" s="4" t="n">
        <f aca="false">DCF_Base!$B$47</f>
        <v>26.4894063164617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125.511183790626</v>
      </c>
      <c r="C6" s="0" t="n">
        <f aca="false">B6/Assumptions!$B$2-1</f>
        <v>0.421578704163849</v>
      </c>
      <c r="D6" s="4" t="n">
        <f aca="false">Assumptions!$B$52</f>
        <v>0.25</v>
      </c>
      <c r="E6" s="4" t="n">
        <f aca="false">DCF_Bull!$B$43</f>
        <v>136.580000562695</v>
      </c>
      <c r="F6" s="4" t="n">
        <f aca="false">DCF_Bull!$B$47</f>
        <v>34.4425409630034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96.1673910346939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106.235069139652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0.0819133278956479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-78.2443672967078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25.7292451230098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98.7485182840343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88.1422846110765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70.9531393374017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57.8328515224271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47.4950998858387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26.4894063164617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120.831871156923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120.831871156923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120.831871156923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120.831871156923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120.831871156923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109.267133286596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109.267133286596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109.267133286596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109.267133286596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109.267133286596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96.8703767645038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98.7485182840343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98.7485182840343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98.7485182840343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98.7485182840343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78.1853394559041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82.808206849377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88.1422846110765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89.1699509688351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89.1699509688351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63.9397998648927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67.2273027426313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70.9531393374017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75.2112383028535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80.1244294168364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2026-10-02T22:06:25Z</dcterms:created>
  <dc:creator>openpyxl</dc:creator>
  <dc:description/>
  <dc:language>en-NZ</dc:language>
  <cp:lastModifiedBy/>
  <dcterms:modified xsi:type="dcterms:W3CDTF">2026-10-02T22:06:25Z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