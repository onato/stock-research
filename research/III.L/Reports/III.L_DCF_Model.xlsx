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<sst xmlns="http://schemas.openxmlformats.org/spreadsheetml/2006/main" count="363" uniqueCount="170">
  <si>
    <t xml:space="preserve">Ticker</t>
  </si>
  <si>
    <t xml:space="preserve">III.L</t>
  </si>
  <si>
    <t xml:space="preserve">Company</t>
  </si>
  <si>
    <t xml:space="preserve">3i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</si>
  <si>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</si>
  <si>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</si>
  <si>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</si>
  <si>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</si>
  <si>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2026-10-09T16:00:06Z regular close (LSE)</t>
  </si>
  <si>
    <t xml:space="preserve">Balance sheet date</t>
  </si>
  <si>
    <t xml:space="preserve">2026-06-30</t>
  </si>
  <si>
    <t xml:space="preserve">Model</t>
  </si>
  <si>
    <t xml:space="preserve">Investment trust NAV compounding with distributions capitalised at cost of equity (engine route)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</si>
  <si>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</si>
  <si>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</si>
  <si>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</si>
  <si>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</si>
  <si>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</si>
  <si>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</si>
  <si>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</si>
  <si>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</si>
  <si>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</si>
  <si>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2026-10-09T23:37:16Z</t>
  </si>
  <si>
    <t xml:space="preserve">Drivers file</t>
  </si>
  <si>
    <t xml:space="preserve">III.L_Drivers.json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</si>
  <si>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</si>
  <si>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</si>
  <si>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</si>
  <si>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3i is valued as what it is: a permanent-capital investment trust whose worth is the net asset value it compounds and the share of that it distributes. The NAV is taken as published (3,083p ex-dividend at 30 June 2026), the distribution stream (2.85% of NAV, plus the live buyback) is capitalised at a 10% GBP cost of equity, and the exit is the Gordon value of that stream at the retained-NAV growth rate, capped at a scenario P/NAV ceiling. The whole debate is Action: 77% of NAV, marked at 18.5x run-rate EBITDA, growing 13% but with LFL halved since 2024. Base case assumes gradual de-rating to ~14.5x; the 22% discount to NAV in the price is roughly what that de-rating is worth, so the stock is modestly cheap on a probability-weighted basis but not a bargain, and the 15% hurdle is not met at any price above ~1,200p.
key_risks_to_valuation: Action's valuation multiple: 1.0x on 18.5x moves 3i's NAV by ~GBP 1.5bn (~150p/share); the base case's 8-year glide to 14.5x could happen in one results day; Action LFL trajectory: 10.3% (2024) -&gt; 4.9% (2025) -&gt; 3.6% (H1 2026); France is the largest market and the weakest; US entry execution 2027-2030 (EUR 350-400m) in a market where Lidl stalled and Dollar General/Dollar Tree dominate; Gordon knife-edge: the exit P/NAV is yield / (CoE - g) with a 3.5pp spread in the base case; a 1pp change in terminal NAV return moves the exit from 0.87x to ~0.7x or 1.1x (the cap) -- see the sensitivity grid; Cost of equity: 10% on a trust that until 2026 compounded at 20%+; 11% would take ~15% off every scenario; Timing: base NAV is 30 June 2026; the H1 FY2027 results (November 2026) will restate NAV, the multiple and the buyback progress; FX: ~82% of NAV in EUR/USD, un-hedged in this model</t>
  </si>
  <si>
    <t xml:space="preserve">Data sources</t>
  </si>
  <si>
    <t xml:space="preserve">price: Yahoo Finance chart API, LSE regular close at inputs.price_as_of; 52-week range 1,825-4,497p
financials: III.L_Metrics.csv (financial-parser, GBP millions, FY2017-FY2026 + Q1 FY2027); FY2026 Annual Report (note 8 diluted NAV 30.30, Action valuation page 30, dividends note 9); Q1 FY2027 performance update 23 July 2026 (NAV 3,131p, 1,009m diluted shares, net debt GBP 481m, Action GBP 24,249m at 18.5x on EUR 2,730m run-rate EBITDA, buyback progress)
qualitative: III.L_Analysis.json (2026-10-10): Action concentration, LFL deceleration, US entry, buyback, NAV discount dynamics</t>
  </si>
  <si>
    <t xml:space="preserve">Scenario narrative: bear</t>
  </si>
  <si>
    <t xml:space="preserve">The May 2026 sell-off was right: LFL growth that slipped from 10.3% (2024) to 3.6% (H1 2026) keeps falling, France goes negative, the US launch burns capital, and Action's EBITDA growth drops to mid-single digits. The self-marked 18.5x multiple is cut to ~12x over three years, taking a third off Action's equity value and ~26% off group NAV; realisations elsewhere stall. NAV goes sideways for three years then compounds at 7.5%, below the cost of equity, so the trust settles at ~0.55x NAV. Bear IV ~1,400p, a 42% loss from here.</t>
  </si>
  <si>
    <t xml:space="preserve">Scenario narrative: base</t>
  </si>
  <si>
    <t xml:space="preserve">Action remains an excellent retailer but a maturing one: EBITDA growth decelerates from 13% to ~7% as the European store base passes 6,000 and LFL settles at 3-4%, and the 18.5x run-rate multiple that 3i marks it at (versus a 13x PE-ex-Action average and 7-12x for listed discounters) compresses to ~14.5x over eight years. Leverage (2.7x) and a ~3% cash yield still gear that into ~10% equity returns, so group NAV total return runs 13.5% in year one and settles at 9.5%, just under the 10% cost of equity. 3i pays out ~2.85% of NAV a year plus the GBP 495m balance of the current buyback. Base IV ~2,900p (0.94x NAV; 21% above the price).</t>
  </si>
  <si>
    <t xml:space="preserve">Scenario narrative: bull</t>
  </si>
  <si>
    <t xml:space="preserve">The 2022-26 run continues: Action's 400-stores-a-year roll-out and the US entry (first store 2027/28, ~100 by 2030) sustain 12-14% EBITDA growth into the 2030s, the multiple holds near 17-18.5x, and the rest of the book earns its 12-15% underwriting returns. Group NAV compounds at 16.5% falling to 10.5%, in line with what 3i actually delivered ex-FX in FY2025-Q1 FY2027. The discount closes and the market pays a 10% premium to NAV at exit, as it did through 2021-25. Bull IV ~4,200p.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</si>
  <si>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</si>
  <si>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</si>
  <si>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</si>
  <si>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</si>
  <si>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</si>
  <si>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</si>
  <si>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</si>
  <si>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</si>
  <si>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</si>
  <si>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</si>
  <si>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</si>
  <si>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</si>
  <si>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</si>
  <si>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</si>
  <si>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</si>
  <si>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</si>
  <si>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</si>
  <si>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</si>
  <si>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</si>
  <si>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</si>
  <si>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</si>
  <si>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</si>
  <si>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</si>
  <si>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</si>
  <si>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</si>
  <si>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</si>
  <si>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</si>
  <si>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</si>
  <si>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</si>
  <si>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GrossInvestmentIncome</t>
  </si>
  <si>
    <t xml:space="preserve">NAVPerShare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</si>
  <si>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</si>
  <si>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</si>
  <si>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</si>
  <si>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</si>
  <si>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</si>
  <si>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</si>
  <si>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</si>
  <si>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</si>
  <si>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</si>
  <si>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</si>
  <si>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</si>
  <si>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</si>
  <si>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</si>
  <si>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</si>
  <si>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</si>
  <si>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</si>
  <si>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</si>
  <si>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</si>
  <si>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</si>
  <si>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Q1 FY2027 (NAV at 30 June 2026, ex the July 2026 dividend)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</si>
  <si>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</si>
  <si>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</si>
  <si>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</si>
  <si>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</si>
  <si>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Q1 FY2028</t>
  </si>
  <si>
    <t xml:space="preserve">Q1 FY2029</t>
  </si>
  <si>
    <t xml:space="preserve">Q1 FY2030</t>
  </si>
  <si>
    <t xml:space="preserve">Q1 FY2031</t>
  </si>
  <si>
    <t xml:space="preserve">Q1 FY2032</t>
  </si>
  <si>
    <t xml:space="preserve">Q1 FY2033</t>
  </si>
  <si>
    <t xml:space="preserve">Q1 FY2034</t>
  </si>
  <si>
    <t xml:space="preserve">Q1 FY2035</t>
  </si>
  <si>
    <t xml:space="preserve">Q1 FY2036</t>
  </si>
  <si>
    <t xml:space="preserve">Q1 FY2037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</si>
  <si>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</si>
  <si>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</si>
  <si>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</si>
  <si>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</si>
  <si>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</si>
  <si>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</si>
  <si>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</si>
  <si>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</si>
  <si>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</si>
  <si>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</si>
  <si>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</si>
  <si>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</si>
  <si>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</si>
  <si>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</si>
  <si>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III.L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</si>
  <si>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</si>
  <si>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</si>
  <si>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</si>
  <si>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</si>
  <si>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</si>
  <si>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</si>
  <si>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</si>
  <si>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</si>
  <si>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</si>
  <si>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</si>
  <si>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</si>
  <si>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</si>
  <si>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</si>
  <si>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</si>
  <si>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</si>
  <si>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</si>
  <si>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</si>
  <si>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</si>
  <si>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</si>
  <si>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</si>
  <si>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</si>
  <si>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</si>
  <si>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</si>
  <si>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</si>
  <si>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</si>
  <si>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</si>
  <si>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</si>
  <si>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</si>
  <si>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</si>
  <si>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</si>
  <si>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III.L owner-FCF component DCF: base case (millions, GBP)</t>
  </si>
  <si>
    <t xml:space="preserve">III.L owner-FCF component DCF: bull case (millions, GBP)</t>
  </si>
  <si>
    <t xml:space="preserve">III.L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</si>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</sst>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1399</v>
      </c>
      <c r="F2" s="0" t="n">
        <v>1524</v>
      </c>
      <c r="I2" s="0" t="n">
        <v>1625</v>
      </c>
      <c r="K2" s="0" t="n">
        <v>1.692</v>
      </c>
      <c r="L2" s="0" t="n">
        <v>245</v>
      </c>
      <c r="M2" s="0" t="n">
        <v>1</v>
      </c>
      <c r="N2" s="0" t="n">
        <v>244</v>
      </c>
      <c r="O2" s="0" t="n">
        <v>5836</v>
      </c>
      <c r="P2" s="0" t="n">
        <v>6713</v>
      </c>
      <c r="Q2" s="0" t="n">
        <v>877</v>
      </c>
      <c r="R2" s="0" t="n">
        <v>575</v>
      </c>
      <c r="S2" s="0" t="n">
        <v>931</v>
      </c>
      <c r="T2" s="0" t="n">
        <v>966.553549</v>
      </c>
      <c r="U2" s="0" t="n">
        <v>18</v>
      </c>
      <c r="V2" s="0" t="n">
        <v>0.265</v>
      </c>
      <c r="AA2" s="0" t="s">
        <v>18</v>
      </c>
      <c r="AB2" s="0" t="s">
        <v>14</v>
      </c>
      <c r="AE2" s="0" t="n">
        <v>1399</v>
      </c>
      <c r="AF2" s="0" t="n">
        <v>6.04</v>
      </c>
    </row>
    <row r="3" customFormat="false" ht="15" hidden="false" customHeight="false" outlineLevel="0" collapsed="false">
      <c r="A3" s="0" t="s">
        <v>69</v>
      </c>
      <c r="B3" s="0" t="n">
        <v>1312</v>
      </c>
      <c r="F3" s="0" t="n">
        <v>1488</v>
      </c>
      <c r="I3" s="0" t="n">
        <v>1463</v>
      </c>
      <c r="K3" s="0" t="n">
        <v>1.517</v>
      </c>
      <c r="L3" s="0" t="n">
        <v>312</v>
      </c>
      <c r="M3" s="0" t="n">
        <v>15</v>
      </c>
      <c r="N3" s="0" t="n">
        <v>297</v>
      </c>
      <c r="O3" s="0" t="n">
        <v>7024</v>
      </c>
      <c r="P3" s="0" t="n">
        <v>7899</v>
      </c>
      <c r="Q3" s="0" t="n">
        <v>875</v>
      </c>
      <c r="R3" s="0" t="n">
        <v>575</v>
      </c>
      <c r="S3" s="0" t="n">
        <v>972</v>
      </c>
      <c r="T3" s="0" t="n">
        <v>969.77315</v>
      </c>
      <c r="U3" s="0" t="n">
        <v>17</v>
      </c>
      <c r="V3" s="0" t="n">
        <v>0.305</v>
      </c>
      <c r="AA3" s="0" t="s">
        <v>18</v>
      </c>
      <c r="AB3" s="0" t="s">
        <v>14</v>
      </c>
      <c r="AC3" s="0" t="n">
        <v>13</v>
      </c>
      <c r="AD3" s="0" t="n">
        <v>2</v>
      </c>
      <c r="AE3" s="0" t="n">
        <v>1312</v>
      </c>
      <c r="AF3" s="0" t="n">
        <v>7.24</v>
      </c>
    </row>
    <row r="4" customFormat="false" ht="15" hidden="false" customHeight="false" outlineLevel="0" collapsed="false">
      <c r="A4" s="0" t="s">
        <v>70</v>
      </c>
      <c r="B4" s="0" t="n">
        <v>1136</v>
      </c>
      <c r="F4" s="0" t="n">
        <v>1230</v>
      </c>
      <c r="I4" s="0" t="n">
        <v>1242</v>
      </c>
      <c r="K4" s="0" t="n">
        <v>1.283</v>
      </c>
      <c r="L4" s="0" t="n">
        <v>488</v>
      </c>
      <c r="M4" s="0" t="n">
        <v>3</v>
      </c>
      <c r="N4" s="0" t="n">
        <v>485</v>
      </c>
      <c r="O4" s="0" t="n">
        <v>7909</v>
      </c>
      <c r="P4" s="0" t="n">
        <v>8721</v>
      </c>
      <c r="Q4" s="0" t="n">
        <v>812</v>
      </c>
      <c r="R4" s="0" t="n">
        <v>575</v>
      </c>
      <c r="S4" s="0" t="n">
        <v>983</v>
      </c>
      <c r="T4" s="0" t="n">
        <v>969.981149</v>
      </c>
      <c r="U4" s="0" t="n">
        <v>19</v>
      </c>
      <c r="AA4" s="0" t="s">
        <v>18</v>
      </c>
      <c r="AB4" s="0" t="s">
        <v>14</v>
      </c>
      <c r="AE4" s="0" t="n">
        <v>1136</v>
      </c>
      <c r="AF4" s="0" t="n">
        <v>8.15</v>
      </c>
    </row>
    <row r="5" customFormat="false" ht="15" hidden="false" customHeight="false" outlineLevel="0" collapsed="false">
      <c r="A5" s="0" t="s">
        <v>71</v>
      </c>
      <c r="B5" s="0" t="n">
        <v>231</v>
      </c>
      <c r="F5" s="0" t="n">
        <v>215</v>
      </c>
      <c r="I5" s="0" t="n">
        <v>214</v>
      </c>
      <c r="K5" s="0" t="n">
        <v>0.221</v>
      </c>
      <c r="L5" s="0" t="n">
        <v>169</v>
      </c>
      <c r="M5" s="0" t="n">
        <v>3</v>
      </c>
      <c r="N5" s="0" t="n">
        <v>166</v>
      </c>
      <c r="O5" s="0" t="n">
        <v>7757</v>
      </c>
      <c r="P5" s="0" t="n">
        <v>8567</v>
      </c>
      <c r="Q5" s="0" t="n">
        <v>810</v>
      </c>
      <c r="R5" s="0" t="n">
        <v>575</v>
      </c>
      <c r="S5" s="0" t="n">
        <v>771</v>
      </c>
      <c r="T5" s="0" t="n">
        <v>964.325901</v>
      </c>
      <c r="U5" s="0" t="n">
        <v>16</v>
      </c>
      <c r="V5" s="0" t="n">
        <v>0.35</v>
      </c>
      <c r="AA5" s="0" t="s">
        <v>18</v>
      </c>
      <c r="AB5" s="0" t="s">
        <v>14</v>
      </c>
      <c r="AE5" s="0" t="n">
        <v>231</v>
      </c>
      <c r="AF5" s="0" t="n">
        <v>8.04</v>
      </c>
    </row>
    <row r="6" customFormat="false" ht="15" hidden="false" customHeight="false" outlineLevel="0" collapsed="false">
      <c r="A6" s="0" t="s">
        <v>72</v>
      </c>
      <c r="B6" s="0" t="n">
        <v>1931</v>
      </c>
      <c r="F6" s="0" t="n">
        <v>1855</v>
      </c>
      <c r="I6" s="0" t="n">
        <v>1855</v>
      </c>
      <c r="K6" s="0" t="n">
        <v>1.924</v>
      </c>
      <c r="L6" s="0" t="n">
        <v>-559</v>
      </c>
      <c r="M6" s="0" t="n">
        <v>1</v>
      </c>
      <c r="N6" s="0" t="n">
        <v>-560</v>
      </c>
      <c r="O6" s="0" t="n">
        <v>9164</v>
      </c>
      <c r="P6" s="0" t="n">
        <v>10334</v>
      </c>
      <c r="Q6" s="0" t="n">
        <v>1170</v>
      </c>
      <c r="R6" s="0" t="n">
        <v>975</v>
      </c>
      <c r="S6" s="0" t="n">
        <v>216</v>
      </c>
      <c r="T6" s="0" t="n">
        <v>967.292543</v>
      </c>
      <c r="U6" s="0" t="n">
        <v>19</v>
      </c>
      <c r="V6" s="0" t="n">
        <v>0.385</v>
      </c>
      <c r="AA6" s="0" t="s">
        <v>18</v>
      </c>
      <c r="AB6" s="0" t="s">
        <v>14</v>
      </c>
      <c r="AE6" s="0" t="n">
        <v>1931</v>
      </c>
      <c r="AF6" s="0" t="n">
        <v>9.47</v>
      </c>
    </row>
    <row r="7" customFormat="false" ht="15" hidden="false" customHeight="false" outlineLevel="0" collapsed="false">
      <c r="A7" s="0" t="s">
        <v>73</v>
      </c>
      <c r="B7" s="0" t="n">
        <v>4079</v>
      </c>
      <c r="F7" s="0" t="n">
        <v>4018</v>
      </c>
      <c r="I7" s="0" t="n">
        <v>4013</v>
      </c>
      <c r="K7" s="0" t="n">
        <v>4.154</v>
      </c>
      <c r="L7" s="0" t="n">
        <v>490</v>
      </c>
      <c r="M7" s="0" t="n">
        <v>0</v>
      </c>
      <c r="N7" s="0" t="n">
        <v>490</v>
      </c>
      <c r="O7" s="0" t="n">
        <v>12754</v>
      </c>
      <c r="P7" s="0" t="n">
        <v>13948</v>
      </c>
      <c r="Q7" s="0" t="n">
        <v>1194</v>
      </c>
      <c r="R7" s="0" t="n">
        <v>975</v>
      </c>
      <c r="S7" s="0" t="n">
        <v>212</v>
      </c>
      <c r="T7" s="0" t="n">
        <v>965.731516</v>
      </c>
      <c r="U7" s="0" t="n">
        <v>18</v>
      </c>
      <c r="V7" s="0" t="n">
        <v>0.465</v>
      </c>
      <c r="AA7" s="0" t="s">
        <v>18</v>
      </c>
      <c r="AB7" s="0" t="s">
        <v>14</v>
      </c>
      <c r="AE7" s="0" t="n">
        <v>4079</v>
      </c>
      <c r="AF7" s="0" t="n">
        <v>13.21</v>
      </c>
    </row>
    <row r="8" customFormat="false" ht="15" hidden="false" customHeight="false" outlineLevel="0" collapsed="false">
      <c r="A8" s="0" t="s">
        <v>74</v>
      </c>
      <c r="B8" s="0" t="n">
        <v>4666</v>
      </c>
      <c r="F8" s="0" t="n">
        <v>4575</v>
      </c>
      <c r="I8" s="0" t="n">
        <v>4573</v>
      </c>
      <c r="K8" s="0" t="n">
        <v>4.75</v>
      </c>
      <c r="L8" s="0" t="n">
        <v>727</v>
      </c>
      <c r="M8" s="0" t="n">
        <v>1</v>
      </c>
      <c r="N8" s="0" t="n">
        <v>726</v>
      </c>
      <c r="O8" s="0" t="n">
        <v>16844</v>
      </c>
      <c r="P8" s="0" t="n">
        <v>17819</v>
      </c>
      <c r="Q8" s="0" t="n">
        <v>975</v>
      </c>
      <c r="R8" s="0" t="n">
        <v>775</v>
      </c>
      <c r="S8" s="0" t="n">
        <v>162</v>
      </c>
      <c r="T8" s="0" t="n">
        <v>965.502392</v>
      </c>
      <c r="U8" s="0" t="n">
        <v>19</v>
      </c>
      <c r="V8" s="0" t="n">
        <v>0.53</v>
      </c>
      <c r="AA8" s="0" t="s">
        <v>18</v>
      </c>
      <c r="AB8" s="0" t="s">
        <v>14</v>
      </c>
      <c r="AE8" s="0" t="n">
        <v>4666</v>
      </c>
      <c r="AF8" s="0" t="n">
        <v>17.45</v>
      </c>
    </row>
    <row r="9" customFormat="false" ht="15" hidden="false" customHeight="false" outlineLevel="0" collapsed="false">
      <c r="A9" s="0" t="s">
        <v>75</v>
      </c>
      <c r="B9" s="0" t="n">
        <v>3877</v>
      </c>
      <c r="F9" s="0" t="n">
        <v>3838</v>
      </c>
      <c r="I9" s="0" t="n">
        <v>3836</v>
      </c>
      <c r="K9" s="0" t="n">
        <v>3.979</v>
      </c>
      <c r="L9" s="0" t="n">
        <v>366</v>
      </c>
      <c r="M9" s="0" t="n">
        <v>3</v>
      </c>
      <c r="N9" s="0" t="n">
        <v>363</v>
      </c>
      <c r="O9" s="0" t="n">
        <v>20170</v>
      </c>
      <c r="P9" s="0" t="n">
        <v>21641</v>
      </c>
      <c r="Q9" s="0" t="n">
        <v>1471</v>
      </c>
      <c r="R9" s="0" t="n">
        <v>1202</v>
      </c>
      <c r="S9" s="0" t="n">
        <v>358</v>
      </c>
      <c r="T9" s="0" t="n">
        <v>967.47352</v>
      </c>
      <c r="U9" s="0" t="n">
        <v>27</v>
      </c>
      <c r="V9" s="0" t="n">
        <v>0.61</v>
      </c>
      <c r="AA9" s="0" t="s">
        <v>18</v>
      </c>
      <c r="AB9" s="0" t="s">
        <v>14</v>
      </c>
      <c r="AE9" s="0" t="n">
        <v>3877</v>
      </c>
      <c r="AF9" s="0" t="n">
        <v>20.85</v>
      </c>
    </row>
    <row r="10" customFormat="false" ht="15" hidden="false" customHeight="false" outlineLevel="0" collapsed="false">
      <c r="A10" s="0" t="s">
        <v>76</v>
      </c>
      <c r="B10" s="0" t="n">
        <v>5062</v>
      </c>
      <c r="F10" s="0" t="n">
        <v>5039</v>
      </c>
      <c r="I10" s="0" t="n">
        <v>5038</v>
      </c>
      <c r="K10" s="0" t="n">
        <v>5.22</v>
      </c>
      <c r="L10" s="0" t="n">
        <v>763</v>
      </c>
      <c r="M10" s="0" t="n">
        <v>16</v>
      </c>
      <c r="N10" s="0" t="n">
        <v>747</v>
      </c>
      <c r="O10" s="0" t="n">
        <v>24611</v>
      </c>
      <c r="P10" s="0" t="n">
        <v>26056</v>
      </c>
      <c r="Q10" s="0" t="n">
        <v>1445</v>
      </c>
      <c r="R10" s="0" t="n">
        <v>1194</v>
      </c>
      <c r="S10" s="0" t="n">
        <v>412</v>
      </c>
      <c r="T10" s="0" t="n">
        <v>968.08535</v>
      </c>
      <c r="U10" s="0" t="n">
        <v>16</v>
      </c>
      <c r="V10" s="0" t="n">
        <v>0.73</v>
      </c>
      <c r="AA10" s="0" t="s">
        <v>18</v>
      </c>
      <c r="AB10" s="0" t="s">
        <v>14</v>
      </c>
      <c r="AE10" s="0" t="n">
        <v>5062</v>
      </c>
      <c r="AF10" s="0" t="n">
        <v>25.42</v>
      </c>
    </row>
    <row r="11" customFormat="false" ht="15" hidden="false" customHeight="false" outlineLevel="0" collapsed="false">
      <c r="A11" s="0" t="s">
        <v>77</v>
      </c>
      <c r="B11" s="0" t="n">
        <v>5496</v>
      </c>
      <c r="F11" s="0" t="n">
        <v>5293</v>
      </c>
      <c r="I11" s="0" t="n">
        <v>5294</v>
      </c>
      <c r="K11" s="0" t="n">
        <v>5.394</v>
      </c>
      <c r="L11" s="0" t="n">
        <v>998</v>
      </c>
      <c r="M11" s="0" t="n">
        <v>1</v>
      </c>
      <c r="N11" s="0" t="n">
        <v>997</v>
      </c>
      <c r="O11" s="0" t="n">
        <v>30887</v>
      </c>
      <c r="P11" s="0" t="n">
        <v>32338</v>
      </c>
      <c r="Q11" s="0" t="n">
        <v>1451</v>
      </c>
      <c r="R11" s="0" t="n">
        <v>1211</v>
      </c>
      <c r="S11" s="0" t="n">
        <v>635</v>
      </c>
      <c r="T11" s="0" t="n">
        <v>1019.36523</v>
      </c>
      <c r="U11" s="0" t="n">
        <v>12</v>
      </c>
      <c r="V11" s="0" t="n">
        <v>0.845</v>
      </c>
      <c r="AA11" s="0" t="s">
        <v>18</v>
      </c>
      <c r="AB11" s="0" t="s">
        <v>14</v>
      </c>
      <c r="AE11" s="0" t="n">
        <v>5496</v>
      </c>
      <c r="AF11" s="0" t="n">
        <v>30.3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2402</v>
      </c>
    </row>
    <row r="3" customFormat="false" ht="15" hidden="false" customHeight="false" outlineLevel="0" collapsed="false">
      <c r="A3" s="0" t="s">
        <v>81</v>
      </c>
      <c r="B3" s="3" t="n">
        <v>1009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31112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100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-3.83</v>
      </c>
      <c r="D13" s="3" t="n">
        <v>-4.85</v>
      </c>
      <c r="E13" s="3" t="n">
        <v>-6.4</v>
      </c>
      <c r="F13" s="3" t="n">
        <v>4.75</v>
      </c>
      <c r="G13" s="3" t="n">
        <v>4.75</v>
      </c>
      <c r="H13" s="3" t="n">
        <v>4.27</v>
      </c>
      <c r="I13" s="3" t="n">
        <v>4.27</v>
      </c>
      <c r="J13" s="3" t="n">
        <v>4.27</v>
      </c>
      <c r="K13" s="3" t="n">
        <v>4.27</v>
      </c>
      <c r="L13" s="3" t="n">
        <v>4.27</v>
      </c>
    </row>
    <row r="14" customFormat="false" ht="15" hidden="false" customHeight="false" outlineLevel="0" collapsed="false">
      <c r="A14" s="0" t="s">
        <v>103</v>
      </c>
      <c r="C14" s="3" t="n">
        <v>4.5</v>
      </c>
      <c r="D14" s="3" t="n">
        <v>3</v>
      </c>
      <c r="E14" s="3" t="n">
        <v>3.1</v>
      </c>
      <c r="F14" s="3" t="n">
        <v>3.1</v>
      </c>
      <c r="G14" s="3" t="n">
        <v>3.1</v>
      </c>
      <c r="H14" s="3" t="n">
        <v>3.1</v>
      </c>
      <c r="I14" s="3" t="n">
        <v>3.1</v>
      </c>
      <c r="J14" s="3" t="n">
        <v>3.1</v>
      </c>
      <c r="K14" s="3" t="n">
        <v>3.1</v>
      </c>
      <c r="L14" s="3" t="n">
        <v>3.1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107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108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109</v>
      </c>
      <c r="B20" s="3" t="n">
        <v>10</v>
      </c>
    </row>
    <row r="21" customFormat="false" ht="15" hidden="false" customHeight="false" outlineLevel="0" collapsed="false">
      <c r="A21" s="0" t="s">
        <v>110</v>
      </c>
      <c r="B21" s="3" t="n">
        <v>4.3</v>
      </c>
    </row>
    <row r="22" customFormat="false" ht="15" hidden="false" customHeight="false" outlineLevel="0" collapsed="false">
      <c r="A22" s="0" t="s">
        <v>111</v>
      </c>
      <c r="B22" s="3" t="n">
        <v>22.6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8.81</v>
      </c>
      <c r="D27" s="3" t="n">
        <v>8.9</v>
      </c>
      <c r="E27" s="3" t="n">
        <v>7.92</v>
      </c>
      <c r="F27" s="3" t="n">
        <v>7.44</v>
      </c>
      <c r="G27" s="3" t="n">
        <v>6.95</v>
      </c>
      <c r="H27" s="3" t="n">
        <v>6.47</v>
      </c>
      <c r="I27" s="3" t="n">
        <v>6.47</v>
      </c>
      <c r="J27" s="3" t="n">
        <v>6.47</v>
      </c>
      <c r="K27" s="3" t="n">
        <v>6.47</v>
      </c>
      <c r="L27" s="3" t="n">
        <v>6.47</v>
      </c>
    </row>
    <row r="28" customFormat="false" ht="15" hidden="false" customHeight="false" outlineLevel="0" collapsed="false">
      <c r="A28" s="0" t="s">
        <v>103</v>
      </c>
      <c r="C28" s="3" t="n">
        <v>4.31</v>
      </c>
      <c r="D28" s="3" t="n">
        <v>2.85</v>
      </c>
      <c r="E28" s="3" t="n">
        <v>2.85</v>
      </c>
      <c r="F28" s="3" t="n">
        <v>2.85</v>
      </c>
      <c r="G28" s="3" t="n">
        <v>2.85</v>
      </c>
      <c r="H28" s="3" t="n">
        <v>2.85</v>
      </c>
      <c r="I28" s="3" t="n">
        <v>2.85</v>
      </c>
      <c r="J28" s="3" t="n">
        <v>2.85</v>
      </c>
      <c r="K28" s="3" t="n">
        <v>2.85</v>
      </c>
      <c r="L28" s="3" t="n">
        <v>2.85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107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108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109</v>
      </c>
      <c r="B34" s="3" t="n">
        <v>10</v>
      </c>
    </row>
    <row r="35" customFormat="false" ht="15" hidden="false" customHeight="false" outlineLevel="0" collapsed="false">
      <c r="A35" s="0" t="s">
        <v>110</v>
      </c>
      <c r="B35" s="3" t="n">
        <v>6.5</v>
      </c>
    </row>
    <row r="36" customFormat="false" ht="15" hidden="false" customHeight="false" outlineLevel="0" collapsed="false">
      <c r="A36" s="0" t="s">
        <v>111</v>
      </c>
      <c r="B36" s="3" t="n">
        <v>31.6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11.73</v>
      </c>
      <c r="D41" s="3" t="n">
        <v>12.3</v>
      </c>
      <c r="E41" s="3" t="n">
        <v>11.33</v>
      </c>
      <c r="F41" s="3" t="n">
        <v>10.84</v>
      </c>
      <c r="G41" s="3" t="n">
        <v>9.87</v>
      </c>
      <c r="H41" s="3" t="n">
        <v>8.9</v>
      </c>
      <c r="I41" s="3" t="n">
        <v>8.41</v>
      </c>
      <c r="J41" s="3" t="n">
        <v>7.92</v>
      </c>
      <c r="K41" s="3" t="n">
        <v>7.44</v>
      </c>
      <c r="L41" s="3" t="n">
        <v>7.44</v>
      </c>
    </row>
    <row r="42" customFormat="false" ht="15" hidden="false" customHeight="false" outlineLevel="0" collapsed="false">
      <c r="A42" s="0" t="s">
        <v>103</v>
      </c>
      <c r="C42" s="3" t="n">
        <v>4.27</v>
      </c>
      <c r="D42" s="3" t="n">
        <v>2.85</v>
      </c>
      <c r="E42" s="3" t="n">
        <v>2.85</v>
      </c>
      <c r="F42" s="3" t="n">
        <v>2.85</v>
      </c>
      <c r="G42" s="3" t="n">
        <v>2.85</v>
      </c>
      <c r="H42" s="3" t="n">
        <v>2.85</v>
      </c>
      <c r="I42" s="3" t="n">
        <v>2.85</v>
      </c>
      <c r="J42" s="3" t="n">
        <v>2.85</v>
      </c>
      <c r="K42" s="3" t="n">
        <v>2.85</v>
      </c>
      <c r="L42" s="3" t="n">
        <v>2.85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106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107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108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109</v>
      </c>
      <c r="B48" s="3" t="n">
        <v>10</v>
      </c>
    </row>
    <row r="49" customFormat="false" ht="15" hidden="false" customHeight="false" outlineLevel="0" collapsed="false">
      <c r="A49" s="0" t="s">
        <v>110</v>
      </c>
      <c r="B49" s="3" t="n">
        <v>7.9</v>
      </c>
    </row>
    <row r="50" customFormat="false" ht="15" hidden="false" customHeight="false" outlineLevel="0" collapsed="false">
      <c r="A50" s="0" t="s">
        <v>111</v>
      </c>
      <c r="B50" s="3" t="n">
        <v>38.6</v>
      </c>
    </row>
    <row r="51" customFormat="false" ht="15" hidden="false" customHeight="false" outlineLevel="0" collapsed="false">
      <c r="A51" s="0" t="s">
        <v>112</v>
      </c>
      <c r="B51" s="3" t="n">
        <v>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-3.83</v>
      </c>
      <c r="D5" s="4" t="n">
        <f aca="false">Assumptions!D13</f>
        <v>-4.85</v>
      </c>
      <c r="E5" s="4" t="n">
        <f aca="false">Assumptions!E13</f>
        <v>-6.4</v>
      </c>
      <c r="F5" s="4" t="n">
        <f aca="false">Assumptions!F13</f>
        <v>4.75</v>
      </c>
      <c r="G5" s="4" t="n">
        <f aca="false">Assumptions!G13</f>
        <v>4.75</v>
      </c>
      <c r="H5" s="4" t="n">
        <f aca="false">Assumptions!H13</f>
        <v>4.27</v>
      </c>
      <c r="I5" s="4" t="n">
        <f aca="false">Assumptions!I13</f>
        <v>4.27</v>
      </c>
      <c r="J5" s="4" t="n">
        <f aca="false">Assumptions!J13</f>
        <v>4.27</v>
      </c>
      <c r="K5" s="4" t="n">
        <f aca="false">Assumptions!K13</f>
        <v>4.27</v>
      </c>
      <c r="L5" s="4" t="n">
        <f aca="false">Assumptions!L13</f>
        <v>4.27</v>
      </c>
    </row>
    <row r="6" customFormat="false" ht="15" hidden="false" customHeight="false" outlineLevel="0" collapsed="false">
      <c r="A6" s="0" t="s">
        <v>38</v>
      </c>
      <c r="B6" s="3" t="n">
        <v>31112</v>
      </c>
      <c r="C6" s="0" t="n">
        <f aca="false">B6*(1+C5/100)</f>
        <v>29920.4104</v>
      </c>
      <c r="D6" s="0" t="n">
        <f aca="false">C6*(1+D5/100)</f>
        <v>28469.2704956</v>
      </c>
      <c r="E6" s="0" t="n">
        <f aca="false">D6*(1+E5/100)</f>
        <v>26647.2371838816</v>
      </c>
      <c r="F6" s="0" t="n">
        <f aca="false">E6*(1+F5/100)</f>
        <v>27912.980950116</v>
      </c>
      <c r="G6" s="0" t="n">
        <f aca="false">F6*(1+G5/100)</f>
        <v>29238.8475452465</v>
      </c>
      <c r="H6" s="0" t="n">
        <f aca="false">G6*(1+H5/100)</f>
        <v>30487.3463354285</v>
      </c>
      <c r="I6" s="0" t="n">
        <f aca="false">H6*(1+I5/100)</f>
        <v>31789.1560239513</v>
      </c>
      <c r="J6" s="0" t="n">
        <f aca="false">I6*(1+J5/100)</f>
        <v>33146.552986174</v>
      </c>
      <c r="K6" s="0" t="n">
        <f aca="false">J6*(1+K5/100)</f>
        <v>34561.9107986837</v>
      </c>
      <c r="L6" s="0" t="n">
        <f aca="false">K6*(1+L5/100)</f>
        <v>36037.7043897875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4.5</v>
      </c>
      <c r="D7" s="4" t="n">
        <f aca="false">Assumptions!D14</f>
        <v>3</v>
      </c>
      <c r="E7" s="4" t="n">
        <f aca="false">Assumptions!E14</f>
        <v>3.1</v>
      </c>
      <c r="F7" s="4" t="n">
        <f aca="false">Assumptions!F14</f>
        <v>3.1</v>
      </c>
      <c r="G7" s="4" t="n">
        <f aca="false">Assumptions!G14</f>
        <v>3.1</v>
      </c>
      <c r="H7" s="4" t="n">
        <f aca="false">Assumptions!H14</f>
        <v>3.1</v>
      </c>
      <c r="I7" s="4" t="n">
        <f aca="false">Assumptions!I14</f>
        <v>3.1</v>
      </c>
      <c r="J7" s="4" t="n">
        <f aca="false">Assumptions!J14</f>
        <v>3.1</v>
      </c>
      <c r="K7" s="4" t="n">
        <f aca="false">Assumptions!K14</f>
        <v>3.1</v>
      </c>
      <c r="L7" s="4" t="n">
        <f aca="false">Assumptions!L14</f>
        <v>3.1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1346.418468</v>
      </c>
      <c r="D8" s="0" t="n">
        <f aca="false">D6*D7/100</f>
        <v>854.078114868</v>
      </c>
      <c r="E8" s="0" t="n">
        <f aca="false">E6*E7/100</f>
        <v>826.06435270033</v>
      </c>
      <c r="F8" s="0" t="n">
        <f aca="false">F6*F7/100</f>
        <v>865.302409453596</v>
      </c>
      <c r="G8" s="0" t="n">
        <f aca="false">G6*G7/100</f>
        <v>906.404273902641</v>
      </c>
      <c r="H8" s="0" t="n">
        <f aca="false">H6*H7/100</f>
        <v>945.107736398284</v>
      </c>
      <c r="I8" s="0" t="n">
        <f aca="false">I6*I7/100</f>
        <v>985.463836742491</v>
      </c>
      <c r="J8" s="0" t="n">
        <f aca="false">J6*J7/100</f>
        <v>1027.5431425714</v>
      </c>
      <c r="K8" s="0" t="n">
        <f aca="false">K6*K7/100</f>
        <v>1071.41923475919</v>
      </c>
      <c r="L8" s="0" t="n">
        <f aca="false">L6*L7/100</f>
        <v>1117.16883608341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1346.418468</v>
      </c>
      <c r="D11" s="0" t="n">
        <f aca="false">D8+D10+D24</f>
        <v>854.078114868</v>
      </c>
      <c r="E11" s="0" t="n">
        <f aca="false">E8+E10+E24</f>
        <v>826.06435270033</v>
      </c>
      <c r="F11" s="0" t="n">
        <f aca="false">F8+F10+F24</f>
        <v>865.302409453596</v>
      </c>
      <c r="G11" s="0" t="n">
        <f aca="false">G8+G10+G24</f>
        <v>906.404273902641</v>
      </c>
      <c r="H11" s="0" t="n">
        <f aca="false">H8+H10+H24</f>
        <v>945.107736398284</v>
      </c>
      <c r="I11" s="0" t="n">
        <f aca="false">I8+I10+I24</f>
        <v>985.463836742491</v>
      </c>
      <c r="J11" s="0" t="n">
        <f aca="false">J8+J10+J24</f>
        <v>1027.5431425714</v>
      </c>
      <c r="K11" s="0" t="n">
        <f aca="false">K8+K10+K24</f>
        <v>1071.41923475919</v>
      </c>
      <c r="L11" s="0" t="n">
        <f aca="false">L8+L10+L24</f>
        <v>1117.16883608341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1346.418468</v>
      </c>
      <c r="D13" s="0" t="n">
        <f aca="false">D11+D12</f>
        <v>854.078114868</v>
      </c>
      <c r="E13" s="0" t="n">
        <f aca="false">E11+E12</f>
        <v>826.06435270033</v>
      </c>
      <c r="F13" s="0" t="n">
        <f aca="false">F11+F12</f>
        <v>865.302409453596</v>
      </c>
      <c r="G13" s="0" t="n">
        <f aca="false">G11+G12</f>
        <v>906.404273902641</v>
      </c>
      <c r="H13" s="0" t="n">
        <f aca="false">H11+H12</f>
        <v>945.107736398284</v>
      </c>
      <c r="I13" s="0" t="n">
        <f aca="false">I11+I12</f>
        <v>985.463836742491</v>
      </c>
      <c r="J13" s="0" t="n">
        <f aca="false">J11+J12</f>
        <v>1027.5431425714</v>
      </c>
      <c r="K13" s="0" t="n">
        <f aca="false">K11+K12</f>
        <v>1071.41923475919</v>
      </c>
      <c r="L13" s="0" t="n">
        <f aca="false">L11+L12</f>
        <v>1117.16883608341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1346.418468</v>
      </c>
      <c r="D15" s="0" t="n">
        <f aca="false">D13-MAX(0,D13)*D14/100</f>
        <v>854.078114868</v>
      </c>
      <c r="E15" s="0" t="n">
        <f aca="false">E13-MAX(0,E13)*E14/100</f>
        <v>826.06435270033</v>
      </c>
      <c r="F15" s="0" t="n">
        <f aca="false">F13-MAX(0,F13)*F14/100</f>
        <v>865.302409453596</v>
      </c>
      <c r="G15" s="0" t="n">
        <f aca="false">G13-MAX(0,G13)*G14/100</f>
        <v>906.404273902641</v>
      </c>
      <c r="H15" s="0" t="n">
        <f aca="false">H13-MAX(0,H13)*H14/100</f>
        <v>945.107736398284</v>
      </c>
      <c r="I15" s="0" t="n">
        <f aca="false">I13-MAX(0,I13)*I14/100</f>
        <v>985.463836742491</v>
      </c>
      <c r="J15" s="0" t="n">
        <f aca="false">J13-MAX(0,J13)*J14/100</f>
        <v>1027.5431425714</v>
      </c>
      <c r="K15" s="0" t="n">
        <f aca="false">K13-MAX(0,K13)*K14/100</f>
        <v>1071.41923475919</v>
      </c>
      <c r="L15" s="0" t="n">
        <f aca="false">L13-MAX(0,L13)*L14/100</f>
        <v>1117.16883608341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1346.418468</v>
      </c>
      <c r="D19" s="0" t="n">
        <f aca="false">D15+D16+D17+D18</f>
        <v>854.078114868</v>
      </c>
      <c r="E19" s="0" t="n">
        <f aca="false">E15+E16+E17+E18</f>
        <v>826.06435270033</v>
      </c>
      <c r="F19" s="0" t="n">
        <f aca="false">F15+F16+F17+F18</f>
        <v>865.302409453596</v>
      </c>
      <c r="G19" s="0" t="n">
        <f aca="false">G15+G16+G17+G18</f>
        <v>906.404273902641</v>
      </c>
      <c r="H19" s="0" t="n">
        <f aca="false">H15+H16+H17+H18</f>
        <v>945.107736398284</v>
      </c>
      <c r="I19" s="0" t="n">
        <f aca="false">I15+I16+I17+I18</f>
        <v>985.463836742491</v>
      </c>
      <c r="J19" s="0" t="n">
        <f aca="false">J15+J16+J17+J18</f>
        <v>1027.5431425714</v>
      </c>
      <c r="K19" s="0" t="n">
        <f aca="false">K15+K16+K17+K18</f>
        <v>1071.41923475919</v>
      </c>
      <c r="L19" s="0" t="n">
        <f aca="false">L15+L16+L17+L18</f>
        <v>1117.16883608341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1224.01678909091</v>
      </c>
      <c r="D21" s="0" t="n">
        <f aca="false">D19*D20</f>
        <v>705.849681709091</v>
      </c>
      <c r="E21" s="0" t="n">
        <f aca="false">E19*E20</f>
        <v>620.634374680939</v>
      </c>
      <c r="F21" s="0" t="n">
        <f aca="false">F19*F20</f>
        <v>591.013188616621</v>
      </c>
      <c r="G21" s="0" t="n">
        <f aca="false">G19*G20</f>
        <v>562.805740978101</v>
      </c>
      <c r="H21" s="0" t="n">
        <f aca="false">H19*H20</f>
        <v>533.488678288969</v>
      </c>
      <c r="I21" s="0" t="n">
        <f aca="false">I19*I20</f>
        <v>505.698768047189</v>
      </c>
      <c r="J21" s="0" t="n">
        <f aca="false">J19*J20</f>
        <v>479.356459493458</v>
      </c>
      <c r="K21" s="0" t="n">
        <f aca="false">K19*K20</f>
        <v>454.386345739844</v>
      </c>
      <c r="L21" s="0" t="n">
        <f aca="false">L19*L20</f>
        <v>430.716947911759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4.3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22.6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6107.96697455688</v>
      </c>
    </row>
    <row r="31" customFormat="false" ht="15" hidden="false" customHeight="false" outlineLevel="0" collapsed="false">
      <c r="A31" s="0" t="s">
        <v>133</v>
      </c>
      <c r="B31" s="0" t="n">
        <f aca="false">L19</f>
        <v>1117.16883608341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20442.229755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25248.0156954851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20442.229755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7881.36450301693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13989.3314775738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13989.3314775738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1386.4550522868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-0.422791402045462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1386.4550522868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10889.7859442523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762.399575773392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8.81</v>
      </c>
      <c r="D5" s="4" t="n">
        <f aca="false">Assumptions!D27</f>
        <v>8.9</v>
      </c>
      <c r="E5" s="4" t="n">
        <f aca="false">Assumptions!E27</f>
        <v>7.92</v>
      </c>
      <c r="F5" s="4" t="n">
        <f aca="false">Assumptions!F27</f>
        <v>7.44</v>
      </c>
      <c r="G5" s="4" t="n">
        <f aca="false">Assumptions!G27</f>
        <v>6.95</v>
      </c>
      <c r="H5" s="4" t="n">
        <f aca="false">Assumptions!H27</f>
        <v>6.47</v>
      </c>
      <c r="I5" s="4" t="n">
        <f aca="false">Assumptions!I27</f>
        <v>6.47</v>
      </c>
      <c r="J5" s="4" t="n">
        <f aca="false">Assumptions!J27</f>
        <v>6.47</v>
      </c>
      <c r="K5" s="4" t="n">
        <f aca="false">Assumptions!K27</f>
        <v>6.47</v>
      </c>
      <c r="L5" s="4" t="n">
        <f aca="false">Assumptions!L27</f>
        <v>6.47</v>
      </c>
    </row>
    <row r="6" customFormat="false" ht="15" hidden="false" customHeight="false" outlineLevel="0" collapsed="false">
      <c r="A6" s="0" t="s">
        <v>38</v>
      </c>
      <c r="B6" s="3" t="n">
        <v>31112</v>
      </c>
      <c r="C6" s="0" t="n">
        <f aca="false">B6*(1+C5/100)</f>
        <v>33852.9672</v>
      </c>
      <c r="D6" s="0" t="n">
        <f aca="false">C6*(1+D5/100)</f>
        <v>36865.8812808</v>
      </c>
      <c r="E6" s="0" t="n">
        <f aca="false">D6*(1+E5/100)</f>
        <v>39785.6590782394</v>
      </c>
      <c r="F6" s="0" t="n">
        <f aca="false">E6*(1+F5/100)</f>
        <v>42745.7121136604</v>
      </c>
      <c r="G6" s="0" t="n">
        <f aca="false">F6*(1+G5/100)</f>
        <v>45716.5391055598</v>
      </c>
      <c r="H6" s="0" t="n">
        <f aca="false">G6*(1+H5/100)</f>
        <v>48674.3991856895</v>
      </c>
      <c r="I6" s="0" t="n">
        <f aca="false">H6*(1+I5/100)</f>
        <v>51823.6328130036</v>
      </c>
      <c r="J6" s="0" t="n">
        <f aca="false">I6*(1+J5/100)</f>
        <v>55176.6218560049</v>
      </c>
      <c r="K6" s="0" t="n">
        <f aca="false">J6*(1+K5/100)</f>
        <v>58746.5492900884</v>
      </c>
      <c r="L6" s="0" t="n">
        <f aca="false">K6*(1+L5/100)</f>
        <v>62547.4510291572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4.31</v>
      </c>
      <c r="D7" s="4" t="n">
        <f aca="false">Assumptions!D28</f>
        <v>2.85</v>
      </c>
      <c r="E7" s="4" t="n">
        <f aca="false">Assumptions!E28</f>
        <v>2.85</v>
      </c>
      <c r="F7" s="4" t="n">
        <f aca="false">Assumptions!F28</f>
        <v>2.85</v>
      </c>
      <c r="G7" s="4" t="n">
        <f aca="false">Assumptions!G28</f>
        <v>2.85</v>
      </c>
      <c r="H7" s="4" t="n">
        <f aca="false">Assumptions!H28</f>
        <v>2.85</v>
      </c>
      <c r="I7" s="4" t="n">
        <f aca="false">Assumptions!I28</f>
        <v>2.85</v>
      </c>
      <c r="J7" s="4" t="n">
        <f aca="false">Assumptions!J28</f>
        <v>2.85</v>
      </c>
      <c r="K7" s="4" t="n">
        <f aca="false">Assumptions!K28</f>
        <v>2.85</v>
      </c>
      <c r="L7" s="4" t="n">
        <f aca="false">Assumptions!L28</f>
        <v>2.85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1459.06288632</v>
      </c>
      <c r="D8" s="0" t="n">
        <f aca="false">D6*D7/100</f>
        <v>1050.6776165028</v>
      </c>
      <c r="E8" s="0" t="n">
        <f aca="false">E6*E7/100</f>
        <v>1133.89128372982</v>
      </c>
      <c r="F8" s="0" t="n">
        <f aca="false">F6*F7/100</f>
        <v>1218.25279523932</v>
      </c>
      <c r="G8" s="0" t="n">
        <f aca="false">G6*G7/100</f>
        <v>1302.92136450845</v>
      </c>
      <c r="H8" s="0" t="n">
        <f aca="false">H6*H7/100</f>
        <v>1387.22037679215</v>
      </c>
      <c r="I8" s="0" t="n">
        <f aca="false">I6*I7/100</f>
        <v>1476.9735351706</v>
      </c>
      <c r="J8" s="0" t="n">
        <f aca="false">J6*J7/100</f>
        <v>1572.53372289614</v>
      </c>
      <c r="K8" s="0" t="n">
        <f aca="false">K6*K7/100</f>
        <v>1674.27665476752</v>
      </c>
      <c r="L8" s="0" t="n">
        <f aca="false">L6*L7/100</f>
        <v>1782.60235433098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1459.06288632</v>
      </c>
      <c r="D11" s="0" t="n">
        <f aca="false">D8+D10+D24</f>
        <v>1050.6776165028</v>
      </c>
      <c r="E11" s="0" t="n">
        <f aca="false">E8+E10+E24</f>
        <v>1133.89128372982</v>
      </c>
      <c r="F11" s="0" t="n">
        <f aca="false">F8+F10+F24</f>
        <v>1218.25279523932</v>
      </c>
      <c r="G11" s="0" t="n">
        <f aca="false">G8+G10+G24</f>
        <v>1302.92136450845</v>
      </c>
      <c r="H11" s="0" t="n">
        <f aca="false">H8+H10+H24</f>
        <v>1387.22037679215</v>
      </c>
      <c r="I11" s="0" t="n">
        <f aca="false">I8+I10+I24</f>
        <v>1476.9735351706</v>
      </c>
      <c r="J11" s="0" t="n">
        <f aca="false">J8+J10+J24</f>
        <v>1572.53372289614</v>
      </c>
      <c r="K11" s="0" t="n">
        <f aca="false">K8+K10+K24</f>
        <v>1674.27665476752</v>
      </c>
      <c r="L11" s="0" t="n">
        <f aca="false">L8+L10+L24</f>
        <v>1782.60235433098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1459.06288632</v>
      </c>
      <c r="D13" s="0" t="n">
        <f aca="false">D11+D12</f>
        <v>1050.6776165028</v>
      </c>
      <c r="E13" s="0" t="n">
        <f aca="false">E11+E12</f>
        <v>1133.89128372982</v>
      </c>
      <c r="F13" s="0" t="n">
        <f aca="false">F11+F12</f>
        <v>1218.25279523932</v>
      </c>
      <c r="G13" s="0" t="n">
        <f aca="false">G11+G12</f>
        <v>1302.92136450845</v>
      </c>
      <c r="H13" s="0" t="n">
        <f aca="false">H11+H12</f>
        <v>1387.22037679215</v>
      </c>
      <c r="I13" s="0" t="n">
        <f aca="false">I11+I12</f>
        <v>1476.9735351706</v>
      </c>
      <c r="J13" s="0" t="n">
        <f aca="false">J11+J12</f>
        <v>1572.53372289614</v>
      </c>
      <c r="K13" s="0" t="n">
        <f aca="false">K11+K12</f>
        <v>1674.27665476752</v>
      </c>
      <c r="L13" s="0" t="n">
        <f aca="false">L11+L12</f>
        <v>1782.60235433098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1459.06288632</v>
      </c>
      <c r="D15" s="0" t="n">
        <f aca="false">D13-MAX(0,D13)*D14/100</f>
        <v>1050.6776165028</v>
      </c>
      <c r="E15" s="0" t="n">
        <f aca="false">E13-MAX(0,E13)*E14/100</f>
        <v>1133.89128372982</v>
      </c>
      <c r="F15" s="0" t="n">
        <f aca="false">F13-MAX(0,F13)*F14/100</f>
        <v>1218.25279523932</v>
      </c>
      <c r="G15" s="0" t="n">
        <f aca="false">G13-MAX(0,G13)*G14/100</f>
        <v>1302.92136450845</v>
      </c>
      <c r="H15" s="0" t="n">
        <f aca="false">H13-MAX(0,H13)*H14/100</f>
        <v>1387.22037679215</v>
      </c>
      <c r="I15" s="0" t="n">
        <f aca="false">I13-MAX(0,I13)*I14/100</f>
        <v>1476.9735351706</v>
      </c>
      <c r="J15" s="0" t="n">
        <f aca="false">J13-MAX(0,J13)*J14/100</f>
        <v>1572.53372289614</v>
      </c>
      <c r="K15" s="0" t="n">
        <f aca="false">K13-MAX(0,K13)*K14/100</f>
        <v>1674.27665476752</v>
      </c>
      <c r="L15" s="0" t="n">
        <f aca="false">L13-MAX(0,L13)*L14/100</f>
        <v>1782.60235433098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1459.06288632</v>
      </c>
      <c r="D19" s="0" t="n">
        <f aca="false">D15+D16+D17+D18</f>
        <v>1050.6776165028</v>
      </c>
      <c r="E19" s="0" t="n">
        <f aca="false">E15+E16+E17+E18</f>
        <v>1133.89128372982</v>
      </c>
      <c r="F19" s="0" t="n">
        <f aca="false">F15+F16+F17+F18</f>
        <v>1218.25279523932</v>
      </c>
      <c r="G19" s="0" t="n">
        <f aca="false">G15+G16+G17+G18</f>
        <v>1302.92136450845</v>
      </c>
      <c r="H19" s="0" t="n">
        <f aca="false">H15+H16+H17+H18</f>
        <v>1387.22037679215</v>
      </c>
      <c r="I19" s="0" t="n">
        <f aca="false">I15+I16+I17+I18</f>
        <v>1476.9735351706</v>
      </c>
      <c r="J19" s="0" t="n">
        <f aca="false">J15+J16+J17+J18</f>
        <v>1572.53372289614</v>
      </c>
      <c r="K19" s="0" t="n">
        <f aca="false">K15+K16+K17+K18</f>
        <v>1674.27665476752</v>
      </c>
      <c r="L19" s="0" t="n">
        <f aca="false">L15+L16+L17+L18</f>
        <v>1782.60235433098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1326.42080574545</v>
      </c>
      <c r="D21" s="0" t="n">
        <f aca="false">D19*D20</f>
        <v>868.32860868</v>
      </c>
      <c r="E21" s="0" t="n">
        <f aca="false">E19*E20</f>
        <v>851.909304079505</v>
      </c>
      <c r="F21" s="0" t="n">
        <f aca="false">F19*F20</f>
        <v>832.083051184564</v>
      </c>
      <c r="G21" s="0" t="n">
        <f aca="false">G19*G20</f>
        <v>809.011657492628</v>
      </c>
      <c r="H21" s="0" t="n">
        <f aca="false">H19*H20</f>
        <v>783.049737938547</v>
      </c>
      <c r="I21" s="0" t="n">
        <f aca="false">I19*I20</f>
        <v>757.9209599847</v>
      </c>
      <c r="J21" s="0" t="n">
        <f aca="false">J19*J20</f>
        <v>733.598587359737</v>
      </c>
      <c r="K21" s="0" t="n">
        <f aca="false">K19*K20</f>
        <v>710.056741783556</v>
      </c>
      <c r="L21" s="0" t="n">
        <f aca="false">L19*L20</f>
        <v>687.270375433593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6.5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31.6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8359.64982968229</v>
      </c>
    </row>
    <row r="31" customFormat="false" ht="15" hidden="false" customHeight="false" outlineLevel="0" collapsed="false">
      <c r="A31" s="0" t="s">
        <v>133</v>
      </c>
      <c r="B31" s="0" t="n">
        <f aca="false">L19</f>
        <v>1782.60235433098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54242.0430674998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56330.234396859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54242.0430674998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20912.6557096222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29272.3055393045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29272.3055393045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2901.12046970312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0.207793700958834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2901.12046970312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22334.958910147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1215.0208774547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11.73</v>
      </c>
      <c r="D5" s="4" t="n">
        <f aca="false">Assumptions!D41</f>
        <v>12.3</v>
      </c>
      <c r="E5" s="4" t="n">
        <f aca="false">Assumptions!E41</f>
        <v>11.33</v>
      </c>
      <c r="F5" s="4" t="n">
        <f aca="false">Assumptions!F41</f>
        <v>10.84</v>
      </c>
      <c r="G5" s="4" t="n">
        <f aca="false">Assumptions!G41</f>
        <v>9.87</v>
      </c>
      <c r="H5" s="4" t="n">
        <f aca="false">Assumptions!H41</f>
        <v>8.9</v>
      </c>
      <c r="I5" s="4" t="n">
        <f aca="false">Assumptions!I41</f>
        <v>8.41</v>
      </c>
      <c r="J5" s="4" t="n">
        <f aca="false">Assumptions!J41</f>
        <v>7.92</v>
      </c>
      <c r="K5" s="4" t="n">
        <f aca="false">Assumptions!K41</f>
        <v>7.44</v>
      </c>
      <c r="L5" s="4" t="n">
        <f aca="false">Assumptions!L41</f>
        <v>7.44</v>
      </c>
    </row>
    <row r="6" customFormat="false" ht="15" hidden="false" customHeight="false" outlineLevel="0" collapsed="false">
      <c r="A6" s="0" t="s">
        <v>38</v>
      </c>
      <c r="B6" s="3" t="n">
        <v>31112</v>
      </c>
      <c r="C6" s="0" t="n">
        <f aca="false">B6*(1+C5/100)</f>
        <v>34761.4376</v>
      </c>
      <c r="D6" s="0" t="n">
        <f aca="false">C6*(1+D5/100)</f>
        <v>39037.0944248</v>
      </c>
      <c r="E6" s="0" t="n">
        <f aca="false">D6*(1+E5/100)</f>
        <v>43459.9972231298</v>
      </c>
      <c r="F6" s="0" t="n">
        <f aca="false">E6*(1+F5/100)</f>
        <v>48171.0609221171</v>
      </c>
      <c r="G6" s="0" t="n">
        <f aca="false">F6*(1+G5/100)</f>
        <v>52925.5446351301</v>
      </c>
      <c r="H6" s="0" t="n">
        <f aca="false">G6*(1+H5/100)</f>
        <v>57635.9181076566</v>
      </c>
      <c r="I6" s="0" t="n">
        <f aca="false">H6*(1+I5/100)</f>
        <v>62483.0988205106</v>
      </c>
      <c r="J6" s="0" t="n">
        <f aca="false">I6*(1+J5/100)</f>
        <v>67431.760247095</v>
      </c>
      <c r="K6" s="0" t="n">
        <f aca="false">J6*(1+K5/100)</f>
        <v>72448.6832094789</v>
      </c>
      <c r="L6" s="0" t="n">
        <f aca="false">K6*(1+L5/100)</f>
        <v>77838.8652402641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4.27</v>
      </c>
      <c r="D7" s="4" t="n">
        <f aca="false">Assumptions!D42</f>
        <v>2.85</v>
      </c>
      <c r="E7" s="4" t="n">
        <f aca="false">Assumptions!E42</f>
        <v>2.85</v>
      </c>
      <c r="F7" s="4" t="n">
        <f aca="false">Assumptions!F42</f>
        <v>2.85</v>
      </c>
      <c r="G7" s="4" t="n">
        <f aca="false">Assumptions!G42</f>
        <v>2.85</v>
      </c>
      <c r="H7" s="4" t="n">
        <f aca="false">Assumptions!H42</f>
        <v>2.85</v>
      </c>
      <c r="I7" s="4" t="n">
        <f aca="false">Assumptions!I42</f>
        <v>2.85</v>
      </c>
      <c r="J7" s="4" t="n">
        <f aca="false">Assumptions!J42</f>
        <v>2.85</v>
      </c>
      <c r="K7" s="4" t="n">
        <f aca="false">Assumptions!K42</f>
        <v>2.85</v>
      </c>
      <c r="L7" s="4" t="n">
        <f aca="false">Assumptions!L42</f>
        <v>2.85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1484.31338552</v>
      </c>
      <c r="D8" s="0" t="n">
        <f aca="false">D6*D7/100</f>
        <v>1112.5571911068</v>
      </c>
      <c r="E8" s="0" t="n">
        <f aca="false">E6*E7/100</f>
        <v>1238.6099208592</v>
      </c>
      <c r="F8" s="0" t="n">
        <f aca="false">F6*F7/100</f>
        <v>1372.87523628034</v>
      </c>
      <c r="G8" s="0" t="n">
        <f aca="false">G6*G7/100</f>
        <v>1508.37802210121</v>
      </c>
      <c r="H8" s="0" t="n">
        <f aca="false">H6*H7/100</f>
        <v>1642.62366606821</v>
      </c>
      <c r="I8" s="0" t="n">
        <f aca="false">I6*I7/100</f>
        <v>1780.76831638455</v>
      </c>
      <c r="J8" s="0" t="n">
        <f aca="false">J6*J7/100</f>
        <v>1921.80516704221</v>
      </c>
      <c r="K8" s="0" t="n">
        <f aca="false">K6*K7/100</f>
        <v>2064.78747147015</v>
      </c>
      <c r="L8" s="0" t="n">
        <f aca="false">L6*L7/100</f>
        <v>2218.40765934753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1484.31338552</v>
      </c>
      <c r="D11" s="0" t="n">
        <f aca="false">D8+D10+D24</f>
        <v>1112.5571911068</v>
      </c>
      <c r="E11" s="0" t="n">
        <f aca="false">E8+E10+E24</f>
        <v>1238.6099208592</v>
      </c>
      <c r="F11" s="0" t="n">
        <f aca="false">F8+F10+F24</f>
        <v>1372.87523628034</v>
      </c>
      <c r="G11" s="0" t="n">
        <f aca="false">G8+G10+G24</f>
        <v>1508.37802210121</v>
      </c>
      <c r="H11" s="0" t="n">
        <f aca="false">H8+H10+H24</f>
        <v>1642.62366606821</v>
      </c>
      <c r="I11" s="0" t="n">
        <f aca="false">I8+I10+I24</f>
        <v>1780.76831638455</v>
      </c>
      <c r="J11" s="0" t="n">
        <f aca="false">J8+J10+J24</f>
        <v>1921.80516704221</v>
      </c>
      <c r="K11" s="0" t="n">
        <f aca="false">K8+K10+K24</f>
        <v>2064.78747147015</v>
      </c>
      <c r="L11" s="0" t="n">
        <f aca="false">L8+L10+L24</f>
        <v>2218.40765934753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1484.31338552</v>
      </c>
      <c r="D13" s="0" t="n">
        <f aca="false">D11+D12</f>
        <v>1112.5571911068</v>
      </c>
      <c r="E13" s="0" t="n">
        <f aca="false">E11+E12</f>
        <v>1238.6099208592</v>
      </c>
      <c r="F13" s="0" t="n">
        <f aca="false">F11+F12</f>
        <v>1372.87523628034</v>
      </c>
      <c r="G13" s="0" t="n">
        <f aca="false">G11+G12</f>
        <v>1508.37802210121</v>
      </c>
      <c r="H13" s="0" t="n">
        <f aca="false">H11+H12</f>
        <v>1642.62366606821</v>
      </c>
      <c r="I13" s="0" t="n">
        <f aca="false">I11+I12</f>
        <v>1780.76831638455</v>
      </c>
      <c r="J13" s="0" t="n">
        <f aca="false">J11+J12</f>
        <v>1921.80516704221</v>
      </c>
      <c r="K13" s="0" t="n">
        <f aca="false">K11+K12</f>
        <v>2064.78747147015</v>
      </c>
      <c r="L13" s="0" t="n">
        <f aca="false">L11+L12</f>
        <v>2218.40765934753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1484.31338552</v>
      </c>
      <c r="D15" s="0" t="n">
        <f aca="false">D13-MAX(0,D13)*D14/100</f>
        <v>1112.5571911068</v>
      </c>
      <c r="E15" s="0" t="n">
        <f aca="false">E13-MAX(0,E13)*E14/100</f>
        <v>1238.6099208592</v>
      </c>
      <c r="F15" s="0" t="n">
        <f aca="false">F13-MAX(0,F13)*F14/100</f>
        <v>1372.87523628034</v>
      </c>
      <c r="G15" s="0" t="n">
        <f aca="false">G13-MAX(0,G13)*G14/100</f>
        <v>1508.37802210121</v>
      </c>
      <c r="H15" s="0" t="n">
        <f aca="false">H13-MAX(0,H13)*H14/100</f>
        <v>1642.62366606821</v>
      </c>
      <c r="I15" s="0" t="n">
        <f aca="false">I13-MAX(0,I13)*I14/100</f>
        <v>1780.76831638455</v>
      </c>
      <c r="J15" s="0" t="n">
        <f aca="false">J13-MAX(0,J13)*J14/100</f>
        <v>1921.80516704221</v>
      </c>
      <c r="K15" s="0" t="n">
        <f aca="false">K13-MAX(0,K13)*K14/100</f>
        <v>2064.78747147015</v>
      </c>
      <c r="L15" s="0" t="n">
        <f aca="false">L13-MAX(0,L13)*L14/100</f>
        <v>2218.40765934753</v>
      </c>
    </row>
    <row r="16" customFormat="false" ht="15" hidden="false" customHeight="false" outlineLevel="0" collapsed="false">
      <c r="A16" s="0" t="s">
        <v>124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1484.31338552</v>
      </c>
      <c r="D19" s="0" t="n">
        <f aca="false">D15+D16+D17+D18</f>
        <v>1112.5571911068</v>
      </c>
      <c r="E19" s="0" t="n">
        <f aca="false">E15+E16+E17+E18</f>
        <v>1238.6099208592</v>
      </c>
      <c r="F19" s="0" t="n">
        <f aca="false">F15+F16+F17+F18</f>
        <v>1372.87523628034</v>
      </c>
      <c r="G19" s="0" t="n">
        <f aca="false">G15+G16+G17+G18</f>
        <v>1508.37802210121</v>
      </c>
      <c r="H19" s="0" t="n">
        <f aca="false">H15+H16+H17+H18</f>
        <v>1642.62366606821</v>
      </c>
      <c r="I19" s="0" t="n">
        <f aca="false">I15+I16+I17+I18</f>
        <v>1780.76831638455</v>
      </c>
      <c r="J19" s="0" t="n">
        <f aca="false">J15+J16+J17+J18</f>
        <v>1921.80516704221</v>
      </c>
      <c r="K19" s="0" t="n">
        <f aca="false">K15+K16+K17+K18</f>
        <v>2064.78747147015</v>
      </c>
      <c r="L19" s="0" t="n">
        <f aca="false">L15+L16+L17+L18</f>
        <v>2218.40765934753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1349.37580501818</v>
      </c>
      <c r="D21" s="0" t="n">
        <f aca="false">D19*D20</f>
        <v>919.468752980826</v>
      </c>
      <c r="E21" s="0" t="n">
        <f aca="false">E19*E20</f>
        <v>930.585966085049</v>
      </c>
      <c r="F21" s="0" t="n">
        <f aca="false">F19*F20</f>
        <v>937.692258916971</v>
      </c>
      <c r="G21" s="0" t="n">
        <f aca="false">G19*G20</f>
        <v>936.584077156433</v>
      </c>
      <c r="H21" s="0" t="n">
        <f aca="false">H19*H20</f>
        <v>927.218236384868</v>
      </c>
      <c r="I21" s="0" t="n">
        <f aca="false">I19*I20</f>
        <v>913.81571824076</v>
      </c>
      <c r="J21" s="0" t="n">
        <f aca="false">J19*J20</f>
        <v>896.536293750389</v>
      </c>
      <c r="K21" s="0" t="n">
        <f aca="false">K19*K20</f>
        <v>875.671449095834</v>
      </c>
      <c r="L21" s="0" t="n">
        <f aca="false">L19*L20</f>
        <v>855.292186280513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7.9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38.6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9542.24074390982</v>
      </c>
    </row>
    <row r="31" customFormat="false" ht="15" hidden="false" customHeight="false" outlineLevel="0" collapsed="false">
      <c r="A31" s="0" t="s">
        <v>133</v>
      </c>
      <c r="B31" s="0" t="n">
        <f aca="false">L19</f>
        <v>2218.40765934753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113983.898306475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85630.5356508146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85630.5356508146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33014.2783904278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42556.5191343376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42556.5191343376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4217.69267931988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0.755908692472891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4217.69267931988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33713.5473864223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1581.55241539547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1386.4550522868</v>
      </c>
      <c r="C4" s="0" t="n">
        <f aca="false">B4/Assumptions!$B$2-1</f>
        <v>-0.422791402045462</v>
      </c>
      <c r="D4" s="4" t="n">
        <f aca="false">Assumptions!$B$24</f>
        <v>0.25</v>
      </c>
      <c r="E4" s="4" t="n">
        <f aca="false">DCF_Bear!$B$43</f>
        <v>1386.4550522868</v>
      </c>
      <c r="F4" s="4" t="n">
        <f aca="false">DCF_Bear!$B$47</f>
        <v>762.399575773392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2901.12046970312</v>
      </c>
      <c r="C5" s="0" t="n">
        <f aca="false">B5/Assumptions!$B$2-1</f>
        <v>0.207793700958834</v>
      </c>
      <c r="D5" s="4" t="n">
        <f aca="false">Assumptions!$B$38</f>
        <v>0.5</v>
      </c>
      <c r="E5" s="4" t="n">
        <f aca="false">DCF_Base!$B$43</f>
        <v>2901.12046970312</v>
      </c>
      <c r="F5" s="4" t="n">
        <f aca="false">DCF_Base!$B$47</f>
        <v>1215.0208774547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4217.69267931988</v>
      </c>
      <c r="C6" s="0" t="n">
        <f aca="false">B6/Assumptions!$B$2-1</f>
        <v>0.755908692472891</v>
      </c>
      <c r="D6" s="4" t="n">
        <f aca="false">Assumptions!$B$52</f>
        <v>0.25</v>
      </c>
      <c r="E6" s="4" t="n">
        <f aca="false">DCF_Bull!$B$43</f>
        <v>4217.69267931988</v>
      </c>
      <c r="F6" s="4" t="n">
        <f aca="false">DCF_Bull!$B$47</f>
        <v>1581.55241539547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2851.59716775323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2851.59716775323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0.157665035173067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1193.49843651956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3226.06852486768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2901.12046970312</v>
      </c>
      <c r="C16" s="3" t="n">
        <v>10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2264.4036450173</v>
      </c>
      <c r="C17" s="3" t="n">
        <v>11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1859.11358778253</v>
      </c>
      <c r="C18" s="3" t="n">
        <v>12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1215.0208774547</v>
      </c>
      <c r="C19" s="3" t="n">
        <v>15</v>
      </c>
    </row>
    <row r="21" customFormat="false" ht="15" hidden="false" customHeight="false" outlineLevel="0" collapsed="false">
      <c r="A21" s="2" t="s">
        <v>169</v>
      </c>
    </row>
    <row r="22" customFormat="false" ht="15" hidden="false" customHeight="false" outlineLevel="0" collapsed="false">
      <c r="B22" s="3" t="n">
        <v>5.5</v>
      </c>
      <c r="C22" s="3" t="n">
        <v>6</v>
      </c>
      <c r="D22" s="3" t="n">
        <v>6.5</v>
      </c>
      <c r="E22" s="3" t="n">
        <v>7</v>
      </c>
      <c r="F22" s="3" t="n">
        <v>7.5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3496.00660708495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3496.00660708495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3496.00660708495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3496.00660708495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3496.00660708495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3117.32573726405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3226.06852486768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3226.06852486768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3226.06852486768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3226.06852486768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2425.40356440512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2633.52971047299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2901.12046970312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2980.91116881901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2980.91116881901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1985.35411385448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2110.92640287775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2264.4036450173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2456.25019769174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2702.9100511303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1680.90646461065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1762.58472939776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1859.11358778253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1974.94821784425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2116.52387680857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2026-10-09T23:37:16Z</dcterms:created>
  <dc:creator>openpyxl</dc:creator>
  <dc:description/>
  <dc:language>en-NZ</dc:language>
  <cp:lastModifiedBy/>
  <dcterms:modified xsi:type="dcterms:W3CDTF">2026-10-09T23:37:16Z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