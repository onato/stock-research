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<sst xmlns="http://schemas.openxmlformats.org/spreadsheetml/2006/main" count="357" uniqueCount="164">
  <si>
    <t xml:space="preserve">Ticker</t>
  </si>
  <si>
    <t xml:space="preserve">0148.HK</t>
  </si>
  <si>
    <t xml:space="preserve">Company</t>
  </si>
  <si>
    <t xml:space="preserve">Kingboard Holdings Limited</t>
  </si>
  <si>
    <t xml:space="preserve">Valuation date</t>
  </si>
  <si>
    <t xml:space="preserve">2026-10-11</t>
  </si>
  <si>
    <t xml:space="preserve">Current price</t>
  </si>
  <si>
    <t xml:space="preserve">Price as of</t>
  </si>
  <si>
    <t xml:space="preserve">2026-10-09T08:08:05Z regular close (HKEX; last trading session before valuation date)</t>
  </si>
  <si>
    <t xml:space="preserve">Balance sheet date</t>
  </si>
  <si>
    <t xml:space="preserve">2026-06-30</t>
  </si>
  <si>
    <t xml:space="preserve">Model</t>
  </si>
  <si>
    <t xml:space="preserve">Sum-of-parts: owner-FCF DCF on attributable industrial operations (proportionate KLHL) plus property, securities and JV assets in the equity bridge (engine route)</t>
  </si>
  <si>
    <t xml:space="preserve">Currency (model)</t>
  </si>
  <si>
    <t xml:space="preserve">HKD</t>
  </si>
  <si>
    <t xml:space="preserve">Currency (quote)</t>
  </si>
  <si>
    <t xml:space="preserve">Units</t>
  </si>
  <si>
    <t xml:space="preserve">millions</t>
  </si>
  <si>
    <t xml:space="preserve">Engine</t>
  </si>
  <si>
    <t xml:space="preserve">dcf_engine v1</t>
  </si>
  <si>
    <t xml:space="preserve">Built at</t>
  </si>
  <si>
    <t xml:space="preserve">2026-10-10T21:23:05Z</t>
  </si>
  <si>
    <t xml:space="preserve">Drivers file</t>
  </si>
  <si>
    <t xml:space="preserve">0148.HK_Drivers.json</t>
  </si>
  <si>
    <t xml:space="preserve">Convention</t>
  </si>
  <si>
    <t xml:space="preserve">Percents stored as percents; formulas divide by 100. Blue = input, green = link, black = formula.</t>
  </si>
  <si>
    <t xml:space="preserve">Methodology</t>
  </si>
  <si>
    <t xml:space="preserve">summary: Sum of the parts on a strict owner basis: the industrial divisions as an attributable (proportionate-KLHL) owner-FCF DCF that mean-reverts the 2026 AI laminate boom to a mid-cycle margin, plus property at haircut book, listed securities at fair value and JVs at book, less consolidated net debt, unpaid dividends and an estimate of the KLHL minority's share of KLHL's non-operating assets. SBC is tiny and lumpy (grant-date vesting) and is charged as a nine-year average. KLHL is deliberately NOT marked to its own market price, which would add ~HK$84/share for the stake alone.
sanity_check_note: The multiples sanity check TRIPPED on the first build (weighted IV HK$71.33): implied P/E 18.0x vs a 10-year average of 8.0x (limit 2x = 15.9x) and implied EV/EBITDA 11.1x vs a 10-year maximum of 6.9x (limit 1.5x = 10.3x). One fix pass was applied, to the factory cash flows only: (1) a +1.0pp cyclicality premium on WACC (9.5% -&gt; 10.5%, all scenarios), because a CCL/PCB maker at the top of an AI-driven up-cycle carries cycle risk a standard beta does not capture; (2) growth after normalisation (years 5-10) cut to near inflation (base 1.5-2.0%, bull 2.5-3.5%, bear 1.0-1.5%) and terminal growth to 2.0/2.5/1.5%, because group revenue was flat over FY2018-25. The exit cap (12x FCF, ~4.5-6.2x terminal EBITDA) was already inside the historical EV/EBITDA range and was left alone. Weighted IV fell to HK$67.27 and the check STILL TRIPS (P/E 17.1x, EV/EBITDA 10.6x). The remaining gap is structural to the sum of parts, not to the factory assumptions: about HK$44/share (HK$50bn) of the value is property, listed securities and JVs held in the equity bridge. Those assets add to the numerator of P/E and EV/EBITDA but earn little in EPS or EBITDA (rental ~1.3bn, dividends ~0.5bn, and FV losses on property). The stock has also always traded at a holdco discount (10-year P/B average 0.57x, maximum 0.98x), which the historical multiples build in. On the factories alone, weighted EV of ~HK$46bn is ~8.2x FY2025 attributable EBITDA (5.6bn, a trough-ish year) and ~4.1x FY2026E (~11.2bn). Read the IV as asset-backed value that assumes the market eventually credits the property and securities near book. It is not a claim that the industrial business deserves 17x earnings. If the holdco discount persists, value converges toward the bear case (HK$48.7).
key_risks_to_valuation: Cycle timing: year 1-2 margins (22-24%) are near the FY2021 peak; if prices roll over in 2027 rather than 2028 the base case is too high (bear case).; Non-operating assets are ~HK$52bn gross in the bridge (property 38bn at book, securities 22.7bn at fair value) -- roughly two-thirds of the equity value -- and PRC property marks and HK equity prices move faster than the flows.; Holdco discount: the market has priced Kingboard at 0.26-0.98x book for a decade; the SOTP credits the non-operating assets near (haircut) book, which is why the implied group multiples sit above every historical year even after the sanity-check fix.; NCI estimate: KLHL's share of property, securities and debt is not disclosed in Kingboard's filings; the HK$3bn deduction is an assumption.; Governance and capital allocation: family control, a large discretionary equity portfolio, and capex running far above D&amp;A since FY2021 with FCF falling from 8.0bn to 1.9bn.; Timing overlap: FY0 is FY2025 while net debt is at 30 June 2026.</t>
  </si>
  <si>
    <t xml:space="preserve">Data sources</t>
  </si>
  <si>
    <t xml:space="preserve">price: Yahoo Finance chart API (0148.HK, HKEX) at inputs.price_as_of; 52-week range 25.1-151.8. KLHL (1888.HK) quote from the same API for the look-through memo only.
financials: 0148.HK_Metrics.csv (core_metrics, FY2017-FY2025 + half-years); FY2025 annual report note 6 segment tables (external sales, segment results, capital additions, depreciation) and Chairman's statement divisional EBITDA; 2026 interim report (balance sheet, segment note 3, share options note 13, material disposals, prospects).
qualitative: 2026 interim report business review and prospects (capacity programme, KLHL block trades, MSCI inclusion); FY2025 annual Chairman's statement. No Analysis.json was present for this ticker at build time.</t>
  </si>
  <si>
    <t xml:space="preserve">Scenario narrative: bear</t>
  </si>
  <si>
    <t xml:space="preserve">This is 2021 again. The FY2021 laminate boom (group EBITDA 17.8bn) was followed by margins halving within two years as supply arrived; the 2026 spike in glass-fabric and copper-foil prices draws the same response from Chinese competitors, AI capex digests, and laminate prices fall while Kingboard's newly commissioned kilns, looms and plants depress returns (D&amp;A rises, utilisation falls). Margins fall to 14% (below the FY2024-25 trough level once mix is stripped out), revenue drops ~15% from the FY2027 level, and chemicals (caustic soda, acetic acid) see Chinese overcapacity pricing. Property marks keep sliding beyond the haircut.</t>
  </si>
  <si>
    <t xml:space="preserve">Scenario narrative: base</t>
  </si>
  <si>
    <t xml:space="preserve">The AI-driven shortage of electronic glass yarn, glass fabric and HVLP/RTF copper foil carries FY2026 to a record (attributable industrial EBITDA ~11bn) and holds through FY2027 as Kingboard's vertically integrated capacity (five specialty yarn kilns going to 13, looms 3,333 to 5,833 by 2028) is absorbed at firm prices. From FY2028 the industry-wide fabric and laminate build-out catches up, prices normalise and divisional margins settle at a 17.5% mid-cycle that keeps some of the high-end mix gain. PCBs grow with the Vietnam/Thailand plants, chemicals gain from Beihai caustic soda and Hebei acetic acid. Property is worth less than its marks and is haircut; the securities portfolio is taken at fair value.</t>
  </si>
  <si>
    <t xml:space="preserve">Scenario narrative: bull</t>
  </si>
  <si>
    <t xml:space="preserve">AI materials prove structural rather than cyclical: low-Dk/low-CTE/quartz yarn and specialty fabric stay supply-constrained into 2028-29 because looms and kilns are genuinely scarce (management says high-performance looms are 'virtually impossible to source'), Kingboard keeps its certification lead with tier-one customers, laminates pricing holds and the mix shift lifts mid-cycle margins to ~21%. PCB overseas capacity (&gt;3m sq ft/month) fills with AI-server and auto work.</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</si>
  <si>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</si>
  <si>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</si>
  <si>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</si>
  <si>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</si>
  <si>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</si>
  <si>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</si>
  <si>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</si>
  <si>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</si>
  <si>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</si>
  <si>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</si>
  <si>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</si>
  <si>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</si>
  <si>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</si>
  <si>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</si>
  <si>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</si>
  <si>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</si>
  <si>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</si>
  <si>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</si>
  <si>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</si>
  <si>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</si>
  <si>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</si>
  <si>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</si>
  <si>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</si>
  <si>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</si>
  <si>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</si>
  <si>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</si>
  <si>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</si>
  <si>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</si>
  <si>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</si>
  <si>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</si>
  <si>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</si>
  <si>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</si>
  <si>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</si>
  <si>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</si>
  <si>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</si>
  <si>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</si>
  <si>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</si>
  <si>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</si>
  <si>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</si>
  <si>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</si>
  <si>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</si>
  <si>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</si>
  <si>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</si>
  <si>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</si>
  <si>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</si>
  <si>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</si>
  <si>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HKD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</si>
  <si>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</si>
  <si>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</si>
  <si>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</si>
  <si>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</si>
  <si>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</si>
  <si>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</si>
  <si>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</si>
  <si>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</si>
  <si>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</si>
  <si>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</si>
  <si>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</si>
  <si>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</si>
  <si>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</si>
  <si>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</si>
  <si>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</si>
  <si>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</si>
  <si>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</si>
  <si>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</si>
  <si>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</si>
  <si>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</si>
  <si>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</si>
  <si>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</si>
  <si>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</si>
  <si>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</si>
  <si>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</si>
  <si>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</si>
  <si>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0148.HK owner-FCF component DCF: bear case (millions, HKD)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</si>
  <si>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</si>
  <si>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</si>
  <si>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</si>
  <si>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</si>
  <si>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</si>
  <si>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</si>
  <si>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</si>
  <si>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</si>
  <si>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</si>
  <si>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</si>
  <si>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</si>
  <si>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</si>
  <si>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</si>
  <si>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</si>
  <si>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</si>
  <si>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</si>
  <si>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</si>
  <si>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</si>
  <si>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</si>
  <si>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</si>
  <si>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</si>
  <si>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</si>
  <si>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</si>
  <si>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</si>
  <si>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</si>
  <si>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</si>
  <si>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</si>
  <si>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</si>
  <si>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</si>
  <si>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</si>
  <si>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0148.HK owner-FCF component DCF: base case (millions, HKD)</t>
  </si>
  <si>
    <t xml:space="preserve">0148.HK owner-FCF component DCF: bull case (millions, HKD)</t>
  </si>
  <si>
    <t xml:space="preserve">0148.HK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</si>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</sst>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55.7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35.0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43371.27</v>
      </c>
      <c r="C2" s="0" t="n">
        <v>-33243.202</v>
      </c>
      <c r="D2" s="0" t="n">
        <v>10128.068</v>
      </c>
      <c r="E2" s="0" t="n">
        <v>23.4</v>
      </c>
      <c r="F2" s="0" t="n">
        <v>8677.28</v>
      </c>
      <c r="G2" s="0" t="n">
        <v>20</v>
      </c>
      <c r="H2" s="0" t="n">
        <v>10435.141</v>
      </c>
      <c r="I2" s="0" t="n">
        <v>5593.434</v>
      </c>
      <c r="J2" s="0" t="n">
        <v>12.9</v>
      </c>
      <c r="K2" s="0" t="n">
        <v>5.314</v>
      </c>
      <c r="L2" s="0" t="n">
        <v>294.483</v>
      </c>
      <c r="M2" s="0" t="n">
        <v>1937.943</v>
      </c>
      <c r="N2" s="0" t="n">
        <v>-1643.46</v>
      </c>
      <c r="O2" s="0" t="n">
        <v>46039.519</v>
      </c>
      <c r="P2" s="0" t="n">
        <v>88294.383</v>
      </c>
      <c r="Q2" s="0" t="n">
        <v>34570.663</v>
      </c>
      <c r="R2" s="0" t="n">
        <v>19088.342</v>
      </c>
      <c r="S2" s="0" t="n">
        <v>8113.756</v>
      </c>
      <c r="T2" s="0" t="n">
        <v>1043</v>
      </c>
      <c r="U2" s="0" t="n">
        <v>3.136</v>
      </c>
      <c r="AA2" s="0" t="s">
        <v>17</v>
      </c>
      <c r="AB2" s="0" t="s">
        <v>14</v>
      </c>
    </row>
    <row r="3" customFormat="false" ht="15" hidden="false" customHeight="false" outlineLevel="0" collapsed="false">
      <c r="A3" s="0" t="s">
        <v>64</v>
      </c>
      <c r="B3" s="0" t="n">
        <v>45994.419</v>
      </c>
      <c r="C3" s="0" t="n">
        <v>-35691.963</v>
      </c>
      <c r="D3" s="0" t="n">
        <v>10302.456</v>
      </c>
      <c r="E3" s="0" t="n">
        <v>22.4</v>
      </c>
      <c r="F3" s="0" t="n">
        <v>9711.132</v>
      </c>
      <c r="G3" s="0" t="n">
        <v>21.1</v>
      </c>
      <c r="H3" s="0" t="n">
        <v>11679.175</v>
      </c>
      <c r="I3" s="0" t="n">
        <v>6075.76</v>
      </c>
      <c r="J3" s="0" t="n">
        <v>13.2</v>
      </c>
      <c r="K3" s="0" t="n">
        <v>5.655</v>
      </c>
      <c r="L3" s="0" t="n">
        <v>3448.419</v>
      </c>
      <c r="M3" s="0" t="n">
        <v>2255.679</v>
      </c>
      <c r="N3" s="0" t="n">
        <v>1192.74</v>
      </c>
      <c r="O3" s="0" t="n">
        <v>47332.985</v>
      </c>
      <c r="P3" s="0" t="n">
        <v>94430.339</v>
      </c>
      <c r="Q3" s="0" t="n">
        <v>39797.068</v>
      </c>
      <c r="R3" s="0" t="n">
        <v>27513.681</v>
      </c>
      <c r="S3" s="0" t="n">
        <v>7473.324</v>
      </c>
      <c r="T3" s="0" t="n">
        <v>1067.4</v>
      </c>
      <c r="U3" s="0" t="n">
        <v>0</v>
      </c>
      <c r="AA3" s="0" t="s">
        <v>17</v>
      </c>
      <c r="AB3" s="0" t="s">
        <v>14</v>
      </c>
    </row>
    <row r="4" customFormat="false" ht="15" hidden="false" customHeight="false" outlineLevel="0" collapsed="false">
      <c r="A4" s="0" t="s">
        <v>65</v>
      </c>
      <c r="B4" s="0" t="n">
        <v>41160.851</v>
      </c>
      <c r="C4" s="0" t="n">
        <v>-32146.545</v>
      </c>
      <c r="D4" s="0" t="n">
        <v>9014.306</v>
      </c>
      <c r="E4" s="0" t="n">
        <v>21.9</v>
      </c>
      <c r="F4" s="0" t="n">
        <v>5874.914</v>
      </c>
      <c r="G4" s="0" t="n">
        <v>14.3</v>
      </c>
      <c r="H4" s="0" t="n">
        <v>7799.908</v>
      </c>
      <c r="I4" s="0" t="n">
        <v>3094.421</v>
      </c>
      <c r="J4" s="0" t="n">
        <v>7.5</v>
      </c>
      <c r="K4" s="0" t="n">
        <v>2.849</v>
      </c>
      <c r="L4" s="0" t="n">
        <v>7290.811</v>
      </c>
      <c r="M4" s="0" t="n">
        <v>2093.742</v>
      </c>
      <c r="N4" s="0" t="n">
        <v>5197.069</v>
      </c>
      <c r="O4" s="0" t="n">
        <v>50188.565</v>
      </c>
      <c r="P4" s="0" t="n">
        <v>97035.126</v>
      </c>
      <c r="Q4" s="0" t="n">
        <v>39065.476</v>
      </c>
      <c r="R4" s="0" t="n">
        <v>24423.123</v>
      </c>
      <c r="S4" s="0" t="n">
        <v>6256.964</v>
      </c>
      <c r="T4" s="0" t="n">
        <v>1085.8</v>
      </c>
      <c r="U4" s="0" t="n">
        <v>229.234</v>
      </c>
      <c r="AA4" s="0" t="s">
        <v>17</v>
      </c>
      <c r="AB4" s="0" t="s">
        <v>14</v>
      </c>
    </row>
    <row r="5" customFormat="false" ht="15" hidden="false" customHeight="false" outlineLevel="0" collapsed="false">
      <c r="A5" s="0" t="s">
        <v>66</v>
      </c>
      <c r="B5" s="0" t="n">
        <v>43510.274</v>
      </c>
      <c r="C5" s="0" t="n">
        <v>-31283.45</v>
      </c>
      <c r="D5" s="0" t="n">
        <v>12226.824</v>
      </c>
      <c r="E5" s="0" t="n">
        <v>28.1</v>
      </c>
      <c r="F5" s="0" t="n">
        <v>8393.595</v>
      </c>
      <c r="G5" s="0" t="n">
        <v>19.3</v>
      </c>
      <c r="H5" s="0" t="n">
        <v>10077.028</v>
      </c>
      <c r="I5" s="0" t="n">
        <v>4702.884</v>
      </c>
      <c r="J5" s="0" t="n">
        <v>10.8</v>
      </c>
      <c r="K5" s="0" t="n">
        <v>4.252</v>
      </c>
      <c r="L5" s="0" t="n">
        <v>9499.692</v>
      </c>
      <c r="M5" s="0" t="n">
        <v>1467.796</v>
      </c>
      <c r="N5" s="0" t="n">
        <v>8031.896</v>
      </c>
      <c r="O5" s="0" t="n">
        <v>55864.903</v>
      </c>
      <c r="P5" s="0" t="n">
        <v>93249.138</v>
      </c>
      <c r="Q5" s="0" t="n">
        <v>32450.432</v>
      </c>
      <c r="R5" s="0" t="n">
        <v>17244.85</v>
      </c>
      <c r="S5" s="0" t="n">
        <v>6568.857</v>
      </c>
      <c r="T5" s="0" t="n">
        <v>1104.7</v>
      </c>
      <c r="U5" s="0" t="n">
        <v>0</v>
      </c>
      <c r="AA5" s="0" t="s">
        <v>17</v>
      </c>
      <c r="AB5" s="0" t="s">
        <v>14</v>
      </c>
    </row>
    <row r="6" customFormat="false" ht="15" hidden="false" customHeight="false" outlineLevel="0" collapsed="false">
      <c r="A6" s="0" t="s">
        <v>67</v>
      </c>
      <c r="B6" s="0" t="n">
        <v>56755.274</v>
      </c>
      <c r="C6" s="0" t="n">
        <v>-37933.659</v>
      </c>
      <c r="D6" s="0" t="n">
        <v>18821.615</v>
      </c>
      <c r="E6" s="0" t="n">
        <v>33.2</v>
      </c>
      <c r="F6" s="0" t="n">
        <v>15852.141</v>
      </c>
      <c r="G6" s="0" t="n">
        <v>27.9</v>
      </c>
      <c r="H6" s="0" t="n">
        <v>17791.957</v>
      </c>
      <c r="I6" s="0" t="n">
        <v>10778.032</v>
      </c>
      <c r="J6" s="0" t="n">
        <v>19</v>
      </c>
      <c r="K6" s="0" t="n">
        <v>9.724</v>
      </c>
      <c r="L6" s="0" t="n">
        <v>9499.971</v>
      </c>
      <c r="M6" s="0" t="n">
        <v>2595.602</v>
      </c>
      <c r="N6" s="0" t="n">
        <v>6904.369</v>
      </c>
      <c r="O6" s="0" t="n">
        <v>63017.172</v>
      </c>
      <c r="P6" s="0" t="n">
        <v>103815.768</v>
      </c>
      <c r="Q6" s="0" t="n">
        <v>35132.475</v>
      </c>
      <c r="R6" s="0" t="n">
        <v>18416.337</v>
      </c>
      <c r="S6" s="0" t="n">
        <v>5512.357</v>
      </c>
      <c r="T6" s="0" t="n">
        <v>1107.8</v>
      </c>
      <c r="U6" s="0" t="n">
        <v>0</v>
      </c>
      <c r="AA6" s="0" t="s">
        <v>17</v>
      </c>
      <c r="AB6" s="0" t="s">
        <v>14</v>
      </c>
    </row>
    <row r="7" customFormat="false" ht="15" hidden="false" customHeight="false" outlineLevel="0" collapsed="false">
      <c r="A7" s="0" t="s">
        <v>68</v>
      </c>
      <c r="B7" s="0" t="n">
        <v>49375.901</v>
      </c>
      <c r="C7" s="0" t="n">
        <v>-37002.817</v>
      </c>
      <c r="D7" s="0" t="n">
        <v>12373.084</v>
      </c>
      <c r="E7" s="0" t="n">
        <v>25.1</v>
      </c>
      <c r="F7" s="0" t="n">
        <v>7281.344</v>
      </c>
      <c r="G7" s="0" t="n">
        <v>14.7</v>
      </c>
      <c r="H7" s="0" t="n">
        <v>9165.861</v>
      </c>
      <c r="I7" s="0" t="n">
        <v>3655.22</v>
      </c>
      <c r="J7" s="0" t="n">
        <v>7.4</v>
      </c>
      <c r="K7" s="0" t="n">
        <v>3.297</v>
      </c>
      <c r="L7" s="0" t="n">
        <v>10584.915</v>
      </c>
      <c r="M7" s="0" t="n">
        <v>3729.656</v>
      </c>
      <c r="N7" s="0" t="n">
        <v>6855.259</v>
      </c>
      <c r="O7" s="0" t="n">
        <v>60057.655</v>
      </c>
      <c r="P7" s="0" t="n">
        <v>97293.151</v>
      </c>
      <c r="Q7" s="0" t="n">
        <v>32597.32</v>
      </c>
      <c r="R7" s="0" t="n">
        <v>19756.351</v>
      </c>
      <c r="S7" s="0" t="n">
        <v>6693.336</v>
      </c>
      <c r="T7" s="0" t="n">
        <v>1108.7</v>
      </c>
      <c r="U7" s="0" t="n">
        <v>125.3</v>
      </c>
      <c r="AA7" s="0" t="s">
        <v>17</v>
      </c>
      <c r="AB7" s="0" t="s">
        <v>14</v>
      </c>
    </row>
    <row r="8" customFormat="false" ht="15" hidden="false" customHeight="false" outlineLevel="0" collapsed="false">
      <c r="A8" s="0" t="s">
        <v>69</v>
      </c>
      <c r="B8" s="0" t="n">
        <v>39712.499</v>
      </c>
      <c r="C8" s="0" t="n">
        <v>-32120.334</v>
      </c>
      <c r="D8" s="0" t="n">
        <v>7592.165</v>
      </c>
      <c r="E8" s="0" t="n">
        <v>19.1</v>
      </c>
      <c r="F8" s="0" t="n">
        <v>3912.174</v>
      </c>
      <c r="G8" s="0" t="n">
        <v>9.9</v>
      </c>
      <c r="H8" s="0" t="n">
        <v>5895.03</v>
      </c>
      <c r="I8" s="0" t="n">
        <v>2062.971</v>
      </c>
      <c r="J8" s="0" t="n">
        <v>5.2</v>
      </c>
      <c r="K8" s="0" t="n">
        <v>1.861</v>
      </c>
      <c r="L8" s="0" t="n">
        <v>5310.823</v>
      </c>
      <c r="M8" s="0" t="n">
        <v>3275.249</v>
      </c>
      <c r="N8" s="0" t="n">
        <v>2035.574</v>
      </c>
      <c r="O8" s="0" t="n">
        <v>59741.361</v>
      </c>
      <c r="P8" s="0" t="n">
        <v>98968.526</v>
      </c>
      <c r="Q8" s="0" t="n">
        <v>34533.904</v>
      </c>
      <c r="R8" s="0" t="n">
        <v>22927.694</v>
      </c>
      <c r="S8" s="0" t="n">
        <v>4088.322</v>
      </c>
      <c r="T8" s="0" t="n">
        <v>1108.5</v>
      </c>
      <c r="U8" s="0" t="n">
        <v>124.008</v>
      </c>
      <c r="AA8" s="0" t="s">
        <v>17</v>
      </c>
      <c r="AB8" s="0" t="s">
        <v>14</v>
      </c>
    </row>
    <row r="9" customFormat="false" ht="15" hidden="false" customHeight="false" outlineLevel="0" collapsed="false">
      <c r="A9" s="0" t="s">
        <v>70</v>
      </c>
      <c r="B9" s="0" t="n">
        <v>43093.252</v>
      </c>
      <c r="C9" s="0" t="n">
        <v>-34600.667</v>
      </c>
      <c r="D9" s="0" t="n">
        <v>8492.585</v>
      </c>
      <c r="E9" s="0" t="n">
        <v>19.7</v>
      </c>
      <c r="F9" s="0" t="n">
        <v>3838.344</v>
      </c>
      <c r="G9" s="0" t="n">
        <v>8.9</v>
      </c>
      <c r="H9" s="0" t="n">
        <v>5826.19</v>
      </c>
      <c r="I9" s="0" t="n">
        <v>1630.329</v>
      </c>
      <c r="J9" s="0" t="n">
        <v>3.8</v>
      </c>
      <c r="K9" s="0" t="n">
        <v>1.471</v>
      </c>
      <c r="L9" s="0" t="n">
        <v>5761.72</v>
      </c>
      <c r="M9" s="0" t="n">
        <v>3158.428</v>
      </c>
      <c r="N9" s="0" t="n">
        <v>2603.292</v>
      </c>
      <c r="O9" s="0" t="n">
        <v>59824.774</v>
      </c>
      <c r="P9" s="0" t="n">
        <v>97784.654</v>
      </c>
      <c r="Q9" s="0" t="n">
        <v>33045.407</v>
      </c>
      <c r="R9" s="0" t="n">
        <v>21712.279</v>
      </c>
      <c r="S9" s="0" t="n">
        <v>3894.324</v>
      </c>
      <c r="T9" s="0" t="n">
        <v>1108.3</v>
      </c>
      <c r="U9" s="0" t="n">
        <v>0</v>
      </c>
      <c r="AA9" s="0" t="s">
        <v>17</v>
      </c>
      <c r="AB9" s="0" t="s">
        <v>14</v>
      </c>
    </row>
    <row r="10" customFormat="false" ht="15" hidden="false" customHeight="false" outlineLevel="0" collapsed="false">
      <c r="A10" s="0" t="s">
        <v>71</v>
      </c>
      <c r="B10" s="0" t="n">
        <v>45375.014</v>
      </c>
      <c r="C10" s="0" t="n">
        <v>-37449.361</v>
      </c>
      <c r="D10" s="0" t="n">
        <v>7925.653</v>
      </c>
      <c r="E10" s="0" t="n">
        <v>17.5</v>
      </c>
      <c r="F10" s="0" t="n">
        <v>6507.035</v>
      </c>
      <c r="G10" s="0" t="n">
        <v>14.3</v>
      </c>
      <c r="H10" s="0" t="n">
        <v>8882.129</v>
      </c>
      <c r="I10" s="0" t="n">
        <v>4401.609</v>
      </c>
      <c r="J10" s="0" t="n">
        <v>9.7</v>
      </c>
      <c r="K10" s="0" t="n">
        <v>3.965</v>
      </c>
      <c r="L10" s="0" t="n">
        <v>4738.794</v>
      </c>
      <c r="M10" s="0" t="n">
        <v>2806.064</v>
      </c>
      <c r="N10" s="0" t="n">
        <v>1932.73</v>
      </c>
      <c r="O10" s="0" t="n">
        <v>64665.349</v>
      </c>
      <c r="P10" s="0" t="n">
        <v>103876.082</v>
      </c>
      <c r="Q10" s="0" t="n">
        <v>34037.366</v>
      </c>
      <c r="R10" s="0" t="n">
        <v>22799.071</v>
      </c>
      <c r="S10" s="0" t="n">
        <v>3474.539</v>
      </c>
      <c r="T10" s="0" t="n">
        <v>1108.4</v>
      </c>
      <c r="U10" s="0" t="n">
        <v>0</v>
      </c>
      <c r="AA10" s="0" t="s">
        <v>17</v>
      </c>
      <c r="AB1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55.7</v>
      </c>
    </row>
    <row r="3" customFormat="false" ht="15" hidden="false" customHeight="false" outlineLevel="0" collapsed="false">
      <c r="A3" s="0" t="s">
        <v>75</v>
      </c>
      <c r="B3" s="3" t="n">
        <v>1139.76</v>
      </c>
    </row>
    <row r="4" customFormat="false" ht="15" hidden="false" customHeight="false" outlineLevel="0" collapsed="false">
      <c r="A4" s="0" t="s">
        <v>76</v>
      </c>
      <c r="B4" s="3" t="n">
        <v>19535.6</v>
      </c>
    </row>
    <row r="5" customFormat="false" ht="15" hidden="false" customHeight="false" outlineLevel="0" collapsed="false">
      <c r="A5" s="0" t="s">
        <v>77</v>
      </c>
      <c r="B5" s="3" t="n">
        <v>50005.3</v>
      </c>
    </row>
    <row r="6" customFormat="false" ht="15" hidden="false" customHeight="false" outlineLevel="0" collapsed="false">
      <c r="A6" s="0" t="s">
        <v>78</v>
      </c>
      <c r="B6" s="3" t="n">
        <v>15</v>
      </c>
    </row>
    <row r="7" customFormat="false" ht="15" hidden="false" customHeight="false" outlineLevel="0" collapsed="false">
      <c r="A7" s="0" t="s">
        <v>79</v>
      </c>
      <c r="B7" s="3" t="n">
        <v>36829.3</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1</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32</v>
      </c>
      <c r="D13" s="3" t="n">
        <v>-2</v>
      </c>
      <c r="E13" s="3" t="n">
        <v>-10</v>
      </c>
      <c r="F13" s="3" t="n">
        <v>-5</v>
      </c>
      <c r="G13" s="3" t="n">
        <v>1</v>
      </c>
      <c r="H13" s="3" t="n">
        <v>1.5</v>
      </c>
      <c r="I13" s="3" t="n">
        <v>1.5</v>
      </c>
      <c r="J13" s="3" t="n">
        <v>1.5</v>
      </c>
      <c r="K13" s="3" t="n">
        <v>1.5</v>
      </c>
      <c r="L13" s="3" t="n">
        <v>1.5</v>
      </c>
    </row>
    <row r="14" customFormat="false" ht="15" hidden="false" customHeight="false" outlineLevel="0" collapsed="false">
      <c r="A14" s="0" t="s">
        <v>96</v>
      </c>
      <c r="C14" s="3" t="n">
        <v>22</v>
      </c>
      <c r="D14" s="3" t="n">
        <v>19</v>
      </c>
      <c r="E14" s="3" t="n">
        <v>15.5</v>
      </c>
      <c r="F14" s="3" t="n">
        <v>14</v>
      </c>
      <c r="G14" s="3" t="n">
        <v>14</v>
      </c>
      <c r="H14" s="3" t="n">
        <v>14</v>
      </c>
      <c r="I14" s="3" t="n">
        <v>14</v>
      </c>
      <c r="J14" s="3" t="n">
        <v>14</v>
      </c>
      <c r="K14" s="3" t="n">
        <v>14</v>
      </c>
      <c r="L14" s="3" t="n">
        <v>14</v>
      </c>
    </row>
    <row r="15" customFormat="false" ht="15" hidden="false" customHeight="false" outlineLevel="0" collapsed="false">
      <c r="A15" s="0" t="s">
        <v>97</v>
      </c>
      <c r="C15" s="3" t="n">
        <v>0.12</v>
      </c>
      <c r="D15" s="3" t="n">
        <v>0.12</v>
      </c>
      <c r="E15" s="3" t="n">
        <v>0.12</v>
      </c>
      <c r="F15" s="3" t="n">
        <v>0.12</v>
      </c>
      <c r="G15" s="3" t="n">
        <v>0.12</v>
      </c>
      <c r="H15" s="3" t="n">
        <v>0.12</v>
      </c>
      <c r="I15" s="3" t="n">
        <v>0.12</v>
      </c>
      <c r="J15" s="3" t="n">
        <v>0.12</v>
      </c>
      <c r="K15" s="3" t="n">
        <v>0.12</v>
      </c>
      <c r="L15" s="3" t="n">
        <v>0.12</v>
      </c>
    </row>
    <row r="16" customFormat="false" ht="15" hidden="false" customHeight="false" outlineLevel="0" collapsed="false">
      <c r="A16" s="0" t="s">
        <v>98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99</v>
      </c>
      <c r="C17" s="3" t="n">
        <v>5</v>
      </c>
      <c r="D17" s="3" t="n">
        <v>5.6</v>
      </c>
      <c r="E17" s="3" t="n">
        <v>6.5</v>
      </c>
      <c r="F17" s="3" t="n">
        <v>7</v>
      </c>
      <c r="G17" s="3" t="n">
        <v>7</v>
      </c>
      <c r="H17" s="3" t="n">
        <v>6.8</v>
      </c>
      <c r="I17" s="3" t="n">
        <v>6.6</v>
      </c>
      <c r="J17" s="3" t="n">
        <v>6.5</v>
      </c>
      <c r="K17" s="3" t="n">
        <v>6.5</v>
      </c>
      <c r="L17" s="3" t="n">
        <v>6.5</v>
      </c>
    </row>
    <row r="18" customFormat="false" ht="15" hidden="false" customHeight="false" outlineLevel="0" collapsed="false">
      <c r="A18" s="0" t="s">
        <v>100</v>
      </c>
      <c r="C18" s="3" t="n">
        <v>11</v>
      </c>
      <c r="D18" s="3" t="n">
        <v>10.5</v>
      </c>
      <c r="E18" s="3" t="n">
        <v>8</v>
      </c>
      <c r="F18" s="3" t="n">
        <v>6.5</v>
      </c>
      <c r="G18" s="3" t="n">
        <v>6.5</v>
      </c>
      <c r="H18" s="3" t="n">
        <v>6.5</v>
      </c>
      <c r="I18" s="3" t="n">
        <v>6.5</v>
      </c>
      <c r="J18" s="3" t="n">
        <v>6.5</v>
      </c>
      <c r="K18" s="3" t="n">
        <v>6.5</v>
      </c>
      <c r="L18" s="3" t="n">
        <v>6.5</v>
      </c>
    </row>
    <row r="19" customFormat="false" ht="15" hidden="false" customHeight="false" outlineLevel="0" collapsed="false">
      <c r="A19" s="0" t="s">
        <v>101</v>
      </c>
      <c r="C19" s="3" t="n">
        <v>18</v>
      </c>
      <c r="D19" s="3" t="n">
        <v>18</v>
      </c>
      <c r="E19" s="3" t="n">
        <v>19</v>
      </c>
      <c r="F19" s="3" t="n">
        <v>19</v>
      </c>
      <c r="G19" s="3" t="n">
        <v>20</v>
      </c>
      <c r="H19" s="3" t="n">
        <v>20</v>
      </c>
      <c r="I19" s="3" t="n">
        <v>20</v>
      </c>
      <c r="J19" s="3" t="n">
        <v>20</v>
      </c>
      <c r="K19" s="3" t="n">
        <v>20</v>
      </c>
      <c r="L19" s="3" t="n">
        <v>20</v>
      </c>
    </row>
    <row r="20" customFormat="false" ht="15" hidden="false" customHeight="false" outlineLevel="0" collapsed="false">
      <c r="A20" s="0" t="s">
        <v>102</v>
      </c>
      <c r="B20" s="3" t="n">
        <v>10.5</v>
      </c>
    </row>
    <row r="21" customFormat="false" ht="15" hidden="false" customHeight="false" outlineLevel="0" collapsed="false">
      <c r="A21" s="0" t="s">
        <v>103</v>
      </c>
      <c r="B21" s="3" t="n">
        <v>1.5</v>
      </c>
    </row>
    <row r="22" customFormat="false" ht="15" hidden="false" customHeight="false" outlineLevel="0" collapsed="false">
      <c r="A22" s="0" t="s">
        <v>104</v>
      </c>
      <c r="B22" s="3" t="n">
        <v>12</v>
      </c>
    </row>
    <row r="23" customFormat="false" ht="15" hidden="false" customHeight="false" outlineLevel="0" collapsed="false">
      <c r="A23" s="0" t="s">
        <v>105</v>
      </c>
      <c r="B23" s="3" t="n">
        <v>-25</v>
      </c>
    </row>
    <row r="24" customFormat="false" ht="15" hidden="false" customHeight="false" outlineLevel="0" collapsed="false">
      <c r="A24" s="0" t="s">
        <v>106</v>
      </c>
      <c r="B24" s="3" t="n">
        <v>0.3</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34</v>
      </c>
      <c r="D27" s="3" t="n">
        <v>12</v>
      </c>
      <c r="E27" s="3" t="n">
        <v>3</v>
      </c>
      <c r="F27" s="3" t="n">
        <v>-6</v>
      </c>
      <c r="G27" s="3" t="n">
        <v>1.5</v>
      </c>
      <c r="H27" s="3" t="n">
        <v>2</v>
      </c>
      <c r="I27" s="3" t="n">
        <v>2</v>
      </c>
      <c r="J27" s="3" t="n">
        <v>2</v>
      </c>
      <c r="K27" s="3" t="n">
        <v>2</v>
      </c>
      <c r="L27" s="3" t="n">
        <v>2</v>
      </c>
    </row>
    <row r="28" customFormat="false" ht="15" hidden="false" customHeight="false" outlineLevel="0" collapsed="false">
      <c r="A28" s="0" t="s">
        <v>96</v>
      </c>
      <c r="C28" s="3" t="n">
        <v>22.7</v>
      </c>
      <c r="D28" s="3" t="n">
        <v>23.5</v>
      </c>
      <c r="E28" s="3" t="n">
        <v>21.5</v>
      </c>
      <c r="F28" s="3" t="n">
        <v>18.5</v>
      </c>
      <c r="G28" s="3" t="n">
        <v>17.5</v>
      </c>
      <c r="H28" s="3" t="n">
        <v>17.5</v>
      </c>
      <c r="I28" s="3" t="n">
        <v>17.5</v>
      </c>
      <c r="J28" s="3" t="n">
        <v>17.5</v>
      </c>
      <c r="K28" s="3" t="n">
        <v>17.5</v>
      </c>
      <c r="L28" s="3" t="n">
        <v>17.5</v>
      </c>
    </row>
    <row r="29" customFormat="false" ht="15" hidden="false" customHeight="false" outlineLevel="0" collapsed="false">
      <c r="A29" s="0" t="s">
        <v>97</v>
      </c>
      <c r="C29" s="3" t="n">
        <v>0.12</v>
      </c>
      <c r="D29" s="3" t="n">
        <v>0.12</v>
      </c>
      <c r="E29" s="3" t="n">
        <v>0.12</v>
      </c>
      <c r="F29" s="3" t="n">
        <v>0.12</v>
      </c>
      <c r="G29" s="3" t="n">
        <v>0.12</v>
      </c>
      <c r="H29" s="3" t="n">
        <v>0.12</v>
      </c>
      <c r="I29" s="3" t="n">
        <v>0.12</v>
      </c>
      <c r="J29" s="3" t="n">
        <v>0.12</v>
      </c>
      <c r="K29" s="3" t="n">
        <v>0.12</v>
      </c>
      <c r="L29" s="3" t="n">
        <v>0.12</v>
      </c>
    </row>
    <row r="30" customFormat="false" ht="15" hidden="false" customHeight="false" outlineLevel="0" collapsed="false">
      <c r="A30" s="0" t="s">
        <v>98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99</v>
      </c>
      <c r="C31" s="3" t="n">
        <v>5</v>
      </c>
      <c r="D31" s="3" t="n">
        <v>5.3</v>
      </c>
      <c r="E31" s="3" t="n">
        <v>5.8</v>
      </c>
      <c r="F31" s="3" t="n">
        <v>6.3</v>
      </c>
      <c r="G31" s="3" t="n">
        <v>6.3</v>
      </c>
      <c r="H31" s="3" t="n">
        <v>6.2</v>
      </c>
      <c r="I31" s="3" t="n">
        <v>6.1</v>
      </c>
      <c r="J31" s="3" t="n">
        <v>6</v>
      </c>
      <c r="K31" s="3" t="n">
        <v>6</v>
      </c>
      <c r="L31" s="3" t="n">
        <v>6</v>
      </c>
    </row>
    <row r="32" customFormat="false" ht="15" hidden="false" customHeight="false" outlineLevel="0" collapsed="false">
      <c r="A32" s="0" t="s">
        <v>100</v>
      </c>
      <c r="C32" s="3" t="n">
        <v>11</v>
      </c>
      <c r="D32" s="3" t="n">
        <v>10</v>
      </c>
      <c r="E32" s="3" t="n">
        <v>8.5</v>
      </c>
      <c r="F32" s="3" t="n">
        <v>7</v>
      </c>
      <c r="G32" s="3" t="n">
        <v>6.8</v>
      </c>
      <c r="H32" s="3" t="n">
        <v>6.6</v>
      </c>
      <c r="I32" s="3" t="n">
        <v>6.5</v>
      </c>
      <c r="J32" s="3" t="n">
        <v>6.5</v>
      </c>
      <c r="K32" s="3" t="n">
        <v>6.5</v>
      </c>
      <c r="L32" s="3" t="n">
        <v>6.5</v>
      </c>
    </row>
    <row r="33" customFormat="false" ht="15" hidden="false" customHeight="false" outlineLevel="0" collapsed="false">
      <c r="A33" s="0" t="s">
        <v>101</v>
      </c>
      <c r="C33" s="3" t="n">
        <v>18</v>
      </c>
      <c r="D33" s="3" t="n">
        <v>18</v>
      </c>
      <c r="E33" s="3" t="n">
        <v>19</v>
      </c>
      <c r="F33" s="3" t="n">
        <v>19</v>
      </c>
      <c r="G33" s="3" t="n">
        <v>20</v>
      </c>
      <c r="H33" s="3" t="n">
        <v>20</v>
      </c>
      <c r="I33" s="3" t="n">
        <v>20</v>
      </c>
      <c r="J33" s="3" t="n">
        <v>20</v>
      </c>
      <c r="K33" s="3" t="n">
        <v>20</v>
      </c>
      <c r="L33" s="3" t="n">
        <v>20</v>
      </c>
    </row>
    <row r="34" customFormat="false" ht="15" hidden="false" customHeight="false" outlineLevel="0" collapsed="false">
      <c r="A34" s="0" t="s">
        <v>102</v>
      </c>
      <c r="B34" s="3" t="n">
        <v>10.5</v>
      </c>
    </row>
    <row r="35" customFormat="false" ht="15" hidden="false" customHeight="false" outlineLevel="0" collapsed="false">
      <c r="A35" s="0" t="s">
        <v>103</v>
      </c>
      <c r="B35" s="3" t="n">
        <v>2</v>
      </c>
    </row>
    <row r="36" customFormat="false" ht="15" hidden="false" customHeight="false" outlineLevel="0" collapsed="false">
      <c r="A36" s="0" t="s">
        <v>104</v>
      </c>
      <c r="B36" s="3" t="n">
        <v>12</v>
      </c>
    </row>
    <row r="37" customFormat="false" ht="15" hidden="false" customHeight="false" outlineLevel="0" collapsed="false">
      <c r="A37" s="0" t="s">
        <v>105</v>
      </c>
      <c r="B37" s="3" t="n">
        <v>-25</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36</v>
      </c>
      <c r="D41" s="3" t="n">
        <v>20</v>
      </c>
      <c r="E41" s="3" t="n">
        <v>10</v>
      </c>
      <c r="F41" s="3" t="n">
        <v>2</v>
      </c>
      <c r="G41" s="3" t="n">
        <v>3</v>
      </c>
      <c r="H41" s="3" t="n">
        <v>3.5</v>
      </c>
      <c r="I41" s="3" t="n">
        <v>3.5</v>
      </c>
      <c r="J41" s="3" t="n">
        <v>3</v>
      </c>
      <c r="K41" s="3" t="n">
        <v>3</v>
      </c>
      <c r="L41" s="3" t="n">
        <v>2.5</v>
      </c>
    </row>
    <row r="42" customFormat="false" ht="15" hidden="false" customHeight="false" outlineLevel="0" collapsed="false">
      <c r="A42" s="0" t="s">
        <v>96</v>
      </c>
      <c r="C42" s="3" t="n">
        <v>23</v>
      </c>
      <c r="D42" s="3" t="n">
        <v>26</v>
      </c>
      <c r="E42" s="3" t="n">
        <v>25</v>
      </c>
      <c r="F42" s="3" t="n">
        <v>23</v>
      </c>
      <c r="G42" s="3" t="n">
        <v>21.5</v>
      </c>
      <c r="H42" s="3" t="n">
        <v>21</v>
      </c>
      <c r="I42" s="3" t="n">
        <v>21</v>
      </c>
      <c r="J42" s="3" t="n">
        <v>21</v>
      </c>
      <c r="K42" s="3" t="n">
        <v>21</v>
      </c>
      <c r="L42" s="3" t="n">
        <v>21</v>
      </c>
    </row>
    <row r="43" customFormat="false" ht="15" hidden="false" customHeight="false" outlineLevel="0" collapsed="false">
      <c r="A43" s="0" t="s">
        <v>97</v>
      </c>
      <c r="C43" s="3" t="n">
        <v>0.12</v>
      </c>
      <c r="D43" s="3" t="n">
        <v>0.12</v>
      </c>
      <c r="E43" s="3" t="n">
        <v>0.12</v>
      </c>
      <c r="F43" s="3" t="n">
        <v>0.12</v>
      </c>
      <c r="G43" s="3" t="n">
        <v>0.12</v>
      </c>
      <c r="H43" s="3" t="n">
        <v>0.12</v>
      </c>
      <c r="I43" s="3" t="n">
        <v>0.12</v>
      </c>
      <c r="J43" s="3" t="n">
        <v>0.12</v>
      </c>
      <c r="K43" s="3" t="n">
        <v>0.12</v>
      </c>
      <c r="L43" s="3" t="n">
        <v>0.12</v>
      </c>
    </row>
    <row r="44" customFormat="false" ht="15" hidden="false" customHeight="false" outlineLevel="0" collapsed="false">
      <c r="A44" s="0" t="s">
        <v>98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99</v>
      </c>
      <c r="C45" s="3" t="n">
        <v>5</v>
      </c>
      <c r="D45" s="3" t="n">
        <v>5</v>
      </c>
      <c r="E45" s="3" t="n">
        <v>5.4</v>
      </c>
      <c r="F45" s="3" t="n">
        <v>5.8</v>
      </c>
      <c r="G45" s="3" t="n">
        <v>6</v>
      </c>
      <c r="H45" s="3" t="n">
        <v>6</v>
      </c>
      <c r="I45" s="3" t="n">
        <v>6</v>
      </c>
      <c r="J45" s="3" t="n">
        <v>6</v>
      </c>
      <c r="K45" s="3" t="n">
        <v>6</v>
      </c>
      <c r="L45" s="3" t="n">
        <v>6</v>
      </c>
    </row>
    <row r="46" customFormat="false" ht="15" hidden="false" customHeight="false" outlineLevel="0" collapsed="false">
      <c r="A46" s="0" t="s">
        <v>100</v>
      </c>
      <c r="C46" s="3" t="n">
        <v>11</v>
      </c>
      <c r="D46" s="3" t="n">
        <v>10</v>
      </c>
      <c r="E46" s="3" t="n">
        <v>8.5</v>
      </c>
      <c r="F46" s="3" t="n">
        <v>7.5</v>
      </c>
      <c r="G46" s="3" t="n">
        <v>7</v>
      </c>
      <c r="H46" s="3" t="n">
        <v>6.8</v>
      </c>
      <c r="I46" s="3" t="n">
        <v>6.6</v>
      </c>
      <c r="J46" s="3" t="n">
        <v>6.5</v>
      </c>
      <c r="K46" s="3" t="n">
        <v>6.5</v>
      </c>
      <c r="L46" s="3" t="n">
        <v>6.5</v>
      </c>
    </row>
    <row r="47" customFormat="false" ht="15" hidden="false" customHeight="false" outlineLevel="0" collapsed="false">
      <c r="A47" s="0" t="s">
        <v>101</v>
      </c>
      <c r="C47" s="3" t="n">
        <v>18</v>
      </c>
      <c r="D47" s="3" t="n">
        <v>18</v>
      </c>
      <c r="E47" s="3" t="n">
        <v>19</v>
      </c>
      <c r="F47" s="3" t="n">
        <v>19</v>
      </c>
      <c r="G47" s="3" t="n">
        <v>20</v>
      </c>
      <c r="H47" s="3" t="n">
        <v>20</v>
      </c>
      <c r="I47" s="3" t="n">
        <v>20</v>
      </c>
      <c r="J47" s="3" t="n">
        <v>20</v>
      </c>
      <c r="K47" s="3" t="n">
        <v>20</v>
      </c>
      <c r="L47" s="3" t="n">
        <v>20</v>
      </c>
    </row>
    <row r="48" customFormat="false" ht="15" hidden="false" customHeight="false" outlineLevel="0" collapsed="false">
      <c r="A48" s="0" t="s">
        <v>102</v>
      </c>
      <c r="B48" s="3" t="n">
        <v>10.5</v>
      </c>
    </row>
    <row r="49" customFormat="false" ht="15" hidden="false" customHeight="false" outlineLevel="0" collapsed="false">
      <c r="A49" s="0" t="s">
        <v>103</v>
      </c>
      <c r="B49" s="3" t="n">
        <v>2.5</v>
      </c>
    </row>
    <row r="50" customFormat="false" ht="15" hidden="false" customHeight="false" outlineLevel="0" collapsed="false">
      <c r="A50" s="0" t="s">
        <v>104</v>
      </c>
      <c r="B50" s="3" t="n">
        <v>12</v>
      </c>
    </row>
    <row r="51" customFormat="false" ht="15" hidden="false" customHeight="false" outlineLevel="0" collapsed="false">
      <c r="A51" s="0" t="s">
        <v>105</v>
      </c>
      <c r="B51" s="3" t="n">
        <v>-25</v>
      </c>
    </row>
    <row r="52" customFormat="false" ht="15" hidden="false" customHeight="false" outlineLevel="0" collapsed="false">
      <c r="A52" s="0" t="s">
        <v>106</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32</v>
      </c>
      <c r="D5" s="4" t="n">
        <f aca="false">Assumptions!D13</f>
        <v>-2</v>
      </c>
      <c r="E5" s="4" t="n">
        <f aca="false">Assumptions!E13</f>
        <v>-10</v>
      </c>
      <c r="F5" s="4" t="n">
        <f aca="false">Assumptions!F13</f>
        <v>-5</v>
      </c>
      <c r="G5" s="4" t="n">
        <f aca="false">Assumptions!G13</f>
        <v>1</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36829.3</v>
      </c>
      <c r="C6" s="0" t="n">
        <f aca="false">B6*(1+C5/100)</f>
        <v>48614.676</v>
      </c>
      <c r="D6" s="0" t="n">
        <f aca="false">C6*(1+D5/100)</f>
        <v>47642.38248</v>
      </c>
      <c r="E6" s="0" t="n">
        <f aca="false">D6*(1+E5/100)</f>
        <v>42878.144232</v>
      </c>
      <c r="F6" s="0" t="n">
        <f aca="false">E6*(1+F5/100)</f>
        <v>40734.2370204</v>
      </c>
      <c r="G6" s="0" t="n">
        <f aca="false">F6*(1+G5/100)</f>
        <v>41141.579390604</v>
      </c>
      <c r="H6" s="0" t="n">
        <f aca="false">G6*(1+H5/100)</f>
        <v>41758.7030814631</v>
      </c>
      <c r="I6" s="0" t="n">
        <f aca="false">H6*(1+I5/100)</f>
        <v>42385.083627685</v>
      </c>
      <c r="J6" s="0" t="n">
        <f aca="false">I6*(1+J5/100)</f>
        <v>43020.8598821003</v>
      </c>
      <c r="K6" s="0" t="n">
        <f aca="false">J6*(1+K5/100)</f>
        <v>43666.1727803318</v>
      </c>
      <c r="L6" s="0" t="n">
        <f aca="false">K6*(1+L5/100)</f>
        <v>44321.1653720368</v>
      </c>
    </row>
    <row r="7" customFormat="false" ht="15" hidden="false" customHeight="false" outlineLevel="0" collapsed="false">
      <c r="A7" s="0" t="s">
        <v>96</v>
      </c>
      <c r="C7" s="4" t="n">
        <f aca="false">Assumptions!C14</f>
        <v>22</v>
      </c>
      <c r="D7" s="4" t="n">
        <f aca="false">Assumptions!D14</f>
        <v>19</v>
      </c>
      <c r="E7" s="4" t="n">
        <f aca="false">Assumptions!E14</f>
        <v>15.5</v>
      </c>
      <c r="F7" s="4" t="n">
        <f aca="false">Assumptions!F14</f>
        <v>14</v>
      </c>
      <c r="G7" s="4" t="n">
        <f aca="false">Assumptions!G14</f>
        <v>14</v>
      </c>
      <c r="H7" s="4" t="n">
        <f aca="false">Assumptions!H14</f>
        <v>14</v>
      </c>
      <c r="I7" s="4" t="n">
        <f aca="false">Assumptions!I14</f>
        <v>14</v>
      </c>
      <c r="J7" s="4" t="n">
        <f aca="false">Assumptions!J14</f>
        <v>14</v>
      </c>
      <c r="K7" s="4" t="n">
        <f aca="false">Assumptions!K14</f>
        <v>14</v>
      </c>
      <c r="L7" s="4" t="n">
        <f aca="false">Assumptions!L14</f>
        <v>14</v>
      </c>
    </row>
    <row r="8" customFormat="false" ht="15" hidden="false" customHeight="false" outlineLevel="0" collapsed="false">
      <c r="A8" s="0" t="s">
        <v>43</v>
      </c>
      <c r="C8" s="0" t="n">
        <f aca="false">C6*C7/100</f>
        <v>10695.22872</v>
      </c>
      <c r="D8" s="0" t="n">
        <f aca="false">D6*D7/100</f>
        <v>9052.0526712</v>
      </c>
      <c r="E8" s="0" t="n">
        <f aca="false">E6*E7/100</f>
        <v>6646.11235596</v>
      </c>
      <c r="F8" s="0" t="n">
        <f aca="false">F6*F7/100</f>
        <v>5702.793182856</v>
      </c>
      <c r="G8" s="0" t="n">
        <f aca="false">G6*G7/100</f>
        <v>5759.82111468456</v>
      </c>
      <c r="H8" s="0" t="n">
        <f aca="false">H6*H7/100</f>
        <v>5846.21843140483</v>
      </c>
      <c r="I8" s="0" t="n">
        <f aca="false">I6*I7/100</f>
        <v>5933.9117078759</v>
      </c>
      <c r="J8" s="0" t="n">
        <f aca="false">J6*J7/100</f>
        <v>6022.92038349404</v>
      </c>
      <c r="K8" s="0" t="n">
        <f aca="false">K6*K7/100</f>
        <v>6113.26418924645</v>
      </c>
      <c r="L8" s="0" t="n">
        <f aca="false">L6*L7/100</f>
        <v>6204.96315208514</v>
      </c>
    </row>
    <row r="9" customFormat="false" ht="15" hidden="false" customHeight="false" outlineLevel="0" collapsed="false">
      <c r="A9" s="0" t="s">
        <v>97</v>
      </c>
      <c r="C9" s="4" t="n">
        <f aca="false">Assumptions!C15</f>
        <v>0.12</v>
      </c>
      <c r="D9" s="4" t="n">
        <f aca="false">Assumptions!D15</f>
        <v>0.12</v>
      </c>
      <c r="E9" s="4" t="n">
        <f aca="false">Assumptions!E15</f>
        <v>0.12</v>
      </c>
      <c r="F9" s="4" t="n">
        <f aca="false">Assumptions!F15</f>
        <v>0.12</v>
      </c>
      <c r="G9" s="4" t="n">
        <f aca="false">Assumptions!G15</f>
        <v>0.12</v>
      </c>
      <c r="H9" s="4" t="n">
        <f aca="false">Assumptions!H15</f>
        <v>0.12</v>
      </c>
      <c r="I9" s="4" t="n">
        <f aca="false">Assumptions!I15</f>
        <v>0.12</v>
      </c>
      <c r="J9" s="4" t="n">
        <f aca="false">Assumptions!J15</f>
        <v>0.12</v>
      </c>
      <c r="K9" s="4" t="n">
        <f aca="false">Assumptions!K15</f>
        <v>0.12</v>
      </c>
      <c r="L9" s="4" t="n">
        <f aca="false">Assumptions!L15</f>
        <v>0.12</v>
      </c>
    </row>
    <row r="10" customFormat="false" ht="15" hidden="false" customHeight="false" outlineLevel="0" collapsed="false">
      <c r="A10" s="0" t="s">
        <v>112</v>
      </c>
      <c r="C10" s="0" t="n">
        <f aca="false">-C6*C9/100</f>
        <v>-58.3376112</v>
      </c>
      <c r="D10" s="0" t="n">
        <f aca="false">-D6*D9/100</f>
        <v>-57.170858976</v>
      </c>
      <c r="E10" s="0" t="n">
        <f aca="false">-E6*E9/100</f>
        <v>-51.4537730784</v>
      </c>
      <c r="F10" s="0" t="n">
        <f aca="false">-F6*F9/100</f>
        <v>-48.88108442448</v>
      </c>
      <c r="G10" s="0" t="n">
        <f aca="false">-G6*G9/100</f>
        <v>-49.3698952687248</v>
      </c>
      <c r="H10" s="0" t="n">
        <f aca="false">-H6*H9/100</f>
        <v>-50.1104436977557</v>
      </c>
      <c r="I10" s="0" t="n">
        <f aca="false">-I6*I9/100</f>
        <v>-50.862100353222</v>
      </c>
      <c r="J10" s="0" t="n">
        <f aca="false">-J6*J9/100</f>
        <v>-51.6250318585203</v>
      </c>
      <c r="K10" s="0" t="n">
        <f aca="false">-K6*K9/100</f>
        <v>-52.3994073363981</v>
      </c>
      <c r="L10" s="0" t="n">
        <f aca="false">-L6*L9/100</f>
        <v>-53.1853984464441</v>
      </c>
    </row>
    <row r="11" customFormat="false" ht="15" hidden="false" customHeight="false" outlineLevel="0" collapsed="false">
      <c r="A11" s="0" t="s">
        <v>113</v>
      </c>
      <c r="C11" s="0" t="n">
        <f aca="false">C8+C10+C24</f>
        <v>10636.8911088</v>
      </c>
      <c r="D11" s="0" t="n">
        <f aca="false">D8+D10+D24</f>
        <v>8994.881812224</v>
      </c>
      <c r="E11" s="0" t="n">
        <f aca="false">E8+E10+E24</f>
        <v>6594.6585828816</v>
      </c>
      <c r="F11" s="0" t="n">
        <f aca="false">F8+F10+F24</f>
        <v>5653.91209843152</v>
      </c>
      <c r="G11" s="0" t="n">
        <f aca="false">G8+G10+G24</f>
        <v>5710.45121941584</v>
      </c>
      <c r="H11" s="0" t="n">
        <f aca="false">H8+H10+H24</f>
        <v>5796.10798770707</v>
      </c>
      <c r="I11" s="0" t="n">
        <f aca="false">I8+I10+I24</f>
        <v>5883.04960752268</v>
      </c>
      <c r="J11" s="0" t="n">
        <f aca="false">J8+J10+J24</f>
        <v>5971.29535163552</v>
      </c>
      <c r="K11" s="0" t="n">
        <f aca="false">K8+K10+K24</f>
        <v>6060.86478191005</v>
      </c>
      <c r="L11" s="0" t="n">
        <f aca="false">L8+L10+L24</f>
        <v>6151.7777536387</v>
      </c>
    </row>
    <row r="12" customFormat="false" ht="15" hidden="false" customHeight="false" outlineLevel="0" collapsed="false">
      <c r="A12" s="0" t="s">
        <v>114</v>
      </c>
      <c r="C12" s="4" t="n">
        <f aca="false">-C6*Assumptions!C17/100</f>
        <v>-2430.7338</v>
      </c>
      <c r="D12" s="4" t="n">
        <f aca="false">-D6*Assumptions!D17/100</f>
        <v>-2667.97341888</v>
      </c>
      <c r="E12" s="4" t="n">
        <f aca="false">-E6*Assumptions!E17/100</f>
        <v>-2787.07937508</v>
      </c>
      <c r="F12" s="4" t="n">
        <f aca="false">-F6*Assumptions!F17/100</f>
        <v>-2851.396591428</v>
      </c>
      <c r="G12" s="4" t="n">
        <f aca="false">-G6*Assumptions!G17/100</f>
        <v>-2879.91055734228</v>
      </c>
      <c r="H12" s="4" t="n">
        <f aca="false">-H6*Assumptions!H17/100</f>
        <v>-2839.59180953949</v>
      </c>
      <c r="I12" s="4" t="n">
        <f aca="false">-I6*Assumptions!I17/100</f>
        <v>-2797.41551942721</v>
      </c>
      <c r="J12" s="4" t="n">
        <f aca="false">-J6*Assumptions!J17/100</f>
        <v>-2796.35589233652</v>
      </c>
      <c r="K12" s="4" t="n">
        <f aca="false">-K6*Assumptions!K17/100</f>
        <v>-2838.30123072157</v>
      </c>
      <c r="L12" s="4" t="n">
        <f aca="false">-L6*Assumptions!L17/100</f>
        <v>-2880.87574918239</v>
      </c>
    </row>
    <row r="13" customFormat="false" ht="15" hidden="false" customHeight="false" outlineLevel="0" collapsed="false">
      <c r="A13" s="0" t="s">
        <v>115</v>
      </c>
      <c r="C13" s="0" t="n">
        <f aca="false">C11+C12</f>
        <v>8206.1573088</v>
      </c>
      <c r="D13" s="0" t="n">
        <f aca="false">D11+D12</f>
        <v>6326.908393344</v>
      </c>
      <c r="E13" s="0" t="n">
        <f aca="false">E11+E12</f>
        <v>3807.5792078016</v>
      </c>
      <c r="F13" s="0" t="n">
        <f aca="false">F11+F12</f>
        <v>2802.51550700352</v>
      </c>
      <c r="G13" s="0" t="n">
        <f aca="false">G11+G12</f>
        <v>2830.54066207356</v>
      </c>
      <c r="H13" s="0" t="n">
        <f aca="false">H11+H12</f>
        <v>2956.51617816759</v>
      </c>
      <c r="I13" s="0" t="n">
        <f aca="false">I11+I12</f>
        <v>3085.63408809547</v>
      </c>
      <c r="J13" s="0" t="n">
        <f aca="false">J11+J12</f>
        <v>3174.939459299</v>
      </c>
      <c r="K13" s="0" t="n">
        <f aca="false">K11+K12</f>
        <v>3222.56355118848</v>
      </c>
      <c r="L13" s="0" t="n">
        <f aca="false">L11+L12</f>
        <v>3270.90200445631</v>
      </c>
    </row>
    <row r="14" customFormat="false" ht="15" hidden="false" customHeight="false" outlineLevel="0" collapsed="false">
      <c r="A14" s="0" t="s">
        <v>101</v>
      </c>
      <c r="C14" s="4" t="n">
        <f aca="false">Assumptions!C19</f>
        <v>18</v>
      </c>
      <c r="D14" s="4" t="n">
        <f aca="false">Assumptions!D19</f>
        <v>18</v>
      </c>
      <c r="E14" s="4" t="n">
        <f aca="false">Assumptions!E19</f>
        <v>19</v>
      </c>
      <c r="F14" s="4" t="n">
        <f aca="false">Assumptions!F19</f>
        <v>19</v>
      </c>
      <c r="G14" s="4" t="n">
        <f aca="false">Assumptions!G19</f>
        <v>20</v>
      </c>
      <c r="H14" s="4" t="n">
        <f aca="false">Assumptions!H19</f>
        <v>20</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116</v>
      </c>
      <c r="C15" s="0" t="n">
        <f aca="false">C13-MAX(0,C13)*C14/100</f>
        <v>6729.048993216</v>
      </c>
      <c r="D15" s="0" t="n">
        <f aca="false">D13-MAX(0,D13)*D14/100</f>
        <v>5188.06488254208</v>
      </c>
      <c r="E15" s="0" t="n">
        <f aca="false">E13-MAX(0,E13)*E14/100</f>
        <v>3084.1391583193</v>
      </c>
      <c r="F15" s="0" t="n">
        <f aca="false">F13-MAX(0,F13)*F14/100</f>
        <v>2270.03756067285</v>
      </c>
      <c r="G15" s="0" t="n">
        <f aca="false">G13-MAX(0,G13)*G14/100</f>
        <v>2264.43252965884</v>
      </c>
      <c r="H15" s="0" t="n">
        <f aca="false">H13-MAX(0,H13)*H14/100</f>
        <v>2365.21294253407</v>
      </c>
      <c r="I15" s="0" t="n">
        <f aca="false">I13-MAX(0,I13)*I14/100</f>
        <v>2468.50727047638</v>
      </c>
      <c r="J15" s="0" t="n">
        <f aca="false">J13-MAX(0,J13)*J14/100</f>
        <v>2539.9515674392</v>
      </c>
      <c r="K15" s="0" t="n">
        <f aca="false">K13-MAX(0,K13)*K14/100</f>
        <v>2578.05084095079</v>
      </c>
      <c r="L15" s="0" t="n">
        <f aca="false">L13-MAX(0,L13)*L14/100</f>
        <v>2616.72160356505</v>
      </c>
    </row>
    <row r="16" customFormat="false" ht="15" hidden="false" customHeight="false" outlineLevel="0" collapsed="false">
      <c r="A16" s="0" t="s">
        <v>117</v>
      </c>
      <c r="C16" s="0" t="n">
        <f aca="false">-C12</f>
        <v>2430.7338</v>
      </c>
      <c r="D16" s="0" t="n">
        <f aca="false">-D12</f>
        <v>2667.97341888</v>
      </c>
      <c r="E16" s="0" t="n">
        <f aca="false">-E12</f>
        <v>2787.07937508</v>
      </c>
      <c r="F16" s="0" t="n">
        <f aca="false">-F12</f>
        <v>2851.396591428</v>
      </c>
      <c r="G16" s="0" t="n">
        <f aca="false">-G12</f>
        <v>2879.91055734228</v>
      </c>
      <c r="H16" s="0" t="n">
        <f aca="false">-H12</f>
        <v>2839.59180953949</v>
      </c>
      <c r="I16" s="0" t="n">
        <f aca="false">-I12</f>
        <v>2797.41551942721</v>
      </c>
      <c r="J16" s="0" t="n">
        <f aca="false">-J12</f>
        <v>2796.35589233652</v>
      </c>
      <c r="K16" s="0" t="n">
        <f aca="false">-K12</f>
        <v>2838.30123072157</v>
      </c>
      <c r="L16" s="0" t="n">
        <f aca="false">-L12</f>
        <v>2880.87574918239</v>
      </c>
    </row>
    <row r="17" customFormat="false" ht="15" hidden="false" customHeight="false" outlineLevel="0" collapsed="false">
      <c r="A17" s="0" t="s">
        <v>118</v>
      </c>
      <c r="C17" s="4" t="n">
        <f aca="false">-C6*Assumptions!C18/100</f>
        <v>-5347.61436</v>
      </c>
      <c r="D17" s="4" t="n">
        <f aca="false">-D6*Assumptions!D18/100</f>
        <v>-5002.4501604</v>
      </c>
      <c r="E17" s="4" t="n">
        <f aca="false">-E6*Assumptions!E18/100</f>
        <v>-3430.25153856</v>
      </c>
      <c r="F17" s="4" t="n">
        <f aca="false">-F6*Assumptions!F18/100</f>
        <v>-2647.725406326</v>
      </c>
      <c r="G17" s="4" t="n">
        <f aca="false">-G6*Assumptions!G18/100</f>
        <v>-2674.20266038926</v>
      </c>
      <c r="H17" s="4" t="n">
        <f aca="false">-H6*Assumptions!H18/100</f>
        <v>-2714.3157002951</v>
      </c>
      <c r="I17" s="4" t="n">
        <f aca="false">-I6*Assumptions!I18/100</f>
        <v>-2755.03043579953</v>
      </c>
      <c r="J17" s="4" t="n">
        <f aca="false">-J6*Assumptions!J18/100</f>
        <v>-2796.35589233652</v>
      </c>
      <c r="K17" s="4" t="n">
        <f aca="false">-K6*Assumptions!K18/100</f>
        <v>-2838.30123072157</v>
      </c>
      <c r="L17" s="4" t="n">
        <f aca="false">-L6*Assumptions!L18/100</f>
        <v>-2880.87574918239</v>
      </c>
    </row>
    <row r="18" customFormat="false" ht="15" hidden="false" customHeight="false" outlineLevel="0" collapsed="false">
      <c r="A18" s="0" t="s">
        <v>119</v>
      </c>
      <c r="C18" s="4" t="n">
        <f aca="false">(C6-B6)*Assumptions!$B$23/100</f>
        <v>-2946.344</v>
      </c>
      <c r="D18" s="4" t="n">
        <f aca="false">(D6-C6)*Assumptions!$B$23/100</f>
        <v>243.07338</v>
      </c>
      <c r="E18" s="4" t="n">
        <f aca="false">(E6-D6)*Assumptions!$B$23/100</f>
        <v>1191.059562</v>
      </c>
      <c r="F18" s="4" t="n">
        <f aca="false">(F6-E6)*Assumptions!$B$23/100</f>
        <v>535.976802900001</v>
      </c>
      <c r="G18" s="4" t="n">
        <f aca="false">(G6-F6)*Assumptions!$B$23/100</f>
        <v>-101.835592551</v>
      </c>
      <c r="H18" s="4" t="n">
        <f aca="false">(H6-G6)*Assumptions!$B$23/100</f>
        <v>-154.280922714765</v>
      </c>
      <c r="I18" s="4" t="n">
        <f aca="false">(I6-H6)*Assumptions!$B$23/100</f>
        <v>-156.595136555485</v>
      </c>
      <c r="J18" s="4" t="n">
        <f aca="false">(J6-I6)*Assumptions!$B$23/100</f>
        <v>-158.944063603818</v>
      </c>
      <c r="K18" s="4" t="n">
        <f aca="false">(K6-J6)*Assumptions!$B$23/100</f>
        <v>-161.328224557876</v>
      </c>
      <c r="L18" s="4" t="n">
        <f aca="false">(L6-K6)*Assumptions!$B$23/100</f>
        <v>-163.748147926242</v>
      </c>
    </row>
    <row r="19" customFormat="false" ht="15" hidden="false" customHeight="false" outlineLevel="0" collapsed="false">
      <c r="A19" s="0" t="s">
        <v>120</v>
      </c>
      <c r="C19" s="0" t="n">
        <f aca="false">C15+C16+C17+C18</f>
        <v>865.824433215999</v>
      </c>
      <c r="D19" s="0" t="n">
        <f aca="false">D15+D16+D17+D18</f>
        <v>3096.66152102208</v>
      </c>
      <c r="E19" s="0" t="n">
        <f aca="false">E15+E16+E17+E18</f>
        <v>3632.0265568393</v>
      </c>
      <c r="F19" s="0" t="n">
        <f aca="false">F15+F16+F17+F18</f>
        <v>3009.68554867485</v>
      </c>
      <c r="G19" s="0" t="n">
        <f aca="false">G15+G16+G17+G18</f>
        <v>2368.30483406086</v>
      </c>
      <c r="H19" s="0" t="n">
        <f aca="false">H15+H16+H17+H18</f>
        <v>2336.20812906369</v>
      </c>
      <c r="I19" s="0" t="n">
        <f aca="false">I15+I16+I17+I18</f>
        <v>2354.29721754858</v>
      </c>
      <c r="J19" s="0" t="n">
        <f aca="false">J15+J16+J17+J18</f>
        <v>2381.00750383538</v>
      </c>
      <c r="K19" s="0" t="n">
        <f aca="false">K15+K16+K17+K18</f>
        <v>2416.72261639291</v>
      </c>
      <c r="L19" s="0" t="n">
        <f aca="false">L15+L16+L17+L18</f>
        <v>2452.97345563881</v>
      </c>
    </row>
    <row r="20" customFormat="false" ht="15" hidden="false" customHeight="false" outlineLevel="0" collapsed="false">
      <c r="A20" s="0" t="s">
        <v>121</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122</v>
      </c>
      <c r="C21" s="0" t="n">
        <f aca="false">C19*C20</f>
        <v>783.551523272398</v>
      </c>
      <c r="D21" s="0" t="n">
        <f aca="false">D19*D20</f>
        <v>2536.11639485029</v>
      </c>
      <c r="E21" s="0" t="n">
        <f aca="false">E19*E20</f>
        <v>2691.92019933501</v>
      </c>
      <c r="F21" s="0" t="n">
        <f aca="false">F19*F20</f>
        <v>2018.7010591428</v>
      </c>
      <c r="G21" s="0" t="n">
        <f aca="false">G19*G20</f>
        <v>1437.56076555752</v>
      </c>
      <c r="H21" s="0" t="n">
        <f aca="false">H19*H20</f>
        <v>1283.32856947155</v>
      </c>
      <c r="I21" s="0" t="n">
        <f aca="false">I19*I20</f>
        <v>1170.37582680446</v>
      </c>
      <c r="J21" s="0" t="n">
        <f aca="false">J19*J20</f>
        <v>1071.1802085792</v>
      </c>
      <c r="K21" s="0" t="n">
        <f aca="false">K19*K20</f>
        <v>983.934761726591</v>
      </c>
      <c r="L21" s="0" t="n">
        <f aca="false">L19*L20</f>
        <v>903.795278871032</v>
      </c>
    </row>
    <row r="23" customFormat="false" ht="15" hidden="false" customHeight="false" outlineLevel="0" collapsed="false">
      <c r="A23" s="0" t="s">
        <v>98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Assumptions!$B$20</f>
        <v>10.5</v>
      </c>
    </row>
    <row r="28" customFormat="false" ht="15" hidden="false" customHeight="false" outlineLevel="0" collapsed="false">
      <c r="A28" s="0" t="s">
        <v>103</v>
      </c>
      <c r="B28" s="4" t="n">
        <f aca="false">Assumptions!$B$21</f>
        <v>1.5</v>
      </c>
    </row>
    <row r="29" customFormat="false" ht="15" hidden="false" customHeight="false" outlineLevel="0" collapsed="false">
      <c r="A29" s="0" t="s">
        <v>104</v>
      </c>
      <c r="B29" s="4" t="n">
        <f aca="false">Assumptions!$B$22</f>
        <v>12</v>
      </c>
    </row>
    <row r="30" customFormat="false" ht="15" hidden="false" customHeight="false" outlineLevel="0" collapsed="false">
      <c r="A30" s="0" t="s">
        <v>125</v>
      </c>
      <c r="B30" s="0" t="n">
        <f aca="false">SUM(C21:L21)</f>
        <v>14880.4645876108</v>
      </c>
    </row>
    <row r="31" customFormat="false" ht="15" hidden="false" customHeight="false" outlineLevel="0" collapsed="false">
      <c r="A31" s="0" t="s">
        <v>126</v>
      </c>
      <c r="B31" s="0" t="n">
        <f aca="false">L19</f>
        <v>2452.97345563881</v>
      </c>
    </row>
    <row r="32" customFormat="false" ht="15" hidden="false" customHeight="false" outlineLevel="0" collapsed="false">
      <c r="A32" s="0" t="s">
        <v>127</v>
      </c>
      <c r="B32" s="0" t="n">
        <f aca="false">IF(B27&gt;B28,B31*(1+B28/100)/((B27-B28)/100),B31*B29)</f>
        <v>27664.0895274821</v>
      </c>
    </row>
    <row r="33" customFormat="false" ht="15" hidden="false" customHeight="false" outlineLevel="0" collapsed="false">
      <c r="A33" s="0" t="s">
        <v>128</v>
      </c>
      <c r="B33" s="0" t="n">
        <f aca="false">B31*B29</f>
        <v>29435.6814676657</v>
      </c>
    </row>
    <row r="34" customFormat="false" ht="15" hidden="false" customHeight="false" outlineLevel="0" collapsed="false">
      <c r="A34" s="0" t="s">
        <v>129</v>
      </c>
      <c r="B34" s="0" t="n">
        <f aca="false">MAX(0,MIN(B32,B33))</f>
        <v>27664.0895274821</v>
      </c>
    </row>
    <row r="35" customFormat="false" ht="15" hidden="false" customHeight="false" outlineLevel="0" collapsed="false">
      <c r="A35" s="0" t="s">
        <v>130</v>
      </c>
      <c r="B35" s="0" t="n">
        <f aca="false">B34/(1+B27/100)^L4</f>
        <v>10192.8023117122</v>
      </c>
    </row>
    <row r="36" customFormat="false" ht="15" hidden="false" customHeight="false" outlineLevel="0" collapsed="false">
      <c r="A36" s="0" t="s">
        <v>131</v>
      </c>
      <c r="B36" s="0" t="n">
        <f aca="false">B30+B35</f>
        <v>25073.266899323</v>
      </c>
    </row>
    <row r="37" customFormat="false" ht="15" hidden="false" customHeight="false" outlineLevel="0" collapsed="false">
      <c r="A37" s="0" t="s">
        <v>132</v>
      </c>
      <c r="B37" s="0" t="n">
        <f aca="false">B36+Assumptions!$B$5-Assumptions!$B$4</f>
        <v>55542.9668993231</v>
      </c>
    </row>
    <row r="38" customFormat="false" ht="15" hidden="false" customHeight="false" outlineLevel="0" collapsed="false">
      <c r="A38" s="0" t="s">
        <v>133</v>
      </c>
      <c r="B38" s="0" t="n">
        <f aca="false">B37/Assumptions!$B$3*Assumptions!$B$10</f>
        <v>48.7321601910254</v>
      </c>
    </row>
    <row r="39" customFormat="false" ht="15" hidden="false" customHeight="false" outlineLevel="0" collapsed="false">
      <c r="A39" s="0" t="s">
        <v>134</v>
      </c>
      <c r="B39" s="4" t="n">
        <f aca="false">B38/Assumptions!$B$2-1</f>
        <v>-0.125095867306547</v>
      </c>
    </row>
    <row r="41" customFormat="false" ht="15" hidden="false" customHeight="false" outlineLevel="0" collapsed="false">
      <c r="A41" s="0" t="s">
        <v>135</v>
      </c>
      <c r="B41" s="0" t="n">
        <f aca="false">SUMPRODUCT(-C10:L10/(1+$B$27/100)^C4:L4)</f>
        <v>317.472176458916</v>
      </c>
    </row>
    <row r="42" customFormat="false" ht="15" hidden="false" customHeight="false" outlineLevel="0" collapsed="false">
      <c r="A42" s="0" t="s">
        <v>136</v>
      </c>
      <c r="B42" s="0" t="n">
        <f aca="false">IF(B27&gt;B28,-L10*(1+B28/100)/((B27-B28)/100),-L10*20)/(1+B27/100)^L4</f>
        <v>221.000455992734</v>
      </c>
    </row>
    <row r="43" customFormat="false" ht="15" hidden="false" customHeight="false" outlineLevel="0" collapsed="false">
      <c r="A43" s="0" t="s">
        <v>137</v>
      </c>
      <c r="B43" s="0" t="n">
        <f aca="false">(B37+B41+B42)/Assumptions!$B$3*Assumptions!$B$10</f>
        <v>49.2046040673253</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18442.7263516547</v>
      </c>
    </row>
    <row r="47" customFormat="false" ht="15" hidden="false" customHeight="false" outlineLevel="0" collapsed="false">
      <c r="A47" s="0" t="s">
        <v>139</v>
      </c>
      <c r="B47" s="0" t="n">
        <f aca="false">(SUMPRODUCT(C19:L19/(1+B45/100)^C4:L4)+B46/(1+B45/100)^L4+Assumptions!$B$5-Assumptions!$B$4)/Assumptions!$B$3*Assumptions!$B$10</f>
        <v>41.5666481875308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34</v>
      </c>
      <c r="D5" s="4" t="n">
        <f aca="false">Assumptions!D27</f>
        <v>12</v>
      </c>
      <c r="E5" s="4" t="n">
        <f aca="false">Assumptions!E27</f>
        <v>3</v>
      </c>
      <c r="F5" s="4" t="n">
        <f aca="false">Assumptions!F27</f>
        <v>-6</v>
      </c>
      <c r="G5" s="4" t="n">
        <f aca="false">Assumptions!G27</f>
        <v>1.5</v>
      </c>
      <c r="H5" s="4" t="n">
        <f aca="false">Assumptions!H27</f>
        <v>2</v>
      </c>
      <c r="I5" s="4" t="n">
        <f aca="false">Assumptions!I27</f>
        <v>2</v>
      </c>
      <c r="J5" s="4" t="n">
        <f aca="false">Assumptions!J27</f>
        <v>2</v>
      </c>
      <c r="K5" s="4" t="n">
        <f aca="false">Assumptions!K27</f>
        <v>2</v>
      </c>
      <c r="L5" s="4" t="n">
        <f aca="false">Assumptions!L27</f>
        <v>2</v>
      </c>
    </row>
    <row r="6" customFormat="false" ht="15" hidden="false" customHeight="false" outlineLevel="0" collapsed="false">
      <c r="A6" s="0" t="s">
        <v>37</v>
      </c>
      <c r="B6" s="3" t="n">
        <v>36829.3</v>
      </c>
      <c r="C6" s="0" t="n">
        <f aca="false">B6*(1+C5/100)</f>
        <v>49351.262</v>
      </c>
      <c r="D6" s="0" t="n">
        <f aca="false">C6*(1+D5/100)</f>
        <v>55273.41344</v>
      </c>
      <c r="E6" s="0" t="n">
        <f aca="false">D6*(1+E5/100)</f>
        <v>56931.6158432</v>
      </c>
      <c r="F6" s="0" t="n">
        <f aca="false">E6*(1+F5/100)</f>
        <v>53515.718892608</v>
      </c>
      <c r="G6" s="0" t="n">
        <f aca="false">F6*(1+G5/100)</f>
        <v>54318.4546759971</v>
      </c>
      <c r="H6" s="0" t="n">
        <f aca="false">G6*(1+H5/100)</f>
        <v>55404.8237695171</v>
      </c>
      <c r="I6" s="0" t="n">
        <f aca="false">H6*(1+I5/100)</f>
        <v>56512.9202449074</v>
      </c>
      <c r="J6" s="0" t="n">
        <f aca="false">I6*(1+J5/100)</f>
        <v>57643.1786498056</v>
      </c>
      <c r="K6" s="0" t="n">
        <f aca="false">J6*(1+K5/100)</f>
        <v>58796.0422228017</v>
      </c>
      <c r="L6" s="0" t="n">
        <f aca="false">K6*(1+L5/100)</f>
        <v>59971.9630672577</v>
      </c>
    </row>
    <row r="7" customFormat="false" ht="15" hidden="false" customHeight="false" outlineLevel="0" collapsed="false">
      <c r="A7" s="0" t="s">
        <v>96</v>
      </c>
      <c r="C7" s="4" t="n">
        <f aca="false">Assumptions!C28</f>
        <v>22.7</v>
      </c>
      <c r="D7" s="4" t="n">
        <f aca="false">Assumptions!D28</f>
        <v>23.5</v>
      </c>
      <c r="E7" s="4" t="n">
        <f aca="false">Assumptions!E28</f>
        <v>21.5</v>
      </c>
      <c r="F7" s="4" t="n">
        <f aca="false">Assumptions!F28</f>
        <v>18.5</v>
      </c>
      <c r="G7" s="4" t="n">
        <f aca="false">Assumptions!G28</f>
        <v>17.5</v>
      </c>
      <c r="H7" s="4" t="n">
        <f aca="false">Assumptions!H28</f>
        <v>17.5</v>
      </c>
      <c r="I7" s="4" t="n">
        <f aca="false">Assumptions!I28</f>
        <v>17.5</v>
      </c>
      <c r="J7" s="4" t="n">
        <f aca="false">Assumptions!J28</f>
        <v>17.5</v>
      </c>
      <c r="K7" s="4" t="n">
        <f aca="false">Assumptions!K28</f>
        <v>17.5</v>
      </c>
      <c r="L7" s="4" t="n">
        <f aca="false">Assumptions!L28</f>
        <v>17.5</v>
      </c>
    </row>
    <row r="8" customFormat="false" ht="15" hidden="false" customHeight="false" outlineLevel="0" collapsed="false">
      <c r="A8" s="0" t="s">
        <v>43</v>
      </c>
      <c r="C8" s="0" t="n">
        <f aca="false">C6*C7/100</f>
        <v>11202.736474</v>
      </c>
      <c r="D8" s="0" t="n">
        <f aca="false">D6*D7/100</f>
        <v>12989.2521584</v>
      </c>
      <c r="E8" s="0" t="n">
        <f aca="false">E6*E7/100</f>
        <v>12240.297406288</v>
      </c>
      <c r="F8" s="0" t="n">
        <f aca="false">F6*F7/100</f>
        <v>9900.40799513248</v>
      </c>
      <c r="G8" s="0" t="n">
        <f aca="false">G6*G7/100</f>
        <v>9505.7295682995</v>
      </c>
      <c r="H8" s="0" t="n">
        <f aca="false">H6*H7/100</f>
        <v>9695.84415966549</v>
      </c>
      <c r="I8" s="0" t="n">
        <f aca="false">I6*I7/100</f>
        <v>9889.7610428588</v>
      </c>
      <c r="J8" s="0" t="n">
        <f aca="false">J6*J7/100</f>
        <v>10087.556263716</v>
      </c>
      <c r="K8" s="0" t="n">
        <f aca="false">K6*K7/100</f>
        <v>10289.3073889903</v>
      </c>
      <c r="L8" s="0" t="n">
        <f aca="false">L6*L7/100</f>
        <v>10495.0935367701</v>
      </c>
    </row>
    <row r="9" customFormat="false" ht="15" hidden="false" customHeight="false" outlineLevel="0" collapsed="false">
      <c r="A9" s="0" t="s">
        <v>97</v>
      </c>
      <c r="C9" s="4" t="n">
        <f aca="false">Assumptions!C29</f>
        <v>0.12</v>
      </c>
      <c r="D9" s="4" t="n">
        <f aca="false">Assumptions!D29</f>
        <v>0.12</v>
      </c>
      <c r="E9" s="4" t="n">
        <f aca="false">Assumptions!E29</f>
        <v>0.12</v>
      </c>
      <c r="F9" s="4" t="n">
        <f aca="false">Assumptions!F29</f>
        <v>0.12</v>
      </c>
      <c r="G9" s="4" t="n">
        <f aca="false">Assumptions!G29</f>
        <v>0.12</v>
      </c>
      <c r="H9" s="4" t="n">
        <f aca="false">Assumptions!H29</f>
        <v>0.12</v>
      </c>
      <c r="I9" s="4" t="n">
        <f aca="false">Assumptions!I29</f>
        <v>0.12</v>
      </c>
      <c r="J9" s="4" t="n">
        <f aca="false">Assumptions!J29</f>
        <v>0.12</v>
      </c>
      <c r="K9" s="4" t="n">
        <f aca="false">Assumptions!K29</f>
        <v>0.12</v>
      </c>
      <c r="L9" s="4" t="n">
        <f aca="false">Assumptions!L29</f>
        <v>0.12</v>
      </c>
    </row>
    <row r="10" customFormat="false" ht="15" hidden="false" customHeight="false" outlineLevel="0" collapsed="false">
      <c r="A10" s="0" t="s">
        <v>112</v>
      </c>
      <c r="C10" s="0" t="n">
        <f aca="false">-C6*C9/100</f>
        <v>-59.2215144</v>
      </c>
      <c r="D10" s="0" t="n">
        <f aca="false">-D6*D9/100</f>
        <v>-66.328096128</v>
      </c>
      <c r="E10" s="0" t="n">
        <f aca="false">-E6*E9/100</f>
        <v>-68.31793901184</v>
      </c>
      <c r="F10" s="0" t="n">
        <f aca="false">-F6*F9/100</f>
        <v>-64.2188626711296</v>
      </c>
      <c r="G10" s="0" t="n">
        <f aca="false">-G6*G9/100</f>
        <v>-65.1821456111966</v>
      </c>
      <c r="H10" s="0" t="n">
        <f aca="false">-H6*H9/100</f>
        <v>-66.4857885234205</v>
      </c>
      <c r="I10" s="0" t="n">
        <f aca="false">-I6*I9/100</f>
        <v>-67.8155042938889</v>
      </c>
      <c r="J10" s="0" t="n">
        <f aca="false">-J6*J9/100</f>
        <v>-69.1718143797667</v>
      </c>
      <c r="K10" s="0" t="n">
        <f aca="false">-K6*K9/100</f>
        <v>-70.555250667362</v>
      </c>
      <c r="L10" s="0" t="n">
        <f aca="false">-L6*L9/100</f>
        <v>-71.9663556807092</v>
      </c>
    </row>
    <row r="11" customFormat="false" ht="15" hidden="false" customHeight="false" outlineLevel="0" collapsed="false">
      <c r="A11" s="0" t="s">
        <v>113</v>
      </c>
      <c r="C11" s="0" t="n">
        <f aca="false">C8+C10+C24</f>
        <v>11143.5149596</v>
      </c>
      <c r="D11" s="0" t="n">
        <f aca="false">D8+D10+D24</f>
        <v>12922.924062272</v>
      </c>
      <c r="E11" s="0" t="n">
        <f aca="false">E8+E10+E24</f>
        <v>12171.9794672762</v>
      </c>
      <c r="F11" s="0" t="n">
        <f aca="false">F8+F10+F24</f>
        <v>9836.18913246135</v>
      </c>
      <c r="G11" s="0" t="n">
        <f aca="false">G8+G10+G24</f>
        <v>9440.5474226883</v>
      </c>
      <c r="H11" s="0" t="n">
        <f aca="false">H8+H10+H24</f>
        <v>9629.35837114207</v>
      </c>
      <c r="I11" s="0" t="n">
        <f aca="false">I8+I10+I24</f>
        <v>9821.94553856491</v>
      </c>
      <c r="J11" s="0" t="n">
        <f aca="false">J8+J10+J24</f>
        <v>10018.3844493362</v>
      </c>
      <c r="K11" s="0" t="n">
        <f aca="false">K8+K10+K24</f>
        <v>10218.7521383229</v>
      </c>
      <c r="L11" s="0" t="n">
        <f aca="false">L8+L10+L24</f>
        <v>10423.1271810894</v>
      </c>
    </row>
    <row r="12" customFormat="false" ht="15" hidden="false" customHeight="false" outlineLevel="0" collapsed="false">
      <c r="A12" s="0" t="s">
        <v>114</v>
      </c>
      <c r="C12" s="4" t="n">
        <f aca="false">-C6*Assumptions!C31/100</f>
        <v>-2467.5631</v>
      </c>
      <c r="D12" s="4" t="n">
        <f aca="false">-D6*Assumptions!D31/100</f>
        <v>-2929.49091232</v>
      </c>
      <c r="E12" s="4" t="n">
        <f aca="false">-E6*Assumptions!E31/100</f>
        <v>-3302.0337189056</v>
      </c>
      <c r="F12" s="4" t="n">
        <f aca="false">-F6*Assumptions!F31/100</f>
        <v>-3371.49029023431</v>
      </c>
      <c r="G12" s="4" t="n">
        <f aca="false">-G6*Assumptions!G31/100</f>
        <v>-3422.06264458782</v>
      </c>
      <c r="H12" s="4" t="n">
        <f aca="false">-H6*Assumptions!H31/100</f>
        <v>-3435.09907371006</v>
      </c>
      <c r="I12" s="4" t="n">
        <f aca="false">-I6*Assumptions!I31/100</f>
        <v>-3447.28813493935</v>
      </c>
      <c r="J12" s="4" t="n">
        <f aca="false">-J6*Assumptions!J31/100</f>
        <v>-3458.59071898833</v>
      </c>
      <c r="K12" s="4" t="n">
        <f aca="false">-K6*Assumptions!K31/100</f>
        <v>-3527.7625333681</v>
      </c>
      <c r="L12" s="4" t="n">
        <f aca="false">-L6*Assumptions!L31/100</f>
        <v>-3598.31778403546</v>
      </c>
    </row>
    <row r="13" customFormat="false" ht="15" hidden="false" customHeight="false" outlineLevel="0" collapsed="false">
      <c r="A13" s="0" t="s">
        <v>115</v>
      </c>
      <c r="C13" s="0" t="n">
        <f aca="false">C11+C12</f>
        <v>8675.9518596</v>
      </c>
      <c r="D13" s="0" t="n">
        <f aca="false">D11+D12</f>
        <v>9993.433149952</v>
      </c>
      <c r="E13" s="0" t="n">
        <f aca="false">E11+E12</f>
        <v>8869.94574837057</v>
      </c>
      <c r="F13" s="0" t="n">
        <f aca="false">F11+F12</f>
        <v>6464.69884222705</v>
      </c>
      <c r="G13" s="0" t="n">
        <f aca="false">G11+G12</f>
        <v>6018.48477810049</v>
      </c>
      <c r="H13" s="0" t="n">
        <f aca="false">H11+H12</f>
        <v>6194.25929743201</v>
      </c>
      <c r="I13" s="0" t="n">
        <f aca="false">I11+I12</f>
        <v>6374.65740362556</v>
      </c>
      <c r="J13" s="0" t="n">
        <f aca="false">J11+J12</f>
        <v>6559.79373034788</v>
      </c>
      <c r="K13" s="0" t="n">
        <f aca="false">K11+K12</f>
        <v>6690.98960495483</v>
      </c>
      <c r="L13" s="0" t="n">
        <f aca="false">L11+L12</f>
        <v>6824.80939705393</v>
      </c>
    </row>
    <row r="14" customFormat="false" ht="15" hidden="false" customHeight="false" outlineLevel="0" collapsed="false">
      <c r="A14" s="0" t="s">
        <v>101</v>
      </c>
      <c r="C14" s="4" t="n">
        <f aca="false">Assumptions!C33</f>
        <v>18</v>
      </c>
      <c r="D14" s="4" t="n">
        <f aca="false">Assumptions!D33</f>
        <v>18</v>
      </c>
      <c r="E14" s="4" t="n">
        <f aca="false">Assumptions!E33</f>
        <v>19</v>
      </c>
      <c r="F14" s="4" t="n">
        <f aca="false">Assumptions!F33</f>
        <v>19</v>
      </c>
      <c r="G14" s="4" t="n">
        <f aca="false">Assumptions!G33</f>
        <v>20</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116</v>
      </c>
      <c r="C15" s="0" t="n">
        <f aca="false">C13-MAX(0,C13)*C14/100</f>
        <v>7114.280524872</v>
      </c>
      <c r="D15" s="0" t="n">
        <f aca="false">D13-MAX(0,D13)*D14/100</f>
        <v>8194.61518296064</v>
      </c>
      <c r="E15" s="0" t="n">
        <f aca="false">E13-MAX(0,E13)*E14/100</f>
        <v>7184.65605618016</v>
      </c>
      <c r="F15" s="0" t="n">
        <f aca="false">F13-MAX(0,F13)*F14/100</f>
        <v>5236.40606220391</v>
      </c>
      <c r="G15" s="0" t="n">
        <f aca="false">G13-MAX(0,G13)*G14/100</f>
        <v>4814.78782248039</v>
      </c>
      <c r="H15" s="0" t="n">
        <f aca="false">H13-MAX(0,H13)*H14/100</f>
        <v>4955.40743794561</v>
      </c>
      <c r="I15" s="0" t="n">
        <f aca="false">I13-MAX(0,I13)*I14/100</f>
        <v>5099.72592290045</v>
      </c>
      <c r="J15" s="0" t="n">
        <f aca="false">J13-MAX(0,J13)*J14/100</f>
        <v>5247.8349842783</v>
      </c>
      <c r="K15" s="0" t="n">
        <f aca="false">K13-MAX(0,K13)*K14/100</f>
        <v>5352.79168396387</v>
      </c>
      <c r="L15" s="0" t="n">
        <f aca="false">L13-MAX(0,L13)*L14/100</f>
        <v>5459.84751764314</v>
      </c>
    </row>
    <row r="16" customFormat="false" ht="15" hidden="false" customHeight="false" outlineLevel="0" collapsed="false">
      <c r="A16" s="0" t="s">
        <v>117</v>
      </c>
      <c r="C16" s="0" t="n">
        <f aca="false">-C12</f>
        <v>2467.5631</v>
      </c>
      <c r="D16" s="0" t="n">
        <f aca="false">-D12</f>
        <v>2929.49091232</v>
      </c>
      <c r="E16" s="0" t="n">
        <f aca="false">-E12</f>
        <v>3302.0337189056</v>
      </c>
      <c r="F16" s="0" t="n">
        <f aca="false">-F12</f>
        <v>3371.49029023431</v>
      </c>
      <c r="G16" s="0" t="n">
        <f aca="false">-G12</f>
        <v>3422.06264458782</v>
      </c>
      <c r="H16" s="0" t="n">
        <f aca="false">-H12</f>
        <v>3435.09907371006</v>
      </c>
      <c r="I16" s="0" t="n">
        <f aca="false">-I12</f>
        <v>3447.28813493935</v>
      </c>
      <c r="J16" s="0" t="n">
        <f aca="false">-J12</f>
        <v>3458.59071898833</v>
      </c>
      <c r="K16" s="0" t="n">
        <f aca="false">-K12</f>
        <v>3527.7625333681</v>
      </c>
      <c r="L16" s="0" t="n">
        <f aca="false">-L12</f>
        <v>3598.31778403546</v>
      </c>
    </row>
    <row r="17" customFormat="false" ht="15" hidden="false" customHeight="false" outlineLevel="0" collapsed="false">
      <c r="A17" s="0" t="s">
        <v>118</v>
      </c>
      <c r="C17" s="4" t="n">
        <f aca="false">-C6*Assumptions!C32/100</f>
        <v>-5428.63882</v>
      </c>
      <c r="D17" s="4" t="n">
        <f aca="false">-D6*Assumptions!D32/100</f>
        <v>-5527.341344</v>
      </c>
      <c r="E17" s="4" t="n">
        <f aca="false">-E6*Assumptions!E32/100</f>
        <v>-4839.187346672</v>
      </c>
      <c r="F17" s="4" t="n">
        <f aca="false">-F6*Assumptions!F32/100</f>
        <v>-3746.10032248256</v>
      </c>
      <c r="G17" s="4" t="n">
        <f aca="false">-G6*Assumptions!G32/100</f>
        <v>-3693.65491796781</v>
      </c>
      <c r="H17" s="4" t="n">
        <f aca="false">-H6*Assumptions!H32/100</f>
        <v>-3656.71836878813</v>
      </c>
      <c r="I17" s="4" t="n">
        <f aca="false">-I6*Assumptions!I32/100</f>
        <v>-3673.33981591898</v>
      </c>
      <c r="J17" s="4" t="n">
        <f aca="false">-J6*Assumptions!J32/100</f>
        <v>-3746.80661223736</v>
      </c>
      <c r="K17" s="4" t="n">
        <f aca="false">-K6*Assumptions!K32/100</f>
        <v>-3821.74274448211</v>
      </c>
      <c r="L17" s="4" t="n">
        <f aca="false">-L6*Assumptions!L32/100</f>
        <v>-3898.17759937175</v>
      </c>
    </row>
    <row r="18" customFormat="false" ht="15" hidden="false" customHeight="false" outlineLevel="0" collapsed="false">
      <c r="A18" s="0" t="s">
        <v>119</v>
      </c>
      <c r="C18" s="4" t="n">
        <f aca="false">(C6-B6)*Assumptions!$B$37/100</f>
        <v>-3130.4905</v>
      </c>
      <c r="D18" s="4" t="n">
        <f aca="false">(D6-C6)*Assumptions!$B$37/100</f>
        <v>-1480.53786</v>
      </c>
      <c r="E18" s="4" t="n">
        <f aca="false">(E6-D6)*Assumptions!$B$37/100</f>
        <v>-414.550600800001</v>
      </c>
      <c r="F18" s="4" t="n">
        <f aca="false">(F6-E6)*Assumptions!$B$37/100</f>
        <v>853.974237648001</v>
      </c>
      <c r="G18" s="4" t="n">
        <f aca="false">(G6-F6)*Assumptions!$B$37/100</f>
        <v>-200.683945847279</v>
      </c>
      <c r="H18" s="4" t="n">
        <f aca="false">(H6-G6)*Assumptions!$B$37/100</f>
        <v>-271.592273379985</v>
      </c>
      <c r="I18" s="4" t="n">
        <f aca="false">(I6-H6)*Assumptions!$B$37/100</f>
        <v>-277.024118847585</v>
      </c>
      <c r="J18" s="4" t="n">
        <f aca="false">(J6-I6)*Assumptions!$B$37/100</f>
        <v>-282.564601224538</v>
      </c>
      <c r="K18" s="4" t="n">
        <f aca="false">(K6-J6)*Assumptions!$B$37/100</f>
        <v>-288.215893249027</v>
      </c>
      <c r="L18" s="4" t="n">
        <f aca="false">(L6-K6)*Assumptions!$B$37/100</f>
        <v>-293.980211114009</v>
      </c>
    </row>
    <row r="19" customFormat="false" ht="15" hidden="false" customHeight="false" outlineLevel="0" collapsed="false">
      <c r="A19" s="0" t="s">
        <v>120</v>
      </c>
      <c r="C19" s="0" t="n">
        <f aca="false">C15+C16+C17+C18</f>
        <v>1022.714304872</v>
      </c>
      <c r="D19" s="0" t="n">
        <f aca="false">D15+D16+D17+D18</f>
        <v>4116.22689128064</v>
      </c>
      <c r="E19" s="0" t="n">
        <f aca="false">E15+E16+E17+E18</f>
        <v>5232.95182761376</v>
      </c>
      <c r="F19" s="0" t="n">
        <f aca="false">F15+F16+F17+F18</f>
        <v>5715.77026760365</v>
      </c>
      <c r="G19" s="0" t="n">
        <f aca="false">G15+G16+G17+G18</f>
        <v>4342.51160325312</v>
      </c>
      <c r="H19" s="0" t="n">
        <f aca="false">H15+H16+H17+H18</f>
        <v>4462.19586948756</v>
      </c>
      <c r="I19" s="0" t="n">
        <f aca="false">I15+I16+I17+I18</f>
        <v>4596.65012307323</v>
      </c>
      <c r="J19" s="0" t="n">
        <f aca="false">J15+J16+J17+J18</f>
        <v>4677.05448980473</v>
      </c>
      <c r="K19" s="0" t="n">
        <f aca="false">K15+K16+K17+K18</f>
        <v>4770.59557960083</v>
      </c>
      <c r="L19" s="0" t="n">
        <f aca="false">L15+L16+L17+L18</f>
        <v>4866.00749119284</v>
      </c>
    </row>
    <row r="20" customFormat="false" ht="15" hidden="false" customHeight="false" outlineLevel="0" collapsed="false">
      <c r="A20" s="0" t="s">
        <v>121</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122</v>
      </c>
      <c r="C21" s="0" t="n">
        <f aca="false">C19*C20</f>
        <v>925.533307576469</v>
      </c>
      <c r="D21" s="0" t="n">
        <f aca="false">D19*D20</f>
        <v>3371.12417131561</v>
      </c>
      <c r="E21" s="0" t="n">
        <f aca="false">E19*E20</f>
        <v>3878.4652332386</v>
      </c>
      <c r="F21" s="0" t="n">
        <f aca="false">F19*F20</f>
        <v>3833.76645381066</v>
      </c>
      <c r="G21" s="0" t="n">
        <f aca="false">G19*G20</f>
        <v>2635.90405045575</v>
      </c>
      <c r="H21" s="0" t="n">
        <f aca="false">H19*H20</f>
        <v>2451.17863029882</v>
      </c>
      <c r="I21" s="0" t="n">
        <f aca="false">I19*I20</f>
        <v>2285.10153612823</v>
      </c>
      <c r="J21" s="0" t="n">
        <f aca="false">J19*J20</f>
        <v>2104.13793146604</v>
      </c>
      <c r="K21" s="0" t="n">
        <f aca="false">K19*K20</f>
        <v>1942.28116750711</v>
      </c>
      <c r="L21" s="0" t="n">
        <f aca="false">L19*L20</f>
        <v>1792.87492385272</v>
      </c>
    </row>
    <row r="23" customFormat="false" ht="15" hidden="false" customHeight="false" outlineLevel="0" collapsed="false">
      <c r="A23" s="0" t="s">
        <v>98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Assumptions!$B$34</f>
        <v>10.5</v>
      </c>
    </row>
    <row r="28" customFormat="false" ht="15" hidden="false" customHeight="false" outlineLevel="0" collapsed="false">
      <c r="A28" s="0" t="s">
        <v>103</v>
      </c>
      <c r="B28" s="4" t="n">
        <f aca="false">Assumptions!$B$35</f>
        <v>2</v>
      </c>
    </row>
    <row r="29" customFormat="false" ht="15" hidden="false" customHeight="false" outlineLevel="0" collapsed="false">
      <c r="A29" s="0" t="s">
        <v>104</v>
      </c>
      <c r="B29" s="4" t="n">
        <f aca="false">Assumptions!$B$36</f>
        <v>12</v>
      </c>
    </row>
    <row r="30" customFormat="false" ht="15" hidden="false" customHeight="false" outlineLevel="0" collapsed="false">
      <c r="A30" s="0" t="s">
        <v>125</v>
      </c>
      <c r="B30" s="0" t="n">
        <f aca="false">SUM(C21:L21)</f>
        <v>25220.36740565</v>
      </c>
    </row>
    <row r="31" customFormat="false" ht="15" hidden="false" customHeight="false" outlineLevel="0" collapsed="false">
      <c r="A31" s="0" t="s">
        <v>126</v>
      </c>
      <c r="B31" s="0" t="n">
        <f aca="false">L19</f>
        <v>4866.00749119284</v>
      </c>
    </row>
    <row r="32" customFormat="false" ht="15" hidden="false" customHeight="false" outlineLevel="0" collapsed="false">
      <c r="A32" s="0" t="s">
        <v>127</v>
      </c>
      <c r="B32" s="0" t="n">
        <f aca="false">IF(B27&gt;B28,B31*(1+B28/100)/((B27-B28)/100),B31*B29)</f>
        <v>58392.0898943141</v>
      </c>
    </row>
    <row r="33" customFormat="false" ht="15" hidden="false" customHeight="false" outlineLevel="0" collapsed="false">
      <c r="A33" s="0" t="s">
        <v>128</v>
      </c>
      <c r="B33" s="0" t="n">
        <f aca="false">B31*B29</f>
        <v>58392.0898943141</v>
      </c>
    </row>
    <row r="34" customFormat="false" ht="15" hidden="false" customHeight="false" outlineLevel="0" collapsed="false">
      <c r="A34" s="0" t="s">
        <v>129</v>
      </c>
      <c r="B34" s="0" t="n">
        <f aca="false">MAX(0,MIN(B32,B33))</f>
        <v>58392.0898943141</v>
      </c>
    </row>
    <row r="35" customFormat="false" ht="15" hidden="false" customHeight="false" outlineLevel="0" collapsed="false">
      <c r="A35" s="0" t="s">
        <v>130</v>
      </c>
      <c r="B35" s="0" t="n">
        <f aca="false">B34/(1+B27/100)^L4</f>
        <v>21514.4990862326</v>
      </c>
    </row>
    <row r="36" customFormat="false" ht="15" hidden="false" customHeight="false" outlineLevel="0" collapsed="false">
      <c r="A36" s="0" t="s">
        <v>131</v>
      </c>
      <c r="B36" s="0" t="n">
        <f aca="false">B30+B35</f>
        <v>46734.8664918827</v>
      </c>
    </row>
    <row r="37" customFormat="false" ht="15" hidden="false" customHeight="false" outlineLevel="0" collapsed="false">
      <c r="A37" s="0" t="s">
        <v>132</v>
      </c>
      <c r="B37" s="0" t="n">
        <f aca="false">B36+Assumptions!$B$5-Assumptions!$B$4</f>
        <v>77204.5664918826</v>
      </c>
    </row>
    <row r="38" customFormat="false" ht="15" hidden="false" customHeight="false" outlineLevel="0" collapsed="false">
      <c r="A38" s="0" t="s">
        <v>133</v>
      </c>
      <c r="B38" s="0" t="n">
        <f aca="false">B37/Assumptions!$B$3*Assumptions!$B$10</f>
        <v>67.7375644801385</v>
      </c>
    </row>
    <row r="39" customFormat="false" ht="15" hidden="false" customHeight="false" outlineLevel="0" collapsed="false">
      <c r="A39" s="0" t="s">
        <v>134</v>
      </c>
      <c r="B39" s="4" t="n">
        <f aca="false">B38/Assumptions!$B$2-1</f>
        <v>0.216114263557244</v>
      </c>
    </row>
    <row r="41" customFormat="false" ht="15" hidden="false" customHeight="false" outlineLevel="0" collapsed="false">
      <c r="A41" s="0" t="s">
        <v>135</v>
      </c>
      <c r="B41" s="0" t="n">
        <f aca="false">SUMPRODUCT(-C10:L10/(1+$B$27/100)^C4:L4)</f>
        <v>397.785429518181</v>
      </c>
    </row>
    <row r="42" customFormat="false" ht="15" hidden="false" customHeight="false" outlineLevel="0" collapsed="false">
      <c r="A42" s="0" t="s">
        <v>136</v>
      </c>
      <c r="B42" s="0" t="n">
        <f aca="false">IF(B27&gt;B28,-L10*(1+B28/100)/((B27-B28)/100),-L10*20)/(1+B27/100)^L4</f>
        <v>318.191062454069</v>
      </c>
    </row>
    <row r="43" customFormat="false" ht="15" hidden="false" customHeight="false" outlineLevel="0" collapsed="false">
      <c r="A43" s="0" t="s">
        <v>137</v>
      </c>
      <c r="B43" s="0" t="n">
        <f aca="false">(B37+B41+B42)/Assumptions!$B$3*Assumptions!$B$10</f>
        <v>68.3657462833008</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38179.4433924362</v>
      </c>
    </row>
    <row r="47" customFormat="false" ht="15" hidden="false" customHeight="false" outlineLevel="0" collapsed="false">
      <c r="A47" s="0" t="s">
        <v>139</v>
      </c>
      <c r="B47" s="0" t="n">
        <f aca="false">(SUMPRODUCT(C19:L19/(1+B45/100)^C4:L4)+B46/(1+B45/100)^L4+Assumptions!$B$5-Assumptions!$B$4)/Assumptions!$B$3*Assumptions!$B$10</f>
        <v>53.1003276067281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36</v>
      </c>
      <c r="D5" s="4" t="n">
        <f aca="false">Assumptions!D41</f>
        <v>20</v>
      </c>
      <c r="E5" s="4" t="n">
        <f aca="false">Assumptions!E41</f>
        <v>10</v>
      </c>
      <c r="F5" s="4" t="n">
        <f aca="false">Assumptions!F41</f>
        <v>2</v>
      </c>
      <c r="G5" s="4" t="n">
        <f aca="false">Assumptions!G41</f>
        <v>3</v>
      </c>
      <c r="H5" s="4" t="n">
        <f aca="false">Assumptions!H41</f>
        <v>3.5</v>
      </c>
      <c r="I5" s="4" t="n">
        <f aca="false">Assumptions!I41</f>
        <v>3.5</v>
      </c>
      <c r="J5" s="4" t="n">
        <f aca="false">Assumptions!J41</f>
        <v>3</v>
      </c>
      <c r="K5" s="4" t="n">
        <f aca="false">Assumptions!K41</f>
        <v>3</v>
      </c>
      <c r="L5" s="4" t="n">
        <f aca="false">Assumptions!L41</f>
        <v>2.5</v>
      </c>
    </row>
    <row r="6" customFormat="false" ht="15" hidden="false" customHeight="false" outlineLevel="0" collapsed="false">
      <c r="A6" s="0" t="s">
        <v>37</v>
      </c>
      <c r="B6" s="3" t="n">
        <v>36829.3</v>
      </c>
      <c r="C6" s="0" t="n">
        <f aca="false">B6*(1+C5/100)</f>
        <v>50087.848</v>
      </c>
      <c r="D6" s="0" t="n">
        <f aca="false">C6*(1+D5/100)</f>
        <v>60105.4176</v>
      </c>
      <c r="E6" s="0" t="n">
        <f aca="false">D6*(1+E5/100)</f>
        <v>66115.95936</v>
      </c>
      <c r="F6" s="0" t="n">
        <f aca="false">E6*(1+F5/100)</f>
        <v>67438.2785472</v>
      </c>
      <c r="G6" s="0" t="n">
        <f aca="false">F6*(1+G5/100)</f>
        <v>69461.426903616</v>
      </c>
      <c r="H6" s="0" t="n">
        <f aca="false">G6*(1+H5/100)</f>
        <v>71892.5768452426</v>
      </c>
      <c r="I6" s="0" t="n">
        <f aca="false">H6*(1+I5/100)</f>
        <v>74408.817034826</v>
      </c>
      <c r="J6" s="0" t="n">
        <f aca="false">I6*(1+J5/100)</f>
        <v>76641.0815458708</v>
      </c>
      <c r="K6" s="0" t="n">
        <f aca="false">J6*(1+K5/100)</f>
        <v>78940.3139922469</v>
      </c>
      <c r="L6" s="0" t="n">
        <f aca="false">K6*(1+L5/100)</f>
        <v>80913.8218420531</v>
      </c>
    </row>
    <row r="7" customFormat="false" ht="15" hidden="false" customHeight="false" outlineLevel="0" collapsed="false">
      <c r="A7" s="0" t="s">
        <v>96</v>
      </c>
      <c r="C7" s="4" t="n">
        <f aca="false">Assumptions!C42</f>
        <v>23</v>
      </c>
      <c r="D7" s="4" t="n">
        <f aca="false">Assumptions!D42</f>
        <v>26</v>
      </c>
      <c r="E7" s="4" t="n">
        <f aca="false">Assumptions!E42</f>
        <v>25</v>
      </c>
      <c r="F7" s="4" t="n">
        <f aca="false">Assumptions!F42</f>
        <v>23</v>
      </c>
      <c r="G7" s="4" t="n">
        <f aca="false">Assumptions!G42</f>
        <v>21.5</v>
      </c>
      <c r="H7" s="4" t="n">
        <f aca="false">Assumptions!H42</f>
        <v>21</v>
      </c>
      <c r="I7" s="4" t="n">
        <f aca="false">Assumptions!I42</f>
        <v>21</v>
      </c>
      <c r="J7" s="4" t="n">
        <f aca="false">Assumptions!J42</f>
        <v>21</v>
      </c>
      <c r="K7" s="4" t="n">
        <f aca="false">Assumptions!K42</f>
        <v>21</v>
      </c>
      <c r="L7" s="4" t="n">
        <f aca="false">Assumptions!L42</f>
        <v>21</v>
      </c>
    </row>
    <row r="8" customFormat="false" ht="15" hidden="false" customHeight="false" outlineLevel="0" collapsed="false">
      <c r="A8" s="0" t="s">
        <v>43</v>
      </c>
      <c r="C8" s="0" t="n">
        <f aca="false">C6*C7/100</f>
        <v>11520.20504</v>
      </c>
      <c r="D8" s="0" t="n">
        <f aca="false">D6*D7/100</f>
        <v>15627.408576</v>
      </c>
      <c r="E8" s="0" t="n">
        <f aca="false">E6*E7/100</f>
        <v>16528.98984</v>
      </c>
      <c r="F8" s="0" t="n">
        <f aca="false">F6*F7/100</f>
        <v>15510.804065856</v>
      </c>
      <c r="G8" s="0" t="n">
        <f aca="false">G6*G7/100</f>
        <v>14934.2067842774</v>
      </c>
      <c r="H8" s="0" t="n">
        <f aca="false">H6*H7/100</f>
        <v>15097.4411375009</v>
      </c>
      <c r="I8" s="0" t="n">
        <f aca="false">I6*I7/100</f>
        <v>15625.8515773135</v>
      </c>
      <c r="J8" s="0" t="n">
        <f aca="false">J6*J7/100</f>
        <v>16094.6271246329</v>
      </c>
      <c r="K8" s="0" t="n">
        <f aca="false">K6*K7/100</f>
        <v>16577.4659383719</v>
      </c>
      <c r="L8" s="0" t="n">
        <f aca="false">L6*L7/100</f>
        <v>16991.9025868312</v>
      </c>
    </row>
    <row r="9" customFormat="false" ht="15" hidden="false" customHeight="false" outlineLevel="0" collapsed="false">
      <c r="A9" s="0" t="s">
        <v>97</v>
      </c>
      <c r="C9" s="4" t="n">
        <f aca="false">Assumptions!C43</f>
        <v>0.12</v>
      </c>
      <c r="D9" s="4" t="n">
        <f aca="false">Assumptions!D43</f>
        <v>0.12</v>
      </c>
      <c r="E9" s="4" t="n">
        <f aca="false">Assumptions!E43</f>
        <v>0.12</v>
      </c>
      <c r="F9" s="4" t="n">
        <f aca="false">Assumptions!F43</f>
        <v>0.12</v>
      </c>
      <c r="G9" s="4" t="n">
        <f aca="false">Assumptions!G43</f>
        <v>0.12</v>
      </c>
      <c r="H9" s="4" t="n">
        <f aca="false">Assumptions!H43</f>
        <v>0.12</v>
      </c>
      <c r="I9" s="4" t="n">
        <f aca="false">Assumptions!I43</f>
        <v>0.12</v>
      </c>
      <c r="J9" s="4" t="n">
        <f aca="false">Assumptions!J43</f>
        <v>0.12</v>
      </c>
      <c r="K9" s="4" t="n">
        <f aca="false">Assumptions!K43</f>
        <v>0.12</v>
      </c>
      <c r="L9" s="4" t="n">
        <f aca="false">Assumptions!L43</f>
        <v>0.12</v>
      </c>
    </row>
    <row r="10" customFormat="false" ht="15" hidden="false" customHeight="false" outlineLevel="0" collapsed="false">
      <c r="A10" s="0" t="s">
        <v>112</v>
      </c>
      <c r="C10" s="0" t="n">
        <f aca="false">-C6*C9/100</f>
        <v>-60.1054176</v>
      </c>
      <c r="D10" s="0" t="n">
        <f aca="false">-D6*D9/100</f>
        <v>-72.12650112</v>
      </c>
      <c r="E10" s="0" t="n">
        <f aca="false">-E6*E9/100</f>
        <v>-79.339151232</v>
      </c>
      <c r="F10" s="0" t="n">
        <f aca="false">-F6*F9/100</f>
        <v>-80.92593425664</v>
      </c>
      <c r="G10" s="0" t="n">
        <f aca="false">-G6*G9/100</f>
        <v>-83.3537122843392</v>
      </c>
      <c r="H10" s="0" t="n">
        <f aca="false">-H6*H9/100</f>
        <v>-86.2710922142911</v>
      </c>
      <c r="I10" s="0" t="n">
        <f aca="false">-I6*I9/100</f>
        <v>-89.2905804417912</v>
      </c>
      <c r="J10" s="0" t="n">
        <f aca="false">-J6*J9/100</f>
        <v>-91.969297855045</v>
      </c>
      <c r="K10" s="0" t="n">
        <f aca="false">-K6*K9/100</f>
        <v>-94.7283767906963</v>
      </c>
      <c r="L10" s="0" t="n">
        <f aca="false">-L6*L9/100</f>
        <v>-97.0965862104637</v>
      </c>
    </row>
    <row r="11" customFormat="false" ht="15" hidden="false" customHeight="false" outlineLevel="0" collapsed="false">
      <c r="A11" s="0" t="s">
        <v>113</v>
      </c>
      <c r="C11" s="0" t="n">
        <f aca="false">C8+C10+C24</f>
        <v>11460.0996224</v>
      </c>
      <c r="D11" s="0" t="n">
        <f aca="false">D8+D10+D24</f>
        <v>15555.28207488</v>
      </c>
      <c r="E11" s="0" t="n">
        <f aca="false">E8+E10+E24</f>
        <v>16449.650688768</v>
      </c>
      <c r="F11" s="0" t="n">
        <f aca="false">F8+F10+F24</f>
        <v>15429.8781315994</v>
      </c>
      <c r="G11" s="0" t="n">
        <f aca="false">G8+G10+G24</f>
        <v>14850.8530719931</v>
      </c>
      <c r="H11" s="0" t="n">
        <f aca="false">H8+H10+H24</f>
        <v>15011.1700452866</v>
      </c>
      <c r="I11" s="0" t="n">
        <f aca="false">I8+I10+I24</f>
        <v>15536.5609968717</v>
      </c>
      <c r="J11" s="0" t="n">
        <f aca="false">J8+J10+J24</f>
        <v>16002.6578267778</v>
      </c>
      <c r="K11" s="0" t="n">
        <f aca="false">K8+K10+K24</f>
        <v>16482.7375615812</v>
      </c>
      <c r="L11" s="0" t="n">
        <f aca="false">L8+L10+L24</f>
        <v>16894.8060006207</v>
      </c>
    </row>
    <row r="12" customFormat="false" ht="15" hidden="false" customHeight="false" outlineLevel="0" collapsed="false">
      <c r="A12" s="0" t="s">
        <v>114</v>
      </c>
      <c r="C12" s="4" t="n">
        <f aca="false">-C6*Assumptions!C45/100</f>
        <v>-2504.3924</v>
      </c>
      <c r="D12" s="4" t="n">
        <f aca="false">-D6*Assumptions!D45/100</f>
        <v>-3005.27088</v>
      </c>
      <c r="E12" s="4" t="n">
        <f aca="false">-E6*Assumptions!E45/100</f>
        <v>-3570.26180544</v>
      </c>
      <c r="F12" s="4" t="n">
        <f aca="false">-F6*Assumptions!F45/100</f>
        <v>-3911.4201557376</v>
      </c>
      <c r="G12" s="4" t="n">
        <f aca="false">-G6*Assumptions!G45/100</f>
        <v>-4167.68561421696</v>
      </c>
      <c r="H12" s="4" t="n">
        <f aca="false">-H6*Assumptions!H45/100</f>
        <v>-4313.55461071455</v>
      </c>
      <c r="I12" s="4" t="n">
        <f aca="false">-I6*Assumptions!I45/100</f>
        <v>-4464.52902208956</v>
      </c>
      <c r="J12" s="4" t="n">
        <f aca="false">-J6*Assumptions!J45/100</f>
        <v>-4598.46489275225</v>
      </c>
      <c r="K12" s="4" t="n">
        <f aca="false">-K6*Assumptions!K45/100</f>
        <v>-4736.41883953482</v>
      </c>
      <c r="L12" s="4" t="n">
        <f aca="false">-L6*Assumptions!L45/100</f>
        <v>-4854.82931052319</v>
      </c>
    </row>
    <row r="13" customFormat="false" ht="15" hidden="false" customHeight="false" outlineLevel="0" collapsed="false">
      <c r="A13" s="0" t="s">
        <v>115</v>
      </c>
      <c r="C13" s="0" t="n">
        <f aca="false">C11+C12</f>
        <v>8955.7072224</v>
      </c>
      <c r="D13" s="0" t="n">
        <f aca="false">D11+D12</f>
        <v>12550.01119488</v>
      </c>
      <c r="E13" s="0" t="n">
        <f aca="false">E11+E12</f>
        <v>12879.388883328</v>
      </c>
      <c r="F13" s="0" t="n">
        <f aca="false">F11+F12</f>
        <v>11518.4579758618</v>
      </c>
      <c r="G13" s="0" t="n">
        <f aca="false">G11+G12</f>
        <v>10683.1674577761</v>
      </c>
      <c r="H13" s="0" t="n">
        <f aca="false">H11+H12</f>
        <v>10697.6154345721</v>
      </c>
      <c r="I13" s="0" t="n">
        <f aca="false">I11+I12</f>
        <v>11072.0319747821</v>
      </c>
      <c r="J13" s="0" t="n">
        <f aca="false">J11+J12</f>
        <v>11404.1929340256</v>
      </c>
      <c r="K13" s="0" t="n">
        <f aca="false">K11+K12</f>
        <v>11746.3187220463</v>
      </c>
      <c r="L13" s="0" t="n">
        <f aca="false">L11+L12</f>
        <v>12039.9766900975</v>
      </c>
    </row>
    <row r="14" customFormat="false" ht="15" hidden="false" customHeight="false" outlineLevel="0" collapsed="false">
      <c r="A14" s="0" t="s">
        <v>101</v>
      </c>
      <c r="C14" s="4" t="n">
        <f aca="false">Assumptions!C47</f>
        <v>18</v>
      </c>
      <c r="D14" s="4" t="n">
        <f aca="false">Assumptions!D47</f>
        <v>18</v>
      </c>
      <c r="E14" s="4" t="n">
        <f aca="false">Assumptions!E47</f>
        <v>19</v>
      </c>
      <c r="F14" s="4" t="n">
        <f aca="false">Assumptions!F47</f>
        <v>19</v>
      </c>
      <c r="G14" s="4" t="n">
        <f aca="false">Assumptions!G47</f>
        <v>20</v>
      </c>
      <c r="H14" s="4" t="n">
        <f aca="false">Assumptions!H47</f>
        <v>20</v>
      </c>
      <c r="I14" s="4" t="n">
        <f aca="false">Assumptions!I47</f>
        <v>20</v>
      </c>
      <c r="J14" s="4" t="n">
        <f aca="false">Assumptions!J47</f>
        <v>20</v>
      </c>
      <c r="K14" s="4" t="n">
        <f aca="false">Assumptions!K47</f>
        <v>20</v>
      </c>
      <c r="L14" s="4" t="n">
        <f aca="false">Assumptions!L47</f>
        <v>20</v>
      </c>
    </row>
    <row r="15" customFormat="false" ht="15" hidden="false" customHeight="false" outlineLevel="0" collapsed="false">
      <c r="A15" s="0" t="s">
        <v>116</v>
      </c>
      <c r="C15" s="0" t="n">
        <f aca="false">C13-MAX(0,C13)*C14/100</f>
        <v>7343.679922368</v>
      </c>
      <c r="D15" s="0" t="n">
        <f aca="false">D13-MAX(0,D13)*D14/100</f>
        <v>10291.0091798016</v>
      </c>
      <c r="E15" s="0" t="n">
        <f aca="false">E13-MAX(0,E13)*E14/100</f>
        <v>10432.3049954957</v>
      </c>
      <c r="F15" s="0" t="n">
        <f aca="false">F13-MAX(0,F13)*F14/100</f>
        <v>9329.95096044803</v>
      </c>
      <c r="G15" s="0" t="n">
        <f aca="false">G13-MAX(0,G13)*G14/100</f>
        <v>8546.53396622091</v>
      </c>
      <c r="H15" s="0" t="n">
        <f aca="false">H13-MAX(0,H13)*H14/100</f>
        <v>8558.09234765768</v>
      </c>
      <c r="I15" s="0" t="n">
        <f aca="false">I13-MAX(0,I13)*I14/100</f>
        <v>8857.62557982569</v>
      </c>
      <c r="J15" s="0" t="n">
        <f aca="false">J13-MAX(0,J13)*J14/100</f>
        <v>9123.35434722046</v>
      </c>
      <c r="K15" s="0" t="n">
        <f aca="false">K13-MAX(0,K13)*K14/100</f>
        <v>9397.05497763708</v>
      </c>
      <c r="L15" s="0" t="n">
        <f aca="false">L13-MAX(0,L13)*L14/100</f>
        <v>9631.981352078</v>
      </c>
    </row>
    <row r="16" customFormat="false" ht="15" hidden="false" customHeight="false" outlineLevel="0" collapsed="false">
      <c r="A16" s="0" t="s">
        <v>117</v>
      </c>
      <c r="C16" s="0" t="n">
        <f aca="false">-C12</f>
        <v>2504.3924</v>
      </c>
      <c r="D16" s="0" t="n">
        <f aca="false">-D12</f>
        <v>3005.27088</v>
      </c>
      <c r="E16" s="0" t="n">
        <f aca="false">-E12</f>
        <v>3570.26180544</v>
      </c>
      <c r="F16" s="0" t="n">
        <f aca="false">-F12</f>
        <v>3911.4201557376</v>
      </c>
      <c r="G16" s="0" t="n">
        <f aca="false">-G12</f>
        <v>4167.68561421696</v>
      </c>
      <c r="H16" s="0" t="n">
        <f aca="false">-H12</f>
        <v>4313.55461071455</v>
      </c>
      <c r="I16" s="0" t="n">
        <f aca="false">-I12</f>
        <v>4464.52902208956</v>
      </c>
      <c r="J16" s="0" t="n">
        <f aca="false">-J12</f>
        <v>4598.46489275225</v>
      </c>
      <c r="K16" s="0" t="n">
        <f aca="false">-K12</f>
        <v>4736.41883953482</v>
      </c>
      <c r="L16" s="0" t="n">
        <f aca="false">-L12</f>
        <v>4854.82931052319</v>
      </c>
    </row>
    <row r="17" customFormat="false" ht="15" hidden="false" customHeight="false" outlineLevel="0" collapsed="false">
      <c r="A17" s="0" t="s">
        <v>118</v>
      </c>
      <c r="C17" s="4" t="n">
        <f aca="false">-C6*Assumptions!C46/100</f>
        <v>-5509.66328</v>
      </c>
      <c r="D17" s="4" t="n">
        <f aca="false">-D6*Assumptions!D46/100</f>
        <v>-6010.54176</v>
      </c>
      <c r="E17" s="4" t="n">
        <f aca="false">-E6*Assumptions!E46/100</f>
        <v>-5619.8565456</v>
      </c>
      <c r="F17" s="4" t="n">
        <f aca="false">-F6*Assumptions!F46/100</f>
        <v>-5057.87089104</v>
      </c>
      <c r="G17" s="4" t="n">
        <f aca="false">-G6*Assumptions!G46/100</f>
        <v>-4862.29988325312</v>
      </c>
      <c r="H17" s="4" t="n">
        <f aca="false">-H6*Assumptions!H46/100</f>
        <v>-4888.69522547649</v>
      </c>
      <c r="I17" s="4" t="n">
        <f aca="false">-I6*Assumptions!I46/100</f>
        <v>-4910.98192429852</v>
      </c>
      <c r="J17" s="4" t="n">
        <f aca="false">-J6*Assumptions!J46/100</f>
        <v>-4981.6703004816</v>
      </c>
      <c r="K17" s="4" t="n">
        <f aca="false">-K6*Assumptions!K46/100</f>
        <v>-5131.12040949605</v>
      </c>
      <c r="L17" s="4" t="n">
        <f aca="false">-L6*Assumptions!L46/100</f>
        <v>-5259.39841973345</v>
      </c>
    </row>
    <row r="18" customFormat="false" ht="15" hidden="false" customHeight="false" outlineLevel="0" collapsed="false">
      <c r="A18" s="0" t="s">
        <v>119</v>
      </c>
      <c r="C18" s="4" t="n">
        <f aca="false">(C6-B6)*Assumptions!$B$51/100</f>
        <v>-3314.637</v>
      </c>
      <c r="D18" s="4" t="n">
        <f aca="false">(D6-C6)*Assumptions!$B$51/100</f>
        <v>-2504.3924</v>
      </c>
      <c r="E18" s="4" t="n">
        <f aca="false">(E6-D6)*Assumptions!$B$51/100</f>
        <v>-1502.63544</v>
      </c>
      <c r="F18" s="4" t="n">
        <f aca="false">(F6-E6)*Assumptions!$B$51/100</f>
        <v>-330.579796800001</v>
      </c>
      <c r="G18" s="4" t="n">
        <f aca="false">(G6-F6)*Assumptions!$B$51/100</f>
        <v>-505.787089104</v>
      </c>
      <c r="H18" s="4" t="n">
        <f aca="false">(H6-G6)*Assumptions!$B$51/100</f>
        <v>-607.78748540664</v>
      </c>
      <c r="I18" s="4" t="n">
        <f aca="false">(I6-H6)*Assumptions!$B$51/100</f>
        <v>-629.060047395869</v>
      </c>
      <c r="J18" s="4" t="n">
        <f aca="false">(J6-I6)*Assumptions!$B$51/100</f>
        <v>-558.066127761194</v>
      </c>
      <c r="K18" s="4" t="n">
        <f aca="false">(K6-J6)*Assumptions!$B$51/100</f>
        <v>-574.808111594033</v>
      </c>
      <c r="L18" s="4" t="n">
        <f aca="false">(L6-K6)*Assumptions!$B$51/100</f>
        <v>-493.376962451541</v>
      </c>
    </row>
    <row r="19" customFormat="false" ht="15" hidden="false" customHeight="false" outlineLevel="0" collapsed="false">
      <c r="A19" s="0" t="s">
        <v>120</v>
      </c>
      <c r="C19" s="0" t="n">
        <f aca="false">C15+C16+C17+C18</f>
        <v>1023.772042368</v>
      </c>
      <c r="D19" s="0" t="n">
        <f aca="false">D15+D16+D17+D18</f>
        <v>4781.3458998016</v>
      </c>
      <c r="E19" s="0" t="n">
        <f aca="false">E15+E16+E17+E18</f>
        <v>6880.07481533568</v>
      </c>
      <c r="F19" s="0" t="n">
        <f aca="false">F15+F16+F17+F18</f>
        <v>7852.92042834563</v>
      </c>
      <c r="G19" s="0" t="n">
        <f aca="false">G15+G16+G17+G18</f>
        <v>7346.13260808075</v>
      </c>
      <c r="H19" s="0" t="n">
        <f aca="false">H15+H16+H17+H18</f>
        <v>7375.1642474891</v>
      </c>
      <c r="I19" s="0" t="n">
        <f aca="false">I15+I16+I17+I18</f>
        <v>7782.11263022087</v>
      </c>
      <c r="J19" s="0" t="n">
        <f aca="false">J15+J16+J17+J18</f>
        <v>8182.08281172991</v>
      </c>
      <c r="K19" s="0" t="n">
        <f aca="false">K15+K16+K17+K18</f>
        <v>8427.54529608181</v>
      </c>
      <c r="L19" s="0" t="n">
        <f aca="false">L15+L16+L17+L18</f>
        <v>8734.0352804162</v>
      </c>
    </row>
    <row r="20" customFormat="false" ht="15" hidden="false" customHeight="false" outlineLevel="0" collapsed="false">
      <c r="A20" s="0" t="s">
        <v>121</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122</v>
      </c>
      <c r="C21" s="0" t="n">
        <f aca="false">C19*C20</f>
        <v>926.490536079639</v>
      </c>
      <c r="D21" s="0" t="n">
        <f aca="false">D19*D20</f>
        <v>3915.84603083606</v>
      </c>
      <c r="E21" s="0" t="n">
        <f aca="false">E19*E20</f>
        <v>5099.25026111467</v>
      </c>
      <c r="F21" s="0" t="n">
        <f aca="false">F19*F20</f>
        <v>5267.22759892483</v>
      </c>
      <c r="G21" s="0" t="n">
        <f aca="false">G19*G20</f>
        <v>4459.10165958316</v>
      </c>
      <c r="H21" s="0" t="n">
        <f aca="false">H19*H20</f>
        <v>4051.33381123075</v>
      </c>
      <c r="I21" s="0" t="n">
        <f aca="false">I19*I20</f>
        <v>3868.66893270339</v>
      </c>
      <c r="J21" s="0" t="n">
        <f aca="false">J19*J20</f>
        <v>3680.99855156402</v>
      </c>
      <c r="K21" s="0" t="n">
        <f aca="false">K19*K20</f>
        <v>3431.15702091488</v>
      </c>
      <c r="L21" s="0" t="n">
        <f aca="false">L19*L20</f>
        <v>3218.04536196152</v>
      </c>
    </row>
    <row r="23" customFormat="false" ht="15" hidden="false" customHeight="false" outlineLevel="0" collapsed="false">
      <c r="A23" s="0" t="s">
        <v>98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Assumptions!$B$48</f>
        <v>10.5</v>
      </c>
    </row>
    <row r="28" customFormat="false" ht="15" hidden="false" customHeight="false" outlineLevel="0" collapsed="false">
      <c r="A28" s="0" t="s">
        <v>103</v>
      </c>
      <c r="B28" s="4" t="n">
        <f aca="false">Assumptions!$B$49</f>
        <v>2.5</v>
      </c>
    </row>
    <row r="29" customFormat="false" ht="15" hidden="false" customHeight="false" outlineLevel="0" collapsed="false">
      <c r="A29" s="0" t="s">
        <v>104</v>
      </c>
      <c r="B29" s="4" t="n">
        <f aca="false">Assumptions!$B$50</f>
        <v>12</v>
      </c>
    </row>
    <row r="30" customFormat="false" ht="15" hidden="false" customHeight="false" outlineLevel="0" collapsed="false">
      <c r="A30" s="0" t="s">
        <v>125</v>
      </c>
      <c r="B30" s="0" t="n">
        <f aca="false">SUM(C21:L21)</f>
        <v>37918.1197649129</v>
      </c>
    </row>
    <row r="31" customFormat="false" ht="15" hidden="false" customHeight="false" outlineLevel="0" collapsed="false">
      <c r="A31" s="0" t="s">
        <v>126</v>
      </c>
      <c r="B31" s="0" t="n">
        <f aca="false">L19</f>
        <v>8734.0352804162</v>
      </c>
    </row>
    <row r="32" customFormat="false" ht="15" hidden="false" customHeight="false" outlineLevel="0" collapsed="false">
      <c r="A32" s="0" t="s">
        <v>127</v>
      </c>
      <c r="B32" s="0" t="n">
        <f aca="false">IF(B27&gt;B28,B31*(1+B28/100)/((B27-B28)/100),B31*B29)</f>
        <v>111904.827030332</v>
      </c>
    </row>
    <row r="33" customFormat="false" ht="15" hidden="false" customHeight="false" outlineLevel="0" collapsed="false">
      <c r="A33" s="0" t="s">
        <v>128</v>
      </c>
      <c r="B33" s="0" t="n">
        <f aca="false">B31*B29</f>
        <v>104808.423364994</v>
      </c>
    </row>
    <row r="34" customFormat="false" ht="15" hidden="false" customHeight="false" outlineLevel="0" collapsed="false">
      <c r="A34" s="0" t="s">
        <v>129</v>
      </c>
      <c r="B34" s="0" t="n">
        <f aca="false">MAX(0,MIN(B32,B33))</f>
        <v>104808.423364994</v>
      </c>
    </row>
    <row r="35" customFormat="false" ht="15" hidden="false" customHeight="false" outlineLevel="0" collapsed="false">
      <c r="A35" s="0" t="s">
        <v>130</v>
      </c>
      <c r="B35" s="0" t="n">
        <f aca="false">B34/(1+B27/100)^L4</f>
        <v>38616.5443435383</v>
      </c>
    </row>
    <row r="36" customFormat="false" ht="15" hidden="false" customHeight="false" outlineLevel="0" collapsed="false">
      <c r="A36" s="0" t="s">
        <v>131</v>
      </c>
      <c r="B36" s="0" t="n">
        <f aca="false">B30+B35</f>
        <v>76534.6641084512</v>
      </c>
    </row>
    <row r="37" customFormat="false" ht="15" hidden="false" customHeight="false" outlineLevel="0" collapsed="false">
      <c r="A37" s="0" t="s">
        <v>132</v>
      </c>
      <c r="B37" s="0" t="n">
        <f aca="false">B36+Assumptions!$B$5-Assumptions!$B$4</f>
        <v>107004.364108451</v>
      </c>
    </row>
    <row r="38" customFormat="false" ht="15" hidden="false" customHeight="false" outlineLevel="0" collapsed="false">
      <c r="A38" s="0" t="s">
        <v>133</v>
      </c>
      <c r="B38" s="0" t="n">
        <f aca="false">B37/Assumptions!$B$3*Assumptions!$B$10</f>
        <v>93.8832421812058</v>
      </c>
    </row>
    <row r="39" customFormat="false" ht="15" hidden="false" customHeight="false" outlineLevel="0" collapsed="false">
      <c r="A39" s="0" t="s">
        <v>134</v>
      </c>
      <c r="B39" s="4" t="n">
        <f aca="false">B38/Assumptions!$B$2-1</f>
        <v>0.685516017615904</v>
      </c>
    </row>
    <row r="41" customFormat="false" ht="15" hidden="false" customHeight="false" outlineLevel="0" collapsed="false">
      <c r="A41" s="0" t="s">
        <v>135</v>
      </c>
      <c r="B41" s="0" t="n">
        <f aca="false">SUMPRODUCT(-C10:L10/(1+$B$27/100)^C4:L4)</f>
        <v>484.640253478021</v>
      </c>
    </row>
    <row r="42" customFormat="false" ht="15" hidden="false" customHeight="false" outlineLevel="0" collapsed="false">
      <c r="A42" s="0" t="s">
        <v>136</v>
      </c>
      <c r="B42" s="0" t="n">
        <f aca="false">IF(B27&gt;B28,-L10*(1+B28/100)/((B27-B28)/100),-L10*20)/(1+B27/100)^L4</f>
        <v>458.36881107512</v>
      </c>
    </row>
    <row r="43" customFormat="false" ht="15" hidden="false" customHeight="false" outlineLevel="0" collapsed="false">
      <c r="A43" s="0" t="s">
        <v>137</v>
      </c>
      <c r="B43" s="0" t="n">
        <f aca="false">(B37+B41+B42)/Assumptions!$B$3*Assumptions!$B$10</f>
        <v>94.7106172992598</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71619.0892994128</v>
      </c>
    </row>
    <row r="47" customFormat="false" ht="15" hidden="false" customHeight="false" outlineLevel="0" collapsed="false">
      <c r="A47" s="0" t="s">
        <v>139</v>
      </c>
      <c r="B47" s="0" t="n">
        <f aca="false">(SUMPRODUCT(C19:L19/(1+B45/100)^C4:L4)+B46/(1+B45/100)^L4+Assumptions!$B$5-Assumptions!$B$4)/Assumptions!$B$3*Assumptions!$B$10</f>
        <v>69.038962116112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48.7321601910254</v>
      </c>
      <c r="C4" s="0" t="n">
        <f aca="false">B4/Assumptions!$B$2-1</f>
        <v>-0.125095867306547</v>
      </c>
      <c r="D4" s="4" t="n">
        <f aca="false">Assumptions!$B$24</f>
        <v>0.3</v>
      </c>
      <c r="E4" s="4" t="n">
        <f aca="false">DCF_Bear!$B$43</f>
        <v>49.2046040673253</v>
      </c>
      <c r="F4" s="4" t="n">
        <f aca="false">DCF_Bear!$B$47</f>
        <v>41.5666481875308</v>
      </c>
    </row>
    <row r="5" customFormat="false" ht="15" hidden="false" customHeight="false" outlineLevel="0" collapsed="false">
      <c r="A5" s="0" t="s">
        <v>148</v>
      </c>
      <c r="B5" s="4" t="n">
        <f aca="false">DCF_Base!$B$38</f>
        <v>67.7375644801385</v>
      </c>
      <c r="C5" s="0" t="n">
        <f aca="false">B5/Assumptions!$B$2-1</f>
        <v>0.216114263557244</v>
      </c>
      <c r="D5" s="4" t="n">
        <f aca="false">Assumptions!$B$38</f>
        <v>0.5</v>
      </c>
      <c r="E5" s="4" t="n">
        <f aca="false">DCF_Base!$B$43</f>
        <v>68.3657462833008</v>
      </c>
      <c r="F5" s="4" t="n">
        <f aca="false">DCF_Base!$B$47</f>
        <v>53.1003276067281</v>
      </c>
    </row>
    <row r="6" customFormat="false" ht="15" hidden="false" customHeight="false" outlineLevel="0" collapsed="false">
      <c r="A6" s="0" t="s">
        <v>149</v>
      </c>
      <c r="B6" s="4" t="n">
        <f aca="false">DCF_Bull!$B$38</f>
        <v>93.8832421812058</v>
      </c>
      <c r="C6" s="0" t="n">
        <f aca="false">B6/Assumptions!$B$2-1</f>
        <v>0.685516017615904</v>
      </c>
      <c r="D6" s="4" t="n">
        <f aca="false">Assumptions!$B$52</f>
        <v>0.2</v>
      </c>
      <c r="E6" s="4" t="n">
        <f aca="false">DCF_Bull!$B$43</f>
        <v>94.7106172992598</v>
      </c>
      <c r="F6" s="4" t="n">
        <f aca="false">DCF_Bull!$B$47</f>
        <v>69.038962116112</v>
      </c>
    </row>
    <row r="8" customFormat="false" ht="15" hidden="false" customHeight="false" outlineLevel="0" collapsed="false">
      <c r="A8" s="0" t="s">
        <v>150</v>
      </c>
      <c r="B8" s="0" t="n">
        <f aca="false">SUMPRODUCT(B4:B6,D4:D6)</f>
        <v>67.265078733618</v>
      </c>
    </row>
    <row r="9" customFormat="false" ht="15" hidden="false" customHeight="false" outlineLevel="0" collapsed="false">
      <c r="A9" s="0" t="s">
        <v>151</v>
      </c>
      <c r="B9" s="0" t="n">
        <f aca="false">SUMPRODUCT(E4:E6,D4:D6)</f>
        <v>67.8863778216999</v>
      </c>
    </row>
    <row r="10" customFormat="false" ht="15" hidden="false" customHeight="false" outlineLevel="0" collapsed="false">
      <c r="A10" s="0" t="s">
        <v>152</v>
      </c>
      <c r="B10" s="0" t="n">
        <f aca="false">1-Assumptions!$B$2/B8</f>
        <v>0.171932880349666</v>
      </c>
    </row>
    <row r="11" customFormat="false" ht="15" hidden="false" customHeight="false" outlineLevel="0" collapsed="false">
      <c r="A11" s="0" t="s">
        <v>153</v>
      </c>
      <c r="B11" s="0" t="str">
        <f aca="false">IF(ABS(B9-B8)&gt;0.01*ABS(B8),(Assumptions!$B$2-B8)/(B9-B8)*100,"n/a")</f>
        <v>n/a</v>
      </c>
    </row>
    <row r="12" customFormat="false" ht="15" hidden="false" customHeight="false" outlineLevel="0" collapsed="false">
      <c r="A12" s="0" t="s">
        <v>154</v>
      </c>
      <c r="B12" s="0" t="n">
        <f aca="false">SUMPRODUCT(F4:F6,D4:D6)</f>
        <v>52.8279506828457</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72.1421232382217</v>
      </c>
      <c r="C15" s="3" t="n">
        <v>9</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69.141394741412</v>
      </c>
      <c r="C16" s="3" t="n">
        <v>10</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67.7375644801385</v>
      </c>
      <c r="C17" s="3" t="n">
        <v>10.5</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65.3914515511417</v>
      </c>
      <c r="C18" s="3" t="n">
        <v>11</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61.4007432243281</v>
      </c>
      <c r="C19" s="3" t="n">
        <v>12</v>
      </c>
    </row>
    <row r="20" customFormat="false" ht="15" hidden="false" customHeight="false" outlineLevel="0" collapsed="false">
      <c r="A20" s="0" t="s">
        <v>162</v>
      </c>
      <c r="B20" s="0" t="n">
        <f aca="false">(SUMPRODUCT(DCF_Base!$C$19:$L$19/(1+$C$20/100)^DCF_Base!$C$4:$L$4)+MAX(0,MIN(IF($C$20&gt;DCF_Base!$B$28,DCF_Base!$L$19*(1+DCF_Base!$B$28/100)/(($C$20-DCF_Base!$B$28)/100),DCF_Base!$L$19*DCF_Base!$B$29),DCF_Base!$L$19*DCF_Base!$B$29))/(1+$C$20/100)^DCF_Base!$L$4+Assumptions!$B$5-Assumptions!$B$4)/Assumptions!$B$3*Assumptions!$B$10</f>
        <v>53.1003276067281</v>
      </c>
      <c r="C20" s="3" t="n">
        <v>15</v>
      </c>
    </row>
    <row r="22" customFormat="false" ht="15" hidden="false" customHeight="false" outlineLevel="0" collapsed="false">
      <c r="A22" s="2" t="s">
        <v>163</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73.7458588820162</v>
      </c>
      <c r="C24" s="0" t="n">
        <f aca="false">(SUMPRODUCT(DCF_Base!$C$19:$L$19/(1+$A$24/100)^DCF_Base!$C$4:$L$4)+MAX(0,MIN(IF($A$24&gt;$C$23,DCF_Base!$L$19*(1+$C$23/100)/(($A$24-$C$23)/100),DCF_Base!$L$19*DCF_Base!$B$29),DCF_Base!$L$19*DCF_Base!$B$29))/(1+$A$24/100)^DCF_Base!$L$4+Assumptions!$B$5-Assumptions!$B$4)/Assumptions!$B$3*Assumptions!$B$10</f>
        <v>73.7458588820162</v>
      </c>
      <c r="D24" s="0" t="n">
        <f aca="false">(SUMPRODUCT(DCF_Base!$C$19:$L$19/(1+$A$24/100)^DCF_Base!$C$4:$L$4)+MAX(0,MIN(IF($A$24&gt;$D$23,DCF_Base!$L$19*(1+$D$23/100)/(($A$24-$D$23)/100),DCF_Base!$L$19*DCF_Base!$B$29),DCF_Base!$L$19*DCF_Base!$B$29))/(1+$A$24/100)^DCF_Base!$L$4+Assumptions!$B$5-Assumptions!$B$4)/Assumptions!$B$3*Assumptions!$B$10</f>
        <v>73.7458588820162</v>
      </c>
      <c r="E24" s="0" t="n">
        <f aca="false">(SUMPRODUCT(DCF_Base!$C$19:$L$19/(1+$A$24/100)^DCF_Base!$C$4:$L$4)+MAX(0,MIN(IF($A$24&gt;$E$23,DCF_Base!$L$19*(1+$E$23/100)/(($A$24-$E$23)/100),DCF_Base!$L$19*DCF_Base!$B$29),DCF_Base!$L$19*DCF_Base!$B$29))/(1+$A$24/100)^DCF_Base!$L$4+Assumptions!$B$5-Assumptions!$B$4)/Assumptions!$B$3*Assumptions!$B$10</f>
        <v>73.7458588820162</v>
      </c>
      <c r="F24" s="0" t="n">
        <f aca="false">(SUMPRODUCT(DCF_Base!$C$19:$L$19/(1+$A$24/100)^DCF_Base!$C$4:$L$4)+MAX(0,MIN(IF($A$24&gt;$F$23,DCF_Base!$L$19*(1+$F$23/100)/(($A$24-$F$23)/100),DCF_Base!$L$19*DCF_Base!$B$29),DCF_Base!$L$19*DCF_Base!$B$29))/(1+$A$24/100)^DCF_Base!$L$4+Assumptions!$B$5-Assumptions!$B$4)/Assumptions!$B$3*Assumptions!$B$10</f>
        <v>73.7458588820162</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70.405799366225</v>
      </c>
      <c r="C25" s="0" t="n">
        <f aca="false">(SUMPRODUCT(DCF_Base!$C$19:$L$19/(1+$A$25/100)^DCF_Base!$C$4:$L$4)+MAX(0,MIN(IF($A$25&gt;$C$23,DCF_Base!$L$19*(1+$C$23/100)/(($A$25-$C$23)/100),DCF_Base!$L$19*DCF_Base!$B$29),DCF_Base!$L$19*DCF_Base!$B$29))/(1+$A$25/100)^DCF_Base!$L$4+Assumptions!$B$5-Assumptions!$B$4)/Assumptions!$B$3*Assumptions!$B$10</f>
        <v>70.608473928824</v>
      </c>
      <c r="D25" s="0" t="n">
        <f aca="false">(SUMPRODUCT(DCF_Base!$C$19:$L$19/(1+$A$25/100)^DCF_Base!$C$4:$L$4)+MAX(0,MIN(IF($A$25&gt;$D$23,DCF_Base!$L$19*(1+$D$23/100)/(($A$25-$D$23)/100),DCF_Base!$L$19*DCF_Base!$B$29),DCF_Base!$L$19*DCF_Base!$B$29))/(1+$A$25/100)^DCF_Base!$L$4+Assumptions!$B$5-Assumptions!$B$4)/Assumptions!$B$3*Assumptions!$B$10</f>
        <v>70.608473928824</v>
      </c>
      <c r="E25" s="0" t="n">
        <f aca="false">(SUMPRODUCT(DCF_Base!$C$19:$L$19/(1+$A$25/100)^DCF_Base!$C$4:$L$4)+MAX(0,MIN(IF($A$25&gt;$E$23,DCF_Base!$L$19*(1+$E$23/100)/(($A$25-$E$23)/100),DCF_Base!$L$19*DCF_Base!$B$29),DCF_Base!$L$19*DCF_Base!$B$29))/(1+$A$25/100)^DCF_Base!$L$4+Assumptions!$B$5-Assumptions!$B$4)/Assumptions!$B$3*Assumptions!$B$10</f>
        <v>70.608473928824</v>
      </c>
      <c r="F25" s="0" t="n">
        <f aca="false">(SUMPRODUCT(DCF_Base!$C$19:$L$19/(1+$A$25/100)^DCF_Base!$C$4:$L$4)+MAX(0,MIN(IF($A$25&gt;$F$23,DCF_Base!$L$19*(1+$F$23/100)/(($A$25-$F$23)/100),DCF_Base!$L$19*DCF_Base!$B$29),DCF_Base!$L$19*DCF_Base!$B$29))/(1+$A$25/100)^DCF_Base!$L$4+Assumptions!$B$5-Assumptions!$B$4)/Assumptions!$B$3*Assumptions!$B$10</f>
        <v>70.608473928824</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65.5849992115422</v>
      </c>
      <c r="C26" s="0" t="n">
        <f aca="false">(SUMPRODUCT(DCF_Base!$C$19:$L$19/(1+$A$26/100)^DCF_Base!$C$4:$L$4)+MAX(0,MIN(IF($A$26&gt;$C$23,DCF_Base!$L$19*(1+$C$23/100)/(($A$26-$C$23)/100),DCF_Base!$L$19*DCF_Base!$B$29),DCF_Base!$L$19*DCF_Base!$B$29))/(1+$A$26/100)^DCF_Base!$L$4+Assumptions!$B$5-Assumptions!$B$4)/Assumptions!$B$3*Assumptions!$B$10</f>
        <v>66.6014883661571</v>
      </c>
      <c r="D26" s="0" t="n">
        <f aca="false">(SUMPRODUCT(DCF_Base!$C$19:$L$19/(1+$A$26/100)^DCF_Base!$C$4:$L$4)+MAX(0,MIN(IF($A$26&gt;$D$23,DCF_Base!$L$19*(1+$D$23/100)/(($A$26-$D$23)/100),DCF_Base!$L$19*DCF_Base!$B$29),DCF_Base!$L$19*DCF_Base!$B$29))/(1+$A$26/100)^DCF_Base!$L$4+Assumptions!$B$5-Assumptions!$B$4)/Assumptions!$B$3*Assumptions!$B$10</f>
        <v>67.7375644801385</v>
      </c>
      <c r="E26" s="0" t="n">
        <f aca="false">(SUMPRODUCT(DCF_Base!$C$19:$L$19/(1+$A$26/100)^DCF_Base!$C$4:$L$4)+MAX(0,MIN(IF($A$26&gt;$E$23,DCF_Base!$L$19*(1+$E$23/100)/(($A$26-$E$23)/100),DCF_Base!$L$19*DCF_Base!$B$29),DCF_Base!$L$19*DCF_Base!$B$29))/(1+$A$26/100)^DCF_Base!$L$4+Assumptions!$B$5-Assumptions!$B$4)/Assumptions!$B$3*Assumptions!$B$10</f>
        <v>67.7375644801385</v>
      </c>
      <c r="F26" s="0" t="n">
        <f aca="false">(SUMPRODUCT(DCF_Base!$C$19:$L$19/(1+$A$26/100)^DCF_Base!$C$4:$L$4)+MAX(0,MIN(IF($A$26&gt;$F$23,DCF_Base!$L$19*(1+$F$23/100)/(($A$26-$F$23)/100),DCF_Base!$L$19*DCF_Base!$B$29),DCF_Base!$L$19*DCF_Base!$B$29))/(1+$A$26/100)^DCF_Base!$L$4+Assumptions!$B$5-Assumptions!$B$4)/Assumptions!$B$3*Assumptions!$B$10</f>
        <v>67.7375644801385</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61.6846299336983</v>
      </c>
      <c r="C27" s="0" t="n">
        <f aca="false">(SUMPRODUCT(DCF_Base!$C$19:$L$19/(1+$A$27/100)^DCF_Base!$C$4:$L$4)+MAX(0,MIN(IF($A$27&gt;$C$23,DCF_Base!$L$19*(1+$C$23/100)/(($A$27-$C$23)/100),DCF_Base!$L$19*DCF_Base!$B$29),DCF_Base!$L$19*DCF_Base!$B$29))/(1+$A$27/100)^DCF_Base!$L$4+Assumptions!$B$5-Assumptions!$B$4)/Assumptions!$B$3*Assumptions!$B$10</f>
        <v>62.4478789631193</v>
      </c>
      <c r="D27" s="0" t="n">
        <f aca="false">(SUMPRODUCT(DCF_Base!$C$19:$L$19/(1+$A$27/100)^DCF_Base!$C$4:$L$4)+MAX(0,MIN(IF($A$27&gt;$D$23,DCF_Base!$L$19*(1+$D$23/100)/(($A$27-$D$23)/100),DCF_Base!$L$19*DCF_Base!$B$29),DCF_Base!$L$19*DCF_Base!$B$29))/(1+$A$27/100)^DCF_Base!$L$4+Assumptions!$B$5-Assumptions!$B$4)/Assumptions!$B$3*Assumptions!$B$10</f>
        <v>63.2914699956372</v>
      </c>
      <c r="E27" s="0" t="n">
        <f aca="false">(SUMPRODUCT(DCF_Base!$C$19:$L$19/(1+$A$27/100)^DCF_Base!$C$4:$L$4)+MAX(0,MIN(IF($A$27&gt;$E$23,DCF_Base!$L$19*(1+$E$23/100)/(($A$27-$E$23)/100),DCF_Base!$L$19*DCF_Base!$B$29),DCF_Base!$L$19*DCF_Base!$B$29))/(1+$A$27/100)^DCF_Base!$L$4+Assumptions!$B$5-Assumptions!$B$4)/Assumptions!$B$3*Assumptions!$B$10</f>
        <v>64.2287933651015</v>
      </c>
      <c r="F27" s="0" t="n">
        <f aca="false">(SUMPRODUCT(DCF_Base!$C$19:$L$19/(1+$A$27/100)^DCF_Base!$C$4:$L$4)+MAX(0,MIN(IF($A$27&gt;$F$23,DCF_Base!$L$19*(1+$F$23/100)/(($A$27-$F$23)/100),DCF_Base!$L$19*DCF_Base!$B$29),DCF_Base!$L$19*DCF_Base!$B$29))/(1+$A$27/100)^DCF_Base!$L$4+Assumptions!$B$5-Assumptions!$B$4)/Assumptions!$B$3*Assumptions!$B$10</f>
        <v>65.1072713212362</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58.4645203201495</v>
      </c>
      <c r="C28" s="0" t="n">
        <f aca="false">(SUMPRODUCT(DCF_Base!$C$19:$L$19/(1+$A$28/100)^DCF_Base!$C$4:$L$4)+MAX(0,MIN(IF($A$28&gt;$C$23,DCF_Base!$L$19*(1+$C$23/100)/(($A$28-$C$23)/100),DCF_Base!$L$19*DCF_Base!$B$29),DCF_Base!$L$19*DCF_Base!$B$29))/(1+$A$28/100)^DCF_Base!$L$4+Assumptions!$B$5-Assumptions!$B$4)/Assumptions!$B$3*Assumptions!$B$10</f>
        <v>59.0491301839479</v>
      </c>
      <c r="D28" s="0" t="n">
        <f aca="false">(SUMPRODUCT(DCF_Base!$C$19:$L$19/(1+$A$28/100)^DCF_Base!$C$4:$L$4)+MAX(0,MIN(IF($A$28&gt;$D$23,DCF_Base!$L$19*(1+$D$23/100)/(($A$28-$D$23)/100),DCF_Base!$L$19*DCF_Base!$B$29),DCF_Base!$L$19*DCF_Base!$B$29))/(1+$A$28/100)^DCF_Base!$L$4+Assumptions!$B$5-Assumptions!$B$4)/Assumptions!$B$3*Assumptions!$B$10</f>
        <v>59.689417177632</v>
      </c>
      <c r="E28" s="0" t="n">
        <f aca="false">(SUMPRODUCT(DCF_Base!$C$19:$L$19/(1+$A$28/100)^DCF_Base!$C$4:$L$4)+MAX(0,MIN(IF($A$28&gt;$E$23,DCF_Base!$L$19*(1+$E$23/100)/(($A$28-$E$23)/100),DCF_Base!$L$19*DCF_Base!$B$29),DCF_Base!$L$19*DCF_Base!$B$29))/(1+$A$28/100)^DCF_Base!$L$4+Assumptions!$B$5-Assumptions!$B$4)/Assumptions!$B$3*Assumptions!$B$10</f>
        <v>60.3937328706844</v>
      </c>
      <c r="F28" s="0" t="n">
        <f aca="false">(SUMPRODUCT(DCF_Base!$C$19:$L$19/(1+$A$28/100)^DCF_Base!$C$4:$L$4)+MAX(0,MIN(IF($A$28&gt;$F$23,DCF_Base!$L$19*(1+$F$23/100)/(($A$28-$F$23)/100),DCF_Base!$L$19*DCF_Base!$B$29),DCF_Base!$L$19*DCF_Base!$B$29))/(1+$A$28/100)^DCF_Base!$L$4+Assumptions!$B$5-Assumptions!$B$4)/Assumptions!$B$3*Assumptions!$B$10</f>
        <v>61.1721870577423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2026-10-10T21:23:05Z</dcterms:created>
  <dc:creator>openpyxl</dc:creator>
  <dc:description/>
  <dc:language>en-NZ</dc:language>
  <cp:lastModifiedBy/>
  <dcterms:modified xsi:type="dcterms:W3CDTF">2026-10-10T21:23:05Z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