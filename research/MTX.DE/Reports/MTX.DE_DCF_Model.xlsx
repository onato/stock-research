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<sst xmlns="http://schemas.openxmlformats.org/spreadsheetml/2006/main" count="368" uniqueCount="169">
  <si>
    <t xml:space="preserve">Ticker</t>
  </si>
  <si>
    <t xml:space="preserve">MTX.DE</t>
  </si>
  <si>
    <t xml:space="preserve">Company</t>
  </si>
  <si>
    <t xml:space="preserve">MTU Aero Engines AG</t>
  </si>
  <si>
    <t xml:space="preserve">Valuation date</t>
  </si>
  <si>
    <t xml:space="preserve">2026-10-25</t>
  </si>
  <si>
    <t xml:space="preserve">Current price</t>
  </si>
  <si>
    <t xml:space="preserve">Price as of</t>
  </si>
  <si>
    <t xml:space="preserve">2026-10-23T15:35:22Z (Xetra regular close, 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</si>
  <si>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</si>
  <si>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</si>
  <si>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</si>
  <si>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</si>
  <si>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</si>
  <si>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</si>
  <si>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</si>
  <si>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</si>
  <si>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</si>
  <si>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</si>
  <si>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</si>
  <si>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</si>
  <si>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2026-10-25T01:16:43Z</t>
  </si>
  <si>
    <t xml:space="preserve">Drivers file</t>
  </si>
  <si>
    <t xml:space="preserve">MTX.DE_Drivers.json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</si>
  <si>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</si>
  <si>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</si>
  <si>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</si>
  <si>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Normalised owner-FCF DCF on adjusted EBIT, with the one-off GTF cash burden, pensions and NCI taken explicitly in the equity bridge. SBC is immaterial (cash-settled PSP already in OCF), so house and street bases coincide.
key_risks_to_valuation: PW1100G/GTF: further inspection findings or compensation beyond the 2026 end-date would enlarge the EUR 300m bridge deduction and depress OEM margins.; USD/EUR: ~80% of revenue is USD; guidance assumes 1.20. A 10% USD move swings EUR revenue and, partly hedged, EBIT.; Aftermarket cyclicality: spare-parts pricing and shop-visit volumes are the profit engine; an air-traffic shock hits them first.; Working-capital intensity: the -22% capture on incremental revenue is the largest single cash driver; if the OEM ramp needs more inventory and contract assets, conversion stays near the guided 50-60%.; Terminal value is ~70%+ of EV on a 10-year horizon; the cap multiples (15/18/20x) bound it.</t>
  </si>
  <si>
    <t xml:space="preserve">Data sources</t>
  </si>
  <si>
    <t xml:space="preserve">price: Yahoo Finance chart API at inputs.price_as_of; 52-week range 265.2-404.8
financials: MTX.DE_Metrics.csv / MTX.DE.duckdb core_metrics and kpis (FY2014-FY2025 annual, H1 2026); H1 2026 Half-Year Financial Report (balance sheet, net financial debt table, refund liabilities note, cash flow statement, FY2026 guidance); FY2025 Annual Report (share-based compensation note, GTF fleet management plan note, FCF commentary).
qualitative: MTX.DE_Analysis.json (bull/bear cases, 2030 targets of EUR 13-14bn revenue and 14.5-15.5% adjusted EBIT margin, GTF risk and cash-conversion commentary) plus the filings' outlook and risk report.</t>
  </si>
  <si>
    <t xml:space="preserve">Scenario narrative: bear</t>
  </si>
  <si>
    <t xml:space="preserve">The cycle turns: an oil/geopolitical shock hits air traffic and spare-parts demand just as further PW1100G findings extend compensation and inspection costs past 2026; a USD at 1.25+ erodes EUR revenue and margins (partially hedged), and the GTF-heavy MRO mix keeps margins near 13.5% adjusted EBIT. Growth slows to 2-5%.</t>
  </si>
  <si>
    <t xml:space="preserve">Scenario narrative: base</t>
  </si>
  <si>
    <t xml:space="preserve">MTU executes its FY2026 guidance (revenue EUR 9.2-9.7bn, adjusted EBIT EUR 1.35-1.45bn) and grows high single digits through 2029 on narrowbody production ramps, record installed-base shop visits on V2500 and GTF, and military growth; margins drift up ~1pp as spare-parts pricing holds. Cash conversion normalises to ~70% of adjusted NOPAT once the GTF fleet management plan payments end (charged once in the bridge), with working capital still absorbing ~22c per euro of incremental revenue.</t>
  </si>
  <si>
    <t xml:space="preserve">Scenario narrative: bull</t>
  </si>
  <si>
    <t xml:space="preserve">The aftermarket super-cycle runs longer: aircraft scarcity keeps old V2500s and CFM-era fleets flying, spare-parts list prices escalate faster than costs, GTF durability fixes cut shop-visit costs, and European rearmament lifts the military segment. Revenue compounds ~8% for a decade with adjusted EBIT margins reaching ~17%.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</si>
  <si>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</si>
  <si>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</si>
  <si>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</si>
  <si>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</si>
  <si>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</si>
  <si>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</si>
  <si>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</si>
  <si>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</si>
  <si>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</si>
  <si>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</si>
  <si>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</si>
  <si>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</si>
  <si>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</si>
  <si>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</si>
  <si>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</si>
  <si>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</si>
  <si>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</si>
  <si>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</si>
  <si>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</si>
  <si>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</si>
  <si>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</si>
  <si>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</si>
  <si>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</si>
  <si>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</si>
  <si>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</si>
  <si>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</si>
  <si>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</si>
  <si>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EPSDiluted</t>
  </si>
  <si>
    <t xml:space="preserve">NetIncomeAttributable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</si>
  <si>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</si>
  <si>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</si>
  <si>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</si>
  <si>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</si>
  <si>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</si>
  <si>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</si>
  <si>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</si>
  <si>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</si>
  <si>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</si>
  <si>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</si>
  <si>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</si>
  <si>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</si>
  <si>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</si>
  <si>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</si>
  <si>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</si>
  <si>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</si>
  <si>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</si>
  <si>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</si>
  <si>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</si>
  <si>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</si>
  <si>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</si>
  <si>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</si>
  <si>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</si>
  <si>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</si>
  <si>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</si>
  <si>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</si>
  <si>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</si>
  <si>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</si>
  <si>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</si>
  <si>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</si>
  <si>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</si>
  <si>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</si>
  <si>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</si>
  <si>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</si>
  <si>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</si>
  <si>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</si>
  <si>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</si>
  <si>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</si>
  <si>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</si>
  <si>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</si>
  <si>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</si>
  <si>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</si>
  <si>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</si>
  <si>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</si>
  <si>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</si>
  <si>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</si>
  <si>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</si>
  <si>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</si>
  <si>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</si>
  <si>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MTX.DE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</si>
  <si>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</si>
  <si>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</si>
  <si>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</si>
  <si>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</si>
  <si>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</si>
  <si>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</si>
  <si>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</si>
  <si>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</si>
  <si>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</si>
  <si>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</si>
  <si>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</si>
  <si>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</si>
  <si>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</si>
  <si>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</si>
  <si>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</si>
  <si>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</si>
  <si>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</si>
  <si>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</si>
  <si>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</si>
  <si>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</si>
  <si>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</si>
  <si>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</si>
  <si>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</si>
  <si>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</si>
  <si>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</si>
  <si>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</si>
  <si>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</si>
  <si>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</si>
  <si>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</si>
  <si>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</si>
  <si>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MTX.DE owner-FCF component DCF: base case (millions, EUR)</t>
  </si>
  <si>
    <t xml:space="preserve">MTX.DE owner-FCF component DCF: bull case (millions, EUR)</t>
  </si>
  <si>
    <t xml:space="preserve">MTX.DE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</si>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</sst>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316.7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</row>
    <row r="2" customFormat="false" ht="15" hidden="false" customHeight="false" outlineLevel="0" collapsed="false">
      <c r="A2" s="0" t="s">
        <v>65</v>
      </c>
      <c r="B2" s="0" t="n">
        <v>3913.9</v>
      </c>
      <c r="C2" s="0" t="n">
        <v>3375.4</v>
      </c>
      <c r="D2" s="0" t="n">
        <v>538.5</v>
      </c>
      <c r="E2" s="0" t="n">
        <v>13.8</v>
      </c>
      <c r="F2" s="0" t="n">
        <v>333.5</v>
      </c>
      <c r="G2" s="0" t="n">
        <v>8.5</v>
      </c>
      <c r="H2" s="0" t="n">
        <v>488.2</v>
      </c>
      <c r="I2" s="0" t="n">
        <v>195.4</v>
      </c>
      <c r="J2" s="0" t="n">
        <v>5</v>
      </c>
      <c r="K2" s="0" t="n">
        <v>3.84</v>
      </c>
      <c r="L2" s="0" t="n">
        <v>204.8</v>
      </c>
      <c r="M2" s="0" t="n">
        <v>201.5</v>
      </c>
      <c r="N2" s="0" t="n">
        <v>3.3</v>
      </c>
      <c r="O2" s="0" t="n">
        <v>1188.3</v>
      </c>
      <c r="P2" s="0" t="n">
        <v>4806.3</v>
      </c>
      <c r="Q2" s="0" t="n">
        <v>3618</v>
      </c>
      <c r="S2" s="0" t="n">
        <v>64.6</v>
      </c>
      <c r="T2" s="0" t="n">
        <v>50.94</v>
      </c>
      <c r="AA2" s="0" t="s">
        <v>17</v>
      </c>
      <c r="AB2" s="0" t="s">
        <v>14</v>
      </c>
      <c r="AC2" s="0" t="n">
        <v>3.83</v>
      </c>
      <c r="AD2" s="0" t="n">
        <v>195.6</v>
      </c>
    </row>
    <row r="3" customFormat="false" ht="15" hidden="false" customHeight="false" outlineLevel="0" collapsed="false">
      <c r="A3" s="0" t="s">
        <v>66</v>
      </c>
      <c r="B3" s="0" t="n">
        <v>4435.3</v>
      </c>
      <c r="C3" s="0" t="n">
        <v>3855</v>
      </c>
      <c r="D3" s="0" t="n">
        <v>580.3</v>
      </c>
      <c r="E3" s="0" t="n">
        <v>13.1</v>
      </c>
      <c r="F3" s="0" t="n">
        <v>385.6</v>
      </c>
      <c r="G3" s="0" t="n">
        <v>8.7</v>
      </c>
      <c r="H3" s="0" t="n">
        <v>548.8</v>
      </c>
      <c r="I3" s="0" t="n">
        <v>217.6</v>
      </c>
      <c r="J3" s="0" t="n">
        <v>4.9</v>
      </c>
      <c r="K3" s="0" t="n">
        <v>4.26</v>
      </c>
      <c r="L3" s="0" t="n">
        <v>296.2</v>
      </c>
      <c r="M3" s="0" t="n">
        <v>272.7</v>
      </c>
      <c r="N3" s="0" t="n">
        <v>23.5</v>
      </c>
      <c r="O3" s="0" t="n">
        <v>1300.6</v>
      </c>
      <c r="P3" s="0" t="n">
        <v>5188.3</v>
      </c>
      <c r="Q3" s="0" t="n">
        <v>3887.7</v>
      </c>
      <c r="S3" s="0" t="n">
        <v>53.1</v>
      </c>
      <c r="T3" s="0" t="n">
        <v>51.08</v>
      </c>
      <c r="AA3" s="0" t="s">
        <v>17</v>
      </c>
      <c r="AB3" s="0" t="s">
        <v>14</v>
      </c>
      <c r="AC3" s="0" t="n">
        <v>4.26</v>
      </c>
      <c r="AD3" s="0" t="n">
        <v>217.6</v>
      </c>
    </row>
    <row r="4" customFormat="false" ht="15" hidden="false" customHeight="false" outlineLevel="0" collapsed="false">
      <c r="A4" s="0" t="s">
        <v>67</v>
      </c>
      <c r="B4" s="0" t="n">
        <v>4732.7</v>
      </c>
      <c r="C4" s="0" t="n">
        <v>4074.8</v>
      </c>
      <c r="D4" s="0" t="n">
        <v>657.9</v>
      </c>
      <c r="E4" s="0" t="n">
        <v>13.9</v>
      </c>
      <c r="F4" s="0" t="n">
        <v>452.8</v>
      </c>
      <c r="G4" s="0" t="n">
        <v>9.6</v>
      </c>
      <c r="H4" s="0" t="n">
        <v>630.3</v>
      </c>
      <c r="I4" s="0" t="n">
        <v>312.6</v>
      </c>
      <c r="J4" s="0" t="n">
        <v>6.6</v>
      </c>
      <c r="K4" s="0" t="n">
        <v>6.09</v>
      </c>
      <c r="L4" s="0" t="n">
        <v>358</v>
      </c>
      <c r="M4" s="0" t="n">
        <v>267.5</v>
      </c>
      <c r="N4" s="0" t="n">
        <v>90.5</v>
      </c>
      <c r="O4" s="0" t="n">
        <v>1500.5</v>
      </c>
      <c r="P4" s="0" t="n">
        <v>5844.6</v>
      </c>
      <c r="Q4" s="0" t="n">
        <v>4344.1</v>
      </c>
      <c r="R4" s="0" t="n">
        <v>1361.9</v>
      </c>
      <c r="S4" s="0" t="n">
        <v>322.4</v>
      </c>
      <c r="T4" s="0" t="n">
        <v>51.26</v>
      </c>
      <c r="AA4" s="0" t="s">
        <v>17</v>
      </c>
      <c r="AB4" s="0" t="s">
        <v>14</v>
      </c>
      <c r="AC4" s="0" t="n">
        <v>5.83</v>
      </c>
      <c r="AD4" s="0" t="n">
        <v>312.2</v>
      </c>
    </row>
    <row r="5" customFormat="false" ht="15" hidden="false" customHeight="false" outlineLevel="0" collapsed="false">
      <c r="A5" s="0" t="s">
        <v>68</v>
      </c>
      <c r="B5" s="0" t="n">
        <v>5036.3</v>
      </c>
      <c r="C5" s="0" t="n">
        <v>4266.4</v>
      </c>
      <c r="D5" s="0" t="n">
        <v>769.9</v>
      </c>
      <c r="E5" s="0" t="n">
        <v>15.3</v>
      </c>
      <c r="F5" s="0" t="n">
        <v>555.3</v>
      </c>
      <c r="G5" s="0" t="n">
        <v>11</v>
      </c>
      <c r="H5" s="0" t="n">
        <v>751.5</v>
      </c>
      <c r="I5" s="0" t="n">
        <v>381.8</v>
      </c>
      <c r="J5" s="0" t="n">
        <v>7.6</v>
      </c>
      <c r="K5" s="0" t="n">
        <v>7.35</v>
      </c>
      <c r="L5" s="0" t="n">
        <v>482.5</v>
      </c>
      <c r="M5" s="0" t="n">
        <v>328.4</v>
      </c>
      <c r="N5" s="0" t="n">
        <v>154.1</v>
      </c>
      <c r="O5" s="0" t="n">
        <v>1989.8</v>
      </c>
      <c r="P5" s="0" t="n">
        <v>6049.5</v>
      </c>
      <c r="Q5" s="0" t="n">
        <v>4059.7</v>
      </c>
      <c r="R5" s="0" t="n">
        <v>1086.9</v>
      </c>
      <c r="S5" s="0" t="n">
        <v>106.1</v>
      </c>
      <c r="T5" s="0" t="n">
        <v>51.46</v>
      </c>
      <c r="AA5" s="0" t="s">
        <v>17</v>
      </c>
      <c r="AB5" s="0" t="s">
        <v>14</v>
      </c>
      <c r="AC5" s="0" t="n">
        <v>6.88</v>
      </c>
      <c r="AD5" s="0" t="n">
        <v>378.2</v>
      </c>
    </row>
    <row r="6" customFormat="false" ht="15" hidden="false" customHeight="false" outlineLevel="0" collapsed="false">
      <c r="A6" s="0" t="s">
        <v>69</v>
      </c>
      <c r="B6" s="0" t="n">
        <v>4567.1</v>
      </c>
      <c r="C6" s="0" t="n">
        <v>3715.8</v>
      </c>
      <c r="D6" s="0" t="n">
        <v>851.3</v>
      </c>
      <c r="E6" s="0" t="n">
        <v>18.6</v>
      </c>
      <c r="F6" s="0" t="n">
        <v>620.2</v>
      </c>
      <c r="G6" s="0" t="n">
        <v>13.6</v>
      </c>
      <c r="H6" s="0" t="n">
        <v>820.7</v>
      </c>
      <c r="I6" s="0" t="n">
        <v>453.3</v>
      </c>
      <c r="J6" s="0" t="n">
        <v>9.9</v>
      </c>
      <c r="K6" s="0" t="n">
        <v>8.67</v>
      </c>
      <c r="L6" s="0" t="n">
        <v>594.7</v>
      </c>
      <c r="M6" s="0" t="n">
        <v>271.4</v>
      </c>
      <c r="N6" s="0" t="n">
        <v>323.3</v>
      </c>
      <c r="O6" s="0" t="n">
        <v>2144.2</v>
      </c>
      <c r="P6" s="0" t="n">
        <v>6850.8</v>
      </c>
      <c r="Q6" s="0" t="n">
        <v>4706.6</v>
      </c>
      <c r="R6" s="0" t="n">
        <v>1032.2</v>
      </c>
      <c r="S6" s="0" t="n">
        <v>99</v>
      </c>
      <c r="T6" s="0" t="n">
        <v>51.56</v>
      </c>
      <c r="AA6" s="0" t="s">
        <v>17</v>
      </c>
      <c r="AB6" s="0" t="s">
        <v>14</v>
      </c>
      <c r="AC6" s="0" t="n">
        <v>8.1</v>
      </c>
      <c r="AD6" s="0" t="n">
        <v>447</v>
      </c>
    </row>
    <row r="7" customFormat="false" ht="15" hidden="false" customHeight="false" outlineLevel="0" collapsed="false">
      <c r="A7" s="0" t="s">
        <v>70</v>
      </c>
      <c r="B7" s="0" t="n">
        <v>4628.4</v>
      </c>
      <c r="C7" s="0" t="n">
        <v>3697.1</v>
      </c>
      <c r="D7" s="0" t="n">
        <v>931.3</v>
      </c>
      <c r="E7" s="0" t="n">
        <v>20.1</v>
      </c>
      <c r="F7" s="0" t="n">
        <v>705.6</v>
      </c>
      <c r="G7" s="0" t="n">
        <v>15.2</v>
      </c>
      <c r="H7" s="0" t="n">
        <v>965.1</v>
      </c>
      <c r="I7" s="0" t="n">
        <v>488.4</v>
      </c>
      <c r="J7" s="0" t="n">
        <v>10.6</v>
      </c>
      <c r="K7" s="0" t="n">
        <v>9.23</v>
      </c>
      <c r="L7" s="0" t="n">
        <v>831.7</v>
      </c>
      <c r="M7" s="0" t="n">
        <v>429.4</v>
      </c>
      <c r="N7" s="0" t="n">
        <v>402.3</v>
      </c>
      <c r="O7" s="0" t="n">
        <v>2421.2</v>
      </c>
      <c r="P7" s="0" t="n">
        <v>7765.3</v>
      </c>
      <c r="Q7" s="0" t="n">
        <v>5344.1</v>
      </c>
      <c r="R7" s="0" t="n">
        <v>1149.8</v>
      </c>
      <c r="S7" s="0" t="n">
        <v>139.5</v>
      </c>
      <c r="T7" s="0" t="n">
        <v>51.8</v>
      </c>
      <c r="AA7" s="0" t="s">
        <v>17</v>
      </c>
      <c r="AB7" s="0" t="s">
        <v>14</v>
      </c>
      <c r="AC7" s="0" t="n">
        <v>8.46</v>
      </c>
      <c r="AD7" s="0" t="n">
        <v>478.1</v>
      </c>
    </row>
    <row r="8" customFormat="false" ht="15" hidden="false" customHeight="false" outlineLevel="0" collapsed="false">
      <c r="A8" s="0" t="s">
        <v>71</v>
      </c>
      <c r="B8" s="0" t="n">
        <v>3977</v>
      </c>
      <c r="C8" s="0" t="n">
        <v>3484</v>
      </c>
      <c r="D8" s="0" t="n">
        <v>492</v>
      </c>
      <c r="E8" s="0" t="n">
        <v>12.4</v>
      </c>
      <c r="F8" s="0" t="n">
        <v>262</v>
      </c>
      <c r="G8" s="0" t="n">
        <v>6.6</v>
      </c>
      <c r="H8" s="0" t="n">
        <v>612</v>
      </c>
      <c r="I8" s="0" t="n">
        <v>147</v>
      </c>
      <c r="J8" s="0" t="n">
        <v>3.7</v>
      </c>
      <c r="K8" s="0" t="n">
        <v>2.63</v>
      </c>
      <c r="L8" s="0" t="n">
        <v>386</v>
      </c>
      <c r="M8" s="0" t="n">
        <v>237</v>
      </c>
      <c r="N8" s="0" t="n">
        <v>149</v>
      </c>
      <c r="O8" s="0" t="n">
        <v>2635</v>
      </c>
      <c r="P8" s="0" t="n">
        <v>8104</v>
      </c>
      <c r="Q8" s="0" t="n">
        <v>5469</v>
      </c>
      <c r="R8" s="0" t="n">
        <v>1586</v>
      </c>
      <c r="S8" s="0" t="n">
        <v>773</v>
      </c>
      <c r="T8" s="0" t="n">
        <v>52.85</v>
      </c>
      <c r="AA8" s="0" t="s">
        <v>17</v>
      </c>
      <c r="AB8" s="0" t="s">
        <v>14</v>
      </c>
      <c r="AC8" s="0" t="n">
        <v>2.59</v>
      </c>
      <c r="AD8" s="0" t="n">
        <v>139</v>
      </c>
    </row>
    <row r="9" customFormat="false" ht="15" hidden="false" customHeight="false" outlineLevel="0" collapsed="false">
      <c r="A9" s="0" t="s">
        <v>72</v>
      </c>
      <c r="B9" s="0" t="n">
        <v>4188</v>
      </c>
      <c r="C9" s="0" t="n">
        <v>3601</v>
      </c>
      <c r="D9" s="0" t="n">
        <v>586</v>
      </c>
      <c r="E9" s="0" t="n">
        <v>14</v>
      </c>
      <c r="F9" s="0" t="n">
        <v>355</v>
      </c>
      <c r="G9" s="0" t="n">
        <v>8.5</v>
      </c>
      <c r="H9" s="0" t="n">
        <v>712</v>
      </c>
      <c r="I9" s="0" t="n">
        <v>231</v>
      </c>
      <c r="J9" s="0" t="n">
        <v>5.5</v>
      </c>
      <c r="K9" s="0" t="n">
        <v>4.17</v>
      </c>
      <c r="L9" s="0" t="n">
        <v>567</v>
      </c>
      <c r="M9" s="0" t="n">
        <v>344</v>
      </c>
      <c r="N9" s="0" t="n">
        <v>223</v>
      </c>
      <c r="O9" s="0" t="n">
        <v>2760</v>
      </c>
      <c r="P9" s="0" t="n">
        <v>8304</v>
      </c>
      <c r="Q9" s="0" t="n">
        <v>5543</v>
      </c>
      <c r="R9" s="0" t="n">
        <v>1451</v>
      </c>
      <c r="S9" s="0" t="n">
        <v>722</v>
      </c>
      <c r="T9" s="0" t="n">
        <v>53.24</v>
      </c>
      <c r="AA9" s="0" t="s">
        <v>17</v>
      </c>
      <c r="AB9" s="0" t="s">
        <v>14</v>
      </c>
      <c r="AC9" s="0" t="n">
        <v>4.09</v>
      </c>
      <c r="AD9" s="0" t="n">
        <v>222</v>
      </c>
    </row>
    <row r="10" customFormat="false" ht="15" hidden="false" customHeight="false" outlineLevel="0" collapsed="false">
      <c r="A10" s="0" t="s">
        <v>73</v>
      </c>
      <c r="B10" s="0" t="n">
        <v>5330</v>
      </c>
      <c r="C10" s="0" t="n">
        <v>4475</v>
      </c>
      <c r="D10" s="0" t="n">
        <v>855</v>
      </c>
      <c r="E10" s="0" t="n">
        <v>16</v>
      </c>
      <c r="F10" s="0" t="n">
        <v>508</v>
      </c>
      <c r="G10" s="0" t="n">
        <v>9.5</v>
      </c>
      <c r="H10" s="0" t="n">
        <v>864</v>
      </c>
      <c r="I10" s="0" t="n">
        <v>333</v>
      </c>
      <c r="J10" s="0" t="n">
        <v>6.2</v>
      </c>
      <c r="K10" s="0" t="n">
        <v>6.21</v>
      </c>
      <c r="L10" s="0" t="n">
        <v>728</v>
      </c>
      <c r="M10" s="0" t="n">
        <v>381</v>
      </c>
      <c r="N10" s="0" t="n">
        <v>347</v>
      </c>
      <c r="O10" s="0" t="n">
        <v>3107</v>
      </c>
      <c r="P10" s="0" t="n">
        <v>9230</v>
      </c>
      <c r="Q10" s="0" t="n">
        <v>6123</v>
      </c>
      <c r="R10" s="0" t="n">
        <v>1635</v>
      </c>
      <c r="S10" s="0" t="n">
        <v>823</v>
      </c>
      <c r="T10" s="0" t="n">
        <v>53.3</v>
      </c>
      <c r="AA10" s="0" t="s">
        <v>17</v>
      </c>
      <c r="AB10" s="0" t="s">
        <v>14</v>
      </c>
      <c r="AC10" s="0" t="n">
        <v>6.06</v>
      </c>
      <c r="AD10" s="0" t="n">
        <v>331</v>
      </c>
    </row>
    <row r="11" customFormat="false" ht="15" hidden="false" customHeight="false" outlineLevel="0" collapsed="false">
      <c r="A11" s="0" t="s">
        <v>74</v>
      </c>
      <c r="B11" s="0" t="n">
        <v>5363</v>
      </c>
      <c r="C11" s="0" t="n">
        <v>5245</v>
      </c>
      <c r="D11" s="0" t="n">
        <v>118</v>
      </c>
      <c r="E11" s="0" t="n">
        <v>2.2</v>
      </c>
      <c r="F11" s="0" t="n">
        <v>-161</v>
      </c>
      <c r="G11" s="0" t="n">
        <v>-3</v>
      </c>
      <c r="H11" s="0" t="n">
        <v>171</v>
      </c>
      <c r="I11" s="0" t="n">
        <v>-97</v>
      </c>
      <c r="J11" s="0" t="n">
        <v>-1.8</v>
      </c>
      <c r="K11" s="0" t="n">
        <v>-1.9</v>
      </c>
      <c r="L11" s="0" t="n">
        <v>777</v>
      </c>
      <c r="M11" s="0" t="n">
        <v>412</v>
      </c>
      <c r="N11" s="0" t="n">
        <v>365</v>
      </c>
      <c r="O11" s="0" t="n">
        <v>2933</v>
      </c>
      <c r="P11" s="0" t="n">
        <v>10204</v>
      </c>
      <c r="Q11" s="0" t="n">
        <v>7271</v>
      </c>
      <c r="R11" s="0" t="n">
        <v>1566</v>
      </c>
      <c r="S11" s="0" t="n">
        <v>883</v>
      </c>
      <c r="T11" s="0" t="n">
        <v>53.68</v>
      </c>
      <c r="AA11" s="0" t="s">
        <v>17</v>
      </c>
      <c r="AB11" s="0" t="s">
        <v>14</v>
      </c>
      <c r="AC11" s="0" t="n">
        <v>-1.9</v>
      </c>
      <c r="AD11" s="0" t="n">
        <v>-102</v>
      </c>
    </row>
    <row r="12" customFormat="false" ht="15" hidden="false" customHeight="false" outlineLevel="0" collapsed="false">
      <c r="A12" s="0" t="s">
        <v>75</v>
      </c>
      <c r="B12" s="0" t="n">
        <v>7411</v>
      </c>
      <c r="C12" s="0" t="n">
        <v>6178</v>
      </c>
      <c r="D12" s="0" t="n">
        <v>1233</v>
      </c>
      <c r="E12" s="0" t="n">
        <v>16.6</v>
      </c>
      <c r="F12" s="0" t="n">
        <v>955</v>
      </c>
      <c r="G12" s="0" t="n">
        <v>12.9</v>
      </c>
      <c r="H12" s="0" t="n">
        <v>1433</v>
      </c>
      <c r="I12" s="0" t="n">
        <v>642</v>
      </c>
      <c r="J12" s="0" t="n">
        <v>8.7</v>
      </c>
      <c r="K12" s="0" t="n">
        <v>11.77</v>
      </c>
      <c r="L12" s="0" t="n">
        <v>714</v>
      </c>
      <c r="M12" s="0" t="n">
        <v>640</v>
      </c>
      <c r="N12" s="0" t="n">
        <v>74</v>
      </c>
      <c r="O12" s="0" t="n">
        <v>3438</v>
      </c>
      <c r="P12" s="0" t="n">
        <v>12484</v>
      </c>
      <c r="Q12" s="0" t="n">
        <v>9046</v>
      </c>
      <c r="R12" s="0" t="n">
        <v>2833</v>
      </c>
      <c r="S12" s="0" t="n">
        <v>1747</v>
      </c>
      <c r="T12" s="0" t="n">
        <v>53.78</v>
      </c>
      <c r="AA12" s="0" t="s">
        <v>17</v>
      </c>
      <c r="AB12" s="0" t="s">
        <v>14</v>
      </c>
      <c r="AC12" s="0" t="n">
        <v>11.53</v>
      </c>
      <c r="AD12" s="0" t="n">
        <v>633</v>
      </c>
    </row>
    <row r="13" customFormat="false" ht="15" hidden="false" customHeight="false" outlineLevel="0" collapsed="false">
      <c r="A13" s="0" t="s">
        <v>76</v>
      </c>
      <c r="B13" s="0" t="n">
        <v>8763</v>
      </c>
      <c r="C13" s="0" t="n">
        <v>7075</v>
      </c>
      <c r="D13" s="0" t="n">
        <v>1688</v>
      </c>
      <c r="E13" s="0" t="n">
        <v>19.3</v>
      </c>
      <c r="F13" s="0" t="n">
        <v>1379</v>
      </c>
      <c r="G13" s="0" t="n">
        <v>15.7</v>
      </c>
      <c r="H13" s="0" t="n">
        <v>1794</v>
      </c>
      <c r="I13" s="0" t="n">
        <v>1028</v>
      </c>
      <c r="J13" s="0" t="n">
        <v>11.7</v>
      </c>
      <c r="K13" s="0" t="n">
        <v>18.9</v>
      </c>
      <c r="L13" s="0" t="n">
        <v>848</v>
      </c>
      <c r="M13" s="0" t="n">
        <v>515</v>
      </c>
      <c r="N13" s="0" t="n">
        <v>333</v>
      </c>
      <c r="O13" s="0" t="n">
        <v>4375</v>
      </c>
      <c r="P13" s="0" t="n">
        <v>12721</v>
      </c>
      <c r="Q13" s="0" t="n">
        <v>8345</v>
      </c>
      <c r="R13" s="0" t="n">
        <v>2428</v>
      </c>
      <c r="S13" s="0" t="n">
        <v>1256</v>
      </c>
      <c r="T13" s="0" t="n">
        <v>53.76</v>
      </c>
      <c r="AA13" s="0" t="s">
        <v>17</v>
      </c>
      <c r="AB13" s="0" t="s">
        <v>14</v>
      </c>
      <c r="AC13" s="0" t="n">
        <v>18.49</v>
      </c>
      <c r="AD13" s="0" t="n">
        <v>1016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316.7</v>
      </c>
    </row>
    <row r="3" customFormat="false" ht="15" hidden="false" customHeight="false" outlineLevel="0" collapsed="false">
      <c r="A3" s="0" t="s">
        <v>80</v>
      </c>
      <c r="B3" s="3" t="n">
        <v>53.8</v>
      </c>
    </row>
    <row r="4" customFormat="false" ht="15" hidden="false" customHeight="false" outlineLevel="0" collapsed="false">
      <c r="A4" s="0" t="s">
        <v>81</v>
      </c>
      <c r="B4" s="3" t="n">
        <v>1224</v>
      </c>
    </row>
    <row r="5" customFormat="false" ht="15" hidden="false" customHeight="false" outlineLevel="0" collapsed="false">
      <c r="A5" s="0" t="s">
        <v>82</v>
      </c>
      <c r="B5" s="3" t="n">
        <v>-940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8763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5</v>
      </c>
      <c r="D13" s="3" t="n">
        <v>4</v>
      </c>
      <c r="E13" s="3" t="n">
        <v>4</v>
      </c>
      <c r="F13" s="3" t="n">
        <v>4</v>
      </c>
      <c r="G13" s="3" t="n">
        <v>3.5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18.8</v>
      </c>
      <c r="D14" s="3" t="n">
        <v>18.5</v>
      </c>
      <c r="E14" s="3" t="n">
        <v>18.3</v>
      </c>
      <c r="F14" s="3" t="n">
        <v>18.2</v>
      </c>
      <c r="G14" s="3" t="n">
        <v>18</v>
      </c>
      <c r="H14" s="3" t="n">
        <v>18</v>
      </c>
      <c r="I14" s="3" t="n">
        <v>18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102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104</v>
      </c>
      <c r="C17" s="3" t="n">
        <v>4.6</v>
      </c>
      <c r="D17" s="3" t="n">
        <v>4.6</v>
      </c>
      <c r="E17" s="3" t="n">
        <v>4.6</v>
      </c>
      <c r="F17" s="3" t="n">
        <v>4.5</v>
      </c>
      <c r="G17" s="3" t="n">
        <v>4.5</v>
      </c>
      <c r="H17" s="3" t="n">
        <v>4.5</v>
      </c>
      <c r="I17" s="3" t="n">
        <v>4.5</v>
      </c>
      <c r="J17" s="3" t="n">
        <v>4.5</v>
      </c>
      <c r="K17" s="3" t="n">
        <v>4.5</v>
      </c>
      <c r="L17" s="3" t="n">
        <v>4.5</v>
      </c>
    </row>
    <row r="18" customFormat="false" ht="15" hidden="false" customHeight="false" outlineLevel="0" collapsed="false">
      <c r="A18" s="0" t="s">
        <v>105</v>
      </c>
      <c r="C18" s="3" t="n">
        <v>6.6</v>
      </c>
      <c r="D18" s="3" t="n">
        <v>6.5</v>
      </c>
      <c r="E18" s="3" t="n">
        <v>6.3</v>
      </c>
      <c r="F18" s="3" t="n">
        <v>6.1</v>
      </c>
      <c r="G18" s="3" t="n">
        <v>6</v>
      </c>
      <c r="H18" s="3" t="n">
        <v>5.8</v>
      </c>
      <c r="I18" s="3" t="n">
        <v>5.7</v>
      </c>
      <c r="J18" s="3" t="n">
        <v>5.6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106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107</v>
      </c>
      <c r="B20" s="3" t="n">
        <v>8.5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15</v>
      </c>
    </row>
    <row r="23" customFormat="false" ht="15" hidden="false" customHeight="false" outlineLevel="0" collapsed="false">
      <c r="A23" s="0" t="s">
        <v>110</v>
      </c>
      <c r="B23" s="3" t="n">
        <v>-22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7.8</v>
      </c>
      <c r="D27" s="3" t="n">
        <v>8</v>
      </c>
      <c r="E27" s="3" t="n">
        <v>7.5</v>
      </c>
      <c r="F27" s="3" t="n">
        <v>7</v>
      </c>
      <c r="G27" s="3" t="n">
        <v>6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101</v>
      </c>
      <c r="C28" s="3" t="n">
        <v>19.4</v>
      </c>
      <c r="D28" s="3" t="n">
        <v>19.6</v>
      </c>
      <c r="E28" s="3" t="n">
        <v>19.8</v>
      </c>
      <c r="F28" s="3" t="n">
        <v>19.9</v>
      </c>
      <c r="G28" s="3" t="n">
        <v>20</v>
      </c>
      <c r="H28" s="3" t="n">
        <v>20</v>
      </c>
      <c r="I28" s="3" t="n">
        <v>20</v>
      </c>
      <c r="J28" s="3" t="n">
        <v>20</v>
      </c>
      <c r="K28" s="3" t="n">
        <v>20</v>
      </c>
      <c r="L28" s="3" t="n">
        <v>20</v>
      </c>
    </row>
    <row r="29" customFormat="false" ht="15" hidden="false" customHeight="false" outlineLevel="0" collapsed="false">
      <c r="A29" s="0" t="s">
        <v>102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104</v>
      </c>
      <c r="C31" s="3" t="n">
        <v>4.6</v>
      </c>
      <c r="D31" s="3" t="n">
        <v>4.6</v>
      </c>
      <c r="E31" s="3" t="n">
        <v>4.6</v>
      </c>
      <c r="F31" s="3" t="n">
        <v>4.5</v>
      </c>
      <c r="G31" s="3" t="n">
        <v>4.5</v>
      </c>
      <c r="H31" s="3" t="n">
        <v>4.5</v>
      </c>
      <c r="I31" s="3" t="n">
        <v>4.5</v>
      </c>
      <c r="J31" s="3" t="n">
        <v>4.5</v>
      </c>
      <c r="K31" s="3" t="n">
        <v>4.5</v>
      </c>
      <c r="L31" s="3" t="n">
        <v>4.5</v>
      </c>
    </row>
    <row r="32" customFormat="false" ht="15" hidden="false" customHeight="false" outlineLevel="0" collapsed="false">
      <c r="A32" s="0" t="s">
        <v>105</v>
      </c>
      <c r="C32" s="3" t="n">
        <v>6.6</v>
      </c>
      <c r="D32" s="3" t="n">
        <v>6.5</v>
      </c>
      <c r="E32" s="3" t="n">
        <v>6.3</v>
      </c>
      <c r="F32" s="3" t="n">
        <v>6.1</v>
      </c>
      <c r="G32" s="3" t="n">
        <v>6</v>
      </c>
      <c r="H32" s="3" t="n">
        <v>5.8</v>
      </c>
      <c r="I32" s="3" t="n">
        <v>5.7</v>
      </c>
      <c r="J32" s="3" t="n">
        <v>5.6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106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107</v>
      </c>
      <c r="B34" s="3" t="n">
        <v>8.5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18</v>
      </c>
    </row>
    <row r="37" customFormat="false" ht="15" hidden="false" customHeight="false" outlineLevel="0" collapsed="false">
      <c r="A37" s="0" t="s">
        <v>110</v>
      </c>
      <c r="B37" s="3" t="n">
        <v>-22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9</v>
      </c>
      <c r="D41" s="3" t="n">
        <v>10</v>
      </c>
      <c r="E41" s="3" t="n">
        <v>9</v>
      </c>
      <c r="F41" s="3" t="n">
        <v>8.5</v>
      </c>
      <c r="G41" s="3" t="n">
        <v>7.5</v>
      </c>
      <c r="H41" s="3" t="n">
        <v>6.5</v>
      </c>
      <c r="I41" s="3" t="n">
        <v>5.5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101</v>
      </c>
      <c r="C42" s="3" t="n">
        <v>19.8</v>
      </c>
      <c r="D42" s="3" t="n">
        <v>20.2</v>
      </c>
      <c r="E42" s="3" t="n">
        <v>20.5</v>
      </c>
      <c r="F42" s="3" t="n">
        <v>20.8</v>
      </c>
      <c r="G42" s="3" t="n">
        <v>21</v>
      </c>
      <c r="H42" s="3" t="n">
        <v>21</v>
      </c>
      <c r="I42" s="3" t="n">
        <v>21</v>
      </c>
      <c r="J42" s="3" t="n">
        <v>21</v>
      </c>
      <c r="K42" s="3" t="n">
        <v>21</v>
      </c>
      <c r="L42" s="3" t="n">
        <v>21</v>
      </c>
    </row>
    <row r="43" customFormat="false" ht="15" hidden="false" customHeight="false" outlineLevel="0" collapsed="false">
      <c r="A43" s="0" t="s">
        <v>102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104</v>
      </c>
      <c r="C45" s="3" t="n">
        <v>4.6</v>
      </c>
      <c r="D45" s="3" t="n">
        <v>4.6</v>
      </c>
      <c r="E45" s="3" t="n">
        <v>4.6</v>
      </c>
      <c r="F45" s="3" t="n">
        <v>4.5</v>
      </c>
      <c r="G45" s="3" t="n">
        <v>4.5</v>
      </c>
      <c r="H45" s="3" t="n">
        <v>4.5</v>
      </c>
      <c r="I45" s="3" t="n">
        <v>4.5</v>
      </c>
      <c r="J45" s="3" t="n">
        <v>4.5</v>
      </c>
      <c r="K45" s="3" t="n">
        <v>4.5</v>
      </c>
      <c r="L45" s="3" t="n">
        <v>4.5</v>
      </c>
    </row>
    <row r="46" customFormat="false" ht="15" hidden="false" customHeight="false" outlineLevel="0" collapsed="false">
      <c r="A46" s="0" t="s">
        <v>105</v>
      </c>
      <c r="C46" s="3" t="n">
        <v>6.6</v>
      </c>
      <c r="D46" s="3" t="n">
        <v>6.4</v>
      </c>
      <c r="E46" s="3" t="n">
        <v>6.2</v>
      </c>
      <c r="F46" s="3" t="n">
        <v>6</v>
      </c>
      <c r="G46" s="3" t="n">
        <v>5.8</v>
      </c>
      <c r="H46" s="3" t="n">
        <v>5.6</v>
      </c>
      <c r="I46" s="3" t="n">
        <v>5.5</v>
      </c>
      <c r="J46" s="3" t="n">
        <v>5.4</v>
      </c>
      <c r="K46" s="3" t="n">
        <v>5.3</v>
      </c>
      <c r="L46" s="3" t="n">
        <v>5.3</v>
      </c>
    </row>
    <row r="47" customFormat="false" ht="15" hidden="false" customHeight="false" outlineLevel="0" collapsed="false">
      <c r="A47" s="0" t="s">
        <v>106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107</v>
      </c>
      <c r="B48" s="3" t="n">
        <v>8.5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20</v>
      </c>
    </row>
    <row r="51" customFormat="false" ht="15" hidden="false" customHeight="false" outlineLevel="0" collapsed="false">
      <c r="A51" s="0" t="s">
        <v>110</v>
      </c>
      <c r="B51" s="3" t="n">
        <v>-20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5</v>
      </c>
      <c r="D5" s="4" t="n">
        <f aca="false">Assumptions!D13</f>
        <v>4</v>
      </c>
      <c r="E5" s="4" t="n">
        <f aca="false">Assumptions!E13</f>
        <v>4</v>
      </c>
      <c r="F5" s="4" t="n">
        <f aca="false">Assumptions!F13</f>
        <v>4</v>
      </c>
      <c r="G5" s="4" t="n">
        <f aca="false">Assumptions!G13</f>
        <v>3.5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8763</v>
      </c>
      <c r="C6" s="0" t="n">
        <f aca="false">B6*(1+C5/100)</f>
        <v>9201.15</v>
      </c>
      <c r="D6" s="0" t="n">
        <f aca="false">C6*(1+D5/100)</f>
        <v>9569.196</v>
      </c>
      <c r="E6" s="0" t="n">
        <f aca="false">D6*(1+E5/100)</f>
        <v>9951.96384</v>
      </c>
      <c r="F6" s="0" t="n">
        <f aca="false">E6*(1+F5/100)</f>
        <v>10350.0423936</v>
      </c>
      <c r="G6" s="0" t="n">
        <f aca="false">F6*(1+G5/100)</f>
        <v>10712.293877376</v>
      </c>
      <c r="H6" s="0" t="n">
        <f aca="false">G6*(1+H5/100)</f>
        <v>11033.6626936973</v>
      </c>
      <c r="I6" s="0" t="n">
        <f aca="false">H6*(1+I5/100)</f>
        <v>11364.6725745082</v>
      </c>
      <c r="J6" s="0" t="n">
        <f aca="false">I6*(1+J5/100)</f>
        <v>11648.7893888709</v>
      </c>
      <c r="K6" s="0" t="n">
        <f aca="false">J6*(1+K5/100)</f>
        <v>11940.0091235927</v>
      </c>
      <c r="L6" s="0" t="n">
        <f aca="false">K6*(1+L5/100)</f>
        <v>12178.8093060645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18.8</v>
      </c>
      <c r="D7" s="4" t="n">
        <f aca="false">Assumptions!D14</f>
        <v>18.5</v>
      </c>
      <c r="E7" s="4" t="n">
        <f aca="false">Assumptions!E14</f>
        <v>18.3</v>
      </c>
      <c r="F7" s="4" t="n">
        <f aca="false">Assumptions!F14</f>
        <v>18.2</v>
      </c>
      <c r="G7" s="4" t="n">
        <f aca="false">Assumptions!G14</f>
        <v>18</v>
      </c>
      <c r="H7" s="4" t="n">
        <f aca="false">Assumptions!H14</f>
        <v>18</v>
      </c>
      <c r="I7" s="4" t="n">
        <f aca="false">Assumptions!I14</f>
        <v>18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1729.8162</v>
      </c>
      <c r="D8" s="0" t="n">
        <f aca="false">D6*D7/100</f>
        <v>1770.30126</v>
      </c>
      <c r="E8" s="0" t="n">
        <f aca="false">E6*E7/100</f>
        <v>1821.20938272</v>
      </c>
      <c r="F8" s="0" t="n">
        <f aca="false">F6*F7/100</f>
        <v>1883.7077156352</v>
      </c>
      <c r="G8" s="0" t="n">
        <f aca="false">G6*G7/100</f>
        <v>1928.21289792768</v>
      </c>
      <c r="H8" s="0" t="n">
        <f aca="false">H6*H7/100</f>
        <v>1986.05928486551</v>
      </c>
      <c r="I8" s="0" t="n">
        <f aca="false">I6*I7/100</f>
        <v>2045.64106341148</v>
      </c>
      <c r="J8" s="0" t="n">
        <f aca="false">J6*J7/100</f>
        <v>2096.78208999676</v>
      </c>
      <c r="K8" s="0" t="n">
        <f aca="false">K6*K7/100</f>
        <v>2149.20164224668</v>
      </c>
      <c r="L8" s="0" t="n">
        <f aca="false">L6*L7/100</f>
        <v>2192.18567509162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1729.8162</v>
      </c>
      <c r="D11" s="0" t="n">
        <f aca="false">D8+D10+D24</f>
        <v>1770.30126</v>
      </c>
      <c r="E11" s="0" t="n">
        <f aca="false">E8+E10+E24</f>
        <v>1821.20938272</v>
      </c>
      <c r="F11" s="0" t="n">
        <f aca="false">F8+F10+F24</f>
        <v>1883.7077156352</v>
      </c>
      <c r="G11" s="0" t="n">
        <f aca="false">G8+G10+G24</f>
        <v>1928.21289792768</v>
      </c>
      <c r="H11" s="0" t="n">
        <f aca="false">H8+H10+H24</f>
        <v>1986.05928486551</v>
      </c>
      <c r="I11" s="0" t="n">
        <f aca="false">I8+I10+I24</f>
        <v>2045.64106341148</v>
      </c>
      <c r="J11" s="0" t="n">
        <f aca="false">J8+J10+J24</f>
        <v>2096.78208999676</v>
      </c>
      <c r="K11" s="0" t="n">
        <f aca="false">K8+K10+K24</f>
        <v>2149.20164224668</v>
      </c>
      <c r="L11" s="0" t="n">
        <f aca="false">L8+L10+L24</f>
        <v>2192.18567509162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-423.2529</v>
      </c>
      <c r="D12" s="4" t="n">
        <f aca="false">-D6*Assumptions!D17/100</f>
        <v>-440.183016</v>
      </c>
      <c r="E12" s="4" t="n">
        <f aca="false">-E6*Assumptions!E17/100</f>
        <v>-457.79033664</v>
      </c>
      <c r="F12" s="4" t="n">
        <f aca="false">-F6*Assumptions!F17/100</f>
        <v>-465.751907712</v>
      </c>
      <c r="G12" s="4" t="n">
        <f aca="false">-G6*Assumptions!G17/100</f>
        <v>-482.05322448192</v>
      </c>
      <c r="H12" s="4" t="n">
        <f aca="false">-H6*Assumptions!H17/100</f>
        <v>-496.514821216378</v>
      </c>
      <c r="I12" s="4" t="n">
        <f aca="false">-I6*Assumptions!I17/100</f>
        <v>-511.410265852869</v>
      </c>
      <c r="J12" s="4" t="n">
        <f aca="false">-J6*Assumptions!J17/100</f>
        <v>-524.195522499191</v>
      </c>
      <c r="K12" s="4" t="n">
        <f aca="false">-K6*Assumptions!K17/100</f>
        <v>-537.30041056167</v>
      </c>
      <c r="L12" s="4" t="n">
        <f aca="false">-L6*Assumptions!L17/100</f>
        <v>-548.046418772904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1306.5633</v>
      </c>
      <c r="D13" s="0" t="n">
        <f aca="false">D11+D12</f>
        <v>1330.118244</v>
      </c>
      <c r="E13" s="0" t="n">
        <f aca="false">E11+E12</f>
        <v>1363.41904608</v>
      </c>
      <c r="F13" s="0" t="n">
        <f aca="false">F11+F12</f>
        <v>1417.9558079232</v>
      </c>
      <c r="G13" s="0" t="n">
        <f aca="false">G11+G12</f>
        <v>1446.15967344576</v>
      </c>
      <c r="H13" s="0" t="n">
        <f aca="false">H11+H12</f>
        <v>1489.54446364913</v>
      </c>
      <c r="I13" s="0" t="n">
        <f aca="false">I11+I12</f>
        <v>1534.23079755861</v>
      </c>
      <c r="J13" s="0" t="n">
        <f aca="false">J11+J12</f>
        <v>1572.58656749757</v>
      </c>
      <c r="K13" s="0" t="n">
        <f aca="false">K11+K12</f>
        <v>1611.90123168501</v>
      </c>
      <c r="L13" s="0" t="n">
        <f aca="false">L11+L12</f>
        <v>1644.13925631871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966.856842</v>
      </c>
      <c r="D15" s="0" t="n">
        <f aca="false">D13-MAX(0,D13)*D14/100</f>
        <v>984.28750056</v>
      </c>
      <c r="E15" s="0" t="n">
        <f aca="false">E13-MAX(0,E13)*E14/100</f>
        <v>1008.9300940992</v>
      </c>
      <c r="F15" s="0" t="n">
        <f aca="false">F13-MAX(0,F13)*F14/100</f>
        <v>1049.28729786317</v>
      </c>
      <c r="G15" s="0" t="n">
        <f aca="false">G13-MAX(0,G13)*G14/100</f>
        <v>1070.15815834986</v>
      </c>
      <c r="H15" s="0" t="n">
        <f aca="false">H13-MAX(0,H13)*H14/100</f>
        <v>1102.26290310036</v>
      </c>
      <c r="I15" s="0" t="n">
        <f aca="false">I13-MAX(0,I13)*I14/100</f>
        <v>1135.33079019337</v>
      </c>
      <c r="J15" s="0" t="n">
        <f aca="false">J13-MAX(0,J13)*J14/100</f>
        <v>1163.7140599482</v>
      </c>
      <c r="K15" s="0" t="n">
        <f aca="false">K13-MAX(0,K13)*K14/100</f>
        <v>1192.80691144691</v>
      </c>
      <c r="L15" s="0" t="n">
        <f aca="false">L13-MAX(0,L13)*L14/100</f>
        <v>1216.66304967585</v>
      </c>
    </row>
    <row r="16" customFormat="false" ht="15" hidden="false" customHeight="false" outlineLevel="0" collapsed="false">
      <c r="A16" s="0" t="s">
        <v>122</v>
      </c>
      <c r="C16" s="0" t="n">
        <f aca="false">-C12</f>
        <v>423.2529</v>
      </c>
      <c r="D16" s="0" t="n">
        <f aca="false">-D12</f>
        <v>440.183016</v>
      </c>
      <c r="E16" s="0" t="n">
        <f aca="false">-E12</f>
        <v>457.79033664</v>
      </c>
      <c r="F16" s="0" t="n">
        <f aca="false">-F12</f>
        <v>465.751907712</v>
      </c>
      <c r="G16" s="0" t="n">
        <f aca="false">-G12</f>
        <v>482.05322448192</v>
      </c>
      <c r="H16" s="0" t="n">
        <f aca="false">-H12</f>
        <v>496.514821216378</v>
      </c>
      <c r="I16" s="0" t="n">
        <f aca="false">-I12</f>
        <v>511.410265852869</v>
      </c>
      <c r="J16" s="0" t="n">
        <f aca="false">-J12</f>
        <v>524.195522499191</v>
      </c>
      <c r="K16" s="0" t="n">
        <f aca="false">-K12</f>
        <v>537.30041056167</v>
      </c>
      <c r="L16" s="0" t="n">
        <f aca="false">-L12</f>
        <v>548.046418772904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-607.2759</v>
      </c>
      <c r="D17" s="4" t="n">
        <f aca="false">-D6*Assumptions!D18/100</f>
        <v>-621.99774</v>
      </c>
      <c r="E17" s="4" t="n">
        <f aca="false">-E6*Assumptions!E18/100</f>
        <v>-626.97372192</v>
      </c>
      <c r="F17" s="4" t="n">
        <f aca="false">-F6*Assumptions!F18/100</f>
        <v>-631.3525860096</v>
      </c>
      <c r="G17" s="4" t="n">
        <f aca="false">-G6*Assumptions!G18/100</f>
        <v>-642.73763264256</v>
      </c>
      <c r="H17" s="4" t="n">
        <f aca="false">-H6*Assumptions!H18/100</f>
        <v>-639.952436234442</v>
      </c>
      <c r="I17" s="4" t="n">
        <f aca="false">-I6*Assumptions!I18/100</f>
        <v>-647.786336746967</v>
      </c>
      <c r="J17" s="4" t="n">
        <f aca="false">-J6*Assumptions!J18/100</f>
        <v>-652.332205776771</v>
      </c>
      <c r="K17" s="4" t="n">
        <f aca="false">-K6*Assumptions!K18/100</f>
        <v>-656.700501797597</v>
      </c>
      <c r="L17" s="4" t="n">
        <f aca="false">-L6*Assumptions!L18/100</f>
        <v>-669.834511833549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-96.3929999999999</v>
      </c>
      <c r="D18" s="4" t="n">
        <f aca="false">(D6-C6)*Assumptions!$B$23/100</f>
        <v>-80.9701200000001</v>
      </c>
      <c r="E18" s="4" t="n">
        <f aca="false">(E6-D6)*Assumptions!$B$23/100</f>
        <v>-84.2089248000001</v>
      </c>
      <c r="F18" s="4" t="n">
        <f aca="false">(F6-E6)*Assumptions!$B$23/100</f>
        <v>-87.5772817920001</v>
      </c>
      <c r="G18" s="4" t="n">
        <f aca="false">(G6-F6)*Assumptions!$B$23/100</f>
        <v>-79.6953264307198</v>
      </c>
      <c r="H18" s="4" t="n">
        <f aca="false">(H6-G6)*Assumptions!$B$23/100</f>
        <v>-70.7011395906818</v>
      </c>
      <c r="I18" s="4" t="n">
        <f aca="false">(I6-H6)*Assumptions!$B$23/100</f>
        <v>-72.8221737784019</v>
      </c>
      <c r="J18" s="4" t="n">
        <f aca="false">(J6-I6)*Assumptions!$B$23/100</f>
        <v>-62.5056991597948</v>
      </c>
      <c r="K18" s="4" t="n">
        <f aca="false">(K6-J6)*Assumptions!$B$23/100</f>
        <v>-64.0683416387898</v>
      </c>
      <c r="L18" s="4" t="n">
        <f aca="false">(L6-K6)*Assumptions!$B$23/100</f>
        <v>-52.5360401438079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686.440842</v>
      </c>
      <c r="D19" s="0" t="n">
        <f aca="false">D15+D16+D17+D18</f>
        <v>721.50265656</v>
      </c>
      <c r="E19" s="0" t="n">
        <f aca="false">E15+E16+E17+E18</f>
        <v>755.5377840192</v>
      </c>
      <c r="F19" s="0" t="n">
        <f aca="false">F15+F16+F17+F18</f>
        <v>796.109337773568</v>
      </c>
      <c r="G19" s="0" t="n">
        <f aca="false">G15+G16+G17+G18</f>
        <v>829.778423758503</v>
      </c>
      <c r="H19" s="0" t="n">
        <f aca="false">H15+H16+H17+H18</f>
        <v>888.124148491612</v>
      </c>
      <c r="I19" s="0" t="n">
        <f aca="false">I15+I16+I17+I18</f>
        <v>926.132545520869</v>
      </c>
      <c r="J19" s="0" t="n">
        <f aca="false">J15+J16+J17+J18</f>
        <v>973.071677510829</v>
      </c>
      <c r="K19" s="0" t="n">
        <f aca="false">K15+K16+K17+K18</f>
        <v>1009.33847857219</v>
      </c>
      <c r="L19" s="0" t="n">
        <f aca="false">L15+L16+L17+L18</f>
        <v>1042.33891647139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632.664370506913</v>
      </c>
      <c r="D21" s="0" t="n">
        <f aca="false">D19*D20</f>
        <v>612.884246053219</v>
      </c>
      <c r="E21" s="0" t="n">
        <f aca="false">E19*E20</f>
        <v>591.516649779039</v>
      </c>
      <c r="F21" s="0" t="n">
        <f aca="false">F19*F20</f>
        <v>574.452025602997</v>
      </c>
      <c r="G21" s="0" t="n">
        <f aca="false">G19*G20</f>
        <v>551.840343064085</v>
      </c>
      <c r="H21" s="0" t="n">
        <f aca="false">H19*H20</f>
        <v>544.371336650955</v>
      </c>
      <c r="I21" s="0" t="n">
        <f aca="false">I19*I20</f>
        <v>523.196679272971</v>
      </c>
      <c r="J21" s="0" t="n">
        <f aca="false">J19*J20</f>
        <v>506.648692918432</v>
      </c>
      <c r="K21" s="0" t="n">
        <f aca="false">K19*K20</f>
        <v>484.361021380191</v>
      </c>
      <c r="L21" s="0" t="n">
        <f aca="false">L19*L20</f>
        <v>461.011300280658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5482.94666550946</v>
      </c>
    </row>
    <row r="31" customFormat="false" ht="15" hidden="false" customHeight="false" outlineLevel="0" collapsed="false">
      <c r="A31" s="0" t="s">
        <v>131</v>
      </c>
      <c r="B31" s="0" t="n">
        <f aca="false">L19</f>
        <v>1042.33891647139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16356.7029969357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15635.0837470709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15635.0837470709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6915.16950420987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12398.1161697193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10234.1161697193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190.225207615601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-0.399352044156612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190.225207615601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8178.35149846785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73.5934076486088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7.8</v>
      </c>
      <c r="D5" s="4" t="n">
        <f aca="false">Assumptions!D27</f>
        <v>8</v>
      </c>
      <c r="E5" s="4" t="n">
        <f aca="false">Assumptions!E27</f>
        <v>7.5</v>
      </c>
      <c r="F5" s="4" t="n">
        <f aca="false">Assumptions!F27</f>
        <v>7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8763</v>
      </c>
      <c r="C6" s="0" t="n">
        <f aca="false">B6*(1+C5/100)</f>
        <v>9446.514</v>
      </c>
      <c r="D6" s="0" t="n">
        <f aca="false">C6*(1+D5/100)</f>
        <v>10202.23512</v>
      </c>
      <c r="E6" s="0" t="n">
        <f aca="false">D6*(1+E5/100)</f>
        <v>10967.402754</v>
      </c>
      <c r="F6" s="0" t="n">
        <f aca="false">E6*(1+F5/100)</f>
        <v>11735.12094678</v>
      </c>
      <c r="G6" s="0" t="n">
        <f aca="false">F6*(1+G5/100)</f>
        <v>12439.2282035868</v>
      </c>
      <c r="H6" s="0" t="n">
        <f aca="false">G6*(1+H5/100)</f>
        <v>13061.1896137661</v>
      </c>
      <c r="I6" s="0" t="n">
        <f aca="false">H6*(1+I5/100)</f>
        <v>13648.9431463856</v>
      </c>
      <c r="J6" s="0" t="n">
        <f aca="false">I6*(1+J5/100)</f>
        <v>14194.900872241</v>
      </c>
      <c r="K6" s="0" t="n">
        <f aca="false">J6*(1+K5/100)</f>
        <v>14691.7224027695</v>
      </c>
      <c r="L6" s="0" t="n">
        <f aca="false">K6*(1+L5/100)</f>
        <v>15132.4740748526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19.4</v>
      </c>
      <c r="D7" s="4" t="n">
        <f aca="false">Assumptions!D28</f>
        <v>19.6</v>
      </c>
      <c r="E7" s="4" t="n">
        <f aca="false">Assumptions!E28</f>
        <v>19.8</v>
      </c>
      <c r="F7" s="4" t="n">
        <f aca="false">Assumptions!F28</f>
        <v>19.9</v>
      </c>
      <c r="G7" s="4" t="n">
        <f aca="false">Assumptions!G28</f>
        <v>20</v>
      </c>
      <c r="H7" s="4" t="n">
        <f aca="false">Assumptions!H28</f>
        <v>20</v>
      </c>
      <c r="I7" s="4" t="n">
        <f aca="false">Assumptions!I28</f>
        <v>20</v>
      </c>
      <c r="J7" s="4" t="n">
        <f aca="false">Assumptions!J28</f>
        <v>20</v>
      </c>
      <c r="K7" s="4" t="n">
        <f aca="false">Assumptions!K28</f>
        <v>20</v>
      </c>
      <c r="L7" s="4" t="n">
        <f aca="false">Assumptions!L28</f>
        <v>20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1832.623716</v>
      </c>
      <c r="D8" s="0" t="n">
        <f aca="false">D6*D7/100</f>
        <v>1999.63808352</v>
      </c>
      <c r="E8" s="0" t="n">
        <f aca="false">E6*E7/100</f>
        <v>2171.545745292</v>
      </c>
      <c r="F8" s="0" t="n">
        <f aca="false">F6*F7/100</f>
        <v>2335.28906840922</v>
      </c>
      <c r="G8" s="0" t="n">
        <f aca="false">G6*G7/100</f>
        <v>2487.84564071736</v>
      </c>
      <c r="H8" s="0" t="n">
        <f aca="false">H6*H7/100</f>
        <v>2612.23792275323</v>
      </c>
      <c r="I8" s="0" t="n">
        <f aca="false">I6*I7/100</f>
        <v>2729.78862927712</v>
      </c>
      <c r="J8" s="0" t="n">
        <f aca="false">J6*J7/100</f>
        <v>2838.98017444821</v>
      </c>
      <c r="K8" s="0" t="n">
        <f aca="false">K6*K7/100</f>
        <v>2938.3444805539</v>
      </c>
      <c r="L8" s="0" t="n">
        <f aca="false">L6*L7/100</f>
        <v>3026.49481497051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1832.623716</v>
      </c>
      <c r="D11" s="0" t="n">
        <f aca="false">D8+D10+D24</f>
        <v>1999.63808352</v>
      </c>
      <c r="E11" s="0" t="n">
        <f aca="false">E8+E10+E24</f>
        <v>2171.545745292</v>
      </c>
      <c r="F11" s="0" t="n">
        <f aca="false">F8+F10+F24</f>
        <v>2335.28906840922</v>
      </c>
      <c r="G11" s="0" t="n">
        <f aca="false">G8+G10+G24</f>
        <v>2487.84564071736</v>
      </c>
      <c r="H11" s="0" t="n">
        <f aca="false">H8+H10+H24</f>
        <v>2612.23792275323</v>
      </c>
      <c r="I11" s="0" t="n">
        <f aca="false">I8+I10+I24</f>
        <v>2729.78862927712</v>
      </c>
      <c r="J11" s="0" t="n">
        <f aca="false">J8+J10+J24</f>
        <v>2838.98017444821</v>
      </c>
      <c r="K11" s="0" t="n">
        <f aca="false">K8+K10+K24</f>
        <v>2938.3444805539</v>
      </c>
      <c r="L11" s="0" t="n">
        <f aca="false">L8+L10+L24</f>
        <v>3026.49481497051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-434.539644</v>
      </c>
      <c r="D12" s="4" t="n">
        <f aca="false">-D6*Assumptions!D31/100</f>
        <v>-469.30281552</v>
      </c>
      <c r="E12" s="4" t="n">
        <f aca="false">-E6*Assumptions!E31/100</f>
        <v>-504.500526684</v>
      </c>
      <c r="F12" s="4" t="n">
        <f aca="false">-F6*Assumptions!F31/100</f>
        <v>-528.0804426051</v>
      </c>
      <c r="G12" s="4" t="n">
        <f aca="false">-G6*Assumptions!G31/100</f>
        <v>-559.765269161406</v>
      </c>
      <c r="H12" s="4" t="n">
        <f aca="false">-H6*Assumptions!H31/100</f>
        <v>-587.753532619477</v>
      </c>
      <c r="I12" s="4" t="n">
        <f aca="false">-I6*Assumptions!I31/100</f>
        <v>-614.202441587353</v>
      </c>
      <c r="J12" s="4" t="n">
        <f aca="false">-J6*Assumptions!J31/100</f>
        <v>-638.770539250847</v>
      </c>
      <c r="K12" s="4" t="n">
        <f aca="false">-K6*Assumptions!K31/100</f>
        <v>-661.127508124627</v>
      </c>
      <c r="L12" s="4" t="n">
        <f aca="false">-L6*Assumptions!L31/100</f>
        <v>-680.961333368365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1398.084072</v>
      </c>
      <c r="D13" s="0" t="n">
        <f aca="false">D11+D12</f>
        <v>1530.335268</v>
      </c>
      <c r="E13" s="0" t="n">
        <f aca="false">E11+E12</f>
        <v>1667.045218608</v>
      </c>
      <c r="F13" s="0" t="n">
        <f aca="false">F11+F12</f>
        <v>1807.20862580412</v>
      </c>
      <c r="G13" s="0" t="n">
        <f aca="false">G11+G12</f>
        <v>1928.08037155595</v>
      </c>
      <c r="H13" s="0" t="n">
        <f aca="false">H11+H12</f>
        <v>2024.48439013375</v>
      </c>
      <c r="I13" s="0" t="n">
        <f aca="false">I11+I12</f>
        <v>2115.58618768977</v>
      </c>
      <c r="J13" s="0" t="n">
        <f aca="false">J11+J12</f>
        <v>2200.20963519736</v>
      </c>
      <c r="K13" s="0" t="n">
        <f aca="false">K11+K12</f>
        <v>2277.21697242927</v>
      </c>
      <c r="L13" s="0" t="n">
        <f aca="false">L11+L12</f>
        <v>2345.53348160215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1034.58221328</v>
      </c>
      <c r="D15" s="0" t="n">
        <f aca="false">D13-MAX(0,D13)*D14/100</f>
        <v>1132.44809832</v>
      </c>
      <c r="E15" s="0" t="n">
        <f aca="false">E13-MAX(0,E13)*E14/100</f>
        <v>1233.61346176992</v>
      </c>
      <c r="F15" s="0" t="n">
        <f aca="false">F13-MAX(0,F13)*F14/100</f>
        <v>1337.33438309505</v>
      </c>
      <c r="G15" s="0" t="n">
        <f aca="false">G13-MAX(0,G13)*G14/100</f>
        <v>1426.77947495141</v>
      </c>
      <c r="H15" s="0" t="n">
        <f aca="false">H13-MAX(0,H13)*H14/100</f>
        <v>1498.11844869898</v>
      </c>
      <c r="I15" s="0" t="n">
        <f aca="false">I13-MAX(0,I13)*I14/100</f>
        <v>1565.53377889043</v>
      </c>
      <c r="J15" s="0" t="n">
        <f aca="false">J13-MAX(0,J13)*J14/100</f>
        <v>1628.15513004605</v>
      </c>
      <c r="K15" s="0" t="n">
        <f aca="false">K13-MAX(0,K13)*K14/100</f>
        <v>1685.14055959766</v>
      </c>
      <c r="L15" s="0" t="n">
        <f aca="false">L13-MAX(0,L13)*L14/100</f>
        <v>1735.69477638559</v>
      </c>
    </row>
    <row r="16" customFormat="false" ht="15" hidden="false" customHeight="false" outlineLevel="0" collapsed="false">
      <c r="A16" s="0" t="s">
        <v>122</v>
      </c>
      <c r="C16" s="0" t="n">
        <f aca="false">-C12</f>
        <v>434.539644</v>
      </c>
      <c r="D16" s="0" t="n">
        <f aca="false">-D12</f>
        <v>469.30281552</v>
      </c>
      <c r="E16" s="0" t="n">
        <f aca="false">-E12</f>
        <v>504.500526684</v>
      </c>
      <c r="F16" s="0" t="n">
        <f aca="false">-F12</f>
        <v>528.0804426051</v>
      </c>
      <c r="G16" s="0" t="n">
        <f aca="false">-G12</f>
        <v>559.765269161406</v>
      </c>
      <c r="H16" s="0" t="n">
        <f aca="false">-H12</f>
        <v>587.753532619477</v>
      </c>
      <c r="I16" s="0" t="n">
        <f aca="false">-I12</f>
        <v>614.202441587353</v>
      </c>
      <c r="J16" s="0" t="n">
        <f aca="false">-J12</f>
        <v>638.770539250847</v>
      </c>
      <c r="K16" s="0" t="n">
        <f aca="false">-K12</f>
        <v>661.127508124627</v>
      </c>
      <c r="L16" s="0" t="n">
        <f aca="false">-L12</f>
        <v>680.961333368365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-623.469924</v>
      </c>
      <c r="D17" s="4" t="n">
        <f aca="false">-D6*Assumptions!D32/100</f>
        <v>-663.1452828</v>
      </c>
      <c r="E17" s="4" t="n">
        <f aca="false">-E6*Assumptions!E32/100</f>
        <v>-690.946373502</v>
      </c>
      <c r="F17" s="4" t="n">
        <f aca="false">-F6*Assumptions!F32/100</f>
        <v>-715.84237775358</v>
      </c>
      <c r="G17" s="4" t="n">
        <f aca="false">-G6*Assumptions!G32/100</f>
        <v>-746.353692215208</v>
      </c>
      <c r="H17" s="4" t="n">
        <f aca="false">-H6*Assumptions!H32/100</f>
        <v>-757.548997598436</v>
      </c>
      <c r="I17" s="4" t="n">
        <f aca="false">-I6*Assumptions!I32/100</f>
        <v>-777.98975934398</v>
      </c>
      <c r="J17" s="4" t="n">
        <f aca="false">-J6*Assumptions!J32/100</f>
        <v>-794.914448845499</v>
      </c>
      <c r="K17" s="4" t="n">
        <f aca="false">-K6*Assumptions!K32/100</f>
        <v>-808.044732152322</v>
      </c>
      <c r="L17" s="4" t="n">
        <f aca="false">-L6*Assumptions!L32/100</f>
        <v>-832.286074116891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-150.37308</v>
      </c>
      <c r="D18" s="4" t="n">
        <f aca="false">(D6-C6)*Assumptions!$B$37/100</f>
        <v>-166.2586464</v>
      </c>
      <c r="E18" s="4" t="n">
        <f aca="false">(E6-D6)*Assumptions!$B$37/100</f>
        <v>-168.33687948</v>
      </c>
      <c r="F18" s="4" t="n">
        <f aca="false">(F6-E6)*Assumptions!$B$37/100</f>
        <v>-168.8980024116</v>
      </c>
      <c r="G18" s="4" t="n">
        <f aca="false">(G6-F6)*Assumptions!$B$37/100</f>
        <v>-154.903596497496</v>
      </c>
      <c r="H18" s="4" t="n">
        <f aca="false">(H6-G6)*Assumptions!$B$37/100</f>
        <v>-136.831510239455</v>
      </c>
      <c r="I18" s="4" t="n">
        <f aca="false">(I6-H6)*Assumptions!$B$37/100</f>
        <v>-129.305777176285</v>
      </c>
      <c r="J18" s="4" t="n">
        <f aca="false">(J6-I6)*Assumptions!$B$37/100</f>
        <v>-120.110699688194</v>
      </c>
      <c r="K18" s="4" t="n">
        <f aca="false">(K6-J6)*Assumptions!$B$37/100</f>
        <v>-109.300736716256</v>
      </c>
      <c r="L18" s="4" t="n">
        <f aca="false">(L6-K6)*Assumptions!$B$37/100</f>
        <v>-96.9653678582786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695.27885328</v>
      </c>
      <c r="D19" s="0" t="n">
        <f aca="false">D15+D16+D17+D18</f>
        <v>772.34698464</v>
      </c>
      <c r="E19" s="0" t="n">
        <f aca="false">E15+E16+E17+E18</f>
        <v>878.83073547192</v>
      </c>
      <c r="F19" s="0" t="n">
        <f aca="false">F15+F16+F17+F18</f>
        <v>980.674445534969</v>
      </c>
      <c r="G19" s="0" t="n">
        <f aca="false">G15+G16+G17+G18</f>
        <v>1085.28745540011</v>
      </c>
      <c r="H19" s="0" t="n">
        <f aca="false">H15+H16+H17+H18</f>
        <v>1191.49147348056</v>
      </c>
      <c r="I19" s="0" t="n">
        <f aca="false">I15+I16+I17+I18</f>
        <v>1272.44068395752</v>
      </c>
      <c r="J19" s="0" t="n">
        <f aca="false">J15+J16+J17+J18</f>
        <v>1351.9005207632</v>
      </c>
      <c r="K19" s="0" t="n">
        <f aca="false">K15+K16+K17+K18</f>
        <v>1428.92259885371</v>
      </c>
      <c r="L19" s="0" t="n">
        <f aca="false">L15+L16+L17+L18</f>
        <v>1487.40466777879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640.810003023042</v>
      </c>
      <c r="D21" s="0" t="n">
        <f aca="false">D19*D20</f>
        <v>656.074229344433</v>
      </c>
      <c r="E21" s="0" t="n">
        <f aca="false">E19*E20</f>
        <v>688.0436999508</v>
      </c>
      <c r="F21" s="0" t="n">
        <f aca="false">F19*F20</f>
        <v>707.629461136767</v>
      </c>
      <c r="G21" s="0" t="n">
        <f aca="false">G19*G20</f>
        <v>721.765455166195</v>
      </c>
      <c r="H21" s="0" t="n">
        <f aca="false">H19*H20</f>
        <v>730.318849147873</v>
      </c>
      <c r="I21" s="0" t="n">
        <f aca="false">I19*I20</f>
        <v>718.835272162887</v>
      </c>
      <c r="J21" s="0" t="n">
        <f aca="false">J19*J20</f>
        <v>703.893297513843</v>
      </c>
      <c r="K21" s="0" t="n">
        <f aca="false">K19*K20</f>
        <v>685.710912788229</v>
      </c>
      <c r="L21" s="0" t="n">
        <f aca="false">L19*L20</f>
        <v>657.857390816356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6910.93857105043</v>
      </c>
    </row>
    <row r="31" customFormat="false" ht="15" hidden="false" customHeight="false" outlineLevel="0" collapsed="false">
      <c r="A31" s="0" t="s">
        <v>131</v>
      </c>
      <c r="B31" s="0" t="n">
        <f aca="false">L19</f>
        <v>1487.40466777879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25409.8297412209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26773.2840200181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25409.8297412209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11238.3970931127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18149.3356641632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15985.3356641632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297.125198218646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-0.0618086573456075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297.125198218646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12196.718275786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110.164132592177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9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8.5</v>
      </c>
      <c r="G5" s="4" t="n">
        <f aca="false">Assumptions!G41</f>
        <v>7.5</v>
      </c>
      <c r="H5" s="4" t="n">
        <f aca="false">Assumptions!H41</f>
        <v>6.5</v>
      </c>
      <c r="I5" s="4" t="n">
        <f aca="false">Assumptions!I41</f>
        <v>5.5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8763</v>
      </c>
      <c r="C6" s="0" t="n">
        <f aca="false">B6*(1+C5/100)</f>
        <v>9551.67</v>
      </c>
      <c r="D6" s="0" t="n">
        <f aca="false">C6*(1+D5/100)</f>
        <v>10506.837</v>
      </c>
      <c r="E6" s="0" t="n">
        <f aca="false">D6*(1+E5/100)</f>
        <v>11452.45233</v>
      </c>
      <c r="F6" s="0" t="n">
        <f aca="false">E6*(1+F5/100)</f>
        <v>12425.91077805</v>
      </c>
      <c r="G6" s="0" t="n">
        <f aca="false">F6*(1+G5/100)</f>
        <v>13357.8540864038</v>
      </c>
      <c r="H6" s="0" t="n">
        <f aca="false">G6*(1+H5/100)</f>
        <v>14226.11460202</v>
      </c>
      <c r="I6" s="0" t="n">
        <f aca="false">H6*(1+I5/100)</f>
        <v>15008.5509051311</v>
      </c>
      <c r="J6" s="0" t="n">
        <f aca="false">I6*(1+J5/100)</f>
        <v>15683.935695862</v>
      </c>
      <c r="K6" s="0" t="n">
        <f aca="false">J6*(1+K5/100)</f>
        <v>16311.2931236965</v>
      </c>
      <c r="L6" s="0" t="n">
        <f aca="false">K6*(1+L5/100)</f>
        <v>16882.1883830258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19.8</v>
      </c>
      <c r="D7" s="4" t="n">
        <f aca="false">Assumptions!D42</f>
        <v>20.2</v>
      </c>
      <c r="E7" s="4" t="n">
        <f aca="false">Assumptions!E42</f>
        <v>20.5</v>
      </c>
      <c r="F7" s="4" t="n">
        <f aca="false">Assumptions!F42</f>
        <v>20.8</v>
      </c>
      <c r="G7" s="4" t="n">
        <f aca="false">Assumptions!G42</f>
        <v>21</v>
      </c>
      <c r="H7" s="4" t="n">
        <f aca="false">Assumptions!H42</f>
        <v>21</v>
      </c>
      <c r="I7" s="4" t="n">
        <f aca="false">Assumptions!I42</f>
        <v>21</v>
      </c>
      <c r="J7" s="4" t="n">
        <f aca="false">Assumptions!J42</f>
        <v>21</v>
      </c>
      <c r="K7" s="4" t="n">
        <f aca="false">Assumptions!K42</f>
        <v>21</v>
      </c>
      <c r="L7" s="4" t="n">
        <f aca="false">Assumptions!L42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1891.23066</v>
      </c>
      <c r="D8" s="0" t="n">
        <f aca="false">D6*D7/100</f>
        <v>2122.381074</v>
      </c>
      <c r="E8" s="0" t="n">
        <f aca="false">E6*E7/100</f>
        <v>2347.75272765</v>
      </c>
      <c r="F8" s="0" t="n">
        <f aca="false">F6*F7/100</f>
        <v>2584.5894418344</v>
      </c>
      <c r="G8" s="0" t="n">
        <f aca="false">G6*G7/100</f>
        <v>2805.14935814479</v>
      </c>
      <c r="H8" s="0" t="n">
        <f aca="false">H6*H7/100</f>
        <v>2987.4840664242</v>
      </c>
      <c r="I8" s="0" t="n">
        <f aca="false">I6*I7/100</f>
        <v>3151.79569007753</v>
      </c>
      <c r="J8" s="0" t="n">
        <f aca="false">J6*J7/100</f>
        <v>3293.62649613102</v>
      </c>
      <c r="K8" s="0" t="n">
        <f aca="false">K6*K7/100</f>
        <v>3425.37155597626</v>
      </c>
      <c r="L8" s="0" t="n">
        <f aca="false">L6*L7/100</f>
        <v>3545.25956043543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1891.23066</v>
      </c>
      <c r="D11" s="0" t="n">
        <f aca="false">D8+D10+D24</f>
        <v>2122.381074</v>
      </c>
      <c r="E11" s="0" t="n">
        <f aca="false">E8+E10+E24</f>
        <v>2347.75272765</v>
      </c>
      <c r="F11" s="0" t="n">
        <f aca="false">F8+F10+F24</f>
        <v>2584.5894418344</v>
      </c>
      <c r="G11" s="0" t="n">
        <f aca="false">G8+G10+G24</f>
        <v>2805.14935814479</v>
      </c>
      <c r="H11" s="0" t="n">
        <f aca="false">H8+H10+H24</f>
        <v>2987.4840664242</v>
      </c>
      <c r="I11" s="0" t="n">
        <f aca="false">I8+I10+I24</f>
        <v>3151.79569007753</v>
      </c>
      <c r="J11" s="0" t="n">
        <f aca="false">J8+J10+J24</f>
        <v>3293.62649613102</v>
      </c>
      <c r="K11" s="0" t="n">
        <f aca="false">K8+K10+K24</f>
        <v>3425.37155597626</v>
      </c>
      <c r="L11" s="0" t="n">
        <f aca="false">L8+L10+L24</f>
        <v>3545.25956043543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-439.37682</v>
      </c>
      <c r="D12" s="4" t="n">
        <f aca="false">-D6*Assumptions!D45/100</f>
        <v>-483.314502</v>
      </c>
      <c r="E12" s="4" t="n">
        <f aca="false">-E6*Assumptions!E45/100</f>
        <v>-526.81280718</v>
      </c>
      <c r="F12" s="4" t="n">
        <f aca="false">-F6*Assumptions!F45/100</f>
        <v>-559.16598501225</v>
      </c>
      <c r="G12" s="4" t="n">
        <f aca="false">-G6*Assumptions!G45/100</f>
        <v>-601.103433888169</v>
      </c>
      <c r="H12" s="4" t="n">
        <f aca="false">-H6*Assumptions!H45/100</f>
        <v>-640.1751570909</v>
      </c>
      <c r="I12" s="4" t="n">
        <f aca="false">-I6*Assumptions!I45/100</f>
        <v>-675.384790730899</v>
      </c>
      <c r="J12" s="4" t="n">
        <f aca="false">-J6*Assumptions!J45/100</f>
        <v>-705.77710631379</v>
      </c>
      <c r="K12" s="4" t="n">
        <f aca="false">-K6*Assumptions!K45/100</f>
        <v>-734.008190566341</v>
      </c>
      <c r="L12" s="4" t="n">
        <f aca="false">-L6*Assumptions!L45/100</f>
        <v>-759.698477236163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1451.85384</v>
      </c>
      <c r="D13" s="0" t="n">
        <f aca="false">D11+D12</f>
        <v>1639.066572</v>
      </c>
      <c r="E13" s="0" t="n">
        <f aca="false">E11+E12</f>
        <v>1820.93992047</v>
      </c>
      <c r="F13" s="0" t="n">
        <f aca="false">F11+F12</f>
        <v>2025.42345682215</v>
      </c>
      <c r="G13" s="0" t="n">
        <f aca="false">G11+G12</f>
        <v>2204.04592425662</v>
      </c>
      <c r="H13" s="0" t="n">
        <f aca="false">H11+H12</f>
        <v>2347.3089093333</v>
      </c>
      <c r="I13" s="0" t="n">
        <f aca="false">I11+I12</f>
        <v>2476.41089934663</v>
      </c>
      <c r="J13" s="0" t="n">
        <f aca="false">J11+J12</f>
        <v>2587.84938981723</v>
      </c>
      <c r="K13" s="0" t="n">
        <f aca="false">K11+K12</f>
        <v>2691.36336540992</v>
      </c>
      <c r="L13" s="0" t="n">
        <f aca="false">L11+L12</f>
        <v>2785.56108319926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1074.3718416</v>
      </c>
      <c r="D15" s="0" t="n">
        <f aca="false">D13-MAX(0,D13)*D14/100</f>
        <v>1212.90926328</v>
      </c>
      <c r="E15" s="0" t="n">
        <f aca="false">E13-MAX(0,E13)*E14/100</f>
        <v>1347.4955411478</v>
      </c>
      <c r="F15" s="0" t="n">
        <f aca="false">F13-MAX(0,F13)*F14/100</f>
        <v>1498.81335804839</v>
      </c>
      <c r="G15" s="0" t="n">
        <f aca="false">G13-MAX(0,G13)*G14/100</f>
        <v>1630.9939839499</v>
      </c>
      <c r="H15" s="0" t="n">
        <f aca="false">H13-MAX(0,H13)*H14/100</f>
        <v>1737.00859290664</v>
      </c>
      <c r="I15" s="0" t="n">
        <f aca="false">I13-MAX(0,I13)*I14/100</f>
        <v>1832.54406551651</v>
      </c>
      <c r="J15" s="0" t="n">
        <f aca="false">J13-MAX(0,J13)*J14/100</f>
        <v>1915.00854846475</v>
      </c>
      <c r="K15" s="0" t="n">
        <f aca="false">K13-MAX(0,K13)*K14/100</f>
        <v>1991.60889040334</v>
      </c>
      <c r="L15" s="0" t="n">
        <f aca="false">L13-MAX(0,L13)*L14/100</f>
        <v>2061.31520156746</v>
      </c>
    </row>
    <row r="16" customFormat="false" ht="15" hidden="false" customHeight="false" outlineLevel="0" collapsed="false">
      <c r="A16" s="0" t="s">
        <v>122</v>
      </c>
      <c r="C16" s="0" t="n">
        <f aca="false">-C12</f>
        <v>439.37682</v>
      </c>
      <c r="D16" s="0" t="n">
        <f aca="false">-D12</f>
        <v>483.314502</v>
      </c>
      <c r="E16" s="0" t="n">
        <f aca="false">-E12</f>
        <v>526.81280718</v>
      </c>
      <c r="F16" s="0" t="n">
        <f aca="false">-F12</f>
        <v>559.16598501225</v>
      </c>
      <c r="G16" s="0" t="n">
        <f aca="false">-G12</f>
        <v>601.103433888169</v>
      </c>
      <c r="H16" s="0" t="n">
        <f aca="false">-H12</f>
        <v>640.1751570909</v>
      </c>
      <c r="I16" s="0" t="n">
        <f aca="false">-I12</f>
        <v>675.384790730899</v>
      </c>
      <c r="J16" s="0" t="n">
        <f aca="false">-J12</f>
        <v>705.77710631379</v>
      </c>
      <c r="K16" s="0" t="n">
        <f aca="false">-K12</f>
        <v>734.008190566341</v>
      </c>
      <c r="L16" s="0" t="n">
        <f aca="false">-L12</f>
        <v>759.698477236163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-630.41022</v>
      </c>
      <c r="D17" s="4" t="n">
        <f aca="false">-D6*Assumptions!D46/100</f>
        <v>-672.437568</v>
      </c>
      <c r="E17" s="4" t="n">
        <f aca="false">-E6*Assumptions!E46/100</f>
        <v>-710.05204446</v>
      </c>
      <c r="F17" s="4" t="n">
        <f aca="false">-F6*Assumptions!F46/100</f>
        <v>-745.554646683</v>
      </c>
      <c r="G17" s="4" t="n">
        <f aca="false">-G6*Assumptions!G46/100</f>
        <v>-774.755537011418</v>
      </c>
      <c r="H17" s="4" t="n">
        <f aca="false">-H6*Assumptions!H46/100</f>
        <v>-796.66241771312</v>
      </c>
      <c r="I17" s="4" t="n">
        <f aca="false">-I6*Assumptions!I46/100</f>
        <v>-825.47029978221</v>
      </c>
      <c r="J17" s="4" t="n">
        <f aca="false">-J6*Assumptions!J46/100</f>
        <v>-846.932527576548</v>
      </c>
      <c r="K17" s="4" t="n">
        <f aca="false">-K6*Assumptions!K46/100</f>
        <v>-864.498535555913</v>
      </c>
      <c r="L17" s="4" t="n">
        <f aca="false">-L6*Assumptions!L46/100</f>
        <v>-894.75598430037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-157.734</v>
      </c>
      <c r="D18" s="4" t="n">
        <f aca="false">(D6-C6)*Assumptions!$B$51/100</f>
        <v>-191.0334</v>
      </c>
      <c r="E18" s="4" t="n">
        <f aca="false">(E6-D6)*Assumptions!$B$51/100</f>
        <v>-189.123066</v>
      </c>
      <c r="F18" s="4" t="n">
        <f aca="false">(F6-E6)*Assumptions!$B$51/100</f>
        <v>-194.69168961</v>
      </c>
      <c r="G18" s="4" t="n">
        <f aca="false">(G6-F6)*Assumptions!$B$51/100</f>
        <v>-186.38866167075</v>
      </c>
      <c r="H18" s="4" t="n">
        <f aca="false">(H6-G6)*Assumptions!$B$51/100</f>
        <v>-173.652103123249</v>
      </c>
      <c r="I18" s="4" t="n">
        <f aca="false">(I6-H6)*Assumptions!$B$51/100</f>
        <v>-156.48726062222</v>
      </c>
      <c r="J18" s="4" t="n">
        <f aca="false">(J6-I6)*Assumptions!$B$51/100</f>
        <v>-135.076958146179</v>
      </c>
      <c r="K18" s="4" t="n">
        <f aca="false">(K6-J6)*Assumptions!$B$51/100</f>
        <v>-125.471485566896</v>
      </c>
      <c r="L18" s="4" t="n">
        <f aca="false">(L6-K6)*Assumptions!$B$51/100</f>
        <v>-114.179051865875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725.6044416</v>
      </c>
      <c r="D19" s="0" t="n">
        <f aca="false">D15+D16+D17+D18</f>
        <v>832.75279728</v>
      </c>
      <c r="E19" s="0" t="n">
        <f aca="false">E15+E16+E17+E18</f>
        <v>975.1332378678</v>
      </c>
      <c r="F19" s="0" t="n">
        <f aca="false">F15+F16+F17+F18</f>
        <v>1117.73300676764</v>
      </c>
      <c r="G19" s="0" t="n">
        <f aca="false">G15+G16+G17+G18</f>
        <v>1270.9532191559</v>
      </c>
      <c r="H19" s="0" t="n">
        <f aca="false">H15+H16+H17+H18</f>
        <v>1406.86922916117</v>
      </c>
      <c r="I19" s="0" t="n">
        <f aca="false">I15+I16+I17+I18</f>
        <v>1525.97129584298</v>
      </c>
      <c r="J19" s="0" t="n">
        <f aca="false">J15+J16+J17+J18</f>
        <v>1638.77616905581</v>
      </c>
      <c r="K19" s="0" t="n">
        <f aca="false">K15+K16+K17+K18</f>
        <v>1735.64705984687</v>
      </c>
      <c r="L19" s="0" t="n">
        <f aca="false">L15+L16+L17+L18</f>
        <v>1812.07864263737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668.759854009217</v>
      </c>
      <c r="D21" s="0" t="n">
        <f aca="false">D19*D20</f>
        <v>707.38626624477</v>
      </c>
      <c r="E21" s="0" t="n">
        <f aca="false">E19*E20</f>
        <v>763.439708975679</v>
      </c>
      <c r="F21" s="0" t="n">
        <f aca="false">F19*F20</f>
        <v>806.527394361028</v>
      </c>
      <c r="G21" s="0" t="n">
        <f aca="false">G19*G20</f>
        <v>845.241621613336</v>
      </c>
      <c r="H21" s="0" t="n">
        <f aca="false">H19*H20</f>
        <v>862.333587114256</v>
      </c>
      <c r="I21" s="0" t="n">
        <f aca="false">I19*I20</f>
        <v>862.061395544518</v>
      </c>
      <c r="J21" s="0" t="n">
        <f aca="false">J19*J20</f>
        <v>853.260682873757</v>
      </c>
      <c r="K21" s="0" t="n">
        <f aca="false">K19*K20</f>
        <v>832.901747540806</v>
      </c>
      <c r="L21" s="0" t="n">
        <f aca="false">L19*L20</f>
        <v>801.455954538365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8003.36821281573</v>
      </c>
    </row>
    <row r="31" customFormat="false" ht="15" hidden="false" customHeight="false" outlineLevel="0" collapsed="false">
      <c r="A31" s="0" t="s">
        <v>131</v>
      </c>
      <c r="B31" s="0" t="n">
        <f aca="false">L19</f>
        <v>1812.07864263737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33935.2909439363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36241.5728527475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33935.2909439363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15009.0842395367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23012.4524523524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20848.4524523524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387.517703575323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0.223611315362561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387.517703575323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15553.6750159708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139.633963045633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190.225207615601</v>
      </c>
      <c r="C4" s="0" t="n">
        <f aca="false">B4/Assumptions!$B$2-1</f>
        <v>-0.399352044156612</v>
      </c>
      <c r="D4" s="4" t="n">
        <f aca="false">Assumptions!$B$24</f>
        <v>0.25</v>
      </c>
      <c r="E4" s="4" t="n">
        <f aca="false">DCF_Bear!$B$43</f>
        <v>190.225207615601</v>
      </c>
      <c r="F4" s="4" t="n">
        <f aca="false">DCF_Bear!$B$47</f>
        <v>73.5934076486088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297.125198218646</v>
      </c>
      <c r="C5" s="0" t="n">
        <f aca="false">B5/Assumptions!$B$2-1</f>
        <v>-0.0618086573456075</v>
      </c>
      <c r="D5" s="4" t="n">
        <f aca="false">Assumptions!$B$38</f>
        <v>0.5</v>
      </c>
      <c r="E5" s="4" t="n">
        <f aca="false">DCF_Base!$B$43</f>
        <v>297.125198218646</v>
      </c>
      <c r="F5" s="4" t="n">
        <f aca="false">DCF_Base!$B$47</f>
        <v>110.164132592177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387.517703575323</v>
      </c>
      <c r="C6" s="0" t="n">
        <f aca="false">B6/Assumptions!$B$2-1</f>
        <v>0.223611315362561</v>
      </c>
      <c r="D6" s="4" t="n">
        <f aca="false">Assumptions!$B$52</f>
        <v>0.25</v>
      </c>
      <c r="E6" s="4" t="n">
        <f aca="false">DCF_Bull!$B$43</f>
        <v>387.517703575323</v>
      </c>
      <c r="F6" s="4" t="n">
        <f aca="false">DCF_Bull!$B$47</f>
        <v>139.633963045633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292.998326907054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292.998326907054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-0.0808935441479999</v>
      </c>
    </row>
    <row r="11" customFormat="false" ht="15" hidden="false" customHeight="false" outlineLevel="0" collapsed="false">
      <c r="A11" s="0" t="s">
        <v>158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108.388908969649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297.125198218646</v>
      </c>
      <c r="C15" s="3" t="n">
        <v>8.5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269.17467172342</v>
      </c>
      <c r="C16" s="3" t="n">
        <v>9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224.596268146555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190.664765178986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164.008305419888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110.164132592177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367.470701009507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367.470701009507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367.470701009507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367.470701009507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367.470701009507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321.956309408353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336.488273904226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336.488273904226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336.488273904226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336.488273904226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265.536630815754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280.115969617089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297.125198218646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308.334044716447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308.334044716447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223.454735193219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233.634518788851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245.268557183858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258.692447639636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274.353653171377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190.916516664347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198.273417994603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206.549931991141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215.929981187217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226.650037411305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2026-10-25T01:16:43Z</dcterms:created>
  <dc:creator>openpyxl</dc:creator>
  <dc:description/>
  <dc:language>en-NZ</dc:language>
  <cp:lastModifiedBy/>
  <dcterms:modified xsi:type="dcterms:W3CDTF">2026-10-25T01:16:43Z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