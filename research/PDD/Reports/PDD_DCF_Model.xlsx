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<sst xmlns="http://schemas.openxmlformats.org/spreadsheetml/2006/main" count="362" uniqueCount="166">
  <si>
    <t xml:space="preserve">Ticker</t>
  </si>
  <si>
    <t xml:space="preserve">PDD</t>
  </si>
  <si>
    <t xml:space="preserve">Company</t>
  </si>
  <si>
    <t xml:space="preserve">PDD Holdings Inc.</t>
  </si>
  <si>
    <t xml:space="preserve">Valuation date</t>
  </si>
  <si>
    <t xml:space="preserve">2026-10-02</t>
  </si>
  <si>
    <t xml:space="preserve">Current price</t>
  </si>
  <si>
    <t xml:space="preserve">Price as of</t>
  </si>
  <si>
    <t xml:space="preserve">2026-10-01T20:00:00Z regular close (Nasdaq)</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</si>
  <si>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</si>
  <si>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</si>
  <si>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</si>
  <si>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</si>
  <si>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</si>
  <si>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</si>
  <si>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</si>
  <si>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USD</t>
  </si>
  <si>
    <t xml:space="preserve">Units</t>
  </si>
  <si>
    <t xml:space="preserve">millions</t>
  </si>
  <si>
    <t xml:space="preserve">Engine</t>
  </si>
  <si>
    <t xml:space="preserve">dcf_engine v1</t>
  </si>
  <si>
    <t xml:space="preserve">Built at</t>
  </si>
  <si>
    <t xml:space="preserve">2026-10-02T06:55:49Z</t>
  </si>
  <si>
    <t xml:space="preserve">Drivers file</t>
  </si>
  <si>
    <t xml:space="preserve">PDD_Drivers.json</t>
  </si>
  <si>
    <t xml:space="preserve">Convention</t>
  </si>
  <si>
    <t xml:space="preserve">Percents stored as percents; formulas divide by 100. Blue = input, green = link, black = formula.</t>
  </si>
  <si>
    <t xml:space="preserve">Methodology</t>
  </si>
  <si>
    <t xml:space="preserve">summary: An owner-FCF DCF on PDD is two valuations stapled together: an operating business generating ~RMB72bn of owner FCF after stripping RMB25.6bn of treasury interest, and a RMB527bn cash and securities pile worth ~RMB357 (~US$53) per ADS on its own at the model's FX rate. The market price covers the cash pile and leaves the operating business at roughly 3x owner FCF, which is the clearest statement of what the market believes: that this cash will not reach ADS holders at face (no dividend or buyback in the company's history, PRC capital controls and 10% withholding on repatriation, HFCAA delisting risk, VIE-structure governance). The house method adds net cash at face, so every scenario including the bear lands above the price. Read the result as: the operating business is cheap on any reasonable margin path, and the upside hinges almost entirely on whether and when the cash is returned or credibly re-rated. A memo value that haircuts the net cash by 50% (deduct ~US$27/ADS from each scenario's intrinsic value) is the more honest 'trapped-cash' reading and is what the price is nearest to. Terminal values are capped at 14x base / 16x bull / 9x bear FCF, all above today's ~3x ex-cash multiple, so the valuation assumes a re-rating of the operating business; the required-return table shows what the price implies without it.
key_risks_to_valuation: Trapped cash: ~US$53/ADS of the intrinsic value is net cash the company has never distributed; if it is never returned, the realisable value is nearer the 50%-haircut memo figure.; US-China policy: EU de-minimis removal (after the US one in May 2025) would hit Temu's largest region; further tariff or parcel legislation would compress the transaction-services line that is now ~half of revenue.; Domestic regulation: Beijing's June-2026 summons over 618 subsidies signals that take-rate expansion back toward the FY2024 30% margin is politically unavailable; the base case assumes only 24%.; HFCAA / delisting: the ADS could be barred from US trading; a Hong Kong listing is a mitigant but not yet in place.; Capex and D&amp;A are derived (PP&amp;E-gross roll-forward), not reported; the error is at most ~0.2% of revenue.; FX: a 5% RMB depreciation lowers every USD value by 5%; the rate is dated and must be refreshed with the price.</t>
  </si>
  <si>
    <t xml:space="preserve">Data sources</t>
  </si>
  <si>
    <t xml:space="preserve">price: Yahoo Finance chart API at inputs.price_as_of; 52-week range 71.94-139.41; regular-session close, not after-hours
fx: Yahoo Finance CNY=X at 2026-10-01; cross-checked against the Q2 2026 6-K convenience rate (Fed H.10, 2026-06-30)
financials: SEC XBRL companyfacts CIK 1737806 (20-F FY2021-FY2025, us-gaap namespace only; no capex, buyback or equity-award-tax tags after FY2020); Q2 2026 6-K exhibit 99.1 (accession 0001104659-26-100534, filed 2026-08-25) for the 2026-06-30 balance sheet, H1 2026 income statement, SBC and diluted share count; PDD_Metrics.csv for the FY2016-FY2025 history
qualitative: PDD_Analysis.json (2026-10-02): Temu de-minimis shock, June-2026 regulatory summons, RMB100bn merchant program, Q2 2026 margin commentary</t>
  </si>
  <si>
    <t xml:space="preserve">Scenario narrative: bear</t>
  </si>
  <si>
    <t xml:space="preserve">The EU follows the US in removing its duty-free threshold, Temu's European economics are impaired as badly as its US ones were, and domestic regulators force Pinduoduo to unwind subsidy-led promotions while Alibaba, JD and Douyin keep competing on price. Revenue stalls for four years (5%, 2%, 0%, -2%) and the adjusted EBITDA margin falls to 15% as the merchant program is extended and preferential tax rates lapse (cash tax 25%). Working-capital float stops growing. The terminal cap is 9x. Note that even this path sits above the current price because ~70% of the market cap is net cash; the bear case for the equity is really the trapped-cash and delisting case described in valuation_philosophy, which the flows cannot express.</t>
  </si>
  <si>
    <t xml:space="preserve">Scenario narrative: base</t>
  </si>
  <si>
    <t xml:space="preserve">Pinduoduo holds share in a low-single-digit-growth Chinese e-commerce market while Temu rebuilds on local/semi-managed fulfilment after the US de-minimis loss and the EU threshold removal; consolidated revenue grows 8% in FY2026 fading to 3%. The RMB100bn merchant program and trust-and-safety R&amp;D keep the adjusted EBITDA margin at ~23% through FY2027, after which it recovers only to 24% - Beijing's June-2026 intervention against subsidy and price competition caps take rates well below the FY2024 peak of 30%. SBC stays ~1.5% of revenue, cash tax drifts from 19% to 22%, and the cash pile is added at face less 10% PRC withholding leakage.</t>
  </si>
  <si>
    <t xml:space="preserve">Scenario narrative: bull</t>
  </si>
  <si>
    <t xml:space="preserve">Temu's geographic diversification (Europe ~45% of GMV, Latin America, Middle East) more than offsets the US reset and the local-fulfilment model reaches scale, keeping revenue growth at 10% for two years before fading. The merchant program ends on schedule, R&amp;D intensity normalises, and the adjusted EBITDA margin climbs back to 28% by year 7 - still below FY2024. Regulators stay quiet, the HFCAA overhang eases via a Hong Kong listing, and the company begins returning cash, which the market then prices nearer face; the terminal cap is 16x.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</si>
  <si>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</si>
  <si>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</si>
  <si>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</si>
  <si>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</si>
  <si>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</si>
  <si>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</si>
  <si>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</si>
  <si>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</si>
  <si>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</si>
  <si>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</si>
  <si>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</si>
  <si>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</si>
  <si>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</si>
  <si>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</si>
  <si>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</si>
  <si>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</si>
  <si>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</si>
  <si>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</si>
  <si>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</si>
  <si>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</si>
  <si>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</si>
  <si>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</si>
  <si>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</si>
  <si>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</si>
  <si>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</si>
  <si>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</si>
  <si>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</si>
  <si>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</si>
  <si>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</si>
  <si>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</si>
  <si>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</si>
  <si>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</si>
  <si>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</si>
  <si>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</si>
  <si>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</si>
  <si>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</si>
  <si>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</si>
  <si>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</si>
  <si>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</si>
  <si>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</si>
  <si>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</si>
  <si>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</si>
  <si>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</si>
  <si>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</si>
  <si>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</si>
  <si>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</si>
  <si>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</si>
  <si>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</si>
  <si>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</si>
  <si>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</si>
  <si>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</si>
  <si>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</si>
  <si>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</si>
  <si>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</si>
  <si>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</si>
  <si>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</si>
  <si>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</si>
  <si>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</si>
  <si>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</si>
  <si>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</si>
  <si>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</si>
  <si>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</si>
  <si>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</si>
  <si>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</si>
  <si>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</si>
  <si>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</si>
  <si>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</si>
  <si>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</si>
  <si>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</si>
  <si>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</si>
  <si>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</si>
  <si>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</si>
  <si>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</si>
  <si>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</si>
  <si>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</si>
  <si>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PDD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</si>
  <si>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</si>
  <si>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</si>
  <si>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</si>
  <si>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</si>
  <si>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</si>
  <si>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</si>
  <si>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</si>
  <si>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</si>
  <si>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</si>
  <si>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</si>
  <si>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</si>
  <si>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</si>
  <si>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</si>
  <si>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</si>
  <si>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</si>
  <si>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</si>
  <si>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</si>
  <si>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</si>
  <si>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</si>
  <si>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</si>
  <si>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</si>
  <si>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</si>
  <si>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</si>
  <si>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</si>
  <si>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</si>
  <si>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</si>
  <si>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</si>
  <si>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</si>
  <si>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</si>
  <si>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</si>
  <si>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PDD owner-FCF component DCF: base case (millions, CNY)</t>
  </si>
  <si>
    <t xml:space="preserve">PDD owner-FCF component DCF: bull case (millions, CNY)</t>
  </si>
  <si>
    <t xml:space="preserve">PDD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</si>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</sst>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O2" s="0" t="n">
        <v>-127.936</v>
      </c>
      <c r="AA2" s="0" t="s">
        <v>18</v>
      </c>
      <c r="AB2" s="0" t="s">
        <v>16</v>
      </c>
    </row>
    <row r="3" customFormat="false" ht="15" hidden="false" customHeight="false" outlineLevel="0" collapsed="false">
      <c r="A3" s="0" t="s">
        <v>65</v>
      </c>
      <c r="B3" s="0" t="n">
        <v>504.864</v>
      </c>
      <c r="C3" s="0" t="n">
        <v>577.87</v>
      </c>
      <c r="D3" s="0" t="n">
        <v>-73.006</v>
      </c>
      <c r="E3" s="0" t="n">
        <v>-14.4605279837739</v>
      </c>
      <c r="F3" s="0" t="n">
        <v>-286.21</v>
      </c>
      <c r="G3" s="0" t="n">
        <v>-56.6905146732585</v>
      </c>
      <c r="H3" s="0" t="n">
        <v>-285.454</v>
      </c>
      <c r="I3" s="0" t="n">
        <v>-291.977</v>
      </c>
      <c r="J3" s="0" t="n">
        <v>-57.8328024973062</v>
      </c>
      <c r="K3" s="0" t="n">
        <v>-0.18</v>
      </c>
      <c r="L3" s="0" t="n">
        <v>879.777</v>
      </c>
      <c r="M3" s="0" t="n">
        <v>2.301</v>
      </c>
      <c r="N3" s="0" t="n">
        <v>877.476</v>
      </c>
      <c r="O3" s="0" t="n">
        <v>-426.278</v>
      </c>
      <c r="S3" s="0" t="n">
        <v>1319.843</v>
      </c>
      <c r="T3" s="0" t="n">
        <v>1815.2</v>
      </c>
      <c r="U3" s="0" t="n">
        <v>4.064</v>
      </c>
      <c r="AA3" s="0" t="s">
        <v>18</v>
      </c>
      <c r="AB3" s="0" t="s">
        <v>16</v>
      </c>
    </row>
    <row r="4" customFormat="false" ht="15" hidden="false" customHeight="false" outlineLevel="0" collapsed="false">
      <c r="A4" s="0" t="s">
        <v>66</v>
      </c>
      <c r="B4" s="0" t="n">
        <v>1744.076</v>
      </c>
      <c r="C4" s="0" t="n">
        <v>722.83</v>
      </c>
      <c r="D4" s="0" t="n">
        <v>1021.246</v>
      </c>
      <c r="E4" s="0" t="n">
        <v>58.5551317717806</v>
      </c>
      <c r="F4" s="0" t="n">
        <v>-595.724</v>
      </c>
      <c r="G4" s="0" t="n">
        <v>-34.1569977455111</v>
      </c>
      <c r="H4" s="0" t="n">
        <v>-593.459</v>
      </c>
      <c r="I4" s="0" t="n">
        <v>-525.115</v>
      </c>
      <c r="J4" s="0" t="n">
        <v>-30.108492978517</v>
      </c>
      <c r="K4" s="0" t="n">
        <v>-0.28</v>
      </c>
      <c r="L4" s="0" t="n">
        <v>9686.328</v>
      </c>
      <c r="M4" s="0" t="n">
        <v>8.921</v>
      </c>
      <c r="N4" s="0" t="n">
        <v>9677.407</v>
      </c>
      <c r="O4" s="0" t="n">
        <v>-991.958</v>
      </c>
      <c r="P4" s="0" t="n">
        <v>13314.47</v>
      </c>
      <c r="Q4" s="0" t="n">
        <v>12109.507</v>
      </c>
      <c r="S4" s="0" t="n">
        <v>3058.152</v>
      </c>
      <c r="T4" s="0" t="n">
        <v>1764.799346</v>
      </c>
      <c r="U4" s="0" t="n">
        <v>6841.573</v>
      </c>
      <c r="AA4" s="0" t="s">
        <v>18</v>
      </c>
      <c r="AB4" s="0" t="s">
        <v>16</v>
      </c>
    </row>
    <row r="5" customFormat="false" ht="15" hidden="false" customHeight="false" outlineLevel="0" collapsed="false">
      <c r="A5" s="0" t="s">
        <v>67</v>
      </c>
      <c r="B5" s="0" t="n">
        <v>13119.99</v>
      </c>
      <c r="C5" s="0" t="n">
        <v>2905.249</v>
      </c>
      <c r="D5" s="0" t="n">
        <v>10214.741</v>
      </c>
      <c r="E5" s="0" t="n">
        <v>77.8563169636562</v>
      </c>
      <c r="F5" s="0" t="n">
        <v>-10799.741</v>
      </c>
      <c r="G5" s="0" t="n">
        <v>-82.3151618255807</v>
      </c>
      <c r="H5" s="0" t="n">
        <v>-10302.738</v>
      </c>
      <c r="I5" s="0" t="n">
        <v>-10217.125</v>
      </c>
      <c r="J5" s="0" t="n">
        <v>-77.8744877092132</v>
      </c>
      <c r="K5" s="0" t="n">
        <v>-3.47</v>
      </c>
      <c r="L5" s="0" t="n">
        <v>7767.927</v>
      </c>
      <c r="M5" s="0" t="n">
        <v>27.331</v>
      </c>
      <c r="N5" s="0" t="n">
        <v>7740.596</v>
      </c>
      <c r="O5" s="0" t="n">
        <v>18822.594</v>
      </c>
      <c r="P5" s="0" t="n">
        <v>43182.063</v>
      </c>
      <c r="Q5" s="0" t="n">
        <v>24359.469</v>
      </c>
      <c r="S5" s="0" t="n">
        <v>14160.322</v>
      </c>
      <c r="T5" s="0" t="n">
        <v>4455.688688</v>
      </c>
      <c r="U5" s="0" t="n">
        <v>6841.573</v>
      </c>
      <c r="AA5" s="0" t="s">
        <v>18</v>
      </c>
      <c r="AB5" s="0" t="s">
        <v>16</v>
      </c>
    </row>
    <row r="6" customFormat="false" ht="15" hidden="false" customHeight="false" outlineLevel="0" collapsed="false">
      <c r="A6" s="0" t="s">
        <v>68</v>
      </c>
      <c r="B6" s="0" t="n">
        <v>30141.886</v>
      </c>
      <c r="C6" s="0" t="n">
        <v>6338.778</v>
      </c>
      <c r="D6" s="0" t="n">
        <v>23803.108</v>
      </c>
      <c r="E6" s="0" t="n">
        <v>78.9702011347266</v>
      </c>
      <c r="F6" s="0" t="n">
        <v>-8538.211</v>
      </c>
      <c r="G6" s="0" t="n">
        <v>-28.3267311143039</v>
      </c>
      <c r="H6" s="0" t="n">
        <v>-7900.38</v>
      </c>
      <c r="I6" s="0" t="n">
        <v>-6967.603</v>
      </c>
      <c r="J6" s="0" t="n">
        <v>-23.116015368116</v>
      </c>
      <c r="K6" s="0" t="n">
        <v>-1.51</v>
      </c>
      <c r="L6" s="0" t="n">
        <v>14820.976</v>
      </c>
      <c r="M6" s="0" t="n">
        <v>27.436</v>
      </c>
      <c r="N6" s="0" t="n">
        <v>14793.54</v>
      </c>
      <c r="O6" s="0" t="n">
        <v>24646.866</v>
      </c>
      <c r="P6" s="0" t="n">
        <v>76057.336</v>
      </c>
      <c r="Q6" s="0" t="n">
        <v>51410.47</v>
      </c>
      <c r="S6" s="0" t="n">
        <v>5768.186</v>
      </c>
      <c r="T6" s="0" t="n">
        <v>4627.278394</v>
      </c>
      <c r="U6" s="0" t="n">
        <v>2557.706</v>
      </c>
      <c r="AA6" s="0" t="s">
        <v>18</v>
      </c>
      <c r="AB6" s="0" t="s">
        <v>16</v>
      </c>
    </row>
    <row r="7" customFormat="false" ht="15" hidden="false" customHeight="false" outlineLevel="0" collapsed="false">
      <c r="A7" s="0" t="s">
        <v>69</v>
      </c>
      <c r="B7" s="0" t="n">
        <v>59491.865</v>
      </c>
      <c r="C7" s="0" t="n">
        <v>19278.641</v>
      </c>
      <c r="D7" s="0" t="n">
        <v>40213.224</v>
      </c>
      <c r="E7" s="0" t="n">
        <v>67.5944921208975</v>
      </c>
      <c r="F7" s="0" t="n">
        <v>-9380.325</v>
      </c>
      <c r="G7" s="0" t="n">
        <v>-15.7674078632432</v>
      </c>
      <c r="H7" s="0" t="n">
        <v>-8728.802</v>
      </c>
      <c r="I7" s="0" t="n">
        <v>-7179.742</v>
      </c>
      <c r="J7" s="0" t="n">
        <v>-12.0684433073329</v>
      </c>
      <c r="K7" s="0" t="n">
        <v>-1.51</v>
      </c>
      <c r="L7" s="0" t="n">
        <v>28196.627</v>
      </c>
      <c r="M7" s="0" t="n">
        <v>43.046</v>
      </c>
      <c r="N7" s="0" t="n">
        <v>28153.581</v>
      </c>
      <c r="O7" s="0" t="n">
        <v>60175.888</v>
      </c>
      <c r="P7" s="0" t="n">
        <v>158908.614</v>
      </c>
      <c r="Q7" s="0" t="n">
        <v>98732.726</v>
      </c>
      <c r="S7" s="0" t="n">
        <v>22421.189</v>
      </c>
      <c r="T7" s="0" t="n">
        <v>4768.3433</v>
      </c>
      <c r="U7" s="0" t="n">
        <v>3613.043</v>
      </c>
      <c r="AA7" s="0" t="s">
        <v>18</v>
      </c>
      <c r="AB7" s="0" t="s">
        <v>16</v>
      </c>
    </row>
    <row r="8" customFormat="false" ht="15" hidden="false" customHeight="false" outlineLevel="0" collapsed="false">
      <c r="A8" s="0" t="s">
        <v>70</v>
      </c>
      <c r="B8" s="0" t="n">
        <v>93949.939</v>
      </c>
      <c r="C8" s="0" t="n">
        <v>31718.093</v>
      </c>
      <c r="D8" s="0" t="n">
        <v>62231.846</v>
      </c>
      <c r="E8" s="0" t="n">
        <v>66.2393681809628</v>
      </c>
      <c r="F8" s="0" t="n">
        <v>6896.762</v>
      </c>
      <c r="G8" s="0" t="n">
        <v>7.34089034373934</v>
      </c>
      <c r="H8" s="0" t="n">
        <v>8392.142</v>
      </c>
      <c r="I8" s="0" t="n">
        <v>7768.67</v>
      </c>
      <c r="J8" s="0" t="n">
        <v>8.26894629489861</v>
      </c>
      <c r="K8" s="0" t="n">
        <v>1.55</v>
      </c>
      <c r="L8" s="0" t="n">
        <v>28783.011</v>
      </c>
      <c r="O8" s="0" t="n">
        <v>75114.547</v>
      </c>
      <c r="P8" s="0" t="n">
        <v>181209.718</v>
      </c>
      <c r="Q8" s="0" t="n">
        <v>106095.171</v>
      </c>
      <c r="S8" s="0" t="n">
        <v>6426.715</v>
      </c>
      <c r="T8" s="0" t="n">
        <v>5713.764297</v>
      </c>
      <c r="U8" s="0" t="n">
        <v>4774.73</v>
      </c>
      <c r="AA8" s="0" t="s">
        <v>18</v>
      </c>
      <c r="AB8" s="0" t="s">
        <v>16</v>
      </c>
    </row>
    <row r="9" customFormat="false" ht="15" hidden="false" customHeight="false" outlineLevel="0" collapsed="false">
      <c r="A9" s="0" t="s">
        <v>71</v>
      </c>
      <c r="B9" s="0" t="n">
        <v>130557.589</v>
      </c>
      <c r="C9" s="0" t="n">
        <v>31462.298</v>
      </c>
      <c r="D9" s="0" t="n">
        <v>99095.291</v>
      </c>
      <c r="E9" s="0" t="n">
        <v>75.9015938935576</v>
      </c>
      <c r="F9" s="0" t="n">
        <v>30401.921</v>
      </c>
      <c r="G9" s="0" t="n">
        <v>23.2862150970021</v>
      </c>
      <c r="H9" s="0" t="n">
        <v>32626.09</v>
      </c>
      <c r="I9" s="0" t="n">
        <v>31538.062</v>
      </c>
      <c r="J9" s="0" t="n">
        <v>24.1564372025896</v>
      </c>
      <c r="K9" s="0" t="n">
        <v>6.24</v>
      </c>
      <c r="L9" s="0" t="n">
        <v>48507.86</v>
      </c>
      <c r="O9" s="0" t="n">
        <v>117770.911</v>
      </c>
      <c r="P9" s="0" t="n">
        <v>237119.953</v>
      </c>
      <c r="Q9" s="0" t="n">
        <v>119349.042</v>
      </c>
      <c r="S9" s="0" t="n">
        <v>34326.192</v>
      </c>
      <c r="U9" s="0" t="n">
        <v>7718.365</v>
      </c>
      <c r="AA9" s="0" t="s">
        <v>18</v>
      </c>
      <c r="AB9" s="0" t="s">
        <v>16</v>
      </c>
    </row>
    <row r="10" customFormat="false" ht="15" hidden="false" customHeight="false" outlineLevel="0" collapsed="false">
      <c r="A10" s="0" t="s">
        <v>72</v>
      </c>
      <c r="B10" s="0" t="n">
        <v>247639.205</v>
      </c>
      <c r="C10" s="0" t="n">
        <v>91723.577</v>
      </c>
      <c r="F10" s="0" t="n">
        <v>58698.762</v>
      </c>
      <c r="G10" s="0" t="n">
        <v>23.7033397034206</v>
      </c>
      <c r="H10" s="0" t="n">
        <v>59484.997</v>
      </c>
      <c r="I10" s="0" t="n">
        <v>60026.544</v>
      </c>
      <c r="J10" s="0" t="n">
        <v>24.239515709962</v>
      </c>
      <c r="K10" s="0" t="n">
        <v>11.08</v>
      </c>
      <c r="L10" s="0" t="n">
        <v>94162.531</v>
      </c>
      <c r="O10" s="0" t="n">
        <v>187241.607</v>
      </c>
      <c r="P10" s="0" t="n">
        <v>348078.12</v>
      </c>
      <c r="Q10" s="0" t="n">
        <v>160836.513</v>
      </c>
      <c r="S10" s="0" t="n">
        <v>59794.469</v>
      </c>
      <c r="T10" s="0" t="n">
        <v>5503.491148</v>
      </c>
      <c r="U10" s="0" t="n">
        <v>7078.794</v>
      </c>
      <c r="AA10" s="0" t="s">
        <v>18</v>
      </c>
      <c r="AB10" s="0" t="s">
        <v>16</v>
      </c>
    </row>
    <row r="11" customFormat="false" ht="15" hidden="false" customHeight="false" outlineLevel="0" collapsed="false">
      <c r="A11" s="0" t="s">
        <v>73</v>
      </c>
      <c r="B11" s="0" t="n">
        <v>393836.097</v>
      </c>
      <c r="C11" s="0" t="n">
        <v>153900.374</v>
      </c>
      <c r="F11" s="0" t="n">
        <v>108422.862</v>
      </c>
      <c r="G11" s="0" t="n">
        <v>27.5299452807649</v>
      </c>
      <c r="H11" s="0" t="n">
        <v>109131.625</v>
      </c>
      <c r="I11" s="0" t="n">
        <v>112434.512</v>
      </c>
      <c r="J11" s="0" t="n">
        <v>28.5485542987188</v>
      </c>
      <c r="K11" s="0" t="n">
        <v>20.31</v>
      </c>
      <c r="L11" s="0" t="n">
        <v>121929.292</v>
      </c>
      <c r="O11" s="0" t="n">
        <v>313313.124</v>
      </c>
      <c r="P11" s="0" t="n">
        <v>505034.316</v>
      </c>
      <c r="Q11" s="0" t="n">
        <v>191721.192</v>
      </c>
      <c r="S11" s="0" t="n">
        <v>57768.053</v>
      </c>
      <c r="T11" s="0" t="n">
        <v>5568.585848</v>
      </c>
      <c r="U11" s="0" t="n">
        <v>9883.564</v>
      </c>
      <c r="AA11" s="0" t="s">
        <v>18</v>
      </c>
      <c r="AB11" s="0" t="s">
        <v>16</v>
      </c>
    </row>
    <row r="12" customFormat="false" ht="15" hidden="false" customHeight="false" outlineLevel="0" collapsed="false">
      <c r="A12" s="0" t="s">
        <v>74</v>
      </c>
      <c r="B12" s="0" t="n">
        <v>431845.713</v>
      </c>
      <c r="C12" s="0" t="n">
        <v>188801.753</v>
      </c>
      <c r="F12" s="0" t="n">
        <v>93102.131</v>
      </c>
      <c r="G12" s="0" t="n">
        <v>21.5591189624708</v>
      </c>
      <c r="H12" s="0" t="n">
        <v>93703.614</v>
      </c>
      <c r="I12" s="0" t="n">
        <v>97842.539</v>
      </c>
      <c r="J12" s="0" t="n">
        <v>22.656827671229</v>
      </c>
      <c r="K12" s="0" t="n">
        <v>17.5</v>
      </c>
      <c r="L12" s="0" t="n">
        <v>106938.69</v>
      </c>
      <c r="O12" s="0" t="n">
        <v>413385.156</v>
      </c>
      <c r="P12" s="0" t="n">
        <v>630044.327</v>
      </c>
      <c r="Q12" s="0" t="n">
        <v>216659.171</v>
      </c>
      <c r="S12" s="0" t="n">
        <v>108900.587</v>
      </c>
      <c r="T12" s="0" t="n">
        <v>5929.576</v>
      </c>
      <c r="U12" s="0" t="n">
        <v>7936.971</v>
      </c>
      <c r="AA12" s="0" t="s">
        <v>18</v>
      </c>
      <c r="AB12"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76.5</v>
      </c>
    </row>
    <row r="3" customFormat="false" ht="15" hidden="false" customHeight="false" outlineLevel="0" collapsed="false">
      <c r="A3" s="0" t="s">
        <v>78</v>
      </c>
      <c r="B3" s="3" t="n">
        <v>1473.5</v>
      </c>
    </row>
    <row r="4" customFormat="false" ht="15" hidden="false" customHeight="false" outlineLevel="0" collapsed="false">
      <c r="A4" s="0" t="s">
        <v>79</v>
      </c>
      <c r="B4" s="3" t="n">
        <v>-526710</v>
      </c>
    </row>
    <row r="5" customFormat="false" ht="15" hidden="false" customHeight="false" outlineLevel="0" collapsed="false">
      <c r="A5" s="0" t="s">
        <v>80</v>
      </c>
      <c r="B5" s="3" t="n">
        <v>-15057.6</v>
      </c>
    </row>
    <row r="6" customFormat="false" ht="15" hidden="false" customHeight="false" outlineLevel="0" collapsed="false">
      <c r="A6" s="0" t="s">
        <v>81</v>
      </c>
      <c r="B6" s="3" t="n">
        <v>15</v>
      </c>
    </row>
    <row r="7" customFormat="false" ht="15" hidden="false" customHeight="false" outlineLevel="0" collapsed="false">
      <c r="A7" s="0" t="s">
        <v>82</v>
      </c>
      <c r="B7" s="3" t="n">
        <v>431845.713</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0.14928</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5</v>
      </c>
      <c r="D13" s="3" t="n">
        <v>2</v>
      </c>
      <c r="E13" s="3" t="n">
        <v>0</v>
      </c>
      <c r="F13" s="3" t="n">
        <v>-2</v>
      </c>
      <c r="G13" s="3" t="n">
        <v>0</v>
      </c>
      <c r="H13" s="3" t="n">
        <v>1</v>
      </c>
      <c r="I13" s="3" t="n">
        <v>2</v>
      </c>
      <c r="J13" s="3" t="n">
        <v>2</v>
      </c>
      <c r="K13" s="3" t="n">
        <v>2</v>
      </c>
      <c r="L13" s="3" t="n">
        <v>2</v>
      </c>
    </row>
    <row r="14" customFormat="false" ht="15" hidden="false" customHeight="false" outlineLevel="0" collapsed="false">
      <c r="A14" s="0" t="s">
        <v>99</v>
      </c>
      <c r="C14" s="3" t="n">
        <v>21</v>
      </c>
      <c r="D14" s="3" t="n">
        <v>18</v>
      </c>
      <c r="E14" s="3" t="n">
        <v>16</v>
      </c>
      <c r="F14" s="3" t="n">
        <v>15</v>
      </c>
      <c r="G14" s="3" t="n">
        <v>15</v>
      </c>
      <c r="H14" s="3" t="n">
        <v>15</v>
      </c>
      <c r="I14" s="3" t="n">
        <v>15</v>
      </c>
      <c r="J14" s="3" t="n">
        <v>15</v>
      </c>
      <c r="K14" s="3" t="n">
        <v>15</v>
      </c>
      <c r="L14" s="3" t="n">
        <v>15</v>
      </c>
    </row>
    <row r="15" customFormat="false" ht="15" hidden="false" customHeight="false" outlineLevel="0" collapsed="false">
      <c r="A15" s="0" t="s">
        <v>100</v>
      </c>
      <c r="C15" s="3" t="n">
        <v>1.6</v>
      </c>
      <c r="D15" s="3" t="n">
        <v>1.7</v>
      </c>
      <c r="E15" s="3" t="n">
        <v>1.7</v>
      </c>
      <c r="F15" s="3" t="n">
        <v>1.7</v>
      </c>
      <c r="G15" s="3" t="n">
        <v>1.6</v>
      </c>
      <c r="H15" s="3" t="n">
        <v>1.6</v>
      </c>
      <c r="I15" s="3" t="n">
        <v>1.5</v>
      </c>
      <c r="J15" s="3" t="n">
        <v>1.5</v>
      </c>
      <c r="K15" s="3" t="n">
        <v>1.5</v>
      </c>
      <c r="L15" s="3" t="n">
        <v>1.5</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0.15</v>
      </c>
      <c r="D17" s="3" t="n">
        <v>0.15</v>
      </c>
      <c r="E17" s="3" t="n">
        <v>0.15</v>
      </c>
      <c r="F17" s="3" t="n">
        <v>0.15</v>
      </c>
      <c r="G17" s="3" t="n">
        <v>0.15</v>
      </c>
      <c r="H17" s="3" t="n">
        <v>0.15</v>
      </c>
      <c r="I17" s="3" t="n">
        <v>0.15</v>
      </c>
      <c r="J17" s="3" t="n">
        <v>0.15</v>
      </c>
      <c r="K17" s="3" t="n">
        <v>0.15</v>
      </c>
      <c r="L17" s="3" t="n">
        <v>0.15</v>
      </c>
    </row>
    <row r="18" customFormat="false" ht="15" hidden="false" customHeight="false" outlineLevel="0" collapsed="false">
      <c r="A18" s="0" t="s">
        <v>103</v>
      </c>
      <c r="C18" s="3" t="n">
        <v>0.25</v>
      </c>
      <c r="D18" s="3" t="n">
        <v>0.25</v>
      </c>
      <c r="E18" s="3" t="n">
        <v>0.25</v>
      </c>
      <c r="F18" s="3" t="n">
        <v>0.25</v>
      </c>
      <c r="G18" s="3" t="n">
        <v>0.25</v>
      </c>
      <c r="H18" s="3" t="n">
        <v>0.25</v>
      </c>
      <c r="I18" s="3" t="n">
        <v>0.25</v>
      </c>
      <c r="J18" s="3" t="n">
        <v>0.25</v>
      </c>
      <c r="K18" s="3" t="n">
        <v>0.25</v>
      </c>
      <c r="L18" s="3" t="n">
        <v>0.25</v>
      </c>
    </row>
    <row r="19" customFormat="false" ht="15" hidden="false" customHeight="false" outlineLevel="0" collapsed="false">
      <c r="A19" s="0" t="s">
        <v>104</v>
      </c>
      <c r="C19" s="3" t="n">
        <v>20</v>
      </c>
      <c r="D19" s="3" t="n">
        <v>22</v>
      </c>
      <c r="E19" s="3" t="n">
        <v>24</v>
      </c>
      <c r="F19" s="3" t="n">
        <v>25</v>
      </c>
      <c r="G19" s="3" t="n">
        <v>25</v>
      </c>
      <c r="H19" s="3" t="n">
        <v>25</v>
      </c>
      <c r="I19" s="3" t="n">
        <v>25</v>
      </c>
      <c r="J19" s="3" t="n">
        <v>25</v>
      </c>
      <c r="K19" s="3" t="n">
        <v>25</v>
      </c>
      <c r="L19" s="3" t="n">
        <v>25</v>
      </c>
    </row>
    <row r="20" customFormat="false" ht="15" hidden="false" customHeight="false" outlineLevel="0" collapsed="false">
      <c r="A20" s="0" t="s">
        <v>105</v>
      </c>
      <c r="B20" s="3" t="n">
        <v>10</v>
      </c>
    </row>
    <row r="21" customFormat="false" ht="15" hidden="false" customHeight="false" outlineLevel="0" collapsed="false">
      <c r="A21" s="0" t="s">
        <v>106</v>
      </c>
      <c r="B21" s="3" t="n">
        <v>2</v>
      </c>
    </row>
    <row r="22" customFormat="false" ht="15" hidden="false" customHeight="false" outlineLevel="0" collapsed="false">
      <c r="A22" s="0" t="s">
        <v>107</v>
      </c>
      <c r="B22" s="3" t="n">
        <v>9</v>
      </c>
    </row>
    <row r="23" customFormat="false" ht="15" hidden="false" customHeight="false" outlineLevel="0" collapsed="false">
      <c r="A23" s="0" t="s">
        <v>108</v>
      </c>
      <c r="B23" s="3" t="n">
        <v>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8</v>
      </c>
      <c r="D27" s="3" t="n">
        <v>7</v>
      </c>
      <c r="E27" s="3" t="n">
        <v>6</v>
      </c>
      <c r="F27" s="3" t="n">
        <v>5</v>
      </c>
      <c r="G27" s="3" t="n">
        <v>5</v>
      </c>
      <c r="H27" s="3" t="n">
        <v>4</v>
      </c>
      <c r="I27" s="3" t="n">
        <v>4</v>
      </c>
      <c r="J27" s="3" t="n">
        <v>3.5</v>
      </c>
      <c r="K27" s="3" t="n">
        <v>3</v>
      </c>
      <c r="L27" s="3" t="n">
        <v>3</v>
      </c>
    </row>
    <row r="28" customFormat="false" ht="15" hidden="false" customHeight="false" outlineLevel="0" collapsed="false">
      <c r="A28" s="0" t="s">
        <v>99</v>
      </c>
      <c r="C28" s="3" t="n">
        <v>23</v>
      </c>
      <c r="D28" s="3" t="n">
        <v>22.5</v>
      </c>
      <c r="E28" s="3" t="n">
        <v>22.5</v>
      </c>
      <c r="F28" s="3" t="n">
        <v>23</v>
      </c>
      <c r="G28" s="3" t="n">
        <v>23.5</v>
      </c>
      <c r="H28" s="3" t="n">
        <v>24</v>
      </c>
      <c r="I28" s="3" t="n">
        <v>24</v>
      </c>
      <c r="J28" s="3" t="n">
        <v>24</v>
      </c>
      <c r="K28" s="3" t="n">
        <v>24</v>
      </c>
      <c r="L28" s="3" t="n">
        <v>24</v>
      </c>
    </row>
    <row r="29" customFormat="false" ht="15" hidden="false" customHeight="false" outlineLevel="0" collapsed="false">
      <c r="A29" s="0" t="s">
        <v>100</v>
      </c>
      <c r="C29" s="3" t="n">
        <v>1.5</v>
      </c>
      <c r="D29" s="3" t="n">
        <v>1.5</v>
      </c>
      <c r="E29" s="3" t="n">
        <v>1.4</v>
      </c>
      <c r="F29" s="3" t="n">
        <v>1.4</v>
      </c>
      <c r="G29" s="3" t="n">
        <v>1.3</v>
      </c>
      <c r="H29" s="3" t="n">
        <v>1.3</v>
      </c>
      <c r="I29" s="3" t="n">
        <v>1.2</v>
      </c>
      <c r="J29" s="3" t="n">
        <v>1.2</v>
      </c>
      <c r="K29" s="3" t="n">
        <v>1.2</v>
      </c>
      <c r="L29" s="3" t="n">
        <v>1.2</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0.15</v>
      </c>
      <c r="D31" s="3" t="n">
        <v>0.15</v>
      </c>
      <c r="E31" s="3" t="n">
        <v>0.15</v>
      </c>
      <c r="F31" s="3" t="n">
        <v>0.15</v>
      </c>
      <c r="G31" s="3" t="n">
        <v>0.15</v>
      </c>
      <c r="H31" s="3" t="n">
        <v>0.15</v>
      </c>
      <c r="I31" s="3" t="n">
        <v>0.15</v>
      </c>
      <c r="J31" s="3" t="n">
        <v>0.15</v>
      </c>
      <c r="K31" s="3" t="n">
        <v>0.15</v>
      </c>
      <c r="L31" s="3" t="n">
        <v>0.15</v>
      </c>
    </row>
    <row r="32" customFormat="false" ht="15" hidden="false" customHeight="false" outlineLevel="0" collapsed="false">
      <c r="A32" s="0" t="s">
        <v>103</v>
      </c>
      <c r="C32" s="3" t="n">
        <v>0.25</v>
      </c>
      <c r="D32" s="3" t="n">
        <v>0.25</v>
      </c>
      <c r="E32" s="3" t="n">
        <v>0.25</v>
      </c>
      <c r="F32" s="3" t="n">
        <v>0.25</v>
      </c>
      <c r="G32" s="3" t="n">
        <v>0.25</v>
      </c>
      <c r="H32" s="3" t="n">
        <v>0.25</v>
      </c>
      <c r="I32" s="3" t="n">
        <v>0.25</v>
      </c>
      <c r="J32" s="3" t="n">
        <v>0.25</v>
      </c>
      <c r="K32" s="3" t="n">
        <v>0.25</v>
      </c>
      <c r="L32" s="3" t="n">
        <v>0.25</v>
      </c>
    </row>
    <row r="33" customFormat="false" ht="15" hidden="false" customHeight="false" outlineLevel="0" collapsed="false">
      <c r="A33" s="0" t="s">
        <v>104</v>
      </c>
      <c r="C33" s="3" t="n">
        <v>19</v>
      </c>
      <c r="D33" s="3" t="n">
        <v>20</v>
      </c>
      <c r="E33" s="3" t="n">
        <v>20</v>
      </c>
      <c r="F33" s="3" t="n">
        <v>21</v>
      </c>
      <c r="G33" s="3" t="n">
        <v>21</v>
      </c>
      <c r="H33" s="3" t="n">
        <v>22</v>
      </c>
      <c r="I33" s="3" t="n">
        <v>22</v>
      </c>
      <c r="J33" s="3" t="n">
        <v>22</v>
      </c>
      <c r="K33" s="3" t="n">
        <v>22</v>
      </c>
      <c r="L33" s="3" t="n">
        <v>22</v>
      </c>
    </row>
    <row r="34" customFormat="false" ht="15" hidden="false" customHeight="false" outlineLevel="0" collapsed="false">
      <c r="A34" s="0" t="s">
        <v>105</v>
      </c>
      <c r="B34" s="3" t="n">
        <v>10</v>
      </c>
    </row>
    <row r="35" customFormat="false" ht="15" hidden="false" customHeight="false" outlineLevel="0" collapsed="false">
      <c r="A35" s="0" t="s">
        <v>106</v>
      </c>
      <c r="B35" s="3" t="n">
        <v>3</v>
      </c>
    </row>
    <row r="36" customFormat="false" ht="15" hidden="false" customHeight="false" outlineLevel="0" collapsed="false">
      <c r="A36" s="0" t="s">
        <v>107</v>
      </c>
      <c r="B36" s="3" t="n">
        <v>14</v>
      </c>
    </row>
    <row r="37" customFormat="false" ht="15" hidden="false" customHeight="false" outlineLevel="0" collapsed="false">
      <c r="A37" s="0" t="s">
        <v>108</v>
      </c>
      <c r="B37" s="3" t="n">
        <v>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10</v>
      </c>
      <c r="D41" s="3" t="n">
        <v>10</v>
      </c>
      <c r="E41" s="3" t="n">
        <v>9</v>
      </c>
      <c r="F41" s="3" t="n">
        <v>8</v>
      </c>
      <c r="G41" s="3" t="n">
        <v>7</v>
      </c>
      <c r="H41" s="3" t="n">
        <v>6</v>
      </c>
      <c r="I41" s="3" t="n">
        <v>5</v>
      </c>
      <c r="J41" s="3" t="n">
        <v>4.5</v>
      </c>
      <c r="K41" s="3" t="n">
        <v>4</v>
      </c>
      <c r="L41" s="3" t="n">
        <v>3.5</v>
      </c>
    </row>
    <row r="42" customFormat="false" ht="15" hidden="false" customHeight="false" outlineLevel="0" collapsed="false">
      <c r="A42" s="0" t="s">
        <v>99</v>
      </c>
      <c r="C42" s="3" t="n">
        <v>24</v>
      </c>
      <c r="D42" s="3" t="n">
        <v>24.5</v>
      </c>
      <c r="E42" s="3" t="n">
        <v>25.5</v>
      </c>
      <c r="F42" s="3" t="n">
        <v>26.5</v>
      </c>
      <c r="G42" s="3" t="n">
        <v>27</v>
      </c>
      <c r="H42" s="3" t="n">
        <v>27.5</v>
      </c>
      <c r="I42" s="3" t="n">
        <v>28</v>
      </c>
      <c r="J42" s="3" t="n">
        <v>28</v>
      </c>
      <c r="K42" s="3" t="n">
        <v>28</v>
      </c>
      <c r="L42" s="3" t="n">
        <v>28</v>
      </c>
    </row>
    <row r="43" customFormat="false" ht="15" hidden="false" customHeight="false" outlineLevel="0" collapsed="false">
      <c r="A43" s="0" t="s">
        <v>100</v>
      </c>
      <c r="C43" s="3" t="n">
        <v>1.5</v>
      </c>
      <c r="D43" s="3" t="n">
        <v>1.5</v>
      </c>
      <c r="E43" s="3" t="n">
        <v>1.5</v>
      </c>
      <c r="F43" s="3" t="n">
        <v>1.4</v>
      </c>
      <c r="G43" s="3" t="n">
        <v>1.4</v>
      </c>
      <c r="H43" s="3" t="n">
        <v>1.3</v>
      </c>
      <c r="I43" s="3" t="n">
        <v>1.3</v>
      </c>
      <c r="J43" s="3" t="n">
        <v>1.2</v>
      </c>
      <c r="K43" s="3" t="n">
        <v>1.2</v>
      </c>
      <c r="L43" s="3" t="n">
        <v>1.2</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0.15</v>
      </c>
      <c r="D45" s="3" t="n">
        <v>0.15</v>
      </c>
      <c r="E45" s="3" t="n">
        <v>0.15</v>
      </c>
      <c r="F45" s="3" t="n">
        <v>0.15</v>
      </c>
      <c r="G45" s="3" t="n">
        <v>0.15</v>
      </c>
      <c r="H45" s="3" t="n">
        <v>0.15</v>
      </c>
      <c r="I45" s="3" t="n">
        <v>0.15</v>
      </c>
      <c r="J45" s="3" t="n">
        <v>0.15</v>
      </c>
      <c r="K45" s="3" t="n">
        <v>0.15</v>
      </c>
      <c r="L45" s="3" t="n">
        <v>0.15</v>
      </c>
    </row>
    <row r="46" customFormat="false" ht="15" hidden="false" customHeight="false" outlineLevel="0" collapsed="false">
      <c r="A46" s="0" t="s">
        <v>103</v>
      </c>
      <c r="C46" s="3" t="n">
        <v>0.25</v>
      </c>
      <c r="D46" s="3" t="n">
        <v>0.25</v>
      </c>
      <c r="E46" s="3" t="n">
        <v>0.25</v>
      </c>
      <c r="F46" s="3" t="n">
        <v>0.25</v>
      </c>
      <c r="G46" s="3" t="n">
        <v>0.25</v>
      </c>
      <c r="H46" s="3" t="n">
        <v>0.25</v>
      </c>
      <c r="I46" s="3" t="n">
        <v>0.25</v>
      </c>
      <c r="J46" s="3" t="n">
        <v>0.25</v>
      </c>
      <c r="K46" s="3" t="n">
        <v>0.25</v>
      </c>
      <c r="L46" s="3" t="n">
        <v>0.25</v>
      </c>
    </row>
    <row r="47" customFormat="false" ht="15" hidden="false" customHeight="false" outlineLevel="0" collapsed="false">
      <c r="A47" s="0" t="s">
        <v>104</v>
      </c>
      <c r="C47" s="3" t="n">
        <v>18</v>
      </c>
      <c r="D47" s="3" t="n">
        <v>19</v>
      </c>
      <c r="E47" s="3" t="n">
        <v>19</v>
      </c>
      <c r="F47" s="3" t="n">
        <v>20</v>
      </c>
      <c r="G47" s="3" t="n">
        <v>20</v>
      </c>
      <c r="H47" s="3" t="n">
        <v>20</v>
      </c>
      <c r="I47" s="3" t="n">
        <v>20</v>
      </c>
      <c r="J47" s="3" t="n">
        <v>20</v>
      </c>
      <c r="K47" s="3" t="n">
        <v>20</v>
      </c>
      <c r="L47" s="3" t="n">
        <v>20</v>
      </c>
    </row>
    <row r="48" customFormat="false" ht="15" hidden="false" customHeight="false" outlineLevel="0" collapsed="false">
      <c r="A48" s="0" t="s">
        <v>105</v>
      </c>
      <c r="B48" s="3" t="n">
        <v>10</v>
      </c>
    </row>
    <row r="49" customFormat="false" ht="15" hidden="false" customHeight="false" outlineLevel="0" collapsed="false">
      <c r="A49" s="0" t="s">
        <v>106</v>
      </c>
      <c r="B49" s="3" t="n">
        <v>3.5</v>
      </c>
    </row>
    <row r="50" customFormat="false" ht="15" hidden="false" customHeight="false" outlineLevel="0" collapsed="false">
      <c r="A50" s="0" t="s">
        <v>107</v>
      </c>
      <c r="B50" s="3" t="n">
        <v>16</v>
      </c>
    </row>
    <row r="51" customFormat="false" ht="15" hidden="false" customHeight="false" outlineLevel="0" collapsed="false">
      <c r="A51" s="0" t="s">
        <v>108</v>
      </c>
      <c r="B51" s="3" t="n">
        <v>5</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5</v>
      </c>
      <c r="D5" s="4" t="n">
        <f aca="false">Assumptions!D13</f>
        <v>2</v>
      </c>
      <c r="E5" s="4" t="n">
        <f aca="false">Assumptions!E13</f>
        <v>0</v>
      </c>
      <c r="F5" s="4" t="n">
        <f aca="false">Assumptions!F13</f>
        <v>-2</v>
      </c>
      <c r="G5" s="4" t="n">
        <f aca="false">Assumptions!G13</f>
        <v>0</v>
      </c>
      <c r="H5" s="4" t="n">
        <f aca="false">Assumptions!H13</f>
        <v>1</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431845.713</v>
      </c>
      <c r="C6" s="0" t="n">
        <f aca="false">B6*(1+C5/100)</f>
        <v>453437.99865</v>
      </c>
      <c r="D6" s="0" t="n">
        <f aca="false">C6*(1+D5/100)</f>
        <v>462506.758623</v>
      </c>
      <c r="E6" s="0" t="n">
        <f aca="false">D6*(1+E5/100)</f>
        <v>462506.758623</v>
      </c>
      <c r="F6" s="0" t="n">
        <f aca="false">E6*(1+F5/100)</f>
        <v>453256.62345054</v>
      </c>
      <c r="G6" s="0" t="n">
        <f aca="false">F6*(1+G5/100)</f>
        <v>453256.62345054</v>
      </c>
      <c r="H6" s="0" t="n">
        <f aca="false">G6*(1+H5/100)</f>
        <v>457789.189685045</v>
      </c>
      <c r="I6" s="0" t="n">
        <f aca="false">H6*(1+I5/100)</f>
        <v>466944.973478746</v>
      </c>
      <c r="J6" s="0" t="n">
        <f aca="false">I6*(1+J5/100)</f>
        <v>476283.872948321</v>
      </c>
      <c r="K6" s="0" t="n">
        <f aca="false">J6*(1+K5/100)</f>
        <v>485809.550407288</v>
      </c>
      <c r="L6" s="0" t="n">
        <f aca="false">K6*(1+L5/100)</f>
        <v>495525.741415433</v>
      </c>
    </row>
    <row r="7" customFormat="false" ht="15" hidden="false" customHeight="false" outlineLevel="0" collapsed="false">
      <c r="A7" s="0" t="s">
        <v>99</v>
      </c>
      <c r="C7" s="4" t="n">
        <f aca="false">Assumptions!C14</f>
        <v>21</v>
      </c>
      <c r="D7" s="4" t="n">
        <f aca="false">Assumptions!D14</f>
        <v>18</v>
      </c>
      <c r="E7" s="4" t="n">
        <f aca="false">Assumptions!E14</f>
        <v>16</v>
      </c>
      <c r="F7" s="4" t="n">
        <f aca="false">Assumptions!F14</f>
        <v>15</v>
      </c>
      <c r="G7" s="4" t="n">
        <f aca="false">Assumptions!G14</f>
        <v>15</v>
      </c>
      <c r="H7" s="4" t="n">
        <f aca="false">Assumptions!H14</f>
        <v>15</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44</v>
      </c>
      <c r="C8" s="0" t="n">
        <f aca="false">C6*C7/100</f>
        <v>95221.9797165</v>
      </c>
      <c r="D8" s="0" t="n">
        <f aca="false">D6*D7/100</f>
        <v>83251.21655214</v>
      </c>
      <c r="E8" s="0" t="n">
        <f aca="false">E6*E7/100</f>
        <v>74001.08137968</v>
      </c>
      <c r="F8" s="0" t="n">
        <f aca="false">F6*F7/100</f>
        <v>67988.493517581</v>
      </c>
      <c r="G8" s="0" t="n">
        <f aca="false">G6*G7/100</f>
        <v>67988.493517581</v>
      </c>
      <c r="H8" s="0" t="n">
        <f aca="false">H6*H7/100</f>
        <v>68668.3784527568</v>
      </c>
      <c r="I8" s="0" t="n">
        <f aca="false">I6*I7/100</f>
        <v>70041.746021812</v>
      </c>
      <c r="J8" s="0" t="n">
        <f aca="false">J6*J7/100</f>
        <v>71442.5809422482</v>
      </c>
      <c r="K8" s="0" t="n">
        <f aca="false">K6*K7/100</f>
        <v>72871.4325610932</v>
      </c>
      <c r="L8" s="0" t="n">
        <f aca="false">L6*L7/100</f>
        <v>74328.861212315</v>
      </c>
    </row>
    <row r="9" customFormat="false" ht="15" hidden="false" customHeight="false" outlineLevel="0" collapsed="false">
      <c r="A9" s="0" t="s">
        <v>100</v>
      </c>
      <c r="C9" s="4" t="n">
        <f aca="false">Assumptions!C15</f>
        <v>1.6</v>
      </c>
      <c r="D9" s="4" t="n">
        <f aca="false">Assumptions!D15</f>
        <v>1.7</v>
      </c>
      <c r="E9" s="4" t="n">
        <f aca="false">Assumptions!E15</f>
        <v>1.7</v>
      </c>
      <c r="F9" s="4" t="n">
        <f aca="false">Assumptions!F15</f>
        <v>1.7</v>
      </c>
      <c r="G9" s="4" t="n">
        <f aca="false">Assumptions!G15</f>
        <v>1.6</v>
      </c>
      <c r="H9" s="4" t="n">
        <f aca="false">Assumptions!H15</f>
        <v>1.6</v>
      </c>
      <c r="I9" s="4" t="n">
        <f aca="false">Assumptions!I15</f>
        <v>1.5</v>
      </c>
      <c r="J9" s="4" t="n">
        <f aca="false">Assumptions!J15</f>
        <v>1.5</v>
      </c>
      <c r="K9" s="4" t="n">
        <f aca="false">Assumptions!K15</f>
        <v>1.5</v>
      </c>
      <c r="L9" s="4" t="n">
        <f aca="false">Assumptions!L15</f>
        <v>1.5</v>
      </c>
    </row>
    <row r="10" customFormat="false" ht="15" hidden="false" customHeight="false" outlineLevel="0" collapsed="false">
      <c r="A10" s="0" t="s">
        <v>115</v>
      </c>
      <c r="C10" s="0" t="n">
        <f aca="false">-C6*C9/100</f>
        <v>-7255.0079784</v>
      </c>
      <c r="D10" s="0" t="n">
        <f aca="false">-D6*D9/100</f>
        <v>-7862.614896591</v>
      </c>
      <c r="E10" s="0" t="n">
        <f aca="false">-E6*E9/100</f>
        <v>-7862.614896591</v>
      </c>
      <c r="F10" s="0" t="n">
        <f aca="false">-F6*F9/100</f>
        <v>-7705.36259865918</v>
      </c>
      <c r="G10" s="0" t="n">
        <f aca="false">-G6*G9/100</f>
        <v>-7252.10597520864</v>
      </c>
      <c r="H10" s="0" t="n">
        <f aca="false">-H6*H9/100</f>
        <v>-7324.62703496073</v>
      </c>
      <c r="I10" s="0" t="n">
        <f aca="false">-I6*I9/100</f>
        <v>-7004.1746021812</v>
      </c>
      <c r="J10" s="0" t="n">
        <f aca="false">-J6*J9/100</f>
        <v>-7144.25809422482</v>
      </c>
      <c r="K10" s="0" t="n">
        <f aca="false">-K6*K9/100</f>
        <v>-7287.14325610932</v>
      </c>
      <c r="L10" s="0" t="n">
        <f aca="false">-L6*L9/100</f>
        <v>-7432.8861212315</v>
      </c>
    </row>
    <row r="11" customFormat="false" ht="15" hidden="false" customHeight="false" outlineLevel="0" collapsed="false">
      <c r="A11" s="0" t="s">
        <v>116</v>
      </c>
      <c r="C11" s="0" t="n">
        <f aca="false">C8+C10+C24</f>
        <v>87966.9717381</v>
      </c>
      <c r="D11" s="0" t="n">
        <f aca="false">D8+D10+D24</f>
        <v>75388.601655549</v>
      </c>
      <c r="E11" s="0" t="n">
        <f aca="false">E8+E10+E24</f>
        <v>66138.466483089</v>
      </c>
      <c r="F11" s="0" t="n">
        <f aca="false">F8+F10+F24</f>
        <v>60283.1309189218</v>
      </c>
      <c r="G11" s="0" t="n">
        <f aca="false">G8+G10+G24</f>
        <v>60736.3875423724</v>
      </c>
      <c r="H11" s="0" t="n">
        <f aca="false">H8+H10+H24</f>
        <v>61343.7514177961</v>
      </c>
      <c r="I11" s="0" t="n">
        <f aca="false">I8+I10+I24</f>
        <v>63037.5714196308</v>
      </c>
      <c r="J11" s="0" t="n">
        <f aca="false">J8+J10+J24</f>
        <v>64298.3228480234</v>
      </c>
      <c r="K11" s="0" t="n">
        <f aca="false">K8+K10+K24</f>
        <v>65584.2893049839</v>
      </c>
      <c r="L11" s="0" t="n">
        <f aca="false">L8+L10+L24</f>
        <v>66895.9750910835</v>
      </c>
    </row>
    <row r="12" customFormat="false" ht="15" hidden="false" customHeight="false" outlineLevel="0" collapsed="false">
      <c r="A12" s="0" t="s">
        <v>117</v>
      </c>
      <c r="C12" s="4" t="n">
        <f aca="false">-C6*Assumptions!C17/100</f>
        <v>-680.156997975</v>
      </c>
      <c r="D12" s="4" t="n">
        <f aca="false">-D6*Assumptions!D17/100</f>
        <v>-693.7601379345</v>
      </c>
      <c r="E12" s="4" t="n">
        <f aca="false">-E6*Assumptions!E17/100</f>
        <v>-693.7601379345</v>
      </c>
      <c r="F12" s="4" t="n">
        <f aca="false">-F6*Assumptions!F17/100</f>
        <v>-679.88493517581</v>
      </c>
      <c r="G12" s="4" t="n">
        <f aca="false">-G6*Assumptions!G17/100</f>
        <v>-679.88493517581</v>
      </c>
      <c r="H12" s="4" t="n">
        <f aca="false">-H6*Assumptions!H17/100</f>
        <v>-686.683784527568</v>
      </c>
      <c r="I12" s="4" t="n">
        <f aca="false">-I6*Assumptions!I17/100</f>
        <v>-700.41746021812</v>
      </c>
      <c r="J12" s="4" t="n">
        <f aca="false">-J6*Assumptions!J17/100</f>
        <v>-714.425809422482</v>
      </c>
      <c r="K12" s="4" t="n">
        <f aca="false">-K6*Assumptions!K17/100</f>
        <v>-728.714325610932</v>
      </c>
      <c r="L12" s="4" t="n">
        <f aca="false">-L6*Assumptions!L17/100</f>
        <v>-743.28861212315</v>
      </c>
    </row>
    <row r="13" customFormat="false" ht="15" hidden="false" customHeight="false" outlineLevel="0" collapsed="false">
      <c r="A13" s="0" t="s">
        <v>118</v>
      </c>
      <c r="C13" s="0" t="n">
        <f aca="false">C11+C12</f>
        <v>87286.814740125</v>
      </c>
      <c r="D13" s="0" t="n">
        <f aca="false">D11+D12</f>
        <v>74694.8415176145</v>
      </c>
      <c r="E13" s="0" t="n">
        <f aca="false">E11+E12</f>
        <v>65444.7063451545</v>
      </c>
      <c r="F13" s="0" t="n">
        <f aca="false">F11+F12</f>
        <v>59603.245983746</v>
      </c>
      <c r="G13" s="0" t="n">
        <f aca="false">G11+G12</f>
        <v>60056.5026071966</v>
      </c>
      <c r="H13" s="0" t="n">
        <f aca="false">H11+H12</f>
        <v>60657.0676332685</v>
      </c>
      <c r="I13" s="0" t="n">
        <f aca="false">I11+I12</f>
        <v>62337.1539594126</v>
      </c>
      <c r="J13" s="0" t="n">
        <f aca="false">J11+J12</f>
        <v>63583.8970386009</v>
      </c>
      <c r="K13" s="0" t="n">
        <f aca="false">K11+K12</f>
        <v>64855.5749793729</v>
      </c>
      <c r="L13" s="0" t="n">
        <f aca="false">L11+L12</f>
        <v>66152.6864789604</v>
      </c>
    </row>
    <row r="14" customFormat="false" ht="15" hidden="false" customHeight="false" outlineLevel="0" collapsed="false">
      <c r="A14" s="0" t="s">
        <v>104</v>
      </c>
      <c r="C14" s="4" t="n">
        <f aca="false">Assumptions!C19</f>
        <v>20</v>
      </c>
      <c r="D14" s="4" t="n">
        <f aca="false">Assumptions!D19</f>
        <v>22</v>
      </c>
      <c r="E14" s="4" t="n">
        <f aca="false">Assumptions!E19</f>
        <v>24</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119</v>
      </c>
      <c r="C15" s="0" t="n">
        <f aca="false">C13-MAX(0,C13)*C14/100</f>
        <v>69829.4517921</v>
      </c>
      <c r="D15" s="0" t="n">
        <f aca="false">D13-MAX(0,D13)*D14/100</f>
        <v>58261.9763837393</v>
      </c>
      <c r="E15" s="0" t="n">
        <f aca="false">E13-MAX(0,E13)*E14/100</f>
        <v>49737.9768223174</v>
      </c>
      <c r="F15" s="0" t="n">
        <f aca="false">F13-MAX(0,F13)*F14/100</f>
        <v>44702.4344878095</v>
      </c>
      <c r="G15" s="0" t="n">
        <f aca="false">G13-MAX(0,G13)*G14/100</f>
        <v>45042.3769553974</v>
      </c>
      <c r="H15" s="0" t="n">
        <f aca="false">H13-MAX(0,H13)*H14/100</f>
        <v>45492.8007249514</v>
      </c>
      <c r="I15" s="0" t="n">
        <f aca="false">I13-MAX(0,I13)*I14/100</f>
        <v>46752.8654695595</v>
      </c>
      <c r="J15" s="0" t="n">
        <f aca="false">J13-MAX(0,J13)*J14/100</f>
        <v>47687.9227789507</v>
      </c>
      <c r="K15" s="0" t="n">
        <f aca="false">K13-MAX(0,K13)*K14/100</f>
        <v>48641.6812345297</v>
      </c>
      <c r="L15" s="0" t="n">
        <f aca="false">L13-MAX(0,L13)*L14/100</f>
        <v>49614.5148592203</v>
      </c>
    </row>
    <row r="16" customFormat="false" ht="15" hidden="false" customHeight="false" outlineLevel="0" collapsed="false">
      <c r="A16" s="0" t="s">
        <v>120</v>
      </c>
      <c r="C16" s="0" t="n">
        <f aca="false">-C12</f>
        <v>680.156997975</v>
      </c>
      <c r="D16" s="0" t="n">
        <f aca="false">-D12</f>
        <v>693.7601379345</v>
      </c>
      <c r="E16" s="0" t="n">
        <f aca="false">-E12</f>
        <v>693.7601379345</v>
      </c>
      <c r="F16" s="0" t="n">
        <f aca="false">-F12</f>
        <v>679.88493517581</v>
      </c>
      <c r="G16" s="0" t="n">
        <f aca="false">-G12</f>
        <v>679.88493517581</v>
      </c>
      <c r="H16" s="0" t="n">
        <f aca="false">-H12</f>
        <v>686.683784527568</v>
      </c>
      <c r="I16" s="0" t="n">
        <f aca="false">-I12</f>
        <v>700.41746021812</v>
      </c>
      <c r="J16" s="0" t="n">
        <f aca="false">-J12</f>
        <v>714.425809422482</v>
      </c>
      <c r="K16" s="0" t="n">
        <f aca="false">-K12</f>
        <v>728.714325610932</v>
      </c>
      <c r="L16" s="0" t="n">
        <f aca="false">-L12</f>
        <v>743.28861212315</v>
      </c>
    </row>
    <row r="17" customFormat="false" ht="15" hidden="false" customHeight="false" outlineLevel="0" collapsed="false">
      <c r="A17" s="0" t="s">
        <v>121</v>
      </c>
      <c r="C17" s="4" t="n">
        <f aca="false">-C6*Assumptions!C18/100</f>
        <v>-1133.594996625</v>
      </c>
      <c r="D17" s="4" t="n">
        <f aca="false">-D6*Assumptions!D18/100</f>
        <v>-1156.2668965575</v>
      </c>
      <c r="E17" s="4" t="n">
        <f aca="false">-E6*Assumptions!E18/100</f>
        <v>-1156.2668965575</v>
      </c>
      <c r="F17" s="4" t="n">
        <f aca="false">-F6*Assumptions!F18/100</f>
        <v>-1133.14155862635</v>
      </c>
      <c r="G17" s="4" t="n">
        <f aca="false">-G6*Assumptions!G18/100</f>
        <v>-1133.14155862635</v>
      </c>
      <c r="H17" s="4" t="n">
        <f aca="false">-H6*Assumptions!H18/100</f>
        <v>-1144.47297421261</v>
      </c>
      <c r="I17" s="4" t="n">
        <f aca="false">-I6*Assumptions!I18/100</f>
        <v>-1167.36243369687</v>
      </c>
      <c r="J17" s="4" t="n">
        <f aca="false">-J6*Assumptions!J18/100</f>
        <v>-1190.7096823708</v>
      </c>
      <c r="K17" s="4" t="n">
        <f aca="false">-K6*Assumptions!K18/100</f>
        <v>-1214.52387601822</v>
      </c>
      <c r="L17" s="4" t="n">
        <f aca="false">-L6*Assumptions!L18/100</f>
        <v>-1238.81435353858</v>
      </c>
    </row>
    <row r="18" customFormat="false" ht="15" hidden="false" customHeight="false" outlineLevel="0" collapsed="false">
      <c r="A18" s="0" t="s">
        <v>122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69376.01379345</v>
      </c>
      <c r="D19" s="0" t="n">
        <f aca="false">D15+D16+D17+D18</f>
        <v>57799.4696251163</v>
      </c>
      <c r="E19" s="0" t="n">
        <f aca="false">E15+E16+E17+E18</f>
        <v>49275.4700636944</v>
      </c>
      <c r="F19" s="0" t="n">
        <f aca="false">F15+F16+F17+F18</f>
        <v>44249.177864359</v>
      </c>
      <c r="G19" s="0" t="n">
        <f aca="false">G15+G16+G17+G18</f>
        <v>44589.1203319469</v>
      </c>
      <c r="H19" s="0" t="n">
        <f aca="false">H15+H16+H17+H18</f>
        <v>45035.0115352663</v>
      </c>
      <c r="I19" s="0" t="n">
        <f aca="false">I15+I16+I17+I18</f>
        <v>46285.9204960807</v>
      </c>
      <c r="J19" s="0" t="n">
        <f aca="false">J15+J16+J17+J18</f>
        <v>47211.6389060023</v>
      </c>
      <c r="K19" s="0" t="n">
        <f aca="false">K15+K16+K17+K18</f>
        <v>48155.8716841224</v>
      </c>
      <c r="L19" s="0" t="n">
        <f aca="false">L15+L16+L17+L18</f>
        <v>49118.9891178048</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63069.1034485909</v>
      </c>
      <c r="D21" s="0" t="n">
        <f aca="false">D19*D20</f>
        <v>47768.1567149722</v>
      </c>
      <c r="E21" s="0" t="n">
        <f aca="false">E19*E20</f>
        <v>37021.3899802362</v>
      </c>
      <c r="F21" s="0" t="n">
        <f aca="false">F19*F20</f>
        <v>30222.7838701994</v>
      </c>
      <c r="G21" s="0" t="n">
        <f aca="false">G19*G20</f>
        <v>27686.3355905563</v>
      </c>
      <c r="H21" s="0" t="n">
        <f aca="false">H19*H20</f>
        <v>25421.089951329</v>
      </c>
      <c r="I21" s="0" t="n">
        <f aca="false">I19*I20</f>
        <v>23751.9958623449</v>
      </c>
      <c r="J21" s="0" t="n">
        <f aca="false">J19*J20</f>
        <v>22024.5779814471</v>
      </c>
      <c r="K21" s="0" t="n">
        <f aca="false">K19*K20</f>
        <v>20422.7904918873</v>
      </c>
      <c r="L21" s="0" t="n">
        <f aca="false">L19*L20</f>
        <v>18937.4966379318</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10</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9</v>
      </c>
    </row>
    <row r="30" customFormat="false" ht="15" hidden="false" customHeight="false" outlineLevel="0" collapsed="false">
      <c r="A30" s="0" t="s">
        <v>128</v>
      </c>
      <c r="B30" s="0" t="n">
        <f aca="false">SUM(C21:L21)</f>
        <v>316325.720529495</v>
      </c>
    </row>
    <row r="31" customFormat="false" ht="15" hidden="false" customHeight="false" outlineLevel="0" collapsed="false">
      <c r="A31" s="0" t="s">
        <v>129</v>
      </c>
      <c r="B31" s="0" t="n">
        <f aca="false">L19</f>
        <v>49118.9891178048</v>
      </c>
    </row>
    <row r="32" customFormat="false" ht="15" hidden="false" customHeight="false" outlineLevel="0" collapsed="false">
      <c r="A32" s="0" t="s">
        <v>130</v>
      </c>
      <c r="B32" s="0" t="n">
        <f aca="false">IF(B27&gt;B28,B31*(1+B28/100)/((B27-B28)/100),B31*B29)</f>
        <v>626267.111252012</v>
      </c>
    </row>
    <row r="33" customFormat="false" ht="15" hidden="false" customHeight="false" outlineLevel="0" collapsed="false">
      <c r="A33" s="0" t="s">
        <v>131</v>
      </c>
      <c r="B33" s="0" t="n">
        <f aca="false">B31*B29</f>
        <v>442070.902060244</v>
      </c>
    </row>
    <row r="34" customFormat="false" ht="15" hidden="false" customHeight="false" outlineLevel="0" collapsed="false">
      <c r="A34" s="0" t="s">
        <v>132</v>
      </c>
      <c r="B34" s="0" t="n">
        <f aca="false">MAX(0,MIN(B32,B33))</f>
        <v>442070.902060244</v>
      </c>
    </row>
    <row r="35" customFormat="false" ht="15" hidden="false" customHeight="false" outlineLevel="0" collapsed="false">
      <c r="A35" s="0" t="s">
        <v>133</v>
      </c>
      <c r="B35" s="0" t="n">
        <f aca="false">B34/(1+B27/100)^L4</f>
        <v>170437.469741387</v>
      </c>
    </row>
    <row r="36" customFormat="false" ht="15" hidden="false" customHeight="false" outlineLevel="0" collapsed="false">
      <c r="A36" s="0" t="s">
        <v>134</v>
      </c>
      <c r="B36" s="0" t="n">
        <f aca="false">B30+B35</f>
        <v>486763.190270882</v>
      </c>
    </row>
    <row r="37" customFormat="false" ht="15" hidden="false" customHeight="false" outlineLevel="0" collapsed="false">
      <c r="A37" s="0" t="s">
        <v>135</v>
      </c>
      <c r="B37" s="0" t="n">
        <f aca="false">B36+Assumptions!$B$5-Assumptions!$B$4</f>
        <v>998415.590270882</v>
      </c>
    </row>
    <row r="38" customFormat="false" ht="15" hidden="false" customHeight="false" outlineLevel="0" collapsed="false">
      <c r="A38" s="0" t="s">
        <v>136</v>
      </c>
      <c r="B38" s="0" t="n">
        <f aca="false">B37/Assumptions!$B$3*Assumptions!$B$10</f>
        <v>101.149290339761</v>
      </c>
    </row>
    <row r="39" customFormat="false" ht="15" hidden="false" customHeight="false" outlineLevel="0" collapsed="false">
      <c r="A39" s="0" t="s">
        <v>137</v>
      </c>
      <c r="B39" s="4" t="n">
        <f aca="false">B38/Assumptions!$B$2-1</f>
        <v>0.322212945617785</v>
      </c>
    </row>
    <row r="41" customFormat="false" ht="15" hidden="false" customHeight="false" outlineLevel="0" collapsed="false">
      <c r="A41" s="0" t="s">
        <v>138</v>
      </c>
      <c r="B41" s="0" t="n">
        <f aca="false">SUMPRODUCT(-C10:L10/(1+$B$27/100)^C4:L4)</f>
        <v>45784.4618138299</v>
      </c>
    </row>
    <row r="42" customFormat="false" ht="15" hidden="false" customHeight="false" outlineLevel="0" collapsed="false">
      <c r="A42" s="0" t="s">
        <v>139</v>
      </c>
      <c r="B42" s="0" t="n">
        <f aca="false">IF(B27&gt;B28,-L10*(1+B28/100)/((B27-B28)/100),-L10*20)/(1+B27/100)^L4</f>
        <v>36537.6669054675</v>
      </c>
    </row>
    <row r="43" customFormat="false" ht="15" hidden="false" customHeight="false" outlineLevel="0" collapsed="false">
      <c r="A43" s="0" t="s">
        <v>140</v>
      </c>
      <c r="B43" s="0" t="n">
        <f aca="false">(B37+B41+B42)/Assumptions!$B$3*Assumptions!$B$10</f>
        <v>109.489329277811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385395.145385853</v>
      </c>
    </row>
    <row r="47" customFormat="false" ht="15" hidden="false" customHeight="false" outlineLevel="0" collapsed="false">
      <c r="A47" s="0" t="s">
        <v>142</v>
      </c>
      <c r="B47" s="0" t="n">
        <f aca="false">(SUMPRODUCT(C19:L19/(1+B45/100)^C4:L4)+B46/(1+B45/100)^L4+Assumptions!$B$5-Assumptions!$B$4)/Assumptions!$B$3*Assumptions!$B$10</f>
        <v>88.0331532699879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8</v>
      </c>
      <c r="D5" s="4" t="n">
        <f aca="false">Assumptions!D27</f>
        <v>7</v>
      </c>
      <c r="E5" s="4" t="n">
        <f aca="false">Assumptions!E27</f>
        <v>6</v>
      </c>
      <c r="F5" s="4" t="n">
        <f aca="false">Assumptions!F27</f>
        <v>5</v>
      </c>
      <c r="G5" s="4" t="n">
        <f aca="false">Assumptions!G27</f>
        <v>5</v>
      </c>
      <c r="H5" s="4" t="n">
        <f aca="false">Assumptions!H27</f>
        <v>4</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38</v>
      </c>
      <c r="B6" s="3" t="n">
        <v>431845.713</v>
      </c>
      <c r="C6" s="0" t="n">
        <f aca="false">B6*(1+C5/100)</f>
        <v>466393.37004</v>
      </c>
      <c r="D6" s="0" t="n">
        <f aca="false">C6*(1+D5/100)</f>
        <v>499040.9059428</v>
      </c>
      <c r="E6" s="0" t="n">
        <f aca="false">D6*(1+E5/100)</f>
        <v>528983.360299368</v>
      </c>
      <c r="F6" s="0" t="n">
        <f aca="false">E6*(1+F5/100)</f>
        <v>555432.528314336</v>
      </c>
      <c r="G6" s="0" t="n">
        <f aca="false">F6*(1+G5/100)</f>
        <v>583204.154730053</v>
      </c>
      <c r="H6" s="0" t="n">
        <f aca="false">G6*(1+H5/100)</f>
        <v>606532.320919255</v>
      </c>
      <c r="I6" s="0" t="n">
        <f aca="false">H6*(1+I5/100)</f>
        <v>630793.613756026</v>
      </c>
      <c r="J6" s="0" t="n">
        <f aca="false">I6*(1+J5/100)</f>
        <v>652871.390237487</v>
      </c>
      <c r="K6" s="0" t="n">
        <f aca="false">J6*(1+K5/100)</f>
        <v>672457.531944611</v>
      </c>
      <c r="L6" s="0" t="n">
        <f aca="false">K6*(1+L5/100)</f>
        <v>692631.25790295</v>
      </c>
    </row>
    <row r="7" customFormat="false" ht="15" hidden="false" customHeight="false" outlineLevel="0" collapsed="false">
      <c r="A7" s="0" t="s">
        <v>99</v>
      </c>
      <c r="C7" s="4" t="n">
        <f aca="false">Assumptions!C28</f>
        <v>23</v>
      </c>
      <c r="D7" s="4" t="n">
        <f aca="false">Assumptions!D28</f>
        <v>22.5</v>
      </c>
      <c r="E7" s="4" t="n">
        <f aca="false">Assumptions!E28</f>
        <v>22.5</v>
      </c>
      <c r="F7" s="4" t="n">
        <f aca="false">Assumptions!F28</f>
        <v>23</v>
      </c>
      <c r="G7" s="4" t="n">
        <f aca="false">Assumptions!G28</f>
        <v>23.5</v>
      </c>
      <c r="H7" s="4" t="n">
        <f aca="false">Assumptions!H28</f>
        <v>24</v>
      </c>
      <c r="I7" s="4" t="n">
        <f aca="false">Assumptions!I28</f>
        <v>24</v>
      </c>
      <c r="J7" s="4" t="n">
        <f aca="false">Assumptions!J28</f>
        <v>24</v>
      </c>
      <c r="K7" s="4" t="n">
        <f aca="false">Assumptions!K28</f>
        <v>24</v>
      </c>
      <c r="L7" s="4" t="n">
        <f aca="false">Assumptions!L28</f>
        <v>24</v>
      </c>
    </row>
    <row r="8" customFormat="false" ht="15" hidden="false" customHeight="false" outlineLevel="0" collapsed="false">
      <c r="A8" s="0" t="s">
        <v>44</v>
      </c>
      <c r="C8" s="0" t="n">
        <f aca="false">C6*C7/100</f>
        <v>107270.4751092</v>
      </c>
      <c r="D8" s="0" t="n">
        <f aca="false">D6*D7/100</f>
        <v>112284.20383713</v>
      </c>
      <c r="E8" s="0" t="n">
        <f aca="false">E6*E7/100</f>
        <v>119021.256067358</v>
      </c>
      <c r="F8" s="0" t="n">
        <f aca="false">F6*F7/100</f>
        <v>127749.481512297</v>
      </c>
      <c r="G8" s="0" t="n">
        <f aca="false">G6*G7/100</f>
        <v>137052.976361563</v>
      </c>
      <c r="H8" s="0" t="n">
        <f aca="false">H6*H7/100</f>
        <v>145567.757020621</v>
      </c>
      <c r="I8" s="0" t="n">
        <f aca="false">I6*I7/100</f>
        <v>151390.467301446</v>
      </c>
      <c r="J8" s="0" t="n">
        <f aca="false">J6*J7/100</f>
        <v>156689.133656997</v>
      </c>
      <c r="K8" s="0" t="n">
        <f aca="false">K6*K7/100</f>
        <v>161389.807666707</v>
      </c>
      <c r="L8" s="0" t="n">
        <f aca="false">L6*L7/100</f>
        <v>166231.501896708</v>
      </c>
    </row>
    <row r="9" customFormat="false" ht="15" hidden="false" customHeight="false" outlineLevel="0" collapsed="false">
      <c r="A9" s="0" t="s">
        <v>100</v>
      </c>
      <c r="C9" s="4" t="n">
        <f aca="false">Assumptions!C29</f>
        <v>1.5</v>
      </c>
      <c r="D9" s="4" t="n">
        <f aca="false">Assumptions!D29</f>
        <v>1.5</v>
      </c>
      <c r="E9" s="4" t="n">
        <f aca="false">Assumptions!E29</f>
        <v>1.4</v>
      </c>
      <c r="F9" s="4" t="n">
        <f aca="false">Assumptions!F29</f>
        <v>1.4</v>
      </c>
      <c r="G9" s="4" t="n">
        <f aca="false">Assumptions!G29</f>
        <v>1.3</v>
      </c>
      <c r="H9" s="4" t="n">
        <f aca="false">Assumptions!H29</f>
        <v>1.3</v>
      </c>
      <c r="I9" s="4" t="n">
        <f aca="false">Assumptions!I29</f>
        <v>1.2</v>
      </c>
      <c r="J9" s="4" t="n">
        <f aca="false">Assumptions!J29</f>
        <v>1.2</v>
      </c>
      <c r="K9" s="4" t="n">
        <f aca="false">Assumptions!K29</f>
        <v>1.2</v>
      </c>
      <c r="L9" s="4" t="n">
        <f aca="false">Assumptions!L29</f>
        <v>1.2</v>
      </c>
    </row>
    <row r="10" customFormat="false" ht="15" hidden="false" customHeight="false" outlineLevel="0" collapsed="false">
      <c r="A10" s="0" t="s">
        <v>115</v>
      </c>
      <c r="C10" s="0" t="n">
        <f aca="false">-C6*C9/100</f>
        <v>-6995.9005506</v>
      </c>
      <c r="D10" s="0" t="n">
        <f aca="false">-D6*D9/100</f>
        <v>-7485.613589142</v>
      </c>
      <c r="E10" s="0" t="n">
        <f aca="false">-E6*E9/100</f>
        <v>-7405.76704419115</v>
      </c>
      <c r="F10" s="0" t="n">
        <f aca="false">-F6*F9/100</f>
        <v>-7776.05539640071</v>
      </c>
      <c r="G10" s="0" t="n">
        <f aca="false">-G6*G9/100</f>
        <v>-7581.65401149069</v>
      </c>
      <c r="H10" s="0" t="n">
        <f aca="false">-H6*H9/100</f>
        <v>-7884.92017195032</v>
      </c>
      <c r="I10" s="0" t="n">
        <f aca="false">-I6*I9/100</f>
        <v>-7569.52336507231</v>
      </c>
      <c r="J10" s="0" t="n">
        <f aca="false">-J6*J9/100</f>
        <v>-7834.45668284984</v>
      </c>
      <c r="K10" s="0" t="n">
        <f aca="false">-K6*K9/100</f>
        <v>-8069.49038333533</v>
      </c>
      <c r="L10" s="0" t="n">
        <f aca="false">-L6*L9/100</f>
        <v>-8311.57509483539</v>
      </c>
    </row>
    <row r="11" customFormat="false" ht="15" hidden="false" customHeight="false" outlineLevel="0" collapsed="false">
      <c r="A11" s="0" t="s">
        <v>116</v>
      </c>
      <c r="C11" s="0" t="n">
        <f aca="false">C8+C10+C24</f>
        <v>100274.5745586</v>
      </c>
      <c r="D11" s="0" t="n">
        <f aca="false">D8+D10+D24</f>
        <v>104798.590247988</v>
      </c>
      <c r="E11" s="0" t="n">
        <f aca="false">E8+E10+E24</f>
        <v>111615.489023167</v>
      </c>
      <c r="F11" s="0" t="n">
        <f aca="false">F8+F10+F24</f>
        <v>119973.426115897</v>
      </c>
      <c r="G11" s="0" t="n">
        <f aca="false">G8+G10+G24</f>
        <v>129471.322350072</v>
      </c>
      <c r="H11" s="0" t="n">
        <f aca="false">H8+H10+H24</f>
        <v>137682.836848671</v>
      </c>
      <c r="I11" s="0" t="n">
        <f aca="false">I8+I10+I24</f>
        <v>143820.943936374</v>
      </c>
      <c r="J11" s="0" t="n">
        <f aca="false">J8+J10+J24</f>
        <v>148854.676974147</v>
      </c>
      <c r="K11" s="0" t="n">
        <f aca="false">K8+K10+K24</f>
        <v>153320.317283371</v>
      </c>
      <c r="L11" s="0" t="n">
        <f aca="false">L8+L10+L24</f>
        <v>157919.926801872</v>
      </c>
    </row>
    <row r="12" customFormat="false" ht="15" hidden="false" customHeight="false" outlineLevel="0" collapsed="false">
      <c r="A12" s="0" t="s">
        <v>117</v>
      </c>
      <c r="C12" s="4" t="n">
        <f aca="false">-C6*Assumptions!C31/100</f>
        <v>-699.59005506</v>
      </c>
      <c r="D12" s="4" t="n">
        <f aca="false">-D6*Assumptions!D31/100</f>
        <v>-748.5613589142</v>
      </c>
      <c r="E12" s="4" t="n">
        <f aca="false">-E6*Assumptions!E31/100</f>
        <v>-793.475040449052</v>
      </c>
      <c r="F12" s="4" t="n">
        <f aca="false">-F6*Assumptions!F31/100</f>
        <v>-833.148792471505</v>
      </c>
      <c r="G12" s="4" t="n">
        <f aca="false">-G6*Assumptions!G31/100</f>
        <v>-874.80623209508</v>
      </c>
      <c r="H12" s="4" t="n">
        <f aca="false">-H6*Assumptions!H31/100</f>
        <v>-909.798481378883</v>
      </c>
      <c r="I12" s="4" t="n">
        <f aca="false">-I6*Assumptions!I31/100</f>
        <v>-946.190420634038</v>
      </c>
      <c r="J12" s="4" t="n">
        <f aca="false">-J6*Assumptions!J31/100</f>
        <v>-979.30708535623</v>
      </c>
      <c r="K12" s="4" t="n">
        <f aca="false">-K6*Assumptions!K31/100</f>
        <v>-1008.68629791692</v>
      </c>
      <c r="L12" s="4" t="n">
        <f aca="false">-L6*Assumptions!L31/100</f>
        <v>-1038.94688685442</v>
      </c>
    </row>
    <row r="13" customFormat="false" ht="15" hidden="false" customHeight="false" outlineLevel="0" collapsed="false">
      <c r="A13" s="0" t="s">
        <v>118</v>
      </c>
      <c r="C13" s="0" t="n">
        <f aca="false">C11+C12</f>
        <v>99574.98450354</v>
      </c>
      <c r="D13" s="0" t="n">
        <f aca="false">D11+D12</f>
        <v>104050.028889074</v>
      </c>
      <c r="E13" s="0" t="n">
        <f aca="false">E11+E12</f>
        <v>110822.013982718</v>
      </c>
      <c r="F13" s="0" t="n">
        <f aca="false">F11+F12</f>
        <v>119140.277323425</v>
      </c>
      <c r="G13" s="0" t="n">
        <f aca="false">G11+G12</f>
        <v>128596.516117977</v>
      </c>
      <c r="H13" s="0" t="n">
        <f aca="false">H11+H12</f>
        <v>136773.038367292</v>
      </c>
      <c r="I13" s="0" t="n">
        <f aca="false">I11+I12</f>
        <v>142874.75351574</v>
      </c>
      <c r="J13" s="0" t="n">
        <f aca="false">J11+J12</f>
        <v>147875.369888791</v>
      </c>
      <c r="K13" s="0" t="n">
        <f aca="false">K11+K12</f>
        <v>152311.630985454</v>
      </c>
      <c r="L13" s="0" t="n">
        <f aca="false">L11+L12</f>
        <v>156880.979915018</v>
      </c>
    </row>
    <row r="14" customFormat="false" ht="15" hidden="false" customHeight="false" outlineLevel="0" collapsed="false">
      <c r="A14" s="0" t="s">
        <v>104</v>
      </c>
      <c r="C14" s="4" t="n">
        <f aca="false">Assumptions!C33</f>
        <v>19</v>
      </c>
      <c r="D14" s="4" t="n">
        <f aca="false">Assumptions!D33</f>
        <v>20</v>
      </c>
      <c r="E14" s="4" t="n">
        <f aca="false">Assumptions!E33</f>
        <v>20</v>
      </c>
      <c r="F14" s="4" t="n">
        <f aca="false">Assumptions!F33</f>
        <v>21</v>
      </c>
      <c r="G14" s="4" t="n">
        <f aca="false">Assumptions!G33</f>
        <v>21</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119</v>
      </c>
      <c r="C15" s="0" t="n">
        <f aca="false">C13-MAX(0,C13)*C14/100</f>
        <v>80655.7374478674</v>
      </c>
      <c r="D15" s="0" t="n">
        <f aca="false">D13-MAX(0,D13)*D14/100</f>
        <v>83240.0231112591</v>
      </c>
      <c r="E15" s="0" t="n">
        <f aca="false">E13-MAX(0,E13)*E14/100</f>
        <v>88657.6111861741</v>
      </c>
      <c r="F15" s="0" t="n">
        <f aca="false">F13-MAX(0,F13)*F14/100</f>
        <v>94120.8190855059</v>
      </c>
      <c r="G15" s="0" t="n">
        <f aca="false">G13-MAX(0,G13)*G14/100</f>
        <v>101591.247733202</v>
      </c>
      <c r="H15" s="0" t="n">
        <f aca="false">H13-MAX(0,H13)*H14/100</f>
        <v>106682.969926488</v>
      </c>
      <c r="I15" s="0" t="n">
        <f aca="false">I13-MAX(0,I13)*I14/100</f>
        <v>111442.307742277</v>
      </c>
      <c r="J15" s="0" t="n">
        <f aca="false">J13-MAX(0,J13)*J14/100</f>
        <v>115342.788513257</v>
      </c>
      <c r="K15" s="0" t="n">
        <f aca="false">K13-MAX(0,K13)*K14/100</f>
        <v>118803.072168654</v>
      </c>
      <c r="L15" s="0" t="n">
        <f aca="false">L13-MAX(0,L13)*L14/100</f>
        <v>122367.164333714</v>
      </c>
    </row>
    <row r="16" customFormat="false" ht="15" hidden="false" customHeight="false" outlineLevel="0" collapsed="false">
      <c r="A16" s="0" t="s">
        <v>120</v>
      </c>
      <c r="C16" s="0" t="n">
        <f aca="false">-C12</f>
        <v>699.59005506</v>
      </c>
      <c r="D16" s="0" t="n">
        <f aca="false">-D12</f>
        <v>748.5613589142</v>
      </c>
      <c r="E16" s="0" t="n">
        <f aca="false">-E12</f>
        <v>793.475040449052</v>
      </c>
      <c r="F16" s="0" t="n">
        <f aca="false">-F12</f>
        <v>833.148792471505</v>
      </c>
      <c r="G16" s="0" t="n">
        <f aca="false">-G12</f>
        <v>874.80623209508</v>
      </c>
      <c r="H16" s="0" t="n">
        <f aca="false">-H12</f>
        <v>909.798481378883</v>
      </c>
      <c r="I16" s="0" t="n">
        <f aca="false">-I12</f>
        <v>946.190420634038</v>
      </c>
      <c r="J16" s="0" t="n">
        <f aca="false">-J12</f>
        <v>979.30708535623</v>
      </c>
      <c r="K16" s="0" t="n">
        <f aca="false">-K12</f>
        <v>1008.68629791692</v>
      </c>
      <c r="L16" s="0" t="n">
        <f aca="false">-L12</f>
        <v>1038.94688685442</v>
      </c>
    </row>
    <row r="17" customFormat="false" ht="15" hidden="false" customHeight="false" outlineLevel="0" collapsed="false">
      <c r="A17" s="0" t="s">
        <v>121</v>
      </c>
      <c r="C17" s="4" t="n">
        <f aca="false">-C6*Assumptions!C32/100</f>
        <v>-1165.9834251</v>
      </c>
      <c r="D17" s="4" t="n">
        <f aca="false">-D6*Assumptions!D32/100</f>
        <v>-1247.602264857</v>
      </c>
      <c r="E17" s="4" t="n">
        <f aca="false">-E6*Assumptions!E32/100</f>
        <v>-1322.45840074842</v>
      </c>
      <c r="F17" s="4" t="n">
        <f aca="false">-F6*Assumptions!F32/100</f>
        <v>-1388.58132078584</v>
      </c>
      <c r="G17" s="4" t="n">
        <f aca="false">-G6*Assumptions!G32/100</f>
        <v>-1458.01038682513</v>
      </c>
      <c r="H17" s="4" t="n">
        <f aca="false">-H6*Assumptions!H32/100</f>
        <v>-1516.33080229814</v>
      </c>
      <c r="I17" s="4" t="n">
        <f aca="false">-I6*Assumptions!I32/100</f>
        <v>-1576.98403439006</v>
      </c>
      <c r="J17" s="4" t="n">
        <f aca="false">-J6*Assumptions!J32/100</f>
        <v>-1632.17847559372</v>
      </c>
      <c r="K17" s="4" t="n">
        <f aca="false">-K6*Assumptions!K32/100</f>
        <v>-1681.14382986153</v>
      </c>
      <c r="L17" s="4" t="n">
        <f aca="false">-L6*Assumptions!L32/100</f>
        <v>-1731.57814475737</v>
      </c>
    </row>
    <row r="18" customFormat="false" ht="15" hidden="false" customHeight="false" outlineLevel="0" collapsed="false">
      <c r="A18" s="0" t="s">
        <v>122</v>
      </c>
      <c r="C18" s="4" t="n">
        <f aca="false">(C6-B6)*Assumptions!$B$37/100</f>
        <v>1727.382852</v>
      </c>
      <c r="D18" s="4" t="n">
        <f aca="false">(D6-C6)*Assumptions!$B$37/100</f>
        <v>1632.37679514</v>
      </c>
      <c r="E18" s="4" t="n">
        <f aca="false">(E6-D6)*Assumptions!$B$37/100</f>
        <v>1497.1227178284</v>
      </c>
      <c r="F18" s="4" t="n">
        <f aca="false">(F6-E6)*Assumptions!$B$37/100</f>
        <v>1322.45840074842</v>
      </c>
      <c r="G18" s="4" t="n">
        <f aca="false">(G6-F6)*Assumptions!$B$37/100</f>
        <v>1388.58132078584</v>
      </c>
      <c r="H18" s="4" t="n">
        <f aca="false">(H6-G6)*Assumptions!$B$37/100</f>
        <v>1166.40830946011</v>
      </c>
      <c r="I18" s="4" t="n">
        <f aca="false">(I6-H6)*Assumptions!$B$37/100</f>
        <v>1213.06464183851</v>
      </c>
      <c r="J18" s="4" t="n">
        <f aca="false">(J6-I6)*Assumptions!$B$37/100</f>
        <v>1103.88882407304</v>
      </c>
      <c r="K18" s="4" t="n">
        <f aca="false">(K6-J6)*Assumptions!$B$37/100</f>
        <v>979.307085356233</v>
      </c>
      <c r="L18" s="4" t="n">
        <f aca="false">(L6-K6)*Assumptions!$B$37/100</f>
        <v>1008.68629791692</v>
      </c>
    </row>
    <row r="19" customFormat="false" ht="15" hidden="false" customHeight="false" outlineLevel="0" collapsed="false">
      <c r="A19" s="0" t="s">
        <v>123</v>
      </c>
      <c r="C19" s="0" t="n">
        <f aca="false">C15+C16+C17+C18</f>
        <v>81916.7269298274</v>
      </c>
      <c r="D19" s="0" t="n">
        <f aca="false">D15+D16+D17+D18</f>
        <v>84373.3590004563</v>
      </c>
      <c r="E19" s="0" t="n">
        <f aca="false">E15+E16+E17+E18</f>
        <v>89625.7505437031</v>
      </c>
      <c r="F19" s="0" t="n">
        <f aca="false">F15+F16+F17+F18</f>
        <v>94887.84495794</v>
      </c>
      <c r="G19" s="0" t="n">
        <f aca="false">G15+G16+G17+G18</f>
        <v>102396.624899257</v>
      </c>
      <c r="H19" s="0" t="n">
        <f aca="false">H15+H16+H17+H18</f>
        <v>107242.845915029</v>
      </c>
      <c r="I19" s="0" t="n">
        <f aca="false">I15+I16+I17+I18</f>
        <v>112024.57877036</v>
      </c>
      <c r="J19" s="0" t="n">
        <f aca="false">J15+J16+J17+J18</f>
        <v>115793.805947092</v>
      </c>
      <c r="K19" s="0" t="n">
        <f aca="false">K15+K16+K17+K18</f>
        <v>119109.921722066</v>
      </c>
      <c r="L19" s="0" t="n">
        <f aca="false">L15+L16+L17+L18</f>
        <v>122683.219373728</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74469.7517543886</v>
      </c>
      <c r="D21" s="0" t="n">
        <f aca="false">D19*D20</f>
        <v>69730.0487607077</v>
      </c>
      <c r="E21" s="0" t="n">
        <f aca="false">E19*E20</f>
        <v>67337.1529253968</v>
      </c>
      <c r="F21" s="0" t="n">
        <f aca="false">F19*F20</f>
        <v>64809.6748568677</v>
      </c>
      <c r="G21" s="0" t="n">
        <f aca="false">G19*G20</f>
        <v>63580.2478092389</v>
      </c>
      <c r="H21" s="0" t="n">
        <f aca="false">H19*H20</f>
        <v>60535.7907038079</v>
      </c>
      <c r="I21" s="0" t="n">
        <f aca="false">I19*I20</f>
        <v>57486.3220373853</v>
      </c>
      <c r="J21" s="0" t="n">
        <f aca="false">J19*J20</f>
        <v>54018.6650568922</v>
      </c>
      <c r="K21" s="0" t="n">
        <f aca="false">K19*K20</f>
        <v>50514.2341268613</v>
      </c>
      <c r="L21" s="0" t="n">
        <f aca="false">L19*L20</f>
        <v>47299.6919551519</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10</v>
      </c>
    </row>
    <row r="28" customFormat="false" ht="15" hidden="false" customHeight="false" outlineLevel="0" collapsed="false">
      <c r="A28" s="0" t="s">
        <v>106</v>
      </c>
      <c r="B28" s="4" t="n">
        <f aca="false">Assumptions!$B$35</f>
        <v>3</v>
      </c>
    </row>
    <row r="29" customFormat="false" ht="15" hidden="false" customHeight="false" outlineLevel="0" collapsed="false">
      <c r="A29" s="0" t="s">
        <v>107</v>
      </c>
      <c r="B29" s="4" t="n">
        <f aca="false">Assumptions!$B$36</f>
        <v>14</v>
      </c>
    </row>
    <row r="30" customFormat="false" ht="15" hidden="false" customHeight="false" outlineLevel="0" collapsed="false">
      <c r="A30" s="0" t="s">
        <v>128</v>
      </c>
      <c r="B30" s="0" t="n">
        <f aca="false">SUM(C21:L21)</f>
        <v>609781.579986698</v>
      </c>
    </row>
    <row r="31" customFormat="false" ht="15" hidden="false" customHeight="false" outlineLevel="0" collapsed="false">
      <c r="A31" s="0" t="s">
        <v>129</v>
      </c>
      <c r="B31" s="0" t="n">
        <f aca="false">L19</f>
        <v>122683.219373728</v>
      </c>
    </row>
    <row r="32" customFormat="false" ht="15" hidden="false" customHeight="false" outlineLevel="0" collapsed="false">
      <c r="A32" s="0" t="s">
        <v>130</v>
      </c>
      <c r="B32" s="0" t="n">
        <f aca="false">IF(B27&gt;B28,B31*(1+B28/100)/((B27-B28)/100),B31*B29)</f>
        <v>1805195.94221343</v>
      </c>
    </row>
    <row r="33" customFormat="false" ht="15" hidden="false" customHeight="false" outlineLevel="0" collapsed="false">
      <c r="A33" s="0" t="s">
        <v>131</v>
      </c>
      <c r="B33" s="0" t="n">
        <f aca="false">B31*B29</f>
        <v>1717565.07123219</v>
      </c>
    </row>
    <row r="34" customFormat="false" ht="15" hidden="false" customHeight="false" outlineLevel="0" collapsed="false">
      <c r="A34" s="0" t="s">
        <v>132</v>
      </c>
      <c r="B34" s="0" t="n">
        <f aca="false">MAX(0,MIN(B32,B33))</f>
        <v>1717565.07123219</v>
      </c>
    </row>
    <row r="35" customFormat="false" ht="15" hidden="false" customHeight="false" outlineLevel="0" collapsed="false">
      <c r="A35" s="0" t="s">
        <v>133</v>
      </c>
      <c r="B35" s="0" t="n">
        <f aca="false">B34/(1+B27/100)^L4</f>
        <v>662195.687372127</v>
      </c>
    </row>
    <row r="36" customFormat="false" ht="15" hidden="false" customHeight="false" outlineLevel="0" collapsed="false">
      <c r="A36" s="0" t="s">
        <v>134</v>
      </c>
      <c r="B36" s="0" t="n">
        <f aca="false">B30+B35</f>
        <v>1271977.26735883</v>
      </c>
    </row>
    <row r="37" customFormat="false" ht="15" hidden="false" customHeight="false" outlineLevel="0" collapsed="false">
      <c r="A37" s="0" t="s">
        <v>135</v>
      </c>
      <c r="B37" s="0" t="n">
        <f aca="false">B36+Assumptions!$B$5-Assumptions!$B$4</f>
        <v>1783629.66735883</v>
      </c>
    </row>
    <row r="38" customFormat="false" ht="15" hidden="false" customHeight="false" outlineLevel="0" collapsed="false">
      <c r="A38" s="0" t="s">
        <v>136</v>
      </c>
      <c r="B38" s="0" t="n">
        <f aca="false">B37/Assumptions!$B$3*Assumptions!$B$10</f>
        <v>180.699176615762</v>
      </c>
    </row>
    <row r="39" customFormat="false" ht="15" hidden="false" customHeight="false" outlineLevel="0" collapsed="false">
      <c r="A39" s="0" t="s">
        <v>137</v>
      </c>
      <c r="B39" s="4" t="n">
        <f aca="false">B38/Assumptions!$B$2-1</f>
        <v>1.36208074007532</v>
      </c>
    </row>
    <row r="41" customFormat="false" ht="15" hidden="false" customHeight="false" outlineLevel="0" collapsed="false">
      <c r="A41" s="0" t="s">
        <v>138</v>
      </c>
      <c r="B41" s="0" t="n">
        <f aca="false">SUMPRODUCT(-C10:L10/(1+$B$27/100)^C4:L4)</f>
        <v>46745.940362153</v>
      </c>
    </row>
    <row r="42" customFormat="false" ht="15" hidden="false" customHeight="false" outlineLevel="0" collapsed="false">
      <c r="A42" s="0" t="s">
        <v>139</v>
      </c>
      <c r="B42" s="0" t="n">
        <f aca="false">IF(B27&gt;B28,-L10*(1+B28/100)/((B27-B28)/100),-L10*20)/(1+B27/100)^L4</f>
        <v>47151.516606793</v>
      </c>
    </row>
    <row r="43" customFormat="false" ht="15" hidden="false" customHeight="false" outlineLevel="0" collapsed="false">
      <c r="A43" s="0" t="s">
        <v>140</v>
      </c>
      <c r="B43" s="0" t="n">
        <f aca="false">(B37+B41+B42)/Assumptions!$B$3*Assumptions!$B$10</f>
        <v>190.211909819918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1053030.96629117</v>
      </c>
    </row>
    <row r="47" customFormat="false" ht="15" hidden="false" customHeight="false" outlineLevel="0" collapsed="false">
      <c r="A47" s="0" t="s">
        <v>142</v>
      </c>
      <c r="B47" s="0" t="n">
        <f aca="false">(SUMPRODUCT(C19:L19/(1+B45/100)^C4:L4)+B46/(1+B45/100)^L4+Assumptions!$B$5-Assumptions!$B$4)/Assumptions!$B$3*Assumptions!$B$10</f>
        <v>127.810752649994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10</v>
      </c>
      <c r="D5" s="4" t="n">
        <f aca="false">Assumptions!D41</f>
        <v>10</v>
      </c>
      <c r="E5" s="4" t="n">
        <f aca="false">Assumptions!E41</f>
        <v>9</v>
      </c>
      <c r="F5" s="4" t="n">
        <f aca="false">Assumptions!F41</f>
        <v>8</v>
      </c>
      <c r="G5" s="4" t="n">
        <f aca="false">Assumptions!G41</f>
        <v>7</v>
      </c>
      <c r="H5" s="4" t="n">
        <f aca="false">Assumptions!H41</f>
        <v>6</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38</v>
      </c>
      <c r="B6" s="3" t="n">
        <v>431845.713</v>
      </c>
      <c r="C6" s="0" t="n">
        <f aca="false">B6*(1+C5/100)</f>
        <v>475030.2843</v>
      </c>
      <c r="D6" s="0" t="n">
        <f aca="false">C6*(1+D5/100)</f>
        <v>522533.31273</v>
      </c>
      <c r="E6" s="0" t="n">
        <f aca="false">D6*(1+E5/100)</f>
        <v>569561.3108757</v>
      </c>
      <c r="F6" s="0" t="n">
        <f aca="false">E6*(1+F5/100)</f>
        <v>615126.215745756</v>
      </c>
      <c r="G6" s="0" t="n">
        <f aca="false">F6*(1+G5/100)</f>
        <v>658185.050847959</v>
      </c>
      <c r="H6" s="0" t="n">
        <f aca="false">G6*(1+H5/100)</f>
        <v>697676.153898837</v>
      </c>
      <c r="I6" s="0" t="n">
        <f aca="false">H6*(1+I5/100)</f>
        <v>732559.961593779</v>
      </c>
      <c r="J6" s="0" t="n">
        <f aca="false">I6*(1+J5/100)</f>
        <v>765525.159865499</v>
      </c>
      <c r="K6" s="0" t="n">
        <f aca="false">J6*(1+K5/100)</f>
        <v>796146.166260119</v>
      </c>
      <c r="L6" s="0" t="n">
        <f aca="false">K6*(1+L5/100)</f>
        <v>824011.282079223</v>
      </c>
    </row>
    <row r="7" customFormat="false" ht="15" hidden="false" customHeight="false" outlineLevel="0" collapsed="false">
      <c r="A7" s="0" t="s">
        <v>99</v>
      </c>
      <c r="C7" s="4" t="n">
        <f aca="false">Assumptions!C42</f>
        <v>24</v>
      </c>
      <c r="D7" s="4" t="n">
        <f aca="false">Assumptions!D42</f>
        <v>24.5</v>
      </c>
      <c r="E7" s="4" t="n">
        <f aca="false">Assumptions!E42</f>
        <v>25.5</v>
      </c>
      <c r="F7" s="4" t="n">
        <f aca="false">Assumptions!F42</f>
        <v>26.5</v>
      </c>
      <c r="G7" s="4" t="n">
        <f aca="false">Assumptions!G42</f>
        <v>27</v>
      </c>
      <c r="H7" s="4" t="n">
        <f aca="false">Assumptions!H42</f>
        <v>27.5</v>
      </c>
      <c r="I7" s="4" t="n">
        <f aca="false">Assumptions!I42</f>
        <v>28</v>
      </c>
      <c r="J7" s="4" t="n">
        <f aca="false">Assumptions!J42</f>
        <v>28</v>
      </c>
      <c r="K7" s="4" t="n">
        <f aca="false">Assumptions!K42</f>
        <v>28</v>
      </c>
      <c r="L7" s="4" t="n">
        <f aca="false">Assumptions!L42</f>
        <v>28</v>
      </c>
    </row>
    <row r="8" customFormat="false" ht="15" hidden="false" customHeight="false" outlineLevel="0" collapsed="false">
      <c r="A8" s="0" t="s">
        <v>44</v>
      </c>
      <c r="C8" s="0" t="n">
        <f aca="false">C6*C7/100</f>
        <v>114007.268232</v>
      </c>
      <c r="D8" s="0" t="n">
        <f aca="false">D6*D7/100</f>
        <v>128020.66161885</v>
      </c>
      <c r="E8" s="0" t="n">
        <f aca="false">E6*E7/100</f>
        <v>145238.134273304</v>
      </c>
      <c r="F8" s="0" t="n">
        <f aca="false">F6*F7/100</f>
        <v>163008.447172625</v>
      </c>
      <c r="G8" s="0" t="n">
        <f aca="false">G6*G7/100</f>
        <v>177709.963728949</v>
      </c>
      <c r="H8" s="0" t="n">
        <f aca="false">H6*H7/100</f>
        <v>191860.94232218</v>
      </c>
      <c r="I8" s="0" t="n">
        <f aca="false">I6*I7/100</f>
        <v>205116.789246258</v>
      </c>
      <c r="J8" s="0" t="n">
        <f aca="false">J6*J7/100</f>
        <v>214347.04476234</v>
      </c>
      <c r="K8" s="0" t="n">
        <f aca="false">K6*K7/100</f>
        <v>222920.926552833</v>
      </c>
      <c r="L8" s="0" t="n">
        <f aca="false">L6*L7/100</f>
        <v>230723.158982182</v>
      </c>
    </row>
    <row r="9" customFormat="false" ht="15" hidden="false" customHeight="false" outlineLevel="0" collapsed="false">
      <c r="A9" s="0" t="s">
        <v>100</v>
      </c>
      <c r="C9" s="4" t="n">
        <f aca="false">Assumptions!C43</f>
        <v>1.5</v>
      </c>
      <c r="D9" s="4" t="n">
        <f aca="false">Assumptions!D43</f>
        <v>1.5</v>
      </c>
      <c r="E9" s="4" t="n">
        <f aca="false">Assumptions!E43</f>
        <v>1.5</v>
      </c>
      <c r="F9" s="4" t="n">
        <f aca="false">Assumptions!F43</f>
        <v>1.4</v>
      </c>
      <c r="G9" s="4" t="n">
        <f aca="false">Assumptions!G43</f>
        <v>1.4</v>
      </c>
      <c r="H9" s="4" t="n">
        <f aca="false">Assumptions!H43</f>
        <v>1.3</v>
      </c>
      <c r="I9" s="4" t="n">
        <f aca="false">Assumptions!I43</f>
        <v>1.3</v>
      </c>
      <c r="J9" s="4" t="n">
        <f aca="false">Assumptions!J43</f>
        <v>1.2</v>
      </c>
      <c r="K9" s="4" t="n">
        <f aca="false">Assumptions!K43</f>
        <v>1.2</v>
      </c>
      <c r="L9" s="4" t="n">
        <f aca="false">Assumptions!L43</f>
        <v>1.2</v>
      </c>
    </row>
    <row r="10" customFormat="false" ht="15" hidden="false" customHeight="false" outlineLevel="0" collapsed="false">
      <c r="A10" s="0" t="s">
        <v>115</v>
      </c>
      <c r="C10" s="0" t="n">
        <f aca="false">-C6*C9/100</f>
        <v>-7125.4542645</v>
      </c>
      <c r="D10" s="0" t="n">
        <f aca="false">-D6*D9/100</f>
        <v>-7837.99969095</v>
      </c>
      <c r="E10" s="0" t="n">
        <f aca="false">-E6*E9/100</f>
        <v>-8543.4196631355</v>
      </c>
      <c r="F10" s="0" t="n">
        <f aca="false">-F6*F9/100</f>
        <v>-8611.76702044059</v>
      </c>
      <c r="G10" s="0" t="n">
        <f aca="false">-G6*G9/100</f>
        <v>-9214.59071187143</v>
      </c>
      <c r="H10" s="0" t="n">
        <f aca="false">-H6*H9/100</f>
        <v>-9069.79000068488</v>
      </c>
      <c r="I10" s="0" t="n">
        <f aca="false">-I6*I9/100</f>
        <v>-9523.27950071912</v>
      </c>
      <c r="J10" s="0" t="n">
        <f aca="false">-J6*J9/100</f>
        <v>-9186.30191838598</v>
      </c>
      <c r="K10" s="0" t="n">
        <f aca="false">-K6*K9/100</f>
        <v>-9553.75399512142</v>
      </c>
      <c r="L10" s="0" t="n">
        <f aca="false">-L6*L9/100</f>
        <v>-9888.13538495067</v>
      </c>
    </row>
    <row r="11" customFormat="false" ht="15" hidden="false" customHeight="false" outlineLevel="0" collapsed="false">
      <c r="A11" s="0" t="s">
        <v>116</v>
      </c>
      <c r="C11" s="0" t="n">
        <f aca="false">C8+C10+C24</f>
        <v>106881.8139675</v>
      </c>
      <c r="D11" s="0" t="n">
        <f aca="false">D8+D10+D24</f>
        <v>120182.6619279</v>
      </c>
      <c r="E11" s="0" t="n">
        <f aca="false">E8+E10+E24</f>
        <v>136694.714610168</v>
      </c>
      <c r="F11" s="0" t="n">
        <f aca="false">F8+F10+F24</f>
        <v>154396.680152185</v>
      </c>
      <c r="G11" s="0" t="n">
        <f aca="false">G8+G10+G24</f>
        <v>168495.373017078</v>
      </c>
      <c r="H11" s="0" t="n">
        <f aca="false">H8+H10+H24</f>
        <v>182791.152321495</v>
      </c>
      <c r="I11" s="0" t="n">
        <f aca="false">I8+I10+I24</f>
        <v>195593.509745539</v>
      </c>
      <c r="J11" s="0" t="n">
        <f aca="false">J8+J10+J24</f>
        <v>205160.742843954</v>
      </c>
      <c r="K11" s="0" t="n">
        <f aca="false">K8+K10+K24</f>
        <v>213367.172557712</v>
      </c>
      <c r="L11" s="0" t="n">
        <f aca="false">L8+L10+L24</f>
        <v>220835.023597232</v>
      </c>
    </row>
    <row r="12" customFormat="false" ht="15" hidden="false" customHeight="false" outlineLevel="0" collapsed="false">
      <c r="A12" s="0" t="s">
        <v>117</v>
      </c>
      <c r="C12" s="4" t="n">
        <f aca="false">-C6*Assumptions!C45/100</f>
        <v>-712.54542645</v>
      </c>
      <c r="D12" s="4" t="n">
        <f aca="false">-D6*Assumptions!D45/100</f>
        <v>-783.799969095</v>
      </c>
      <c r="E12" s="4" t="n">
        <f aca="false">-E6*Assumptions!E45/100</f>
        <v>-854.34196631355</v>
      </c>
      <c r="F12" s="4" t="n">
        <f aca="false">-F6*Assumptions!F45/100</f>
        <v>-922.689323618634</v>
      </c>
      <c r="G12" s="4" t="n">
        <f aca="false">-G6*Assumptions!G45/100</f>
        <v>-987.277576271939</v>
      </c>
      <c r="H12" s="4" t="n">
        <f aca="false">-H6*Assumptions!H45/100</f>
        <v>-1046.51423084826</v>
      </c>
      <c r="I12" s="4" t="n">
        <f aca="false">-I6*Assumptions!I45/100</f>
        <v>-1098.83994239067</v>
      </c>
      <c r="J12" s="4" t="n">
        <f aca="false">-J6*Assumptions!J45/100</f>
        <v>-1148.28773979825</v>
      </c>
      <c r="K12" s="4" t="n">
        <f aca="false">-K6*Assumptions!K45/100</f>
        <v>-1194.21924939018</v>
      </c>
      <c r="L12" s="4" t="n">
        <f aca="false">-L6*Assumptions!L45/100</f>
        <v>-1236.01692311883</v>
      </c>
    </row>
    <row r="13" customFormat="false" ht="15" hidden="false" customHeight="false" outlineLevel="0" collapsed="false">
      <c r="A13" s="0" t="s">
        <v>118</v>
      </c>
      <c r="C13" s="0" t="n">
        <f aca="false">C11+C12</f>
        <v>106169.26854105</v>
      </c>
      <c r="D13" s="0" t="n">
        <f aca="false">D11+D12</f>
        <v>119398.861958805</v>
      </c>
      <c r="E13" s="0" t="n">
        <f aca="false">E11+E12</f>
        <v>135840.372643854</v>
      </c>
      <c r="F13" s="0" t="n">
        <f aca="false">F11+F12</f>
        <v>153473.990828566</v>
      </c>
      <c r="G13" s="0" t="n">
        <f aca="false">G11+G12</f>
        <v>167508.095440806</v>
      </c>
      <c r="H13" s="0" t="n">
        <f aca="false">H11+H12</f>
        <v>181744.638090647</v>
      </c>
      <c r="I13" s="0" t="n">
        <f aca="false">I11+I12</f>
        <v>194494.669803148</v>
      </c>
      <c r="J13" s="0" t="n">
        <f aca="false">J11+J12</f>
        <v>204012.455104155</v>
      </c>
      <c r="K13" s="0" t="n">
        <f aca="false">K11+K12</f>
        <v>212172.953308322</v>
      </c>
      <c r="L13" s="0" t="n">
        <f aca="false">L11+L12</f>
        <v>219599.006674113</v>
      </c>
    </row>
    <row r="14" customFormat="false" ht="15" hidden="false" customHeight="false" outlineLevel="0" collapsed="false">
      <c r="A14" s="0" t="s">
        <v>104</v>
      </c>
      <c r="C14" s="4" t="n">
        <f aca="false">Assumptions!C47</f>
        <v>18</v>
      </c>
      <c r="D14" s="4" t="n">
        <f aca="false">Assumptions!D47</f>
        <v>19</v>
      </c>
      <c r="E14" s="4" t="n">
        <f aca="false">Assumptions!E47</f>
        <v>19</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119</v>
      </c>
      <c r="C15" s="0" t="n">
        <f aca="false">C13-MAX(0,C13)*C14/100</f>
        <v>87058.800203661</v>
      </c>
      <c r="D15" s="0" t="n">
        <f aca="false">D13-MAX(0,D13)*D14/100</f>
        <v>96713.0781866321</v>
      </c>
      <c r="E15" s="0" t="n">
        <f aca="false">E13-MAX(0,E13)*E14/100</f>
        <v>110030.701841522</v>
      </c>
      <c r="F15" s="0" t="n">
        <f aca="false">F13-MAX(0,F13)*F14/100</f>
        <v>122779.192662853</v>
      </c>
      <c r="G15" s="0" t="n">
        <f aca="false">G13-MAX(0,G13)*G14/100</f>
        <v>134006.476352645</v>
      </c>
      <c r="H15" s="0" t="n">
        <f aca="false">H13-MAX(0,H13)*H14/100</f>
        <v>145395.710472518</v>
      </c>
      <c r="I15" s="0" t="n">
        <f aca="false">I13-MAX(0,I13)*I14/100</f>
        <v>155595.735842519</v>
      </c>
      <c r="J15" s="0" t="n">
        <f aca="false">J13-MAX(0,J13)*J14/100</f>
        <v>163209.964083324</v>
      </c>
      <c r="K15" s="0" t="n">
        <f aca="false">K13-MAX(0,K13)*K14/100</f>
        <v>169738.362646657</v>
      </c>
      <c r="L15" s="0" t="n">
        <f aca="false">L13-MAX(0,L13)*L14/100</f>
        <v>175679.20533929</v>
      </c>
    </row>
    <row r="16" customFormat="false" ht="15" hidden="false" customHeight="false" outlineLevel="0" collapsed="false">
      <c r="A16" s="0" t="s">
        <v>120</v>
      </c>
      <c r="C16" s="0" t="n">
        <f aca="false">-C12</f>
        <v>712.54542645</v>
      </c>
      <c r="D16" s="0" t="n">
        <f aca="false">-D12</f>
        <v>783.799969095</v>
      </c>
      <c r="E16" s="0" t="n">
        <f aca="false">-E12</f>
        <v>854.34196631355</v>
      </c>
      <c r="F16" s="0" t="n">
        <f aca="false">-F12</f>
        <v>922.689323618634</v>
      </c>
      <c r="G16" s="0" t="n">
        <f aca="false">-G12</f>
        <v>987.277576271939</v>
      </c>
      <c r="H16" s="0" t="n">
        <f aca="false">-H12</f>
        <v>1046.51423084826</v>
      </c>
      <c r="I16" s="0" t="n">
        <f aca="false">-I12</f>
        <v>1098.83994239067</v>
      </c>
      <c r="J16" s="0" t="n">
        <f aca="false">-J12</f>
        <v>1148.28773979825</v>
      </c>
      <c r="K16" s="0" t="n">
        <f aca="false">-K12</f>
        <v>1194.21924939018</v>
      </c>
      <c r="L16" s="0" t="n">
        <f aca="false">-L12</f>
        <v>1236.01692311883</v>
      </c>
    </row>
    <row r="17" customFormat="false" ht="15" hidden="false" customHeight="false" outlineLevel="0" collapsed="false">
      <c r="A17" s="0" t="s">
        <v>121</v>
      </c>
      <c r="C17" s="4" t="n">
        <f aca="false">-C6*Assumptions!C46/100</f>
        <v>-1187.57571075</v>
      </c>
      <c r="D17" s="4" t="n">
        <f aca="false">-D6*Assumptions!D46/100</f>
        <v>-1306.333281825</v>
      </c>
      <c r="E17" s="4" t="n">
        <f aca="false">-E6*Assumptions!E46/100</f>
        <v>-1423.90327718925</v>
      </c>
      <c r="F17" s="4" t="n">
        <f aca="false">-F6*Assumptions!F46/100</f>
        <v>-1537.81553936439</v>
      </c>
      <c r="G17" s="4" t="n">
        <f aca="false">-G6*Assumptions!G46/100</f>
        <v>-1645.4626271199</v>
      </c>
      <c r="H17" s="4" t="n">
        <f aca="false">-H6*Assumptions!H46/100</f>
        <v>-1744.19038474709</v>
      </c>
      <c r="I17" s="4" t="n">
        <f aca="false">-I6*Assumptions!I46/100</f>
        <v>-1831.39990398445</v>
      </c>
      <c r="J17" s="4" t="n">
        <f aca="false">-J6*Assumptions!J46/100</f>
        <v>-1913.81289966375</v>
      </c>
      <c r="K17" s="4" t="n">
        <f aca="false">-K6*Assumptions!K46/100</f>
        <v>-1990.3654156503</v>
      </c>
      <c r="L17" s="4" t="n">
        <f aca="false">-L6*Assumptions!L46/100</f>
        <v>-2060.02820519806</v>
      </c>
    </row>
    <row r="18" customFormat="false" ht="15" hidden="false" customHeight="false" outlineLevel="0" collapsed="false">
      <c r="A18" s="0" t="s">
        <v>122</v>
      </c>
      <c r="C18" s="4" t="n">
        <f aca="false">(C6-B6)*Assumptions!$B$51/100</f>
        <v>2159.228565</v>
      </c>
      <c r="D18" s="4" t="n">
        <f aca="false">(D6-C6)*Assumptions!$B$51/100</f>
        <v>2375.1514215</v>
      </c>
      <c r="E18" s="4" t="n">
        <f aca="false">(E6-D6)*Assumptions!$B$51/100</f>
        <v>2351.399907285</v>
      </c>
      <c r="F18" s="4" t="n">
        <f aca="false">(F6-E6)*Assumptions!$B$51/100</f>
        <v>2278.2452435028</v>
      </c>
      <c r="G18" s="4" t="n">
        <f aca="false">(G6-F6)*Assumptions!$B$51/100</f>
        <v>2152.94175511015</v>
      </c>
      <c r="H18" s="4" t="n">
        <f aca="false">(H6-G6)*Assumptions!$B$51/100</f>
        <v>1974.55515254388</v>
      </c>
      <c r="I18" s="4" t="n">
        <f aca="false">(I6-H6)*Assumptions!$B$51/100</f>
        <v>1744.19038474709</v>
      </c>
      <c r="J18" s="4" t="n">
        <f aca="false">(J6-I6)*Assumptions!$B$51/100</f>
        <v>1648.259913586</v>
      </c>
      <c r="K18" s="4" t="n">
        <f aca="false">(K6-J6)*Assumptions!$B$51/100</f>
        <v>1531.050319731</v>
      </c>
      <c r="L18" s="4" t="n">
        <f aca="false">(L6-K6)*Assumptions!$B$51/100</f>
        <v>1393.25579095521</v>
      </c>
    </row>
    <row r="19" customFormat="false" ht="15" hidden="false" customHeight="false" outlineLevel="0" collapsed="false">
      <c r="A19" s="0" t="s">
        <v>123</v>
      </c>
      <c r="C19" s="0" t="n">
        <f aca="false">C15+C16+C17+C18</f>
        <v>88742.998484361</v>
      </c>
      <c r="D19" s="0" t="n">
        <f aca="false">D15+D16+D17+D18</f>
        <v>98565.696295402</v>
      </c>
      <c r="E19" s="0" t="n">
        <f aca="false">E15+E16+E17+E18</f>
        <v>111812.540437931</v>
      </c>
      <c r="F19" s="0" t="n">
        <f aca="false">F15+F16+F17+F18</f>
        <v>124442.31169061</v>
      </c>
      <c r="G19" s="0" t="n">
        <f aca="false">G15+G16+G17+G18</f>
        <v>135501.233056907</v>
      </c>
      <c r="H19" s="0" t="n">
        <f aca="false">H15+H16+H17+H18</f>
        <v>146672.589471163</v>
      </c>
      <c r="I19" s="0" t="n">
        <f aca="false">I15+I16+I17+I18</f>
        <v>156607.366265672</v>
      </c>
      <c r="J19" s="0" t="n">
        <f aca="false">J15+J16+J17+J18</f>
        <v>164092.698837045</v>
      </c>
      <c r="K19" s="0" t="n">
        <f aca="false">K15+K16+K17+K18</f>
        <v>170473.266800128</v>
      </c>
      <c r="L19" s="0" t="n">
        <f aca="false">L15+L16+L17+L18</f>
        <v>176248.449848166</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80675.4531676009</v>
      </c>
      <c r="D21" s="0" t="n">
        <f aca="false">D19*D20</f>
        <v>81459.2531366959</v>
      </c>
      <c r="E21" s="0" t="n">
        <f aca="false">E19*E20</f>
        <v>84006.416557424</v>
      </c>
      <c r="F21" s="0" t="n">
        <f aca="false">F19*F20</f>
        <v>84995.7733014206</v>
      </c>
      <c r="G21" s="0" t="n">
        <f aca="false">G19*G20</f>
        <v>84135.6049058414</v>
      </c>
      <c r="H21" s="0" t="n">
        <f aca="false">H19*H20</f>
        <v>82792.8530099514</v>
      </c>
      <c r="I21" s="0" t="n">
        <f aca="false">I19*I20</f>
        <v>80364.3413739592</v>
      </c>
      <c r="J21" s="0" t="n">
        <f aca="false">J19*J20</f>
        <v>76550.4550460145</v>
      </c>
      <c r="K21" s="0" t="n">
        <f aca="false">K19*K20</f>
        <v>72297.3064461115</v>
      </c>
      <c r="L21" s="0" t="n">
        <f aca="false">L19*L20</f>
        <v>67951.4071113178</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10</v>
      </c>
    </row>
    <row r="28" customFormat="false" ht="15" hidden="false" customHeight="false" outlineLevel="0" collapsed="false">
      <c r="A28" s="0" t="s">
        <v>106</v>
      </c>
      <c r="B28" s="4" t="n">
        <f aca="false">Assumptions!$B$49</f>
        <v>3.5</v>
      </c>
    </row>
    <row r="29" customFormat="false" ht="15" hidden="false" customHeight="false" outlineLevel="0" collapsed="false">
      <c r="A29" s="0" t="s">
        <v>107</v>
      </c>
      <c r="B29" s="4" t="n">
        <f aca="false">Assumptions!$B$50</f>
        <v>16</v>
      </c>
    </row>
    <row r="30" customFormat="false" ht="15" hidden="false" customHeight="false" outlineLevel="0" collapsed="false">
      <c r="A30" s="0" t="s">
        <v>128</v>
      </c>
      <c r="B30" s="0" t="n">
        <f aca="false">SUM(C21:L21)</f>
        <v>795228.864056337</v>
      </c>
    </row>
    <row r="31" customFormat="false" ht="15" hidden="false" customHeight="false" outlineLevel="0" collapsed="false">
      <c r="A31" s="0" t="s">
        <v>129</v>
      </c>
      <c r="B31" s="0" t="n">
        <f aca="false">L19</f>
        <v>176248.449848166</v>
      </c>
    </row>
    <row r="32" customFormat="false" ht="15" hidden="false" customHeight="false" outlineLevel="0" collapsed="false">
      <c r="A32" s="0" t="s">
        <v>130</v>
      </c>
      <c r="B32" s="0" t="n">
        <f aca="false">IF(B27&gt;B28,B31*(1+B28/100)/((B27-B28)/100),B31*B29)</f>
        <v>2806417.62450542</v>
      </c>
    </row>
    <row r="33" customFormat="false" ht="15" hidden="false" customHeight="false" outlineLevel="0" collapsed="false">
      <c r="A33" s="0" t="s">
        <v>131</v>
      </c>
      <c r="B33" s="0" t="n">
        <f aca="false">B31*B29</f>
        <v>2819975.19757066</v>
      </c>
    </row>
    <row r="34" customFormat="false" ht="15" hidden="false" customHeight="false" outlineLevel="0" collapsed="false">
      <c r="A34" s="0" t="s">
        <v>132</v>
      </c>
      <c r="B34" s="0" t="n">
        <f aca="false">MAX(0,MIN(B32,B33))</f>
        <v>2806417.62450542</v>
      </c>
    </row>
    <row r="35" customFormat="false" ht="15" hidden="false" customHeight="false" outlineLevel="0" collapsed="false">
      <c r="A35" s="0" t="s">
        <v>133</v>
      </c>
      <c r="B35" s="0" t="n">
        <f aca="false">B34/(1+B27/100)^L4</f>
        <v>1081995.48246483</v>
      </c>
    </row>
    <row r="36" customFormat="false" ht="15" hidden="false" customHeight="false" outlineLevel="0" collapsed="false">
      <c r="A36" s="0" t="s">
        <v>134</v>
      </c>
      <c r="B36" s="0" t="n">
        <f aca="false">B30+B35</f>
        <v>1877224.34652117</v>
      </c>
    </row>
    <row r="37" customFormat="false" ht="15" hidden="false" customHeight="false" outlineLevel="0" collapsed="false">
      <c r="A37" s="0" t="s">
        <v>135</v>
      </c>
      <c r="B37" s="0" t="n">
        <f aca="false">B36+Assumptions!$B$5-Assumptions!$B$4</f>
        <v>2388876.74652117</v>
      </c>
    </row>
    <row r="38" customFormat="false" ht="15" hidden="false" customHeight="false" outlineLevel="0" collapsed="false">
      <c r="A38" s="0" t="s">
        <v>136</v>
      </c>
      <c r="B38" s="0" t="n">
        <f aca="false">B37/Assumptions!$B$3*Assumptions!$B$10</f>
        <v>242.016641140604</v>
      </c>
    </row>
    <row r="39" customFormat="false" ht="15" hidden="false" customHeight="false" outlineLevel="0" collapsed="false">
      <c r="A39" s="0" t="s">
        <v>137</v>
      </c>
      <c r="B39" s="4" t="n">
        <f aca="false">B38/Assumptions!$B$2-1</f>
        <v>2.16361622406018</v>
      </c>
    </row>
    <row r="41" customFormat="false" ht="15" hidden="false" customHeight="false" outlineLevel="0" collapsed="false">
      <c r="A41" s="0" t="s">
        <v>138</v>
      </c>
      <c r="B41" s="0" t="n">
        <f aca="false">SUMPRODUCT(-C10:L10/(1+$B$27/100)^C4:L4)</f>
        <v>53133.7720335922</v>
      </c>
    </row>
    <row r="42" customFormat="false" ht="15" hidden="false" customHeight="false" outlineLevel="0" collapsed="false">
      <c r="A42" s="0" t="s">
        <v>139</v>
      </c>
      <c r="B42" s="0" t="n">
        <f aca="false">IF(B27&gt;B28,-L10*(1+B28/100)/((B27-B28)/100),-L10*20)/(1+B27/100)^L4</f>
        <v>60703.6137097042</v>
      </c>
    </row>
    <row r="43" customFormat="false" ht="15" hidden="false" customHeight="false" outlineLevel="0" collapsed="false">
      <c r="A43" s="0" t="s">
        <v>140</v>
      </c>
      <c r="B43" s="0" t="n">
        <f aca="false">(B37+B41+B42)/Assumptions!$B$3*Assumptions!$B$10</f>
        <v>253.549484672168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1586236.0486335</v>
      </c>
    </row>
    <row r="47" customFormat="false" ht="15" hidden="false" customHeight="false" outlineLevel="0" collapsed="false">
      <c r="A47" s="0" t="s">
        <v>142</v>
      </c>
      <c r="B47" s="0" t="n">
        <f aca="false">(SUMPRODUCT(C19:L19/(1+B45/100)^C4:L4)+B46/(1+B45/100)^L4+Assumptions!$B$5-Assumptions!$B$4)/Assumptions!$B$3*Assumptions!$B$10</f>
        <v>155.554383300681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101.149290339761</v>
      </c>
      <c r="C4" s="0" t="n">
        <f aca="false">B4/Assumptions!$B$2-1</f>
        <v>0.322212945617785</v>
      </c>
      <c r="D4" s="4" t="n">
        <f aca="false">Assumptions!$B$24</f>
        <v>0.3</v>
      </c>
      <c r="E4" s="4" t="n">
        <f aca="false">DCF_Bear!$B$43</f>
        <v>109.489329277811</v>
      </c>
      <c r="F4" s="4" t="n">
        <f aca="false">DCF_Bear!$B$47</f>
        <v>88.0331532699879</v>
      </c>
    </row>
    <row r="5" customFormat="false" ht="15" hidden="false" customHeight="false" outlineLevel="0" collapsed="false">
      <c r="A5" s="0" t="s">
        <v>151</v>
      </c>
      <c r="B5" s="4" t="n">
        <f aca="false">DCF_Base!$B$38</f>
        <v>180.699176615762</v>
      </c>
      <c r="C5" s="0" t="n">
        <f aca="false">B5/Assumptions!$B$2-1</f>
        <v>1.36208074007532</v>
      </c>
      <c r="D5" s="4" t="n">
        <f aca="false">Assumptions!$B$38</f>
        <v>0.5</v>
      </c>
      <c r="E5" s="4" t="n">
        <f aca="false">DCF_Base!$B$43</f>
        <v>190.211909819918</v>
      </c>
      <c r="F5" s="4" t="n">
        <f aca="false">DCF_Base!$B$47</f>
        <v>127.810752649994</v>
      </c>
    </row>
    <row r="6" customFormat="false" ht="15" hidden="false" customHeight="false" outlineLevel="0" collapsed="false">
      <c r="A6" s="0" t="s">
        <v>152</v>
      </c>
      <c r="B6" s="4" t="n">
        <f aca="false">DCF_Bull!$B$38</f>
        <v>242.016641140604</v>
      </c>
      <c r="C6" s="0" t="n">
        <f aca="false">B6/Assumptions!$B$2-1</f>
        <v>2.16361622406018</v>
      </c>
      <c r="D6" s="4" t="n">
        <f aca="false">Assumptions!$B$52</f>
        <v>0.2</v>
      </c>
      <c r="E6" s="4" t="n">
        <f aca="false">DCF_Bull!$B$43</f>
        <v>253.549484672168</v>
      </c>
      <c r="F6" s="4" t="n">
        <f aca="false">DCF_Bull!$B$47</f>
        <v>155.554383300681</v>
      </c>
    </row>
    <row r="8" customFormat="false" ht="15" hidden="false" customHeight="false" outlineLevel="0" collapsed="false">
      <c r="A8" s="0" t="s">
        <v>153</v>
      </c>
      <c r="B8" s="0" t="n">
        <f aca="false">SUMPRODUCT(B4:B6,D4:D6)</f>
        <v>169.09770363793</v>
      </c>
    </row>
    <row r="9" customFormat="false" ht="15" hidden="false" customHeight="false" outlineLevel="0" collapsed="false">
      <c r="A9" s="0" t="s">
        <v>154</v>
      </c>
      <c r="B9" s="0" t="n">
        <f aca="false">SUMPRODUCT(E4:E6,D4:D6)</f>
        <v>178.662650627736</v>
      </c>
    </row>
    <row r="10" customFormat="false" ht="15" hidden="false" customHeight="false" outlineLevel="0" collapsed="false">
      <c r="A10" s="0" t="s">
        <v>155</v>
      </c>
      <c r="B10" s="0" t="n">
        <f aca="false">1-Assumptions!$B$2/B8</f>
        <v>0.547598823909514</v>
      </c>
    </row>
    <row r="11" customFormat="false" ht="15" hidden="false" customHeight="false" outlineLevel="0" collapsed="false">
      <c r="A11" s="0" t="s">
        <v>156</v>
      </c>
      <c r="B11" s="0" t="n">
        <f aca="false">IF(ABS(B9-B8)&gt;0.01*ABS(B8),(Assumptions!$B$2-B8)/(B9-B8)*100,"n/a")</f>
        <v>-968.094268965825</v>
      </c>
    </row>
    <row r="12" customFormat="false" ht="15" hidden="false" customHeight="false" outlineLevel="0" collapsed="false">
      <c r="A12" s="0" t="s">
        <v>157</v>
      </c>
      <c r="B12" s="0" t="n">
        <f aca="false">SUMPRODUCT(F4:F6,D4:D6)</f>
        <v>121.42619896613</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190.089813766541</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180.699176615762</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167.195523816003</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154.046045631006</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127.810752649994</v>
      </c>
      <c r="C19" s="3" t="n">
        <v>15</v>
      </c>
    </row>
    <row r="21" customFormat="false" ht="15" hidden="false" customHeight="false" outlineLevel="0" collapsed="false">
      <c r="A21" s="2" t="s">
        <v>165</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200.380898344403</v>
      </c>
      <c r="C23" s="0" t="n">
        <f aca="false">(SUMPRODUCT(DCF_Base!$C$19:$L$19/(1+$A$23/100)^DCF_Base!$C$4:$L$4)+MAX(0,MIN(IF($A$23&gt;$C$22,DCF_Base!$L$19*(1+$C$22/100)/(($A$23-$C$22)/100),DCF_Base!$L$19*DCF_Base!$B$29),DCF_Base!$L$19*DCF_Base!$B$29))/(1+$A$23/100)^DCF_Base!$L$4+Assumptions!$B$5-Assumptions!$B$4)/Assumptions!$B$3*Assumptions!$B$10</f>
        <v>200.380898344403</v>
      </c>
      <c r="D23" s="0" t="n">
        <f aca="false">(SUMPRODUCT(DCF_Base!$C$19:$L$19/(1+$A$23/100)^DCF_Base!$C$4:$L$4)+MAX(0,MIN(IF($A$23&gt;$D$22,DCF_Base!$L$19*(1+$D$22/100)/(($A$23-$D$22)/100),DCF_Base!$L$19*DCF_Base!$B$29),DCF_Base!$L$19*DCF_Base!$B$29))/(1+$A$23/100)^DCF_Base!$L$4+Assumptions!$B$5-Assumptions!$B$4)/Assumptions!$B$3*Assumptions!$B$10</f>
        <v>200.380898344403</v>
      </c>
      <c r="E23" s="0" t="n">
        <f aca="false">(SUMPRODUCT(DCF_Base!$C$19:$L$19/(1+$A$23/100)^DCF_Base!$C$4:$L$4)+MAX(0,MIN(IF($A$23&gt;$E$22,DCF_Base!$L$19*(1+$E$22/100)/(($A$23-$E$22)/100),DCF_Base!$L$19*DCF_Base!$B$29),DCF_Base!$L$19*DCF_Base!$B$29))/(1+$A$23/100)^DCF_Base!$L$4+Assumptions!$B$5-Assumptions!$B$4)/Assumptions!$B$3*Assumptions!$B$10</f>
        <v>200.380898344403</v>
      </c>
      <c r="F23" s="0" t="n">
        <f aca="false">(SUMPRODUCT(DCF_Base!$C$19:$L$19/(1+$A$23/100)^DCF_Base!$C$4:$L$4)+MAX(0,MIN(IF($A$23&gt;$F$22,DCF_Base!$L$19*(1+$F$22/100)/(($A$23-$F$22)/100),DCF_Base!$L$19*DCF_Base!$B$29),DCF_Base!$L$19*DCF_Base!$B$29))/(1+$A$23/100)^DCF_Base!$L$4+Assumptions!$B$5-Assumptions!$B$4)/Assumptions!$B$3*Assumptions!$B$10</f>
        <v>200.380898344403</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190.089813766541</v>
      </c>
      <c r="C24" s="0" t="n">
        <f aca="false">(SUMPRODUCT(DCF_Base!$C$19:$L$19/(1+$A$24/100)^DCF_Base!$C$4:$L$4)+MAX(0,MIN(IF($A$24&gt;$C$22,DCF_Base!$L$19*(1+$C$22/100)/(($A$24-$C$22)/100),DCF_Base!$L$19*DCF_Base!$B$29),DCF_Base!$L$19*DCF_Base!$B$29))/(1+$A$24/100)^DCF_Base!$L$4+Assumptions!$B$5-Assumptions!$B$4)/Assumptions!$B$3*Assumptions!$B$10</f>
        <v>190.089813766541</v>
      </c>
      <c r="D24" s="0" t="n">
        <f aca="false">(SUMPRODUCT(DCF_Base!$C$19:$L$19/(1+$A$24/100)^DCF_Base!$C$4:$L$4)+MAX(0,MIN(IF($A$24&gt;$D$22,DCF_Base!$L$19*(1+$D$22/100)/(($A$24-$D$22)/100),DCF_Base!$L$19*DCF_Base!$B$29),DCF_Base!$L$19*DCF_Base!$B$29))/(1+$A$24/100)^DCF_Base!$L$4+Assumptions!$B$5-Assumptions!$B$4)/Assumptions!$B$3*Assumptions!$B$10</f>
        <v>190.089813766541</v>
      </c>
      <c r="E24" s="0" t="n">
        <f aca="false">(SUMPRODUCT(DCF_Base!$C$19:$L$19/(1+$A$24/100)^DCF_Base!$C$4:$L$4)+MAX(0,MIN(IF($A$24&gt;$E$22,DCF_Base!$L$19*(1+$E$22/100)/(($A$24-$E$22)/100),DCF_Base!$L$19*DCF_Base!$B$29),DCF_Base!$L$19*DCF_Base!$B$29))/(1+$A$24/100)^DCF_Base!$L$4+Assumptions!$B$5-Assumptions!$B$4)/Assumptions!$B$3*Assumptions!$B$10</f>
        <v>190.089813766541</v>
      </c>
      <c r="F24" s="0" t="n">
        <f aca="false">(SUMPRODUCT(DCF_Base!$C$19:$L$19/(1+$A$24/100)^DCF_Base!$C$4:$L$4)+MAX(0,MIN(IF($A$24&gt;$F$22,DCF_Base!$L$19*(1+$F$22/100)/(($A$24-$F$22)/100),DCF_Base!$L$19*DCF_Base!$B$29),DCF_Base!$L$19*DCF_Base!$B$29))/(1+$A$24/100)^DCF_Base!$L$4+Assumptions!$B$5-Assumptions!$B$4)/Assumptions!$B$3*Assumptions!$B$10</f>
        <v>190.089813766541</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174.709273311499</v>
      </c>
      <c r="C25" s="0" t="n">
        <f aca="false">(SUMPRODUCT(DCF_Base!$C$19:$L$19/(1+$A$25/100)^DCF_Base!$C$4:$L$4)+MAX(0,MIN(IF($A$25&gt;$C$22,DCF_Base!$L$19*(1+$C$22/100)/(($A$25-$C$22)/100),DCF_Base!$L$19*DCF_Base!$B$29),DCF_Base!$L$19*DCF_Base!$B$29))/(1+$A$25/100)^DCF_Base!$L$4+Assumptions!$B$5-Assumptions!$B$4)/Assumptions!$B$3*Assumptions!$B$10</f>
        <v>179.101869067959</v>
      </c>
      <c r="D25" s="0" t="n">
        <f aca="false">(SUMPRODUCT(DCF_Base!$C$19:$L$19/(1+$A$25/100)^DCF_Base!$C$4:$L$4)+MAX(0,MIN(IF($A$25&gt;$D$22,DCF_Base!$L$19*(1+$D$22/100)/(($A$25-$D$22)/100),DCF_Base!$L$19*DCF_Base!$B$29),DCF_Base!$L$19*DCF_Base!$B$29))/(1+$A$25/100)^DCF_Base!$L$4+Assumptions!$B$5-Assumptions!$B$4)/Assumptions!$B$3*Assumptions!$B$10</f>
        <v>180.699176615762</v>
      </c>
      <c r="E25" s="0" t="n">
        <f aca="false">(SUMPRODUCT(DCF_Base!$C$19:$L$19/(1+$A$25/100)^DCF_Base!$C$4:$L$4)+MAX(0,MIN(IF($A$25&gt;$E$22,DCF_Base!$L$19*(1+$E$22/100)/(($A$25-$E$22)/100),DCF_Base!$L$19*DCF_Base!$B$29),DCF_Base!$L$19*DCF_Base!$B$29))/(1+$A$25/100)^DCF_Base!$L$4+Assumptions!$B$5-Assumptions!$B$4)/Assumptions!$B$3*Assumptions!$B$10</f>
        <v>180.699176615762</v>
      </c>
      <c r="F25" s="0" t="n">
        <f aca="false">(SUMPRODUCT(DCF_Base!$C$19:$L$19/(1+$A$25/100)^DCF_Base!$C$4:$L$4)+MAX(0,MIN(IF($A$25&gt;$F$22,DCF_Base!$L$19*(1+$F$22/100)/(($A$25-$F$22)/100),DCF_Base!$L$19*DCF_Base!$B$29),DCF_Base!$L$19*DCF_Base!$B$29))/(1+$A$25/100)^DCF_Base!$L$4+Assumptions!$B$5-Assumptions!$B$4)/Assumptions!$B$3*Assumptions!$B$10</f>
        <v>180.699176615762</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160.447177768103</v>
      </c>
      <c r="C26" s="0" t="n">
        <f aca="false">(SUMPRODUCT(DCF_Base!$C$19:$L$19/(1+$A$26/100)^DCF_Base!$C$4:$L$4)+MAX(0,MIN(IF($A$26&gt;$C$22,DCF_Base!$L$19*(1+$C$22/100)/(($A$26-$C$22)/100),DCF_Base!$L$19*DCF_Base!$B$29),DCF_Base!$L$19*DCF_Base!$B$29))/(1+$A$26/100)^DCF_Base!$L$4+Assumptions!$B$5-Assumptions!$B$4)/Assumptions!$B$3*Assumptions!$B$10</f>
        <v>163.622870025938</v>
      </c>
      <c r="D26" s="0" t="n">
        <f aca="false">(SUMPRODUCT(DCF_Base!$C$19:$L$19/(1+$A$26/100)^DCF_Base!$C$4:$L$4)+MAX(0,MIN(IF($A$26&gt;$D$22,DCF_Base!$L$19*(1+$D$22/100)/(($A$26-$D$22)/100),DCF_Base!$L$19*DCF_Base!$B$29),DCF_Base!$L$19*DCF_Base!$B$29))/(1+$A$26/100)^DCF_Base!$L$4+Assumptions!$B$5-Assumptions!$B$4)/Assumptions!$B$3*Assumptions!$B$10</f>
        <v>167.195523816003</v>
      </c>
      <c r="E26" s="0" t="n">
        <f aca="false">(SUMPRODUCT(DCF_Base!$C$19:$L$19/(1+$A$26/100)^DCF_Base!$C$4:$L$4)+MAX(0,MIN(IF($A$26&gt;$E$22,DCF_Base!$L$19*(1+$E$22/100)/(($A$26-$E$22)/100),DCF_Base!$L$19*DCF_Base!$B$29),DCF_Base!$L$19*DCF_Base!$B$29))/(1+$A$26/100)^DCF_Base!$L$4+Assumptions!$B$5-Assumptions!$B$4)/Assumptions!$B$3*Assumptions!$B$10</f>
        <v>171.244531444743</v>
      </c>
      <c r="F26" s="0" t="n">
        <f aca="false">(SUMPRODUCT(DCF_Base!$C$19:$L$19/(1+$A$26/100)^DCF_Base!$C$4:$L$4)+MAX(0,MIN(IF($A$26&gt;$F$22,DCF_Base!$L$19*(1+$F$22/100)/(($A$26-$F$22)/100),DCF_Base!$L$19*DCF_Base!$B$29),DCF_Base!$L$19*DCF_Base!$B$29))/(1+$A$26/100)^DCF_Base!$L$4+Assumptions!$B$5-Assumptions!$B$4)/Assumptions!$B$3*Assumptions!$B$10</f>
        <v>172.11999255366</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149.066015886755</v>
      </c>
      <c r="C27" s="0" t="n">
        <f aca="false">(SUMPRODUCT(DCF_Base!$C$19:$L$19/(1+$A$27/100)^DCF_Base!$C$4:$L$4)+MAX(0,MIN(IF($A$27&gt;$C$22,DCF_Base!$L$19*(1+$C$22/100)/(($A$27-$C$22)/100),DCF_Base!$L$19*DCF_Base!$B$29),DCF_Base!$L$19*DCF_Base!$B$29))/(1+$A$27/100)^DCF_Base!$L$4+Assumptions!$B$5-Assumptions!$B$4)/Assumptions!$B$3*Assumptions!$B$10</f>
        <v>151.424977344558</v>
      </c>
      <c r="D27" s="0" t="n">
        <f aca="false">(SUMPRODUCT(DCF_Base!$C$19:$L$19/(1+$A$27/100)^DCF_Base!$C$4:$L$4)+MAX(0,MIN(IF($A$27&gt;$D$22,DCF_Base!$L$19*(1+$D$22/100)/(($A$27-$D$22)/100),DCF_Base!$L$19*DCF_Base!$B$29),DCF_Base!$L$19*DCF_Base!$B$29))/(1+$A$27/100)^DCF_Base!$L$4+Assumptions!$B$5-Assumptions!$B$4)/Assumptions!$B$3*Assumptions!$B$10</f>
        <v>154.046045631006</v>
      </c>
      <c r="E27" s="0" t="n">
        <f aca="false">(SUMPRODUCT(DCF_Base!$C$19:$L$19/(1+$A$27/100)^DCF_Base!$C$4:$L$4)+MAX(0,MIN(IF($A$27&gt;$E$22,DCF_Base!$L$19*(1+$E$22/100)/(($A$27-$E$22)/100),DCF_Base!$L$19*DCF_Base!$B$29),DCF_Base!$L$19*DCF_Base!$B$29))/(1+$A$27/100)^DCF_Base!$L$4+Assumptions!$B$5-Assumptions!$B$4)/Assumptions!$B$3*Assumptions!$B$10</f>
        <v>156.97547489233</v>
      </c>
      <c r="F27" s="0" t="n">
        <f aca="false">(SUMPRODUCT(DCF_Base!$C$19:$L$19/(1+$A$27/100)^DCF_Base!$C$4:$L$4)+MAX(0,MIN(IF($A$27&gt;$F$22,DCF_Base!$L$19*(1+$F$22/100)/(($A$27-$F$22)/100),DCF_Base!$L$19*DCF_Base!$B$29),DCF_Base!$L$19*DCF_Base!$B$29))/(1+$A$27/100)^DCF_Base!$L$4+Assumptions!$B$5-Assumptions!$B$4)/Assumptions!$B$3*Assumptions!$B$10</f>
        <v>160.27108281132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2026-10-02T06:55:49Z</dcterms:created>
  <dc:creator>openpyxl</dc:creator>
  <dc:description/>
  <dc:language>en-NZ</dc:language>
  <cp:lastModifiedBy/>
  <dcterms:modified xsi:type="dcterms:W3CDTF">2026-10-02T06:55:49Z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