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<sst xmlns="http://schemas.openxmlformats.org/spreadsheetml/2006/main" count="390" uniqueCount="175">
  <si>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</si>
  <si>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OKE</t>
  </si>
  <si>
    <t xml:space="preserve">Company</t>
  </si>
  <si>
    <t xml:space="preserve">ONEOK,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</si>
  <si>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</si>
  <si>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</si>
  <si>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</si>
  <si>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</si>
  <si>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</si>
  <si>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</si>
  <si>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</si>
  <si>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</si>
  <si>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</si>
  <si>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</si>
  <si>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</si>
  <si>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</si>
  <si>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</si>
  <si>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</si>
  <si>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</si>
  <si>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</si>
  <si>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</si>
  <si>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2026-10-02T06:22:34Z</t>
  </si>
  <si>
    <t xml:space="preserve">Drivers file</t>
  </si>
  <si>
    <t xml:space="preserve">OKE_Drivers.json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</si>
  <si>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</si>
  <si>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</si>
  <si>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</si>
  <si>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consolidated EBITDA excluding equity-method earnings, with the JV stakes added back in the bridge at ~10x distributions and all interest-bearing debt (including commercial paper) deducted. SBC is expensed and the count held flat. The cash-tax shelter from bonus depreciation is explicitly run off to a 24% rate by year 10 rather than perpetuated. Risk is carried in the scenario flows and the 25/50/25 weights, not in a scenario-specific WACC. Terminal value is capped at 12-16x owner FCF (roughly 7-9x EBITDA), below the current midstream trading range, so the valuation does not depend on multiple expansion.
key_risks_to_valuation: Leverage: ~$33bn of debt at ~4.2x EBITDA; a 100bp rise in refinancing cost is ~$330m/yr of equity cash flow and would pressure the BBB rating; Recontracting/competitive bypass (Bakken NGL volumes to Kinder Morgan) in basins where ONEOK has historically held dominant share; Residual commodity exposure through percent-of-proceeds, keep-whole and marketing/optimisation margins; a sustained low NGL/gas tape also slows producer volumes; Integration execution across Magellan, Medallion and EnLink; synergy capture below the $450m+ run-rate; Cash-tax normalisation arriving sooner than modelled if capex falls faster than bonus depreciation can shelter; Revenue is commodity pass-through, so the revenue growth path is a weak anchor; the valuation rests on the EBITDA and capex paths; Equity-method stakes valued at ~10x distributions ($3.97bn) in the bridge; at book ($3.14bn) the weighted value is ~$1.3/share lower</t>
  </si>
  <si>
    <t xml:space="preserve">Data sources</t>
  </si>
  <si>
    <t xml:space="preserve">price: Yahoo Finance chart API regular close at inputs.price_as_of; 52-week range 64.02-99.85
financials: OKE_Metrics.csv (SEC XBRL, FY2007-Q2 2026) for revenue, operating income, EBITDA, OCF, capex, SBC, equity, shares; SEC companyfacts XBRL (CIK 1039684) read directly for the FY2025 10-K and Q2 2026 10-Q component lines: debt tranches, cash, NCI, equity-method investments and distributions, D&amp;A, interest paid ($1,732m), income taxes paid ($74m), dividends ($2,583m), repurchases ($75m), diluted shares
qualitative: OKE_Analysis.json (2026-10-02): Q2 2026 guidance (adj. EBITDA $8.35bn midpoint, capex $2.7-3.2bn, $2.0-2.5bn run-rate from 2027, mid-to-high-single-digit EBITDA growth 5-7 years), bull/bear axes</t>
  </si>
  <si>
    <t xml:space="preserve">Scenario narrative: bear</t>
  </si>
  <si>
    <t xml:space="preserve">Scale does not insulate from recontracting: Bakken NGL volumes migrate to Kinder Morgan, Mid-Con G&amp;P volumes erode, and a soft NGL/gas tape compresses the residual commodity-exposed margins and slows producer activity feeding the gathering systems. Integration of three overlapping deals obscures organic performance; synergies arrive late. EBITDA grows ~1.5%/yr, capex stays elevated, leverage lingers above 4x and the exit multiple de-rates to 12x owner FCF.</t>
  </si>
  <si>
    <t xml:space="preserve">Scenario narrative: base</t>
  </si>
  <si>
    <t xml:space="preserve">ONEOK as a ~90% fee-based, integrated NGL/refined-products/gas platform post Magellan-Medallion-EnLink. FY2026 tracks the twice-raised guidance ($8.35bn adj. EBITDA). Growth decelerates from ~6% to ~3% as the 2024-27 project wave (Elk Creek expansion, West Texas NGL, Medford/Denver fractionation, Permian gas pipelines, Texas City LPG export) is absorbed, then 2.5% nominal from tariff escalators. Capex falls from ~$3bn to the guided $2.0-2.5bn run-rate; the resulting FCF deleverages toward 3.5x. Cash taxes rise from ~2% to 24% as bonus depreciation on a shrinking capex base runs down. Terminal value capped at 15x owner FCF.</t>
  </si>
  <si>
    <t xml:space="preserve">Scenario narrative: bull</t>
  </si>
  <si>
    <t xml:space="preserve">Operating momentum (record Permian and NGL throughput, second 2026 guidance raise) persists: EBITDA compounds at the management-guided mid-to-high single digits for five years, cost and commercial synergies exceed $450m, and gas-for-power/AI data-centre supply agreements add a new contracted vertical. Lower capex intensity and a longer tax shelter lift owner-FCF margins toward 12%; exit at 16x owner FCF (~9x EBITDA), still inside the midstream peer range.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</si>
  <si>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</si>
  <si>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</si>
  <si>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</si>
  <si>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</si>
  <si>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</si>
  <si>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</si>
  <si>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</si>
  <si>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</si>
  <si>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</si>
  <si>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</si>
  <si>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</si>
  <si>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</si>
  <si>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</si>
  <si>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</si>
  <si>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</si>
  <si>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</si>
  <si>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</si>
  <si>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</si>
  <si>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</si>
  <si>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</si>
  <si>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</si>
  <si>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</si>
  <si>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</si>
  <si>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</si>
  <si>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</si>
  <si>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</si>
  <si>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</si>
  <si>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</si>
  <si>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</si>
  <si>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</si>
  <si>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</si>
  <si>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</si>
  <si>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</si>
  <si>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</si>
  <si>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</si>
  <si>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</si>
  <si>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</si>
  <si>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</si>
  <si>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</si>
  <si>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</si>
  <si>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</si>
  <si>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</si>
  <si>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</si>
  <si>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</si>
  <si>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</si>
  <si>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</si>
  <si>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</si>
  <si>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</si>
  <si>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</si>
  <si>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</si>
  <si>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</si>
  <si>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</si>
  <si>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</si>
  <si>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</si>
  <si>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</si>
  <si>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</si>
  <si>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</si>
  <si>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</si>
  <si>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</si>
  <si>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</si>
  <si>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</si>
  <si>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</si>
  <si>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</si>
  <si>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</si>
  <si>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</si>
  <si>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</si>
  <si>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</si>
  <si>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</si>
  <si>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</si>
  <si>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</si>
  <si>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</si>
  <si>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</si>
  <si>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</si>
  <si>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</si>
  <si>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</si>
  <si>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</si>
  <si>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</si>
  <si>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</si>
  <si>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</si>
  <si>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</si>
  <si>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</si>
  <si>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</si>
  <si>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</si>
  <si>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</si>
  <si>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OKE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</si>
  <si>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</si>
  <si>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</si>
  <si>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</si>
  <si>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</si>
  <si>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</si>
  <si>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</si>
  <si>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</si>
  <si>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</si>
  <si>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</si>
  <si>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</si>
  <si>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</si>
  <si>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</si>
  <si>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</si>
  <si>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</si>
  <si>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</si>
  <si>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</si>
  <si>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</si>
  <si>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</si>
  <si>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</si>
  <si>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</si>
  <si>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</si>
  <si>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</si>
  <si>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</si>
  <si>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</si>
  <si>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</si>
  <si>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</si>
  <si>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</si>
  <si>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</si>
  <si>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</si>
  <si>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</si>
  <si>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OKE owner-FCF component DCF: base case (millions, USD)</t>
  </si>
  <si>
    <t xml:space="preserve">OKE owner-FCF component DCF: bull case (millions, USD)</t>
  </si>
  <si>
    <t xml:space="preserve">OKE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</si>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</sst>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87.16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3016.603</v>
      </c>
      <c r="S2" s="0" t="n">
        <v>68.268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13477.414</v>
      </c>
      <c r="C3" s="0" t="n">
        <v>11667.306</v>
      </c>
      <c r="D3" s="0" t="n">
        <v>1810.108</v>
      </c>
      <c r="E3" s="0" t="n">
        <v>13.4306774281772</v>
      </c>
      <c r="F3" s="0" t="n">
        <v>822.543</v>
      </c>
      <c r="G3" s="0" t="n">
        <v>6.10312186002448</v>
      </c>
      <c r="H3" s="0" t="n">
        <v>1050.507</v>
      </c>
      <c r="I3" s="0" t="n">
        <v>498.12</v>
      </c>
      <c r="J3" s="0" t="n">
        <v>3.69596125784961</v>
      </c>
      <c r="K3" s="0" t="n">
        <v>2.84</v>
      </c>
      <c r="L3" s="0" t="n">
        <v>1029.66</v>
      </c>
      <c r="M3" s="0" t="n">
        <v>883.703</v>
      </c>
      <c r="N3" s="0" t="n">
        <v>145.957</v>
      </c>
      <c r="O3" s="0" t="n">
        <v>2771.272</v>
      </c>
      <c r="S3" s="0" t="n">
        <v>19.105</v>
      </c>
      <c r="T3" s="0" t="n">
        <v>109.298</v>
      </c>
      <c r="U3" s="0" t="n">
        <v>20.909</v>
      </c>
      <c r="V3" s="0" t="n">
        <v>1.4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16157.433</v>
      </c>
      <c r="C4" s="0" t="n">
        <v>14221.906</v>
      </c>
      <c r="D4" s="0" t="n">
        <v>1935.527</v>
      </c>
      <c r="E4" s="0" t="n">
        <v>11.9791739195205</v>
      </c>
      <c r="F4" s="0" t="n">
        <v>917.004</v>
      </c>
      <c r="G4" s="0" t="n">
        <v>5.67543123960347</v>
      </c>
      <c r="H4" s="0" t="n">
        <v>1160.931</v>
      </c>
      <c r="I4" s="0" t="n">
        <v>600.467</v>
      </c>
      <c r="J4" s="0" t="n">
        <v>3.71635147736649</v>
      </c>
      <c r="K4" s="0" t="n">
        <v>2.99</v>
      </c>
      <c r="L4" s="0" t="n">
        <v>475.677</v>
      </c>
      <c r="M4" s="0" t="n">
        <v>1473.136</v>
      </c>
      <c r="N4" s="0" t="n">
        <v>-997.459</v>
      </c>
      <c r="O4" s="0" t="n">
        <v>3167.539</v>
      </c>
      <c r="P4" s="0" t="n">
        <v>13126.062</v>
      </c>
      <c r="R4" s="0" t="n">
        <v>4230.776</v>
      </c>
      <c r="S4" s="0" t="n">
        <v>496.018</v>
      </c>
      <c r="T4" s="0" t="n">
        <v>105.76</v>
      </c>
      <c r="U4" s="0" t="n">
        <v>30.791</v>
      </c>
      <c r="V4" s="0" t="n">
        <v>1.56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10805.753</v>
      </c>
      <c r="C5" s="0" t="n">
        <v>8807.802</v>
      </c>
      <c r="D5" s="0" t="n">
        <v>1997.951</v>
      </c>
      <c r="E5" s="0" t="n">
        <v>18.489697108568</v>
      </c>
      <c r="F5" s="0" t="n">
        <v>882.874</v>
      </c>
      <c r="G5" s="0" t="n">
        <v>8.17040700449103</v>
      </c>
      <c r="H5" s="0" t="n">
        <v>1171.797</v>
      </c>
      <c r="I5" s="0" t="n">
        <v>491.204</v>
      </c>
      <c r="J5" s="0" t="n">
        <v>4.54576372419396</v>
      </c>
      <c r="K5" s="0" t="n">
        <v>2.9</v>
      </c>
      <c r="L5" s="0" t="n">
        <v>1452.694</v>
      </c>
      <c r="M5" s="0" t="n">
        <v>791.245</v>
      </c>
      <c r="N5" s="0" t="n">
        <v>661.449</v>
      </c>
      <c r="O5" s="0" t="n">
        <v>3445.462</v>
      </c>
      <c r="P5" s="0" t="n">
        <v>12827.683</v>
      </c>
      <c r="R5" s="0" t="n">
        <v>4602.419</v>
      </c>
      <c r="S5" s="0" t="n">
        <v>30.917</v>
      </c>
      <c r="T5" s="0" t="n">
        <v>105.906776</v>
      </c>
      <c r="U5" s="0" t="n">
        <v>23.148</v>
      </c>
      <c r="V5" s="0" t="n">
        <v>1.64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12678.791</v>
      </c>
      <c r="C6" s="0" t="n">
        <v>10616.621</v>
      </c>
      <c r="D6" s="0" t="n">
        <v>2062.17</v>
      </c>
      <c r="E6" s="0" t="n">
        <v>16.264721139421</v>
      </c>
      <c r="F6" s="0" t="n">
        <v>942.652</v>
      </c>
      <c r="G6" s="0" t="n">
        <v>7.43487293070767</v>
      </c>
      <c r="H6" s="0" t="n">
        <v>1249.876</v>
      </c>
      <c r="I6" s="0" t="n">
        <v>541.33</v>
      </c>
      <c r="J6" s="0" t="n">
        <v>4.26957112866676</v>
      </c>
      <c r="K6" s="0" t="n">
        <v>1.57</v>
      </c>
      <c r="L6" s="0" t="n">
        <v>834.042</v>
      </c>
      <c r="M6" s="0" t="n">
        <v>582.748</v>
      </c>
      <c r="N6" s="0" t="n">
        <v>251.294</v>
      </c>
      <c r="O6" s="0" t="n">
        <v>3920.841</v>
      </c>
      <c r="P6" s="0" t="n">
        <v>12499.175</v>
      </c>
      <c r="R6" s="0" t="n">
        <v>4329.778</v>
      </c>
      <c r="S6" s="0" t="n">
        <v>30.341</v>
      </c>
      <c r="T6" s="0" t="n">
        <v>215.57</v>
      </c>
      <c r="U6" s="0" t="n">
        <v>24.372</v>
      </c>
      <c r="V6" s="0" t="n">
        <v>0.91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14805.794</v>
      </c>
      <c r="C7" s="0" t="n">
        <v>12425.435</v>
      </c>
      <c r="D7" s="0" t="n">
        <v>2380.359</v>
      </c>
      <c r="E7" s="0" t="n">
        <v>16.0772127452266</v>
      </c>
      <c r="F7" s="0" t="n">
        <v>1158.913</v>
      </c>
      <c r="G7" s="0" t="n">
        <v>7.82742891060081</v>
      </c>
      <c r="H7" s="0" t="n">
        <v>1471.073</v>
      </c>
      <c r="I7" s="0" t="n">
        <v>759.744</v>
      </c>
      <c r="J7" s="0" t="n">
        <v>5.13139653300593</v>
      </c>
      <c r="K7" s="0" t="n">
        <v>1.72</v>
      </c>
      <c r="L7" s="0" t="n">
        <v>1356.166</v>
      </c>
      <c r="M7" s="0" t="n">
        <v>1336.067</v>
      </c>
      <c r="N7" s="0" t="n">
        <v>20.0989999999999</v>
      </c>
      <c r="O7" s="0" t="n">
        <v>3799.732</v>
      </c>
      <c r="P7" s="0" t="n">
        <v>13696.635</v>
      </c>
      <c r="R7" s="0" t="n">
        <v>4893.942</v>
      </c>
      <c r="S7" s="0" t="n">
        <v>56.684</v>
      </c>
      <c r="T7" s="0" t="n">
        <v>214.498</v>
      </c>
      <c r="U7" s="0" t="n">
        <v>66.371</v>
      </c>
      <c r="V7" s="0" t="n">
        <v>1.08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10184.121</v>
      </c>
      <c r="C8" s="0" t="n">
        <v>8540.319</v>
      </c>
      <c r="D8" s="0" t="n">
        <v>1643.802</v>
      </c>
      <c r="E8" s="0" t="n">
        <v>16.1408333620545</v>
      </c>
      <c r="F8" s="0" t="n">
        <v>953.479</v>
      </c>
      <c r="G8" s="0" t="n">
        <v>9.36240840029297</v>
      </c>
      <c r="H8" s="0" t="n">
        <v>1158.813</v>
      </c>
      <c r="I8" s="0" t="n">
        <v>743.53</v>
      </c>
      <c r="J8" s="0" t="n">
        <v>7.30087554929876</v>
      </c>
      <c r="K8" s="0" t="n">
        <v>1.75</v>
      </c>
      <c r="L8" s="0" t="n">
        <v>983.995</v>
      </c>
      <c r="M8" s="0" t="n">
        <v>1866.153</v>
      </c>
      <c r="N8" s="0" t="n">
        <v>-882.158</v>
      </c>
      <c r="O8" s="0" t="n">
        <v>4232.45</v>
      </c>
      <c r="P8" s="0" t="n">
        <v>15900.973</v>
      </c>
      <c r="R8" s="0" t="n">
        <v>6526.227</v>
      </c>
      <c r="S8" s="0" t="n">
        <v>577.022</v>
      </c>
      <c r="T8" s="0" t="n">
        <v>210.71</v>
      </c>
      <c r="U8" s="0" t="n">
        <v>36.692</v>
      </c>
      <c r="V8" s="0" t="n">
        <v>1.27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11871.879</v>
      </c>
      <c r="C9" s="0" t="n">
        <v>10222.213</v>
      </c>
      <c r="D9" s="0" t="n">
        <v>1649.666</v>
      </c>
      <c r="E9" s="0" t="n">
        <v>13.895576260506</v>
      </c>
      <c r="F9" s="0" t="n">
        <v>880.618</v>
      </c>
      <c r="G9" s="0" t="n">
        <v>7.4176800487943</v>
      </c>
      <c r="H9" s="0" t="n">
        <v>1119.961</v>
      </c>
      <c r="I9" s="0" t="n">
        <v>576.961</v>
      </c>
      <c r="J9" s="0" t="n">
        <v>4.85989623041138</v>
      </c>
      <c r="K9" s="0" t="n">
        <v>1.29</v>
      </c>
      <c r="L9" s="0" t="n">
        <v>1294.767</v>
      </c>
      <c r="M9" s="0" t="n">
        <v>2256.585</v>
      </c>
      <c r="N9" s="0" t="n">
        <v>-961.818</v>
      </c>
      <c r="O9" s="0" t="n">
        <v>4845.18</v>
      </c>
      <c r="P9" s="0" t="n">
        <v>17692.165</v>
      </c>
      <c r="R9" s="0" t="n">
        <v>7764.307</v>
      </c>
      <c r="S9" s="0" t="n">
        <v>145.565</v>
      </c>
      <c r="T9" s="0" t="n">
        <v>209.695</v>
      </c>
      <c r="U9" s="0" t="n">
        <v>46.194</v>
      </c>
      <c r="V9" s="0" t="n">
        <v>1.48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12195.091</v>
      </c>
      <c r="C10" s="0" t="n">
        <v>10088.548</v>
      </c>
      <c r="D10" s="0" t="n">
        <v>2106.543</v>
      </c>
      <c r="E10" s="0" t="n">
        <v>17.2736964406416</v>
      </c>
      <c r="F10" s="0" t="n">
        <v>1143.571</v>
      </c>
      <c r="G10" s="0" t="n">
        <v>9.37730599960263</v>
      </c>
      <c r="H10" s="0" t="n">
        <v>1438.255</v>
      </c>
      <c r="I10" s="0" t="n">
        <v>663.108</v>
      </c>
      <c r="J10" s="0" t="n">
        <v>5.43749940037348</v>
      </c>
      <c r="K10" s="0" t="n">
        <v>1.5</v>
      </c>
      <c r="L10" s="0" t="n">
        <v>1285.61</v>
      </c>
      <c r="M10" s="0" t="n">
        <v>1779.15</v>
      </c>
      <c r="N10" s="0" t="n">
        <v>-493.54</v>
      </c>
      <c r="O10" s="0" t="n">
        <v>4005.883</v>
      </c>
      <c r="P10" s="0" t="n">
        <v>15261.773</v>
      </c>
      <c r="R10" s="0" t="n">
        <v>7210.65</v>
      </c>
      <c r="S10" s="0" t="n">
        <v>172.812</v>
      </c>
      <c r="T10" s="0" t="n">
        <v>210.427</v>
      </c>
      <c r="U10" s="0" t="n">
        <v>26.226</v>
      </c>
      <c r="V10" s="0" t="n">
        <v>2.125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7763.206</v>
      </c>
      <c r="C11" s="0" t="n">
        <v>5641.052</v>
      </c>
      <c r="F11" s="0" t="n">
        <v>996.159</v>
      </c>
      <c r="G11" s="0" t="n">
        <v>12.8317991304108</v>
      </c>
      <c r="H11" s="0" t="n">
        <v>1350.779</v>
      </c>
      <c r="I11" s="0" t="n">
        <v>379.195</v>
      </c>
      <c r="J11" s="0" t="n">
        <v>4.88451549527347</v>
      </c>
      <c r="K11" s="0" t="n">
        <v>1.17</v>
      </c>
      <c r="L11" s="0" t="n">
        <v>1022.828</v>
      </c>
      <c r="M11" s="0" t="n">
        <v>1188.312</v>
      </c>
      <c r="N11" s="0" t="n">
        <v>-165.484</v>
      </c>
      <c r="O11" s="0" t="n">
        <v>3766.336</v>
      </c>
      <c r="P11" s="0" t="n">
        <v>15446.111</v>
      </c>
      <c r="R11" s="0" t="n">
        <v>8510.65</v>
      </c>
      <c r="S11" s="0" t="n">
        <v>97.619</v>
      </c>
      <c r="T11" s="0" t="n">
        <v>210.541</v>
      </c>
      <c r="U11" s="0" t="n">
        <v>16.435</v>
      </c>
      <c r="V11" s="0" t="n">
        <v>2.43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8920.934</v>
      </c>
      <c r="C12" s="0" t="n">
        <v>6496.124</v>
      </c>
      <c r="F12" s="0" t="n">
        <v>1295.778</v>
      </c>
      <c r="G12" s="0" t="n">
        <v>14.5251382870897</v>
      </c>
      <c r="H12" s="0" t="n">
        <v>1687.363</v>
      </c>
      <c r="I12" s="0" t="n">
        <v>743.499</v>
      </c>
      <c r="J12" s="0" t="n">
        <v>8.3343179088647</v>
      </c>
      <c r="K12" s="0" t="n">
        <v>1.67</v>
      </c>
      <c r="L12" s="0" t="n">
        <v>1353.22</v>
      </c>
      <c r="M12" s="0" t="n">
        <v>624.634</v>
      </c>
      <c r="N12" s="0" t="n">
        <v>728.586</v>
      </c>
      <c r="O12" s="0" t="n">
        <v>3428.915</v>
      </c>
      <c r="P12" s="0" t="n">
        <v>16138.751</v>
      </c>
      <c r="R12" s="0" t="n">
        <v>8710.65</v>
      </c>
      <c r="S12" s="0" t="n">
        <v>248.875</v>
      </c>
      <c r="T12" s="0" t="n">
        <v>212.383</v>
      </c>
      <c r="U12" s="0" t="n">
        <v>40.563</v>
      </c>
      <c r="V12" s="0" t="n">
        <v>2.46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12173.907</v>
      </c>
      <c r="C13" s="0" t="n">
        <v>9538.045</v>
      </c>
      <c r="F13" s="0" t="n">
        <v>1391.771</v>
      </c>
      <c r="G13" s="0" t="n">
        <v>11.4324103182323</v>
      </c>
      <c r="H13" s="0" t="n">
        <v>1798.106</v>
      </c>
      <c r="I13" s="0" t="n">
        <v>593.519</v>
      </c>
      <c r="J13" s="0" t="n">
        <v>4.87533706311376</v>
      </c>
      <c r="K13" s="0" t="n">
        <v>1.3</v>
      </c>
      <c r="L13" s="0" t="n">
        <v>1315.412</v>
      </c>
      <c r="M13" s="0" t="n">
        <v>512.393</v>
      </c>
      <c r="N13" s="0" t="n">
        <v>803.019</v>
      </c>
      <c r="O13" s="0" t="n">
        <v>5685.352</v>
      </c>
      <c r="P13" s="0" t="n">
        <v>16845.937</v>
      </c>
      <c r="R13" s="0" t="n">
        <v>8932.65</v>
      </c>
      <c r="S13" s="0" t="n">
        <v>37.193</v>
      </c>
      <c r="T13" s="0" t="n">
        <v>388.703543</v>
      </c>
      <c r="U13" s="0" t="n">
        <v>27.7</v>
      </c>
      <c r="V13" s="0" t="n">
        <v>2.72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12593.196</v>
      </c>
      <c r="C14" s="0" t="n">
        <v>9422.708</v>
      </c>
      <c r="F14" s="0" t="n">
        <v>1835.464</v>
      </c>
      <c r="G14" s="0" t="n">
        <v>14.5750451275435</v>
      </c>
      <c r="H14" s="0" t="n">
        <v>2264.021</v>
      </c>
      <c r="I14" s="0" t="n">
        <v>1155.032</v>
      </c>
      <c r="J14" s="0" t="n">
        <v>9.17187344658179</v>
      </c>
      <c r="K14" s="0" t="n">
        <v>2.8</v>
      </c>
      <c r="L14" s="0" t="n">
        <v>2186.719</v>
      </c>
      <c r="M14" s="0" t="n">
        <v>2141.475</v>
      </c>
      <c r="N14" s="0" t="n">
        <v>45.2440000000001</v>
      </c>
      <c r="O14" s="0" t="n">
        <v>6579.543</v>
      </c>
      <c r="P14" s="0" t="n">
        <v>18231.671</v>
      </c>
      <c r="R14" s="0" t="n">
        <v>9907.65</v>
      </c>
      <c r="S14" s="0" t="n">
        <v>11.975</v>
      </c>
      <c r="T14" s="0" t="n">
        <v>414.195</v>
      </c>
      <c r="U14" s="0" t="n">
        <v>33.2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10164.367</v>
      </c>
      <c r="C15" s="0" t="n">
        <v>6788.04</v>
      </c>
      <c r="F15" s="0" t="n">
        <v>1914.353</v>
      </c>
      <c r="G15" s="0" t="n">
        <v>18.8339618197572</v>
      </c>
      <c r="H15" s="0" t="n">
        <v>2390.888</v>
      </c>
      <c r="I15" s="0" t="n">
        <v>1278.577</v>
      </c>
      <c r="J15" s="0" t="n">
        <v>12.5790125445097</v>
      </c>
      <c r="K15" s="0" t="n">
        <v>3.09</v>
      </c>
      <c r="L15" s="0" t="n">
        <v>1946.779</v>
      </c>
      <c r="M15" s="0" t="n">
        <v>3848.349</v>
      </c>
      <c r="N15" s="0" t="n">
        <v>-1901.57</v>
      </c>
      <c r="O15" s="0" t="n">
        <v>6225.951</v>
      </c>
      <c r="P15" s="0" t="n">
        <v>21812.121</v>
      </c>
      <c r="R15" s="0" t="n">
        <v>12507.65</v>
      </c>
      <c r="S15" s="0" t="n">
        <v>20.958</v>
      </c>
      <c r="T15" s="0" t="n">
        <v>415.444</v>
      </c>
      <c r="U15" s="0" t="n">
        <v>46.5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8542.242</v>
      </c>
      <c r="C16" s="0" t="n">
        <v>5110.146</v>
      </c>
      <c r="F16" s="0" t="n">
        <v>1361.357</v>
      </c>
      <c r="G16" s="0" t="n">
        <v>15.9367646105086</v>
      </c>
      <c r="H16" s="0" t="n">
        <v>1940.019</v>
      </c>
      <c r="I16" s="0" t="n">
        <v>612.809</v>
      </c>
      <c r="J16" s="0" t="n">
        <v>7.17386606467014</v>
      </c>
      <c r="K16" s="0" t="n">
        <v>1.42</v>
      </c>
      <c r="L16" s="0" t="n">
        <v>1899.068</v>
      </c>
      <c r="M16" s="0" t="n">
        <v>2195.381</v>
      </c>
      <c r="N16" s="0" t="n">
        <v>-296.313</v>
      </c>
      <c r="O16" s="0" t="n">
        <v>6043</v>
      </c>
      <c r="P16" s="0" t="n">
        <v>23078.754</v>
      </c>
      <c r="R16" s="0" t="n">
        <v>14236.071</v>
      </c>
      <c r="S16" s="0" t="n">
        <v>524.496</v>
      </c>
      <c r="T16" s="0" t="n">
        <v>444.872383</v>
      </c>
      <c r="U16" s="0" t="n">
        <v>29.4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16540</v>
      </c>
      <c r="C17" s="0" t="n">
        <v>12257</v>
      </c>
      <c r="F17" s="0" t="n">
        <v>2596</v>
      </c>
      <c r="G17" s="0" t="n">
        <v>15.6952841596131</v>
      </c>
      <c r="H17" s="0" t="n">
        <v>3218</v>
      </c>
      <c r="I17" s="0" t="n">
        <v>1500</v>
      </c>
      <c r="J17" s="0" t="n">
        <v>9.0689238210399</v>
      </c>
      <c r="K17" s="0" t="n">
        <v>3.36</v>
      </c>
      <c r="L17" s="0" t="n">
        <v>2546</v>
      </c>
      <c r="M17" s="0" t="n">
        <v>697</v>
      </c>
      <c r="N17" s="0" t="n">
        <v>1849</v>
      </c>
      <c r="O17" s="0" t="n">
        <v>6016</v>
      </c>
      <c r="P17" s="0" t="n">
        <v>23622</v>
      </c>
      <c r="R17" s="0" t="n">
        <v>14495.814</v>
      </c>
      <c r="S17" s="0" t="n">
        <v>146.391</v>
      </c>
      <c r="T17" s="0" t="n">
        <v>447.4</v>
      </c>
      <c r="U17" s="0" t="n">
        <v>54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22387</v>
      </c>
      <c r="C18" s="0" t="n">
        <v>17910</v>
      </c>
      <c r="F18" s="0" t="n">
        <v>2807</v>
      </c>
      <c r="G18" s="0" t="n">
        <v>12.538526823603</v>
      </c>
      <c r="H18" s="0" t="n">
        <v>3433</v>
      </c>
      <c r="I18" s="0" t="n">
        <v>1722</v>
      </c>
      <c r="J18" s="0" t="n">
        <v>7.69196408630009</v>
      </c>
      <c r="K18" s="0" t="n">
        <v>3.85</v>
      </c>
      <c r="L18" s="0" t="n">
        <v>2906</v>
      </c>
      <c r="M18" s="0" t="n">
        <v>1202</v>
      </c>
      <c r="N18" s="0" t="n">
        <v>1704</v>
      </c>
      <c r="O18" s="0" t="n">
        <v>6494</v>
      </c>
      <c r="P18" s="0" t="n">
        <v>24379</v>
      </c>
      <c r="R18" s="0" t="n">
        <v>14525</v>
      </c>
      <c r="S18" s="0" t="n">
        <v>220</v>
      </c>
      <c r="T18" s="0" t="n">
        <v>448.4</v>
      </c>
      <c r="U18" s="0" t="n">
        <v>53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17677</v>
      </c>
      <c r="C19" s="0" t="n">
        <v>11929</v>
      </c>
      <c r="F19" s="0" t="n">
        <v>4072</v>
      </c>
      <c r="G19" s="0" t="n">
        <v>23.0355829609097</v>
      </c>
      <c r="H19" s="0" t="n">
        <v>4841</v>
      </c>
      <c r="I19" s="0" t="n">
        <v>2659</v>
      </c>
      <c r="J19" s="0" t="n">
        <v>15.0421451603779</v>
      </c>
      <c r="K19" s="0" t="n">
        <v>5.49</v>
      </c>
      <c r="L19" s="0" t="n">
        <v>4421</v>
      </c>
      <c r="M19" s="0" t="n">
        <v>1595</v>
      </c>
      <c r="N19" s="0" t="n">
        <v>2826</v>
      </c>
      <c r="O19" s="0" t="n">
        <v>16484</v>
      </c>
      <c r="P19" s="0" t="n">
        <v>44266</v>
      </c>
      <c r="R19" s="0" t="n">
        <v>22184</v>
      </c>
      <c r="S19" s="0" t="n">
        <v>338</v>
      </c>
      <c r="T19" s="0" t="n">
        <v>583.0931</v>
      </c>
      <c r="U19" s="0" t="n">
        <v>63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21698</v>
      </c>
      <c r="C20" s="0" t="n">
        <v>13311</v>
      </c>
      <c r="F20" s="0" t="n">
        <v>4989</v>
      </c>
      <c r="G20" s="0" t="n">
        <v>22.9929025716656</v>
      </c>
      <c r="H20" s="0" t="n">
        <v>6123</v>
      </c>
      <c r="I20" s="0" t="n">
        <v>3112</v>
      </c>
      <c r="J20" s="0" t="n">
        <v>14.3423356991428</v>
      </c>
      <c r="K20" s="0" t="n">
        <v>5.19</v>
      </c>
      <c r="L20" s="0" t="n">
        <v>4888</v>
      </c>
      <c r="M20" s="0" t="n">
        <v>2021</v>
      </c>
      <c r="N20" s="0" t="n">
        <v>2867</v>
      </c>
      <c r="O20" s="0" t="n">
        <v>22133</v>
      </c>
      <c r="P20" s="0" t="n">
        <v>64069</v>
      </c>
      <c r="R20" s="0" t="n">
        <v>32077</v>
      </c>
      <c r="S20" s="0" t="n">
        <v>733</v>
      </c>
      <c r="T20" s="0" t="n">
        <v>586.5</v>
      </c>
      <c r="U20" s="0" t="n">
        <v>102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33629</v>
      </c>
      <c r="C21" s="0" t="n">
        <v>23373</v>
      </c>
      <c r="F21" s="0" t="n">
        <v>5741</v>
      </c>
      <c r="G21" s="0" t="n">
        <v>17.0715751286092</v>
      </c>
      <c r="H21" s="0" t="n">
        <v>7255</v>
      </c>
      <c r="I21" s="0" t="n">
        <v>3462</v>
      </c>
      <c r="J21" s="0" t="n">
        <v>10.2946861339915</v>
      </c>
      <c r="K21" s="0" t="n">
        <v>5.43</v>
      </c>
      <c r="L21" s="0" t="n">
        <v>5599</v>
      </c>
      <c r="M21" s="0" t="n">
        <v>3152</v>
      </c>
      <c r="N21" s="0" t="n">
        <v>2447</v>
      </c>
      <c r="O21" s="0" t="n">
        <v>22569</v>
      </c>
      <c r="P21" s="0" t="n">
        <v>66641</v>
      </c>
      <c r="R21" s="0" t="n">
        <v>31996</v>
      </c>
      <c r="S21" s="0" t="n">
        <v>78</v>
      </c>
      <c r="T21" s="0" t="n">
        <v>629.707691</v>
      </c>
      <c r="U21" s="0" t="n">
        <v>92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87.16</v>
      </c>
    </row>
    <row r="3" customFormat="false" ht="15" hidden="false" customHeight="false" outlineLevel="0" collapsed="false">
      <c r="A3" s="0" t="s">
        <v>86</v>
      </c>
      <c r="B3" s="3" t="n">
        <v>632</v>
      </c>
    </row>
    <row r="4" customFormat="false" ht="15" hidden="false" customHeight="false" outlineLevel="0" collapsed="false">
      <c r="A4" s="0" t="s">
        <v>87</v>
      </c>
      <c r="B4" s="3" t="n">
        <v>32861</v>
      </c>
    </row>
    <row r="5" customFormat="false" ht="15" hidden="false" customHeight="false" outlineLevel="0" collapsed="false">
      <c r="A5" s="0" t="s">
        <v>88</v>
      </c>
      <c r="B5" s="3" t="n">
        <v>3870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33629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22</v>
      </c>
      <c r="D13" s="3" t="n">
        <v>2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18.6</v>
      </c>
      <c r="D14" s="3" t="n">
        <v>18.5</v>
      </c>
      <c r="E14" s="3" t="n">
        <v>18.3</v>
      </c>
      <c r="F14" s="3" t="n">
        <v>18.1</v>
      </c>
      <c r="G14" s="3" t="n">
        <v>18</v>
      </c>
      <c r="H14" s="3" t="n">
        <v>17.9</v>
      </c>
      <c r="I14" s="3" t="n">
        <v>17.8</v>
      </c>
      <c r="J14" s="3" t="n">
        <v>17.8</v>
      </c>
      <c r="K14" s="3" t="n">
        <v>17.8</v>
      </c>
      <c r="L14" s="3" t="n">
        <v>17.8</v>
      </c>
    </row>
    <row r="15" customFormat="false" ht="15" hidden="false" customHeight="false" outlineLevel="0" collapsed="false">
      <c r="A15" s="0" t="s">
        <v>108</v>
      </c>
      <c r="C15" s="3" t="n">
        <v>0.23</v>
      </c>
      <c r="D15" s="3" t="n">
        <v>0.23</v>
      </c>
      <c r="E15" s="3" t="n">
        <v>0.22</v>
      </c>
      <c r="F15" s="3" t="n">
        <v>0.22</v>
      </c>
      <c r="G15" s="3" t="n">
        <v>0.22</v>
      </c>
      <c r="H15" s="3" t="n">
        <v>0.22</v>
      </c>
      <c r="I15" s="3" t="n">
        <v>0.22</v>
      </c>
      <c r="J15" s="3" t="n">
        <v>0.22</v>
      </c>
      <c r="K15" s="3" t="n">
        <v>0.22</v>
      </c>
      <c r="L15" s="3" t="n">
        <v>0.22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3.75</v>
      </c>
      <c r="D17" s="3" t="n">
        <v>3.8</v>
      </c>
      <c r="E17" s="3" t="n">
        <v>3.8</v>
      </c>
      <c r="F17" s="3" t="n">
        <v>3.8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111</v>
      </c>
      <c r="C18" s="3" t="n">
        <v>7.3</v>
      </c>
      <c r="D18" s="3" t="n">
        <v>6.2</v>
      </c>
      <c r="E18" s="3" t="n">
        <v>5.6</v>
      </c>
      <c r="F18" s="3" t="n">
        <v>5.3</v>
      </c>
      <c r="G18" s="3" t="n">
        <v>5.1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112</v>
      </c>
      <c r="C19" s="3" t="n">
        <v>4</v>
      </c>
      <c r="D19" s="3" t="n">
        <v>8</v>
      </c>
      <c r="E19" s="3" t="n">
        <v>12</v>
      </c>
      <c r="F19" s="3" t="n">
        <v>16</v>
      </c>
      <c r="G19" s="3" t="n">
        <v>20</v>
      </c>
      <c r="H19" s="3" t="n">
        <v>22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24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18.9</v>
      </c>
      <c r="D28" s="3" t="n">
        <v>19.4</v>
      </c>
      <c r="E28" s="3" t="n">
        <v>19.8</v>
      </c>
      <c r="F28" s="3" t="n">
        <v>20</v>
      </c>
      <c r="G28" s="3" t="n">
        <v>20.1</v>
      </c>
      <c r="H28" s="3" t="n">
        <v>20.1</v>
      </c>
      <c r="I28" s="3" t="n">
        <v>20.1</v>
      </c>
      <c r="J28" s="3" t="n">
        <v>20.1</v>
      </c>
      <c r="K28" s="3" t="n">
        <v>20.1</v>
      </c>
      <c r="L28" s="3" t="n">
        <v>20.1</v>
      </c>
    </row>
    <row r="29" customFormat="false" ht="15" hidden="false" customHeight="false" outlineLevel="0" collapsed="false">
      <c r="A29" s="0" t="s">
        <v>108</v>
      </c>
      <c r="C29" s="3" t="n">
        <v>0.23</v>
      </c>
      <c r="D29" s="3" t="n">
        <v>0.23</v>
      </c>
      <c r="E29" s="3" t="n">
        <v>0.22</v>
      </c>
      <c r="F29" s="3" t="n">
        <v>0.22</v>
      </c>
      <c r="G29" s="3" t="n">
        <v>0.22</v>
      </c>
      <c r="H29" s="3" t="n">
        <v>0.22</v>
      </c>
      <c r="I29" s="3" t="n">
        <v>0.22</v>
      </c>
      <c r="J29" s="3" t="n">
        <v>0.22</v>
      </c>
      <c r="K29" s="3" t="n">
        <v>0.22</v>
      </c>
      <c r="L29" s="3" t="n">
        <v>0.22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3.7</v>
      </c>
      <c r="D31" s="3" t="n">
        <v>3.7</v>
      </c>
      <c r="E31" s="3" t="n">
        <v>3.6</v>
      </c>
      <c r="F31" s="3" t="n">
        <v>3.6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111</v>
      </c>
      <c r="C32" s="3" t="n">
        <v>7.1</v>
      </c>
      <c r="D32" s="3" t="n">
        <v>5.8</v>
      </c>
      <c r="E32" s="3" t="n">
        <v>5.2</v>
      </c>
      <c r="F32" s="3" t="n">
        <v>4.8</v>
      </c>
      <c r="G32" s="3" t="n">
        <v>4.6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112</v>
      </c>
      <c r="C33" s="3" t="n">
        <v>3</v>
      </c>
      <c r="D33" s="3" t="n">
        <v>5</v>
      </c>
      <c r="E33" s="3" t="n">
        <v>8</v>
      </c>
      <c r="F33" s="3" t="n">
        <v>12</v>
      </c>
      <c r="G33" s="3" t="n">
        <v>15</v>
      </c>
      <c r="H33" s="3" t="n">
        <v>18</v>
      </c>
      <c r="I33" s="3" t="n">
        <v>20</v>
      </c>
      <c r="J33" s="3" t="n">
        <v>22</v>
      </c>
      <c r="K33" s="3" t="n">
        <v>23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25</v>
      </c>
      <c r="D41" s="3" t="n">
        <v>4</v>
      </c>
      <c r="E41" s="3" t="n">
        <v>4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19.2</v>
      </c>
      <c r="D42" s="3" t="n">
        <v>20</v>
      </c>
      <c r="E42" s="3" t="n">
        <v>20.7</v>
      </c>
      <c r="F42" s="3" t="n">
        <v>21.2</v>
      </c>
      <c r="G42" s="3" t="n">
        <v>21.5</v>
      </c>
      <c r="H42" s="3" t="n">
        <v>21.6</v>
      </c>
      <c r="I42" s="3" t="n">
        <v>21.7</v>
      </c>
      <c r="J42" s="3" t="n">
        <v>21.7</v>
      </c>
      <c r="K42" s="3" t="n">
        <v>21.7</v>
      </c>
      <c r="L42" s="3" t="n">
        <v>21.7</v>
      </c>
    </row>
    <row r="43" customFormat="false" ht="15" hidden="false" customHeight="false" outlineLevel="0" collapsed="false">
      <c r="A43" s="0" t="s">
        <v>108</v>
      </c>
      <c r="C43" s="3" t="n">
        <v>0.23</v>
      </c>
      <c r="D43" s="3" t="n">
        <v>0.23</v>
      </c>
      <c r="E43" s="3" t="n">
        <v>0.22</v>
      </c>
      <c r="F43" s="3" t="n">
        <v>0.22</v>
      </c>
      <c r="G43" s="3" t="n">
        <v>0.22</v>
      </c>
      <c r="H43" s="3" t="n">
        <v>0.22</v>
      </c>
      <c r="I43" s="3" t="n">
        <v>0.22</v>
      </c>
      <c r="J43" s="3" t="n">
        <v>0.22</v>
      </c>
      <c r="K43" s="3" t="n">
        <v>0.22</v>
      </c>
      <c r="L43" s="3" t="n">
        <v>0.22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3.7</v>
      </c>
      <c r="D45" s="3" t="n">
        <v>3.6</v>
      </c>
      <c r="E45" s="3" t="n">
        <v>3.5</v>
      </c>
      <c r="F45" s="3" t="n">
        <v>3.5</v>
      </c>
      <c r="G45" s="3" t="n">
        <v>3.4</v>
      </c>
      <c r="H45" s="3" t="n">
        <v>3.4</v>
      </c>
      <c r="I45" s="3" t="n">
        <v>3.4</v>
      </c>
      <c r="J45" s="3" t="n">
        <v>3.4</v>
      </c>
      <c r="K45" s="3" t="n">
        <v>3.4</v>
      </c>
      <c r="L45" s="3" t="n">
        <v>3.4</v>
      </c>
    </row>
    <row r="46" customFormat="false" ht="15" hidden="false" customHeight="false" outlineLevel="0" collapsed="false">
      <c r="A46" s="0" t="s">
        <v>111</v>
      </c>
      <c r="C46" s="3" t="n">
        <v>7</v>
      </c>
      <c r="D46" s="3" t="n">
        <v>5.6</v>
      </c>
      <c r="E46" s="3" t="n">
        <v>5</v>
      </c>
      <c r="F46" s="3" t="n">
        <v>4.6</v>
      </c>
      <c r="G46" s="3" t="n">
        <v>4.4</v>
      </c>
      <c r="H46" s="3" t="n">
        <v>4.3</v>
      </c>
      <c r="I46" s="3" t="n">
        <v>4.3</v>
      </c>
      <c r="J46" s="3" t="n">
        <v>4.3</v>
      </c>
      <c r="K46" s="3" t="n">
        <v>4.3</v>
      </c>
      <c r="L46" s="3" t="n">
        <v>4.3</v>
      </c>
    </row>
    <row r="47" customFormat="false" ht="15" hidden="false" customHeight="false" outlineLevel="0" collapsed="false">
      <c r="A47" s="0" t="s">
        <v>112</v>
      </c>
      <c r="C47" s="3" t="n">
        <v>2</v>
      </c>
      <c r="D47" s="3" t="n">
        <v>3</v>
      </c>
      <c r="E47" s="3" t="n">
        <v>5</v>
      </c>
      <c r="F47" s="3" t="n">
        <v>8</v>
      </c>
      <c r="G47" s="3" t="n">
        <v>11</v>
      </c>
      <c r="H47" s="3" t="n">
        <v>14</v>
      </c>
      <c r="I47" s="3" t="n">
        <v>17</v>
      </c>
      <c r="J47" s="3" t="n">
        <v>20</v>
      </c>
      <c r="K47" s="3" t="n">
        <v>22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22</v>
      </c>
      <c r="D5" s="4" t="n">
        <f aca="false">Assumptions!D13</f>
        <v>2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33629</v>
      </c>
      <c r="C6" s="0" t="n">
        <f aca="false">B6*(1+C5/100)</f>
        <v>41027.38</v>
      </c>
      <c r="D6" s="0" t="n">
        <f aca="false">C6*(1+D5/100)</f>
        <v>41847.9276</v>
      </c>
      <c r="E6" s="0" t="n">
        <f aca="false">D6*(1+E5/100)</f>
        <v>42475.646514</v>
      </c>
      <c r="F6" s="0" t="n">
        <f aca="false">E6*(1+F5/100)</f>
        <v>43112.78121171</v>
      </c>
      <c r="G6" s="0" t="n">
        <f aca="false">F6*(1+G5/100)</f>
        <v>43759.4729298856</v>
      </c>
      <c r="H6" s="0" t="n">
        <f aca="false">G6*(1+H5/100)</f>
        <v>44415.8650238339</v>
      </c>
      <c r="I6" s="0" t="n">
        <f aca="false">H6*(1+I5/100)</f>
        <v>45082.1029991914</v>
      </c>
      <c r="J6" s="0" t="n">
        <f aca="false">I6*(1+J5/100)</f>
        <v>45758.3345441793</v>
      </c>
      <c r="K6" s="0" t="n">
        <f aca="false">J6*(1+K5/100)</f>
        <v>46444.709562342</v>
      </c>
      <c r="L6" s="0" t="n">
        <f aca="false">K6*(1+L5/100)</f>
        <v>47141.3802057771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18.6</v>
      </c>
      <c r="D7" s="4" t="n">
        <f aca="false">Assumptions!D14</f>
        <v>18.5</v>
      </c>
      <c r="E7" s="4" t="n">
        <f aca="false">Assumptions!E14</f>
        <v>18.3</v>
      </c>
      <c r="F7" s="4" t="n">
        <f aca="false">Assumptions!F14</f>
        <v>18.1</v>
      </c>
      <c r="G7" s="4" t="n">
        <f aca="false">Assumptions!G14</f>
        <v>18</v>
      </c>
      <c r="H7" s="4" t="n">
        <f aca="false">Assumptions!H14</f>
        <v>17.9</v>
      </c>
      <c r="I7" s="4" t="n">
        <f aca="false">Assumptions!I14</f>
        <v>17.8</v>
      </c>
      <c r="J7" s="4" t="n">
        <f aca="false">Assumptions!J14</f>
        <v>17.8</v>
      </c>
      <c r="K7" s="4" t="n">
        <f aca="false">Assumptions!K14</f>
        <v>17.8</v>
      </c>
      <c r="L7" s="4" t="n">
        <f aca="false">Assumptions!L14</f>
        <v>17.8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7631.09268</v>
      </c>
      <c r="D8" s="0" t="n">
        <f aca="false">D6*D7/100</f>
        <v>7741.866606</v>
      </c>
      <c r="E8" s="0" t="n">
        <f aca="false">E6*E7/100</f>
        <v>7773.043312062</v>
      </c>
      <c r="F8" s="0" t="n">
        <f aca="false">F6*F7/100</f>
        <v>7803.41339931951</v>
      </c>
      <c r="G8" s="0" t="n">
        <f aca="false">G6*G7/100</f>
        <v>7876.70512737941</v>
      </c>
      <c r="H8" s="0" t="n">
        <f aca="false">H6*H7/100</f>
        <v>7950.43983926627</v>
      </c>
      <c r="I8" s="0" t="n">
        <f aca="false">I6*I7/100</f>
        <v>8024.61433385607</v>
      </c>
      <c r="J8" s="0" t="n">
        <f aca="false">J6*J7/100</f>
        <v>8144.98354886391</v>
      </c>
      <c r="K8" s="0" t="n">
        <f aca="false">K6*K7/100</f>
        <v>8267.15830209687</v>
      </c>
      <c r="L8" s="0" t="n">
        <f aca="false">L6*L7/100</f>
        <v>8391.16567662832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0.23</v>
      </c>
      <c r="D9" s="4" t="n">
        <f aca="false">Assumptions!D15</f>
        <v>0.23</v>
      </c>
      <c r="E9" s="4" t="n">
        <f aca="false">Assumptions!E15</f>
        <v>0.22</v>
      </c>
      <c r="F9" s="4" t="n">
        <f aca="false">Assumptions!F15</f>
        <v>0.22</v>
      </c>
      <c r="G9" s="4" t="n">
        <f aca="false">Assumptions!G15</f>
        <v>0.22</v>
      </c>
      <c r="H9" s="4" t="n">
        <f aca="false">Assumptions!H15</f>
        <v>0.22</v>
      </c>
      <c r="I9" s="4" t="n">
        <f aca="false">Assumptions!I15</f>
        <v>0.22</v>
      </c>
      <c r="J9" s="4" t="n">
        <f aca="false">Assumptions!J15</f>
        <v>0.22</v>
      </c>
      <c r="K9" s="4" t="n">
        <f aca="false">Assumptions!K15</f>
        <v>0.22</v>
      </c>
      <c r="L9" s="4" t="n">
        <f aca="false">Assumptions!L15</f>
        <v>0.22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-94.362974</v>
      </c>
      <c r="D10" s="0" t="n">
        <f aca="false">-D6*D9/100</f>
        <v>-96.25023348</v>
      </c>
      <c r="E10" s="0" t="n">
        <f aca="false">-E6*E9/100</f>
        <v>-93.4464223308</v>
      </c>
      <c r="F10" s="0" t="n">
        <f aca="false">-F6*F9/100</f>
        <v>-94.848118665762</v>
      </c>
      <c r="G10" s="0" t="n">
        <f aca="false">-G6*G9/100</f>
        <v>-96.2708404457484</v>
      </c>
      <c r="H10" s="0" t="n">
        <f aca="false">-H6*H9/100</f>
        <v>-97.7149030524346</v>
      </c>
      <c r="I10" s="0" t="n">
        <f aca="false">-I6*I9/100</f>
        <v>-99.1806265982211</v>
      </c>
      <c r="J10" s="0" t="n">
        <f aca="false">-J6*J9/100</f>
        <v>-100.668335997194</v>
      </c>
      <c r="K10" s="0" t="n">
        <f aca="false">-K6*K9/100</f>
        <v>-102.178361037152</v>
      </c>
      <c r="L10" s="0" t="n">
        <f aca="false">-L6*L9/100</f>
        <v>-103.71103645271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7536.729706</v>
      </c>
      <c r="D11" s="0" t="n">
        <f aca="false">D8+D10+D24</f>
        <v>7645.61637252</v>
      </c>
      <c r="E11" s="0" t="n">
        <f aca="false">E8+E10+E24</f>
        <v>7679.5968897312</v>
      </c>
      <c r="F11" s="0" t="n">
        <f aca="false">F8+F10+F24</f>
        <v>7708.56528065375</v>
      </c>
      <c r="G11" s="0" t="n">
        <f aca="false">G8+G10+G24</f>
        <v>7780.43428693367</v>
      </c>
      <c r="H11" s="0" t="n">
        <f aca="false">H8+H10+H24</f>
        <v>7852.72493621384</v>
      </c>
      <c r="I11" s="0" t="n">
        <f aca="false">I8+I10+I24</f>
        <v>7925.43370725785</v>
      </c>
      <c r="J11" s="0" t="n">
        <f aca="false">J8+J10+J24</f>
        <v>8044.31521286672</v>
      </c>
      <c r="K11" s="0" t="n">
        <f aca="false">K8+K10+K24</f>
        <v>8164.97994105972</v>
      </c>
      <c r="L11" s="0" t="n">
        <f aca="false">L8+L10+L24</f>
        <v>8287.45464017561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-1538.52675</v>
      </c>
      <c r="D12" s="4" t="n">
        <f aca="false">-D6*Assumptions!D17/100</f>
        <v>-1590.2212488</v>
      </c>
      <c r="E12" s="4" t="n">
        <f aca="false">-E6*Assumptions!E17/100</f>
        <v>-1614.074567532</v>
      </c>
      <c r="F12" s="4" t="n">
        <f aca="false">-F6*Assumptions!F17/100</f>
        <v>-1638.28568604498</v>
      </c>
      <c r="G12" s="4" t="n">
        <f aca="false">-G6*Assumptions!G17/100</f>
        <v>-1662.85997133565</v>
      </c>
      <c r="H12" s="4" t="n">
        <f aca="false">-H6*Assumptions!H17/100</f>
        <v>-1687.80287090569</v>
      </c>
      <c r="I12" s="4" t="n">
        <f aca="false">-I6*Assumptions!I17/100</f>
        <v>-1713.11991396927</v>
      </c>
      <c r="J12" s="4" t="n">
        <f aca="false">-J6*Assumptions!J17/100</f>
        <v>-1738.81671267881</v>
      </c>
      <c r="K12" s="4" t="n">
        <f aca="false">-K6*Assumptions!K17/100</f>
        <v>-1764.89896336899</v>
      </c>
      <c r="L12" s="4" t="n">
        <f aca="false">-L6*Assumptions!L17/100</f>
        <v>-1791.37244781953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5998.202956</v>
      </c>
      <c r="D13" s="0" t="n">
        <f aca="false">D11+D12</f>
        <v>6055.39512372</v>
      </c>
      <c r="E13" s="0" t="n">
        <f aca="false">E11+E12</f>
        <v>6065.5223221992</v>
      </c>
      <c r="F13" s="0" t="n">
        <f aca="false">F11+F12</f>
        <v>6070.27959460877</v>
      </c>
      <c r="G13" s="0" t="n">
        <f aca="false">G11+G12</f>
        <v>6117.57431559801</v>
      </c>
      <c r="H13" s="0" t="n">
        <f aca="false">H11+H12</f>
        <v>6164.92206530815</v>
      </c>
      <c r="I13" s="0" t="n">
        <f aca="false">I11+I12</f>
        <v>6212.31379328858</v>
      </c>
      <c r="J13" s="0" t="n">
        <f aca="false">J11+J12</f>
        <v>6305.49850018791</v>
      </c>
      <c r="K13" s="0" t="n">
        <f aca="false">K11+K12</f>
        <v>6400.08097769072</v>
      </c>
      <c r="L13" s="0" t="n">
        <f aca="false">L11+L12</f>
        <v>6496.08219235608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4</v>
      </c>
      <c r="D14" s="4" t="n">
        <f aca="false">Assumptions!D19</f>
        <v>8</v>
      </c>
      <c r="E14" s="4" t="n">
        <f aca="false">Assumptions!E19</f>
        <v>12</v>
      </c>
      <c r="F14" s="4" t="n">
        <f aca="false">Assumptions!F19</f>
        <v>16</v>
      </c>
      <c r="G14" s="4" t="n">
        <f aca="false">Assumptions!G19</f>
        <v>20</v>
      </c>
      <c r="H14" s="4" t="n">
        <f aca="false">Assumptions!H19</f>
        <v>22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5758.27483776</v>
      </c>
      <c r="D15" s="0" t="n">
        <f aca="false">D13-MAX(0,D13)*D14/100</f>
        <v>5570.9635138224</v>
      </c>
      <c r="E15" s="0" t="n">
        <f aca="false">E13-MAX(0,E13)*E14/100</f>
        <v>5337.6596435353</v>
      </c>
      <c r="F15" s="0" t="n">
        <f aca="false">F13-MAX(0,F13)*F14/100</f>
        <v>5099.03485947137</v>
      </c>
      <c r="G15" s="0" t="n">
        <f aca="false">G13-MAX(0,G13)*G14/100</f>
        <v>4894.05945247841</v>
      </c>
      <c r="H15" s="0" t="n">
        <f aca="false">H13-MAX(0,H13)*H14/100</f>
        <v>4808.63921094035</v>
      </c>
      <c r="I15" s="0" t="n">
        <f aca="false">I13-MAX(0,I13)*I14/100</f>
        <v>4721.35848289932</v>
      </c>
      <c r="J15" s="0" t="n">
        <f aca="false">J13-MAX(0,J13)*J14/100</f>
        <v>4792.17886014281</v>
      </c>
      <c r="K15" s="0" t="n">
        <f aca="false">K13-MAX(0,K13)*K14/100</f>
        <v>4864.06154304495</v>
      </c>
      <c r="L15" s="0" t="n">
        <f aca="false">L13-MAX(0,L13)*L14/100</f>
        <v>4937.02246619062</v>
      </c>
    </row>
    <row r="16" customFormat="false" ht="15" hidden="false" customHeight="false" outlineLevel="0" collapsed="false">
      <c r="A16" s="0" t="s">
        <v>128</v>
      </c>
      <c r="C16" s="0" t="n">
        <f aca="false">-C12</f>
        <v>1538.52675</v>
      </c>
      <c r="D16" s="0" t="n">
        <f aca="false">-D12</f>
        <v>1590.2212488</v>
      </c>
      <c r="E16" s="0" t="n">
        <f aca="false">-E12</f>
        <v>1614.074567532</v>
      </c>
      <c r="F16" s="0" t="n">
        <f aca="false">-F12</f>
        <v>1638.28568604498</v>
      </c>
      <c r="G16" s="0" t="n">
        <f aca="false">-G12</f>
        <v>1662.85997133565</v>
      </c>
      <c r="H16" s="0" t="n">
        <f aca="false">-H12</f>
        <v>1687.80287090569</v>
      </c>
      <c r="I16" s="0" t="n">
        <f aca="false">-I12</f>
        <v>1713.11991396927</v>
      </c>
      <c r="J16" s="0" t="n">
        <f aca="false">-J12</f>
        <v>1738.81671267881</v>
      </c>
      <c r="K16" s="0" t="n">
        <f aca="false">-K12</f>
        <v>1764.89896336899</v>
      </c>
      <c r="L16" s="0" t="n">
        <f aca="false">-L12</f>
        <v>1791.37244781953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-2994.99874</v>
      </c>
      <c r="D17" s="4" t="n">
        <f aca="false">-D6*Assumptions!D18/100</f>
        <v>-2594.5715112</v>
      </c>
      <c r="E17" s="4" t="n">
        <f aca="false">-E6*Assumptions!E18/100</f>
        <v>-2378.636204784</v>
      </c>
      <c r="F17" s="4" t="n">
        <f aca="false">-F6*Assumptions!F18/100</f>
        <v>-2284.97740422063</v>
      </c>
      <c r="G17" s="4" t="n">
        <f aca="false">-G6*Assumptions!G18/100</f>
        <v>-2231.73311942417</v>
      </c>
      <c r="H17" s="4" t="n">
        <f aca="false">-H6*Assumptions!H18/100</f>
        <v>-2220.7932511917</v>
      </c>
      <c r="I17" s="4" t="n">
        <f aca="false">-I6*Assumptions!I18/100</f>
        <v>-2254.10514995957</v>
      </c>
      <c r="J17" s="4" t="n">
        <f aca="false">-J6*Assumptions!J18/100</f>
        <v>-2287.91672720896</v>
      </c>
      <c r="K17" s="4" t="n">
        <f aca="false">-K6*Assumptions!K18/100</f>
        <v>-2322.2354781171</v>
      </c>
      <c r="L17" s="4" t="n">
        <f aca="false">-L6*Assumptions!L18/100</f>
        <v>-2357.06901028885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4301.80284776</v>
      </c>
      <c r="D19" s="0" t="n">
        <f aca="false">D15+D16+D17+D18</f>
        <v>4566.6132514224</v>
      </c>
      <c r="E19" s="0" t="n">
        <f aca="false">E15+E16+E17+E18</f>
        <v>4573.0980062833</v>
      </c>
      <c r="F19" s="0" t="n">
        <f aca="false">F15+F16+F17+F18</f>
        <v>4452.34314129572</v>
      </c>
      <c r="G19" s="0" t="n">
        <f aca="false">G15+G16+G17+G18</f>
        <v>4325.1863043899</v>
      </c>
      <c r="H19" s="0" t="n">
        <f aca="false">H15+H16+H17+H18</f>
        <v>4275.64883065435</v>
      </c>
      <c r="I19" s="0" t="n">
        <f aca="false">I15+I16+I17+I18</f>
        <v>4180.37324690902</v>
      </c>
      <c r="J19" s="0" t="n">
        <f aca="false">J15+J16+J17+J18</f>
        <v>4243.07884561266</v>
      </c>
      <c r="K19" s="0" t="n">
        <f aca="false">K15+K16+K17+K18</f>
        <v>4306.72502829685</v>
      </c>
      <c r="L19" s="0" t="n">
        <f aca="false">L15+L16+L17+L18</f>
        <v>4371.3259037213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4001.67706768372</v>
      </c>
      <c r="D21" s="0" t="n">
        <f aca="false">D19*D20</f>
        <v>3951.63937386471</v>
      </c>
      <c r="E21" s="0" t="n">
        <f aca="false">E19*E20</f>
        <v>3681.16357556103</v>
      </c>
      <c r="F21" s="0" t="n">
        <f aca="false">F19*F20</f>
        <v>3333.91690294844</v>
      </c>
      <c r="G21" s="0" t="n">
        <f aca="false">G19*G20</f>
        <v>3012.74585684528</v>
      </c>
      <c r="H21" s="0" t="n">
        <f aca="false">H19*H20</f>
        <v>2770.45590873485</v>
      </c>
      <c r="I21" s="0" t="n">
        <f aca="false">I19*I20</f>
        <v>2519.74046215681</v>
      </c>
      <c r="J21" s="0" t="n">
        <f aca="false">J19*J20</f>
        <v>2379.10378519922</v>
      </c>
      <c r="K21" s="0" t="n">
        <f aca="false">K19*K20</f>
        <v>2246.3165971881</v>
      </c>
      <c r="L21" s="0" t="n">
        <f aca="false">L19*L20</f>
        <v>2120.94078711249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30017.7003172947</v>
      </c>
    </row>
    <row r="31" customFormat="false" ht="15" hidden="false" customHeight="false" outlineLevel="0" collapsed="false">
      <c r="A31" s="0" t="s">
        <v>137</v>
      </c>
      <c r="B31" s="0" t="n">
        <f aca="false">L19</f>
        <v>4371.3259037213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73948.2632046186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52455.9108446556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52455.9108446556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25451.2894453498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55468.9897626445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26477.9897626445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41.8955534219058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-0.519325913011636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667.525844593832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851.246077707952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44.2986735521302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32865.8947576083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1.80608109955533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24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33629</v>
      </c>
      <c r="C6" s="0" t="n">
        <f aca="false">B6*(1+C5/100)</f>
        <v>41699.96</v>
      </c>
      <c r="D6" s="0" t="n">
        <f aca="false">C6*(1+D5/100)</f>
        <v>42950.9588</v>
      </c>
      <c r="E6" s="0" t="n">
        <f aca="false">D6*(1+E5/100)</f>
        <v>44239.487564</v>
      </c>
      <c r="F6" s="0" t="n">
        <f aca="false">E6*(1+F5/100)</f>
        <v>45566.67219092</v>
      </c>
      <c r="G6" s="0" t="n">
        <f aca="false">F6*(1+G5/100)</f>
        <v>46933.6723566476</v>
      </c>
      <c r="H6" s="0" t="n">
        <f aca="false">G6*(1+H5/100)</f>
        <v>48341.682527347</v>
      </c>
      <c r="I6" s="0" t="n">
        <f aca="false">H6*(1+I5/100)</f>
        <v>49550.2245905307</v>
      </c>
      <c r="J6" s="0" t="n">
        <f aca="false">I6*(1+J5/100)</f>
        <v>50788.980205294</v>
      </c>
      <c r="K6" s="0" t="n">
        <f aca="false">J6*(1+K5/100)</f>
        <v>52058.7047104263</v>
      </c>
      <c r="L6" s="0" t="n">
        <f aca="false">K6*(1+L5/100)</f>
        <v>53360.172328187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18.9</v>
      </c>
      <c r="D7" s="4" t="n">
        <f aca="false">Assumptions!D28</f>
        <v>19.4</v>
      </c>
      <c r="E7" s="4" t="n">
        <f aca="false">Assumptions!E28</f>
        <v>19.8</v>
      </c>
      <c r="F7" s="4" t="n">
        <f aca="false">Assumptions!F28</f>
        <v>20</v>
      </c>
      <c r="G7" s="4" t="n">
        <f aca="false">Assumptions!G28</f>
        <v>20.1</v>
      </c>
      <c r="H7" s="4" t="n">
        <f aca="false">Assumptions!H28</f>
        <v>20.1</v>
      </c>
      <c r="I7" s="4" t="n">
        <f aca="false">Assumptions!I28</f>
        <v>20.1</v>
      </c>
      <c r="J7" s="4" t="n">
        <f aca="false">Assumptions!J28</f>
        <v>20.1</v>
      </c>
      <c r="K7" s="4" t="n">
        <f aca="false">Assumptions!K28</f>
        <v>20.1</v>
      </c>
      <c r="L7" s="4" t="n">
        <f aca="false">Assumptions!L28</f>
        <v>20.1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7881.29244</v>
      </c>
      <c r="D8" s="0" t="n">
        <f aca="false">D6*D7/100</f>
        <v>8332.4860072</v>
      </c>
      <c r="E8" s="0" t="n">
        <f aca="false">E6*E7/100</f>
        <v>8759.418537672</v>
      </c>
      <c r="F8" s="0" t="n">
        <f aca="false">F6*F7/100</f>
        <v>9113.334438184</v>
      </c>
      <c r="G8" s="0" t="n">
        <f aca="false">G6*G7/100</f>
        <v>9433.66814368617</v>
      </c>
      <c r="H8" s="0" t="n">
        <f aca="false">H6*H7/100</f>
        <v>9716.67818799676</v>
      </c>
      <c r="I8" s="0" t="n">
        <f aca="false">I6*I7/100</f>
        <v>9959.59514269668</v>
      </c>
      <c r="J8" s="0" t="n">
        <f aca="false">J6*J7/100</f>
        <v>10208.5850212641</v>
      </c>
      <c r="K8" s="0" t="n">
        <f aca="false">K6*K7/100</f>
        <v>10463.7996467957</v>
      </c>
      <c r="L8" s="0" t="n">
        <f aca="false">L6*L7/100</f>
        <v>10725.3946379656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0.23</v>
      </c>
      <c r="D9" s="4" t="n">
        <f aca="false">Assumptions!D29</f>
        <v>0.23</v>
      </c>
      <c r="E9" s="4" t="n">
        <f aca="false">Assumptions!E29</f>
        <v>0.22</v>
      </c>
      <c r="F9" s="4" t="n">
        <f aca="false">Assumptions!F29</f>
        <v>0.22</v>
      </c>
      <c r="G9" s="4" t="n">
        <f aca="false">Assumptions!G29</f>
        <v>0.22</v>
      </c>
      <c r="H9" s="4" t="n">
        <f aca="false">Assumptions!H29</f>
        <v>0.22</v>
      </c>
      <c r="I9" s="4" t="n">
        <f aca="false">Assumptions!I29</f>
        <v>0.22</v>
      </c>
      <c r="J9" s="4" t="n">
        <f aca="false">Assumptions!J29</f>
        <v>0.22</v>
      </c>
      <c r="K9" s="4" t="n">
        <f aca="false">Assumptions!K29</f>
        <v>0.22</v>
      </c>
      <c r="L9" s="4" t="n">
        <f aca="false">Assumptions!L29</f>
        <v>0.22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-95.909908</v>
      </c>
      <c r="D10" s="0" t="n">
        <f aca="false">-D6*D9/100</f>
        <v>-98.78720524</v>
      </c>
      <c r="E10" s="0" t="n">
        <f aca="false">-E6*E9/100</f>
        <v>-97.3268726408</v>
      </c>
      <c r="F10" s="0" t="n">
        <f aca="false">-F6*F9/100</f>
        <v>-100.246678820024</v>
      </c>
      <c r="G10" s="0" t="n">
        <f aca="false">-G6*G9/100</f>
        <v>-103.254079184625</v>
      </c>
      <c r="H10" s="0" t="n">
        <f aca="false">-H6*H9/100</f>
        <v>-106.351701560163</v>
      </c>
      <c r="I10" s="0" t="n">
        <f aca="false">-I6*I9/100</f>
        <v>-109.010494099168</v>
      </c>
      <c r="J10" s="0" t="n">
        <f aca="false">-J6*J9/100</f>
        <v>-111.735756451647</v>
      </c>
      <c r="K10" s="0" t="n">
        <f aca="false">-K6*K9/100</f>
        <v>-114.529150362938</v>
      </c>
      <c r="L10" s="0" t="n">
        <f aca="false">-L6*L9/100</f>
        <v>-117.392379122011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7785.382532</v>
      </c>
      <c r="D11" s="0" t="n">
        <f aca="false">D8+D10+D24</f>
        <v>8233.69880196</v>
      </c>
      <c r="E11" s="0" t="n">
        <f aca="false">E8+E10+E24</f>
        <v>8662.0916650312</v>
      </c>
      <c r="F11" s="0" t="n">
        <f aca="false">F8+F10+F24</f>
        <v>9013.08775936398</v>
      </c>
      <c r="G11" s="0" t="n">
        <f aca="false">G8+G10+G24</f>
        <v>9330.41406450155</v>
      </c>
      <c r="H11" s="0" t="n">
        <f aca="false">H8+H10+H24</f>
        <v>9610.32648643659</v>
      </c>
      <c r="I11" s="0" t="n">
        <f aca="false">I8+I10+I24</f>
        <v>9850.58464859751</v>
      </c>
      <c r="J11" s="0" t="n">
        <f aca="false">J8+J10+J24</f>
        <v>10096.8492648124</v>
      </c>
      <c r="K11" s="0" t="n">
        <f aca="false">K8+K10+K24</f>
        <v>10349.2704964328</v>
      </c>
      <c r="L11" s="0" t="n">
        <f aca="false">L8+L10+L24</f>
        <v>10608.0022588436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-1542.89852</v>
      </c>
      <c r="D12" s="4" t="n">
        <f aca="false">-D6*Assumptions!D31/100</f>
        <v>-1589.1854756</v>
      </c>
      <c r="E12" s="4" t="n">
        <f aca="false">-E6*Assumptions!E31/100</f>
        <v>-1592.621552304</v>
      </c>
      <c r="F12" s="4" t="n">
        <f aca="false">-F6*Assumptions!F31/100</f>
        <v>-1640.40019887312</v>
      </c>
      <c r="G12" s="4" t="n">
        <f aca="false">-G6*Assumptions!G31/100</f>
        <v>-1642.67853248267</v>
      </c>
      <c r="H12" s="4" t="n">
        <f aca="false">-H6*Assumptions!H31/100</f>
        <v>-1691.95888845715</v>
      </c>
      <c r="I12" s="4" t="n">
        <f aca="false">-I6*Assumptions!I31/100</f>
        <v>-1734.25786066858</v>
      </c>
      <c r="J12" s="4" t="n">
        <f aca="false">-J6*Assumptions!J31/100</f>
        <v>-1777.61430718529</v>
      </c>
      <c r="K12" s="4" t="n">
        <f aca="false">-K6*Assumptions!K31/100</f>
        <v>-1822.05466486492</v>
      </c>
      <c r="L12" s="4" t="n">
        <f aca="false">-L6*Assumptions!L31/100</f>
        <v>-1867.60603148654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6242.484012</v>
      </c>
      <c r="D13" s="0" t="n">
        <f aca="false">D11+D12</f>
        <v>6644.51332636</v>
      </c>
      <c r="E13" s="0" t="n">
        <f aca="false">E11+E12</f>
        <v>7069.4701127272</v>
      </c>
      <c r="F13" s="0" t="n">
        <f aca="false">F11+F12</f>
        <v>7372.68756049086</v>
      </c>
      <c r="G13" s="0" t="n">
        <f aca="false">G11+G12</f>
        <v>7687.73553201888</v>
      </c>
      <c r="H13" s="0" t="n">
        <f aca="false">H11+H12</f>
        <v>7918.36759797945</v>
      </c>
      <c r="I13" s="0" t="n">
        <f aca="false">I11+I12</f>
        <v>8116.32678792893</v>
      </c>
      <c r="J13" s="0" t="n">
        <f aca="false">J11+J12</f>
        <v>8319.23495762715</v>
      </c>
      <c r="K13" s="0" t="n">
        <f aca="false">K11+K12</f>
        <v>8527.21583156783</v>
      </c>
      <c r="L13" s="0" t="n">
        <f aca="false">L11+L12</f>
        <v>8740.39622735703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3</v>
      </c>
      <c r="D14" s="4" t="n">
        <f aca="false">Assumptions!D33</f>
        <v>5</v>
      </c>
      <c r="E14" s="4" t="n">
        <f aca="false">Assumptions!E33</f>
        <v>8</v>
      </c>
      <c r="F14" s="4" t="n">
        <f aca="false">Assumptions!F33</f>
        <v>12</v>
      </c>
      <c r="G14" s="4" t="n">
        <f aca="false">Assumptions!G33</f>
        <v>15</v>
      </c>
      <c r="H14" s="4" t="n">
        <f aca="false">Assumptions!H33</f>
        <v>18</v>
      </c>
      <c r="I14" s="4" t="n">
        <f aca="false">Assumptions!I33</f>
        <v>20</v>
      </c>
      <c r="J14" s="4" t="n">
        <f aca="false">Assumptions!J33</f>
        <v>22</v>
      </c>
      <c r="K14" s="4" t="n">
        <f aca="false">Assumptions!K33</f>
        <v>23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6055.20949164</v>
      </c>
      <c r="D15" s="0" t="n">
        <f aca="false">D13-MAX(0,D13)*D14/100</f>
        <v>6312.287660042</v>
      </c>
      <c r="E15" s="0" t="n">
        <f aca="false">E13-MAX(0,E13)*E14/100</f>
        <v>6503.91250370903</v>
      </c>
      <c r="F15" s="0" t="n">
        <f aca="false">F13-MAX(0,F13)*F14/100</f>
        <v>6487.96505323196</v>
      </c>
      <c r="G15" s="0" t="n">
        <f aca="false">G13-MAX(0,G13)*G14/100</f>
        <v>6534.57520221605</v>
      </c>
      <c r="H15" s="0" t="n">
        <f aca="false">H13-MAX(0,H13)*H14/100</f>
        <v>6493.06143034315</v>
      </c>
      <c r="I15" s="0" t="n">
        <f aca="false">I13-MAX(0,I13)*I14/100</f>
        <v>6493.06143034315</v>
      </c>
      <c r="J15" s="0" t="n">
        <f aca="false">J13-MAX(0,J13)*J14/100</f>
        <v>6489.00326694918</v>
      </c>
      <c r="K15" s="0" t="n">
        <f aca="false">K13-MAX(0,K13)*K14/100</f>
        <v>6565.95619030723</v>
      </c>
      <c r="L15" s="0" t="n">
        <f aca="false">L13-MAX(0,L13)*L14/100</f>
        <v>6642.70113279134</v>
      </c>
    </row>
    <row r="16" customFormat="false" ht="15" hidden="false" customHeight="false" outlineLevel="0" collapsed="false">
      <c r="A16" s="0" t="s">
        <v>128</v>
      </c>
      <c r="C16" s="0" t="n">
        <f aca="false">-C12</f>
        <v>1542.89852</v>
      </c>
      <c r="D16" s="0" t="n">
        <f aca="false">-D12</f>
        <v>1589.1854756</v>
      </c>
      <c r="E16" s="0" t="n">
        <f aca="false">-E12</f>
        <v>1592.621552304</v>
      </c>
      <c r="F16" s="0" t="n">
        <f aca="false">-F12</f>
        <v>1640.40019887312</v>
      </c>
      <c r="G16" s="0" t="n">
        <f aca="false">-G12</f>
        <v>1642.67853248267</v>
      </c>
      <c r="H16" s="0" t="n">
        <f aca="false">-H12</f>
        <v>1691.95888845715</v>
      </c>
      <c r="I16" s="0" t="n">
        <f aca="false">-I12</f>
        <v>1734.25786066858</v>
      </c>
      <c r="J16" s="0" t="n">
        <f aca="false">-J12</f>
        <v>1777.61430718529</v>
      </c>
      <c r="K16" s="0" t="n">
        <f aca="false">-K12</f>
        <v>1822.05466486492</v>
      </c>
      <c r="L16" s="0" t="n">
        <f aca="false">-L12</f>
        <v>1867.60603148654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-2960.69716</v>
      </c>
      <c r="D17" s="4" t="n">
        <f aca="false">-D6*Assumptions!D32/100</f>
        <v>-2491.1556104</v>
      </c>
      <c r="E17" s="4" t="n">
        <f aca="false">-E6*Assumptions!E32/100</f>
        <v>-2300.453353328</v>
      </c>
      <c r="F17" s="4" t="n">
        <f aca="false">-F6*Assumptions!F32/100</f>
        <v>-2187.20026516416</v>
      </c>
      <c r="G17" s="4" t="n">
        <f aca="false">-G6*Assumptions!G32/100</f>
        <v>-2158.94892840579</v>
      </c>
      <c r="H17" s="4" t="n">
        <f aca="false">-H6*Assumptions!H32/100</f>
        <v>-2175.37571373062</v>
      </c>
      <c r="I17" s="4" t="n">
        <f aca="false">-I6*Assumptions!I32/100</f>
        <v>-2229.76010657388</v>
      </c>
      <c r="J17" s="4" t="n">
        <f aca="false">-J6*Assumptions!J32/100</f>
        <v>-2285.50410923823</v>
      </c>
      <c r="K17" s="4" t="n">
        <f aca="false">-K6*Assumptions!K32/100</f>
        <v>-2342.64171196918</v>
      </c>
      <c r="L17" s="4" t="n">
        <f aca="false">-L6*Assumptions!L32/100</f>
        <v>-2401.20775476841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4637.41085164</v>
      </c>
      <c r="D19" s="0" t="n">
        <f aca="false">D15+D16+D17+D18</f>
        <v>5410.317525242</v>
      </c>
      <c r="E19" s="0" t="n">
        <f aca="false">E15+E16+E17+E18</f>
        <v>5796.08070268503</v>
      </c>
      <c r="F19" s="0" t="n">
        <f aca="false">F15+F16+F17+F18</f>
        <v>5941.16498694092</v>
      </c>
      <c r="G19" s="0" t="n">
        <f aca="false">G15+G16+G17+G18</f>
        <v>6018.30480629292</v>
      </c>
      <c r="H19" s="0" t="n">
        <f aca="false">H15+H16+H17+H18</f>
        <v>6009.64460506968</v>
      </c>
      <c r="I19" s="0" t="n">
        <f aca="false">I15+I16+I17+I18</f>
        <v>5997.55918443784</v>
      </c>
      <c r="J19" s="0" t="n">
        <f aca="false">J15+J16+J17+J18</f>
        <v>5981.11346489624</v>
      </c>
      <c r="K19" s="0" t="n">
        <f aca="false">K15+K16+K17+K18</f>
        <v>6045.36914320297</v>
      </c>
      <c r="L19" s="0" t="n">
        <f aca="false">L15+L16+L17+L18</f>
        <v>6109.09940950947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4313.87055966512</v>
      </c>
      <c r="D21" s="0" t="n">
        <f aca="false">D19*D20</f>
        <v>4681.72419707258</v>
      </c>
      <c r="E21" s="0" t="n">
        <f aca="false">E19*E20</f>
        <v>4665.61642335696</v>
      </c>
      <c r="F21" s="0" t="n">
        <f aca="false">F19*F20</f>
        <v>4448.74748971021</v>
      </c>
      <c r="G21" s="0" t="n">
        <f aca="false">G19*G20</f>
        <v>4192.10216493753</v>
      </c>
      <c r="H21" s="0" t="n">
        <f aca="false">H19*H20</f>
        <v>3894.01844373729</v>
      </c>
      <c r="I21" s="0" t="n">
        <f aca="false">I19*I20</f>
        <v>3615.05819184502</v>
      </c>
      <c r="J21" s="0" t="n">
        <f aca="false">J19*J20</f>
        <v>3353.62367794654</v>
      </c>
      <c r="K21" s="0" t="n">
        <f aca="false">K19*K20</f>
        <v>3153.16463281984</v>
      </c>
      <c r="L21" s="0" t="n">
        <f aca="false">L19*L20</f>
        <v>2964.09794088406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39282.0237219751</v>
      </c>
    </row>
    <row r="31" customFormat="false" ht="15" hidden="false" customHeight="false" outlineLevel="0" collapsed="false">
      <c r="A31" s="0" t="s">
        <v>137</v>
      </c>
      <c r="B31" s="0" t="n">
        <f aca="false">L19</f>
        <v>6109.09940950947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125236.537894944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91636.4911426421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91636.4911426421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44461.4691132609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83743.492835236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54752.492835236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86.6336911949937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-0.00603842135161026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713.997380024387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1167.6404263667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89.6109662051061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50094.6151579777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18.5946415996389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25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33629</v>
      </c>
      <c r="C6" s="0" t="n">
        <f aca="false">B6*(1+C5/100)</f>
        <v>42036.25</v>
      </c>
      <c r="D6" s="0" t="n">
        <f aca="false">C6*(1+D5/100)</f>
        <v>43717.7</v>
      </c>
      <c r="E6" s="0" t="n">
        <f aca="false">D6*(1+E5/100)</f>
        <v>45466.408</v>
      </c>
      <c r="F6" s="0" t="n">
        <f aca="false">E6*(1+F5/100)</f>
        <v>47057.73228</v>
      </c>
      <c r="G6" s="0" t="n">
        <f aca="false">F6*(1+G5/100)</f>
        <v>48704.7529098</v>
      </c>
      <c r="H6" s="0" t="n">
        <f aca="false">G6*(1+H5/100)</f>
        <v>50165.895497094</v>
      </c>
      <c r="I6" s="0" t="n">
        <f aca="false">H6*(1+I5/100)</f>
        <v>51670.8723620068</v>
      </c>
      <c r="J6" s="0" t="n">
        <f aca="false">I6*(1+J5/100)</f>
        <v>53220.998532867</v>
      </c>
      <c r="K6" s="0" t="n">
        <f aca="false">J6*(1+K5/100)</f>
        <v>54817.628488853</v>
      </c>
      <c r="L6" s="0" t="n">
        <f aca="false">K6*(1+L5/100)</f>
        <v>56462.1573435186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19.2</v>
      </c>
      <c r="D7" s="4" t="n">
        <f aca="false">Assumptions!D42</f>
        <v>20</v>
      </c>
      <c r="E7" s="4" t="n">
        <f aca="false">Assumptions!E42</f>
        <v>20.7</v>
      </c>
      <c r="F7" s="4" t="n">
        <f aca="false">Assumptions!F42</f>
        <v>21.2</v>
      </c>
      <c r="G7" s="4" t="n">
        <f aca="false">Assumptions!G42</f>
        <v>21.5</v>
      </c>
      <c r="H7" s="4" t="n">
        <f aca="false">Assumptions!H42</f>
        <v>21.6</v>
      </c>
      <c r="I7" s="4" t="n">
        <f aca="false">Assumptions!I42</f>
        <v>21.7</v>
      </c>
      <c r="J7" s="4" t="n">
        <f aca="false">Assumptions!J42</f>
        <v>21.7</v>
      </c>
      <c r="K7" s="4" t="n">
        <f aca="false">Assumptions!K42</f>
        <v>21.7</v>
      </c>
      <c r="L7" s="4" t="n">
        <f aca="false">Assumptions!L42</f>
        <v>21.7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8070.96</v>
      </c>
      <c r="D8" s="0" t="n">
        <f aca="false">D6*D7/100</f>
        <v>8743.54</v>
      </c>
      <c r="E8" s="0" t="n">
        <f aca="false">E6*E7/100</f>
        <v>9411.546456</v>
      </c>
      <c r="F8" s="0" t="n">
        <f aca="false">F6*F7/100</f>
        <v>9976.23924336</v>
      </c>
      <c r="G8" s="0" t="n">
        <f aca="false">G6*G7/100</f>
        <v>10471.521875607</v>
      </c>
      <c r="H8" s="0" t="n">
        <f aca="false">H6*H7/100</f>
        <v>10835.8334273723</v>
      </c>
      <c r="I8" s="0" t="n">
        <f aca="false">I6*I7/100</f>
        <v>11212.5793025555</v>
      </c>
      <c r="J8" s="0" t="n">
        <f aca="false">J6*J7/100</f>
        <v>11548.9566816321</v>
      </c>
      <c r="K8" s="0" t="n">
        <f aca="false">K6*K7/100</f>
        <v>11895.4253820811</v>
      </c>
      <c r="L8" s="0" t="n">
        <f aca="false">L6*L7/100</f>
        <v>12252.2881435435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0.23</v>
      </c>
      <c r="D9" s="4" t="n">
        <f aca="false">Assumptions!D43</f>
        <v>0.23</v>
      </c>
      <c r="E9" s="4" t="n">
        <f aca="false">Assumptions!E43</f>
        <v>0.22</v>
      </c>
      <c r="F9" s="4" t="n">
        <f aca="false">Assumptions!F43</f>
        <v>0.22</v>
      </c>
      <c r="G9" s="4" t="n">
        <f aca="false">Assumptions!G43</f>
        <v>0.22</v>
      </c>
      <c r="H9" s="4" t="n">
        <f aca="false">Assumptions!H43</f>
        <v>0.22</v>
      </c>
      <c r="I9" s="4" t="n">
        <f aca="false">Assumptions!I43</f>
        <v>0.22</v>
      </c>
      <c r="J9" s="4" t="n">
        <f aca="false">Assumptions!J43</f>
        <v>0.22</v>
      </c>
      <c r="K9" s="4" t="n">
        <f aca="false">Assumptions!K43</f>
        <v>0.22</v>
      </c>
      <c r="L9" s="4" t="n">
        <f aca="false">Assumptions!L43</f>
        <v>0.22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-96.683375</v>
      </c>
      <c r="D10" s="0" t="n">
        <f aca="false">-D6*D9/100</f>
        <v>-100.55071</v>
      </c>
      <c r="E10" s="0" t="n">
        <f aca="false">-E6*E9/100</f>
        <v>-100.0260976</v>
      </c>
      <c r="F10" s="0" t="n">
        <f aca="false">-F6*F9/100</f>
        <v>-103.527011016</v>
      </c>
      <c r="G10" s="0" t="n">
        <f aca="false">-G6*G9/100</f>
        <v>-107.15045640156</v>
      </c>
      <c r="H10" s="0" t="n">
        <f aca="false">-H6*H9/100</f>
        <v>-110.364970093607</v>
      </c>
      <c r="I10" s="0" t="n">
        <f aca="false">-I6*I9/100</f>
        <v>-113.675919196415</v>
      </c>
      <c r="J10" s="0" t="n">
        <f aca="false">-J6*J9/100</f>
        <v>-117.086196772307</v>
      </c>
      <c r="K10" s="0" t="n">
        <f aca="false">-K6*K9/100</f>
        <v>-120.598782675477</v>
      </c>
      <c r="L10" s="0" t="n">
        <f aca="false">-L6*L9/100</f>
        <v>-124.216746155741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7974.276625</v>
      </c>
      <c r="D11" s="0" t="n">
        <f aca="false">D8+D10+D24</f>
        <v>8642.98929</v>
      </c>
      <c r="E11" s="0" t="n">
        <f aca="false">E8+E10+E24</f>
        <v>9311.5203584</v>
      </c>
      <c r="F11" s="0" t="n">
        <f aca="false">F8+F10+F24</f>
        <v>9872.712232344</v>
      </c>
      <c r="G11" s="0" t="n">
        <f aca="false">G8+G10+G24</f>
        <v>10364.3714192054</v>
      </c>
      <c r="H11" s="0" t="n">
        <f aca="false">H8+H10+H24</f>
        <v>10725.4684572787</v>
      </c>
      <c r="I11" s="0" t="n">
        <f aca="false">I8+I10+I24</f>
        <v>11098.9033833591</v>
      </c>
      <c r="J11" s="0" t="n">
        <f aca="false">J8+J10+J24</f>
        <v>11431.8704848598</v>
      </c>
      <c r="K11" s="0" t="n">
        <f aca="false">K8+K10+K24</f>
        <v>11774.8265994056</v>
      </c>
      <c r="L11" s="0" t="n">
        <f aca="false">L8+L10+L24</f>
        <v>12128.0713973878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-1555.34125</v>
      </c>
      <c r="D12" s="4" t="n">
        <f aca="false">-D6*Assumptions!D45/100</f>
        <v>-1573.8372</v>
      </c>
      <c r="E12" s="4" t="n">
        <f aca="false">-E6*Assumptions!E45/100</f>
        <v>-1591.32428</v>
      </c>
      <c r="F12" s="4" t="n">
        <f aca="false">-F6*Assumptions!F45/100</f>
        <v>-1647.0206298</v>
      </c>
      <c r="G12" s="4" t="n">
        <f aca="false">-G6*Assumptions!G45/100</f>
        <v>-1655.9615989332</v>
      </c>
      <c r="H12" s="4" t="n">
        <f aca="false">-H6*Assumptions!H45/100</f>
        <v>-1705.6404469012</v>
      </c>
      <c r="I12" s="4" t="n">
        <f aca="false">-I6*Assumptions!I45/100</f>
        <v>-1756.80966030823</v>
      </c>
      <c r="J12" s="4" t="n">
        <f aca="false">-J6*Assumptions!J45/100</f>
        <v>-1809.51395011748</v>
      </c>
      <c r="K12" s="4" t="n">
        <f aca="false">-K6*Assumptions!K45/100</f>
        <v>-1863.799368621</v>
      </c>
      <c r="L12" s="4" t="n">
        <f aca="false">-L6*Assumptions!L45/100</f>
        <v>-1919.71334967963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6418.935375</v>
      </c>
      <c r="D13" s="0" t="n">
        <f aca="false">D11+D12</f>
        <v>7069.15209</v>
      </c>
      <c r="E13" s="0" t="n">
        <f aca="false">E11+E12</f>
        <v>7720.1960784</v>
      </c>
      <c r="F13" s="0" t="n">
        <f aca="false">F11+F12</f>
        <v>8225.691602544</v>
      </c>
      <c r="G13" s="0" t="n">
        <f aca="false">G11+G12</f>
        <v>8708.40982027224</v>
      </c>
      <c r="H13" s="0" t="n">
        <f aca="false">H11+H12</f>
        <v>9019.8280103775</v>
      </c>
      <c r="I13" s="0" t="n">
        <f aca="false">I11+I12</f>
        <v>9342.09372305083</v>
      </c>
      <c r="J13" s="0" t="n">
        <f aca="false">J11+J12</f>
        <v>9622.35653474236</v>
      </c>
      <c r="K13" s="0" t="n">
        <f aca="false">K11+K12</f>
        <v>9911.02723078463</v>
      </c>
      <c r="L13" s="0" t="n">
        <f aca="false">L11+L12</f>
        <v>10208.3580477082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</v>
      </c>
      <c r="D14" s="4" t="n">
        <f aca="false">Assumptions!D47</f>
        <v>3</v>
      </c>
      <c r="E14" s="4" t="n">
        <f aca="false">Assumptions!E47</f>
        <v>5</v>
      </c>
      <c r="F14" s="4" t="n">
        <f aca="false">Assumptions!F47</f>
        <v>8</v>
      </c>
      <c r="G14" s="4" t="n">
        <f aca="false">Assumptions!G47</f>
        <v>11</v>
      </c>
      <c r="H14" s="4" t="n">
        <f aca="false">Assumptions!H47</f>
        <v>14</v>
      </c>
      <c r="I14" s="4" t="n">
        <f aca="false">Assumptions!I47</f>
        <v>17</v>
      </c>
      <c r="J14" s="4" t="n">
        <f aca="false">Assumptions!J47</f>
        <v>20</v>
      </c>
      <c r="K14" s="4" t="n">
        <f aca="false">Assumptions!K47</f>
        <v>22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6290.5566675</v>
      </c>
      <c r="D15" s="0" t="n">
        <f aca="false">D13-MAX(0,D13)*D14/100</f>
        <v>6857.0775273</v>
      </c>
      <c r="E15" s="0" t="n">
        <f aca="false">E13-MAX(0,E13)*E14/100</f>
        <v>7334.18627448</v>
      </c>
      <c r="F15" s="0" t="n">
        <f aca="false">F13-MAX(0,F13)*F14/100</f>
        <v>7567.63627434048</v>
      </c>
      <c r="G15" s="0" t="n">
        <f aca="false">G13-MAX(0,G13)*G14/100</f>
        <v>7750.48474004229</v>
      </c>
      <c r="H15" s="0" t="n">
        <f aca="false">H13-MAX(0,H13)*H14/100</f>
        <v>7757.05208892465</v>
      </c>
      <c r="I15" s="0" t="n">
        <f aca="false">I13-MAX(0,I13)*I14/100</f>
        <v>7753.93779013219</v>
      </c>
      <c r="J15" s="0" t="n">
        <f aca="false">J13-MAX(0,J13)*J14/100</f>
        <v>7697.88522779389</v>
      </c>
      <c r="K15" s="0" t="n">
        <f aca="false">K13-MAX(0,K13)*K14/100</f>
        <v>7730.60124001201</v>
      </c>
      <c r="L15" s="0" t="n">
        <f aca="false">L13-MAX(0,L13)*L14/100</f>
        <v>7758.35211625821</v>
      </c>
    </row>
    <row r="16" customFormat="false" ht="15" hidden="false" customHeight="false" outlineLevel="0" collapsed="false">
      <c r="A16" s="0" t="s">
        <v>128</v>
      </c>
      <c r="C16" s="0" t="n">
        <f aca="false">-C12</f>
        <v>1555.34125</v>
      </c>
      <c r="D16" s="0" t="n">
        <f aca="false">-D12</f>
        <v>1573.8372</v>
      </c>
      <c r="E16" s="0" t="n">
        <f aca="false">-E12</f>
        <v>1591.32428</v>
      </c>
      <c r="F16" s="0" t="n">
        <f aca="false">-F12</f>
        <v>1647.0206298</v>
      </c>
      <c r="G16" s="0" t="n">
        <f aca="false">-G12</f>
        <v>1655.9615989332</v>
      </c>
      <c r="H16" s="0" t="n">
        <f aca="false">-H12</f>
        <v>1705.6404469012</v>
      </c>
      <c r="I16" s="0" t="n">
        <f aca="false">-I12</f>
        <v>1756.80966030823</v>
      </c>
      <c r="J16" s="0" t="n">
        <f aca="false">-J12</f>
        <v>1809.51395011748</v>
      </c>
      <c r="K16" s="0" t="n">
        <f aca="false">-K12</f>
        <v>1863.799368621</v>
      </c>
      <c r="L16" s="0" t="n">
        <f aca="false">-L12</f>
        <v>1919.71334967963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-2942.5375</v>
      </c>
      <c r="D17" s="4" t="n">
        <f aca="false">-D6*Assumptions!D46/100</f>
        <v>-2448.1912</v>
      </c>
      <c r="E17" s="4" t="n">
        <f aca="false">-E6*Assumptions!E46/100</f>
        <v>-2273.3204</v>
      </c>
      <c r="F17" s="4" t="n">
        <f aca="false">-F6*Assumptions!F46/100</f>
        <v>-2164.65568488</v>
      </c>
      <c r="G17" s="4" t="n">
        <f aca="false">-G6*Assumptions!G46/100</f>
        <v>-2143.0091280312</v>
      </c>
      <c r="H17" s="4" t="n">
        <f aca="false">-H6*Assumptions!H46/100</f>
        <v>-2157.13350637504</v>
      </c>
      <c r="I17" s="4" t="n">
        <f aca="false">-I6*Assumptions!I46/100</f>
        <v>-2221.84751156629</v>
      </c>
      <c r="J17" s="4" t="n">
        <f aca="false">-J6*Assumptions!J46/100</f>
        <v>-2288.50293691328</v>
      </c>
      <c r="K17" s="4" t="n">
        <f aca="false">-K6*Assumptions!K46/100</f>
        <v>-2357.15802502068</v>
      </c>
      <c r="L17" s="4" t="n">
        <f aca="false">-L6*Assumptions!L46/100</f>
        <v>-2427.8727657713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4903.3604175</v>
      </c>
      <c r="D19" s="0" t="n">
        <f aca="false">D15+D16+D17+D18</f>
        <v>5982.7235273</v>
      </c>
      <c r="E19" s="0" t="n">
        <f aca="false">E15+E16+E17+E18</f>
        <v>6652.19015448</v>
      </c>
      <c r="F19" s="0" t="n">
        <f aca="false">F15+F16+F17+F18</f>
        <v>7050.00121926048</v>
      </c>
      <c r="G19" s="0" t="n">
        <f aca="false">G15+G16+G17+G18</f>
        <v>7263.43721094429</v>
      </c>
      <c r="H19" s="0" t="n">
        <f aca="false">H15+H16+H17+H18</f>
        <v>7305.55902945081</v>
      </c>
      <c r="I19" s="0" t="n">
        <f aca="false">I15+I16+I17+I18</f>
        <v>7288.89993887413</v>
      </c>
      <c r="J19" s="0" t="n">
        <f aca="false">J15+J16+J17+J18</f>
        <v>7218.89624099808</v>
      </c>
      <c r="K19" s="0" t="n">
        <f aca="false">K15+K16+K17+K18</f>
        <v>7237.24258361233</v>
      </c>
      <c r="L19" s="0" t="n">
        <f aca="false">L15+L16+L17+L18</f>
        <v>7250.19270016654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4561.26550465116</v>
      </c>
      <c r="D21" s="0" t="n">
        <f aca="false">D19*D20</f>
        <v>5177.04577808545</v>
      </c>
      <c r="E21" s="0" t="n">
        <f aca="false">E19*E20</f>
        <v>5354.75077523639</v>
      </c>
      <c r="F21" s="0" t="n">
        <f aca="false">F19*F20</f>
        <v>5279.04464790634</v>
      </c>
      <c r="G21" s="0" t="n">
        <f aca="false">G19*G20</f>
        <v>5059.4098898163</v>
      </c>
      <c r="H21" s="0" t="n">
        <f aca="false">H19*H20</f>
        <v>4733.72112196028</v>
      </c>
      <c r="I21" s="0" t="n">
        <f aca="false">I19*I20</f>
        <v>4393.42016031066</v>
      </c>
      <c r="J21" s="0" t="n">
        <f aca="false">J19*J20</f>
        <v>4047.6512449627</v>
      </c>
      <c r="K21" s="0" t="n">
        <f aca="false">K19*K20</f>
        <v>3774.82612115452</v>
      </c>
      <c r="L21" s="0" t="n">
        <f aca="false">L19*L20</f>
        <v>3517.74947713641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45898.8847212202</v>
      </c>
    </row>
    <row r="31" customFormat="false" ht="15" hidden="false" customHeight="false" outlineLevel="0" collapsed="false">
      <c r="A31" s="0" t="s">
        <v>137</v>
      </c>
      <c r="B31" s="0" t="n">
        <f aca="false">L19</f>
        <v>7250.19270016654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165948.855137145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116003.083202665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116003.083202665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56283.9916341825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102182.876355403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73191.8763554027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115.809930942093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0.328705036049712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738.475558325723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1379.49527464386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119.161150614513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62230.8206764295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30.5426240399568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41.8955534219058</v>
      </c>
      <c r="C4" s="0" t="n">
        <f aca="false">B4/Assumptions!$B$2-1</f>
        <v>-0.519325913011636</v>
      </c>
      <c r="D4" s="4" t="n">
        <f aca="false">Assumptions!$B$24</f>
        <v>0.25</v>
      </c>
      <c r="E4" s="4" t="n">
        <f aca="false">DCF_Bear!$B$43</f>
        <v>44.2986735521302</v>
      </c>
      <c r="F4" s="4" t="n">
        <f aca="false">DCF_Bear!$B$47</f>
        <v>1.80608109955533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86.6336911949937</v>
      </c>
      <c r="C5" s="0" t="n">
        <f aca="false">B5/Assumptions!$B$2-1</f>
        <v>-0.00603842135161026</v>
      </c>
      <c r="D5" s="4" t="n">
        <f aca="false">Assumptions!$B$38</f>
        <v>0.5</v>
      </c>
      <c r="E5" s="4" t="n">
        <f aca="false">DCF_Base!$B$43</f>
        <v>89.6109662051061</v>
      </c>
      <c r="F5" s="4" t="n">
        <f aca="false">DCF_Base!$B$47</f>
        <v>18.5946415996389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115.809930942093</v>
      </c>
      <c r="C6" s="0" t="n">
        <f aca="false">B6/Assumptions!$B$2-1</f>
        <v>0.328705036049712</v>
      </c>
      <c r="D6" s="4" t="n">
        <f aca="false">Assumptions!$B$52</f>
        <v>0.25</v>
      </c>
      <c r="E6" s="4" t="n">
        <f aca="false">DCF_Bull!$B$43</f>
        <v>119.161150614513</v>
      </c>
      <c r="F6" s="4" t="n">
        <f aca="false">DCF_Bull!$B$47</f>
        <v>30.5426240399568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82.7432166884965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85.6704391442139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-0.0533794006115496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150.886493196878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17.3844970846975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86.6336911949937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73.3409006538197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60.4658329043647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48.1931996843746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38.4836628255757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18.5946415996389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107.496769155826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107.496769155826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107.496769155826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107.496769155826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107.496769155826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96.5761080870901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96.5761080870901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96.5761080870901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96.5761080870901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96.5761080870901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86.6336911949937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86.6336911949937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86.6336911949937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86.6336911949937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86.6336911949937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75.4329607261723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77.5705917133848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77.5705917133848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77.5705917133848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77.5705917133848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60.2789484840546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63.8381435876053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67.9057951345203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69.2988264862035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69.2988264862035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2026-10-02T06:22:34Z</dcterms:created>
  <dc:creator>openpyxl</dc:creator>
  <dc:description/>
  <dc:language>en-NZ</dc:language>
  <cp:lastModifiedBy/>
  <dcterms:modified xsi:type="dcterms:W3CDTF">2026-10-02T06:22:34Z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