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<sst xmlns="http://schemas.openxmlformats.org/spreadsheetml/2006/main" count="336" uniqueCount="158">
  <si>
    <t xml:space="preserve">Ticker</t>
  </si>
  <si>
    <t xml:space="preserve">3288.HK</t>
  </si>
  <si>
    <t xml:space="preserve">Company</t>
  </si>
  <si>
    <t xml:space="preserve">Foshan Haitian Flavouring and Food Company Ltd.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</si>
  <si>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</si>
  <si>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</si>
  <si>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</si>
  <si>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</si>
  <si>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2026-10-22T07:03:08Z (intraday HKEX print, ~15:03 HKT; replace at the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</si>
  <si>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</si>
  <si>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</si>
  <si>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</si>
  <si>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</si>
  <si>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</si>
  <si>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</si>
  <si>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</si>
  <si>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</si>
  <si>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</si>
  <si>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</si>
  <si>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</si>
  <si>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</si>
  <si>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</si>
  <si>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2026-10-22T07:23:44Z</t>
  </si>
  <si>
    <t xml:space="preserve">Drivers file</t>
  </si>
  <si>
    <t xml:space="preserve">3288.HK_Drivers.json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</si>
  <si>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</si>
  <si>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</si>
  <si>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</si>
  <si>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Haitian is valued as a mature, net-cash consumer-staples compounder: owner FCF (reported FCF less the RMB163m SBC charge; interest already sits outside OCF under HKFRS presentation) is projected from components over ten years at an 8% CNY WACC and capitalised at min(Gordon 2.5%, 20x). The RMB36bn of cash, term deposits and bank WMPs is added once in the bridge, with its income stripped from the margin. Per-share values are computed in CNY and converted to HKD at 1.1743; the H-share trades at a ~33% discount to the A-share, so an H-share buyer is paying materially less for the same cash flows than the A-share market implies.
key_risks_to_valuation: Net cash is ~RMB6.1/share (HK$7.1), roughly a quarter of the H-share price: the valuation depends on that cash being returned (the &gt;=80% payout commitment supports this) rather than deployed into low-return overseas M&amp;A.; Terminal value is ~60% of EV at an 8% WACC; every 1pp on the CNY discount rate is worth roughly 15% of the equity value.; The operating EBITDA margin anchor (30.8%) strips FY2025 interest/FVPL income and adds back a RMB204m FX loss; if the FX loss recurs on unhedged HKD proceeds the anchor is ~0.7pp too high.; A-H discount: the HKD value per share is not comparable to the A-share price; a narrowing of the discount is a re-rating, not a change in intrinsic value.; Commodity reversal (soybean, wheat, packaging) is the main margin risk; the bear case carries 2.5pp of compression, the 2021-22 episode was ~4pp on gross margin.; No numeric FY2026 guidance exists; year-1 growth rests on the H1 2026 run-rate.</t>
  </si>
  <si>
    <t xml:space="preserve">Data sources</t>
  </si>
  <si>
    <t xml:space="preserve">price: Yahoo Finance chart API at inputs.price_as_of (intraday HKEX print); 52-week range 25.00-38.38. A-share 603288.SS and CNYHKD=X from the same endpoint for the parity check.
financials: 3288.HK_Metrics.csv (H1 2024 - H1 2026, RMB m) built from the FY2025 annual report and H1 2026 interim report; balance-sheet anchors (cash, term deposits, FVPL WMPs, borrowings, lease liabilities, NCI, shares) read directly from the H1 2026 interim report (3288.HK_HalfYear_H1-2026.txt lines 2776-2865, 2955-2995, 3460-3530, 3735-3765); SBC, interest income, FVPL gains, FX loss and D&amp;A from the FY2025 annual report (3288.HK_Annual_FY2025.txt lines 6985-7012, 9340-9410, 9510-9530, 10989).
qualitative: 3288.HK_Analysis.json (2026-10-22): business model, moat factors, growth drivers, bull/bear cases, Frost &amp; Sullivan market CAGR, FY2025-27 dividend policy.</t>
  </si>
  <si>
    <t xml:space="preserve">Scenario narrative: bear</t>
  </si>
  <si>
    <t xml:space="preserve">Soft Chinese consumption, promotional competition from adjacent-category entrants, and a commodity reversal cut growth to ~2% and margins by 2.5pp while overseas capex earns nothing.</t>
  </si>
  <si>
    <t xml:space="preserve">Scenario narrative: base</t>
  </si>
  <si>
    <t xml:space="preserve">Mid-single-digit domestic growth (soy/oyster/flavoured sauce ~77% of revenue) with premiumisation and catering-channel gains; margin up ~1pp over the decade as the soybean tailwind is partly reinvested; overseas is optionality, not the plan.</t>
  </si>
  <si>
    <t xml:space="preserve">Scenario narrative: bull</t>
  </si>
  <si>
    <t xml:space="preserve">Overseas (Amoy, SE Asian plants, halal lines) and adjacent categories lift growth to ~8% for five years and the cost moat holds the commodity tailwind as margin (34% operating EBITDA).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</si>
  <si>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</si>
  <si>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</si>
  <si>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</si>
  <si>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</si>
  <si>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</si>
  <si>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</si>
  <si>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</si>
  <si>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</si>
  <si>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</si>
  <si>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</si>
  <si>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</si>
  <si>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</si>
  <si>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</si>
  <si>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</si>
  <si>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</si>
  <si>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</si>
  <si>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</si>
  <si>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</si>
  <si>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</si>
  <si>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</si>
  <si>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</si>
  <si>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</si>
  <si>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</si>
  <si>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</si>
  <si>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</si>
  <si>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</si>
  <si>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</si>
  <si>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</si>
  <si>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</si>
  <si>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</si>
  <si>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</si>
  <si>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</si>
  <si>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</si>
  <si>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</si>
  <si>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</si>
  <si>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</si>
  <si>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</si>
  <si>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</si>
  <si>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</si>
  <si>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</si>
  <si>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</si>
  <si>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</si>
  <si>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</si>
  <si>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</si>
  <si>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</si>
  <si>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</si>
  <si>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</si>
  <si>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</si>
  <si>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</si>
  <si>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</si>
  <si>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</si>
  <si>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</si>
  <si>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</si>
  <si>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</si>
  <si>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</si>
  <si>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</si>
  <si>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</si>
  <si>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</si>
  <si>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</si>
  <si>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</si>
  <si>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</si>
  <si>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</si>
  <si>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</si>
  <si>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</si>
  <si>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</si>
  <si>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</si>
  <si>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3288.HK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</si>
  <si>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</si>
  <si>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</si>
  <si>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</si>
  <si>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</si>
  <si>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</si>
  <si>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</si>
  <si>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</si>
  <si>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</si>
  <si>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</si>
  <si>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</si>
  <si>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</si>
  <si>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</si>
  <si>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</si>
  <si>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</si>
  <si>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</si>
  <si>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</si>
  <si>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</si>
  <si>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</si>
  <si>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</si>
  <si>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</si>
  <si>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</si>
  <si>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</si>
  <si>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</si>
  <si>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</si>
  <si>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</si>
  <si>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</si>
  <si>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</si>
  <si>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</si>
  <si>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</si>
  <si>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</si>
  <si>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3288.HK owner-FCF component DCF: base case (millions, CNY)</t>
  </si>
  <si>
    <t xml:space="preserve">3288.HK owner-FCF component DCF: bull case (millions, CNY)</t>
  </si>
  <si>
    <t xml:space="preserve">3288.HK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</si>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</sst>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26904.509</v>
      </c>
      <c r="C2" s="0" t="n">
        <v>17184.406</v>
      </c>
      <c r="D2" s="0" t="n">
        <v>9720.103</v>
      </c>
      <c r="E2" s="0" t="n">
        <v>36.1</v>
      </c>
      <c r="F2" s="0" t="n">
        <v>7536.543</v>
      </c>
      <c r="G2" s="0" t="n">
        <v>28</v>
      </c>
      <c r="H2" s="0" t="n">
        <v>8446.755</v>
      </c>
      <c r="I2" s="0" t="n">
        <v>6343.626</v>
      </c>
      <c r="J2" s="0" t="n">
        <v>23.6</v>
      </c>
      <c r="K2" s="0" t="n">
        <v>1.14</v>
      </c>
      <c r="L2" s="0" t="n">
        <v>6840.202</v>
      </c>
      <c r="M2" s="0" t="n">
        <v>1576.231</v>
      </c>
      <c r="N2" s="0" t="n">
        <v>5263.971</v>
      </c>
      <c r="O2" s="0" t="n">
        <v>30889.473</v>
      </c>
      <c r="P2" s="0" t="n">
        <v>40875.062</v>
      </c>
      <c r="Q2" s="0" t="n">
        <v>9479.054</v>
      </c>
      <c r="R2" s="0" t="n">
        <v>361.665</v>
      </c>
      <c r="S2" s="0" t="n">
        <v>11915.753</v>
      </c>
      <c r="T2" s="0" t="n">
        <v>5560.601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28873.38</v>
      </c>
      <c r="C3" s="0" t="n">
        <v>17507.592</v>
      </c>
      <c r="D3" s="0" t="n">
        <v>11365.788</v>
      </c>
      <c r="E3" s="0" t="n">
        <v>39.4</v>
      </c>
      <c r="F3" s="0" t="n">
        <v>8620.942</v>
      </c>
      <c r="G3" s="0" t="n">
        <v>29.9</v>
      </c>
      <c r="H3" s="0" t="n">
        <v>9457.591</v>
      </c>
      <c r="I3" s="0" t="n">
        <v>7038.465</v>
      </c>
      <c r="J3" s="0" t="n">
        <v>24.4</v>
      </c>
      <c r="K3" s="0" t="n">
        <v>1.23</v>
      </c>
      <c r="L3" s="0" t="n">
        <v>7745.951</v>
      </c>
      <c r="M3" s="0" t="n">
        <v>1283.6</v>
      </c>
      <c r="N3" s="0" t="n">
        <v>6462.351</v>
      </c>
      <c r="O3" s="0" t="n">
        <v>41329.564</v>
      </c>
      <c r="P3" s="0" t="n">
        <v>52183.944</v>
      </c>
      <c r="Q3" s="0" t="n">
        <v>10344.267</v>
      </c>
      <c r="R3" s="0" t="n">
        <v>180.25</v>
      </c>
      <c r="S3" s="0" t="n">
        <v>9545.5</v>
      </c>
      <c r="T3" s="0" t="n">
        <v>5851.825</v>
      </c>
      <c r="U3" s="0" t="n">
        <v>162.896</v>
      </c>
      <c r="AA3" s="0" t="s">
        <v>18</v>
      </c>
      <c r="AB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66</v>
      </c>
      <c r="B1" s="2" t="s">
        <v>67</v>
      </c>
    </row>
    <row r="2" customFormat="false" ht="15" hidden="false" customHeight="false" outlineLevel="0" collapsed="false">
      <c r="A2" s="0" t="s">
        <v>68</v>
      </c>
      <c r="B2" s="3" t="n">
        <v>26.12</v>
      </c>
    </row>
    <row r="3" customFormat="false" ht="15" hidden="false" customHeight="false" outlineLevel="0" collapsed="false">
      <c r="A3" s="0" t="s">
        <v>69</v>
      </c>
      <c r="B3" s="3" t="n">
        <v>5851.825</v>
      </c>
    </row>
    <row r="4" customFormat="false" ht="15" hidden="false" customHeight="false" outlineLevel="0" collapsed="false">
      <c r="A4" s="0" t="s">
        <v>70</v>
      </c>
      <c r="B4" s="3" t="n">
        <v>-35537.232</v>
      </c>
    </row>
    <row r="5" customFormat="false" ht="15" hidden="false" customHeight="false" outlineLevel="0" collapsed="false">
      <c r="A5" s="0" t="s">
        <v>71</v>
      </c>
      <c r="B5" s="3" t="n">
        <v>-510.456</v>
      </c>
    </row>
    <row r="6" customFormat="false" ht="15" hidden="false" customHeight="false" outlineLevel="0" collapsed="false">
      <c r="A6" s="0" t="s">
        <v>72</v>
      </c>
      <c r="B6" s="3" t="n">
        <v>15</v>
      </c>
    </row>
    <row r="7" customFormat="false" ht="15" hidden="false" customHeight="false" outlineLevel="0" collapsed="false">
      <c r="A7" s="0" t="s">
        <v>73</v>
      </c>
      <c r="B7" s="3" t="n">
        <v>28873.38</v>
      </c>
    </row>
    <row r="8" customFormat="false" ht="15" hidden="false" customHeight="false" outlineLevel="0" collapsed="false">
      <c r="A8" s="0" t="s">
        <v>74</v>
      </c>
      <c r="B8" s="3" t="s">
        <v>65</v>
      </c>
    </row>
    <row r="9" customFormat="false" ht="15" hidden="false" customHeight="false" outlineLevel="0" collapsed="false">
      <c r="A9" s="0" t="s">
        <v>75</v>
      </c>
      <c r="B9" s="3" t="s">
        <v>76</v>
      </c>
    </row>
    <row r="10" customFormat="false" ht="15" hidden="false" customHeight="false" outlineLevel="0" collapsed="false">
      <c r="A10" s="0" t="s">
        <v>77</v>
      </c>
      <c r="B10" s="3" t="n">
        <v>1.1743</v>
      </c>
    </row>
    <row r="12" customFormat="false" ht="15" hidden="false" customHeight="false" outlineLevel="0" collapsed="false">
      <c r="A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  <c r="J12" s="2" t="s">
        <v>86</v>
      </c>
      <c r="K12" s="2" t="s">
        <v>87</v>
      </c>
      <c r="L12" s="2" t="s">
        <v>88</v>
      </c>
    </row>
    <row r="13" customFormat="false" ht="15" hidden="false" customHeight="false" outlineLevel="0" collapsed="false">
      <c r="A13" s="0" t="s">
        <v>89</v>
      </c>
      <c r="C13" s="3" t="n">
        <v>4</v>
      </c>
      <c r="D13" s="3" t="n">
        <v>3</v>
      </c>
      <c r="E13" s="3" t="n">
        <v>2.5</v>
      </c>
      <c r="F13" s="3" t="n">
        <v>2.5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90</v>
      </c>
      <c r="C14" s="3" t="n">
        <v>30</v>
      </c>
      <c r="D14" s="3" t="n">
        <v>29.5</v>
      </c>
      <c r="E14" s="3" t="n">
        <v>29</v>
      </c>
      <c r="F14" s="3" t="n">
        <v>28.5</v>
      </c>
      <c r="G14" s="3" t="n">
        <v>28.5</v>
      </c>
      <c r="H14" s="3" t="n">
        <v>28.5</v>
      </c>
      <c r="I14" s="3" t="n">
        <v>28.5</v>
      </c>
      <c r="J14" s="3" t="n">
        <v>28.5</v>
      </c>
      <c r="K14" s="3" t="n">
        <v>28.5</v>
      </c>
      <c r="L14" s="3" t="n">
        <v>28.5</v>
      </c>
    </row>
    <row r="15" customFormat="false" ht="15" hidden="false" customHeight="false" outlineLevel="0" collapsed="false">
      <c r="A15" s="0" t="s">
        <v>91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92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93</v>
      </c>
      <c r="C17" s="3" t="n">
        <v>2.9</v>
      </c>
      <c r="D17" s="3" t="n">
        <v>3</v>
      </c>
      <c r="E17" s="3" t="n">
        <v>3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94</v>
      </c>
      <c r="C18" s="3" t="n">
        <v>4.5</v>
      </c>
      <c r="D18" s="3" t="n">
        <v>4.5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95</v>
      </c>
      <c r="C19" s="3" t="n">
        <v>17.5</v>
      </c>
      <c r="D19" s="3" t="n">
        <v>18</v>
      </c>
      <c r="E19" s="3" t="n">
        <v>19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96</v>
      </c>
      <c r="B20" s="3" t="n">
        <v>8</v>
      </c>
    </row>
    <row r="21" customFormat="false" ht="15" hidden="false" customHeight="false" outlineLevel="0" collapsed="false">
      <c r="A21" s="0" t="s">
        <v>97</v>
      </c>
      <c r="B21" s="3" t="n">
        <v>2</v>
      </c>
    </row>
    <row r="22" customFormat="false" ht="15" hidden="false" customHeight="false" outlineLevel="0" collapsed="false">
      <c r="A22" s="0" t="s">
        <v>98</v>
      </c>
      <c r="B22" s="3" t="n">
        <v>20</v>
      </c>
    </row>
    <row r="23" customFormat="false" ht="15" hidden="false" customHeight="false" outlineLevel="0" collapsed="false">
      <c r="A23" s="0" t="s">
        <v>99</v>
      </c>
      <c r="B23" s="3" t="n">
        <v>0</v>
      </c>
    </row>
    <row r="24" customFormat="false" ht="15" hidden="false" customHeight="false" outlineLevel="0" collapsed="false">
      <c r="A24" s="0" t="s">
        <v>100</v>
      </c>
      <c r="B24" s="3" t="n">
        <v>0.2</v>
      </c>
    </row>
    <row r="26" customFormat="false" ht="15" hidden="false" customHeight="false" outlineLevel="0" collapsed="false">
      <c r="A26" s="2" t="s">
        <v>101</v>
      </c>
      <c r="C26" s="2" t="s">
        <v>79</v>
      </c>
      <c r="D26" s="2" t="s">
        <v>80</v>
      </c>
      <c r="E26" s="2" t="s">
        <v>81</v>
      </c>
      <c r="F26" s="2" t="s">
        <v>82</v>
      </c>
      <c r="G26" s="2" t="s">
        <v>83</v>
      </c>
      <c r="H26" s="2" t="s">
        <v>84</v>
      </c>
      <c r="I26" s="2" t="s">
        <v>85</v>
      </c>
      <c r="J26" s="2" t="s">
        <v>86</v>
      </c>
      <c r="K26" s="2" t="s">
        <v>87</v>
      </c>
      <c r="L26" s="2" t="s">
        <v>88</v>
      </c>
    </row>
    <row r="27" customFormat="false" ht="15" hidden="false" customHeight="false" outlineLevel="0" collapsed="false">
      <c r="A27" s="0" t="s">
        <v>89</v>
      </c>
      <c r="C27" s="3" t="n">
        <v>6</v>
      </c>
      <c r="D27" s="3" t="n">
        <v>6</v>
      </c>
      <c r="E27" s="3" t="n">
        <v>5.5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90</v>
      </c>
      <c r="C28" s="3" t="n">
        <v>31</v>
      </c>
      <c r="D28" s="3" t="n">
        <v>31.2</v>
      </c>
      <c r="E28" s="3" t="n">
        <v>31.4</v>
      </c>
      <c r="F28" s="3" t="n">
        <v>31.6</v>
      </c>
      <c r="G28" s="3" t="n">
        <v>31.8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91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92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93</v>
      </c>
      <c r="C31" s="3" t="n">
        <v>2.9</v>
      </c>
      <c r="D31" s="3" t="n">
        <v>2.9</v>
      </c>
      <c r="E31" s="3" t="n">
        <v>3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94</v>
      </c>
      <c r="C32" s="3" t="n">
        <v>4.5</v>
      </c>
      <c r="D32" s="3" t="n">
        <v>4.5</v>
      </c>
      <c r="E32" s="3" t="n">
        <v>4.5</v>
      </c>
      <c r="F32" s="3" t="n">
        <v>4.25</v>
      </c>
      <c r="G32" s="3" t="n">
        <v>4</v>
      </c>
      <c r="H32" s="3" t="n">
        <v>4</v>
      </c>
      <c r="I32" s="3" t="n">
        <v>3.75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95</v>
      </c>
      <c r="C33" s="3" t="n">
        <v>17.5</v>
      </c>
      <c r="D33" s="3" t="n">
        <v>17.5</v>
      </c>
      <c r="E33" s="3" t="n">
        <v>17.5</v>
      </c>
      <c r="F33" s="3" t="n">
        <v>17.5</v>
      </c>
      <c r="G33" s="3" t="n">
        <v>17.5</v>
      </c>
      <c r="H33" s="3" t="n">
        <v>17.5</v>
      </c>
      <c r="I33" s="3" t="n">
        <v>17.5</v>
      </c>
      <c r="J33" s="3" t="n">
        <v>17.5</v>
      </c>
      <c r="K33" s="3" t="n">
        <v>17.5</v>
      </c>
      <c r="L33" s="3" t="n">
        <v>17.5</v>
      </c>
    </row>
    <row r="34" customFormat="false" ht="15" hidden="false" customHeight="false" outlineLevel="0" collapsed="false">
      <c r="A34" s="0" t="s">
        <v>96</v>
      </c>
      <c r="B34" s="3" t="n">
        <v>8</v>
      </c>
    </row>
    <row r="35" customFormat="false" ht="15" hidden="false" customHeight="false" outlineLevel="0" collapsed="false">
      <c r="A35" s="0" t="s">
        <v>97</v>
      </c>
      <c r="B35" s="3" t="n">
        <v>2.5</v>
      </c>
    </row>
    <row r="36" customFormat="false" ht="15" hidden="false" customHeight="false" outlineLevel="0" collapsed="false">
      <c r="A36" s="0" t="s">
        <v>98</v>
      </c>
      <c r="B36" s="3" t="n">
        <v>20</v>
      </c>
    </row>
    <row r="37" customFormat="false" ht="15" hidden="false" customHeight="false" outlineLevel="0" collapsed="false">
      <c r="A37" s="0" t="s">
        <v>99</v>
      </c>
      <c r="B37" s="3" t="n">
        <v>8</v>
      </c>
    </row>
    <row r="38" customFormat="false" ht="15" hidden="false" customHeight="false" outlineLevel="0" collapsed="false">
      <c r="A38" s="0" t="s">
        <v>100</v>
      </c>
      <c r="B38" s="3" t="n">
        <v>0.55</v>
      </c>
    </row>
    <row r="40" customFormat="false" ht="15" hidden="false" customHeight="false" outlineLevel="0" collapsed="false">
      <c r="A40" s="2" t="s">
        <v>102</v>
      </c>
      <c r="C40" s="2" t="s">
        <v>79</v>
      </c>
      <c r="D40" s="2" t="s">
        <v>80</v>
      </c>
      <c r="E40" s="2" t="s">
        <v>81</v>
      </c>
      <c r="F40" s="2" t="s">
        <v>82</v>
      </c>
      <c r="G40" s="2" t="s">
        <v>83</v>
      </c>
      <c r="H40" s="2" t="s">
        <v>84</v>
      </c>
      <c r="I40" s="2" t="s">
        <v>85</v>
      </c>
      <c r="J40" s="2" t="s">
        <v>86</v>
      </c>
      <c r="K40" s="2" t="s">
        <v>87</v>
      </c>
      <c r="L40" s="2" t="s">
        <v>88</v>
      </c>
    </row>
    <row r="41" customFormat="false" ht="15" hidden="false" customHeight="false" outlineLevel="0" collapsed="false">
      <c r="A41" s="0" t="s">
        <v>89</v>
      </c>
      <c r="C41" s="3" t="n">
        <v>8</v>
      </c>
      <c r="D41" s="3" t="n">
        <v>8.5</v>
      </c>
      <c r="E41" s="3" t="n">
        <v>8</v>
      </c>
      <c r="F41" s="3" t="n">
        <v>7.5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90</v>
      </c>
      <c r="C42" s="3" t="n">
        <v>31.5</v>
      </c>
      <c r="D42" s="3" t="n">
        <v>32</v>
      </c>
      <c r="E42" s="3" t="n">
        <v>32.5</v>
      </c>
      <c r="F42" s="3" t="n">
        <v>33</v>
      </c>
      <c r="G42" s="3" t="n">
        <v>33.5</v>
      </c>
      <c r="H42" s="3" t="n">
        <v>34</v>
      </c>
      <c r="I42" s="3" t="n">
        <v>34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91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92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93</v>
      </c>
      <c r="C45" s="3" t="n">
        <v>2.9</v>
      </c>
      <c r="D45" s="3" t="n">
        <v>2.9</v>
      </c>
      <c r="E45" s="3" t="n">
        <v>3</v>
      </c>
      <c r="F45" s="3" t="n">
        <v>3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94</v>
      </c>
      <c r="C46" s="3" t="n">
        <v>5</v>
      </c>
      <c r="D46" s="3" t="n">
        <v>5</v>
      </c>
      <c r="E46" s="3" t="n">
        <v>5</v>
      </c>
      <c r="F46" s="3" t="n">
        <v>4.5</v>
      </c>
      <c r="G46" s="3" t="n">
        <v>4.5</v>
      </c>
      <c r="H46" s="3" t="n">
        <v>4</v>
      </c>
      <c r="I46" s="3" t="n">
        <v>4</v>
      </c>
      <c r="J46" s="3" t="n">
        <v>3.75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95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96</v>
      </c>
      <c r="B48" s="3" t="n">
        <v>8</v>
      </c>
    </row>
    <row r="49" customFormat="false" ht="15" hidden="false" customHeight="false" outlineLevel="0" collapsed="false">
      <c r="A49" s="0" t="s">
        <v>97</v>
      </c>
      <c r="B49" s="3" t="n">
        <v>3</v>
      </c>
    </row>
    <row r="50" customFormat="false" ht="15" hidden="false" customHeight="false" outlineLevel="0" collapsed="false">
      <c r="A50" s="0" t="s">
        <v>98</v>
      </c>
      <c r="B50" s="3" t="n">
        <v>20</v>
      </c>
    </row>
    <row r="51" customFormat="false" ht="15" hidden="false" customHeight="false" outlineLevel="0" collapsed="false">
      <c r="A51" s="0" t="s">
        <v>99</v>
      </c>
      <c r="B51" s="3" t="n">
        <v>10</v>
      </c>
    </row>
    <row r="52" customFormat="false" ht="15" hidden="false" customHeight="false" outlineLevel="0" collapsed="false">
      <c r="A52" s="0" t="s">
        <v>100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103</v>
      </c>
    </row>
    <row r="3" customFormat="false" ht="15" hidden="false" customHeight="false" outlineLevel="0" collapsed="false">
      <c r="A3" s="0" t="s">
        <v>104</v>
      </c>
      <c r="B3" s="0" t="s">
        <v>65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87</v>
      </c>
      <c r="L3" s="2" t="s">
        <v>88</v>
      </c>
    </row>
    <row r="4" customFormat="false" ht="15" hidden="false" customHeight="false" outlineLevel="0" collapsed="false">
      <c r="A4" s="0" t="s">
        <v>105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89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28873.38</v>
      </c>
      <c r="C6" s="0" t="n">
        <f aca="false">B6*(1+C5/100)</f>
        <v>30028.3152</v>
      </c>
      <c r="D6" s="0" t="n">
        <f aca="false">C6*(1+D5/100)</f>
        <v>30929.164656</v>
      </c>
      <c r="E6" s="0" t="n">
        <f aca="false">D6*(1+E5/100)</f>
        <v>31702.3937724</v>
      </c>
      <c r="F6" s="0" t="n">
        <f aca="false">E6*(1+F5/100)</f>
        <v>32494.95361671</v>
      </c>
      <c r="G6" s="0" t="n">
        <f aca="false">F6*(1+G5/100)</f>
        <v>33144.8526890442</v>
      </c>
      <c r="H6" s="0" t="n">
        <f aca="false">G6*(1+H5/100)</f>
        <v>33807.7497428251</v>
      </c>
      <c r="I6" s="0" t="n">
        <f aca="false">H6*(1+I5/100)</f>
        <v>34483.9047376816</v>
      </c>
      <c r="J6" s="0" t="n">
        <f aca="false">I6*(1+J5/100)</f>
        <v>35173.5828324352</v>
      </c>
      <c r="K6" s="0" t="n">
        <f aca="false">J6*(1+K5/100)</f>
        <v>35877.0544890839</v>
      </c>
      <c r="L6" s="0" t="n">
        <f aca="false">K6*(1+L5/100)</f>
        <v>36594.5955788656</v>
      </c>
    </row>
    <row r="7" customFormat="false" ht="15" hidden="false" customHeight="false" outlineLevel="0" collapsed="false">
      <c r="A7" s="0" t="s">
        <v>90</v>
      </c>
      <c r="C7" s="4" t="n">
        <f aca="false">Assumptions!C14</f>
        <v>30</v>
      </c>
      <c r="D7" s="4" t="n">
        <f aca="false">Assumptions!D14</f>
        <v>29.5</v>
      </c>
      <c r="E7" s="4" t="n">
        <f aca="false">Assumptions!E14</f>
        <v>29</v>
      </c>
      <c r="F7" s="4" t="n">
        <f aca="false">Assumptions!F14</f>
        <v>28.5</v>
      </c>
      <c r="G7" s="4" t="n">
        <f aca="false">Assumptions!G14</f>
        <v>28.5</v>
      </c>
      <c r="H7" s="4" t="n">
        <f aca="false">Assumptions!H14</f>
        <v>28.5</v>
      </c>
      <c r="I7" s="4" t="n">
        <f aca="false">Assumptions!I14</f>
        <v>28.5</v>
      </c>
      <c r="J7" s="4" t="n">
        <f aca="false">Assumptions!J14</f>
        <v>28.5</v>
      </c>
      <c r="K7" s="4" t="n">
        <f aca="false">Assumptions!K14</f>
        <v>28.5</v>
      </c>
      <c r="L7" s="4" t="n">
        <f aca="false">Assumptions!L14</f>
        <v>28.5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9008.49456</v>
      </c>
      <c r="D8" s="0" t="n">
        <f aca="false">D6*D7/100</f>
        <v>9124.10357352</v>
      </c>
      <c r="E8" s="0" t="n">
        <f aca="false">E6*E7/100</f>
        <v>9193.694193996</v>
      </c>
      <c r="F8" s="0" t="n">
        <f aca="false">F6*F7/100</f>
        <v>9261.06178076235</v>
      </c>
      <c r="G8" s="0" t="n">
        <f aca="false">G6*G7/100</f>
        <v>9446.2830163776</v>
      </c>
      <c r="H8" s="0" t="n">
        <f aca="false">H6*H7/100</f>
        <v>9635.20867670515</v>
      </c>
      <c r="I8" s="0" t="n">
        <f aca="false">I6*I7/100</f>
        <v>9827.91285023925</v>
      </c>
      <c r="J8" s="0" t="n">
        <f aca="false">J6*J7/100</f>
        <v>10024.471107244</v>
      </c>
      <c r="K8" s="0" t="n">
        <f aca="false">K6*K7/100</f>
        <v>10224.9605293889</v>
      </c>
      <c r="L8" s="0" t="n">
        <f aca="false">L6*L7/100</f>
        <v>10429.4597399767</v>
      </c>
    </row>
    <row r="9" customFormat="false" ht="15" hidden="false" customHeight="false" outlineLevel="0" collapsed="false">
      <c r="A9" s="0" t="s">
        <v>91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106</v>
      </c>
      <c r="C10" s="0" t="n">
        <f aca="false">-C6*C9/100</f>
        <v>-180.1698912</v>
      </c>
      <c r="D10" s="0" t="n">
        <f aca="false">-D6*D9/100</f>
        <v>-185.574987936</v>
      </c>
      <c r="E10" s="0" t="n">
        <f aca="false">-E6*E9/100</f>
        <v>-190.2143626344</v>
      </c>
      <c r="F10" s="0" t="n">
        <f aca="false">-F6*F9/100</f>
        <v>-194.96972170026</v>
      </c>
      <c r="G10" s="0" t="n">
        <f aca="false">-G6*G9/100</f>
        <v>-198.869116134265</v>
      </c>
      <c r="H10" s="0" t="n">
        <f aca="false">-H6*H9/100</f>
        <v>-202.846498456951</v>
      </c>
      <c r="I10" s="0" t="n">
        <f aca="false">-I6*I9/100</f>
        <v>-206.90342842609</v>
      </c>
      <c r="J10" s="0" t="n">
        <f aca="false">-J6*J9/100</f>
        <v>-211.041496994611</v>
      </c>
      <c r="K10" s="0" t="n">
        <f aca="false">-K6*K9/100</f>
        <v>-215.262326934504</v>
      </c>
      <c r="L10" s="0" t="n">
        <f aca="false">-L6*L9/100</f>
        <v>-219.567573473194</v>
      </c>
    </row>
    <row r="11" customFormat="false" ht="15" hidden="false" customHeight="false" outlineLevel="0" collapsed="false">
      <c r="A11" s="0" t="s">
        <v>107</v>
      </c>
      <c r="C11" s="0" t="n">
        <f aca="false">C8+C10+C24</f>
        <v>8828.3246688</v>
      </c>
      <c r="D11" s="0" t="n">
        <f aca="false">D8+D10+D24</f>
        <v>8938.528585584</v>
      </c>
      <c r="E11" s="0" t="n">
        <f aca="false">E8+E10+E24</f>
        <v>9003.4798313616</v>
      </c>
      <c r="F11" s="0" t="n">
        <f aca="false">F8+F10+F24</f>
        <v>9066.09205906209</v>
      </c>
      <c r="G11" s="0" t="n">
        <f aca="false">G8+G10+G24</f>
        <v>9247.41390024333</v>
      </c>
      <c r="H11" s="0" t="n">
        <f aca="false">H8+H10+H24</f>
        <v>9432.3621782482</v>
      </c>
      <c r="I11" s="0" t="n">
        <f aca="false">I8+I10+I24</f>
        <v>9621.00942181316</v>
      </c>
      <c r="J11" s="0" t="n">
        <f aca="false">J8+J10+J24</f>
        <v>9813.42961024943</v>
      </c>
      <c r="K11" s="0" t="n">
        <f aca="false">K8+K10+K24</f>
        <v>10009.6982024544</v>
      </c>
      <c r="L11" s="0" t="n">
        <f aca="false">L8+L10+L24</f>
        <v>10209.8921665035</v>
      </c>
    </row>
    <row r="12" customFormat="false" ht="15" hidden="false" customHeight="false" outlineLevel="0" collapsed="false">
      <c r="A12" s="0" t="s">
        <v>108</v>
      </c>
      <c r="C12" s="4" t="n">
        <f aca="false">-C6*Assumptions!C17/100</f>
        <v>-870.8211408</v>
      </c>
      <c r="D12" s="4" t="n">
        <f aca="false">-D6*Assumptions!D17/100</f>
        <v>-927.87493968</v>
      </c>
      <c r="E12" s="4" t="n">
        <f aca="false">-E6*Assumptions!E17/100</f>
        <v>-951.071813172</v>
      </c>
      <c r="F12" s="4" t="n">
        <f aca="false">-F6*Assumptions!F17/100</f>
        <v>-974.8486085013</v>
      </c>
      <c r="G12" s="4" t="n">
        <f aca="false">-G6*Assumptions!G17/100</f>
        <v>-994.345580671326</v>
      </c>
      <c r="H12" s="4" t="n">
        <f aca="false">-H6*Assumptions!H17/100</f>
        <v>-1014.23249228475</v>
      </c>
      <c r="I12" s="4" t="n">
        <f aca="false">-I6*Assumptions!I17/100</f>
        <v>-1034.51714213045</v>
      </c>
      <c r="J12" s="4" t="n">
        <f aca="false">-J6*Assumptions!J17/100</f>
        <v>-1055.20748497306</v>
      </c>
      <c r="K12" s="4" t="n">
        <f aca="false">-K6*Assumptions!K17/100</f>
        <v>-1076.31163467252</v>
      </c>
      <c r="L12" s="4" t="n">
        <f aca="false">-L6*Assumptions!L17/100</f>
        <v>-1097.83786736597</v>
      </c>
    </row>
    <row r="13" customFormat="false" ht="15" hidden="false" customHeight="false" outlineLevel="0" collapsed="false">
      <c r="A13" s="0" t="s">
        <v>109</v>
      </c>
      <c r="C13" s="0" t="n">
        <f aca="false">C11+C12</f>
        <v>7957.503528</v>
      </c>
      <c r="D13" s="0" t="n">
        <f aca="false">D11+D12</f>
        <v>8010.653645904</v>
      </c>
      <c r="E13" s="0" t="n">
        <f aca="false">E11+E12</f>
        <v>8052.4080181896</v>
      </c>
      <c r="F13" s="0" t="n">
        <f aca="false">F11+F12</f>
        <v>8091.24345056079</v>
      </c>
      <c r="G13" s="0" t="n">
        <f aca="false">G11+G12</f>
        <v>8253.06831957201</v>
      </c>
      <c r="H13" s="0" t="n">
        <f aca="false">H11+H12</f>
        <v>8418.12968596345</v>
      </c>
      <c r="I13" s="0" t="n">
        <f aca="false">I11+I12</f>
        <v>8586.49227968272</v>
      </c>
      <c r="J13" s="0" t="n">
        <f aca="false">J11+J12</f>
        <v>8758.22212527637</v>
      </c>
      <c r="K13" s="0" t="n">
        <f aca="false">K11+K12</f>
        <v>8933.3865677819</v>
      </c>
      <c r="L13" s="0" t="n">
        <f aca="false">L11+L12</f>
        <v>9112.05429913753</v>
      </c>
    </row>
    <row r="14" customFormat="false" ht="15" hidden="false" customHeight="false" outlineLevel="0" collapsed="false">
      <c r="A14" s="0" t="s">
        <v>95</v>
      </c>
      <c r="C14" s="4" t="n">
        <f aca="false">Assumptions!C19</f>
        <v>17.5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110</v>
      </c>
      <c r="C15" s="0" t="n">
        <f aca="false">C13-MAX(0,C13)*C14/100</f>
        <v>6564.9404106</v>
      </c>
      <c r="D15" s="0" t="n">
        <f aca="false">D13-MAX(0,D13)*D14/100</f>
        <v>6568.73598964128</v>
      </c>
      <c r="E15" s="0" t="n">
        <f aca="false">E13-MAX(0,E13)*E14/100</f>
        <v>6522.45049473358</v>
      </c>
      <c r="F15" s="0" t="n">
        <f aca="false">F13-MAX(0,F13)*F14/100</f>
        <v>6472.99476044863</v>
      </c>
      <c r="G15" s="0" t="n">
        <f aca="false">G13-MAX(0,G13)*G14/100</f>
        <v>6602.4546556576</v>
      </c>
      <c r="H15" s="0" t="n">
        <f aca="false">H13-MAX(0,H13)*H14/100</f>
        <v>6734.50374877076</v>
      </c>
      <c r="I15" s="0" t="n">
        <f aca="false">I13-MAX(0,I13)*I14/100</f>
        <v>6869.19382374617</v>
      </c>
      <c r="J15" s="0" t="n">
        <f aca="false">J13-MAX(0,J13)*J14/100</f>
        <v>7006.5777002211</v>
      </c>
      <c r="K15" s="0" t="n">
        <f aca="false">K13-MAX(0,K13)*K14/100</f>
        <v>7146.70925422552</v>
      </c>
      <c r="L15" s="0" t="n">
        <f aca="false">L13-MAX(0,L13)*L14/100</f>
        <v>7289.64343931003</v>
      </c>
    </row>
    <row r="16" customFormat="false" ht="15" hidden="false" customHeight="false" outlineLevel="0" collapsed="false">
      <c r="A16" s="0" t="s">
        <v>111</v>
      </c>
      <c r="C16" s="0" t="n">
        <f aca="false">-C12</f>
        <v>870.8211408</v>
      </c>
      <c r="D16" s="0" t="n">
        <f aca="false">-D12</f>
        <v>927.87493968</v>
      </c>
      <c r="E16" s="0" t="n">
        <f aca="false">-E12</f>
        <v>951.071813172</v>
      </c>
      <c r="F16" s="0" t="n">
        <f aca="false">-F12</f>
        <v>974.8486085013</v>
      </c>
      <c r="G16" s="0" t="n">
        <f aca="false">-G12</f>
        <v>994.345580671326</v>
      </c>
      <c r="H16" s="0" t="n">
        <f aca="false">-H12</f>
        <v>1014.23249228475</v>
      </c>
      <c r="I16" s="0" t="n">
        <f aca="false">-I12</f>
        <v>1034.51714213045</v>
      </c>
      <c r="J16" s="0" t="n">
        <f aca="false">-J12</f>
        <v>1055.20748497306</v>
      </c>
      <c r="K16" s="0" t="n">
        <f aca="false">-K12</f>
        <v>1076.31163467252</v>
      </c>
      <c r="L16" s="0" t="n">
        <f aca="false">-L12</f>
        <v>1097.83786736597</v>
      </c>
    </row>
    <row r="17" customFormat="false" ht="15" hidden="false" customHeight="false" outlineLevel="0" collapsed="false">
      <c r="A17" s="0" t="s">
        <v>112</v>
      </c>
      <c r="C17" s="4" t="n">
        <f aca="false">-C6*Assumptions!C18/100</f>
        <v>-1351.274184</v>
      </c>
      <c r="D17" s="4" t="n">
        <f aca="false">-D6*Assumptions!D18/100</f>
        <v>-1391.81240952</v>
      </c>
      <c r="E17" s="4" t="n">
        <f aca="false">-E6*Assumptions!E18/100</f>
        <v>-1268.095750896</v>
      </c>
      <c r="F17" s="4" t="n">
        <f aca="false">-F6*Assumptions!F18/100</f>
        <v>-1299.7981446684</v>
      </c>
      <c r="G17" s="4" t="n">
        <f aca="false">-G6*Assumptions!G18/100</f>
        <v>-1325.79410756177</v>
      </c>
      <c r="H17" s="4" t="n">
        <f aca="false">-H6*Assumptions!H18/100</f>
        <v>-1352.309989713</v>
      </c>
      <c r="I17" s="4" t="n">
        <f aca="false">-I6*Assumptions!I18/100</f>
        <v>-1379.35618950726</v>
      </c>
      <c r="J17" s="4" t="n">
        <f aca="false">-J6*Assumptions!J18/100</f>
        <v>-1406.94331329741</v>
      </c>
      <c r="K17" s="4" t="n">
        <f aca="false">-K6*Assumptions!K18/100</f>
        <v>-1435.08217956336</v>
      </c>
      <c r="L17" s="4" t="n">
        <f aca="false">-L6*Assumptions!L18/100</f>
        <v>-1463.78382315462</v>
      </c>
    </row>
    <row r="18" customFormat="false" ht="15" hidden="false" customHeight="false" outlineLevel="0" collapsed="false">
      <c r="A18" s="0" t="s">
        <v>113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114</v>
      </c>
      <c r="C19" s="0" t="n">
        <f aca="false">C15+C16+C17+C18</f>
        <v>6084.4873674</v>
      </c>
      <c r="D19" s="0" t="n">
        <f aca="false">D15+D16+D17+D18</f>
        <v>6104.79851980128</v>
      </c>
      <c r="E19" s="0" t="n">
        <f aca="false">E15+E16+E17+E18</f>
        <v>6205.42655700958</v>
      </c>
      <c r="F19" s="0" t="n">
        <f aca="false">F15+F16+F17+F18</f>
        <v>6148.04522428153</v>
      </c>
      <c r="G19" s="0" t="n">
        <f aca="false">G15+G16+G17+G18</f>
        <v>6271.00612876716</v>
      </c>
      <c r="H19" s="0" t="n">
        <f aca="false">H15+H16+H17+H18</f>
        <v>6396.42625134251</v>
      </c>
      <c r="I19" s="0" t="n">
        <f aca="false">I15+I16+I17+I18</f>
        <v>6524.35477636936</v>
      </c>
      <c r="J19" s="0" t="n">
        <f aca="false">J15+J16+J17+J18</f>
        <v>6654.84187189674</v>
      </c>
      <c r="K19" s="0" t="n">
        <f aca="false">K15+K16+K17+K18</f>
        <v>6787.93870933468</v>
      </c>
      <c r="L19" s="0" t="n">
        <f aca="false">L15+L16+L17+L18</f>
        <v>6923.69748352137</v>
      </c>
    </row>
    <row r="20" customFormat="false" ht="15" hidden="false" customHeight="false" outlineLevel="0" collapsed="false">
      <c r="A20" s="0" t="s">
        <v>115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116</v>
      </c>
      <c r="C21" s="0" t="n">
        <f aca="false">C19*C20</f>
        <v>5633.78459944444</v>
      </c>
      <c r="D21" s="0" t="n">
        <f aca="false">D19*D20</f>
        <v>5233.8807611465</v>
      </c>
      <c r="E21" s="0" t="n">
        <f aca="false">E19*E20</f>
        <v>4926.06767023699</v>
      </c>
      <c r="F21" s="0" t="n">
        <f aca="false">F19*F20</f>
        <v>4518.99677618959</v>
      </c>
      <c r="G21" s="0" t="n">
        <f aca="false">G19*G20</f>
        <v>4267.94139973461</v>
      </c>
      <c r="H21" s="0" t="n">
        <f aca="false">H19*H20</f>
        <v>4030.8335441938</v>
      </c>
      <c r="I21" s="0" t="n">
        <f aca="false">I19*I20</f>
        <v>3806.89834729415</v>
      </c>
      <c r="J21" s="0" t="n">
        <f aca="false">J19*J20</f>
        <v>3595.40399466669</v>
      </c>
      <c r="K21" s="0" t="n">
        <f aca="false">K19*K20</f>
        <v>3395.65932829632</v>
      </c>
      <c r="L21" s="0" t="n">
        <f aca="false">L19*L20</f>
        <v>3207.01158783541</v>
      </c>
    </row>
    <row r="23" customFormat="false" ht="15" hidden="false" customHeight="false" outlineLevel="0" collapsed="false">
      <c r="A23" s="0" t="s">
        <v>92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118</v>
      </c>
    </row>
    <row r="27" customFormat="false" ht="15" hidden="false" customHeight="false" outlineLevel="0" collapsed="false">
      <c r="A27" s="0" t="s">
        <v>96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97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98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119</v>
      </c>
      <c r="B30" s="0" t="n">
        <f aca="false">SUM(C21:L21)</f>
        <v>42616.4780090385</v>
      </c>
    </row>
    <row r="31" customFormat="false" ht="15" hidden="false" customHeight="false" outlineLevel="0" collapsed="false">
      <c r="A31" s="0" t="s">
        <v>120</v>
      </c>
      <c r="B31" s="0" t="n">
        <f aca="false">L19</f>
        <v>6923.69748352137</v>
      </c>
    </row>
    <row r="32" customFormat="false" ht="15" hidden="false" customHeight="false" outlineLevel="0" collapsed="false">
      <c r="A32" s="0" t="s">
        <v>121</v>
      </c>
      <c r="B32" s="0" t="n">
        <f aca="false">IF(B27&gt;B28,B31*(1+B28/100)/((B27-B28)/100),B31*B29)</f>
        <v>117702.857219863</v>
      </c>
    </row>
    <row r="33" customFormat="false" ht="15" hidden="false" customHeight="false" outlineLevel="0" collapsed="false">
      <c r="A33" s="0" t="s">
        <v>122</v>
      </c>
      <c r="B33" s="0" t="n">
        <f aca="false">B31*B29</f>
        <v>138473.949670427</v>
      </c>
    </row>
    <row r="34" customFormat="false" ht="15" hidden="false" customHeight="false" outlineLevel="0" collapsed="false">
      <c r="A34" s="0" t="s">
        <v>123</v>
      </c>
      <c r="B34" s="0" t="n">
        <f aca="false">MAX(0,MIN(B32,B33))</f>
        <v>117702.857219863</v>
      </c>
    </row>
    <row r="35" customFormat="false" ht="15" hidden="false" customHeight="false" outlineLevel="0" collapsed="false">
      <c r="A35" s="0" t="s">
        <v>124</v>
      </c>
      <c r="B35" s="0" t="n">
        <f aca="false">B34/(1+B27/100)^L4</f>
        <v>54519.196993202</v>
      </c>
    </row>
    <row r="36" customFormat="false" ht="15" hidden="false" customHeight="false" outlineLevel="0" collapsed="false">
      <c r="A36" s="0" t="s">
        <v>125</v>
      </c>
      <c r="B36" s="0" t="n">
        <f aca="false">B30+B35</f>
        <v>97135.6750022406</v>
      </c>
    </row>
    <row r="37" customFormat="false" ht="15" hidden="false" customHeight="false" outlineLevel="0" collapsed="false">
      <c r="A37" s="0" t="s">
        <v>126</v>
      </c>
      <c r="B37" s="0" t="n">
        <f aca="false">B36+Assumptions!$B$5-Assumptions!$B$4</f>
        <v>132162.451002241</v>
      </c>
    </row>
    <row r="38" customFormat="false" ht="15" hidden="false" customHeight="false" outlineLevel="0" collapsed="false">
      <c r="A38" s="0" t="s">
        <v>127</v>
      </c>
      <c r="B38" s="0" t="n">
        <f aca="false">B37/Assumptions!$B$3*Assumptions!$B$10</f>
        <v>26.5213614918305</v>
      </c>
    </row>
    <row r="39" customFormat="false" ht="15" hidden="false" customHeight="false" outlineLevel="0" collapsed="false">
      <c r="A39" s="0" t="s">
        <v>128</v>
      </c>
      <c r="B39" s="4" t="n">
        <f aca="false">B38/Assumptions!$B$2-1</f>
        <v>0.0153660601772783</v>
      </c>
    </row>
    <row r="41" customFormat="false" ht="15" hidden="false" customHeight="false" outlineLevel="0" collapsed="false">
      <c r="A41" s="0" t="s">
        <v>129</v>
      </c>
      <c r="B41" s="0" t="n">
        <f aca="false">SUMPRODUCT(-C10:L10/(1+$B$27/100)^C4:L4)</f>
        <v>1327.53849960737</v>
      </c>
    </row>
    <row r="42" customFormat="false" ht="15" hidden="false" customHeight="false" outlineLevel="0" collapsed="false">
      <c r="A42" s="0" t="s">
        <v>130</v>
      </c>
      <c r="B42" s="0" t="n">
        <f aca="false">IF(B27&gt;B28,-L10*(1+B28/100)/((B27-B28)/100),-L10*20)/(1+B27/100)^L4</f>
        <v>1728.93859386476</v>
      </c>
    </row>
    <row r="43" customFormat="false" ht="15" hidden="false" customHeight="false" outlineLevel="0" collapsed="false">
      <c r="A43" s="0" t="s">
        <v>131</v>
      </c>
      <c r="B43" s="0" t="n">
        <f aca="false">(B37+B41+B42)/Assumptions!$B$3*Assumptions!$B$10</f>
        <v>27.1347122073533</v>
      </c>
    </row>
    <row r="45" customFormat="false" ht="15" hidden="false" customHeight="false" outlineLevel="0" collapsed="false">
      <c r="A45" s="0" t="s">
        <v>72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132</v>
      </c>
      <c r="B46" s="0" t="n">
        <f aca="false">MAX(0,MIN(IF(B45&gt;B28,B31*(1+B28/100)/((B45-B28)/100),B31*B29),B31*B29))</f>
        <v>54324.3956399369</v>
      </c>
    </row>
    <row r="47" customFormat="false" ht="15" hidden="false" customHeight="false" outlineLevel="0" collapsed="false">
      <c r="A47" s="0" t="s">
        <v>133</v>
      </c>
      <c r="B47" s="0" t="n">
        <f aca="false">(SUMPRODUCT(C19:L19/(1+B45/100)^C4:L4)+B46/(1+B45/100)^L4+Assumptions!$B$5-Assumptions!$B$4)/Assumptions!$B$3*Assumptions!$B$10</f>
        <v>16.0757882256778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134</v>
      </c>
    </row>
    <row r="3" customFormat="false" ht="15" hidden="false" customHeight="false" outlineLevel="0" collapsed="false">
      <c r="A3" s="0" t="s">
        <v>104</v>
      </c>
      <c r="B3" s="0" t="s">
        <v>65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87</v>
      </c>
      <c r="L3" s="2" t="s">
        <v>88</v>
      </c>
    </row>
    <row r="4" customFormat="false" ht="15" hidden="false" customHeight="false" outlineLevel="0" collapsed="false">
      <c r="A4" s="0" t="s">
        <v>105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89</v>
      </c>
      <c r="C5" s="4" t="n">
        <f aca="false">Assumptions!C27</f>
        <v>6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28873.38</v>
      </c>
      <c r="C6" s="0" t="n">
        <f aca="false">B6*(1+C5/100)</f>
        <v>30605.7828</v>
      </c>
      <c r="D6" s="0" t="n">
        <f aca="false">C6*(1+D5/100)</f>
        <v>32442.129768</v>
      </c>
      <c r="E6" s="0" t="n">
        <f aca="false">D6*(1+E5/100)</f>
        <v>34226.44690524</v>
      </c>
      <c r="F6" s="0" t="n">
        <f aca="false">E6*(1+F5/100)</f>
        <v>36108.9014850282</v>
      </c>
      <c r="G6" s="0" t="n">
        <f aca="false">F6*(1+G5/100)</f>
        <v>37914.3465592796</v>
      </c>
      <c r="H6" s="0" t="n">
        <f aca="false">G6*(1+H5/100)</f>
        <v>39620.4921544472</v>
      </c>
      <c r="I6" s="0" t="n">
        <f aca="false">H6*(1+I5/100)</f>
        <v>41205.3118406251</v>
      </c>
      <c r="J6" s="0" t="n">
        <f aca="false">I6*(1+J5/100)</f>
        <v>42647.497755047</v>
      </c>
      <c r="K6" s="0" t="n">
        <f aca="false">J6*(1+K5/100)</f>
        <v>43926.9226876984</v>
      </c>
      <c r="L6" s="0" t="n">
        <f aca="false">K6*(1+L5/100)</f>
        <v>45244.7303683293</v>
      </c>
    </row>
    <row r="7" customFormat="false" ht="15" hidden="false" customHeight="false" outlineLevel="0" collapsed="false">
      <c r="A7" s="0" t="s">
        <v>90</v>
      </c>
      <c r="C7" s="4" t="n">
        <f aca="false">Assumptions!C28</f>
        <v>31</v>
      </c>
      <c r="D7" s="4" t="n">
        <f aca="false">Assumptions!D28</f>
        <v>31.2</v>
      </c>
      <c r="E7" s="4" t="n">
        <f aca="false">Assumptions!E28</f>
        <v>31.4</v>
      </c>
      <c r="F7" s="4" t="n">
        <f aca="false">Assumptions!F28</f>
        <v>31.6</v>
      </c>
      <c r="G7" s="4" t="n">
        <f aca="false">Assumptions!G28</f>
        <v>31.8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9487.792668</v>
      </c>
      <c r="D8" s="0" t="n">
        <f aca="false">D6*D7/100</f>
        <v>10121.944487616</v>
      </c>
      <c r="E8" s="0" t="n">
        <f aca="false">E6*E7/100</f>
        <v>10747.1043282454</v>
      </c>
      <c r="F8" s="0" t="n">
        <f aca="false">F6*F7/100</f>
        <v>11410.4128692689</v>
      </c>
      <c r="G8" s="0" t="n">
        <f aca="false">G6*G7/100</f>
        <v>12056.7622058509</v>
      </c>
      <c r="H8" s="0" t="n">
        <f aca="false">H6*H7/100</f>
        <v>12678.5574894231</v>
      </c>
      <c r="I8" s="0" t="n">
        <f aca="false">I6*I7/100</f>
        <v>13185.699789</v>
      </c>
      <c r="J8" s="0" t="n">
        <f aca="false">J6*J7/100</f>
        <v>13647.199281615</v>
      </c>
      <c r="K8" s="0" t="n">
        <f aca="false">K6*K7/100</f>
        <v>14056.6152600635</v>
      </c>
      <c r="L8" s="0" t="n">
        <f aca="false">L6*L7/100</f>
        <v>14478.3137178654</v>
      </c>
    </row>
    <row r="9" customFormat="false" ht="15" hidden="false" customHeight="false" outlineLevel="0" collapsed="false">
      <c r="A9" s="0" t="s">
        <v>91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106</v>
      </c>
      <c r="C10" s="0" t="n">
        <f aca="false">-C6*C9/100</f>
        <v>-183.6346968</v>
      </c>
      <c r="D10" s="0" t="n">
        <f aca="false">-D6*D9/100</f>
        <v>-194.652778608</v>
      </c>
      <c r="E10" s="0" t="n">
        <f aca="false">-E6*E9/100</f>
        <v>-205.35868143144</v>
      </c>
      <c r="F10" s="0" t="n">
        <f aca="false">-F6*F9/100</f>
        <v>-216.653408910169</v>
      </c>
      <c r="G10" s="0" t="n">
        <f aca="false">-G6*G9/100</f>
        <v>-227.486079355678</v>
      </c>
      <c r="H10" s="0" t="n">
        <f aca="false">-H6*H9/100</f>
        <v>-237.722952926683</v>
      </c>
      <c r="I10" s="0" t="n">
        <f aca="false">-I6*I9/100</f>
        <v>-247.23187104375</v>
      </c>
      <c r="J10" s="0" t="n">
        <f aca="false">-J6*J9/100</f>
        <v>-255.884986530282</v>
      </c>
      <c r="K10" s="0" t="n">
        <f aca="false">-K6*K9/100</f>
        <v>-263.56153612619</v>
      </c>
      <c r="L10" s="0" t="n">
        <f aca="false">-L6*L9/100</f>
        <v>-271.468382209976</v>
      </c>
    </row>
    <row r="11" customFormat="false" ht="15" hidden="false" customHeight="false" outlineLevel="0" collapsed="false">
      <c r="A11" s="0" t="s">
        <v>107</v>
      </c>
      <c r="C11" s="0" t="n">
        <f aca="false">C8+C10+C24</f>
        <v>9304.1579712</v>
      </c>
      <c r="D11" s="0" t="n">
        <f aca="false">D8+D10+D24</f>
        <v>9927.291709008</v>
      </c>
      <c r="E11" s="0" t="n">
        <f aca="false">E8+E10+E24</f>
        <v>10541.7456468139</v>
      </c>
      <c r="F11" s="0" t="n">
        <f aca="false">F8+F10+F24</f>
        <v>11193.7594603587</v>
      </c>
      <c r="G11" s="0" t="n">
        <f aca="false">G8+G10+G24</f>
        <v>11829.2761264952</v>
      </c>
      <c r="H11" s="0" t="n">
        <f aca="false">H8+H10+H24</f>
        <v>12440.8345364964</v>
      </c>
      <c r="I11" s="0" t="n">
        <f aca="false">I8+I10+I24</f>
        <v>12938.4679179563</v>
      </c>
      <c r="J11" s="0" t="n">
        <f aca="false">J8+J10+J24</f>
        <v>13391.3142950847</v>
      </c>
      <c r="K11" s="0" t="n">
        <f aca="false">K8+K10+K24</f>
        <v>13793.0537239373</v>
      </c>
      <c r="L11" s="0" t="n">
        <f aca="false">L8+L10+L24</f>
        <v>14206.8453356554</v>
      </c>
    </row>
    <row r="12" customFormat="false" ht="15" hidden="false" customHeight="false" outlineLevel="0" collapsed="false">
      <c r="A12" s="0" t="s">
        <v>108</v>
      </c>
      <c r="C12" s="4" t="n">
        <f aca="false">-C6*Assumptions!C31/100</f>
        <v>-887.5677012</v>
      </c>
      <c r="D12" s="4" t="n">
        <f aca="false">-D6*Assumptions!D31/100</f>
        <v>-940.821763272</v>
      </c>
      <c r="E12" s="4" t="n">
        <f aca="false">-E6*Assumptions!E31/100</f>
        <v>-1026.7934071572</v>
      </c>
      <c r="F12" s="4" t="n">
        <f aca="false">-F6*Assumptions!F31/100</f>
        <v>-1083.26704455085</v>
      </c>
      <c r="G12" s="4" t="n">
        <f aca="false">-G6*Assumptions!G31/100</f>
        <v>-1137.43039677839</v>
      </c>
      <c r="H12" s="4" t="n">
        <f aca="false">-H6*Assumptions!H31/100</f>
        <v>-1188.61476463342</v>
      </c>
      <c r="I12" s="4" t="n">
        <f aca="false">-I6*Assumptions!I31/100</f>
        <v>-1236.15935521875</v>
      </c>
      <c r="J12" s="4" t="n">
        <f aca="false">-J6*Assumptions!J31/100</f>
        <v>-1279.42493265141</v>
      </c>
      <c r="K12" s="4" t="n">
        <f aca="false">-K6*Assumptions!K31/100</f>
        <v>-1317.80768063095</v>
      </c>
      <c r="L12" s="4" t="n">
        <f aca="false">-L6*Assumptions!L31/100</f>
        <v>-1357.34191104988</v>
      </c>
    </row>
    <row r="13" customFormat="false" ht="15" hidden="false" customHeight="false" outlineLevel="0" collapsed="false">
      <c r="A13" s="0" t="s">
        <v>109</v>
      </c>
      <c r="C13" s="0" t="n">
        <f aca="false">C11+C12</f>
        <v>8416.59027</v>
      </c>
      <c r="D13" s="0" t="n">
        <f aca="false">D11+D12</f>
        <v>8986.469945736</v>
      </c>
      <c r="E13" s="0" t="n">
        <f aca="false">E11+E12</f>
        <v>9514.95223965672</v>
      </c>
      <c r="F13" s="0" t="n">
        <f aca="false">F11+F12</f>
        <v>10110.4924158079</v>
      </c>
      <c r="G13" s="0" t="n">
        <f aca="false">G11+G12</f>
        <v>10691.8457297168</v>
      </c>
      <c r="H13" s="0" t="n">
        <f aca="false">H11+H12</f>
        <v>11252.219771863</v>
      </c>
      <c r="I13" s="0" t="n">
        <f aca="false">I11+I12</f>
        <v>11702.3085627375</v>
      </c>
      <c r="J13" s="0" t="n">
        <f aca="false">J11+J12</f>
        <v>12111.8893624333</v>
      </c>
      <c r="K13" s="0" t="n">
        <f aca="false">K11+K12</f>
        <v>12475.2460433063</v>
      </c>
      <c r="L13" s="0" t="n">
        <f aca="false">L11+L12</f>
        <v>12849.5034246055</v>
      </c>
    </row>
    <row r="14" customFormat="false" ht="15" hidden="false" customHeight="false" outlineLevel="0" collapsed="false">
      <c r="A14" s="0" t="s">
        <v>95</v>
      </c>
      <c r="C14" s="4" t="n">
        <f aca="false">Assumptions!C33</f>
        <v>17.5</v>
      </c>
      <c r="D14" s="4" t="n">
        <f aca="false">Assumptions!D33</f>
        <v>17.5</v>
      </c>
      <c r="E14" s="4" t="n">
        <f aca="false">Assumptions!E33</f>
        <v>17.5</v>
      </c>
      <c r="F14" s="4" t="n">
        <f aca="false">Assumptions!F33</f>
        <v>17.5</v>
      </c>
      <c r="G14" s="4" t="n">
        <f aca="false">Assumptions!G33</f>
        <v>17.5</v>
      </c>
      <c r="H14" s="4" t="n">
        <f aca="false">Assumptions!H33</f>
        <v>17.5</v>
      </c>
      <c r="I14" s="4" t="n">
        <f aca="false">Assumptions!I33</f>
        <v>17.5</v>
      </c>
      <c r="J14" s="4" t="n">
        <f aca="false">Assumptions!J33</f>
        <v>17.5</v>
      </c>
      <c r="K14" s="4" t="n">
        <f aca="false">Assumptions!K33</f>
        <v>17.5</v>
      </c>
      <c r="L14" s="4" t="n">
        <f aca="false">Assumptions!L33</f>
        <v>17.5</v>
      </c>
    </row>
    <row r="15" customFormat="false" ht="15" hidden="false" customHeight="false" outlineLevel="0" collapsed="false">
      <c r="A15" s="0" t="s">
        <v>110</v>
      </c>
      <c r="C15" s="0" t="n">
        <f aca="false">C13-MAX(0,C13)*C14/100</f>
        <v>6943.68697275</v>
      </c>
      <c r="D15" s="0" t="n">
        <f aca="false">D13-MAX(0,D13)*D14/100</f>
        <v>7413.8377052322</v>
      </c>
      <c r="E15" s="0" t="n">
        <f aca="false">E13-MAX(0,E13)*E14/100</f>
        <v>7849.83559771679</v>
      </c>
      <c r="F15" s="0" t="n">
        <f aca="false">F13-MAX(0,F13)*F14/100</f>
        <v>8341.15624304151</v>
      </c>
      <c r="G15" s="0" t="n">
        <f aca="false">G13-MAX(0,G13)*G14/100</f>
        <v>8820.7727270164</v>
      </c>
      <c r="H15" s="0" t="n">
        <f aca="false">H13-MAX(0,H13)*H14/100</f>
        <v>9283.08131178698</v>
      </c>
      <c r="I15" s="0" t="n">
        <f aca="false">I13-MAX(0,I13)*I14/100</f>
        <v>9654.40456425846</v>
      </c>
      <c r="J15" s="0" t="n">
        <f aca="false">J13-MAX(0,J13)*J14/100</f>
        <v>9992.3087240075</v>
      </c>
      <c r="K15" s="0" t="n">
        <f aca="false">K13-MAX(0,K13)*K14/100</f>
        <v>10292.0779857277</v>
      </c>
      <c r="L15" s="0" t="n">
        <f aca="false">L13-MAX(0,L13)*L14/100</f>
        <v>10600.8403252996</v>
      </c>
    </row>
    <row r="16" customFormat="false" ht="15" hidden="false" customHeight="false" outlineLevel="0" collapsed="false">
      <c r="A16" s="0" t="s">
        <v>111</v>
      </c>
      <c r="C16" s="0" t="n">
        <f aca="false">-C12</f>
        <v>887.5677012</v>
      </c>
      <c r="D16" s="0" t="n">
        <f aca="false">-D12</f>
        <v>940.821763272</v>
      </c>
      <c r="E16" s="0" t="n">
        <f aca="false">-E12</f>
        <v>1026.7934071572</v>
      </c>
      <c r="F16" s="0" t="n">
        <f aca="false">-F12</f>
        <v>1083.26704455085</v>
      </c>
      <c r="G16" s="0" t="n">
        <f aca="false">-G12</f>
        <v>1137.43039677839</v>
      </c>
      <c r="H16" s="0" t="n">
        <f aca="false">-H12</f>
        <v>1188.61476463342</v>
      </c>
      <c r="I16" s="0" t="n">
        <f aca="false">-I12</f>
        <v>1236.15935521875</v>
      </c>
      <c r="J16" s="0" t="n">
        <f aca="false">-J12</f>
        <v>1279.42493265141</v>
      </c>
      <c r="K16" s="0" t="n">
        <f aca="false">-K12</f>
        <v>1317.80768063095</v>
      </c>
      <c r="L16" s="0" t="n">
        <f aca="false">-L12</f>
        <v>1357.34191104988</v>
      </c>
    </row>
    <row r="17" customFormat="false" ht="15" hidden="false" customHeight="false" outlineLevel="0" collapsed="false">
      <c r="A17" s="0" t="s">
        <v>112</v>
      </c>
      <c r="C17" s="4" t="n">
        <f aca="false">-C6*Assumptions!C32/100</f>
        <v>-1377.260226</v>
      </c>
      <c r="D17" s="4" t="n">
        <f aca="false">-D6*Assumptions!D32/100</f>
        <v>-1459.89583956</v>
      </c>
      <c r="E17" s="4" t="n">
        <f aca="false">-E6*Assumptions!E32/100</f>
        <v>-1540.1901107358</v>
      </c>
      <c r="F17" s="4" t="n">
        <f aca="false">-F6*Assumptions!F32/100</f>
        <v>-1534.6283131137</v>
      </c>
      <c r="G17" s="4" t="n">
        <f aca="false">-G6*Assumptions!G32/100</f>
        <v>-1516.57386237118</v>
      </c>
      <c r="H17" s="4" t="n">
        <f aca="false">-H6*Assumptions!H32/100</f>
        <v>-1584.81968617789</v>
      </c>
      <c r="I17" s="4" t="n">
        <f aca="false">-I6*Assumptions!I32/100</f>
        <v>-1545.19919402344</v>
      </c>
      <c r="J17" s="4" t="n">
        <f aca="false">-J6*Assumptions!J32/100</f>
        <v>-1492.66242142664</v>
      </c>
      <c r="K17" s="4" t="n">
        <f aca="false">-K6*Assumptions!K32/100</f>
        <v>-1537.44229406944</v>
      </c>
      <c r="L17" s="4" t="n">
        <f aca="false">-L6*Assumptions!L32/100</f>
        <v>-1583.56556289153</v>
      </c>
    </row>
    <row r="18" customFormat="false" ht="15" hidden="false" customHeight="false" outlineLevel="0" collapsed="false">
      <c r="A18" s="0" t="s">
        <v>113</v>
      </c>
      <c r="C18" s="4" t="n">
        <f aca="false">(C6-B6)*Assumptions!$B$37/100</f>
        <v>138.592224</v>
      </c>
      <c r="D18" s="4" t="n">
        <f aca="false">(D6-C6)*Assumptions!$B$37/100</f>
        <v>146.90775744</v>
      </c>
      <c r="E18" s="4" t="n">
        <f aca="false">(E6-D6)*Assumptions!$B$37/100</f>
        <v>142.7453709792</v>
      </c>
      <c r="F18" s="4" t="n">
        <f aca="false">(F6-E6)*Assumptions!$B$37/100</f>
        <v>150.596366383056</v>
      </c>
      <c r="G18" s="4" t="n">
        <f aca="false">(G6-F6)*Assumptions!$B$37/100</f>
        <v>144.435605940113</v>
      </c>
      <c r="H18" s="4" t="n">
        <f aca="false">(H6-G6)*Assumptions!$B$37/100</f>
        <v>136.491647613407</v>
      </c>
      <c r="I18" s="4" t="n">
        <f aca="false">(I6-H6)*Assumptions!$B$37/100</f>
        <v>126.785574894231</v>
      </c>
      <c r="J18" s="4" t="n">
        <f aca="false">(J6-I6)*Assumptions!$B$37/100</f>
        <v>115.37487315375</v>
      </c>
      <c r="K18" s="4" t="n">
        <f aca="false">(K6-J6)*Assumptions!$B$37/100</f>
        <v>102.353994612113</v>
      </c>
      <c r="L18" s="4" t="n">
        <f aca="false">(L6-K6)*Assumptions!$B$37/100</f>
        <v>105.424614450476</v>
      </c>
    </row>
    <row r="19" customFormat="false" ht="15" hidden="false" customHeight="false" outlineLevel="0" collapsed="false">
      <c r="A19" s="0" t="s">
        <v>114</v>
      </c>
      <c r="C19" s="0" t="n">
        <f aca="false">C15+C16+C17+C18</f>
        <v>6592.58667195</v>
      </c>
      <c r="D19" s="0" t="n">
        <f aca="false">D15+D16+D17+D18</f>
        <v>7041.6713863842</v>
      </c>
      <c r="E19" s="0" t="n">
        <f aca="false">E15+E16+E17+E18</f>
        <v>7479.18426511739</v>
      </c>
      <c r="F19" s="0" t="n">
        <f aca="false">F15+F16+F17+F18</f>
        <v>8040.39134086172</v>
      </c>
      <c r="G19" s="0" t="n">
        <f aca="false">G15+G16+G17+G18</f>
        <v>8586.06486736372</v>
      </c>
      <c r="H19" s="0" t="n">
        <f aca="false">H15+H16+H17+H18</f>
        <v>9023.36803785591</v>
      </c>
      <c r="I19" s="0" t="n">
        <f aca="false">I15+I16+I17+I18</f>
        <v>9472.150300348</v>
      </c>
      <c r="J19" s="0" t="n">
        <f aca="false">J15+J16+J17+J18</f>
        <v>9894.44610838602</v>
      </c>
      <c r="K19" s="0" t="n">
        <f aca="false">K15+K16+K17+K18</f>
        <v>10174.7973669014</v>
      </c>
      <c r="L19" s="0" t="n">
        <f aca="false">L15+L16+L17+L18</f>
        <v>10480.0412879084</v>
      </c>
    </row>
    <row r="20" customFormat="false" ht="15" hidden="false" customHeight="false" outlineLevel="0" collapsed="false">
      <c r="A20" s="0" t="s">
        <v>115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116</v>
      </c>
      <c r="C21" s="0" t="n">
        <f aca="false">C19*C20</f>
        <v>6104.24691847222</v>
      </c>
      <c r="D21" s="0" t="n">
        <f aca="false">D19*D20</f>
        <v>6037.09823935545</v>
      </c>
      <c r="E21" s="0" t="n">
        <f aca="false">E19*E20</f>
        <v>5937.21760618093</v>
      </c>
      <c r="F21" s="0" t="n">
        <f aca="false">F19*F20</f>
        <v>5909.92766369947</v>
      </c>
      <c r="G21" s="0" t="n">
        <f aca="false">G19*G20</f>
        <v>5843.53147736958</v>
      </c>
      <c r="H21" s="0" t="n">
        <f aca="false">H19*H20</f>
        <v>5686.25246964459</v>
      </c>
      <c r="I21" s="0" t="n">
        <f aca="false">I19*I20</f>
        <v>5526.90872273239</v>
      </c>
      <c r="J21" s="0" t="n">
        <f aca="false">J19*J20</f>
        <v>5345.66136174263</v>
      </c>
      <c r="K21" s="0" t="n">
        <f aca="false">K19*K20</f>
        <v>5089.93187356429</v>
      </c>
      <c r="L21" s="0" t="n">
        <f aca="false">L19*L20</f>
        <v>4854.28687941779</v>
      </c>
    </row>
    <row r="23" customFormat="false" ht="15" hidden="false" customHeight="false" outlineLevel="0" collapsed="false">
      <c r="A23" s="0" t="s">
        <v>92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118</v>
      </c>
    </row>
    <row r="27" customFormat="false" ht="15" hidden="false" customHeight="false" outlineLevel="0" collapsed="false">
      <c r="A27" s="0" t="s">
        <v>96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97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98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119</v>
      </c>
      <c r="B30" s="0" t="n">
        <f aca="false">SUM(C21:L21)</f>
        <v>56335.0632121793</v>
      </c>
    </row>
    <row r="31" customFormat="false" ht="15" hidden="false" customHeight="false" outlineLevel="0" collapsed="false">
      <c r="A31" s="0" t="s">
        <v>120</v>
      </c>
      <c r="B31" s="0" t="n">
        <f aca="false">L19</f>
        <v>10480.0412879084</v>
      </c>
    </row>
    <row r="32" customFormat="false" ht="15" hidden="false" customHeight="false" outlineLevel="0" collapsed="false">
      <c r="A32" s="0" t="s">
        <v>121</v>
      </c>
      <c r="B32" s="0" t="n">
        <f aca="false">IF(B27&gt;B28,B31*(1+B28/100)/((B27-B28)/100),B31*B29)</f>
        <v>195309.860365565</v>
      </c>
    </row>
    <row r="33" customFormat="false" ht="15" hidden="false" customHeight="false" outlineLevel="0" collapsed="false">
      <c r="A33" s="0" t="s">
        <v>122</v>
      </c>
      <c r="B33" s="0" t="n">
        <f aca="false">B31*B29</f>
        <v>209600.825758168</v>
      </c>
    </row>
    <row r="34" customFormat="false" ht="15" hidden="false" customHeight="false" outlineLevel="0" collapsed="false">
      <c r="A34" s="0" t="s">
        <v>123</v>
      </c>
      <c r="B34" s="0" t="n">
        <f aca="false">MAX(0,MIN(B32,B33))</f>
        <v>195309.860365565</v>
      </c>
    </row>
    <row r="35" customFormat="false" ht="15" hidden="false" customHeight="false" outlineLevel="0" collapsed="false">
      <c r="A35" s="0" t="s">
        <v>124</v>
      </c>
      <c r="B35" s="0" t="n">
        <f aca="false">B34/(1+B27/100)^L4</f>
        <v>90466.2554800588</v>
      </c>
    </row>
    <row r="36" customFormat="false" ht="15" hidden="false" customHeight="false" outlineLevel="0" collapsed="false">
      <c r="A36" s="0" t="s">
        <v>125</v>
      </c>
      <c r="B36" s="0" t="n">
        <f aca="false">B30+B35</f>
        <v>146801.318692238</v>
      </c>
    </row>
    <row r="37" customFormat="false" ht="15" hidden="false" customHeight="false" outlineLevel="0" collapsed="false">
      <c r="A37" s="0" t="s">
        <v>126</v>
      </c>
      <c r="B37" s="0" t="n">
        <f aca="false">B36+Assumptions!$B$5-Assumptions!$B$4</f>
        <v>181828.094692238</v>
      </c>
    </row>
    <row r="38" customFormat="false" ht="15" hidden="false" customHeight="false" outlineLevel="0" collapsed="false">
      <c r="A38" s="0" t="s">
        <v>127</v>
      </c>
      <c r="B38" s="0" t="n">
        <f aca="false">B37/Assumptions!$B$3*Assumptions!$B$10</f>
        <v>36.4878873850628</v>
      </c>
    </row>
    <row r="39" customFormat="false" ht="15" hidden="false" customHeight="false" outlineLevel="0" collapsed="false">
      <c r="A39" s="0" t="s">
        <v>128</v>
      </c>
      <c r="B39" s="4" t="n">
        <f aca="false">B38/Assumptions!$B$2-1</f>
        <v>0.396932901418945</v>
      </c>
    </row>
    <row r="41" customFormat="false" ht="15" hidden="false" customHeight="false" outlineLevel="0" collapsed="false">
      <c r="A41" s="0" t="s">
        <v>129</v>
      </c>
      <c r="B41" s="0" t="n">
        <f aca="false">SUMPRODUCT(-C10:L10/(1+$B$27/100)^C4:L4)</f>
        <v>1503.90445498908</v>
      </c>
    </row>
    <row r="42" customFormat="false" ht="15" hidden="false" customHeight="false" outlineLevel="0" collapsed="false">
      <c r="A42" s="0" t="s">
        <v>130</v>
      </c>
      <c r="B42" s="0" t="n">
        <f aca="false">IF(B27&gt;B28,-L10*(1+B28/100)/((B27-B28)/100),-L10*20)/(1+B27/100)^L4</f>
        <v>2343.38084603743</v>
      </c>
    </row>
    <row r="43" customFormat="false" ht="15" hidden="false" customHeight="false" outlineLevel="0" collapsed="false">
      <c r="A43" s="0" t="s">
        <v>131</v>
      </c>
      <c r="B43" s="0" t="n">
        <f aca="false">(B37+B41+B42)/Assumptions!$B$3*Assumptions!$B$10</f>
        <v>37.259931513005</v>
      </c>
    </row>
    <row r="45" customFormat="false" ht="15" hidden="false" customHeight="false" outlineLevel="0" collapsed="false">
      <c r="A45" s="0" t="s">
        <v>72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132</v>
      </c>
      <c r="B46" s="0" t="n">
        <f aca="false">MAX(0,MIN(IF(B45&gt;B28,B31*(1+B28/100)/((B45-B28)/100),B31*B29),B31*B29))</f>
        <v>85936.3385608488</v>
      </c>
    </row>
    <row r="47" customFormat="false" ht="15" hidden="false" customHeight="false" outlineLevel="0" collapsed="false">
      <c r="A47" s="0" t="s">
        <v>133</v>
      </c>
      <c r="B47" s="0" t="n">
        <f aca="false">(SUMPRODUCT(C19:L19/(1+B45/100)^C4:L4)+B46/(1+B45/100)^L4+Assumptions!$B$5-Assumptions!$B$4)/Assumptions!$B$3*Assumptions!$B$10</f>
        <v>19.5232278166805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135</v>
      </c>
    </row>
    <row r="3" customFormat="false" ht="15" hidden="false" customHeight="false" outlineLevel="0" collapsed="false">
      <c r="A3" s="0" t="s">
        <v>104</v>
      </c>
      <c r="B3" s="0" t="s">
        <v>65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87</v>
      </c>
      <c r="L3" s="2" t="s">
        <v>88</v>
      </c>
    </row>
    <row r="4" customFormat="false" ht="15" hidden="false" customHeight="false" outlineLevel="0" collapsed="false">
      <c r="A4" s="0" t="s">
        <v>105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89</v>
      </c>
      <c r="C5" s="4" t="n">
        <f aca="false">Assumptions!C41</f>
        <v>8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28873.38</v>
      </c>
      <c r="C6" s="0" t="n">
        <f aca="false">B6*(1+C5/100)</f>
        <v>31183.2504</v>
      </c>
      <c r="D6" s="0" t="n">
        <f aca="false">C6*(1+D5/100)</f>
        <v>33833.826684</v>
      </c>
      <c r="E6" s="0" t="n">
        <f aca="false">D6*(1+E5/100)</f>
        <v>36540.53281872</v>
      </c>
      <c r="F6" s="0" t="n">
        <f aca="false">E6*(1+F5/100)</f>
        <v>39281.072780124</v>
      </c>
      <c r="G6" s="0" t="n">
        <f aca="false">F6*(1+G5/100)</f>
        <v>42030.7478747327</v>
      </c>
      <c r="H6" s="0" t="n">
        <f aca="false">G6*(1+H5/100)</f>
        <v>44552.5927472167</v>
      </c>
      <c r="I6" s="0" t="n">
        <f aca="false">H6*(1+I5/100)</f>
        <v>46780.2223845775</v>
      </c>
      <c r="J6" s="0" t="n">
        <f aca="false">I6*(1+J5/100)</f>
        <v>48885.3323918835</v>
      </c>
      <c r="K6" s="0" t="n">
        <f aca="false">J6*(1+K5/100)</f>
        <v>50840.7456875588</v>
      </c>
      <c r="L6" s="0" t="n">
        <f aca="false">K6*(1+L5/100)</f>
        <v>52620.1717866234</v>
      </c>
    </row>
    <row r="7" customFormat="false" ht="15" hidden="false" customHeight="false" outlineLevel="0" collapsed="false">
      <c r="A7" s="0" t="s">
        <v>90</v>
      </c>
      <c r="C7" s="4" t="n">
        <f aca="false">Assumptions!C42</f>
        <v>31.5</v>
      </c>
      <c r="D7" s="4" t="n">
        <f aca="false">Assumptions!D42</f>
        <v>32</v>
      </c>
      <c r="E7" s="4" t="n">
        <f aca="false">Assumptions!E42</f>
        <v>32.5</v>
      </c>
      <c r="F7" s="4" t="n">
        <f aca="false">Assumptions!F42</f>
        <v>33</v>
      </c>
      <c r="G7" s="4" t="n">
        <f aca="false">Assumptions!G42</f>
        <v>33.5</v>
      </c>
      <c r="H7" s="4" t="n">
        <f aca="false">Assumptions!H42</f>
        <v>34</v>
      </c>
      <c r="I7" s="4" t="n">
        <f aca="false">Assumptions!I42</f>
        <v>34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9822.723876</v>
      </c>
      <c r="D8" s="0" t="n">
        <f aca="false">D6*D7/100</f>
        <v>10826.82453888</v>
      </c>
      <c r="E8" s="0" t="n">
        <f aca="false">E6*E7/100</f>
        <v>11875.673166084</v>
      </c>
      <c r="F8" s="0" t="n">
        <f aca="false">F6*F7/100</f>
        <v>12962.7540174409</v>
      </c>
      <c r="G8" s="0" t="n">
        <f aca="false">G6*G7/100</f>
        <v>14080.3005380355</v>
      </c>
      <c r="H8" s="0" t="n">
        <f aca="false">H6*H7/100</f>
        <v>15147.8815340537</v>
      </c>
      <c r="I8" s="0" t="n">
        <f aca="false">I6*I7/100</f>
        <v>15905.2756107563</v>
      </c>
      <c r="J8" s="0" t="n">
        <f aca="false">J6*J7/100</f>
        <v>16621.0130132404</v>
      </c>
      <c r="K8" s="0" t="n">
        <f aca="false">K6*K7/100</f>
        <v>17285.85353377</v>
      </c>
      <c r="L8" s="0" t="n">
        <f aca="false">L6*L7/100</f>
        <v>17890.8584074519</v>
      </c>
    </row>
    <row r="9" customFormat="false" ht="15" hidden="false" customHeight="false" outlineLevel="0" collapsed="false">
      <c r="A9" s="0" t="s">
        <v>91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106</v>
      </c>
      <c r="C10" s="0" t="n">
        <f aca="false">-C6*C9/100</f>
        <v>-187.0995024</v>
      </c>
      <c r="D10" s="0" t="n">
        <f aca="false">-D6*D9/100</f>
        <v>-203.002960104</v>
      </c>
      <c r="E10" s="0" t="n">
        <f aca="false">-E6*E9/100</f>
        <v>-219.24319691232</v>
      </c>
      <c r="F10" s="0" t="n">
        <f aca="false">-F6*F9/100</f>
        <v>-235.686436680744</v>
      </c>
      <c r="G10" s="0" t="n">
        <f aca="false">-G6*G9/100</f>
        <v>-252.184487248396</v>
      </c>
      <c r="H10" s="0" t="n">
        <f aca="false">-H6*H9/100</f>
        <v>-267.3155564833</v>
      </c>
      <c r="I10" s="0" t="n">
        <f aca="false">-I6*I9/100</f>
        <v>-280.681334307465</v>
      </c>
      <c r="J10" s="0" t="n">
        <f aca="false">-J6*J9/100</f>
        <v>-293.311994351301</v>
      </c>
      <c r="K10" s="0" t="n">
        <f aca="false">-K6*K9/100</f>
        <v>-305.044474125353</v>
      </c>
      <c r="L10" s="0" t="n">
        <f aca="false">-L6*L9/100</f>
        <v>-315.72103071974</v>
      </c>
    </row>
    <row r="11" customFormat="false" ht="15" hidden="false" customHeight="false" outlineLevel="0" collapsed="false">
      <c r="A11" s="0" t="s">
        <v>107</v>
      </c>
      <c r="C11" s="0" t="n">
        <f aca="false">C8+C10+C24</f>
        <v>9635.6243736</v>
      </c>
      <c r="D11" s="0" t="n">
        <f aca="false">D8+D10+D24</f>
        <v>10623.821578776</v>
      </c>
      <c r="E11" s="0" t="n">
        <f aca="false">E8+E10+E24</f>
        <v>11656.4299691717</v>
      </c>
      <c r="F11" s="0" t="n">
        <f aca="false">F8+F10+F24</f>
        <v>12727.0675807602</v>
      </c>
      <c r="G11" s="0" t="n">
        <f aca="false">G8+G10+G24</f>
        <v>13828.1160507871</v>
      </c>
      <c r="H11" s="0" t="n">
        <f aca="false">H8+H10+H24</f>
        <v>14880.5659775704</v>
      </c>
      <c r="I11" s="0" t="n">
        <f aca="false">I8+I10+I24</f>
        <v>15624.5942764489</v>
      </c>
      <c r="J11" s="0" t="n">
        <f aca="false">J8+J10+J24</f>
        <v>16327.7010188891</v>
      </c>
      <c r="K11" s="0" t="n">
        <f aca="false">K8+K10+K24</f>
        <v>16980.8090596446</v>
      </c>
      <c r="L11" s="0" t="n">
        <f aca="false">L8+L10+L24</f>
        <v>17575.1373767322</v>
      </c>
    </row>
    <row r="12" customFormat="false" ht="15" hidden="false" customHeight="false" outlineLevel="0" collapsed="false">
      <c r="A12" s="0" t="s">
        <v>108</v>
      </c>
      <c r="C12" s="4" t="n">
        <f aca="false">-C6*Assumptions!C45/100</f>
        <v>-904.3142616</v>
      </c>
      <c r="D12" s="4" t="n">
        <f aca="false">-D6*Assumptions!D45/100</f>
        <v>-981.180973836</v>
      </c>
      <c r="E12" s="4" t="n">
        <f aca="false">-E6*Assumptions!E45/100</f>
        <v>-1096.2159845616</v>
      </c>
      <c r="F12" s="4" t="n">
        <f aca="false">-F6*Assumptions!F45/100</f>
        <v>-1178.43218340372</v>
      </c>
      <c r="G12" s="4" t="n">
        <f aca="false">-G6*Assumptions!G45/100</f>
        <v>-1260.92243624198</v>
      </c>
      <c r="H12" s="4" t="n">
        <f aca="false">-H6*Assumptions!H45/100</f>
        <v>-1336.5777824165</v>
      </c>
      <c r="I12" s="4" t="n">
        <f aca="false">-I6*Assumptions!I45/100</f>
        <v>-1403.40667153732</v>
      </c>
      <c r="J12" s="4" t="n">
        <f aca="false">-J6*Assumptions!J45/100</f>
        <v>-1466.5599717565</v>
      </c>
      <c r="K12" s="4" t="n">
        <f aca="false">-K6*Assumptions!K45/100</f>
        <v>-1525.22237062676</v>
      </c>
      <c r="L12" s="4" t="n">
        <f aca="false">-L6*Assumptions!L45/100</f>
        <v>-1578.6051535987</v>
      </c>
    </row>
    <row r="13" customFormat="false" ht="15" hidden="false" customHeight="false" outlineLevel="0" collapsed="false">
      <c r="A13" s="0" t="s">
        <v>109</v>
      </c>
      <c r="C13" s="0" t="n">
        <f aca="false">C11+C12</f>
        <v>8731.310112</v>
      </c>
      <c r="D13" s="0" t="n">
        <f aca="false">D11+D12</f>
        <v>9642.64060494</v>
      </c>
      <c r="E13" s="0" t="n">
        <f aca="false">E11+E12</f>
        <v>10560.2139846101</v>
      </c>
      <c r="F13" s="0" t="n">
        <f aca="false">F11+F12</f>
        <v>11548.6353973565</v>
      </c>
      <c r="G13" s="0" t="n">
        <f aca="false">G11+G12</f>
        <v>12567.1936145451</v>
      </c>
      <c r="H13" s="0" t="n">
        <f aca="false">H11+H12</f>
        <v>13543.9881951539</v>
      </c>
      <c r="I13" s="0" t="n">
        <f aca="false">I11+I12</f>
        <v>14221.1876049116</v>
      </c>
      <c r="J13" s="0" t="n">
        <f aca="false">J11+J12</f>
        <v>14861.1410471326</v>
      </c>
      <c r="K13" s="0" t="n">
        <f aca="false">K11+K12</f>
        <v>15455.5866890179</v>
      </c>
      <c r="L13" s="0" t="n">
        <f aca="false">L11+L12</f>
        <v>15996.5322231335</v>
      </c>
    </row>
    <row r="14" customFormat="false" ht="15" hidden="false" customHeight="false" outlineLevel="0" collapsed="false">
      <c r="A14" s="0" t="s">
        <v>95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110</v>
      </c>
      <c r="C15" s="0" t="n">
        <f aca="false">C13-MAX(0,C13)*C14/100</f>
        <v>7246.98739296</v>
      </c>
      <c r="D15" s="0" t="n">
        <f aca="false">D13-MAX(0,D13)*D14/100</f>
        <v>8003.3917021002</v>
      </c>
      <c r="E15" s="0" t="n">
        <f aca="false">E13-MAX(0,E13)*E14/100</f>
        <v>8764.97760722637</v>
      </c>
      <c r="F15" s="0" t="n">
        <f aca="false">F13-MAX(0,F13)*F14/100</f>
        <v>9585.36737980586</v>
      </c>
      <c r="G15" s="0" t="n">
        <f aca="false">G13-MAX(0,G13)*G14/100</f>
        <v>10430.7707000724</v>
      </c>
      <c r="H15" s="0" t="n">
        <f aca="false">H13-MAX(0,H13)*H14/100</f>
        <v>11241.5102019777</v>
      </c>
      <c r="I15" s="0" t="n">
        <f aca="false">I13-MAX(0,I13)*I14/100</f>
        <v>11803.5857120766</v>
      </c>
      <c r="J15" s="0" t="n">
        <f aca="false">J13-MAX(0,J13)*J14/100</f>
        <v>12334.74706912</v>
      </c>
      <c r="K15" s="0" t="n">
        <f aca="false">K13-MAX(0,K13)*K14/100</f>
        <v>12828.1369518848</v>
      </c>
      <c r="L15" s="0" t="n">
        <f aca="false">L13-MAX(0,L13)*L14/100</f>
        <v>13277.1217452008</v>
      </c>
    </row>
    <row r="16" customFormat="false" ht="15" hidden="false" customHeight="false" outlineLevel="0" collapsed="false">
      <c r="A16" s="0" t="s">
        <v>111</v>
      </c>
      <c r="C16" s="0" t="n">
        <f aca="false">-C12</f>
        <v>904.3142616</v>
      </c>
      <c r="D16" s="0" t="n">
        <f aca="false">-D12</f>
        <v>981.180973836</v>
      </c>
      <c r="E16" s="0" t="n">
        <f aca="false">-E12</f>
        <v>1096.2159845616</v>
      </c>
      <c r="F16" s="0" t="n">
        <f aca="false">-F12</f>
        <v>1178.43218340372</v>
      </c>
      <c r="G16" s="0" t="n">
        <f aca="false">-G12</f>
        <v>1260.92243624198</v>
      </c>
      <c r="H16" s="0" t="n">
        <f aca="false">-H12</f>
        <v>1336.5777824165</v>
      </c>
      <c r="I16" s="0" t="n">
        <f aca="false">-I12</f>
        <v>1403.40667153732</v>
      </c>
      <c r="J16" s="0" t="n">
        <f aca="false">-J12</f>
        <v>1466.5599717565</v>
      </c>
      <c r="K16" s="0" t="n">
        <f aca="false">-K12</f>
        <v>1525.22237062676</v>
      </c>
      <c r="L16" s="0" t="n">
        <f aca="false">-L12</f>
        <v>1578.6051535987</v>
      </c>
    </row>
    <row r="17" customFormat="false" ht="15" hidden="false" customHeight="false" outlineLevel="0" collapsed="false">
      <c r="A17" s="0" t="s">
        <v>112</v>
      </c>
      <c r="C17" s="4" t="n">
        <f aca="false">-C6*Assumptions!C46/100</f>
        <v>-1559.16252</v>
      </c>
      <c r="D17" s="4" t="n">
        <f aca="false">-D6*Assumptions!D46/100</f>
        <v>-1691.6913342</v>
      </c>
      <c r="E17" s="4" t="n">
        <f aca="false">-E6*Assumptions!E46/100</f>
        <v>-1827.026640936</v>
      </c>
      <c r="F17" s="4" t="n">
        <f aca="false">-F6*Assumptions!F46/100</f>
        <v>-1767.64827510558</v>
      </c>
      <c r="G17" s="4" t="n">
        <f aca="false">-G6*Assumptions!G46/100</f>
        <v>-1891.38365436297</v>
      </c>
      <c r="H17" s="4" t="n">
        <f aca="false">-H6*Assumptions!H46/100</f>
        <v>-1782.10370988867</v>
      </c>
      <c r="I17" s="4" t="n">
        <f aca="false">-I6*Assumptions!I46/100</f>
        <v>-1871.2088953831</v>
      </c>
      <c r="J17" s="4" t="n">
        <f aca="false">-J6*Assumptions!J46/100</f>
        <v>-1833.19996469563</v>
      </c>
      <c r="K17" s="4" t="n">
        <f aca="false">-K6*Assumptions!K46/100</f>
        <v>-1779.42609906456</v>
      </c>
      <c r="L17" s="4" t="n">
        <f aca="false">-L6*Assumptions!L46/100</f>
        <v>-1841.70601253182</v>
      </c>
    </row>
    <row r="18" customFormat="false" ht="15" hidden="false" customHeight="false" outlineLevel="0" collapsed="false">
      <c r="A18" s="0" t="s">
        <v>113</v>
      </c>
      <c r="C18" s="4" t="n">
        <f aca="false">(C6-B6)*Assumptions!$B$51/100</f>
        <v>230.98704</v>
      </c>
      <c r="D18" s="4" t="n">
        <f aca="false">(D6-C6)*Assumptions!$B$51/100</f>
        <v>265.0576284</v>
      </c>
      <c r="E18" s="4" t="n">
        <f aca="false">(E6-D6)*Assumptions!$B$51/100</f>
        <v>270.670613472</v>
      </c>
      <c r="F18" s="4" t="n">
        <f aca="false">(F6-E6)*Assumptions!$B$51/100</f>
        <v>274.0539961404</v>
      </c>
      <c r="G18" s="4" t="n">
        <f aca="false">(G6-F6)*Assumptions!$B$51/100</f>
        <v>274.967509460868</v>
      </c>
      <c r="H18" s="4" t="n">
        <f aca="false">(H6-G6)*Assumptions!$B$51/100</f>
        <v>252.184487248396</v>
      </c>
      <c r="I18" s="4" t="n">
        <f aca="false">(I6-H6)*Assumptions!$B$51/100</f>
        <v>222.762963736083</v>
      </c>
      <c r="J18" s="4" t="n">
        <f aca="false">(J6-I6)*Assumptions!$B$51/100</f>
        <v>210.511000730599</v>
      </c>
      <c r="K18" s="4" t="n">
        <f aca="false">(K6-J6)*Assumptions!$B$51/100</f>
        <v>195.541329567534</v>
      </c>
      <c r="L18" s="4" t="n">
        <f aca="false">(L6-K6)*Assumptions!$B$51/100</f>
        <v>177.942609906456</v>
      </c>
    </row>
    <row r="19" customFormat="false" ht="15" hidden="false" customHeight="false" outlineLevel="0" collapsed="false">
      <c r="A19" s="0" t="s">
        <v>114</v>
      </c>
      <c r="C19" s="0" t="n">
        <f aca="false">C15+C16+C17+C18</f>
        <v>6823.12617456</v>
      </c>
      <c r="D19" s="0" t="n">
        <f aca="false">D15+D16+D17+D18</f>
        <v>7557.9389701362</v>
      </c>
      <c r="E19" s="0" t="n">
        <f aca="false">E15+E16+E17+E18</f>
        <v>8304.83756432397</v>
      </c>
      <c r="F19" s="0" t="n">
        <f aca="false">F15+F16+F17+F18</f>
        <v>9270.2052842444</v>
      </c>
      <c r="G19" s="0" t="n">
        <f aca="false">G15+G16+G17+G18</f>
        <v>10075.2769914123</v>
      </c>
      <c r="H19" s="0" t="n">
        <f aca="false">H15+H16+H17+H18</f>
        <v>11048.1687617539</v>
      </c>
      <c r="I19" s="0" t="n">
        <f aca="false">I15+I16+I17+I18</f>
        <v>11558.5464519669</v>
      </c>
      <c r="J19" s="0" t="n">
        <f aca="false">J15+J16+J17+J18</f>
        <v>12178.6180769115</v>
      </c>
      <c r="K19" s="0" t="n">
        <f aca="false">K15+K16+K17+K18</f>
        <v>12769.4745530146</v>
      </c>
      <c r="L19" s="0" t="n">
        <f aca="false">L15+L16+L17+L18</f>
        <v>13191.9634961741</v>
      </c>
    </row>
    <row r="20" customFormat="false" ht="15" hidden="false" customHeight="false" outlineLevel="0" collapsed="false">
      <c r="A20" s="0" t="s">
        <v>115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116</v>
      </c>
      <c r="C21" s="0" t="n">
        <f aca="false">C19*C20</f>
        <v>6317.70942088889</v>
      </c>
      <c r="D21" s="0" t="n">
        <f aca="false">D19*D20</f>
        <v>6479.71448056944</v>
      </c>
      <c r="E21" s="0" t="n">
        <f aca="false">E19*E20</f>
        <v>6592.64781499578</v>
      </c>
      <c r="F21" s="0" t="n">
        <f aca="false">F19*F20</f>
        <v>6813.87762547106</v>
      </c>
      <c r="G21" s="0" t="n">
        <f aca="false">G19*G20</f>
        <v>6857.06422581599</v>
      </c>
      <c r="H21" s="0" t="n">
        <f aca="false">H19*H20</f>
        <v>6962.22038633605</v>
      </c>
      <c r="I21" s="0" t="n">
        <f aca="false">I19*I20</f>
        <v>6744.3008379139</v>
      </c>
      <c r="J21" s="0" t="n">
        <f aca="false">J19*J20</f>
        <v>6579.72840318858</v>
      </c>
      <c r="K21" s="0" t="n">
        <f aca="false">K19*K20</f>
        <v>6387.91645595699</v>
      </c>
      <c r="L21" s="0" t="n">
        <f aca="false">L19*L20</f>
        <v>6110.43158647873</v>
      </c>
    </row>
    <row r="23" customFormat="false" ht="15" hidden="false" customHeight="false" outlineLevel="0" collapsed="false">
      <c r="A23" s="0" t="s">
        <v>92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118</v>
      </c>
    </row>
    <row r="27" customFormat="false" ht="15" hidden="false" customHeight="false" outlineLevel="0" collapsed="false">
      <c r="A27" s="0" t="s">
        <v>96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97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98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119</v>
      </c>
      <c r="B30" s="0" t="n">
        <f aca="false">SUM(C21:L21)</f>
        <v>65845.6112376154</v>
      </c>
    </row>
    <row r="31" customFormat="false" ht="15" hidden="false" customHeight="false" outlineLevel="0" collapsed="false">
      <c r="A31" s="0" t="s">
        <v>120</v>
      </c>
      <c r="B31" s="0" t="n">
        <f aca="false">L19</f>
        <v>13191.9634961741</v>
      </c>
    </row>
    <row r="32" customFormat="false" ht="15" hidden="false" customHeight="false" outlineLevel="0" collapsed="false">
      <c r="A32" s="0" t="s">
        <v>121</v>
      </c>
      <c r="B32" s="0" t="n">
        <f aca="false">IF(B27&gt;B28,B31*(1+B28/100)/((B27-B28)/100),B31*B29)</f>
        <v>271754.448021187</v>
      </c>
    </row>
    <row r="33" customFormat="false" ht="15" hidden="false" customHeight="false" outlineLevel="0" collapsed="false">
      <c r="A33" s="0" t="s">
        <v>122</v>
      </c>
      <c r="B33" s="0" t="n">
        <f aca="false">B31*B29</f>
        <v>263839.269923483</v>
      </c>
    </row>
    <row r="34" customFormat="false" ht="15" hidden="false" customHeight="false" outlineLevel="0" collapsed="false">
      <c r="A34" s="0" t="s">
        <v>123</v>
      </c>
      <c r="B34" s="0" t="n">
        <f aca="false">MAX(0,MIN(B32,B33))</f>
        <v>263839.269923483</v>
      </c>
    </row>
    <row r="35" customFormat="false" ht="15" hidden="false" customHeight="false" outlineLevel="0" collapsed="false">
      <c r="A35" s="0" t="s">
        <v>124</v>
      </c>
      <c r="B35" s="0" t="n">
        <f aca="false">B34/(1+B27/100)^L4</f>
        <v>122208.631729575</v>
      </c>
    </row>
    <row r="36" customFormat="false" ht="15" hidden="false" customHeight="false" outlineLevel="0" collapsed="false">
      <c r="A36" s="0" t="s">
        <v>125</v>
      </c>
      <c r="B36" s="0" t="n">
        <f aca="false">B30+B35</f>
        <v>188054.24296719</v>
      </c>
    </row>
    <row r="37" customFormat="false" ht="15" hidden="false" customHeight="false" outlineLevel="0" collapsed="false">
      <c r="A37" s="0" t="s">
        <v>126</v>
      </c>
      <c r="B37" s="0" t="n">
        <f aca="false">B36+Assumptions!$B$5-Assumptions!$B$4</f>
        <v>223081.01896719</v>
      </c>
    </row>
    <row r="38" customFormat="false" ht="15" hidden="false" customHeight="false" outlineLevel="0" collapsed="false">
      <c r="A38" s="0" t="s">
        <v>127</v>
      </c>
      <c r="B38" s="0" t="n">
        <f aca="false">B37/Assumptions!$B$3*Assumptions!$B$10</f>
        <v>44.766212347972</v>
      </c>
    </row>
    <row r="39" customFormat="false" ht="15" hidden="false" customHeight="false" outlineLevel="0" collapsed="false">
      <c r="A39" s="0" t="s">
        <v>128</v>
      </c>
      <c r="B39" s="4" t="n">
        <f aca="false">B38/Assumptions!$B$2-1</f>
        <v>0.713867241499693</v>
      </c>
    </row>
    <row r="41" customFormat="false" ht="15" hidden="false" customHeight="false" outlineLevel="0" collapsed="false">
      <c r="A41" s="0" t="s">
        <v>129</v>
      </c>
      <c r="B41" s="0" t="n">
        <f aca="false">SUMPRODUCT(-C10:L10/(1+$B$27/100)^C4:L4)</f>
        <v>1655.72846787732</v>
      </c>
    </row>
    <row r="42" customFormat="false" ht="15" hidden="false" customHeight="false" outlineLevel="0" collapsed="false">
      <c r="A42" s="0" t="s">
        <v>130</v>
      </c>
      <c r="B42" s="0" t="n">
        <f aca="false">IF(B27&gt;B28,-L10*(1+B28/100)/((B27-B28)/100),-L10*20)/(1+B27/100)^L4</f>
        <v>3012.54246490382</v>
      </c>
    </row>
    <row r="43" customFormat="false" ht="15" hidden="false" customHeight="false" outlineLevel="0" collapsed="false">
      <c r="A43" s="0" t="s">
        <v>131</v>
      </c>
      <c r="B43" s="0" t="n">
        <f aca="false">(B37+B41+B42)/Assumptions!$B$3*Assumptions!$B$10</f>
        <v>45.7030056656746</v>
      </c>
    </row>
    <row r="45" customFormat="false" ht="15" hidden="false" customHeight="false" outlineLevel="0" collapsed="false">
      <c r="A45" s="0" t="s">
        <v>72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132</v>
      </c>
      <c r="B46" s="0" t="n">
        <f aca="false">MAX(0,MIN(IF(B45&gt;B28,B31*(1+B28/100)/((B45-B28)/100),B31*B29),B31*B29))</f>
        <v>113231.020008828</v>
      </c>
    </row>
    <row r="47" customFormat="false" ht="15" hidden="false" customHeight="false" outlineLevel="0" collapsed="false">
      <c r="A47" s="0" t="s">
        <v>133</v>
      </c>
      <c r="B47" s="0" t="n">
        <f aca="false">(SUMPRODUCT(C19:L19/(1+B45/100)^C4:L4)+B46/(1+B45/100)^L4+Assumptions!$B$5-Assumptions!$B$4)/Assumptions!$B$3*Assumptions!$B$10</f>
        <v>22.1597520657253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2" t="s">
        <v>137</v>
      </c>
      <c r="B3" s="2" t="s">
        <v>138</v>
      </c>
      <c r="C3" s="2" t="s">
        <v>128</v>
      </c>
      <c r="D3" s="2" t="s">
        <v>139</v>
      </c>
      <c r="E3" s="2" t="s">
        <v>131</v>
      </c>
      <c r="F3" s="2" t="s">
        <v>140</v>
      </c>
    </row>
    <row r="4" customFormat="false" ht="15" hidden="false" customHeight="false" outlineLevel="0" collapsed="false">
      <c r="A4" s="0" t="s">
        <v>141</v>
      </c>
      <c r="B4" s="4" t="n">
        <f aca="false">DCF_Bear!$B$38</f>
        <v>26.5213614918305</v>
      </c>
      <c r="C4" s="0" t="n">
        <f aca="false">B4/Assumptions!$B$2-1</f>
        <v>0.0153660601772783</v>
      </c>
      <c r="D4" s="4" t="n">
        <f aca="false">Assumptions!$B$24</f>
        <v>0.2</v>
      </c>
      <c r="E4" s="4" t="n">
        <f aca="false">DCF_Bear!$B$43</f>
        <v>27.1347122073533</v>
      </c>
      <c r="F4" s="4" t="n">
        <f aca="false">DCF_Bear!$B$47</f>
        <v>16.0757882256778</v>
      </c>
    </row>
    <row r="5" customFormat="false" ht="15" hidden="false" customHeight="false" outlineLevel="0" collapsed="false">
      <c r="A5" s="0" t="s">
        <v>142</v>
      </c>
      <c r="B5" s="4" t="n">
        <f aca="false">DCF_Base!$B$38</f>
        <v>36.4878873850628</v>
      </c>
      <c r="C5" s="0" t="n">
        <f aca="false">B5/Assumptions!$B$2-1</f>
        <v>0.396932901418945</v>
      </c>
      <c r="D5" s="4" t="n">
        <f aca="false">Assumptions!$B$38</f>
        <v>0.55</v>
      </c>
      <c r="E5" s="4" t="n">
        <f aca="false">DCF_Base!$B$43</f>
        <v>37.259931513005</v>
      </c>
      <c r="F5" s="4" t="n">
        <f aca="false">DCF_Base!$B$47</f>
        <v>19.5232278166805</v>
      </c>
    </row>
    <row r="6" customFormat="false" ht="15" hidden="false" customHeight="false" outlineLevel="0" collapsed="false">
      <c r="A6" s="0" t="s">
        <v>143</v>
      </c>
      <c r="B6" s="4" t="n">
        <f aca="false">DCF_Bull!$B$38</f>
        <v>44.766212347972</v>
      </c>
      <c r="C6" s="0" t="n">
        <f aca="false">B6/Assumptions!$B$2-1</f>
        <v>0.713867241499693</v>
      </c>
      <c r="D6" s="4" t="n">
        <f aca="false">Assumptions!$B$52</f>
        <v>0.25</v>
      </c>
      <c r="E6" s="4" t="n">
        <f aca="false">DCF_Bull!$B$43</f>
        <v>45.7030056656746</v>
      </c>
      <c r="F6" s="4" t="n">
        <f aca="false">DCF_Bull!$B$47</f>
        <v>22.1597520657253</v>
      </c>
    </row>
    <row r="8" customFormat="false" ht="15" hidden="false" customHeight="false" outlineLevel="0" collapsed="false">
      <c r="A8" s="0" t="s">
        <v>144</v>
      </c>
      <c r="B8" s="0" t="n">
        <f aca="false">SUMPRODUCT(B4:B6,D4:D6)</f>
        <v>36.5641634471437</v>
      </c>
    </row>
    <row r="9" customFormat="false" ht="15" hidden="false" customHeight="false" outlineLevel="0" collapsed="false">
      <c r="A9" s="0" t="s">
        <v>145</v>
      </c>
      <c r="B9" s="0" t="n">
        <f aca="false">SUMPRODUCT(E4:E6,D4:D6)</f>
        <v>37.3456561900421</v>
      </c>
    </row>
    <row r="10" customFormat="false" ht="15" hidden="false" customHeight="false" outlineLevel="0" collapsed="false">
      <c r="A10" s="0" t="s">
        <v>146</v>
      </c>
      <c r="B10" s="0" t="n">
        <f aca="false">1-Assumptions!$B$2/B8</f>
        <v>0.285639338152547</v>
      </c>
    </row>
    <row r="11" customFormat="false" ht="15" hidden="false" customHeight="false" outlineLevel="0" collapsed="false">
      <c r="A11" s="0" t="s">
        <v>147</v>
      </c>
      <c r="B11" s="0" t="n">
        <f aca="false">IF(ABS(B9-B8)&gt;0.01*ABS(B8),(Assumptions!$B$2-B8)/(B9-B8)*100,"n/a")</f>
        <v>-1336.43767546811</v>
      </c>
    </row>
    <row r="12" customFormat="false" ht="15" hidden="false" customHeight="false" outlineLevel="0" collapsed="false">
      <c r="A12" s="0" t="s">
        <v>148</v>
      </c>
      <c r="B12" s="0" t="n">
        <f aca="false">SUMPRODUCT(F4:F6,D4:D6)</f>
        <v>19.4928709607412</v>
      </c>
    </row>
    <row r="14" customFormat="false" ht="15" hidden="false" customHeight="false" outlineLevel="0" collapsed="false">
      <c r="A14" s="2" t="s">
        <v>149</v>
      </c>
      <c r="C14" s="0" t="s">
        <v>150</v>
      </c>
    </row>
    <row r="15" customFormat="false" ht="15" hidden="false" customHeight="false" outlineLevel="0" collapsed="false">
      <c r="A15" s="0" t="s">
        <v>151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36.4878873850628</v>
      </c>
      <c r="C15" s="3" t="n">
        <v>8</v>
      </c>
    </row>
    <row r="16" customFormat="false" ht="15" hidden="false" customHeight="false" outlineLevel="0" collapsed="false">
      <c r="A16" s="0" t="s">
        <v>152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31.806846988169</v>
      </c>
      <c r="C16" s="3" t="n">
        <v>9</v>
      </c>
    </row>
    <row r="17" customFormat="false" ht="15" hidden="false" customHeight="false" outlineLevel="0" collapsed="false">
      <c r="A17" s="0" t="s">
        <v>153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28.3806419053713</v>
      </c>
      <c r="C17" s="3" t="n">
        <v>10</v>
      </c>
    </row>
    <row r="18" customFormat="false" ht="15" hidden="false" customHeight="false" outlineLevel="0" collapsed="false">
      <c r="A18" s="0" t="s">
        <v>154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25.7660126563315</v>
      </c>
      <c r="C18" s="3" t="n">
        <v>11</v>
      </c>
    </row>
    <row r="19" customFormat="false" ht="15" hidden="false" customHeight="false" outlineLevel="0" collapsed="false">
      <c r="A19" s="0" t="s">
        <v>155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23.7063613765063</v>
      </c>
      <c r="C19" s="3" t="n">
        <v>12</v>
      </c>
    </row>
    <row r="20" customFormat="false" ht="15" hidden="false" customHeight="false" outlineLevel="0" collapsed="false">
      <c r="A20" s="0" t="s">
        <v>156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19.5232278166805</v>
      </c>
      <c r="C20" s="3" t="n">
        <v>15</v>
      </c>
    </row>
    <row r="22" customFormat="false" ht="15" hidden="false" customHeight="false" outlineLevel="0" collapsed="false">
      <c r="A22" s="2" t="s">
        <v>157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43.0162782815112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43.0162782815112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43.0162782815112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43.0162782815112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43.0162782815112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38.6391809852074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40.2914059648905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40.2914059648905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40.2914059648905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40.2914059648905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33.545086493093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34.8938702352459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36.4878873850628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37.8162350099103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37.8162350099103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29.8205800075232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30.7427753913945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31.806846988169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33.0482638510727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34.5153928708679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26.9815818120185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27.6373912307776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28.3806419053713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29.2300712477641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30.2101820274481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2026-10-22T07:23:44Z</dcterms:created>
  <dc:creator>openpyxl</dc:creator>
  <dc:description/>
  <dc:language>en-NZ</dc:language>
  <cp:lastModifiedBy/>
  <dcterms:modified xsi:type="dcterms:W3CDTF">2026-10-22T07:23:44Z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