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<sst xmlns="http://schemas.openxmlformats.org/spreadsheetml/2006/main" count="390" uniqueCount="176">
  <si>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</si>
  <si>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CCI</t>
  </si>
  <si>
    <t xml:space="preserve">Company</t>
  </si>
  <si>
    <t xml:space="preserve">Crown Castle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</si>
  <si>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</si>
  <si>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</si>
  <si>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</si>
  <si>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</si>
  <si>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 (Yahoo chart API regularMarketTime)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</si>
  <si>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</si>
  <si>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</si>
  <si>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</si>
  <si>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</si>
  <si>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</si>
  <si>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</si>
  <si>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</si>
  <si>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</si>
  <si>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</si>
  <si>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</si>
  <si>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</si>
  <si>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</si>
  <si>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2026-09-26T00:35:30Z</t>
  </si>
  <si>
    <t xml:space="preserve">Drivers file</t>
  </si>
  <si>
    <t xml:space="preserve">CCI_Drivers.json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</si>
  <si>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</si>
  <si>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</si>
  <si>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</si>
  <si>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Crown Castle is valued on owner AFFO (company AFFO less SBC and net discretionary capex) capitalised at a cost of equity, because tower REIT cash flow is contracted rent after interest; net debt is never deducted a second time. The anchor is the July-2026 raised FY2026 guidance, the first clean towers-only year, with FY2027 lifted mechanically by the full-year interest saving from the Fiber-sale paydown. Historical CAGRs are unusable (restated continuing operations, negative equity, impairment-dominated EPS), so growth is built from escalators, leasing and churn.
key_risks_to_valuation: Customer concentration: AT&amp;T, T-Mobile and Verizon are the large majority of site rental revenue; one MLA renegotiation moves the base case; EchoStar/DISH: ~$220M 2026 headwind plus litigation; any further default or termination is bear-case territory; Refinancing: ~$18.2B of debt at ~4.2% average cost reprices upward at 6.0-6.5x leverage; a 100bp higher refi rate is ~$180M of AFFO once fully rolled; Satellite direct-to-device (SpaceX/Starlink, AST SpaceMobile) as a long-duration substitute in low-density areas, compressing terminal growth; Cost-of-equity sensitivity: a terminal-heavy, low-growth annuity; each 50bp of CoE moves the base value by roughly 8-10%; AFFO includes non-cash prepaid-rent amortisation; if prepaid-rent receipts fall well below amortisation, owner cash flow is lower than modelled</t>
  </si>
  <si>
    <t xml:space="preserve">Data sources</t>
  </si>
  <si>
    <t xml:space="preserve">price: Yahoo Finance chart API at inputs.price_as_of; 52-week range 66.84-100.50 (price sits at the bottom of the range)
financials: CCI_Metrics.csv (SEC XBRL, continuing operations FY2023+) and SEC XBRL companyconcept API: EntityCommonStockSharesOutstanding 425,455,439 at 2026-08-03; InterestExpenseDebt Q1-26 $242M, Q2-26 $208M; ShareBasedCompensation FY25 $73M, H1-26 $47M; PaymentsForRepurchaseOfCommonStock H1-26 $1,017M; total debt $18,239M and cash $1,042M at 30-Jun-26
qualitative: CCI_Analysis.json (2026-09-26): FY2026 guidance raised at Q2-26 (site rental revenue $3,833-3,878M, AFFO $1.95-2.00B, AFFO/share $4.53-4.65), dividend $1.0625/qtr, $65M cost programme, 6.0-6.5x leverage target, DISH/Sprint headwinds</t>
  </si>
  <si>
    <t xml:space="preserve">Scenario narrative: bear</t>
  </si>
  <si>
    <t xml:space="preserve">Carrier consolidation and decommissioning keep churn elevated (further EchoStar/DISH exits, UScellular site rationalisation, AT&amp;T/T-Mobile overlap), SpaceX/AST direct-to-device caps rural leasing and renewal pricing, and higher-for-longer rates reprice ~$2B/yr of debt at 6x+ leverage. Revenue grows 1-1.5%, AFFO margin erodes toward 49.5%, and the market prices CCI as an ex-growth, levered annuity (10.5% CoE, 1% terminal growth, 13x cap).</t>
  </si>
  <si>
    <t xml:space="preserve">Scenario narrative: base</t>
  </si>
  <si>
    <t xml:space="preserve">Pure-play US tower REIT after the Fiber sale. With DISH/EchoStar's ~$220M already out of the FY2026 base, revenue returns to ~3.5% growth (≈3% escalators plus modest 5G densification amendments, less Sprint's ~$20M/yr) and glides to 2.5%. FY2027 AFFO steps up ~9% on the full-year interest saving from the ~$7B paydown and the last of the $65M cost programme, after which operating leverage is mostly consumed by refinancing old low-coupon debt. Leverage stays at 6.0-6.5x; no further buybacks modelled. Capitalised at a 9.5% cost of equity, this lands close to the market: the stock is pricing a steady tower annuity, not a recovery.</t>
  </si>
  <si>
    <t xml:space="preserve">Scenario narrative: bull</t>
  </si>
  <si>
    <t xml:space="preserve">The simplified tower story works: carrier densification (mid-band 5G, fixed-wireless load, AI-driven traffic) and a new-CEO turnkey-services push lift organic growth to ~4.5%, the cost base keeps shrinking, and refinancing is benign, so AFFO margin reaches ~55%. Satellite direct-to-device stays a rural niche. The multiple re-rates toward AMT/SBAC as churn clears (8.75% CoE, 3% terminal growth).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</si>
  <si>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</si>
  <si>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</si>
  <si>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</si>
  <si>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</si>
  <si>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</si>
  <si>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</si>
  <si>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</si>
  <si>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</si>
  <si>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</si>
  <si>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</si>
  <si>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</si>
  <si>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</si>
  <si>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</si>
  <si>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</si>
  <si>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</si>
  <si>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</si>
  <si>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</si>
  <si>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</si>
  <si>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</si>
  <si>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</si>
  <si>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</si>
  <si>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</si>
  <si>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</si>
  <si>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</si>
  <si>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</si>
  <si>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</si>
  <si>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</si>
  <si>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</si>
  <si>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</si>
  <si>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</si>
  <si>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</si>
  <si>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</si>
  <si>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</si>
  <si>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</si>
  <si>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</si>
  <si>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</si>
  <si>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</si>
  <si>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</si>
  <si>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</si>
  <si>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</si>
  <si>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</si>
  <si>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</si>
  <si>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</si>
  <si>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</si>
  <si>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</si>
  <si>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</si>
  <si>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</si>
  <si>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</si>
  <si>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</si>
  <si>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</si>
  <si>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</si>
  <si>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</si>
  <si>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</si>
  <si>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</si>
  <si>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</si>
  <si>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</si>
  <si>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</si>
  <si>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</si>
  <si>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</si>
  <si>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</si>
  <si>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</si>
  <si>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</si>
  <si>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</si>
  <si>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</si>
  <si>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</si>
  <si>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</si>
  <si>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</si>
  <si>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</si>
  <si>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</si>
  <si>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</si>
  <si>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</si>
  <si>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</si>
  <si>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</si>
  <si>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</si>
  <si>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</si>
  <si>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</si>
  <si>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</si>
  <si>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</si>
  <si>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</si>
  <si>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</si>
  <si>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</si>
  <si>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</si>
  <si>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</si>
  <si>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</si>
  <si>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</si>
  <si>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CCI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</si>
  <si>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</si>
  <si>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</si>
  <si>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</si>
  <si>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</si>
  <si>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</si>
  <si>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</si>
  <si>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</si>
  <si>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</si>
  <si>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</si>
  <si>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</si>
  <si>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</si>
  <si>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</si>
  <si>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</si>
  <si>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</si>
  <si>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</si>
  <si>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</si>
  <si>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</si>
  <si>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</si>
  <si>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</si>
  <si>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</si>
  <si>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</si>
  <si>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</si>
  <si>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</si>
  <si>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</si>
  <si>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</si>
  <si>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</si>
  <si>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</si>
  <si>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</si>
  <si>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</si>
  <si>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</si>
  <si>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CCI owner-FCF component DCF: base case (millions, USD)</t>
  </si>
  <si>
    <t xml:space="preserve">CCI owner-FCF component DCF: bull case (millions, USD)</t>
  </si>
  <si>
    <t xml:space="preserve">CCI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</si>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</sst>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67.84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785.333</v>
      </c>
      <c r="S2" s="0" t="n">
        <v>592.716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1385.486</v>
      </c>
      <c r="F3" s="0" t="n">
        <v>99.528</v>
      </c>
      <c r="G3" s="0" t="n">
        <v>7.18361643495496</v>
      </c>
      <c r="I3" s="0" t="n">
        <v>-222.964</v>
      </c>
      <c r="J3" s="0" t="n">
        <v>-16.0928367374337</v>
      </c>
      <c r="L3" s="0" t="n">
        <v>350.355</v>
      </c>
      <c r="M3" s="0" t="n">
        <v>300.005</v>
      </c>
      <c r="N3" s="0" t="n">
        <v>50.35</v>
      </c>
      <c r="O3" s="0" t="n">
        <v>3166.911</v>
      </c>
      <c r="S3" s="0" t="n">
        <v>75.245</v>
      </c>
      <c r="U3" s="0" t="n">
        <v>21.621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1526.504</v>
      </c>
      <c r="F4" s="0" t="n">
        <v>292.509</v>
      </c>
      <c r="G4" s="0" t="n">
        <v>19.1620198833413</v>
      </c>
      <c r="I4" s="0" t="n">
        <v>-48.858</v>
      </c>
      <c r="J4" s="0" t="n">
        <v>-3.2006467064613</v>
      </c>
      <c r="L4" s="0" t="n">
        <v>513.001</v>
      </c>
      <c r="M4" s="0" t="n">
        <v>450.732</v>
      </c>
      <c r="N4" s="0" t="n">
        <v>62.269</v>
      </c>
      <c r="O4" s="0" t="n">
        <v>2715.865</v>
      </c>
      <c r="P4" s="0" t="n">
        <v>10361.722</v>
      </c>
      <c r="Q4" s="0" t="n">
        <v>7331.131</v>
      </c>
      <c r="R4" s="0" t="n">
        <v>6102.189</v>
      </c>
      <c r="S4" s="0" t="n">
        <v>155.219</v>
      </c>
      <c r="T4" s="0" t="n">
        <v>288.466431</v>
      </c>
      <c r="U4" s="0" t="n">
        <v>25.896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1685.407</v>
      </c>
      <c r="F5" s="0" t="n">
        <v>433.991</v>
      </c>
      <c r="G5" s="0" t="n">
        <v>25.7499227189634</v>
      </c>
      <c r="I5" s="0" t="n">
        <v>-114.332</v>
      </c>
      <c r="J5" s="0" t="n">
        <v>-6.78364335736116</v>
      </c>
      <c r="K5" s="0" t="n">
        <v>-0.47</v>
      </c>
      <c r="L5" s="0" t="n">
        <v>571.256</v>
      </c>
      <c r="M5" s="0" t="n">
        <v>173.535</v>
      </c>
      <c r="N5" s="0" t="n">
        <v>397.721</v>
      </c>
      <c r="O5" s="0" t="n">
        <v>2936.085</v>
      </c>
      <c r="P5" s="0" t="n">
        <v>10956.606</v>
      </c>
      <c r="Q5" s="0" t="n">
        <v>7704.867</v>
      </c>
      <c r="R5" s="0" t="n">
        <v>6579.15</v>
      </c>
      <c r="S5" s="0" t="n">
        <v>766.146</v>
      </c>
      <c r="T5" s="0" t="n">
        <v>286.622</v>
      </c>
      <c r="U5" s="0" t="n">
        <v>30.305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1878.658</v>
      </c>
      <c r="F6" s="0" t="n">
        <v>575.365</v>
      </c>
      <c r="G6" s="0" t="n">
        <v>30.6263833012714</v>
      </c>
      <c r="I6" s="0" t="n">
        <v>-311.259</v>
      </c>
      <c r="J6" s="0" t="n">
        <v>-16.5681566309568</v>
      </c>
      <c r="K6" s="0" t="n">
        <v>-1.16</v>
      </c>
      <c r="L6" s="0" t="n">
        <v>603.43</v>
      </c>
      <c r="M6" s="0" t="n">
        <v>228.058</v>
      </c>
      <c r="N6" s="0" t="n">
        <v>375.372</v>
      </c>
      <c r="O6" s="0" t="n">
        <v>2444.994</v>
      </c>
      <c r="P6" s="0" t="n">
        <v>10469.529</v>
      </c>
      <c r="Q6" s="0" t="n">
        <v>7707.954</v>
      </c>
      <c r="R6" s="0" t="n">
        <v>6778.894</v>
      </c>
      <c r="S6" s="0" t="n">
        <v>112.531</v>
      </c>
      <c r="T6" s="0" t="n">
        <v>290.826284</v>
      </c>
      <c r="U6" s="0" t="n">
        <v>39.965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2032.729</v>
      </c>
      <c r="F7" s="0" t="n">
        <v>692.305</v>
      </c>
      <c r="G7" s="0" t="n">
        <v>34.0579093425636</v>
      </c>
      <c r="I7" s="0" t="n">
        <v>171.46</v>
      </c>
      <c r="J7" s="0" t="n">
        <v>8.43496599891082</v>
      </c>
      <c r="K7" s="0" t="n">
        <v>0.52</v>
      </c>
      <c r="L7" s="0" t="n">
        <v>643.454</v>
      </c>
      <c r="M7" s="0" t="n">
        <v>347.942</v>
      </c>
      <c r="N7" s="0" t="n">
        <v>295.512</v>
      </c>
      <c r="O7" s="0" t="n">
        <v>2386.864</v>
      </c>
      <c r="P7" s="0" t="n">
        <v>10545.096</v>
      </c>
      <c r="Q7" s="0" t="n">
        <v>7853.2</v>
      </c>
      <c r="R7" s="0" t="n">
        <v>6885.699</v>
      </c>
      <c r="S7" s="0" t="n">
        <v>80.12</v>
      </c>
      <c r="T7" s="0" t="n">
        <v>285.947</v>
      </c>
      <c r="U7" s="0" t="n">
        <v>35.991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2432.68</v>
      </c>
      <c r="F8" s="0" t="n">
        <v>834.681</v>
      </c>
      <c r="G8" s="0" t="n">
        <v>34.3111712185738</v>
      </c>
      <c r="I8" s="0" t="n">
        <v>200.888</v>
      </c>
      <c r="J8" s="0" t="n">
        <v>8.25788841935643</v>
      </c>
      <c r="K8" s="0" t="n">
        <v>0.64</v>
      </c>
      <c r="L8" s="0" t="n">
        <v>772.557</v>
      </c>
      <c r="M8" s="0" t="n">
        <v>441.383</v>
      </c>
      <c r="N8" s="0" t="n">
        <v>331.174</v>
      </c>
      <c r="O8" s="0" t="n">
        <v>2951.264</v>
      </c>
      <c r="P8" s="0" t="n">
        <v>16088.709</v>
      </c>
      <c r="Q8" s="0" t="n">
        <v>13137.445</v>
      </c>
      <c r="R8" s="0" t="n">
        <v>11611.242</v>
      </c>
      <c r="S8" s="0" t="n">
        <v>441.364</v>
      </c>
      <c r="T8" s="0" t="n">
        <v>293.164786</v>
      </c>
      <c r="U8" s="0" t="n">
        <v>47.382</v>
      </c>
      <c r="V8" s="0" t="n">
        <v>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2865.751</v>
      </c>
      <c r="F9" s="0" t="n">
        <v>880.704</v>
      </c>
      <c r="G9" s="0" t="n">
        <v>30.732048946332</v>
      </c>
      <c r="I9" s="0" t="n">
        <v>93.901</v>
      </c>
      <c r="J9" s="0" t="n">
        <v>3.27666290616317</v>
      </c>
      <c r="K9" s="0" t="n">
        <v>0.26</v>
      </c>
      <c r="L9" s="0" t="n">
        <v>1171.059</v>
      </c>
      <c r="M9" s="0" t="n">
        <v>534.809</v>
      </c>
      <c r="N9" s="0" t="n">
        <v>636.25</v>
      </c>
      <c r="O9" s="0" t="n">
        <v>6941.175</v>
      </c>
      <c r="P9" s="0" t="n">
        <v>20594.908</v>
      </c>
      <c r="Q9" s="0" t="n">
        <v>13653.733</v>
      </c>
      <c r="R9" s="0" t="n">
        <v>11594.5</v>
      </c>
      <c r="S9" s="0" t="n">
        <v>223.394</v>
      </c>
      <c r="T9" s="0" t="n">
        <v>334.070016</v>
      </c>
      <c r="U9" s="0" t="n">
        <v>41.788</v>
      </c>
      <c r="V9" s="0" t="n">
        <v>0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3538.756</v>
      </c>
      <c r="F10" s="0" t="n">
        <v>940.682</v>
      </c>
      <c r="G10" s="0" t="n">
        <v>26.5822791964182</v>
      </c>
      <c r="I10" s="0" t="n">
        <v>398.774</v>
      </c>
      <c r="J10" s="0" t="n">
        <v>11.2687622430029</v>
      </c>
      <c r="K10" s="0" t="n">
        <v>1.04</v>
      </c>
      <c r="L10" s="0" t="n">
        <v>1600.197</v>
      </c>
      <c r="M10" s="0" t="n">
        <v>758.535</v>
      </c>
      <c r="N10" s="0" t="n">
        <v>841.662</v>
      </c>
      <c r="O10" s="0" t="n">
        <v>6737.228</v>
      </c>
      <c r="P10" s="0" t="n">
        <v>21143.276</v>
      </c>
      <c r="Q10" s="0" t="n">
        <v>14406.048</v>
      </c>
      <c r="R10" s="0" t="n">
        <v>11920.861</v>
      </c>
      <c r="S10" s="0" t="n">
        <v>151.312</v>
      </c>
      <c r="T10" s="0" t="n">
        <v>333.856632</v>
      </c>
      <c r="U10" s="0" t="n">
        <v>56.432</v>
      </c>
      <c r="V10" s="0" t="n">
        <v>1870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3663.851</v>
      </c>
      <c r="F11" s="0" t="n">
        <v>946.18</v>
      </c>
      <c r="G11" s="0" t="n">
        <v>25.8247401436358</v>
      </c>
      <c r="I11" s="0" t="n">
        <v>1524.335</v>
      </c>
      <c r="J11" s="0" t="n">
        <v>41.6047213710383</v>
      </c>
      <c r="K11" s="0" t="n">
        <v>4.44</v>
      </c>
      <c r="L11" s="0" t="n">
        <v>1794.025</v>
      </c>
      <c r="M11" s="0" t="n">
        <v>908.892</v>
      </c>
      <c r="N11" s="0" t="n">
        <v>885.133</v>
      </c>
      <c r="O11" s="0" t="n">
        <v>7091</v>
      </c>
      <c r="P11" s="0" t="n">
        <v>21936.966</v>
      </c>
      <c r="Q11" s="0" t="n">
        <v>14847.745</v>
      </c>
      <c r="R11" s="0" t="n">
        <v>12149.959</v>
      </c>
      <c r="S11" s="0" t="n">
        <v>178.81</v>
      </c>
      <c r="T11" s="0" t="n">
        <v>334.062</v>
      </c>
      <c r="U11" s="0" t="n">
        <v>67.148</v>
      </c>
      <c r="V11" s="0" t="n">
        <v>3.35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3921</v>
      </c>
      <c r="C12" s="0" t="n">
        <v>417</v>
      </c>
      <c r="F12" s="0" t="n">
        <v>949</v>
      </c>
      <c r="G12" s="0" t="n">
        <v>24.2030094363683</v>
      </c>
      <c r="I12" s="0" t="n">
        <v>357</v>
      </c>
      <c r="J12" s="0" t="n">
        <v>9.10482019892885</v>
      </c>
      <c r="K12" s="0" t="n">
        <v>0.95</v>
      </c>
      <c r="L12" s="0" t="n">
        <v>1787</v>
      </c>
      <c r="M12" s="0" t="n">
        <v>874</v>
      </c>
      <c r="N12" s="0" t="n">
        <v>913</v>
      </c>
      <c r="O12" s="0" t="n">
        <v>7222</v>
      </c>
      <c r="P12" s="0" t="n">
        <v>22675</v>
      </c>
      <c r="Q12" s="0" t="n">
        <v>15117.977</v>
      </c>
      <c r="R12" s="0" t="n">
        <v>12171.142</v>
      </c>
      <c r="S12" s="0" t="n">
        <v>568</v>
      </c>
      <c r="T12" s="0" t="n">
        <v>360.536659</v>
      </c>
      <c r="U12" s="0" t="n">
        <v>97</v>
      </c>
      <c r="V12" s="0" t="n">
        <v>3.61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4255</v>
      </c>
      <c r="C13" s="0" t="n">
        <v>399</v>
      </c>
      <c r="F13" s="0" t="n">
        <v>967</v>
      </c>
      <c r="G13" s="0" t="n">
        <v>22.7262044653349</v>
      </c>
      <c r="I13" s="0" t="n">
        <v>366</v>
      </c>
      <c r="J13" s="0" t="n">
        <v>8.60164512338425</v>
      </c>
      <c r="K13" s="0" t="n">
        <v>0.8</v>
      </c>
      <c r="L13" s="0" t="n">
        <v>2032</v>
      </c>
      <c r="M13" s="0" t="n">
        <v>-1217</v>
      </c>
      <c r="N13" s="0" t="n">
        <v>815</v>
      </c>
      <c r="O13" s="0" t="n">
        <v>11925</v>
      </c>
      <c r="P13" s="0" t="n">
        <v>32229</v>
      </c>
      <c r="Q13" s="0" t="n">
        <v>19890</v>
      </c>
      <c r="R13" s="0" t="n">
        <v>16159</v>
      </c>
      <c r="S13" s="0" t="n">
        <v>314</v>
      </c>
      <c r="T13" s="0" t="n">
        <v>406</v>
      </c>
      <c r="U13" s="0" t="n">
        <v>96</v>
      </c>
      <c r="V13" s="0" t="n">
        <v>3.9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5370</v>
      </c>
      <c r="C14" s="0" t="n">
        <v>434</v>
      </c>
      <c r="F14" s="0" t="n">
        <v>1383</v>
      </c>
      <c r="G14" s="0" t="n">
        <v>25.7541899441341</v>
      </c>
      <c r="I14" s="0" t="n">
        <v>622</v>
      </c>
      <c r="J14" s="0" t="n">
        <v>11.5828677839851</v>
      </c>
      <c r="K14" s="0" t="n">
        <v>1.35</v>
      </c>
      <c r="L14" s="0" t="n">
        <v>2500</v>
      </c>
      <c r="M14" s="0" t="n">
        <v>1739</v>
      </c>
      <c r="N14" s="0" t="n">
        <v>761</v>
      </c>
      <c r="O14" s="0" t="n">
        <v>11571</v>
      </c>
      <c r="P14" s="0" t="n">
        <v>32762</v>
      </c>
      <c r="Q14" s="0" t="n">
        <v>21191</v>
      </c>
      <c r="R14" s="0" t="n">
        <v>16682</v>
      </c>
      <c r="S14" s="0" t="n">
        <v>277</v>
      </c>
      <c r="T14" s="0" t="n">
        <v>415</v>
      </c>
      <c r="U14" s="0" t="n">
        <v>108</v>
      </c>
      <c r="V14" s="0" t="n">
        <v>4.28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5763</v>
      </c>
      <c r="C15" s="0" t="n">
        <v>524</v>
      </c>
      <c r="F15" s="0" t="n">
        <v>1559</v>
      </c>
      <c r="G15" s="0" t="n">
        <v>27.0518826999827</v>
      </c>
      <c r="I15" s="0" t="n">
        <v>860</v>
      </c>
      <c r="J15" s="0" t="n">
        <v>14.9227832726011</v>
      </c>
      <c r="K15" s="0" t="n">
        <v>1.8</v>
      </c>
      <c r="L15" s="0" t="n">
        <v>2698</v>
      </c>
      <c r="M15" s="0" t="n">
        <v>2057</v>
      </c>
      <c r="N15" s="0" t="n">
        <v>641</v>
      </c>
      <c r="O15" s="0" t="n">
        <v>10489</v>
      </c>
      <c r="P15" s="0" t="n">
        <v>38457</v>
      </c>
      <c r="Q15" s="0" t="n">
        <v>27968</v>
      </c>
      <c r="R15" s="0" t="n">
        <v>18121</v>
      </c>
      <c r="S15" s="0" t="n">
        <v>196</v>
      </c>
      <c r="T15" s="0" t="n">
        <v>418</v>
      </c>
      <c r="U15" s="0" t="n">
        <v>117</v>
      </c>
      <c r="V15" s="0" t="n">
        <v>4.58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5840</v>
      </c>
      <c r="C16" s="0" t="n">
        <v>1927</v>
      </c>
      <c r="F16" s="0" t="n">
        <v>1863</v>
      </c>
      <c r="G16" s="0" t="n">
        <v>31.9006849315069</v>
      </c>
      <c r="I16" s="0" t="n">
        <v>1056</v>
      </c>
      <c r="J16" s="0" t="n">
        <v>18.0821917808219</v>
      </c>
      <c r="K16" s="0" t="n">
        <v>2.36</v>
      </c>
      <c r="L16" s="0" t="n">
        <v>3055</v>
      </c>
      <c r="M16" s="0" t="n">
        <v>1624</v>
      </c>
      <c r="N16" s="0" t="n">
        <v>1431</v>
      </c>
      <c r="O16" s="0" t="n">
        <v>9461</v>
      </c>
      <c r="P16" s="0" t="n">
        <v>38768</v>
      </c>
      <c r="Q16" s="0" t="n">
        <v>29307</v>
      </c>
      <c r="R16" s="0" t="n">
        <v>19280</v>
      </c>
      <c r="S16" s="0" t="n">
        <v>232</v>
      </c>
      <c r="T16" s="0" t="n">
        <v>431</v>
      </c>
      <c r="U16" s="0" t="n">
        <v>138</v>
      </c>
      <c r="V16" s="0" t="n">
        <v>4.93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6340</v>
      </c>
      <c r="C17" s="0" t="n">
        <v>1953</v>
      </c>
      <c r="F17" s="0" t="n">
        <v>2001</v>
      </c>
      <c r="G17" s="0" t="n">
        <v>31.5615141955836</v>
      </c>
      <c r="I17" s="0" t="n">
        <v>1096</v>
      </c>
      <c r="J17" s="0" t="n">
        <v>17.2870662460568</v>
      </c>
      <c r="K17" s="0" t="n">
        <v>2.54</v>
      </c>
      <c r="L17" s="0" t="n">
        <v>2789</v>
      </c>
      <c r="M17" s="0" t="n">
        <v>1229</v>
      </c>
      <c r="N17" s="0" t="n">
        <v>1560</v>
      </c>
      <c r="O17" s="0" t="n">
        <v>8258</v>
      </c>
      <c r="P17" s="0" t="n">
        <v>39040</v>
      </c>
      <c r="Q17" s="0" t="n">
        <v>30782</v>
      </c>
      <c r="R17" s="0" t="n">
        <v>20629</v>
      </c>
      <c r="S17" s="0" t="n">
        <v>292</v>
      </c>
      <c r="T17" s="0" t="n">
        <v>434</v>
      </c>
      <c r="U17" s="0" t="n">
        <v>131</v>
      </c>
      <c r="V17" s="0" t="n">
        <v>5.46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6986</v>
      </c>
      <c r="C18" s="0" t="n">
        <v>2024</v>
      </c>
      <c r="F18" s="0" t="n">
        <v>2425</v>
      </c>
      <c r="G18" s="0" t="n">
        <v>34.7122817062697</v>
      </c>
      <c r="I18" s="0" t="n">
        <v>1675</v>
      </c>
      <c r="J18" s="0" t="n">
        <v>23.9765244775265</v>
      </c>
      <c r="K18" s="0" t="n">
        <v>3.87</v>
      </c>
      <c r="L18" s="0" t="n">
        <v>2878</v>
      </c>
      <c r="M18" s="0" t="n">
        <v>1310</v>
      </c>
      <c r="N18" s="0" t="n">
        <v>1568</v>
      </c>
      <c r="O18" s="0" t="n">
        <v>7449</v>
      </c>
      <c r="P18" s="0" t="n">
        <v>38921</v>
      </c>
      <c r="Q18" s="0" t="n">
        <v>31472</v>
      </c>
      <c r="R18" s="0" t="n">
        <v>21729</v>
      </c>
      <c r="S18" s="0" t="n">
        <v>156</v>
      </c>
      <c r="T18" s="0" t="n">
        <v>434</v>
      </c>
      <c r="U18" s="0" t="n">
        <v>156</v>
      </c>
      <c r="V18" s="0" t="n">
        <v>5.98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4734</v>
      </c>
      <c r="C19" s="0" t="n">
        <v>304</v>
      </c>
      <c r="F19" s="0" t="n">
        <v>2097</v>
      </c>
      <c r="G19" s="0" t="n">
        <v>44.2965779467681</v>
      </c>
      <c r="I19" s="0" t="n">
        <v>1502</v>
      </c>
      <c r="J19" s="0" t="n">
        <v>31.7279256442755</v>
      </c>
      <c r="K19" s="0" t="n">
        <v>3.46</v>
      </c>
      <c r="L19" s="0" t="n">
        <v>3126</v>
      </c>
      <c r="M19" s="0" t="n">
        <v>243</v>
      </c>
      <c r="N19" s="0" t="n">
        <v>2883</v>
      </c>
      <c r="O19" s="0" t="n">
        <v>6381</v>
      </c>
      <c r="P19" s="0" t="n">
        <v>38527</v>
      </c>
      <c r="Q19" s="0" t="n">
        <v>32146</v>
      </c>
      <c r="R19" s="0" t="n">
        <v>22921</v>
      </c>
      <c r="S19" s="0" t="n">
        <v>105</v>
      </c>
      <c r="T19" s="0" t="n">
        <v>434</v>
      </c>
      <c r="U19" s="0" t="n">
        <v>102</v>
      </c>
      <c r="V19" s="0" t="n">
        <v>6.26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4460</v>
      </c>
      <c r="C20" s="0" t="n">
        <v>107</v>
      </c>
      <c r="F20" s="0" t="n">
        <v>2118</v>
      </c>
      <c r="G20" s="0" t="n">
        <v>47.4887892376682</v>
      </c>
      <c r="I20" s="0" t="n">
        <v>-3903</v>
      </c>
      <c r="J20" s="0" t="n">
        <v>-87.5112107623318</v>
      </c>
      <c r="K20" s="0" t="n">
        <v>-8.98</v>
      </c>
      <c r="L20" s="0" t="n">
        <v>2943</v>
      </c>
      <c r="M20" s="0" t="n">
        <v>176</v>
      </c>
      <c r="N20" s="0" t="n">
        <v>2767</v>
      </c>
      <c r="O20" s="0" t="n">
        <v>-133</v>
      </c>
      <c r="P20" s="0" t="n">
        <v>32736</v>
      </c>
      <c r="Q20" s="0" t="n">
        <v>32869</v>
      </c>
      <c r="R20" s="0" t="n">
        <v>24054</v>
      </c>
      <c r="S20" s="0" t="n">
        <v>100</v>
      </c>
      <c r="T20" s="0" t="n">
        <v>435</v>
      </c>
      <c r="U20" s="0" t="n">
        <v>84</v>
      </c>
      <c r="V20" s="0" t="n">
        <v>6.26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4264</v>
      </c>
      <c r="C21" s="0" t="n">
        <v>113</v>
      </c>
      <c r="F21" s="0" t="n">
        <v>2075</v>
      </c>
      <c r="G21" s="0" t="n">
        <v>48.6632270168856</v>
      </c>
      <c r="I21" s="0" t="n">
        <v>444</v>
      </c>
      <c r="J21" s="0" t="n">
        <v>10.4127579737336</v>
      </c>
      <c r="K21" s="0" t="n">
        <v>1.02</v>
      </c>
      <c r="L21" s="0" t="n">
        <v>3057</v>
      </c>
      <c r="M21" s="0" t="n">
        <v>182</v>
      </c>
      <c r="N21" s="0" t="n">
        <v>2875</v>
      </c>
      <c r="O21" s="0" t="n">
        <v>-1635</v>
      </c>
      <c r="P21" s="0" t="n">
        <v>31518</v>
      </c>
      <c r="Q21" s="0" t="n">
        <v>33153</v>
      </c>
      <c r="R21" s="0" t="n">
        <v>27120</v>
      </c>
      <c r="S21" s="0" t="n">
        <v>99</v>
      </c>
      <c r="T21" s="0" t="n">
        <v>437</v>
      </c>
      <c r="U21" s="0" t="n">
        <v>73</v>
      </c>
      <c r="V21" s="0" t="n">
        <v>4.75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67.84</v>
      </c>
    </row>
    <row r="3" customFormat="false" ht="15" hidden="false" customHeight="false" outlineLevel="0" collapsed="false">
      <c r="A3" s="0" t="s">
        <v>86</v>
      </c>
      <c r="B3" s="3" t="n">
        <v>426.5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4030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1.5</v>
      </c>
      <c r="D13" s="3" t="n">
        <v>1.5</v>
      </c>
      <c r="E13" s="3" t="n">
        <v>1.5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108</v>
      </c>
      <c r="C14" s="3" t="n">
        <v>50.8</v>
      </c>
      <c r="D14" s="3" t="n">
        <v>50.6</v>
      </c>
      <c r="E14" s="3" t="n">
        <v>50.4</v>
      </c>
      <c r="F14" s="3" t="n">
        <v>50.2</v>
      </c>
      <c r="G14" s="3" t="n">
        <v>50</v>
      </c>
      <c r="H14" s="3" t="n">
        <v>49.8</v>
      </c>
      <c r="I14" s="3" t="n">
        <v>49.6</v>
      </c>
      <c r="J14" s="3" t="n">
        <v>49.5</v>
      </c>
      <c r="K14" s="3" t="n">
        <v>49.5</v>
      </c>
      <c r="L14" s="3" t="n">
        <v>49.5</v>
      </c>
    </row>
    <row r="15" customFormat="false" ht="15" hidden="false" customHeight="false" outlineLevel="0" collapsed="false">
      <c r="A15" s="0" t="s">
        <v>109</v>
      </c>
      <c r="C15" s="3" t="n">
        <v>2.2</v>
      </c>
      <c r="D15" s="3" t="n">
        <v>2.1</v>
      </c>
      <c r="E15" s="3" t="n">
        <v>2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112</v>
      </c>
      <c r="C18" s="3" t="n">
        <v>4.5</v>
      </c>
      <c r="D18" s="3" t="n">
        <v>4.5</v>
      </c>
      <c r="E18" s="3" t="n">
        <v>4.5</v>
      </c>
      <c r="F18" s="3" t="n">
        <v>4.5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113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114</v>
      </c>
      <c r="B20" s="3" t="n">
        <v>10.5</v>
      </c>
    </row>
    <row r="21" customFormat="false" ht="15" hidden="false" customHeight="false" outlineLevel="0" collapsed="false">
      <c r="A21" s="0" t="s">
        <v>115</v>
      </c>
      <c r="B21" s="3" t="n">
        <v>1</v>
      </c>
    </row>
    <row r="22" customFormat="false" ht="15" hidden="false" customHeight="false" outlineLevel="0" collapsed="false">
      <c r="A22" s="0" t="s">
        <v>116</v>
      </c>
      <c r="B22" s="3" t="n">
        <v>13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3.5</v>
      </c>
      <c r="D27" s="3" t="n">
        <v>3.5</v>
      </c>
      <c r="E27" s="3" t="n">
        <v>3.5</v>
      </c>
      <c r="F27" s="3" t="n">
        <v>3</v>
      </c>
      <c r="G27" s="3" t="n">
        <v>3</v>
      </c>
      <c r="H27" s="3" t="n">
        <v>3</v>
      </c>
      <c r="I27" s="3" t="n">
        <v>2.75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108</v>
      </c>
      <c r="C28" s="3" t="n">
        <v>51.6</v>
      </c>
      <c r="D28" s="3" t="n">
        <v>52</v>
      </c>
      <c r="E28" s="3" t="n">
        <v>52.3</v>
      </c>
      <c r="F28" s="3" t="n">
        <v>52.5</v>
      </c>
      <c r="G28" s="3" t="n">
        <v>52.6</v>
      </c>
      <c r="H28" s="3" t="n">
        <v>52.7</v>
      </c>
      <c r="I28" s="3" t="n">
        <v>52.8</v>
      </c>
      <c r="J28" s="3" t="n">
        <v>52.8</v>
      </c>
      <c r="K28" s="3" t="n">
        <v>52.8</v>
      </c>
      <c r="L28" s="3" t="n">
        <v>52.8</v>
      </c>
    </row>
    <row r="29" customFormat="false" ht="15" hidden="false" customHeight="false" outlineLevel="0" collapsed="false">
      <c r="A29" s="0" t="s">
        <v>109</v>
      </c>
      <c r="C29" s="3" t="n">
        <v>2.1</v>
      </c>
      <c r="D29" s="3" t="n">
        <v>2</v>
      </c>
      <c r="E29" s="3" t="n">
        <v>1.9</v>
      </c>
      <c r="F29" s="3" t="n">
        <v>1.8</v>
      </c>
      <c r="G29" s="3" t="n">
        <v>1.8</v>
      </c>
      <c r="H29" s="3" t="n">
        <v>1.8</v>
      </c>
      <c r="I29" s="3" t="n">
        <v>1.8</v>
      </c>
      <c r="J29" s="3" t="n">
        <v>1.8</v>
      </c>
      <c r="K29" s="3" t="n">
        <v>1.8</v>
      </c>
      <c r="L29" s="3" t="n">
        <v>1.8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112</v>
      </c>
      <c r="C32" s="3" t="n">
        <v>4.3</v>
      </c>
      <c r="D32" s="3" t="n">
        <v>4.2</v>
      </c>
      <c r="E32" s="3" t="n">
        <v>4.1</v>
      </c>
      <c r="F32" s="3" t="n">
        <v>4</v>
      </c>
      <c r="G32" s="3" t="n">
        <v>4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113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114</v>
      </c>
      <c r="B34" s="3" t="n">
        <v>9.5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18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4.5</v>
      </c>
      <c r="D41" s="3" t="n">
        <v>4.5</v>
      </c>
      <c r="E41" s="3" t="n">
        <v>4.5</v>
      </c>
      <c r="F41" s="3" t="n">
        <v>4</v>
      </c>
      <c r="G41" s="3" t="n">
        <v>4</v>
      </c>
      <c r="H41" s="3" t="n">
        <v>3.5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108</v>
      </c>
      <c r="C42" s="3" t="n">
        <v>52</v>
      </c>
      <c r="D42" s="3" t="n">
        <v>52.8</v>
      </c>
      <c r="E42" s="3" t="n">
        <v>53.5</v>
      </c>
      <c r="F42" s="3" t="n">
        <v>54.1</v>
      </c>
      <c r="G42" s="3" t="n">
        <v>54.6</v>
      </c>
      <c r="H42" s="3" t="n">
        <v>55</v>
      </c>
      <c r="I42" s="3" t="n">
        <v>55.2</v>
      </c>
      <c r="J42" s="3" t="n">
        <v>55.4</v>
      </c>
      <c r="K42" s="3" t="n">
        <v>55.5</v>
      </c>
      <c r="L42" s="3" t="n">
        <v>55.5</v>
      </c>
    </row>
    <row r="43" customFormat="false" ht="15" hidden="false" customHeight="false" outlineLevel="0" collapsed="false">
      <c r="A43" s="0" t="s">
        <v>109</v>
      </c>
      <c r="C43" s="3" t="n">
        <v>2</v>
      </c>
      <c r="D43" s="3" t="n">
        <v>1.9</v>
      </c>
      <c r="E43" s="3" t="n">
        <v>1.8</v>
      </c>
      <c r="F43" s="3" t="n">
        <v>1.7</v>
      </c>
      <c r="G43" s="3" t="n">
        <v>1.7</v>
      </c>
      <c r="H43" s="3" t="n">
        <v>1.7</v>
      </c>
      <c r="I43" s="3" t="n">
        <v>1.7</v>
      </c>
      <c r="J43" s="3" t="n">
        <v>1.7</v>
      </c>
      <c r="K43" s="3" t="n">
        <v>1.7</v>
      </c>
      <c r="L43" s="3" t="n">
        <v>1.7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112</v>
      </c>
      <c r="C46" s="3" t="n">
        <v>4.3</v>
      </c>
      <c r="D46" s="3" t="n">
        <v>4.2</v>
      </c>
      <c r="E46" s="3" t="n">
        <v>4.1</v>
      </c>
      <c r="F46" s="3" t="n">
        <v>4</v>
      </c>
      <c r="G46" s="3" t="n">
        <v>4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113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114</v>
      </c>
      <c r="B48" s="3" t="n">
        <v>8.75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20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1.5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4030</v>
      </c>
      <c r="C6" s="0" t="n">
        <f aca="false">B6*(1+C5/100)</f>
        <v>4090.45</v>
      </c>
      <c r="D6" s="0" t="n">
        <f aca="false">C6*(1+D5/100)</f>
        <v>4151.80675</v>
      </c>
      <c r="E6" s="0" t="n">
        <f aca="false">D6*(1+E5/100)</f>
        <v>4214.08385125</v>
      </c>
      <c r="F6" s="0" t="n">
        <f aca="false">E6*(1+F5/100)</f>
        <v>4256.2246897625</v>
      </c>
      <c r="G6" s="0" t="n">
        <f aca="false">F6*(1+G5/100)</f>
        <v>4298.78693666012</v>
      </c>
      <c r="H6" s="0" t="n">
        <f aca="false">G6*(1+H5/100)</f>
        <v>4341.77480602673</v>
      </c>
      <c r="I6" s="0" t="n">
        <f aca="false">H6*(1+I5/100)</f>
        <v>4385.19255408699</v>
      </c>
      <c r="J6" s="0" t="n">
        <f aca="false">I6*(1+J5/100)</f>
        <v>4429.04447962786</v>
      </c>
      <c r="K6" s="0" t="n">
        <f aca="false">J6*(1+K5/100)</f>
        <v>4473.33492442414</v>
      </c>
      <c r="L6" s="0" t="n">
        <f aca="false">K6*(1+L5/100)</f>
        <v>4518.06827366838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50.8</v>
      </c>
      <c r="D7" s="4" t="n">
        <f aca="false">Assumptions!D14</f>
        <v>50.6</v>
      </c>
      <c r="E7" s="4" t="n">
        <f aca="false">Assumptions!E14</f>
        <v>50.4</v>
      </c>
      <c r="F7" s="4" t="n">
        <f aca="false">Assumptions!F14</f>
        <v>50.2</v>
      </c>
      <c r="G7" s="4" t="n">
        <f aca="false">Assumptions!G14</f>
        <v>50</v>
      </c>
      <c r="H7" s="4" t="n">
        <f aca="false">Assumptions!H14</f>
        <v>49.8</v>
      </c>
      <c r="I7" s="4" t="n">
        <f aca="false">Assumptions!I14</f>
        <v>49.6</v>
      </c>
      <c r="J7" s="4" t="n">
        <f aca="false">Assumptions!J14</f>
        <v>49.5</v>
      </c>
      <c r="K7" s="4" t="n">
        <f aca="false">Assumptions!K14</f>
        <v>49.5</v>
      </c>
      <c r="L7" s="4" t="n">
        <f aca="false">Assumptions!L14</f>
        <v>49.5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2077.9486</v>
      </c>
      <c r="D8" s="0" t="n">
        <f aca="false">D6*D7/100</f>
        <v>2100.8142155</v>
      </c>
      <c r="E8" s="0" t="n">
        <f aca="false">E6*E7/100</f>
        <v>2123.89826103</v>
      </c>
      <c r="F8" s="0" t="n">
        <f aca="false">F6*F7/100</f>
        <v>2136.62479426077</v>
      </c>
      <c r="G8" s="0" t="n">
        <f aca="false">G6*G7/100</f>
        <v>2149.39346833006</v>
      </c>
      <c r="H8" s="0" t="n">
        <f aca="false">H6*H7/100</f>
        <v>2162.20385340131</v>
      </c>
      <c r="I8" s="0" t="n">
        <f aca="false">I6*I7/100</f>
        <v>2175.05550682715</v>
      </c>
      <c r="J8" s="0" t="n">
        <f aca="false">J6*J7/100</f>
        <v>2192.37701741579</v>
      </c>
      <c r="K8" s="0" t="n">
        <f aca="false">K6*K7/100</f>
        <v>2214.30078758995</v>
      </c>
      <c r="L8" s="0" t="n">
        <f aca="false">L6*L7/100</f>
        <v>2236.44379546585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2.2</v>
      </c>
      <c r="D9" s="4" t="n">
        <f aca="false">Assumptions!D15</f>
        <v>2.1</v>
      </c>
      <c r="E9" s="4" t="n">
        <f aca="false">Assumptions!E15</f>
        <v>2</v>
      </c>
      <c r="F9" s="4" t="n">
        <f aca="false">Assumptions!F15</f>
        <v>2</v>
      </c>
      <c r="G9" s="4" t="n">
        <f aca="false">Assumptions!G15</f>
        <v>2</v>
      </c>
      <c r="H9" s="4" t="n">
        <f aca="false">Assumptions!H15</f>
        <v>2</v>
      </c>
      <c r="I9" s="4" t="n">
        <f aca="false">Assumptions!I15</f>
        <v>2</v>
      </c>
      <c r="J9" s="4" t="n">
        <f aca="false">Assumptions!J15</f>
        <v>2</v>
      </c>
      <c r="K9" s="4" t="n">
        <f aca="false">Assumptions!K15</f>
        <v>2</v>
      </c>
      <c r="L9" s="4" t="n">
        <f aca="false">Assumptions!L15</f>
        <v>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-89.9899</v>
      </c>
      <c r="D10" s="0" t="n">
        <f aca="false">-D6*D9/100</f>
        <v>-87.18794175</v>
      </c>
      <c r="E10" s="0" t="n">
        <f aca="false">-E6*E9/100</f>
        <v>-84.281677025</v>
      </c>
      <c r="F10" s="0" t="n">
        <f aca="false">-F6*F9/100</f>
        <v>-85.12449379525</v>
      </c>
      <c r="G10" s="0" t="n">
        <f aca="false">-G6*G9/100</f>
        <v>-85.9757387332025</v>
      </c>
      <c r="H10" s="0" t="n">
        <f aca="false">-H6*H9/100</f>
        <v>-86.8354961205345</v>
      </c>
      <c r="I10" s="0" t="n">
        <f aca="false">-I6*I9/100</f>
        <v>-87.7038510817399</v>
      </c>
      <c r="J10" s="0" t="n">
        <f aca="false">-J6*J9/100</f>
        <v>-88.5808895925573</v>
      </c>
      <c r="K10" s="0" t="n">
        <f aca="false">-K6*K9/100</f>
        <v>-89.4666984884828</v>
      </c>
      <c r="L10" s="0" t="n">
        <f aca="false">-L6*L9/100</f>
        <v>-90.3613654733677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1987.9587</v>
      </c>
      <c r="D11" s="0" t="n">
        <f aca="false">D8+D10+D24</f>
        <v>2013.62627375</v>
      </c>
      <c r="E11" s="0" t="n">
        <f aca="false">E8+E10+E24</f>
        <v>2039.616584005</v>
      </c>
      <c r="F11" s="0" t="n">
        <f aca="false">F8+F10+F24</f>
        <v>2051.50030046552</v>
      </c>
      <c r="G11" s="0" t="n">
        <f aca="false">G8+G10+G24</f>
        <v>2063.41772959686</v>
      </c>
      <c r="H11" s="0" t="n">
        <f aca="false">H8+H10+H24</f>
        <v>2075.36835728078</v>
      </c>
      <c r="I11" s="0" t="n">
        <f aca="false">I8+I10+I24</f>
        <v>2087.35165574541</v>
      </c>
      <c r="J11" s="0" t="n">
        <f aca="false">J8+J10+J24</f>
        <v>2103.79612782324</v>
      </c>
      <c r="K11" s="0" t="n">
        <f aca="false">K8+K10+K24</f>
        <v>2124.83408910147</v>
      </c>
      <c r="L11" s="0" t="n">
        <f aca="false">L8+L10+L24</f>
        <v>2146.08242999248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1987.9587</v>
      </c>
      <c r="D13" s="0" t="n">
        <f aca="false">D11+D12</f>
        <v>2013.62627375</v>
      </c>
      <c r="E13" s="0" t="n">
        <f aca="false">E11+E12</f>
        <v>2039.616584005</v>
      </c>
      <c r="F13" s="0" t="n">
        <f aca="false">F11+F12</f>
        <v>2051.50030046552</v>
      </c>
      <c r="G13" s="0" t="n">
        <f aca="false">G11+G12</f>
        <v>2063.41772959686</v>
      </c>
      <c r="H13" s="0" t="n">
        <f aca="false">H11+H12</f>
        <v>2075.36835728078</v>
      </c>
      <c r="I13" s="0" t="n">
        <f aca="false">I11+I12</f>
        <v>2087.35165574541</v>
      </c>
      <c r="J13" s="0" t="n">
        <f aca="false">J11+J12</f>
        <v>2103.79612782324</v>
      </c>
      <c r="K13" s="0" t="n">
        <f aca="false">K11+K12</f>
        <v>2124.83408910147</v>
      </c>
      <c r="L13" s="0" t="n">
        <f aca="false">L11+L12</f>
        <v>2146.08242999248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1987.9587</v>
      </c>
      <c r="D15" s="0" t="n">
        <f aca="false">D13-MAX(0,D13)*D14/100</f>
        <v>2013.62627375</v>
      </c>
      <c r="E15" s="0" t="n">
        <f aca="false">E13-MAX(0,E13)*E14/100</f>
        <v>2039.616584005</v>
      </c>
      <c r="F15" s="0" t="n">
        <f aca="false">F13-MAX(0,F13)*F14/100</f>
        <v>2051.50030046552</v>
      </c>
      <c r="G15" s="0" t="n">
        <f aca="false">G13-MAX(0,G13)*G14/100</f>
        <v>2063.41772959686</v>
      </c>
      <c r="H15" s="0" t="n">
        <f aca="false">H13-MAX(0,H13)*H14/100</f>
        <v>2075.36835728078</v>
      </c>
      <c r="I15" s="0" t="n">
        <f aca="false">I13-MAX(0,I13)*I14/100</f>
        <v>2087.35165574541</v>
      </c>
      <c r="J15" s="0" t="n">
        <f aca="false">J13-MAX(0,J13)*J14/100</f>
        <v>2103.79612782324</v>
      </c>
      <c r="K15" s="0" t="n">
        <f aca="false">K13-MAX(0,K13)*K14/100</f>
        <v>2124.83408910147</v>
      </c>
      <c r="L15" s="0" t="n">
        <f aca="false">L13-MAX(0,L13)*L14/100</f>
        <v>2146.08242999248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-184.07025</v>
      </c>
      <c r="D17" s="4" t="n">
        <f aca="false">-D6*Assumptions!D18/100</f>
        <v>-186.83130375</v>
      </c>
      <c r="E17" s="4" t="n">
        <f aca="false">-E6*Assumptions!E18/100</f>
        <v>-189.63377330625</v>
      </c>
      <c r="F17" s="4" t="n">
        <f aca="false">-F6*Assumptions!F18/100</f>
        <v>-191.530111039312</v>
      </c>
      <c r="G17" s="4" t="n">
        <f aca="false">-G6*Assumptions!G18/100</f>
        <v>-193.445412149706</v>
      </c>
      <c r="H17" s="4" t="n">
        <f aca="false">-H6*Assumptions!H18/100</f>
        <v>-195.379866271203</v>
      </c>
      <c r="I17" s="4" t="n">
        <f aca="false">-I6*Assumptions!I18/100</f>
        <v>-197.333664933915</v>
      </c>
      <c r="J17" s="4" t="n">
        <f aca="false">-J6*Assumptions!J18/100</f>
        <v>-199.307001583254</v>
      </c>
      <c r="K17" s="4" t="n">
        <f aca="false">-K6*Assumptions!K18/100</f>
        <v>-201.300071599086</v>
      </c>
      <c r="L17" s="4" t="n">
        <f aca="false">-L6*Assumptions!L18/100</f>
        <v>-203.313072315077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1803.88845</v>
      </c>
      <c r="D19" s="0" t="n">
        <f aca="false">D15+D16+D17+D18</f>
        <v>1826.79497</v>
      </c>
      <c r="E19" s="0" t="n">
        <f aca="false">E15+E16+E17+E18</f>
        <v>1849.98281069875</v>
      </c>
      <c r="F19" s="0" t="n">
        <f aca="false">F15+F16+F17+F18</f>
        <v>1859.97018942621</v>
      </c>
      <c r="G19" s="0" t="n">
        <f aca="false">G15+G16+G17+G18</f>
        <v>1869.97231744715</v>
      </c>
      <c r="H19" s="0" t="n">
        <f aca="false">H15+H16+H17+H18</f>
        <v>1879.98849100957</v>
      </c>
      <c r="I19" s="0" t="n">
        <f aca="false">I15+I16+I17+I18</f>
        <v>1890.01799081149</v>
      </c>
      <c r="J19" s="0" t="n">
        <f aca="false">J15+J16+J17+J18</f>
        <v>1904.48912623998</v>
      </c>
      <c r="K19" s="0" t="n">
        <f aca="false">K15+K16+K17+K18</f>
        <v>1923.53401750238</v>
      </c>
      <c r="L19" s="0" t="n">
        <f aca="false">L15+L16+L17+L18</f>
        <v>1942.7693576774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1632.47823529412</v>
      </c>
      <c r="D21" s="0" t="n">
        <f aca="false">D19*D20</f>
        <v>1496.115943572</v>
      </c>
      <c r="E21" s="0" t="n">
        <f aca="false">E19*E20</f>
        <v>1371.13702738899</v>
      </c>
      <c r="F21" s="0" t="n">
        <f aca="false">F19*F20</f>
        <v>1247.54687180589</v>
      </c>
      <c r="G21" s="0" t="n">
        <f aca="false">G19*G20</f>
        <v>1135.07298451582</v>
      </c>
      <c r="H21" s="0" t="n">
        <f aca="false">H19*H20</f>
        <v>1032.71746672555</v>
      </c>
      <c r="I21" s="0" t="n">
        <f aca="false">I19*I20</f>
        <v>939.571840030718</v>
      </c>
      <c r="J21" s="0" t="n">
        <f aca="false">J19*J20</f>
        <v>856.801608645244</v>
      </c>
      <c r="K21" s="0" t="n">
        <f aca="false">K19*K20</f>
        <v>783.139931883888</v>
      </c>
      <c r="L21" s="0" t="n">
        <f aca="false">L19*L20</f>
        <v>715.811159459482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11210.3930693217</v>
      </c>
    </row>
    <row r="31" customFormat="false" ht="15" hidden="false" customHeight="false" outlineLevel="0" collapsed="false">
      <c r="A31" s="0" t="s">
        <v>138</v>
      </c>
      <c r="B31" s="0" t="n">
        <f aca="false">L19</f>
        <v>1942.7693576774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20654.7058026756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25256.0016498063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20654.7058026756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7610.20285320081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18820.5959225225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18820.5959225225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44.1280091970047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-0.349528166317737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525.464057108879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353.962923404689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46.1899716366614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14015.6932232441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30.0042635455674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3.5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2.75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4030</v>
      </c>
      <c r="C6" s="0" t="n">
        <f aca="false">B6*(1+C5/100)</f>
        <v>4171.05</v>
      </c>
      <c r="D6" s="0" t="n">
        <f aca="false">C6*(1+D5/100)</f>
        <v>4317.03675</v>
      </c>
      <c r="E6" s="0" t="n">
        <f aca="false">D6*(1+E5/100)</f>
        <v>4468.13303625</v>
      </c>
      <c r="F6" s="0" t="n">
        <f aca="false">E6*(1+F5/100)</f>
        <v>4602.1770273375</v>
      </c>
      <c r="G6" s="0" t="n">
        <f aca="false">F6*(1+G5/100)</f>
        <v>4740.24233815762</v>
      </c>
      <c r="H6" s="0" t="n">
        <f aca="false">G6*(1+H5/100)</f>
        <v>4882.44960830235</v>
      </c>
      <c r="I6" s="0" t="n">
        <f aca="false">H6*(1+I5/100)</f>
        <v>5016.71697253067</v>
      </c>
      <c r="J6" s="0" t="n">
        <f aca="false">I6*(1+J5/100)</f>
        <v>5142.13489684394</v>
      </c>
      <c r="K6" s="0" t="n">
        <f aca="false">J6*(1+K5/100)</f>
        <v>5270.68826926503</v>
      </c>
      <c r="L6" s="0" t="n">
        <f aca="false">K6*(1+L5/100)</f>
        <v>5402.45547599666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51.6</v>
      </c>
      <c r="D7" s="4" t="n">
        <f aca="false">Assumptions!D28</f>
        <v>52</v>
      </c>
      <c r="E7" s="4" t="n">
        <f aca="false">Assumptions!E28</f>
        <v>52.3</v>
      </c>
      <c r="F7" s="4" t="n">
        <f aca="false">Assumptions!F28</f>
        <v>52.5</v>
      </c>
      <c r="G7" s="4" t="n">
        <f aca="false">Assumptions!G28</f>
        <v>52.6</v>
      </c>
      <c r="H7" s="4" t="n">
        <f aca="false">Assumptions!H28</f>
        <v>52.7</v>
      </c>
      <c r="I7" s="4" t="n">
        <f aca="false">Assumptions!I28</f>
        <v>52.8</v>
      </c>
      <c r="J7" s="4" t="n">
        <f aca="false">Assumptions!J28</f>
        <v>52.8</v>
      </c>
      <c r="K7" s="4" t="n">
        <f aca="false">Assumptions!K28</f>
        <v>52.8</v>
      </c>
      <c r="L7" s="4" t="n">
        <f aca="false">Assumptions!L28</f>
        <v>52.8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2152.2618</v>
      </c>
      <c r="D8" s="0" t="n">
        <f aca="false">D6*D7/100</f>
        <v>2244.85911</v>
      </c>
      <c r="E8" s="0" t="n">
        <f aca="false">E6*E7/100</f>
        <v>2336.83357795875</v>
      </c>
      <c r="F8" s="0" t="n">
        <f aca="false">F6*F7/100</f>
        <v>2416.14293935219</v>
      </c>
      <c r="G8" s="0" t="n">
        <f aca="false">G6*G7/100</f>
        <v>2493.36746987091</v>
      </c>
      <c r="H8" s="0" t="n">
        <f aca="false">H6*H7/100</f>
        <v>2573.05094357534</v>
      </c>
      <c r="I8" s="0" t="n">
        <f aca="false">I6*I7/100</f>
        <v>2648.82656149619</v>
      </c>
      <c r="J8" s="0" t="n">
        <f aca="false">J6*J7/100</f>
        <v>2715.0472255336</v>
      </c>
      <c r="K8" s="0" t="n">
        <f aca="false">K6*K7/100</f>
        <v>2782.92340617194</v>
      </c>
      <c r="L8" s="0" t="n">
        <f aca="false">L6*L7/100</f>
        <v>2852.49649132624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2.1</v>
      </c>
      <c r="D9" s="4" t="n">
        <f aca="false">Assumptions!D29</f>
        <v>2</v>
      </c>
      <c r="E9" s="4" t="n">
        <f aca="false">Assumptions!E29</f>
        <v>1.9</v>
      </c>
      <c r="F9" s="4" t="n">
        <f aca="false">Assumptions!F29</f>
        <v>1.8</v>
      </c>
      <c r="G9" s="4" t="n">
        <f aca="false">Assumptions!G29</f>
        <v>1.8</v>
      </c>
      <c r="H9" s="4" t="n">
        <f aca="false">Assumptions!H29</f>
        <v>1.8</v>
      </c>
      <c r="I9" s="4" t="n">
        <f aca="false">Assumptions!I29</f>
        <v>1.8</v>
      </c>
      <c r="J9" s="4" t="n">
        <f aca="false">Assumptions!J29</f>
        <v>1.8</v>
      </c>
      <c r="K9" s="4" t="n">
        <f aca="false">Assumptions!K29</f>
        <v>1.8</v>
      </c>
      <c r="L9" s="4" t="n">
        <f aca="false">Assumptions!L29</f>
        <v>1.8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-87.59205</v>
      </c>
      <c r="D10" s="0" t="n">
        <f aca="false">-D6*D9/100</f>
        <v>-86.340735</v>
      </c>
      <c r="E10" s="0" t="n">
        <f aca="false">-E6*E9/100</f>
        <v>-84.89452768875</v>
      </c>
      <c r="F10" s="0" t="n">
        <f aca="false">-F6*F9/100</f>
        <v>-82.839186492075</v>
      </c>
      <c r="G10" s="0" t="n">
        <f aca="false">-G6*G9/100</f>
        <v>-85.3243620868372</v>
      </c>
      <c r="H10" s="0" t="n">
        <f aca="false">-H6*H9/100</f>
        <v>-87.8840929494424</v>
      </c>
      <c r="I10" s="0" t="n">
        <f aca="false">-I6*I9/100</f>
        <v>-90.300905505552</v>
      </c>
      <c r="J10" s="0" t="n">
        <f aca="false">-J6*J9/100</f>
        <v>-92.5584281431908</v>
      </c>
      <c r="K10" s="0" t="n">
        <f aca="false">-K6*K9/100</f>
        <v>-94.8723888467706</v>
      </c>
      <c r="L10" s="0" t="n">
        <f aca="false">-L6*L9/100</f>
        <v>-97.2441985679399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2064.66975</v>
      </c>
      <c r="D11" s="0" t="n">
        <f aca="false">D8+D10+D24</f>
        <v>2158.518375</v>
      </c>
      <c r="E11" s="0" t="n">
        <f aca="false">E8+E10+E24</f>
        <v>2251.93905027</v>
      </c>
      <c r="F11" s="0" t="n">
        <f aca="false">F8+F10+F24</f>
        <v>2333.30375286011</v>
      </c>
      <c r="G11" s="0" t="n">
        <f aca="false">G8+G10+G24</f>
        <v>2408.04310778407</v>
      </c>
      <c r="H11" s="0" t="n">
        <f aca="false">H8+H10+H24</f>
        <v>2485.1668506259</v>
      </c>
      <c r="I11" s="0" t="n">
        <f aca="false">I8+I10+I24</f>
        <v>2558.52565599064</v>
      </c>
      <c r="J11" s="0" t="n">
        <f aca="false">J8+J10+J24</f>
        <v>2622.48879739041</v>
      </c>
      <c r="K11" s="0" t="n">
        <f aca="false">K8+K10+K24</f>
        <v>2688.05101732517</v>
      </c>
      <c r="L11" s="0" t="n">
        <f aca="false">L8+L10+L24</f>
        <v>2755.2522927583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2064.66975</v>
      </c>
      <c r="D13" s="0" t="n">
        <f aca="false">D11+D12</f>
        <v>2158.518375</v>
      </c>
      <c r="E13" s="0" t="n">
        <f aca="false">E11+E12</f>
        <v>2251.93905027</v>
      </c>
      <c r="F13" s="0" t="n">
        <f aca="false">F11+F12</f>
        <v>2333.30375286011</v>
      </c>
      <c r="G13" s="0" t="n">
        <f aca="false">G11+G12</f>
        <v>2408.04310778407</v>
      </c>
      <c r="H13" s="0" t="n">
        <f aca="false">H11+H12</f>
        <v>2485.1668506259</v>
      </c>
      <c r="I13" s="0" t="n">
        <f aca="false">I11+I12</f>
        <v>2558.52565599064</v>
      </c>
      <c r="J13" s="0" t="n">
        <f aca="false">J11+J12</f>
        <v>2622.48879739041</v>
      </c>
      <c r="K13" s="0" t="n">
        <f aca="false">K11+K12</f>
        <v>2688.05101732517</v>
      </c>
      <c r="L13" s="0" t="n">
        <f aca="false">L11+L12</f>
        <v>2755.2522927583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2064.66975</v>
      </c>
      <c r="D15" s="0" t="n">
        <f aca="false">D13-MAX(0,D13)*D14/100</f>
        <v>2158.518375</v>
      </c>
      <c r="E15" s="0" t="n">
        <f aca="false">E13-MAX(0,E13)*E14/100</f>
        <v>2251.93905027</v>
      </c>
      <c r="F15" s="0" t="n">
        <f aca="false">F13-MAX(0,F13)*F14/100</f>
        <v>2333.30375286011</v>
      </c>
      <c r="G15" s="0" t="n">
        <f aca="false">G13-MAX(0,G13)*G14/100</f>
        <v>2408.04310778407</v>
      </c>
      <c r="H15" s="0" t="n">
        <f aca="false">H13-MAX(0,H13)*H14/100</f>
        <v>2485.1668506259</v>
      </c>
      <c r="I15" s="0" t="n">
        <f aca="false">I13-MAX(0,I13)*I14/100</f>
        <v>2558.52565599064</v>
      </c>
      <c r="J15" s="0" t="n">
        <f aca="false">J13-MAX(0,J13)*J14/100</f>
        <v>2622.48879739041</v>
      </c>
      <c r="K15" s="0" t="n">
        <f aca="false">K13-MAX(0,K13)*K14/100</f>
        <v>2688.05101732517</v>
      </c>
      <c r="L15" s="0" t="n">
        <f aca="false">L13-MAX(0,L13)*L14/100</f>
        <v>2755.2522927583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-179.35515</v>
      </c>
      <c r="D17" s="4" t="n">
        <f aca="false">-D6*Assumptions!D32/100</f>
        <v>-181.3155435</v>
      </c>
      <c r="E17" s="4" t="n">
        <f aca="false">-E6*Assumptions!E32/100</f>
        <v>-183.19345448625</v>
      </c>
      <c r="F17" s="4" t="n">
        <f aca="false">-F6*Assumptions!F32/100</f>
        <v>-184.0870810935</v>
      </c>
      <c r="G17" s="4" t="n">
        <f aca="false">-G6*Assumptions!G32/100</f>
        <v>-189.609693526305</v>
      </c>
      <c r="H17" s="4" t="n">
        <f aca="false">-H6*Assumptions!H32/100</f>
        <v>-195.297984332094</v>
      </c>
      <c r="I17" s="4" t="n">
        <f aca="false">-I6*Assumptions!I32/100</f>
        <v>-200.668678901227</v>
      </c>
      <c r="J17" s="4" t="n">
        <f aca="false">-J6*Assumptions!J32/100</f>
        <v>-205.685395873757</v>
      </c>
      <c r="K17" s="4" t="n">
        <f aca="false">-K6*Assumptions!K32/100</f>
        <v>-210.827530770601</v>
      </c>
      <c r="L17" s="4" t="n">
        <f aca="false">-L6*Assumptions!L32/100</f>
        <v>-216.098219039866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1885.3146</v>
      </c>
      <c r="D19" s="0" t="n">
        <f aca="false">D15+D16+D17+D18</f>
        <v>1977.2028315</v>
      </c>
      <c r="E19" s="0" t="n">
        <f aca="false">E15+E16+E17+E18</f>
        <v>2068.74559578375</v>
      </c>
      <c r="F19" s="0" t="n">
        <f aca="false">F15+F16+F17+F18</f>
        <v>2149.21667176661</v>
      </c>
      <c r="G19" s="0" t="n">
        <f aca="false">G15+G16+G17+G18</f>
        <v>2218.43341425777</v>
      </c>
      <c r="H19" s="0" t="n">
        <f aca="false">H15+H16+H17+H18</f>
        <v>2289.8688662938</v>
      </c>
      <c r="I19" s="0" t="n">
        <f aca="false">I15+I16+I17+I18</f>
        <v>2357.85697708941</v>
      </c>
      <c r="J19" s="0" t="n">
        <f aca="false">J15+J16+J17+J18</f>
        <v>2416.80340151665</v>
      </c>
      <c r="K19" s="0" t="n">
        <f aca="false">K15+K16+K17+K18</f>
        <v>2477.22348655457</v>
      </c>
      <c r="L19" s="0" t="n">
        <f aca="false">L15+L16+L17+L18</f>
        <v>2539.15407371843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1721.74849315068</v>
      </c>
      <c r="D21" s="0" t="n">
        <f aca="false">D19*D20</f>
        <v>1649.00884593732</v>
      </c>
      <c r="E21" s="0" t="n">
        <f aca="false">E19*E20</f>
        <v>1575.66805052221</v>
      </c>
      <c r="F21" s="0" t="n">
        <f aca="false">F19*F20</f>
        <v>1494.93986800732</v>
      </c>
      <c r="G21" s="0" t="n">
        <f aca="false">G19*G20</f>
        <v>1409.21027832223</v>
      </c>
      <c r="H21" s="0" t="n">
        <f aca="false">H19*H20</f>
        <v>1328.39091665519</v>
      </c>
      <c r="I21" s="0" t="n">
        <f aca="false">I19*I20</f>
        <v>1249.16159598428</v>
      </c>
      <c r="J21" s="0" t="n">
        <f aca="false">J19*J20</f>
        <v>1169.30651678894</v>
      </c>
      <c r="K21" s="0" t="n">
        <f aca="false">K19*K20</f>
        <v>1094.55632850106</v>
      </c>
      <c r="L21" s="0" t="n">
        <f aca="false">L19*L20</f>
        <v>1024.58469106264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13716.5755849319</v>
      </c>
    </row>
    <row r="31" customFormat="false" ht="15" hidden="false" customHeight="false" outlineLevel="0" collapsed="false">
      <c r="A31" s="0" t="s">
        <v>138</v>
      </c>
      <c r="B31" s="0" t="n">
        <f aca="false">L19</f>
        <v>2539.15407371843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37180.4703651627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45704.7733269317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37180.4703651627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15002.8472619887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28719.4228469205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28719.4228469205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67.3374509892627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-0.00740785687997192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553.24710308335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574.577129182544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69.9818219910585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20821.0634044911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37.4475238197583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4.5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4030</v>
      </c>
      <c r="C6" s="0" t="n">
        <f aca="false">B6*(1+C5/100)</f>
        <v>4211.35</v>
      </c>
      <c r="D6" s="0" t="n">
        <f aca="false">C6*(1+D5/100)</f>
        <v>4400.86075</v>
      </c>
      <c r="E6" s="0" t="n">
        <f aca="false">D6*(1+E5/100)</f>
        <v>4598.89948375</v>
      </c>
      <c r="F6" s="0" t="n">
        <f aca="false">E6*(1+F5/100)</f>
        <v>4782.8554631</v>
      </c>
      <c r="G6" s="0" t="n">
        <f aca="false">F6*(1+G5/100)</f>
        <v>4974.169681624</v>
      </c>
      <c r="H6" s="0" t="n">
        <f aca="false">G6*(1+H5/100)</f>
        <v>5148.26562048084</v>
      </c>
      <c r="I6" s="0" t="n">
        <f aca="false">H6*(1+I5/100)</f>
        <v>5328.45491719767</v>
      </c>
      <c r="J6" s="0" t="n">
        <f aca="false">I6*(1+J5/100)</f>
        <v>5488.3085647136</v>
      </c>
      <c r="K6" s="0" t="n">
        <f aca="false">J6*(1+K5/100)</f>
        <v>5652.95782165501</v>
      </c>
      <c r="L6" s="0" t="n">
        <f aca="false">K6*(1+L5/100)</f>
        <v>5822.54655630466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52</v>
      </c>
      <c r="D7" s="4" t="n">
        <f aca="false">Assumptions!D42</f>
        <v>52.8</v>
      </c>
      <c r="E7" s="4" t="n">
        <f aca="false">Assumptions!E42</f>
        <v>53.5</v>
      </c>
      <c r="F7" s="4" t="n">
        <f aca="false">Assumptions!F42</f>
        <v>54.1</v>
      </c>
      <c r="G7" s="4" t="n">
        <f aca="false">Assumptions!G42</f>
        <v>54.6</v>
      </c>
      <c r="H7" s="4" t="n">
        <f aca="false">Assumptions!H42</f>
        <v>55</v>
      </c>
      <c r="I7" s="4" t="n">
        <f aca="false">Assumptions!I42</f>
        <v>55.2</v>
      </c>
      <c r="J7" s="4" t="n">
        <f aca="false">Assumptions!J42</f>
        <v>55.4</v>
      </c>
      <c r="K7" s="4" t="n">
        <f aca="false">Assumptions!K42</f>
        <v>55.5</v>
      </c>
      <c r="L7" s="4" t="n">
        <f aca="false">Assumptions!L42</f>
        <v>55.5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2189.902</v>
      </c>
      <c r="D8" s="0" t="n">
        <f aca="false">D6*D7/100</f>
        <v>2323.654476</v>
      </c>
      <c r="E8" s="0" t="n">
        <f aca="false">E6*E7/100</f>
        <v>2460.41122380625</v>
      </c>
      <c r="F8" s="0" t="n">
        <f aca="false">F6*F7/100</f>
        <v>2587.5248055371</v>
      </c>
      <c r="G8" s="0" t="n">
        <f aca="false">G6*G7/100</f>
        <v>2715.8966461667</v>
      </c>
      <c r="H8" s="0" t="n">
        <f aca="false">H6*H7/100</f>
        <v>2831.54609126446</v>
      </c>
      <c r="I8" s="0" t="n">
        <f aca="false">I6*I7/100</f>
        <v>2941.30711429311</v>
      </c>
      <c r="J8" s="0" t="n">
        <f aca="false">J6*J7/100</f>
        <v>3040.52294485133</v>
      </c>
      <c r="K8" s="0" t="n">
        <f aca="false">K6*K7/100</f>
        <v>3137.39159101853</v>
      </c>
      <c r="L8" s="0" t="n">
        <f aca="false">L6*L7/100</f>
        <v>3231.51333874908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2</v>
      </c>
      <c r="D9" s="4" t="n">
        <f aca="false">Assumptions!D43</f>
        <v>1.9</v>
      </c>
      <c r="E9" s="4" t="n">
        <f aca="false">Assumptions!E43</f>
        <v>1.8</v>
      </c>
      <c r="F9" s="4" t="n">
        <f aca="false">Assumptions!F43</f>
        <v>1.7</v>
      </c>
      <c r="G9" s="4" t="n">
        <f aca="false">Assumptions!G43</f>
        <v>1.7</v>
      </c>
      <c r="H9" s="4" t="n">
        <f aca="false">Assumptions!H43</f>
        <v>1.7</v>
      </c>
      <c r="I9" s="4" t="n">
        <f aca="false">Assumptions!I43</f>
        <v>1.7</v>
      </c>
      <c r="J9" s="4" t="n">
        <f aca="false">Assumptions!J43</f>
        <v>1.7</v>
      </c>
      <c r="K9" s="4" t="n">
        <f aca="false">Assumptions!K43</f>
        <v>1.7</v>
      </c>
      <c r="L9" s="4" t="n">
        <f aca="false">Assumptions!L43</f>
        <v>1.7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-84.227</v>
      </c>
      <c r="D10" s="0" t="n">
        <f aca="false">-D6*D9/100</f>
        <v>-83.61635425</v>
      </c>
      <c r="E10" s="0" t="n">
        <f aca="false">-E6*E9/100</f>
        <v>-82.7801907075</v>
      </c>
      <c r="F10" s="0" t="n">
        <f aca="false">-F6*F9/100</f>
        <v>-81.3085428727</v>
      </c>
      <c r="G10" s="0" t="n">
        <f aca="false">-G6*G9/100</f>
        <v>-84.560884587608</v>
      </c>
      <c r="H10" s="0" t="n">
        <f aca="false">-H6*H9/100</f>
        <v>-87.5205155481743</v>
      </c>
      <c r="I10" s="0" t="n">
        <f aca="false">-I6*I9/100</f>
        <v>-90.5837335923604</v>
      </c>
      <c r="J10" s="0" t="n">
        <f aca="false">-J6*J9/100</f>
        <v>-93.3012456001312</v>
      </c>
      <c r="K10" s="0" t="n">
        <f aca="false">-K6*K9/100</f>
        <v>-96.1002829681351</v>
      </c>
      <c r="L10" s="0" t="n">
        <f aca="false">-L6*L9/100</f>
        <v>-98.9832914571792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2105.675</v>
      </c>
      <c r="D11" s="0" t="n">
        <f aca="false">D8+D10+D24</f>
        <v>2240.03812175</v>
      </c>
      <c r="E11" s="0" t="n">
        <f aca="false">E8+E10+E24</f>
        <v>2377.63103309875</v>
      </c>
      <c r="F11" s="0" t="n">
        <f aca="false">F8+F10+F24</f>
        <v>2506.2162626644</v>
      </c>
      <c r="G11" s="0" t="n">
        <f aca="false">G8+G10+G24</f>
        <v>2631.3357615791</v>
      </c>
      <c r="H11" s="0" t="n">
        <f aca="false">H8+H10+H24</f>
        <v>2744.02557571629</v>
      </c>
      <c r="I11" s="0" t="n">
        <f aca="false">I8+I10+I24</f>
        <v>2850.72338070075</v>
      </c>
      <c r="J11" s="0" t="n">
        <f aca="false">J8+J10+J24</f>
        <v>2947.2216992512</v>
      </c>
      <c r="K11" s="0" t="n">
        <f aca="false">K8+K10+K24</f>
        <v>3041.29130805039</v>
      </c>
      <c r="L11" s="0" t="n">
        <f aca="false">L8+L10+L24</f>
        <v>3132.53004729191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2105.675</v>
      </c>
      <c r="D13" s="0" t="n">
        <f aca="false">D11+D12</f>
        <v>2240.03812175</v>
      </c>
      <c r="E13" s="0" t="n">
        <f aca="false">E11+E12</f>
        <v>2377.63103309875</v>
      </c>
      <c r="F13" s="0" t="n">
        <f aca="false">F11+F12</f>
        <v>2506.2162626644</v>
      </c>
      <c r="G13" s="0" t="n">
        <f aca="false">G11+G12</f>
        <v>2631.3357615791</v>
      </c>
      <c r="H13" s="0" t="n">
        <f aca="false">H11+H12</f>
        <v>2744.02557571629</v>
      </c>
      <c r="I13" s="0" t="n">
        <f aca="false">I11+I12</f>
        <v>2850.72338070075</v>
      </c>
      <c r="J13" s="0" t="n">
        <f aca="false">J11+J12</f>
        <v>2947.2216992512</v>
      </c>
      <c r="K13" s="0" t="n">
        <f aca="false">K11+K12</f>
        <v>3041.29130805039</v>
      </c>
      <c r="L13" s="0" t="n">
        <f aca="false">L11+L12</f>
        <v>3132.53004729191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2105.675</v>
      </c>
      <c r="D15" s="0" t="n">
        <f aca="false">D13-MAX(0,D13)*D14/100</f>
        <v>2240.03812175</v>
      </c>
      <c r="E15" s="0" t="n">
        <f aca="false">E13-MAX(0,E13)*E14/100</f>
        <v>2377.63103309875</v>
      </c>
      <c r="F15" s="0" t="n">
        <f aca="false">F13-MAX(0,F13)*F14/100</f>
        <v>2506.2162626644</v>
      </c>
      <c r="G15" s="0" t="n">
        <f aca="false">G13-MAX(0,G13)*G14/100</f>
        <v>2631.3357615791</v>
      </c>
      <c r="H15" s="0" t="n">
        <f aca="false">H13-MAX(0,H13)*H14/100</f>
        <v>2744.02557571629</v>
      </c>
      <c r="I15" s="0" t="n">
        <f aca="false">I13-MAX(0,I13)*I14/100</f>
        <v>2850.72338070075</v>
      </c>
      <c r="J15" s="0" t="n">
        <f aca="false">J13-MAX(0,J13)*J14/100</f>
        <v>2947.2216992512</v>
      </c>
      <c r="K15" s="0" t="n">
        <f aca="false">K13-MAX(0,K13)*K14/100</f>
        <v>3041.29130805039</v>
      </c>
      <c r="L15" s="0" t="n">
        <f aca="false">L13-MAX(0,L13)*L14/100</f>
        <v>3132.53004729191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-181.08805</v>
      </c>
      <c r="D17" s="4" t="n">
        <f aca="false">-D6*Assumptions!D46/100</f>
        <v>-184.8361515</v>
      </c>
      <c r="E17" s="4" t="n">
        <f aca="false">-E6*Assumptions!E46/100</f>
        <v>-188.55487883375</v>
      </c>
      <c r="F17" s="4" t="n">
        <f aca="false">-F6*Assumptions!F46/100</f>
        <v>-191.314218524</v>
      </c>
      <c r="G17" s="4" t="n">
        <f aca="false">-G6*Assumptions!G46/100</f>
        <v>-198.96678726496</v>
      </c>
      <c r="H17" s="4" t="n">
        <f aca="false">-H6*Assumptions!H46/100</f>
        <v>-205.930624819234</v>
      </c>
      <c r="I17" s="4" t="n">
        <f aca="false">-I6*Assumptions!I46/100</f>
        <v>-213.138196687907</v>
      </c>
      <c r="J17" s="4" t="n">
        <f aca="false">-J6*Assumptions!J46/100</f>
        <v>-219.532342588544</v>
      </c>
      <c r="K17" s="4" t="n">
        <f aca="false">-K6*Assumptions!K46/100</f>
        <v>-226.1183128662</v>
      </c>
      <c r="L17" s="4" t="n">
        <f aca="false">-L6*Assumptions!L46/100</f>
        <v>-232.901862252186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1924.58695</v>
      </c>
      <c r="D19" s="0" t="n">
        <f aca="false">D15+D16+D17+D18</f>
        <v>2055.20197025</v>
      </c>
      <c r="E19" s="0" t="n">
        <f aca="false">E15+E16+E17+E18</f>
        <v>2189.076154265</v>
      </c>
      <c r="F19" s="0" t="n">
        <f aca="false">F15+F16+F17+F18</f>
        <v>2314.9020441404</v>
      </c>
      <c r="G19" s="0" t="n">
        <f aca="false">G15+G16+G17+G18</f>
        <v>2432.36897431414</v>
      </c>
      <c r="H19" s="0" t="n">
        <f aca="false">H15+H16+H17+H18</f>
        <v>2538.09495089705</v>
      </c>
      <c r="I19" s="0" t="n">
        <f aca="false">I15+I16+I17+I18</f>
        <v>2637.58518401285</v>
      </c>
      <c r="J19" s="0" t="n">
        <f aca="false">J15+J16+J17+J18</f>
        <v>2727.68935666266</v>
      </c>
      <c r="K19" s="0" t="n">
        <f aca="false">K15+K16+K17+K18</f>
        <v>2815.17299518419</v>
      </c>
      <c r="L19" s="0" t="n">
        <f aca="false">L15+L16+L17+L18</f>
        <v>2899.62818503972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0.919540229885058</v>
      </c>
      <c r="D20" s="0" t="n">
        <f aca="false">1/(1+$B$27/100)^D4</f>
        <v>0.845554234377065</v>
      </c>
      <c r="E20" s="0" t="n">
        <f aca="false">1/(1+$B$27/100)^E4</f>
        <v>0.77752113505937</v>
      </c>
      <c r="F20" s="0" t="n">
        <f aca="false">1/(1+$B$27/100)^F4</f>
        <v>0.714961963272984</v>
      </c>
      <c r="G20" s="0" t="n">
        <f aca="false">1/(1+$B$27/100)^G4</f>
        <v>0.657436288067112</v>
      </c>
      <c r="H20" s="0" t="n">
        <f aca="false">1/(1+$B$27/100)^H4</f>
        <v>0.604539115464011</v>
      </c>
      <c r="I20" s="0" t="n">
        <f aca="false">1/(1+$B$27/100)^I4</f>
        <v>0.555898037208286</v>
      </c>
      <c r="J20" s="0" t="n">
        <f aca="false">1/(1+$B$27/100)^J4</f>
        <v>0.511170608927159</v>
      </c>
      <c r="K20" s="0" t="n">
        <f aca="false">1/(1+$B$27/100)^K4</f>
        <v>0.470041939243365</v>
      </c>
      <c r="L20" s="0" t="n">
        <f aca="false">1/(1+$B$27/100)^L4</f>
        <v>0.432222472867462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1769.73512643678</v>
      </c>
      <c r="D21" s="0" t="n">
        <f aca="false">D19*D20</f>
        <v>1737.78472844497</v>
      </c>
      <c r="E21" s="0" t="n">
        <f aca="false">E19*E20</f>
        <v>1702.05297619552</v>
      </c>
      <c r="F21" s="0" t="n">
        <f aca="false">F19*F20</f>
        <v>1655.06691026326</v>
      </c>
      <c r="G21" s="0" t="n">
        <f aca="false">G19*G20</f>
        <v>1599.12762968269</v>
      </c>
      <c r="H21" s="0" t="n">
        <f aca="false">H19*H20</f>
        <v>1534.37767657898</v>
      </c>
      <c r="I21" s="0" t="n">
        <f aca="false">I19*I20</f>
        <v>1466.2284267624</v>
      </c>
      <c r="J21" s="0" t="n">
        <f aca="false">J19*J20</f>
        <v>1394.31462940938</v>
      </c>
      <c r="K21" s="0" t="n">
        <f aca="false">K19*K20</f>
        <v>1323.24937396193</v>
      </c>
      <c r="L21" s="0" t="n">
        <f aca="false">L19*L20</f>
        <v>1253.28446453406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8.75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15435.22194227</v>
      </c>
    </row>
    <row r="31" customFormat="false" ht="15" hidden="false" customHeight="false" outlineLevel="0" collapsed="false">
      <c r="A31" s="0" t="s">
        <v>138</v>
      </c>
      <c r="B31" s="0" t="n">
        <f aca="false">L19</f>
        <v>2899.62818503972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51941.1657494071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57992.5637007944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51941.1657494071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22450.1391038275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37885.3610460974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37885.3610460974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88.828513589912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0.309382570606013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565.153250366076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766.370210371621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91.9504912235291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24888.4752549243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41.8508509848741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44.1280091970047</v>
      </c>
      <c r="C4" s="0" t="n">
        <f aca="false">B4/Assumptions!$B$2-1</f>
        <v>-0.349528166317737</v>
      </c>
      <c r="D4" s="4" t="n">
        <f aca="false">Assumptions!$B$24</f>
        <v>0.25</v>
      </c>
      <c r="E4" s="4" t="n">
        <f aca="false">DCF_Bear!$B$43</f>
        <v>46.1899716366614</v>
      </c>
      <c r="F4" s="4" t="n">
        <f aca="false">DCF_Bear!$B$47</f>
        <v>30.0042635455674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67.3374509892627</v>
      </c>
      <c r="C5" s="0" t="n">
        <f aca="false">B5/Assumptions!$B$2-1</f>
        <v>-0.00740785687997192</v>
      </c>
      <c r="D5" s="4" t="n">
        <f aca="false">Assumptions!$B$38</f>
        <v>0.5</v>
      </c>
      <c r="E5" s="4" t="n">
        <f aca="false">DCF_Base!$B$43</f>
        <v>69.9818219910585</v>
      </c>
      <c r="F5" s="4" t="n">
        <f aca="false">DCF_Base!$B$47</f>
        <v>37.4475238197583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88.828513589912</v>
      </c>
      <c r="C6" s="0" t="n">
        <f aca="false">B6/Assumptions!$B$2-1</f>
        <v>0.309382570606013</v>
      </c>
      <c r="D6" s="4" t="n">
        <f aca="false">Assumptions!$B$52</f>
        <v>0.25</v>
      </c>
      <c r="E6" s="4" t="n">
        <f aca="false">DCF_Bull!$B$43</f>
        <v>91.9504912235291</v>
      </c>
      <c r="F6" s="4" t="n">
        <f aca="false">DCF_Bull!$B$47</f>
        <v>41.8508509848741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66.9078561913605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69.5260267105768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-0.0139317542318722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35.6028685602377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36.6875405424895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72.5684979603714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67.3374509892627</v>
      </c>
      <c r="C16" s="3" t="n">
        <v>9.5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62.8047484056639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55.34134626276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49.4517266527226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37.4475238197583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84.1963358956669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87.3256379305773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87.3256379305773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87.3256379305773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87.3256379305773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71.8702476229973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75.0097512043349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78.6725053825621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81.0862097488593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81.0862097488593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62.6400793734798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64.8321861275118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67.3374509892627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70.2281412143599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73.6006131436399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55.4729412933872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57.0571707559587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58.8394289013516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60.8593214661303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63.1677701115916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49.7491694209843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50.9255358207604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52.2326095982895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53.6934567614102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55.336909819921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2026-09-26T00:35:30Z</dcterms:created>
  <dc:creator>openpyxl</dc:creator>
  <dc:description/>
  <dc:language>en-NZ</dc:language>
  <cp:lastModifiedBy/>
  <dcterms:modified xsi:type="dcterms:W3CDTF">2026-09-26T00:35:30Z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