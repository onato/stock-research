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ase" sheetId="6" state="visible" r:id="rId6"/>
    <sheet xmlns:r="http://schemas.openxmlformats.org/officeDocument/2006/relationships" name="DCF_Bull" sheetId="7" state="visible" r:id="rId7"/>
    <sheet xmlns:r="http://schemas.openxmlformats.org/officeDocument/2006/relationships" name="FCF_Quality" sheetId="8" state="visible" r:id="rId8"/>
    <sheet xmlns:r="http://schemas.openxmlformats.org/officeDocument/2006/relationships" name="Valu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VCT.NZ - Vector Limited - owner-FCF DCF model (regulated-network adaptation)</t>
        </is>
      </c>
    </row>
    <row r="2">
      <c r="A2" t="inlineStr">
        <is>
          <t>Version 1.1, built 2026-09-19 by the dcf-analyst agent (Claude Fable 5.1) at the research orchestrator's request. Supersedes v1.0 (same day): anchors re-verified against core_metrics/kpis after FY2025/FY2026 were loaded; driver paths unchanged; Reconciliation tab added.</t>
        </is>
      </c>
    </row>
    <row r="3">
      <c r="A3" t="inlineStr">
        <is>
          <t>STALE WARNING: every anchor below goes stale. Price is a snapshot; balance sheet is 30-Jun-2026; guidance is FY27 as issued 18-Aug-2026. Refresh after each half-year result.</t>
        </is>
      </c>
    </row>
    <row r="4">
      <c r="A4" t="inlineStr"/>
    </row>
    <row r="5">
      <c r="A5" s="1" t="inlineStr">
        <is>
          <t>DATA VINTAGE</t>
        </is>
      </c>
    </row>
    <row r="6">
      <c r="A6" t="inlineStr">
        <is>
          <t>Price NZ$4.72, Yahoo Finance regular close 2026-09-18T05:00:01Z (52w 4.40-5.30).</t>
        </is>
      </c>
    </row>
    <row r="7">
      <c r="A7" t="inlineStr">
        <is>
          <t>Balance sheet 30-Jun-2026: face borrowings 2,235.1 + leases 52.3 - cash 5.4 = economic net debt 2,282.0 (Annual Report 2026 note 25.3).</t>
        </is>
      </c>
    </row>
    <row r="8">
      <c r="A8" t="inlineStr">
        <is>
          <t>Shares 1,000,000,000 at 30-Jun-2026 (AR26 note 25.3); no options, no LTI, no convertibles. Held flat.</t>
        </is>
      </c>
    </row>
    <row r="9">
      <c r="A9" t="inlineStr">
        <is>
          <t>FY26 actuals: revenue ex-contributions 1,004.4 (1,195.3 - 190.9); adjusted EBITDA 482.2; D&amp;A 233.0; cash gross capex 531.3; contributions 191.5 cash / 190.9 revenue basis (AR26 p.62-63, results deck 18-Aug-2026; all tied to core_metrics/kpis 2026-09-19).</t>
        </is>
      </c>
    </row>
    <row r="10">
      <c r="A10" t="inlineStr">
        <is>
          <t>Owner FCF 72.6 reconciles from reported FCF 101.2: + interest paid 102.5 - interest received 14.7 - Bluecurrent dividend 32.6 - tax normalisation 68.4 - working-capital timing 15.4 (AR26 cash flow statement p.63).</t>
        </is>
      </c>
    </row>
    <row r="11">
      <c r="A11" t="inlineStr">
        <is>
          <t>FY27 guidance (18-Aug-2026): adj EBITDA 540-560 (includes ~54 one-off wash-up/IRIS); gross capex 605-635; contributions 160-190.</t>
        </is>
      </c>
    </row>
    <row r="12">
      <c r="A12" t="inlineStr"/>
    </row>
    <row r="13">
      <c r="A13" s="1" t="inlineStr">
        <is>
          <t>METHODOLOGY</t>
        </is>
      </c>
    </row>
    <row r="14">
      <c r="A14" t="inlineStr">
        <is>
          <t>Model: component owner-FCF DCF (dcf-methods/references/owner-fcf.md) on a 10-year horizon FY27-FY36, Gordon/cap terminal, end-year discounting.</t>
        </is>
      </c>
    </row>
    <row r="15">
      <c r="A15" t="inlineStr">
        <is>
          <t>Revenue base excludes capital contributions; contributions are netted against gross capex (Vector's own adjusted-EBITDA/net-capex framing).</t>
        </is>
      </c>
    </row>
    <row r="16">
      <c r="A16" t="inlineStr">
        <is>
          <t>Revenue growth tracks nominal RAB growth with an explicit DPP5 reset step in FY31; terminal capex is normalised to what 3% growth needs (~27% of revenue).</t>
        </is>
      </c>
    </row>
    <row r="17">
      <c r="A17" t="inlineStr">
        <is>
          <t>Tax 28% statutory on EBIT every year; the 35.3 prepaid tax asset is credited in the bridge instead of a low first-year rate.</t>
        </is>
      </c>
    </row>
    <row r="18">
      <c r="A18" t="inlineStr">
        <is>
          <t>Leases: treatment (A) - lease liabilities in net debt; ~0.5pp of revenue lease cash carried inside the capex % path.</t>
        </is>
      </c>
    </row>
    <row r="19">
      <c r="A19" t="inlineStr">
        <is>
          <t>Bluecurrent 50% JV + shareholder loans excluded from EBITDA, so valued in the bridge at 700 (55/yr distributions at 10% CoE, 2% g). Tax asset 35.3 and contingent consideration 26.6 also in the bridge.</t>
        </is>
      </c>
    </row>
    <row r="20">
      <c r="A20" t="inlineStr">
        <is>
          <t>Terminal cap 30x FCF (not 20x): a regulated network's Gordon multiple at 6.75%/3% is 27.5x and equals ~1.0x RAB.</t>
        </is>
      </c>
    </row>
    <row r="21">
      <c r="A21" t="inlineStr">
        <is>
          <t>WACC 6.75% NZD (rf 4.4% + 0.65 x 5.5% ERP = 8.0% CoE; 3.8% post-tax debt; 32.6% debt at market). Same WACC in all scenarios.</t>
        </is>
      </c>
    </row>
    <row r="22">
      <c r="A22" t="inlineStr">
        <is>
          <t>SBC is nil, so house and street bases coincide (band n/a).</t>
        </is>
      </c>
    </row>
    <row r="23">
      <c r="A23" t="inlineStr">
        <is>
          <t>Entry price: 15% IRR with the terminal value rebuilt at 15%; it is negative in every scenario (floored at 0 in the JSON) - a geared regulated network cannot return 15% to equity.</t>
        </is>
      </c>
    </row>
    <row r="24">
      <c r="A24" t="inlineStr"/>
    </row>
    <row r="25">
      <c r="A25" s="1" t="inlineStr">
        <is>
          <t>JUDGMENT</t>
        </is>
      </c>
    </row>
    <row r="26">
      <c r="A26" t="inlineStr">
        <is>
          <t>Scenario driver paths (rows 5, 7, 9, 14, 22 of each DCF tab) are the dcf-analyst agent's judgment set 2026-09-19; weights 25/50/25 (bear raised for single-regulator dependency and DPP5 inside the horizon).</t>
        </is>
      </c>
    </row>
    <row r="27">
      <c r="A27" t="inlineStr">
        <is>
          <t>Refresh after the next print: price, economic net debt, FY27 actual vs guidance, FY28 guidance, Bluecurrent distributions, any DPP5 signalling.</t>
        </is>
      </c>
    </row>
    <row r="28">
      <c r="A28" t="inlineStr"/>
    </row>
    <row r="29">
      <c r="A29" s="1" t="inlineStr">
        <is>
          <t>CELL COLOURS: blue = hardcoded input; yellow fill = key lever; black = formula; green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  <col width="60" customWidth="1" min="3" max="3"/>
  </cols>
  <sheetData>
    <row r="1">
      <c r="A1" s="1" t="inlineStr">
        <is>
          <t>Reconciliation v1.0 -&gt; v1.1 (NZD per share). Prior values hardcoded; live values link to the model. Bridge figures approximate; live cells authoritative.</t>
        </is>
      </c>
    </row>
    <row r="2"/>
    <row r="3">
      <c r="A3" s="1" t="inlineStr">
        <is>
          <t>Scenario</t>
        </is>
      </c>
      <c r="B3" s="1" t="inlineStr">
        <is>
          <t>v1.0 (2026-09-19, price 4.72)</t>
        </is>
      </c>
      <c r="C3" s="1" t="inlineStr">
        <is>
          <t>v1.1 live</t>
        </is>
      </c>
      <c r="D3" s="1" t="inlineStr">
        <is>
          <t>Change</t>
        </is>
      </c>
    </row>
    <row r="4">
      <c r="A4" t="inlineStr">
        <is>
          <t>bear</t>
        </is>
      </c>
      <c r="B4" s="2" t="n">
        <v>0.47</v>
      </c>
      <c r="C4" s="3">
        <f>DCF_Bear!$B$38</f>
        <v/>
      </c>
      <c r="D4">
        <f>C4-B4</f>
        <v/>
      </c>
    </row>
    <row r="5">
      <c r="A5" t="inlineStr">
        <is>
          <t>base</t>
        </is>
      </c>
      <c r="B5" s="2" t="n">
        <v>2.59</v>
      </c>
      <c r="C5" s="3">
        <f>DCF_Base!$B$38</f>
        <v/>
      </c>
      <c r="D5">
        <f>C5-B5</f>
        <v/>
      </c>
    </row>
    <row r="6">
      <c r="A6" t="inlineStr">
        <is>
          <t>bull</t>
        </is>
      </c>
      <c r="B6" s="2" t="n">
        <v>4.03</v>
      </c>
      <c r="C6" s="3">
        <f>DCF_Bull!$B$38</f>
        <v/>
      </c>
      <c r="D6">
        <f>C6-B6</f>
        <v/>
      </c>
    </row>
    <row r="7">
      <c r="A7" t="inlineStr">
        <is>
          <t>weighted</t>
        </is>
      </c>
      <c r="B7" s="2" t="n">
        <v>2.42</v>
      </c>
      <c r="C7" s="3">
        <f>Valuation!$B$8</f>
        <v/>
      </c>
      <c r="D7">
        <f>C7-B7</f>
        <v/>
      </c>
    </row>
    <row r="8"/>
    <row r="9">
      <c r="A9" s="1" t="inlineStr">
        <is>
          <t>Bridge (weighted IV)</t>
        </is>
      </c>
    </row>
    <row r="10">
      <c r="A10" t="inlineStr">
        <is>
          <t>Prior weighted IV (v1.0, 2026-09-19, NZ$4.72)</t>
        </is>
      </c>
      <c r="B10" s="2" t="n">
        <v>2.42</v>
      </c>
    </row>
    <row r="11">
      <c r="A11" t="inlineStr">
        <is>
          <t>Anchor refresh: price unchanged (NZ$4.72, 18-Sep close; no NZX session since); economic net debt 2,282.0, shares 1,000m, FY26 adj EBITDA 482.2, contributions 190.9, D&amp;A 233.0 all confirmed against core_metrics/kpis</t>
        </is>
      </c>
      <c r="B11" s="2" t="n">
        <v>0</v>
      </c>
    </row>
    <row r="12">
      <c r="A12" t="inlineStr">
        <is>
          <t>Driver change: none. FY27 guidance (adj EBITDA 540-560, gross capex 605-635, contributions 160-190, ~54 wash-up/IRIS) was already in v1.0; FY26 was an actual, not a forecast, in v1.0</t>
        </is>
      </c>
      <c r="B12" s="2" t="n">
        <v>0</v>
      </c>
    </row>
    <row r="13">
      <c r="A13" t="inlineStr">
        <is>
          <t>Methodology change: none (same component owner-FCF build, 6.75% WACC, 30x cap, bridge)</t>
        </is>
      </c>
      <c r="B13" s="2" t="n">
        <v>0</v>
      </c>
    </row>
    <row r="14">
      <c r="A14" t="inlineStr">
        <is>
          <t>Rounding on full-precision recompute</t>
        </is>
      </c>
      <c r="B14" s="2" t="n">
        <v>0</v>
      </c>
    </row>
    <row r="15">
      <c r="A15" t="inlineStr">
        <is>
          <t>New weighted IV</t>
        </is>
      </c>
      <c r="B15" s="2" t="n">
        <v>2.42</v>
      </c>
    </row>
    <row r="16"/>
    <row r="17">
      <c r="A17" s="1" t="inlineStr">
        <is>
          <t>Deliberately unchanged (evidence that would move each)</t>
        </is>
      </c>
    </row>
    <row r="18">
      <c r="A18" t="inlineStr">
        <is>
          <t>Growth paths (base 9/-1/5/5/9/5.5/5/4.5/4/3.5)</t>
        </is>
      </c>
      <c r="B18" t="inlineStr">
        <is>
          <t>tied to DPP4 revenue path + FY27 wash-up drop-out + DPP5 step; no new regulatory signal since v1.0</t>
        </is>
      </c>
      <c r="C18" t="inlineStr">
        <is>
          <t>Commerce Commission DPP5 issues paper / WACC determination (2029); FY27 H1 revenue print vs the +9% path</t>
        </is>
      </c>
    </row>
    <row r="19">
      <c r="A19" t="inlineStr">
        <is>
          <t>Adj EBITDA margin 50.2% FY27 then 48.5%</t>
        </is>
      </c>
      <c r="B19" t="inlineStr">
        <is>
          <t>FY27 guidance midpoint 550 reproduces exactly; FY26 actual 48.0%</t>
        </is>
      </c>
      <c r="C19" t="inlineStr">
        <is>
          <t>CEO strategic review outcomes (Sep-2026 shareholder meeting) quantifying opex savings</t>
        </is>
      </c>
    </row>
    <row r="20">
      <c r="A20" t="inlineStr">
        <is>
          <t>Net capex path 41% -&gt; 27% of revenue</t>
        </is>
      </c>
      <c r="B20" t="inlineStr">
        <is>
          <t>FY27 guidance mid (620 - 175 + 5.5 lease = 450.5) = 41.1% reproduces; AMP26 $5.4bn FY26-36 = ~$490m/yr gross average, consistent with the taper</t>
        </is>
      </c>
      <c r="C20" t="inlineStr">
        <is>
          <t>AMP27 revising the 10-year envelope; FY27 actual contributions outside 160-190</t>
        </is>
      </c>
    </row>
    <row r="21">
      <c r="A21" t="inlineStr">
        <is>
          <t>28% cash tax from FY27; 35.3 tax asset in bridge</t>
        </is>
      </c>
      <c r="B21" t="inlineStr">
        <is>
          <t>AR26 note 17 confirms the 35.3 current asset and nil non-current</t>
        </is>
      </c>
      <c r="C21" t="inlineStr">
        <is>
          <t>FY27 cash tax paid materially below 28% of EBIT after the asset is consumed</t>
        </is>
      </c>
    </row>
    <row r="22">
      <c r="A22" t="inlineStr">
        <is>
          <t>Bluecurrent at 700</t>
        </is>
      </c>
      <c r="B22" t="inlineStr">
        <is>
          <t>FY26 distributions 55 (32.6 + 10.2 + 12.1) confirmed in deck p.14; carrying value 580.4 confirmed in note 16.1</t>
        </is>
      </c>
      <c r="C22" t="inlineStr">
        <is>
          <t>FY27 distribution guidance; any QIC/Vector sale process</t>
        </is>
      </c>
    </row>
    <row r="23">
      <c r="A23" t="inlineStr">
        <is>
          <t>WACC 6.75%, terminal g 3.0/2.5/3.25, weights 25/50/25</t>
        </is>
      </c>
      <c r="B23" t="inlineStr">
        <is>
          <t>no change in NZ 10y (~4.4%) or the regulated WACC reference since v1.0</t>
        </is>
      </c>
      <c r="C23" t="inlineStr">
        <is>
          <t>+/-50bp move in NZ 10y govt; DPP5 WACC signalling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8" max="8"/>
  </cols>
  <sheetData>
    <row r="1">
      <c r="A1" s="1" t="inlineStr">
        <is>
          <t>Reported history, continuing operations, NZD millions (AR26 five-year summary p.55; results decks). Hardcoded.</t>
        </is>
      </c>
    </row>
    <row r="2"/>
    <row r="3">
      <c r="A3" s="1" t="inlineStr">
        <is>
          <t>Metric</t>
        </is>
      </c>
      <c r="B3" s="1" t="inlineStr">
        <is>
          <t>FY2022</t>
        </is>
      </c>
      <c r="C3" s="1" t="inlineStr">
        <is>
          <t>FY2023</t>
        </is>
      </c>
      <c r="D3" s="1" t="inlineStr">
        <is>
          <t>FY2024</t>
        </is>
      </c>
      <c r="E3" s="1" t="inlineStr">
        <is>
          <t>FY2025</t>
        </is>
      </c>
      <c r="F3" s="1" t="inlineStr">
        <is>
          <t>FY2026</t>
        </is>
      </c>
      <c r="G3" s="1" t="inlineStr">
        <is>
          <t>Source</t>
        </is>
      </c>
    </row>
    <row r="4">
      <c r="A4" t="inlineStr">
        <is>
          <t>Total revenue (incl. contributions)</t>
        </is>
      </c>
      <c r="C4" s="2" t="n">
        <v>902.9</v>
      </c>
      <c r="D4" s="2" t="n">
        <v>963.9</v>
      </c>
      <c r="E4" s="2" t="n">
        <v>1013</v>
      </c>
      <c r="F4" s="2" t="n">
        <v>1104</v>
      </c>
      <c r="G4" s="2" t="n">
        <v>1195.3</v>
      </c>
      <c r="H4" t="inlineStr">
        <is>
          <t>AR26 five-year summary</t>
        </is>
      </c>
    </row>
    <row r="5">
      <c r="A5" t="inlineStr">
        <is>
          <t>Capital contributions</t>
        </is>
      </c>
      <c r="C5" s="2" t="n">
        <v>152</v>
      </c>
      <c r="D5" s="2" t="n">
        <v>188</v>
      </c>
      <c r="E5" s="2" t="n">
        <v>195</v>
      </c>
      <c r="F5" s="2" t="n">
        <v>210.5</v>
      </c>
      <c r="G5" s="2" t="n">
        <v>190.9</v>
      </c>
      <c r="H5" t="inlineStr">
        <is>
          <t>results decks; FY25/26 GAAP-to-non-GAAP reconciliation</t>
        </is>
      </c>
    </row>
    <row r="6">
      <c r="A6" t="inlineStr">
        <is>
          <t>Revenue ex-contributions</t>
        </is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G4-G5</f>
        <v/>
      </c>
      <c r="H6" t="inlineStr">
        <is>
          <t>derived</t>
        </is>
      </c>
    </row>
    <row r="7">
      <c r="A7" t="inlineStr">
        <is>
          <t>Adjusted EBITDA</t>
        </is>
      </c>
      <c r="C7" s="2" t="n">
        <v>316.8</v>
      </c>
      <c r="D7" s="2" t="n">
        <v>311</v>
      </c>
      <c r="E7" s="2" t="n">
        <v>345.3</v>
      </c>
      <c r="F7" s="2" t="n">
        <v>401.1</v>
      </c>
      <c r="G7" s="2" t="n">
        <v>482.2</v>
      </c>
      <c r="H7" t="inlineStr">
        <is>
          <t>AR26 five-year summary</t>
        </is>
      </c>
    </row>
    <row r="8">
      <c r="A8" t="inlineStr">
        <is>
          <t>Depreciation and amortisation</t>
        </is>
      </c>
      <c r="C8" s="2" t="n">
        <v>182.8</v>
      </c>
      <c r="D8" s="2" t="n">
        <v>193.7</v>
      </c>
      <c r="E8" s="2" t="n">
        <v>218.3</v>
      </c>
      <c r="F8" s="2" t="n">
        <v>231.4</v>
      </c>
      <c r="G8" s="2" t="n">
        <v>233</v>
      </c>
      <c r="H8" t="inlineStr">
        <is>
          <t>AR26 five-year summary</t>
        </is>
      </c>
    </row>
    <row r="9">
      <c r="A9" t="inlineStr">
        <is>
          <t>Adjusted EBIT</t>
        </is>
      </c>
      <c r="C9" s="2" t="n">
        <v>134</v>
      </c>
      <c r="D9" s="2" t="n">
        <v>117.3</v>
      </c>
      <c r="E9" s="2" t="n">
        <v>127</v>
      </c>
      <c r="F9" s="2" t="n">
        <v>169.7</v>
      </c>
      <c r="G9" s="2" t="n">
        <v>249.2</v>
      </c>
      <c r="H9" t="inlineStr">
        <is>
          <t>AR26 five-year summary</t>
        </is>
      </c>
    </row>
    <row r="10">
      <c r="A10" t="inlineStr">
        <is>
          <t>Net profit continuing</t>
        </is>
      </c>
      <c r="C10" s="2" t="n">
        <v>137.3</v>
      </c>
      <c r="D10" s="2" t="n">
        <v>101.5</v>
      </c>
      <c r="E10" s="2" t="n">
        <v>75.59999999999999</v>
      </c>
      <c r="F10" s="2" t="n">
        <v>154.7</v>
      </c>
      <c r="G10" s="2" t="n">
        <v>240.2</v>
      </c>
      <c r="H10" t="inlineStr">
        <is>
          <t>AR26 five-year summary (FY24 60.6 / FY25 37.0 impairments)</t>
        </is>
      </c>
    </row>
    <row r="11">
      <c r="A11" t="inlineStr">
        <is>
          <t>Gross capex (deck, accrual)</t>
        </is>
      </c>
      <c r="C11" s="2" t="n">
        <v>370</v>
      </c>
      <c r="D11" s="2" t="n">
        <v>492</v>
      </c>
      <c r="E11" s="2" t="n">
        <v>499</v>
      </c>
      <c r="F11" s="2" t="n">
        <v>470</v>
      </c>
      <c r="G11" s="2" t="n">
        <v>544</v>
      </c>
      <c r="H11" t="inlineStr">
        <is>
          <t>results deck 18-Aug-2026 p.9</t>
        </is>
      </c>
    </row>
    <row r="12">
      <c r="A12" t="inlineStr">
        <is>
          <t>Net capex (gross less contributions)</t>
        </is>
      </c>
      <c r="C12">
        <f>C11-C5</f>
        <v/>
      </c>
      <c r="D12">
        <f>D11-D5</f>
        <v/>
      </c>
      <c r="E12">
        <f>E11-E5</f>
        <v/>
      </c>
      <c r="F12">
        <f>F11-F5</f>
        <v/>
      </c>
      <c r="G12">
        <f>G11-G5</f>
        <v/>
      </c>
      <c r="H12" t="inlineStr">
        <is>
          <t>derived</t>
        </is>
      </c>
    </row>
    <row r="13">
      <c r="A13" t="inlineStr">
        <is>
          <t>Operating cash flow</t>
        </is>
      </c>
      <c r="C13" s="2" t="n">
        <v>518.8</v>
      </c>
      <c r="D13" s="2" t="n">
        <v>517.1</v>
      </c>
      <c r="E13" s="2" t="n">
        <v>445.1</v>
      </c>
      <c r="F13" s="2" t="n">
        <v>515.2</v>
      </c>
      <c r="G13" s="2" t="n">
        <v>632.5</v>
      </c>
      <c r="H13" t="inlineStr">
        <is>
          <t>AR26 five-year summary</t>
        </is>
      </c>
    </row>
    <row r="14">
      <c r="A14" t="inlineStr">
        <is>
          <t>Cash capex (PPE + software)</t>
        </is>
      </c>
      <c r="C14" s="2" t="n">
        <v>558.8</v>
      </c>
      <c r="D14" s="2" t="n">
        <v>639</v>
      </c>
      <c r="E14" s="2" t="n">
        <v>488.7</v>
      </c>
      <c r="F14" s="2" t="n">
        <v>474.9</v>
      </c>
      <c r="G14" s="2" t="n">
        <v>531.3</v>
      </c>
      <c r="H14" t="inlineStr">
        <is>
          <t>AR26 five-year summary (FY22-24 include discontinued)</t>
        </is>
      </c>
    </row>
    <row r="15">
      <c r="A15" t="inlineStr">
        <is>
          <t>Dividends paid</t>
        </is>
      </c>
      <c r="C15" s="2" t="n">
        <v>169.1</v>
      </c>
      <c r="D15" s="2" t="n">
        <v>169.9</v>
      </c>
      <c r="E15" s="2" t="n">
        <v>234.9</v>
      </c>
      <c r="F15" s="2" t="n">
        <v>268.7</v>
      </c>
      <c r="G15" s="2" t="n">
        <v>255</v>
      </c>
      <c r="H15" t="inlineStr">
        <is>
          <t>AR26 five-year summary</t>
        </is>
      </c>
    </row>
    <row r="16">
      <c r="A16" t="inlineStr">
        <is>
          <t>Economic net debt (30 June)</t>
        </is>
      </c>
      <c r="C16" s="2" t="n">
        <v>3296.8</v>
      </c>
      <c r="D16" s="2" t="n">
        <v>1933.1</v>
      </c>
      <c r="E16" s="2" t="n">
        <v>2128.6</v>
      </c>
      <c r="F16" s="2" t="n">
        <v>2148.3</v>
      </c>
      <c r="G16" s="2" t="n">
        <v>2282</v>
      </c>
      <c r="H16" t="inlineStr">
        <is>
          <t>AR26 five-year summary</t>
        </is>
      </c>
    </row>
    <row r="17">
      <c r="A17" t="inlineStr">
        <is>
          <t>Total equity</t>
        </is>
      </c>
      <c r="C17" s="2" t="n">
        <v>2430.1</v>
      </c>
      <c r="D17" s="2" t="n">
        <v>3958</v>
      </c>
      <c r="E17" s="2" t="n">
        <v>3776.7</v>
      </c>
      <c r="F17" s="2" t="n">
        <v>3600.9</v>
      </c>
      <c r="G17" s="2" t="n">
        <v>3629</v>
      </c>
      <c r="H17" t="inlineStr">
        <is>
          <t>AR26 five-year summary</t>
        </is>
      </c>
    </row>
    <row r="18">
      <c r="A18" t="inlineStr">
        <is>
          <t>Income tax paid</t>
        </is>
      </c>
      <c r="C18" s="2" t="n">
        <v>20.1</v>
      </c>
      <c r="D18" s="2" t="n">
        <v>20</v>
      </c>
      <c r="E18" s="2" t="n">
        <v>4.8</v>
      </c>
      <c r="F18" s="2" t="n">
        <v>2.7</v>
      </c>
      <c r="G18" s="2" t="n">
        <v>1.4</v>
      </c>
      <c r="H18" t="inlineStr">
        <is>
          <t>cash flow statements</t>
        </is>
      </c>
    </row>
    <row r="19"/>
    <row r="20"/>
    <row r="21">
      <c r="A21" s="1" t="inlineStr">
        <is>
          <t>Balance-sheet snapshot 30-Jun-2026</t>
        </is>
      </c>
    </row>
    <row r="22">
      <c r="A22" t="inlineStr">
        <is>
          <t>Face value of borrowings</t>
        </is>
      </c>
      <c r="B22" s="2" t="n">
        <v>2235.1</v>
      </c>
    </row>
    <row r="23">
      <c r="A23" t="inlineStr">
        <is>
          <t>Lease liabilities</t>
        </is>
      </c>
      <c r="B23" s="2" t="n">
        <v>52.3</v>
      </c>
    </row>
    <row r="24">
      <c r="A24" t="inlineStr">
        <is>
          <t>Cash and deposits</t>
        </is>
      </c>
      <c r="B24" s="2" t="n">
        <v>5.4</v>
      </c>
    </row>
    <row r="25">
      <c r="A25" t="inlineStr">
        <is>
          <t>Economic net debt</t>
        </is>
      </c>
      <c r="B25">
        <f>B22+B23-B24</f>
        <v/>
      </c>
    </row>
    <row r="26">
      <c r="A26" t="inlineStr">
        <is>
          <t>Investment in Bluecurrent JV (carrying)</t>
        </is>
      </c>
      <c r="B26" s="2" t="n">
        <v>580.4</v>
      </c>
    </row>
    <row r="27">
      <c r="A27" t="inlineStr">
        <is>
          <t>Current income tax asset</t>
        </is>
      </c>
      <c r="B27" s="2" t="n">
        <v>35.3</v>
      </c>
    </row>
    <row r="28">
      <c r="A28" t="inlineStr">
        <is>
          <t>Contingent consideration receivable</t>
        </is>
      </c>
      <c r="B28" s="2" t="n">
        <v>26.6</v>
      </c>
    </row>
    <row r="29">
      <c r="A29" t="inlineStr">
        <is>
          <t>Ordinary shares (millions)</t>
        </is>
      </c>
      <c r="B29" s="2" t="n">
        <v>1000</v>
      </c>
    </row>
    <row r="30">
      <c r="A30" t="inlineStr">
        <is>
          <t>Buybacks FY26</t>
        </is>
      </c>
      <c r="B30" s="2" t="n">
        <v>0</v>
      </c>
    </row>
    <row r="31">
      <c r="A31" t="inlineStr">
        <is>
          <t>SBC FY26</t>
        </is>
      </c>
      <c r="B31" s="2" t="n">
        <v>0</v>
      </c>
    </row>
    <row r="32">
      <c r="A32" t="inlineStr">
        <is>
          <t>FY27 guidance adj EBITDA mid</t>
        </is>
      </c>
      <c r="B32" s="2" t="n">
        <v>550</v>
      </c>
    </row>
    <row r="33">
      <c r="A33" t="inlineStr">
        <is>
          <t>FY27 guidance gross capex mid</t>
        </is>
      </c>
      <c r="B33" s="2" t="n">
        <v>620</v>
      </c>
    </row>
    <row r="34">
      <c r="A34" t="inlineStr">
        <is>
          <t>FY27 guidance contributions mid</t>
        </is>
      </c>
      <c r="B34" s="2" t="n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3" max="3"/>
    <col width="120" customWidth="1" min="4" max="4"/>
  </cols>
  <sheetData>
    <row r="1">
      <c r="A1" s="1" t="inlineStr">
        <is>
          <t>Global assumptions (blue = input). Scenario driver paths live on the DCF tabs.</t>
        </is>
      </c>
    </row>
    <row r="2"/>
    <row r="3">
      <c r="A3" t="inlineStr">
        <is>
          <t>WACC (NZD)</t>
        </is>
      </c>
      <c r="B3" s="4" t="n">
        <v>0.0675</v>
      </c>
      <c r="C3" t="inlineStr">
        <is>
          <t>rf 4.4% + 0.65 x 5.5% = 8.0% CoE; 3.8% post-tax debt; 32.6% debt weight; same in all scenarios</t>
        </is>
      </c>
    </row>
    <row r="4">
      <c r="A4" t="inlineStr">
        <is>
          <t>D&amp;A % of revenue</t>
        </is>
      </c>
      <c r="B4" s="2" t="n">
        <v>0.235</v>
      </c>
      <c r="C4" t="inlineStr">
        <is>
          <t>FY26 23.2%; RAB/revenue ratio roughly stable so held flat</t>
        </is>
      </c>
    </row>
    <row r="5">
      <c r="A5" t="inlineStr">
        <is>
          <t>WC capture on revenue change</t>
        </is>
      </c>
      <c r="B5" s="2" t="n">
        <v>0</v>
      </c>
      <c r="C5" t="inlineStr">
        <is>
          <t>regulated receivables/contract assets roughly offset; nil</t>
        </is>
      </c>
    </row>
    <row r="6">
      <c r="A6" t="inlineStr">
        <is>
          <t>Net debt used in bridge</t>
        </is>
      </c>
      <c r="B6">
        <f>B11-B12</f>
        <v/>
      </c>
      <c r="C6" t="inlineStr">
        <is>
          <t>economic net debt less non-operating assets</t>
        </is>
      </c>
    </row>
    <row r="7">
      <c r="A7" t="inlineStr">
        <is>
          <t>Diluted shares (millions)</t>
        </is>
      </c>
      <c r="B7" s="2" t="n">
        <v>1000</v>
      </c>
      <c r="C7" t="inlineStr">
        <is>
          <t>AR26 note 25.3, 30-Jun-2026</t>
        </is>
      </c>
    </row>
    <row r="8">
      <c r="A8" t="inlineStr">
        <is>
          <t>Price (NZD)</t>
        </is>
      </c>
      <c r="B8" s="2" t="n">
        <v>4.72</v>
      </c>
      <c r="C8" t="inlineStr">
        <is>
          <t>Yahoo regular close 2026-09-18T05:00:01Z</t>
        </is>
      </c>
    </row>
    <row r="9">
      <c r="A9" t="inlineStr">
        <is>
          <t>Terminal cap multiple (x FCF)</t>
        </is>
      </c>
      <c r="B9" s="4" t="n">
        <v>30</v>
      </c>
      <c r="C9" t="inlineStr">
        <is>
          <t>30x for a regulated network (Gordon at WACC ~27.5x = ~1.0x RAB)</t>
        </is>
      </c>
    </row>
    <row r="10">
      <c r="A10" t="inlineStr">
        <is>
          <t>Hurdle rate</t>
        </is>
      </c>
      <c r="B10" s="2" t="n">
        <v>0.15</v>
      </c>
      <c r="C10" t="inlineStr">
        <is>
          <t>entry price IRR</t>
        </is>
      </c>
    </row>
    <row r="11">
      <c r="A11" t="inlineStr">
        <is>
          <t>Economic net debt 30-Jun-2026</t>
        </is>
      </c>
      <c r="B11" s="2" t="n">
        <v>2282</v>
      </c>
      <c r="C11" t="inlineStr">
        <is>
          <t>face borrowings 2,235.1 + leases 52.3 - cash 5.4</t>
        </is>
      </c>
    </row>
    <row r="12">
      <c r="A12" t="inlineStr">
        <is>
          <t>Non-operating assets</t>
        </is>
      </c>
      <c r="B12">
        <f>B13+B14+B15</f>
        <v/>
      </c>
      <c r="C12" t="inlineStr">
        <is>
          <t>sum of the three lines below</t>
        </is>
      </c>
    </row>
    <row r="13">
      <c r="A13" t="inlineStr">
        <is>
          <t>Bluecurrent 50% JV + shareholder loans (value)</t>
        </is>
      </c>
      <c r="B13" s="2" t="n">
        <v>700</v>
      </c>
      <c r="C13" t="inlineStr">
        <is>
          <t>55/yr distributions at 10% CoE, 2% g; carrying value 580.4</t>
        </is>
      </c>
    </row>
    <row r="14">
      <c r="A14" t="inlineStr">
        <is>
          <t>Current income tax asset</t>
        </is>
      </c>
      <c r="B14" s="2" t="n">
        <v>35.3</v>
      </c>
      <c r="C14" t="inlineStr">
        <is>
          <t>prepaid tax, consumed against FY27 cash tax</t>
        </is>
      </c>
    </row>
    <row r="15">
      <c r="A15" t="inlineStr">
        <is>
          <t>Contingent consideration receivable</t>
        </is>
      </c>
      <c r="B15" s="2" t="n">
        <v>26.6</v>
      </c>
      <c r="C15" t="inlineStr">
        <is>
          <t>gas trading sale earn-outs, 5.0 current + 21.6 non-current</t>
        </is>
      </c>
    </row>
    <row r="16">
      <c r="A16" t="inlineStr">
        <is>
          <t>FY26 revenue ex-contributions</t>
        </is>
      </c>
      <c r="B16" s="2" t="n">
        <v>1004.4</v>
      </c>
      <c r="C16" t="inlineStr">
        <is>
          <t>1,195.3 total less 190.9 contributions</t>
        </is>
      </c>
    </row>
    <row r="17">
      <c r="A17" t="inlineStr">
        <is>
          <t>RAB estimate (electricity + gas), NZD m</t>
        </is>
      </c>
      <c r="B17" s="2" t="n">
        <v>4700</v>
      </c>
      <c r="C17" t="inlineStr">
        <is>
          <t>analyst estimate +/-10%; sanity cross-check only</t>
        </is>
      </c>
    </row>
    <row r="18"/>
    <row r="19">
      <c r="A19" s="1" t="inlineStr">
        <is>
          <t>Scenario</t>
        </is>
      </c>
      <c r="B19" s="1" t="inlineStr">
        <is>
          <t>Terminal growth</t>
        </is>
      </c>
      <c r="C19" s="1" t="inlineStr">
        <is>
          <t>Probability</t>
        </is>
      </c>
      <c r="D19" s="1" t="inlineStr">
        <is>
          <t>Narrative</t>
        </is>
      </c>
    </row>
    <row r="20">
      <c r="A20" t="inlineStr">
        <is>
          <t>bear</t>
        </is>
      </c>
      <c r="B20" s="4" t="n">
        <v>0.025</v>
      </c>
      <c r="C20" s="2" t="n">
        <v>0.25</v>
      </c>
      <c r="D20" t="inlineStr">
        <is>
          <t>NZ rates fall back toward 2021 levels before the DPP5 reset, so the allowed return on the larger RAB is cut (FY31 -5% revenue step) while political pressure on Auckland lines charges tightens the path; capex over-runs and IRIS penalties leave part of the record capex programme unrecognised (capex stays 30%+ of revenue), opex inflation and storm/resilience costs compress the margin to 46%, gas distribution volumes decline faster than accelerated depreciation recovers. Terminal growth 2.5%.</t>
        </is>
      </c>
    </row>
    <row r="21">
      <c r="A21" t="inlineStr">
        <is>
          <t>base</t>
        </is>
      </c>
      <c r="B21" s="4" t="n">
        <v>0.03</v>
      </c>
      <c r="C21" s="2" t="n">
        <v>0.5</v>
      </c>
      <c r="D21" t="inlineStr">
        <is>
          <t>DPP4 (to Mar-2030) plays out as set: FY27 revenue +9% including the ~$54m wash-up/IRIS one-off that then drops out (FY28 -1%), CPI+RAB growth of ~5% a year thereafter. Net capex runs at the guided ~$450m in FY27 (41% of revenue) and tapers to 28% by FY36 as the replacement wave passes and data-centre/EV growth capex normalises. DPP5 (Apr-2030) resets on a RAB ~25-30% larger at a similar ~7% WACC, giving a +9% revenue step in FY31. Adj EBITDA margin holds ~48.5% (opex inflation offset by scale). Gas distribution declines slowly inside the blend. WACC 6.75%, terminal growth 3% (CPI ~2% + ~1% real RAB growth).</t>
        </is>
      </c>
    </row>
    <row r="22">
      <c r="A22" t="inlineStr">
        <is>
          <t>bull</t>
        </is>
      </c>
      <c r="B22" s="4" t="n">
        <v>0.0325</v>
      </c>
      <c r="C22" s="2" t="n">
        <v>0.25</v>
      </c>
      <c r="D22" t="inlineStr">
        <is>
          <t>Auckland electrification and the flagged 500MW of data-centre load arrive on schedule, the capex programme is delivered efficiently (IRIS rewards rather than penalties), the DPP5 reset lands with a high allowed WACC (rates stay ~4-4.5%) on the enlarged RAB (+12% FY31 step), and the new CEO's efficiency review lifts the margin to 50%. Capex intensity falls faster (27% by FY36) as demand-side orchestration (Symphony) defers reinforcement. Terminal growth 3.25%.</t>
        </is>
      </c>
    </row>
    <row r="23">
      <c r="A23" t="inlineStr">
        <is>
          <t>Weights check (must be 1)</t>
        </is>
      </c>
      <c r="C23">
        <f>SUM(C20:C22)</f>
        <v/>
      </c>
    </row>
    <row r="24">
      <c r="A24" t="inlineStr">
        <is>
          <t>Weights rationale</t>
        </is>
      </c>
      <c r="D24" t="inlineStr">
        <is>
          <t>25/50/25 rather than the 15/50/35 house default. Bear raised to 25%: essentially all earnings depend on one regulator's five-yearly reset and the next one (DPP5, Apr-2030) falls inside the explicit horizon; gas distribution is a slowly stranding asset; the dividend is debt-funded through a record capex programme. Bull cut to 25%: it needs rates to stay high into the DPP5 reset AND the data-centre load AND efficient delivery of $600m+/yr capex, three independent things.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DCF_Bear - NZD millions - drivers in blue on rows 5, 7, 9, 14, 22</t>
        </is>
      </c>
    </row>
    <row r="2"/>
    <row r="3">
      <c r="A3" t="inlineStr">
        <is>
          <t>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4" t="n">
        <v>0.08500000000000001</v>
      </c>
      <c r="D5" s="4" t="n">
        <v>-0.02</v>
      </c>
      <c r="E5" s="4" t="n">
        <v>0.04</v>
      </c>
      <c r="F5" s="4" t="n">
        <v>0.04</v>
      </c>
      <c r="G5" s="4" t="n">
        <v>-0.05</v>
      </c>
      <c r="H5" s="4" t="n">
        <v>0.035</v>
      </c>
      <c r="I5" s="4" t="n">
        <v>0.035</v>
      </c>
      <c r="J5" s="4" t="n">
        <v>0.03</v>
      </c>
      <c r="K5" s="4" t="n">
        <v>0.03</v>
      </c>
      <c r="L5" s="4" t="n">
        <v>0.025</v>
      </c>
    </row>
    <row r="6">
      <c r="A6" t="inlineStr">
        <is>
          <t>Revenue (ex contributions)</t>
        </is>
      </c>
      <c r="B6" s="3">
        <f>Assumptions!B16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B7">
        <f>B8/B6</f>
        <v/>
      </c>
      <c r="C7" s="4" t="n">
        <v>0.495</v>
      </c>
      <c r="D7" s="4" t="n">
        <v>0.47</v>
      </c>
      <c r="E7" s="4" t="n">
        <v>0.47</v>
      </c>
      <c r="F7" s="4" t="n">
        <v>0.465</v>
      </c>
      <c r="G7" s="4" t="n">
        <v>0.46</v>
      </c>
      <c r="H7" s="4" t="n">
        <v>0.46</v>
      </c>
      <c r="I7" s="4" t="n">
        <v>0.46</v>
      </c>
      <c r="J7" s="4" t="n">
        <v>0.46</v>
      </c>
      <c r="K7" s="4" t="n">
        <v>0.46</v>
      </c>
      <c r="L7" s="4" t="n">
        <v>0.46</v>
      </c>
    </row>
    <row r="8">
      <c r="A8" t="inlineStr">
        <is>
          <t>Adjusted EBITDA</t>
        </is>
      </c>
      <c r="B8" s="2" t="n">
        <v>482.2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B12" s="2" t="n">
        <v>-233</v>
      </c>
      <c r="C12" s="3">
        <f>-C6*Assumptions!$B$4</f>
        <v/>
      </c>
      <c r="D12" s="3">
        <f>-D6*Assumptions!$B$4</f>
        <v/>
      </c>
      <c r="E12" s="3">
        <f>-E6*Assumptions!$B$4</f>
        <v/>
      </c>
      <c r="F12" s="3">
        <f>-F6*Assumptions!$B$4</f>
        <v/>
      </c>
      <c r="G12" s="3">
        <f>-G6*Assumptions!$B$4</f>
        <v/>
      </c>
      <c r="H12" s="3">
        <f>-H6*Assumptions!$B$4</f>
        <v/>
      </c>
      <c r="I12" s="3">
        <f>-I6*Assumptions!$B$4</f>
        <v/>
      </c>
      <c r="J12" s="3">
        <f>-J6*Assumptions!$B$4</f>
        <v/>
      </c>
      <c r="K12" s="3">
        <f>-K6*Assumptions!$B$4</f>
        <v/>
      </c>
      <c r="L12" s="3">
        <f>-L6*Assumptions!$B$4</f>
        <v/>
      </c>
    </row>
    <row r="13">
      <c r="A13" t="inlineStr">
        <is>
          <t>EBIT</t>
        </is>
      </c>
      <c r="B13">
        <f>B8+B12</f>
        <v/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B14" s="2" t="n">
        <v>0.28</v>
      </c>
      <c r="C14" s="2" t="n">
        <v>0.28</v>
      </c>
      <c r="D14" s="2" t="n">
        <v>0.28</v>
      </c>
      <c r="E14" s="2" t="n">
        <v>0.28</v>
      </c>
      <c r="F14" s="2" t="n">
        <v>0.28</v>
      </c>
      <c r="G14" s="2" t="n">
        <v>0.28</v>
      </c>
      <c r="H14" s="2" t="n">
        <v>0.28</v>
      </c>
      <c r="I14" s="2" t="n">
        <v>0.28</v>
      </c>
      <c r="J14" s="2" t="n">
        <v>0.28</v>
      </c>
      <c r="K14" s="2" t="n">
        <v>0.28</v>
      </c>
      <c r="L14" s="2" t="n">
        <v>0.28</v>
      </c>
    </row>
    <row r="15">
      <c r="A15" t="inlineStr">
        <is>
          <t>NOPAT</t>
        </is>
      </c>
      <c r="B15">
        <f>B13-MAX(0,B13)*B14</f>
        <v/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B16">
        <f>-B12</f>
        <v/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net capex</t>
        </is>
      </c>
      <c r="B17" s="2" t="n">
        <v>-339.8</v>
      </c>
      <c r="C17">
        <f>-C6*C22</f>
        <v/>
      </c>
      <c r="D17">
        <f>-D6*D22</f>
        <v/>
      </c>
      <c r="E17">
        <f>-E6*E22</f>
        <v/>
      </c>
      <c r="F17">
        <f>-F6*F22</f>
        <v/>
      </c>
      <c r="G17">
        <f>-G6*G22</f>
        <v/>
      </c>
      <c r="H17">
        <f>-H6*H22</f>
        <v/>
      </c>
      <c r="I17">
        <f>-I6*I22</f>
        <v/>
      </c>
      <c r="J17">
        <f>-J6*J22</f>
        <v/>
      </c>
      <c r="K17">
        <f>-K6*K22</f>
        <v/>
      </c>
      <c r="L17">
        <f>-L6*L22</f>
        <v/>
      </c>
    </row>
    <row r="18">
      <c r="A18" t="inlineStr">
        <is>
          <t>add working capital</t>
        </is>
      </c>
      <c r="C18" s="3">
        <f>Assumptions!$B$5*(C6-B6)</f>
        <v/>
      </c>
      <c r="D18" s="3">
        <f>Assumptions!$B$5*(D6-C6)</f>
        <v/>
      </c>
      <c r="E18" s="3">
        <f>Assumptions!$B$5*(E6-D6)</f>
        <v/>
      </c>
      <c r="F18" s="3">
        <f>Assumptions!$B$5*(F6-E6)</f>
        <v/>
      </c>
      <c r="G18" s="3">
        <f>Assumptions!$B$5*(G6-F6)</f>
        <v/>
      </c>
      <c r="H18" s="3">
        <f>Assumptions!$B$5*(H6-G6)</f>
        <v/>
      </c>
      <c r="I18" s="3">
        <f>Assumptions!$B$5*(I6-H6)</f>
        <v/>
      </c>
      <c r="J18" s="3">
        <f>Assumptions!$B$5*(J6-I6)</f>
        <v/>
      </c>
      <c r="K18" s="3">
        <f>Assumptions!$B$5*(K6-J6)</f>
        <v/>
      </c>
      <c r="L18" s="3">
        <f>Assumptions!$B$5*(L6-K6)</f>
        <v/>
      </c>
    </row>
    <row r="19">
      <c r="A19" t="inlineStr">
        <is>
          <t>Unlevered owner FCF</t>
        </is>
      </c>
      <c r="B19">
        <f>B15+B16+B17</f>
        <v/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 s="3">
        <f>1/(1+Assumptions!$B$3)^C4</f>
        <v/>
      </c>
      <c r="D20" s="3">
        <f>1/(1+Assumptions!$B$3)^D4</f>
        <v/>
      </c>
      <c r="E20" s="3">
        <f>1/(1+Assumptions!$B$3)^E4</f>
        <v/>
      </c>
      <c r="F20" s="3">
        <f>1/(1+Assumptions!$B$3)^F4</f>
        <v/>
      </c>
      <c r="G20" s="3">
        <f>1/(1+Assumptions!$B$3)^G4</f>
        <v/>
      </c>
      <c r="H20" s="3">
        <f>1/(1+Assumptions!$B$3)^H4</f>
        <v/>
      </c>
      <c r="I20" s="3">
        <f>1/(1+Assumptions!$B$3)^I4</f>
        <v/>
      </c>
      <c r="J20" s="3">
        <f>1/(1+Assumptions!$B$3)^J4</f>
        <v/>
      </c>
      <c r="K20" s="3">
        <f>1/(1+Assumptions!$B$3)^K4</f>
        <v/>
      </c>
      <c r="L20" s="3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Net capex % revenue (driver)</t>
        </is>
      </c>
      <c r="C22" s="4" t="n">
        <v>0.41</v>
      </c>
      <c r="D22" s="4" t="n">
        <v>0.4</v>
      </c>
      <c r="E22" s="4" t="n">
        <v>0.39</v>
      </c>
      <c r="F22" s="4" t="n">
        <v>0.38</v>
      </c>
      <c r="G22" s="4" t="n">
        <v>0.36</v>
      </c>
      <c r="H22" s="4" t="n">
        <v>0.34</v>
      </c>
      <c r="I22" s="4" t="n">
        <v>0.33</v>
      </c>
      <c r="J22" s="4" t="n">
        <v>0.32</v>
      </c>
      <c r="K22" s="4" t="n">
        <v>0.305</v>
      </c>
      <c r="L22" s="4" t="n">
        <v>0.295</v>
      </c>
    </row>
    <row r="23">
      <c r="A23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 FCF margin</t>
        </is>
      </c>
      <c r="B24">
        <f>B19/B6</f>
        <v/>
      </c>
      <c r="C24">
        <f>C19/C6</f>
        <v/>
      </c>
      <c r="D24">
        <f>D19/D6</f>
        <v/>
      </c>
      <c r="E24">
        <f>E19/E6</f>
        <v/>
      </c>
      <c r="F24">
        <f>F19/F6</f>
        <v/>
      </c>
      <c r="G24">
        <f>G19/G6</f>
        <v/>
      </c>
      <c r="H24">
        <f>H19/H6</f>
        <v/>
      </c>
      <c r="I24">
        <f>I19/I6</f>
        <v/>
      </c>
      <c r="J24">
        <f>J19/J6</f>
        <v/>
      </c>
      <c r="K24">
        <f>K19/K6</f>
        <v/>
      </c>
      <c r="L24">
        <f>L19/L6</f>
        <v/>
      </c>
    </row>
    <row r="25"/>
    <row r="26">
      <c r="A26" t="inlineStr">
        <is>
          <t>Sum of PV (FY27-FY36)</t>
        </is>
      </c>
      <c r="B26">
        <f>SUM(C21:L21)</f>
        <v/>
      </c>
    </row>
    <row r="27">
      <c r="A27" t="inlineStr">
        <is>
          <t>Terminal growth</t>
        </is>
      </c>
      <c r="B27" s="3">
        <f>Assumptions!$B$20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terminal value</t>
        </is>
      </c>
      <c r="B29">
        <f>IF(Assumptions!$B$3&gt;B27,B28/(Assumptions!$B$3-B27),"n/a")</f>
        <v/>
      </c>
    </row>
    <row r="30">
      <c r="A30" t="inlineStr">
        <is>
          <t>Cap terminal value</t>
        </is>
      </c>
      <c r="B30">
        <f>Assumptions!$B$9*L19</f>
        <v/>
      </c>
    </row>
    <row r="31">
      <c r="A31" t="inlineStr">
        <is>
          <t>Terminal value used</t>
        </is>
      </c>
      <c r="B31">
        <f>MAX(0,MIN(B29,B30))</f>
        <v/>
      </c>
    </row>
    <row r="32">
      <c r="A32" t="inlineStr">
        <is>
          <t>Implied exit multiple (x FCF)</t>
        </is>
      </c>
      <c r="B32">
        <f>IF(L19&lt;&gt;0,B31/L19,"n/a")</f>
        <v/>
      </c>
    </row>
    <row r="33">
      <c r="A33" t="inlineStr">
        <is>
          <t>PV of terminal value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 (bridge)</t>
        </is>
      </c>
      <c r="B35" s="3">
        <f>-Assumptions!$B$6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3">
        <f>Assumptions!$B$7</f>
        <v/>
      </c>
    </row>
    <row r="38">
      <c r="A38" t="inlineStr">
        <is>
          <t>Value per share (NZD)</t>
        </is>
      </c>
      <c r="B38" s="5">
        <f>B36/B37</f>
        <v/>
      </c>
    </row>
    <row r="39">
      <c r="A39" t="inlineStr">
        <is>
          <t>Upside vs price</t>
        </is>
      </c>
      <c r="B39">
        <f>B38/Assumptions!$B$8-1</f>
        <v/>
      </c>
    </row>
    <row r="40">
      <c r="A40" t="inlineStr">
        <is>
          <t>Terminal % of EV</t>
        </is>
      </c>
      <c r="B40">
        <f>B33/B34</f>
        <v/>
      </c>
    </row>
    <row r="41">
      <c r="A41" t="inlineStr">
        <is>
          <t>Street: PV of explicit SBC</t>
        </is>
      </c>
      <c r="B41">
        <f>SUMPRODUCT(-C10:L10/(1+Assumptions!$B$3)^C4:L4)</f>
        <v/>
      </c>
    </row>
    <row r="42">
      <c r="A42" t="inlineStr">
        <is>
          <t>Street: PV of terminal SBC</t>
        </is>
      </c>
      <c r="B42">
        <f>IF(Assumptions!$B$3&gt;B27,(-L10*(1+B27)/(Assumptions!$B$3-B27))*L20,0)</f>
        <v/>
      </c>
    </row>
    <row r="43">
      <c r="A43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DCF_Base - NZD millions - drivers in blue on rows 5, 7, 9, 14, 22</t>
        </is>
      </c>
    </row>
    <row r="2"/>
    <row r="3">
      <c r="A3" t="inlineStr">
        <is>
          <t>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4" t="n">
        <v>0.09</v>
      </c>
      <c r="D5" s="4" t="n">
        <v>-0.01</v>
      </c>
      <c r="E5" s="4" t="n">
        <v>0.05</v>
      </c>
      <c r="F5" s="4" t="n">
        <v>0.05</v>
      </c>
      <c r="G5" s="4" t="n">
        <v>0.09</v>
      </c>
      <c r="H5" s="4" t="n">
        <v>0.055</v>
      </c>
      <c r="I5" s="4" t="n">
        <v>0.05</v>
      </c>
      <c r="J5" s="4" t="n">
        <v>0.045</v>
      </c>
      <c r="K5" s="4" t="n">
        <v>0.04</v>
      </c>
      <c r="L5" s="4" t="n">
        <v>0.035</v>
      </c>
    </row>
    <row r="6">
      <c r="A6" t="inlineStr">
        <is>
          <t>Revenue (ex contributions)</t>
        </is>
      </c>
      <c r="B6" s="3">
        <f>Assumptions!B16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B7">
        <f>B8/B6</f>
        <v/>
      </c>
      <c r="C7" s="4" t="n">
        <v>0.502</v>
      </c>
      <c r="D7" s="4" t="n">
        <v>0.48</v>
      </c>
      <c r="E7" s="4" t="n">
        <v>0.485</v>
      </c>
      <c r="F7" s="4" t="n">
        <v>0.485</v>
      </c>
      <c r="G7" s="4" t="n">
        <v>0.485</v>
      </c>
      <c r="H7" s="4" t="n">
        <v>0.485</v>
      </c>
      <c r="I7" s="4" t="n">
        <v>0.485</v>
      </c>
      <c r="J7" s="4" t="n">
        <v>0.485</v>
      </c>
      <c r="K7" s="4" t="n">
        <v>0.485</v>
      </c>
      <c r="L7" s="4" t="n">
        <v>0.485</v>
      </c>
    </row>
    <row r="8">
      <c r="A8" t="inlineStr">
        <is>
          <t>Adjusted EBITDA</t>
        </is>
      </c>
      <c r="B8" s="2" t="n">
        <v>482.2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B12" s="2" t="n">
        <v>-233</v>
      </c>
      <c r="C12" s="3">
        <f>-C6*Assumptions!$B$4</f>
        <v/>
      </c>
      <c r="D12" s="3">
        <f>-D6*Assumptions!$B$4</f>
        <v/>
      </c>
      <c r="E12" s="3">
        <f>-E6*Assumptions!$B$4</f>
        <v/>
      </c>
      <c r="F12" s="3">
        <f>-F6*Assumptions!$B$4</f>
        <v/>
      </c>
      <c r="G12" s="3">
        <f>-G6*Assumptions!$B$4</f>
        <v/>
      </c>
      <c r="H12" s="3">
        <f>-H6*Assumptions!$B$4</f>
        <v/>
      </c>
      <c r="I12" s="3">
        <f>-I6*Assumptions!$B$4</f>
        <v/>
      </c>
      <c r="J12" s="3">
        <f>-J6*Assumptions!$B$4</f>
        <v/>
      </c>
      <c r="K12" s="3">
        <f>-K6*Assumptions!$B$4</f>
        <v/>
      </c>
      <c r="L12" s="3">
        <f>-L6*Assumptions!$B$4</f>
        <v/>
      </c>
    </row>
    <row r="13">
      <c r="A13" t="inlineStr">
        <is>
          <t>EBIT</t>
        </is>
      </c>
      <c r="B13">
        <f>B8+B12</f>
        <v/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B14" s="2" t="n">
        <v>0.28</v>
      </c>
      <c r="C14" s="2" t="n">
        <v>0.28</v>
      </c>
      <c r="D14" s="2" t="n">
        <v>0.28</v>
      </c>
      <c r="E14" s="2" t="n">
        <v>0.28</v>
      </c>
      <c r="F14" s="2" t="n">
        <v>0.28</v>
      </c>
      <c r="G14" s="2" t="n">
        <v>0.28</v>
      </c>
      <c r="H14" s="2" t="n">
        <v>0.28</v>
      </c>
      <c r="I14" s="2" t="n">
        <v>0.28</v>
      </c>
      <c r="J14" s="2" t="n">
        <v>0.28</v>
      </c>
      <c r="K14" s="2" t="n">
        <v>0.28</v>
      </c>
      <c r="L14" s="2" t="n">
        <v>0.28</v>
      </c>
    </row>
    <row r="15">
      <c r="A15" t="inlineStr">
        <is>
          <t>NOPAT</t>
        </is>
      </c>
      <c r="B15">
        <f>B13-MAX(0,B13)*B14</f>
        <v/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B16">
        <f>-B12</f>
        <v/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net capex</t>
        </is>
      </c>
      <c r="B17" s="2" t="n">
        <v>-339.8</v>
      </c>
      <c r="C17">
        <f>-C6*C22</f>
        <v/>
      </c>
      <c r="D17">
        <f>-D6*D22</f>
        <v/>
      </c>
      <c r="E17">
        <f>-E6*E22</f>
        <v/>
      </c>
      <c r="F17">
        <f>-F6*F22</f>
        <v/>
      </c>
      <c r="G17">
        <f>-G6*G22</f>
        <v/>
      </c>
      <c r="H17">
        <f>-H6*H22</f>
        <v/>
      </c>
      <c r="I17">
        <f>-I6*I22</f>
        <v/>
      </c>
      <c r="J17">
        <f>-J6*J22</f>
        <v/>
      </c>
      <c r="K17">
        <f>-K6*K22</f>
        <v/>
      </c>
      <c r="L17">
        <f>-L6*L22</f>
        <v/>
      </c>
    </row>
    <row r="18">
      <c r="A18" t="inlineStr">
        <is>
          <t>add working capital</t>
        </is>
      </c>
      <c r="C18" s="3">
        <f>Assumptions!$B$5*(C6-B6)</f>
        <v/>
      </c>
      <c r="D18" s="3">
        <f>Assumptions!$B$5*(D6-C6)</f>
        <v/>
      </c>
      <c r="E18" s="3">
        <f>Assumptions!$B$5*(E6-D6)</f>
        <v/>
      </c>
      <c r="F18" s="3">
        <f>Assumptions!$B$5*(F6-E6)</f>
        <v/>
      </c>
      <c r="G18" s="3">
        <f>Assumptions!$B$5*(G6-F6)</f>
        <v/>
      </c>
      <c r="H18" s="3">
        <f>Assumptions!$B$5*(H6-G6)</f>
        <v/>
      </c>
      <c r="I18" s="3">
        <f>Assumptions!$B$5*(I6-H6)</f>
        <v/>
      </c>
      <c r="J18" s="3">
        <f>Assumptions!$B$5*(J6-I6)</f>
        <v/>
      </c>
      <c r="K18" s="3">
        <f>Assumptions!$B$5*(K6-J6)</f>
        <v/>
      </c>
      <c r="L18" s="3">
        <f>Assumptions!$B$5*(L6-K6)</f>
        <v/>
      </c>
    </row>
    <row r="19">
      <c r="A19" t="inlineStr">
        <is>
          <t>Unlevered owner FCF</t>
        </is>
      </c>
      <c r="B19">
        <f>B15+B16+B17</f>
        <v/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 s="3">
        <f>1/(1+Assumptions!$B$3)^C4</f>
        <v/>
      </c>
      <c r="D20" s="3">
        <f>1/(1+Assumptions!$B$3)^D4</f>
        <v/>
      </c>
      <c r="E20" s="3">
        <f>1/(1+Assumptions!$B$3)^E4</f>
        <v/>
      </c>
      <c r="F20" s="3">
        <f>1/(1+Assumptions!$B$3)^F4</f>
        <v/>
      </c>
      <c r="G20" s="3">
        <f>1/(1+Assumptions!$B$3)^G4</f>
        <v/>
      </c>
      <c r="H20" s="3">
        <f>1/(1+Assumptions!$B$3)^H4</f>
        <v/>
      </c>
      <c r="I20" s="3">
        <f>1/(1+Assumptions!$B$3)^I4</f>
        <v/>
      </c>
      <c r="J20" s="3">
        <f>1/(1+Assumptions!$B$3)^J4</f>
        <v/>
      </c>
      <c r="K20" s="3">
        <f>1/(1+Assumptions!$B$3)^K4</f>
        <v/>
      </c>
      <c r="L20" s="3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Net capex % revenue (driver)</t>
        </is>
      </c>
      <c r="C22" s="4" t="n">
        <v>0.41</v>
      </c>
      <c r="D22" s="4" t="n">
        <v>0.39</v>
      </c>
      <c r="E22" s="4" t="n">
        <v>0.37</v>
      </c>
      <c r="F22" s="4" t="n">
        <v>0.36</v>
      </c>
      <c r="G22" s="4" t="n">
        <v>0.34</v>
      </c>
      <c r="H22" s="4" t="n">
        <v>0.32</v>
      </c>
      <c r="I22" s="4" t="n">
        <v>0.305</v>
      </c>
      <c r="J22" s="4" t="n">
        <v>0.29</v>
      </c>
      <c r="K22" s="4" t="n">
        <v>0.28</v>
      </c>
      <c r="L22" s="4" t="n">
        <v>0.27</v>
      </c>
    </row>
    <row r="23">
      <c r="A23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 FCF margin</t>
        </is>
      </c>
      <c r="B24">
        <f>B19/B6</f>
        <v/>
      </c>
      <c r="C24">
        <f>C19/C6</f>
        <v/>
      </c>
      <c r="D24">
        <f>D19/D6</f>
        <v/>
      </c>
      <c r="E24">
        <f>E19/E6</f>
        <v/>
      </c>
      <c r="F24">
        <f>F19/F6</f>
        <v/>
      </c>
      <c r="G24">
        <f>G19/G6</f>
        <v/>
      </c>
      <c r="H24">
        <f>H19/H6</f>
        <v/>
      </c>
      <c r="I24">
        <f>I19/I6</f>
        <v/>
      </c>
      <c r="J24">
        <f>J19/J6</f>
        <v/>
      </c>
      <c r="K24">
        <f>K19/K6</f>
        <v/>
      </c>
      <c r="L24">
        <f>L19/L6</f>
        <v/>
      </c>
    </row>
    <row r="25"/>
    <row r="26">
      <c r="A26" t="inlineStr">
        <is>
          <t>Sum of PV (FY27-FY36)</t>
        </is>
      </c>
      <c r="B26">
        <f>SUM(C21:L21)</f>
        <v/>
      </c>
    </row>
    <row r="27">
      <c r="A27" t="inlineStr">
        <is>
          <t>Terminal growth</t>
        </is>
      </c>
      <c r="B27" s="3">
        <f>Assumptions!$B$21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terminal value</t>
        </is>
      </c>
      <c r="B29">
        <f>IF(Assumptions!$B$3&gt;B27,B28/(Assumptions!$B$3-B27),"n/a")</f>
        <v/>
      </c>
    </row>
    <row r="30">
      <c r="A30" t="inlineStr">
        <is>
          <t>Cap terminal value</t>
        </is>
      </c>
      <c r="B30">
        <f>Assumptions!$B$9*L19</f>
        <v/>
      </c>
    </row>
    <row r="31">
      <c r="A31" t="inlineStr">
        <is>
          <t>Terminal value used</t>
        </is>
      </c>
      <c r="B31">
        <f>MAX(0,MIN(B29,B30))</f>
        <v/>
      </c>
    </row>
    <row r="32">
      <c r="A32" t="inlineStr">
        <is>
          <t>Implied exit multiple (x FCF)</t>
        </is>
      </c>
      <c r="B32">
        <f>IF(L19&lt;&gt;0,B31/L19,"n/a")</f>
        <v/>
      </c>
    </row>
    <row r="33">
      <c r="A33" t="inlineStr">
        <is>
          <t>PV of terminal value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 (bridge)</t>
        </is>
      </c>
      <c r="B35" s="3">
        <f>-Assumptions!$B$6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3">
        <f>Assumptions!$B$7</f>
        <v/>
      </c>
    </row>
    <row r="38">
      <c r="A38" t="inlineStr">
        <is>
          <t>Value per share (NZD)</t>
        </is>
      </c>
      <c r="B38" s="5">
        <f>B36/B37</f>
        <v/>
      </c>
    </row>
    <row r="39">
      <c r="A39" t="inlineStr">
        <is>
          <t>Upside vs price</t>
        </is>
      </c>
      <c r="B39">
        <f>B38/Assumptions!$B$8-1</f>
        <v/>
      </c>
    </row>
    <row r="40">
      <c r="A40" t="inlineStr">
        <is>
          <t>Terminal % of EV</t>
        </is>
      </c>
      <c r="B40">
        <f>B33/B34</f>
        <v/>
      </c>
    </row>
    <row r="41">
      <c r="A41" t="inlineStr">
        <is>
          <t>Street: PV of explicit SBC</t>
        </is>
      </c>
      <c r="B41">
        <f>SUMPRODUCT(-C10:L10/(1+Assumptions!$B$3)^C4:L4)</f>
        <v/>
      </c>
    </row>
    <row r="42">
      <c r="A42" t="inlineStr">
        <is>
          <t>Street: PV of terminal SBC</t>
        </is>
      </c>
      <c r="B42">
        <f>IF(Assumptions!$B$3&gt;B27,(-L10*(1+B27)/(Assumptions!$B$3-B27))*L20,0)</f>
        <v/>
      </c>
    </row>
    <row r="43">
      <c r="A43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DCF_Bull - NZD millions - drivers in blue on rows 5, 7, 9, 14, 22</t>
        </is>
      </c>
    </row>
    <row r="2"/>
    <row r="3">
      <c r="A3" t="inlineStr">
        <is>
          <t>Year</t>
        </is>
      </c>
      <c r="B3" t="inlineStr">
        <is>
          <t>2026A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  <c r="G3" t="inlineStr">
        <is>
          <t>2031E</t>
        </is>
      </c>
      <c r="H3" t="inlineStr">
        <is>
          <t>2032E</t>
        </is>
      </c>
      <c r="I3" t="inlineStr">
        <is>
          <t>2033E</t>
        </is>
      </c>
      <c r="J3" t="inlineStr">
        <is>
          <t>2034E</t>
        </is>
      </c>
      <c r="K3" t="inlineStr">
        <is>
          <t>2035E</t>
        </is>
      </c>
      <c r="L3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4" t="n">
        <v>0.095</v>
      </c>
      <c r="D5" s="4" t="n">
        <v>0</v>
      </c>
      <c r="E5" s="4" t="n">
        <v>0.06</v>
      </c>
      <c r="F5" s="4" t="n">
        <v>0.06</v>
      </c>
      <c r="G5" s="4" t="n">
        <v>0.12</v>
      </c>
      <c r="H5" s="4" t="n">
        <v>0.065</v>
      </c>
      <c r="I5" s="4" t="n">
        <v>0.06</v>
      </c>
      <c r="J5" s="4" t="n">
        <v>0.055</v>
      </c>
      <c r="K5" s="4" t="n">
        <v>0.05</v>
      </c>
      <c r="L5" s="4" t="n">
        <v>0.045</v>
      </c>
    </row>
    <row r="6">
      <c r="A6" t="inlineStr">
        <is>
          <t>Revenue (ex contributions)</t>
        </is>
      </c>
      <c r="B6" s="3">
        <f>Assumptions!B16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B7">
        <f>B8/B6</f>
        <v/>
      </c>
      <c r="C7" s="4" t="n">
        <v>0.505</v>
      </c>
      <c r="D7" s="4" t="n">
        <v>0.485</v>
      </c>
      <c r="E7" s="4" t="n">
        <v>0.49</v>
      </c>
      <c r="F7" s="4" t="n">
        <v>0.495</v>
      </c>
      <c r="G7" s="4" t="n">
        <v>0.5</v>
      </c>
      <c r="H7" s="4" t="n">
        <v>0.5</v>
      </c>
      <c r="I7" s="4" t="n">
        <v>0.5</v>
      </c>
      <c r="J7" s="4" t="n">
        <v>0.5</v>
      </c>
      <c r="K7" s="4" t="n">
        <v>0.5</v>
      </c>
      <c r="L7" s="4" t="n">
        <v>0.5</v>
      </c>
    </row>
    <row r="8">
      <c r="A8" t="inlineStr">
        <is>
          <t>Adjusted EBITDA</t>
        </is>
      </c>
      <c r="B8" s="2" t="n">
        <v>482.2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B12" s="2" t="n">
        <v>-233</v>
      </c>
      <c r="C12" s="3">
        <f>-C6*Assumptions!$B$4</f>
        <v/>
      </c>
      <c r="D12" s="3">
        <f>-D6*Assumptions!$B$4</f>
        <v/>
      </c>
      <c r="E12" s="3">
        <f>-E6*Assumptions!$B$4</f>
        <v/>
      </c>
      <c r="F12" s="3">
        <f>-F6*Assumptions!$B$4</f>
        <v/>
      </c>
      <c r="G12" s="3">
        <f>-G6*Assumptions!$B$4</f>
        <v/>
      </c>
      <c r="H12" s="3">
        <f>-H6*Assumptions!$B$4</f>
        <v/>
      </c>
      <c r="I12" s="3">
        <f>-I6*Assumptions!$B$4</f>
        <v/>
      </c>
      <c r="J12" s="3">
        <f>-J6*Assumptions!$B$4</f>
        <v/>
      </c>
      <c r="K12" s="3">
        <f>-K6*Assumptions!$B$4</f>
        <v/>
      </c>
      <c r="L12" s="3">
        <f>-L6*Assumptions!$B$4</f>
        <v/>
      </c>
    </row>
    <row r="13">
      <c r="A13" t="inlineStr">
        <is>
          <t>EBIT</t>
        </is>
      </c>
      <c r="B13">
        <f>B8+B12</f>
        <v/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B14" s="2" t="n">
        <v>0.28</v>
      </c>
      <c r="C14" s="2" t="n">
        <v>0.28</v>
      </c>
      <c r="D14" s="2" t="n">
        <v>0.28</v>
      </c>
      <c r="E14" s="2" t="n">
        <v>0.28</v>
      </c>
      <c r="F14" s="2" t="n">
        <v>0.28</v>
      </c>
      <c r="G14" s="2" t="n">
        <v>0.28</v>
      </c>
      <c r="H14" s="2" t="n">
        <v>0.28</v>
      </c>
      <c r="I14" s="2" t="n">
        <v>0.28</v>
      </c>
      <c r="J14" s="2" t="n">
        <v>0.28</v>
      </c>
      <c r="K14" s="2" t="n">
        <v>0.28</v>
      </c>
      <c r="L14" s="2" t="n">
        <v>0.28</v>
      </c>
    </row>
    <row r="15">
      <c r="A15" t="inlineStr">
        <is>
          <t>NOPAT</t>
        </is>
      </c>
      <c r="B15">
        <f>B13-MAX(0,B13)*B14</f>
        <v/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B16">
        <f>-B12</f>
        <v/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net capex</t>
        </is>
      </c>
      <c r="B17" s="2" t="n">
        <v>-339.8</v>
      </c>
      <c r="C17">
        <f>-C6*C22</f>
        <v/>
      </c>
      <c r="D17">
        <f>-D6*D22</f>
        <v/>
      </c>
      <c r="E17">
        <f>-E6*E22</f>
        <v/>
      </c>
      <c r="F17">
        <f>-F6*F22</f>
        <v/>
      </c>
      <c r="G17">
        <f>-G6*G22</f>
        <v/>
      </c>
      <c r="H17">
        <f>-H6*H22</f>
        <v/>
      </c>
      <c r="I17">
        <f>-I6*I22</f>
        <v/>
      </c>
      <c r="J17">
        <f>-J6*J22</f>
        <v/>
      </c>
      <c r="K17">
        <f>-K6*K22</f>
        <v/>
      </c>
      <c r="L17">
        <f>-L6*L22</f>
        <v/>
      </c>
    </row>
    <row r="18">
      <c r="A18" t="inlineStr">
        <is>
          <t>add working capital</t>
        </is>
      </c>
      <c r="C18" s="3">
        <f>Assumptions!$B$5*(C6-B6)</f>
        <v/>
      </c>
      <c r="D18" s="3">
        <f>Assumptions!$B$5*(D6-C6)</f>
        <v/>
      </c>
      <c r="E18" s="3">
        <f>Assumptions!$B$5*(E6-D6)</f>
        <v/>
      </c>
      <c r="F18" s="3">
        <f>Assumptions!$B$5*(F6-E6)</f>
        <v/>
      </c>
      <c r="G18" s="3">
        <f>Assumptions!$B$5*(G6-F6)</f>
        <v/>
      </c>
      <c r="H18" s="3">
        <f>Assumptions!$B$5*(H6-G6)</f>
        <v/>
      </c>
      <c r="I18" s="3">
        <f>Assumptions!$B$5*(I6-H6)</f>
        <v/>
      </c>
      <c r="J18" s="3">
        <f>Assumptions!$B$5*(J6-I6)</f>
        <v/>
      </c>
      <c r="K18" s="3">
        <f>Assumptions!$B$5*(K6-J6)</f>
        <v/>
      </c>
      <c r="L18" s="3">
        <f>Assumptions!$B$5*(L6-K6)</f>
        <v/>
      </c>
    </row>
    <row r="19">
      <c r="A19" t="inlineStr">
        <is>
          <t>Unlevered owner FCF</t>
        </is>
      </c>
      <c r="B19">
        <f>B15+B16+B17</f>
        <v/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 s="3">
        <f>1/(1+Assumptions!$B$3)^C4</f>
        <v/>
      </c>
      <c r="D20" s="3">
        <f>1/(1+Assumptions!$B$3)^D4</f>
        <v/>
      </c>
      <c r="E20" s="3">
        <f>1/(1+Assumptions!$B$3)^E4</f>
        <v/>
      </c>
      <c r="F20" s="3">
        <f>1/(1+Assumptions!$B$3)^F4</f>
        <v/>
      </c>
      <c r="G20" s="3">
        <f>1/(1+Assumptions!$B$3)^G4</f>
        <v/>
      </c>
      <c r="H20" s="3">
        <f>1/(1+Assumptions!$B$3)^H4</f>
        <v/>
      </c>
      <c r="I20" s="3">
        <f>1/(1+Assumptions!$B$3)^I4</f>
        <v/>
      </c>
      <c r="J20" s="3">
        <f>1/(1+Assumptions!$B$3)^J4</f>
        <v/>
      </c>
      <c r="K20" s="3">
        <f>1/(1+Assumptions!$B$3)^K4</f>
        <v/>
      </c>
      <c r="L20" s="3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Net capex % revenue (driver)</t>
        </is>
      </c>
      <c r="C22" s="4" t="n">
        <v>0.41</v>
      </c>
      <c r="D22" s="4" t="n">
        <v>0.39</v>
      </c>
      <c r="E22" s="4" t="n">
        <v>0.37</v>
      </c>
      <c r="F22" s="4" t="n">
        <v>0.35</v>
      </c>
      <c r="G22" s="4" t="n">
        <v>0.33</v>
      </c>
      <c r="H22" s="4" t="n">
        <v>0.31</v>
      </c>
      <c r="I22" s="4" t="n">
        <v>0.295</v>
      </c>
      <c r="J22" s="4" t="n">
        <v>0.28</v>
      </c>
      <c r="K22" s="4" t="n">
        <v>0.27</v>
      </c>
      <c r="L22" s="4" t="n">
        <v>0.26</v>
      </c>
    </row>
    <row r="23">
      <c r="A23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 FCF margin</t>
        </is>
      </c>
      <c r="B24">
        <f>B19/B6</f>
        <v/>
      </c>
      <c r="C24">
        <f>C19/C6</f>
        <v/>
      </c>
      <c r="D24">
        <f>D19/D6</f>
        <v/>
      </c>
      <c r="E24">
        <f>E19/E6</f>
        <v/>
      </c>
      <c r="F24">
        <f>F19/F6</f>
        <v/>
      </c>
      <c r="G24">
        <f>G19/G6</f>
        <v/>
      </c>
      <c r="H24">
        <f>H19/H6</f>
        <v/>
      </c>
      <c r="I24">
        <f>I19/I6</f>
        <v/>
      </c>
      <c r="J24">
        <f>J19/J6</f>
        <v/>
      </c>
      <c r="K24">
        <f>K19/K6</f>
        <v/>
      </c>
      <c r="L24">
        <f>L19/L6</f>
        <v/>
      </c>
    </row>
    <row r="25"/>
    <row r="26">
      <c r="A26" t="inlineStr">
        <is>
          <t>Sum of PV (FY27-FY36)</t>
        </is>
      </c>
      <c r="B26">
        <f>SUM(C21:L21)</f>
        <v/>
      </c>
    </row>
    <row r="27">
      <c r="A27" t="inlineStr">
        <is>
          <t>Terminal growth</t>
        </is>
      </c>
      <c r="B27" s="3">
        <f>Assumptions!$B$22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terminal value</t>
        </is>
      </c>
      <c r="B29">
        <f>IF(Assumptions!$B$3&gt;B27,B28/(Assumptions!$B$3-B27),"n/a")</f>
        <v/>
      </c>
    </row>
    <row r="30">
      <c r="A30" t="inlineStr">
        <is>
          <t>Cap terminal value</t>
        </is>
      </c>
      <c r="B30">
        <f>Assumptions!$B$9*L19</f>
        <v/>
      </c>
    </row>
    <row r="31">
      <c r="A31" t="inlineStr">
        <is>
          <t>Terminal value used</t>
        </is>
      </c>
      <c r="B31">
        <f>MAX(0,MIN(B29,B30))</f>
        <v/>
      </c>
    </row>
    <row r="32">
      <c r="A32" t="inlineStr">
        <is>
          <t>Implied exit multiple (x FCF)</t>
        </is>
      </c>
      <c r="B32">
        <f>IF(L19&lt;&gt;0,B31/L19,"n/a")</f>
        <v/>
      </c>
    </row>
    <row r="33">
      <c r="A33" t="inlineStr">
        <is>
          <t>PV of terminal value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 (bridge)</t>
        </is>
      </c>
      <c r="B35" s="3">
        <f>-Assumptions!$B$6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3">
        <f>Assumptions!$B$7</f>
        <v/>
      </c>
    </row>
    <row r="38">
      <c r="A38" t="inlineStr">
        <is>
          <t>Value per share (NZD)</t>
        </is>
      </c>
      <c r="B38" s="5">
        <f>B36/B37</f>
        <v/>
      </c>
    </row>
    <row r="39">
      <c r="A39" t="inlineStr">
        <is>
          <t>Upside vs price</t>
        </is>
      </c>
      <c r="B39">
        <f>B38/Assumptions!$B$8-1</f>
        <v/>
      </c>
    </row>
    <row r="40">
      <c r="A40" t="inlineStr">
        <is>
          <t>Terminal % of EV</t>
        </is>
      </c>
      <c r="B40">
        <f>B33/B34</f>
        <v/>
      </c>
    </row>
    <row r="41">
      <c r="A41" t="inlineStr">
        <is>
          <t>Street: PV of explicit SBC</t>
        </is>
      </c>
      <c r="B41">
        <f>SUMPRODUCT(-C10:L10/(1+Assumptions!$B$3)^C4:L4)</f>
        <v/>
      </c>
    </row>
    <row r="42">
      <c r="A42" t="inlineStr">
        <is>
          <t>Street: PV of terminal SBC</t>
        </is>
      </c>
      <c r="B42">
        <f>IF(Assumptions!$B$3&gt;B27,(-L10*(1+B27)/(Assumptions!$B$3-B27))*L20,0)</f>
        <v/>
      </c>
    </row>
    <row r="43">
      <c r="A43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Reported FCF reconciled to unlevered owner FCF, continuing operations, NZD millions</t>
        </is>
      </c>
    </row>
    <row r="2"/>
    <row r="3">
      <c r="B3" s="1" t="inlineStr">
        <is>
          <t>FY2022</t>
        </is>
      </c>
      <c r="C3" s="1" t="inlineStr">
        <is>
          <t>FY2023</t>
        </is>
      </c>
      <c r="D3" s="1" t="inlineStr">
        <is>
          <t>FY2024</t>
        </is>
      </c>
      <c r="E3" s="1" t="inlineStr">
        <is>
          <t>FY2025</t>
        </is>
      </c>
      <c r="F3" s="1" t="inlineStr">
        <is>
          <t>FY2026</t>
        </is>
      </c>
    </row>
    <row r="4">
      <c r="A4" t="inlineStr">
        <is>
          <t>Adjusted EBITDA</t>
        </is>
      </c>
      <c r="B4">
        <f>Actuals!C7</f>
        <v/>
      </c>
      <c r="C4">
        <f>Actuals!D7</f>
        <v/>
      </c>
      <c r="D4">
        <f>Actuals!E7</f>
        <v/>
      </c>
      <c r="E4">
        <f>Actuals!F7</f>
        <v/>
      </c>
      <c r="F4">
        <f>Actuals!G7</f>
        <v/>
      </c>
    </row>
    <row r="5">
      <c r="A5" t="inlineStr">
        <is>
          <t>less tax at 28% on adj EBIT</t>
        </is>
      </c>
      <c r="B5">
        <f>-0.28*Actuals!C9</f>
        <v/>
      </c>
      <c r="C5">
        <f>-0.28*Actuals!D9</f>
        <v/>
      </c>
      <c r="D5">
        <f>-0.28*Actuals!E9</f>
        <v/>
      </c>
      <c r="E5">
        <f>-0.28*Actuals!F9</f>
        <v/>
      </c>
      <c r="F5">
        <f>-0.28*Actuals!G9</f>
        <v/>
      </c>
    </row>
    <row r="6">
      <c r="A6" t="inlineStr">
        <is>
          <t>less net capex (gross less contributions)</t>
        </is>
      </c>
      <c r="B6">
        <f>-Actuals!C12</f>
        <v/>
      </c>
      <c r="C6">
        <f>-Actuals!D12</f>
        <v/>
      </c>
      <c r="D6">
        <f>-Actuals!E12</f>
        <v/>
      </c>
      <c r="E6">
        <f>-Actuals!F12</f>
        <v/>
      </c>
      <c r="F6">
        <f>-Actuals!G12</f>
        <v/>
      </c>
    </row>
    <row r="7">
      <c r="A7" t="inlineStr">
        <is>
          <t>Unlevered owner FCF</t>
        </is>
      </c>
      <c r="B7">
        <f>C4+C5+C6</f>
        <v/>
      </c>
      <c r="C7">
        <f>D4+D5+D6</f>
        <v/>
      </c>
      <c r="D7">
        <f>E4+E5+E6</f>
        <v/>
      </c>
      <c r="E7">
        <f>F4+F5+F6</f>
        <v/>
      </c>
      <c r="F7">
        <f>G4+G5+G6</f>
        <v/>
      </c>
    </row>
    <row r="8">
      <c r="A8" t="inlineStr">
        <is>
          <t>Owner FCF margin (on revenue ex-contributions)</t>
        </is>
      </c>
      <c r="B8">
        <f>C7/Actuals!C6</f>
        <v/>
      </c>
      <c r="C8">
        <f>D7/Actuals!D6</f>
        <v/>
      </c>
      <c r="D8">
        <f>E7/Actuals!E6</f>
        <v/>
      </c>
      <c r="E8">
        <f>F7/Actuals!F6</f>
        <v/>
      </c>
      <c r="F8">
        <f>G7/Actuals!G6</f>
        <v/>
      </c>
    </row>
    <row r="9"/>
    <row r="10">
      <c r="A10" t="inlineStr">
        <is>
          <t>Memo: reported FCF (OCF less cash capex, levered)</t>
        </is>
      </c>
      <c r="B10">
        <f>Actuals!C13-Actuals!C14</f>
        <v/>
      </c>
      <c r="C10">
        <f>Actuals!D13-Actuals!D14</f>
        <v/>
      </c>
      <c r="D10">
        <f>Actuals!E13-Actuals!E14</f>
        <v/>
      </c>
      <c r="E10">
        <f>Actuals!F13-Actuals!F14</f>
        <v/>
      </c>
      <c r="F10">
        <f>Actuals!G13-Actuals!G14</f>
        <v/>
      </c>
    </row>
    <row r="11">
      <c r="A11" t="inlineStr">
        <is>
          <t>Memo: cash tax paid</t>
        </is>
      </c>
      <c r="B11">
        <f>Actuals!C18</f>
        <v/>
      </c>
      <c r="C11">
        <f>Actuals!D18</f>
        <v/>
      </c>
      <c r="D11">
        <f>Actuals!E18</f>
        <v/>
      </c>
      <c r="E11">
        <f>Actuals!F18</f>
        <v/>
      </c>
      <c r="F11">
        <f>Actuals!G18</f>
        <v/>
      </c>
    </row>
    <row r="12">
      <c r="A12" t="inlineStr">
        <is>
          <t>Memo: cash tax paid / adj EBIT (abnormal: prepaid tax asset)</t>
        </is>
      </c>
      <c r="B12">
        <f>Actuals!C18/Actuals!C9</f>
        <v/>
      </c>
      <c r="C12">
        <f>Actuals!D18/Actuals!D9</f>
        <v/>
      </c>
      <c r="D12">
        <f>Actuals!E18/Actuals!E9</f>
        <v/>
      </c>
      <c r="E12">
        <f>Actuals!F18/Actuals!F9</f>
        <v/>
      </c>
      <c r="F12">
        <f>Actuals!G18/Actuals!G9</f>
        <v/>
      </c>
    </row>
    <row r="13">
      <c r="A13" t="inlineStr">
        <is>
          <t>Memo: dividends paid / owner FCF</t>
        </is>
      </c>
      <c r="B13">
        <f>IF(C7&gt;0,Actuals!C15/C7,"n/a")</f>
        <v/>
      </c>
      <c r="C13">
        <f>IF(D7&gt;0,Actuals!D15/D7,"n/a")</f>
        <v/>
      </c>
      <c r="D13">
        <f>IF(E7&gt;0,Actuals!E15/E7,"n/a")</f>
        <v/>
      </c>
      <c r="E13">
        <f>IF(F7&gt;0,Actuals!F15/F7,"n/a")</f>
        <v/>
      </c>
      <c r="F13">
        <f>IF(G7&gt;0,Actuals!G15/G7,"n/a")</f>
        <v/>
      </c>
    </row>
    <row r="14">
      <c r="A14" t="inlineStr">
        <is>
          <t>Memo: SBC (nil)</t>
        </is>
      </c>
      <c r="B14">
        <f>0</f>
        <v/>
      </c>
      <c r="C14">
        <f>0</f>
        <v/>
      </c>
      <c r="D14">
        <f>0</f>
        <v/>
      </c>
      <c r="E14">
        <f>0</f>
        <v/>
      </c>
      <c r="F14">
        <f>0</f>
        <v/>
      </c>
    </row>
    <row r="15">
      <c r="A15" t="inlineStr">
        <is>
          <t>Memo: interest income (excluded, adj EBITDA is pre-interest)</t>
        </is>
      </c>
      <c r="B15">
        <f>0</f>
        <v/>
      </c>
      <c r="C15">
        <f>0</f>
        <v/>
      </c>
      <c r="D15">
        <f>0</f>
        <v/>
      </c>
      <c r="E15">
        <f>0</f>
        <v/>
      </c>
      <c r="F15">
        <f>0</f>
        <v/>
      </c>
    </row>
    <row r="16"/>
    <row r="17">
      <c r="A17" t="inlineStr">
        <is>
          <t>FY22-FY24 reported FCF rows include since-sold gas trading/metering cash flows; the owner FCF rows use continuing-ops adjusted EBITDA and deck capex.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Valuation summary (NZD per share)</t>
        </is>
      </c>
    </row>
    <row r="2"/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</t>
        </is>
      </c>
      <c r="D3" s="1" t="inlineStr">
        <is>
          <t>Probability</t>
        </is>
      </c>
      <c r="E3" s="1" t="inlineStr">
        <is>
          <t>Street value/share</t>
        </is>
      </c>
      <c r="F3" s="1" t="inlineStr">
        <is>
          <t>Entry price @15% (unfloored)</t>
        </is>
      </c>
    </row>
    <row r="4">
      <c r="A4" t="inlineStr">
        <is>
          <t>bear</t>
        </is>
      </c>
      <c r="B4" s="3">
        <f>DCF_Bear!$B$38</f>
        <v/>
      </c>
      <c r="C4">
        <f>B4/Assumptions!$B$8-1</f>
        <v/>
      </c>
      <c r="D4" s="3">
        <f>Assumptions!$C$20</f>
        <v/>
      </c>
      <c r="E4" s="3">
        <f>DCF_Bear!$B$43</f>
        <v/>
      </c>
      <c r="F4">
        <f>(SUMPRODUCT(DCF_Bear!$C$19:$L$19/(1+Assumptions!$B$10)^DCF_Bear!$C$4:$L$4)+MAX(0,MIN(DCF_Bear!$L$19*(1+Assumptions!$B$20)/(Assumptions!$B$10-Assumptions!$B$20),Assumptions!$B$9*DCF_Bear!$L$19))/(1+Assumptions!$B$10)^10-Assumptions!$B$6)/Assumptions!$B$7</f>
        <v/>
      </c>
    </row>
    <row r="5">
      <c r="A5" t="inlineStr">
        <is>
          <t>base</t>
        </is>
      </c>
      <c r="B5" s="3">
        <f>DCF_Base!$B$38</f>
        <v/>
      </c>
      <c r="C5">
        <f>B5/Assumptions!$B$8-1</f>
        <v/>
      </c>
      <c r="D5" s="3">
        <f>Assumptions!$C$21</f>
        <v/>
      </c>
      <c r="E5" s="3">
        <f>DCF_Base!$B$43</f>
        <v/>
      </c>
      <c r="F5">
        <f>(SUMPRODUCT(DCF_Base!$C$19:$L$19/(1+Assumptions!$B$10)^DCF_Base!$C$4:$L$4)+MAX(0,MIN(DCF_Base!$L$19*(1+Assumptions!$B$21)/(Assumptions!$B$10-Assumptions!$B$21),Assumptions!$B$9*DCF_Base!$L$19))/(1+Assumptions!$B$10)^10-Assumptions!$B$6)/Assumptions!$B$7</f>
        <v/>
      </c>
    </row>
    <row r="6">
      <c r="A6" t="inlineStr">
        <is>
          <t>bull</t>
        </is>
      </c>
      <c r="B6" s="3">
        <f>DCF_Bull!$B$38</f>
        <v/>
      </c>
      <c r="C6">
        <f>B6/Assumptions!$B$8-1</f>
        <v/>
      </c>
      <c r="D6" s="3">
        <f>Assumptions!$C$22</f>
        <v/>
      </c>
      <c r="E6" s="3">
        <f>DCF_Bull!$B$43</f>
        <v/>
      </c>
      <c r="F6">
        <f>(SUMPRODUCT(DCF_Bull!$C$19:$L$19/(1+Assumptions!$B$10)^DCF_Bull!$C$4:$L$4)+MAX(0,MIN(DCF_Bull!$L$19*(1+Assumptions!$B$22)/(Assumptions!$B$10-Assumptions!$B$22),Assumptions!$B$9*DCF_Bull!$L$19))/(1+Assumptions!$B$10)^10-Assumptions!$B$6)/Assumptions!$B$7</f>
        <v/>
      </c>
    </row>
    <row r="7"/>
    <row r="8">
      <c r="A8" t="inlineStr">
        <is>
          <t>Probability-weighted value</t>
        </is>
      </c>
      <c r="B8" s="5">
        <f>SUMPRODUCT(B4:B6,D4:D6)</f>
        <v/>
      </c>
    </row>
    <row r="9">
      <c r="A9" t="inlineStr">
        <is>
          <t>Margin of safety vs price</t>
        </is>
      </c>
      <c r="B9">
        <f>1-Assumptions!$B$8/B8</f>
        <v/>
      </c>
    </row>
    <row r="10">
      <c r="A10" t="inlineStr">
        <is>
          <t>Street weighted value</t>
        </is>
      </c>
      <c r="B10">
        <f>SUMPRODUCT(E4:E6,D4:D6)</f>
        <v/>
      </c>
    </row>
    <row r="11">
      <c r="A11" t="inlineStr">
        <is>
          <t>Band position (n/a: SBC nil, house = street)</t>
        </is>
      </c>
      <c r="B11">
        <f>IF(ABS(B10-B8)&lt;0.005,"n/a",(Assumptions!$B$8-B8)/(B10-B8))</f>
        <v/>
      </c>
    </row>
    <row r="12">
      <c r="A12" t="inlineStr">
        <is>
          <t>Weighted entry price @15% (unfloored; negative = no price meets hurdle)</t>
        </is>
      </c>
      <c r="B12">
        <f>SUMPRODUCT(F4:F6,D4:D6)</f>
        <v/>
      </c>
    </row>
    <row r="13">
      <c r="A13" t="inlineStr">
        <is>
          <t>Weighted entry price @15% floored at 0</t>
        </is>
      </c>
      <c r="B13">
        <f>MAX(0,B12)</f>
        <v/>
      </c>
    </row>
    <row r="14"/>
    <row r="15">
      <c r="A15" s="1" t="inlineStr">
        <is>
          <t>Required-return table (base case; terminal value rebuilt at each rate)</t>
        </is>
      </c>
    </row>
    <row r="16">
      <c r="A16" t="inlineStr">
        <is>
          <t>Required return</t>
        </is>
      </c>
      <c r="B16" t="inlineStr">
        <is>
          <t>Value/share</t>
        </is>
      </c>
    </row>
    <row r="17">
      <c r="A17" s="2" t="n">
        <v>0.0675</v>
      </c>
      <c r="B17">
        <f>(SUMPRODUCT(DCF_Base!$C$19:$L$19/(1+$A$17)^DCF_Base!$C$4:$L$4)+MAX(0,MIN(DCF_Base!$L$19*(1+Assumptions!$B$21)/($A$17-Assumptions!$B$21),Assumptions!$B$9*DCF_Base!$L$19))/(1+$A$17)^10-Assumptions!$B$6)/Assumptions!$B$7</f>
        <v/>
      </c>
      <c r="C17" t="inlineStr">
        <is>
          <t>Model WACC row: must equal DCF_Base!B38</t>
        </is>
      </c>
    </row>
    <row r="18">
      <c r="A18" s="2" t="n">
        <v>0.09</v>
      </c>
      <c r="B18">
        <f>(SUMPRODUCT(DCF_Base!$C$19:$L$19/(1+$A$18)^DCF_Base!$C$4:$L$4)+MAX(0,MIN(DCF_Base!$L$19*(1+Assumptions!$B$21)/($A$18-Assumptions!$B$21),Assumptions!$B$9*DCF_Base!$L$19))/(1+$A$18)^10-Assumptions!$B$6)/Assumptions!$B$7</f>
        <v/>
      </c>
    </row>
    <row r="19">
      <c r="A19" s="2" t="n">
        <v>0.1</v>
      </c>
      <c r="B19">
        <f>(SUMPRODUCT(DCF_Base!$C$19:$L$19/(1+$A$19)^DCF_Base!$C$4:$L$4)+MAX(0,MIN(DCF_Base!$L$19*(1+Assumptions!$B$21)/($A$19-Assumptions!$B$21),Assumptions!$B$9*DCF_Base!$L$19))/(1+$A$19)^10-Assumptions!$B$6)/Assumptions!$B$7</f>
        <v/>
      </c>
    </row>
    <row r="20">
      <c r="A20" s="2" t="n">
        <v>0.11</v>
      </c>
      <c r="B20">
        <f>(SUMPRODUCT(DCF_Base!$C$19:$L$19/(1+$A$20)^DCF_Base!$C$4:$L$4)+MAX(0,MIN(DCF_Base!$L$19*(1+Assumptions!$B$21)/($A$20-Assumptions!$B$21),Assumptions!$B$9*DCF_Base!$L$19))/(1+$A$20)^10-Assumptions!$B$6)/Assumptions!$B$7</f>
        <v/>
      </c>
    </row>
    <row r="21">
      <c r="A21" s="2" t="n">
        <v>0.12</v>
      </c>
      <c r="B21">
        <f>(SUMPRODUCT(DCF_Base!$C$19:$L$19/(1+$A$21)^DCF_Base!$C$4:$L$4)+MAX(0,MIN(DCF_Base!$L$19*(1+Assumptions!$B$21)/($A$21-Assumptions!$B$21),Assumptions!$B$9*DCF_Base!$L$19))/(1+$A$21)^10-Assumptions!$B$6)/Assumptions!$B$7</f>
        <v/>
      </c>
    </row>
    <row r="22">
      <c r="A22" s="2" t="n">
        <v>0.15</v>
      </c>
      <c r="B22">
        <f>(SUMPRODUCT(DCF_Base!$C$19:$L$19/(1+$A$22)^DCF_Base!$C$4:$L$4)+MAX(0,MIN(DCF_Base!$L$19*(1+Assumptions!$B$21)/($A$22-Assumptions!$B$21),Assumptions!$B$9*DCF_Base!$L$19))/(1+$A$22)^10-Assumptions!$B$6)/Assumptions!$B$7</f>
        <v/>
      </c>
      <c r="C22" t="inlineStr">
        <is>
          <t>Hurdle row (15%): must equal the base entry price</t>
        </is>
      </c>
    </row>
    <row r="23"/>
    <row r="24"/>
    <row r="25">
      <c r="A25" s="1" t="inlineStr">
        <is>
          <t>Sensitivity: base value/share, WACC (rows) x terminal growth (columns)</t>
        </is>
      </c>
    </row>
    <row r="26">
      <c r="B26" s="2" t="n">
        <v>0.02</v>
      </c>
      <c r="C26" s="2" t="n">
        <v>0.025</v>
      </c>
      <c r="D26" s="2" t="n">
        <v>0.03</v>
      </c>
      <c r="E26" s="2" t="n">
        <v>0.035</v>
      </c>
      <c r="F26" s="2" t="n">
        <v>0.04</v>
      </c>
    </row>
    <row r="27">
      <c r="A27" s="2" t="n">
        <v>0.0575</v>
      </c>
      <c r="B27">
        <f>IF($A27&gt;B$26,(SUMPRODUCT(DCF_Base!$C$19:$L$19/(1+$A27)^DCF_Base!$C$4:$L$4)+MAX(0,MIN(DCF_Base!$L$19*(1+B$26)/($A27-B$26),Assumptions!$B$9*DCF_Base!$L$19))/(1+$A27)^10-Assumptions!$B$6)/Assumptions!$B$7,"n/a")</f>
        <v/>
      </c>
      <c r="C27">
        <f>IF($A27&gt;C$26,(SUMPRODUCT(DCF_Base!$C$19:$L$19/(1+$A27)^DCF_Base!$C$4:$L$4)+MAX(0,MIN(DCF_Base!$L$19*(1+C$26)/($A27-C$26),Assumptions!$B$9*DCF_Base!$L$19))/(1+$A27)^10-Assumptions!$B$6)/Assumptions!$B$7,"n/a")</f>
        <v/>
      </c>
      <c r="D27">
        <f>IF($A27&gt;D$26,(SUMPRODUCT(DCF_Base!$C$19:$L$19/(1+$A27)^DCF_Base!$C$4:$L$4)+MAX(0,MIN(DCF_Base!$L$19*(1+D$26)/($A27-D$26),Assumptions!$B$9*DCF_Base!$L$19))/(1+$A27)^10-Assumptions!$B$6)/Assumptions!$B$7,"n/a")</f>
        <v/>
      </c>
      <c r="E27">
        <f>IF($A27&gt;E$26,(SUMPRODUCT(DCF_Base!$C$19:$L$19/(1+$A27)^DCF_Base!$C$4:$L$4)+MAX(0,MIN(DCF_Base!$L$19*(1+E$26)/($A27-E$26),Assumptions!$B$9*DCF_Base!$L$19))/(1+$A27)^10-Assumptions!$B$6)/Assumptions!$B$7,"n/a")</f>
        <v/>
      </c>
      <c r="F27">
        <f>IF($A27&gt;F$26,(SUMPRODUCT(DCF_Base!$C$19:$L$19/(1+$A27)^DCF_Base!$C$4:$L$4)+MAX(0,MIN(DCF_Base!$L$19*(1+F$26)/($A27-F$26),Assumptions!$B$9*DCF_Base!$L$19))/(1+$A27)^10-Assumptions!$B$6)/Assumptions!$B$7,"n/a")</f>
        <v/>
      </c>
    </row>
    <row r="28">
      <c r="A28" s="2" t="n">
        <v>0.0625</v>
      </c>
      <c r="B28">
        <f>IF($A28&gt;B$26,(SUMPRODUCT(DCF_Base!$C$19:$L$19/(1+$A28)^DCF_Base!$C$4:$L$4)+MAX(0,MIN(DCF_Base!$L$19*(1+B$26)/($A28-B$26),Assumptions!$B$9*DCF_Base!$L$19))/(1+$A28)^10-Assumptions!$B$6)/Assumptions!$B$7,"n/a")</f>
        <v/>
      </c>
      <c r="C28">
        <f>IF($A28&gt;C$26,(SUMPRODUCT(DCF_Base!$C$19:$L$19/(1+$A28)^DCF_Base!$C$4:$L$4)+MAX(0,MIN(DCF_Base!$L$19*(1+C$26)/($A28-C$26),Assumptions!$B$9*DCF_Base!$L$19))/(1+$A28)^10-Assumptions!$B$6)/Assumptions!$B$7,"n/a")</f>
        <v/>
      </c>
      <c r="D28">
        <f>IF($A28&gt;D$26,(SUMPRODUCT(DCF_Base!$C$19:$L$19/(1+$A28)^DCF_Base!$C$4:$L$4)+MAX(0,MIN(DCF_Base!$L$19*(1+D$26)/($A28-D$26),Assumptions!$B$9*DCF_Base!$L$19))/(1+$A28)^10-Assumptions!$B$6)/Assumptions!$B$7,"n/a")</f>
        <v/>
      </c>
      <c r="E28">
        <f>IF($A28&gt;E$26,(SUMPRODUCT(DCF_Base!$C$19:$L$19/(1+$A28)^DCF_Base!$C$4:$L$4)+MAX(0,MIN(DCF_Base!$L$19*(1+E$26)/($A28-E$26),Assumptions!$B$9*DCF_Base!$L$19))/(1+$A28)^10-Assumptions!$B$6)/Assumptions!$B$7,"n/a")</f>
        <v/>
      </c>
      <c r="F28">
        <f>IF($A28&gt;F$26,(SUMPRODUCT(DCF_Base!$C$19:$L$19/(1+$A28)^DCF_Base!$C$4:$L$4)+MAX(0,MIN(DCF_Base!$L$19*(1+F$26)/($A28-F$26),Assumptions!$B$9*DCF_Base!$L$19))/(1+$A28)^10-Assumptions!$B$6)/Assumptions!$B$7,"n/a")</f>
        <v/>
      </c>
    </row>
    <row r="29">
      <c r="A29" s="2" t="n">
        <v>0.0675</v>
      </c>
      <c r="B29">
        <f>IF($A29&gt;B$26,(SUMPRODUCT(DCF_Base!$C$19:$L$19/(1+$A29)^DCF_Base!$C$4:$L$4)+MAX(0,MIN(DCF_Base!$L$19*(1+B$26)/($A29-B$26),Assumptions!$B$9*DCF_Base!$L$19))/(1+$A29)^10-Assumptions!$B$6)/Assumptions!$B$7,"n/a")</f>
        <v/>
      </c>
      <c r="C29">
        <f>IF($A29&gt;C$26,(SUMPRODUCT(DCF_Base!$C$19:$L$19/(1+$A29)^DCF_Base!$C$4:$L$4)+MAX(0,MIN(DCF_Base!$L$19*(1+C$26)/($A29-C$26),Assumptions!$B$9*DCF_Base!$L$19))/(1+$A29)^10-Assumptions!$B$6)/Assumptions!$B$7,"n/a")</f>
        <v/>
      </c>
      <c r="D29" s="6">
        <f>IF($A29&gt;D$26,(SUMPRODUCT(DCF_Base!$C$19:$L$19/(1+$A29)^DCF_Base!$C$4:$L$4)+MAX(0,MIN(DCF_Base!$L$19*(1+D$26)/($A29-D$26),Assumptions!$B$9*DCF_Base!$L$19))/(1+$A29)^10-Assumptions!$B$6)/Assumptions!$B$7,"n/a")</f>
        <v/>
      </c>
      <c r="E29">
        <f>IF($A29&gt;E$26,(SUMPRODUCT(DCF_Base!$C$19:$L$19/(1+$A29)^DCF_Base!$C$4:$L$4)+MAX(0,MIN(DCF_Base!$L$19*(1+E$26)/($A29-E$26),Assumptions!$B$9*DCF_Base!$L$19))/(1+$A29)^10-Assumptions!$B$6)/Assumptions!$B$7,"n/a")</f>
        <v/>
      </c>
      <c r="F29">
        <f>IF($A29&gt;F$26,(SUMPRODUCT(DCF_Base!$C$19:$L$19/(1+$A29)^DCF_Base!$C$4:$L$4)+MAX(0,MIN(DCF_Base!$L$19*(1+F$26)/($A29-F$26),Assumptions!$B$9*DCF_Base!$L$19))/(1+$A29)^10-Assumptions!$B$6)/Assumptions!$B$7,"n/a")</f>
        <v/>
      </c>
    </row>
    <row r="30">
      <c r="A30" s="2" t="n">
        <v>0.0725</v>
      </c>
      <c r="B30">
        <f>IF($A30&gt;B$26,(SUMPRODUCT(DCF_Base!$C$19:$L$19/(1+$A30)^DCF_Base!$C$4:$L$4)+MAX(0,MIN(DCF_Base!$L$19*(1+B$26)/($A30-B$26),Assumptions!$B$9*DCF_Base!$L$19))/(1+$A30)^10-Assumptions!$B$6)/Assumptions!$B$7,"n/a")</f>
        <v/>
      </c>
      <c r="C30">
        <f>IF($A30&gt;C$26,(SUMPRODUCT(DCF_Base!$C$19:$L$19/(1+$A30)^DCF_Base!$C$4:$L$4)+MAX(0,MIN(DCF_Base!$L$19*(1+C$26)/($A30-C$26),Assumptions!$B$9*DCF_Base!$L$19))/(1+$A30)^10-Assumptions!$B$6)/Assumptions!$B$7,"n/a")</f>
        <v/>
      </c>
      <c r="D30">
        <f>IF($A30&gt;D$26,(SUMPRODUCT(DCF_Base!$C$19:$L$19/(1+$A30)^DCF_Base!$C$4:$L$4)+MAX(0,MIN(DCF_Base!$L$19*(1+D$26)/($A30-D$26),Assumptions!$B$9*DCF_Base!$L$19))/(1+$A30)^10-Assumptions!$B$6)/Assumptions!$B$7,"n/a")</f>
        <v/>
      </c>
      <c r="E30">
        <f>IF($A30&gt;E$26,(SUMPRODUCT(DCF_Base!$C$19:$L$19/(1+$A30)^DCF_Base!$C$4:$L$4)+MAX(0,MIN(DCF_Base!$L$19*(1+E$26)/($A30-E$26),Assumptions!$B$9*DCF_Base!$L$19))/(1+$A30)^10-Assumptions!$B$6)/Assumptions!$B$7,"n/a")</f>
        <v/>
      </c>
      <c r="F30">
        <f>IF($A30&gt;F$26,(SUMPRODUCT(DCF_Base!$C$19:$L$19/(1+$A30)^DCF_Base!$C$4:$L$4)+MAX(0,MIN(DCF_Base!$L$19*(1+F$26)/($A30-F$26),Assumptions!$B$9*DCF_Base!$L$19))/(1+$A30)^10-Assumptions!$B$6)/Assumptions!$B$7,"n/a")</f>
        <v/>
      </c>
    </row>
    <row r="31">
      <c r="A31" s="2" t="n">
        <v>0.0775</v>
      </c>
      <c r="B31">
        <f>IF($A31&gt;B$26,(SUMPRODUCT(DCF_Base!$C$19:$L$19/(1+$A31)^DCF_Base!$C$4:$L$4)+MAX(0,MIN(DCF_Base!$L$19*(1+B$26)/($A31-B$26),Assumptions!$B$9*DCF_Base!$L$19))/(1+$A31)^10-Assumptions!$B$6)/Assumptions!$B$7,"n/a")</f>
        <v/>
      </c>
      <c r="C31">
        <f>IF($A31&gt;C$26,(SUMPRODUCT(DCF_Base!$C$19:$L$19/(1+$A31)^DCF_Base!$C$4:$L$4)+MAX(0,MIN(DCF_Base!$L$19*(1+C$26)/($A31-C$26),Assumptions!$B$9*DCF_Base!$L$19))/(1+$A31)^10-Assumptions!$B$6)/Assumptions!$B$7,"n/a")</f>
        <v/>
      </c>
      <c r="D31">
        <f>IF($A31&gt;D$26,(SUMPRODUCT(DCF_Base!$C$19:$L$19/(1+$A31)^DCF_Base!$C$4:$L$4)+MAX(0,MIN(DCF_Base!$L$19*(1+D$26)/($A31-D$26),Assumptions!$B$9*DCF_Base!$L$19))/(1+$A31)^10-Assumptions!$B$6)/Assumptions!$B$7,"n/a")</f>
        <v/>
      </c>
      <c r="E31">
        <f>IF($A31&gt;E$26,(SUMPRODUCT(DCF_Base!$C$19:$L$19/(1+$A31)^DCF_Base!$C$4:$L$4)+MAX(0,MIN(DCF_Base!$L$19*(1+E$26)/($A31-E$26),Assumptions!$B$9*DCF_Base!$L$19))/(1+$A31)^10-Assumptions!$B$6)/Assumptions!$B$7,"n/a")</f>
        <v/>
      </c>
      <c r="F31">
        <f>IF($A31&gt;F$26,(SUMPRODUCT(DCF_Base!$C$19:$L$19/(1+$A31)^DCF_Base!$C$4:$L$4)+MAX(0,MIN(DCF_Base!$L$19*(1+F$26)/($A31-F$26),Assumptions!$B$9*DCF_Base!$L$19))/(1+$A31)^10-Assumptions!$B$6)/Assumptions!$B$7,"n/a")</f>
        <v/>
      </c>
    </row>
    <row r="32"/>
    <row r="33"/>
    <row r="34">
      <c r="A34" s="1" t="inlineStr">
        <is>
          <t>Market cross-checks</t>
        </is>
      </c>
    </row>
    <row r="35">
      <c r="A35" t="inlineStr">
        <is>
          <t>Market cap</t>
        </is>
      </c>
      <c r="B35">
        <f>Assumptions!B8*Assumptions!B7</f>
        <v/>
      </c>
    </row>
    <row r="36">
      <c r="A36" t="inlineStr">
        <is>
          <t>EV at price (incl. Bluecurrent etc.)</t>
        </is>
      </c>
      <c r="B36">
        <f>B35+Assumptions!B11</f>
        <v/>
      </c>
    </row>
    <row r="37">
      <c r="A37" t="inlineStr">
        <is>
          <t>Network EV at price (ex non-operating assets)</t>
        </is>
      </c>
      <c r="B37">
        <f>B36-Assumptions!B12</f>
        <v/>
      </c>
    </row>
    <row r="38">
      <c r="A38" t="inlineStr">
        <is>
          <t>Network EV / RAB estimate at price</t>
        </is>
      </c>
      <c r="B38">
        <f>B37/Assumptions!B17</f>
        <v/>
      </c>
    </row>
    <row r="39">
      <c r="A39" t="inlineStr">
        <is>
          <t>Base network EV / RAB estimate</t>
        </is>
      </c>
      <c r="B39">
        <f>DCF_Base!B34/Assumptions!B17</f>
        <v/>
      </c>
    </row>
    <row r="40">
      <c r="A40" t="inlineStr">
        <is>
          <t>EV / FY26 adj EBITDA at price</t>
        </is>
      </c>
      <c r="B40">
        <f>B36/DCF_Base!B8</f>
        <v/>
      </c>
    </row>
    <row r="41">
      <c r="A41" t="inlineStr">
        <is>
          <t>Base EV / FY27 adj EBITDA</t>
        </is>
      </c>
      <c r="B41">
        <f>DCF_Base!B34/DCF_Base!C8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2026-09-19T07:02:29Z</dcterms:created>
  <dcterms:modified xsi:type="dcterms:W3CDTF">2026-09-19T07:02:29Z</dcterms:modified>
</cp:coreProperties>
</file>