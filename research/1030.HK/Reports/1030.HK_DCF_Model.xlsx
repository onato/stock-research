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</cols>
  <sheetData>
    <row r="1">
      <c r="A1" s="1" t="inlineStr">
        <is>
          <t>Seazen Group (1030.HK) -- haircut NAV x exit multiple model</t>
        </is>
      </c>
    </row>
    <row r="2">
      <c r="A2" t="inlineStr">
        <is>
          <t>Price (HKD)</t>
        </is>
      </c>
      <c r="B2" t="n">
        <v>1.43</v>
      </c>
    </row>
    <row r="3">
      <c r="A3" t="inlineStr">
        <is>
          <t>FX CNY-&gt;HKD</t>
        </is>
      </c>
      <c r="B3" t="n">
        <v>1.1721</v>
      </c>
    </row>
    <row r="4">
      <c r="A4" t="inlineStr">
        <is>
          <t>Shares (m)</t>
        </is>
      </c>
      <c r="B4" t="n">
        <v>7263.741521</v>
      </c>
    </row>
    <row r="5">
      <c r="A5" t="inlineStr">
        <is>
          <t>Book equity attributable (RMB m)</t>
        </is>
      </c>
      <c r="B5" t="n">
        <v>47658.489</v>
      </c>
    </row>
    <row r="6">
      <c r="A6" t="inlineStr">
        <is>
          <t>NCI (RMB m)</t>
        </is>
      </c>
      <c r="B6" t="n">
        <v>34883.474</v>
      </c>
    </row>
    <row r="7">
      <c r="A7" t="inlineStr">
        <is>
          <t>Total equity (RMB m)</t>
        </is>
      </c>
      <c r="B7" t="n">
        <v>82541.963</v>
      </c>
    </row>
    <row r="8">
      <c r="A8" t="inlineStr">
        <is>
          <t>Attributable fraction k</t>
        </is>
      </c>
      <c r="B8">
        <f>B5/B7</f>
        <v/>
      </c>
    </row>
    <row r="9">
      <c r="A9" t="inlineStr">
        <is>
          <t>Hurdle rate</t>
        </is>
      </c>
      <c r="B9" t="n">
        <v>0.15</v>
      </c>
    </row>
    <row r="10">
      <c r="A10" t="inlineStr">
        <is>
          <t>Horizon years</t>
        </is>
      </c>
      <c r="B10" t="n">
        <v>5</v>
      </c>
    </row>
    <row r="11">
      <c r="A11" t="inlineStr"/>
    </row>
    <row r="12">
      <c r="A12" s="1" t="inlineStr">
        <is>
          <t>Balance-sheet items (100% basis, RMB m)</t>
        </is>
      </c>
    </row>
    <row r="13">
      <c r="A13" t="inlineStr">
        <is>
          <t>Properties held for sale / under development</t>
        </is>
      </c>
      <c r="B13" t="n">
        <v>64807.62</v>
      </c>
    </row>
    <row r="14">
      <c r="A14" t="inlineStr">
        <is>
          <t>Trade &amp; other receivables and prepayments</t>
        </is>
      </c>
      <c r="B14" t="n">
        <v>31362.763</v>
      </c>
    </row>
    <row r="15">
      <c r="A15" t="inlineStr">
        <is>
          <t>Investments in JVs and associates</t>
        </is>
      </c>
      <c r="B15" t="n">
        <v>19572.332</v>
      </c>
    </row>
    <row r="16">
      <c r="A16" t="inlineStr">
        <is>
          <t>Deferred tax assets</t>
        </is>
      </c>
      <c r="B16" t="n">
        <v>5836.502</v>
      </c>
    </row>
    <row r="17">
      <c r="A17" t="inlineStr">
        <is>
          <t>Investment properties (Wuyue Plazas, IAS 40 fair value)</t>
        </is>
      </c>
      <c r="B17" t="n">
        <v>123852.134</v>
      </c>
    </row>
    <row r="18">
      <c r="A18" t="inlineStr">
        <is>
          <t>Contingent purchaser-mortgage guarantees (off-BS)</t>
        </is>
      </c>
      <c r="B18" t="n">
        <v>11200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1" t="inlineStr"/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</row>
    <row r="2">
      <c r="A2" s="1" t="inlineStr">
        <is>
          <t>Haircuts (% of carrying amount)</t>
        </is>
      </c>
    </row>
    <row r="3">
      <c r="A3" t="inlineStr">
        <is>
          <t>Properties held for sale / under development</t>
        </is>
      </c>
      <c r="B3" t="n">
        <v>25</v>
      </c>
      <c r="C3" t="n">
        <v>10</v>
      </c>
      <c r="D3" t="n">
        <v>5</v>
      </c>
    </row>
    <row r="4">
      <c r="A4" t="inlineStr">
        <is>
          <t>Trade &amp; other receivables and prepayments</t>
        </is>
      </c>
      <c r="B4" t="n">
        <v>35</v>
      </c>
      <c r="C4" t="n">
        <v>15</v>
      </c>
      <c r="D4" t="n">
        <v>10</v>
      </c>
    </row>
    <row r="5">
      <c r="A5" t="inlineStr">
        <is>
          <t>Investments in JVs and associates</t>
        </is>
      </c>
      <c r="B5" t="n">
        <v>40</v>
      </c>
      <c r="C5" t="n">
        <v>20</v>
      </c>
      <c r="D5" t="n">
        <v>10</v>
      </c>
    </row>
    <row r="6">
      <c r="A6" t="inlineStr">
        <is>
          <t>Deferred tax assets</t>
        </is>
      </c>
      <c r="B6" t="n">
        <v>100</v>
      </c>
      <c r="C6" t="n">
        <v>50</v>
      </c>
      <c r="D6" t="n">
        <v>25</v>
      </c>
    </row>
    <row r="7">
      <c r="A7" t="inlineStr">
        <is>
          <t>Investment properties (Wuyue Plazas, IAS 40 fair value)</t>
        </is>
      </c>
      <c r="B7" t="n">
        <v>10</v>
      </c>
      <c r="C7" t="n">
        <v>0</v>
      </c>
      <c r="D7" t="n">
        <v>0</v>
      </c>
    </row>
    <row r="8">
      <c r="A8" t="inlineStr">
        <is>
          <t>Contingent purchaser-mortgage guarantees (off-BS)</t>
        </is>
      </c>
      <c r="B8" t="n">
        <v>10</v>
      </c>
      <c r="C8" t="n">
        <v>2</v>
      </c>
      <c r="D8" t="n">
        <v>0</v>
      </c>
    </row>
    <row r="9">
      <c r="A9" t="inlineStr">
        <is>
          <t>Adjustment total, 100% basis (RMB m)</t>
        </is>
      </c>
      <c r="B9">
        <f>-(Inputs!$B$13*B3/100+Inputs!$B$14*B4/100+Inputs!$B$15*B5/100+Inputs!$B$16*B6/100+Inputs!$B$17*B7/100+Inputs!$B$18*B8/100)</f>
        <v/>
      </c>
      <c r="C9">
        <f>-(Inputs!$B$13*C3/100+Inputs!$B$14*C4/100+Inputs!$B$15*C5/100+Inputs!$B$16*C6/100+Inputs!$B$17*C7/100+Inputs!$B$18*C8/100)</f>
        <v/>
      </c>
      <c r="D9">
        <f>-(Inputs!$B$13*D3/100+Inputs!$B$14*D4/100+Inputs!$B$15*D5/100+Inputs!$B$16*D6/100+Inputs!$B$17*D7/100+Inputs!$B$18*D8/100)</f>
        <v/>
      </c>
    </row>
    <row r="10">
      <c r="A10" t="inlineStr">
        <is>
          <t>Adjustment attributable (x k)</t>
        </is>
      </c>
      <c r="B10">
        <f>B9*Inputs!$B$8</f>
        <v/>
      </c>
      <c r="C10">
        <f>C9*Inputs!$B$8</f>
        <v/>
      </c>
      <c r="D10">
        <f>D9*Inputs!$B$8</f>
        <v/>
      </c>
    </row>
    <row r="11">
      <c r="A11" t="inlineStr">
        <is>
          <t>Adjusted NAV today (RMB m)</t>
        </is>
      </c>
      <c r="B11">
        <f>Inputs!$B$5+B10</f>
        <v/>
      </c>
      <c r="C11">
        <f>Inputs!$B$5+C10</f>
        <v/>
      </c>
      <c r="D11">
        <f>Inputs!$B$5+D10</f>
        <v/>
      </c>
    </row>
    <row r="12">
      <c r="A12" t="inlineStr">
        <is>
          <t>Adjusted NAV / share (RMB)</t>
        </is>
      </c>
      <c r="B12">
        <f>B11/Inputs!$B$4</f>
        <v/>
      </c>
      <c r="C12">
        <f>C11/Inputs!$B$4</f>
        <v/>
      </c>
      <c r="D12">
        <f>D11/Inputs!$B$4</f>
        <v/>
      </c>
    </row>
    <row r="13">
      <c r="A13" t="inlineStr"/>
    </row>
    <row r="14">
      <c r="A14" s="1" t="inlineStr">
        <is>
          <t>Attributable NPAT path (RMB m)</t>
        </is>
      </c>
    </row>
    <row r="15">
      <c r="A15" t="inlineStr">
        <is>
          <t>FY2026E</t>
        </is>
      </c>
      <c r="B15" t="n">
        <v>0</v>
      </c>
      <c r="C15" t="n">
        <v>850</v>
      </c>
      <c r="D15" t="n">
        <v>1300</v>
      </c>
    </row>
    <row r="16">
      <c r="A16" t="inlineStr">
        <is>
          <t>FY2027E</t>
        </is>
      </c>
      <c r="B16" t="n">
        <v>100</v>
      </c>
      <c r="C16" t="n">
        <v>893</v>
      </c>
      <c r="D16" t="n">
        <v>1404</v>
      </c>
    </row>
    <row r="17">
      <c r="A17" t="inlineStr">
        <is>
          <t>FY2028E</t>
        </is>
      </c>
      <c r="B17" t="n">
        <v>200</v>
      </c>
      <c r="C17" t="n">
        <v>937</v>
      </c>
      <c r="D17" t="n">
        <v>1516</v>
      </c>
    </row>
    <row r="18">
      <c r="A18" t="inlineStr">
        <is>
          <t>FY2029E</t>
        </is>
      </c>
      <c r="B18" t="n">
        <v>250</v>
      </c>
      <c r="C18" t="n">
        <v>984</v>
      </c>
      <c r="D18" t="n">
        <v>1638</v>
      </c>
    </row>
    <row r="19">
      <c r="A19" t="inlineStr">
        <is>
          <t>FY2030E</t>
        </is>
      </c>
      <c r="B19" t="n">
        <v>300</v>
      </c>
      <c r="C19" t="n">
        <v>1033</v>
      </c>
      <c r="D19" t="n">
        <v>1769</v>
      </c>
    </row>
    <row r="20">
      <c r="A20" t="inlineStr">
        <is>
          <t>NAV year 5 (RMB m) = NAV0 + sum(NPAT)</t>
        </is>
      </c>
      <c r="B20">
        <f>B11+SUM(B15:B19)</f>
        <v/>
      </c>
      <c r="C20">
        <f>C11+SUM(C15:C19)</f>
        <v/>
      </c>
      <c r="D20">
        <f>D11+SUM(D15:D19)</f>
        <v/>
      </c>
    </row>
    <row r="21">
      <c r="A21" t="inlineStr">
        <is>
          <t>NAV5 / share (RMB)</t>
        </is>
      </c>
      <c r="B21">
        <f>B20/Inputs!$B$4</f>
        <v/>
      </c>
      <c r="C21">
        <f>C20/Inputs!$B$4</f>
        <v/>
      </c>
      <c r="D21">
        <f>D20/Inputs!$B$4</f>
        <v/>
      </c>
    </row>
    <row r="22">
      <c r="A22" t="inlineStr">
        <is>
          <t>EPS year 5 (RMB)</t>
        </is>
      </c>
      <c r="B22">
        <f>B19/Inputs!$B$4</f>
        <v/>
      </c>
      <c r="C22">
        <f>C19/Inputs!$B$4</f>
        <v/>
      </c>
      <c r="D22">
        <f>D19/Inputs!$B$4</f>
        <v/>
      </c>
    </row>
    <row r="23">
      <c r="A23" t="inlineStr"/>
    </row>
    <row r="24">
      <c r="A24" t="inlineStr">
        <is>
          <t>Exit P/NAV</t>
        </is>
      </c>
      <c r="B24" t="n">
        <v>0.15</v>
      </c>
      <c r="C24" t="n">
        <v>0.45</v>
      </c>
      <c r="D24" t="n">
        <v>0.6</v>
      </c>
    </row>
    <row r="25">
      <c r="A25" t="inlineStr">
        <is>
          <t>Exit P/E</t>
        </is>
      </c>
      <c r="B25" t="n">
        <v>6</v>
      </c>
      <c r="C25" t="n">
        <v>9</v>
      </c>
      <c r="D25" t="n">
        <v>12</v>
      </c>
    </row>
    <row r="26">
      <c r="A26" t="inlineStr">
        <is>
          <t>NAV weight</t>
        </is>
      </c>
      <c r="B26" t="n">
        <v>0.7</v>
      </c>
      <c r="C26" t="n">
        <v>0.7</v>
      </c>
      <c r="D26" t="n">
        <v>0.7</v>
      </c>
    </row>
    <row r="27">
      <c r="A27" t="inlineStr">
        <is>
          <t>Cost of equity %</t>
        </is>
      </c>
      <c r="B27" t="n">
        <v>14.5</v>
      </c>
      <c r="C27" t="n">
        <v>12.5</v>
      </c>
      <c r="D27" t="n">
        <v>11.5</v>
      </c>
    </row>
    <row r="28">
      <c r="A28" t="inlineStr">
        <is>
          <t>Scenario weight</t>
        </is>
      </c>
      <c r="B28" t="n">
        <v>0.35</v>
      </c>
      <c r="C28" t="n">
        <v>0.45</v>
      </c>
      <c r="D28" t="n">
        <v>0.2</v>
      </c>
    </row>
    <row r="29">
      <c r="A29" t="inlineStr"/>
    </row>
    <row r="30">
      <c r="A30" t="inlineStr">
        <is>
          <t>Year-5 exit value / share (RMB)</t>
        </is>
      </c>
      <c r="B30">
        <f>B26*B21*B24+(1-B26)*B22*B25</f>
        <v/>
      </c>
      <c r="C30">
        <f>C26*C21*C24+(1-C26)*C22*C25</f>
        <v/>
      </c>
      <c r="D30">
        <f>D26*D21*D24+(1-D26)*D22*D25</f>
        <v/>
      </c>
    </row>
    <row r="31">
      <c r="A31" t="inlineStr">
        <is>
          <t>Intrinsic value / share (RMB)</t>
        </is>
      </c>
      <c r="B31">
        <f>B30/(1+B27/100)^Inputs!$B$10</f>
        <v/>
      </c>
      <c r="C31">
        <f>C30/(1+C27/100)^Inputs!$B$10</f>
        <v/>
      </c>
      <c r="D31">
        <f>D30/(1+D27/100)^Inputs!$B$10</f>
        <v/>
      </c>
    </row>
    <row r="32">
      <c r="A32" s="1" t="inlineStr">
        <is>
          <t>Intrinsic value / share (HKD)</t>
        </is>
      </c>
      <c r="B32">
        <f>B31*Inputs!$B$3</f>
        <v/>
      </c>
      <c r="C32">
        <f>C31*Inputs!$B$3</f>
        <v/>
      </c>
      <c r="D32">
        <f>D31*Inputs!$B$3</f>
        <v/>
      </c>
    </row>
    <row r="33">
      <c r="A33" t="inlineStr">
        <is>
          <t>Upside vs price %</t>
        </is>
      </c>
      <c r="B33">
        <f>100*(B32/Inputs!$B$2-1)</f>
        <v/>
      </c>
      <c r="C33">
        <f>100*(C32/Inputs!$B$2-1)</f>
        <v/>
      </c>
      <c r="D33">
        <f>100*(D32/Inputs!$B$2-1)</f>
        <v/>
      </c>
    </row>
    <row r="34">
      <c r="A34" t="inlineStr">
        <is>
          <t>Entry price at hurdle (HKD)</t>
        </is>
      </c>
      <c r="B34">
        <f>B30/(1+Inputs!$B$9)^Inputs!$B$10*Inputs!$B$3</f>
        <v/>
      </c>
      <c r="C34">
        <f>C30/(1+Inputs!$B$9)^Inputs!$B$10*Inputs!$B$3</f>
        <v/>
      </c>
      <c r="D34">
        <f>D30/(1+Inputs!$B$9)^Inputs!$B$10*Inputs!$B$3</f>
        <v/>
      </c>
    </row>
    <row r="35">
      <c r="A35" t="inlineStr"/>
    </row>
    <row r="36">
      <c r="A36" s="1" t="inlineStr">
        <is>
          <t>Probability-weighted IV (HKD)</t>
        </is>
      </c>
      <c r="B36">
        <f>SUMPRODUCT(B28:D28,B32:D32)</f>
        <v/>
      </c>
    </row>
    <row r="37">
      <c r="A37" t="inlineStr">
        <is>
          <t>Probability-weighted entry (HKD)</t>
        </is>
      </c>
      <c r="B37">
        <f>SUMPRODUCT(B28:D28,B34:D34)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Base IV (HKD): rows exit P/NAV, cols cost of equity %</t>
        </is>
      </c>
    </row>
    <row r="2">
      <c r="A2" t="inlineStr">
        <is>
          <t>P/NAV \ CoE</t>
        </is>
      </c>
      <c r="B2" t="n">
        <v>10.5</v>
      </c>
      <c r="C2" t="n">
        <v>11.5</v>
      </c>
      <c r="D2" t="n">
        <v>12.5</v>
      </c>
      <c r="E2" t="n">
        <v>13.5</v>
      </c>
      <c r="F2" t="n">
        <v>14.5</v>
      </c>
    </row>
    <row r="3">
      <c r="A3" t="n">
        <v>0.25</v>
      </c>
      <c r="B3">
        <f>(Scenarios!$C$26*Scenarios!$C$21*$A3+(1-Scenarios!$C$26)*Scenarios!$C$22*Scenarios!$C$25)/(1+B$2/100)^Inputs!$B$10*Inputs!$B$3</f>
        <v/>
      </c>
      <c r="C3">
        <f>(Scenarios!$C$26*Scenarios!$C$21*$A3+(1-Scenarios!$C$26)*Scenarios!$C$22*Scenarios!$C$25)/(1+C$2/100)^Inputs!$B$10*Inputs!$B$3</f>
        <v/>
      </c>
      <c r="D3">
        <f>(Scenarios!$C$26*Scenarios!$C$21*$A3+(1-Scenarios!$C$26)*Scenarios!$C$22*Scenarios!$C$25)/(1+D$2/100)^Inputs!$B$10*Inputs!$B$3</f>
        <v/>
      </c>
      <c r="E3">
        <f>(Scenarios!$C$26*Scenarios!$C$21*$A3+(1-Scenarios!$C$26)*Scenarios!$C$22*Scenarios!$C$25)/(1+E$2/100)^Inputs!$B$10*Inputs!$B$3</f>
        <v/>
      </c>
      <c r="F3">
        <f>(Scenarios!$C$26*Scenarios!$C$21*$A3+(1-Scenarios!$C$26)*Scenarios!$C$22*Scenarios!$C$25)/(1+F$2/100)^Inputs!$B$10*Inputs!$B$3</f>
        <v/>
      </c>
    </row>
    <row r="4">
      <c r="A4" t="n">
        <v>0.35</v>
      </c>
      <c r="B4">
        <f>(Scenarios!$C$26*Scenarios!$C$21*$A4+(1-Scenarios!$C$26)*Scenarios!$C$22*Scenarios!$C$25)/(1+B$2/100)^Inputs!$B$10*Inputs!$B$3</f>
        <v/>
      </c>
      <c r="C4">
        <f>(Scenarios!$C$26*Scenarios!$C$21*$A4+(1-Scenarios!$C$26)*Scenarios!$C$22*Scenarios!$C$25)/(1+C$2/100)^Inputs!$B$10*Inputs!$B$3</f>
        <v/>
      </c>
      <c r="D4">
        <f>(Scenarios!$C$26*Scenarios!$C$21*$A4+(1-Scenarios!$C$26)*Scenarios!$C$22*Scenarios!$C$25)/(1+D$2/100)^Inputs!$B$10*Inputs!$B$3</f>
        <v/>
      </c>
      <c r="E4">
        <f>(Scenarios!$C$26*Scenarios!$C$21*$A4+(1-Scenarios!$C$26)*Scenarios!$C$22*Scenarios!$C$25)/(1+E$2/100)^Inputs!$B$10*Inputs!$B$3</f>
        <v/>
      </c>
      <c r="F4">
        <f>(Scenarios!$C$26*Scenarios!$C$21*$A4+(1-Scenarios!$C$26)*Scenarios!$C$22*Scenarios!$C$25)/(1+F$2/100)^Inputs!$B$10*Inputs!$B$3</f>
        <v/>
      </c>
    </row>
    <row r="5">
      <c r="A5" t="n">
        <v>0.45</v>
      </c>
      <c r="B5">
        <f>(Scenarios!$C$26*Scenarios!$C$21*$A5+(1-Scenarios!$C$26)*Scenarios!$C$22*Scenarios!$C$25)/(1+B$2/100)^Inputs!$B$10*Inputs!$B$3</f>
        <v/>
      </c>
      <c r="C5">
        <f>(Scenarios!$C$26*Scenarios!$C$21*$A5+(1-Scenarios!$C$26)*Scenarios!$C$22*Scenarios!$C$25)/(1+C$2/100)^Inputs!$B$10*Inputs!$B$3</f>
        <v/>
      </c>
      <c r="D5">
        <f>(Scenarios!$C$26*Scenarios!$C$21*$A5+(1-Scenarios!$C$26)*Scenarios!$C$22*Scenarios!$C$25)/(1+D$2/100)^Inputs!$B$10*Inputs!$B$3</f>
        <v/>
      </c>
      <c r="E5">
        <f>(Scenarios!$C$26*Scenarios!$C$21*$A5+(1-Scenarios!$C$26)*Scenarios!$C$22*Scenarios!$C$25)/(1+E$2/100)^Inputs!$B$10*Inputs!$B$3</f>
        <v/>
      </c>
      <c r="F5">
        <f>(Scenarios!$C$26*Scenarios!$C$21*$A5+(1-Scenarios!$C$26)*Scenarios!$C$22*Scenarios!$C$25)/(1+F$2/100)^Inputs!$B$10*Inputs!$B$3</f>
        <v/>
      </c>
    </row>
    <row r="6">
      <c r="A6" t="n">
        <v>0.55</v>
      </c>
      <c r="B6">
        <f>(Scenarios!$C$26*Scenarios!$C$21*$A6+(1-Scenarios!$C$26)*Scenarios!$C$22*Scenarios!$C$25)/(1+B$2/100)^Inputs!$B$10*Inputs!$B$3</f>
        <v/>
      </c>
      <c r="C6">
        <f>(Scenarios!$C$26*Scenarios!$C$21*$A6+(1-Scenarios!$C$26)*Scenarios!$C$22*Scenarios!$C$25)/(1+C$2/100)^Inputs!$B$10*Inputs!$B$3</f>
        <v/>
      </c>
      <c r="D6">
        <f>(Scenarios!$C$26*Scenarios!$C$21*$A6+(1-Scenarios!$C$26)*Scenarios!$C$22*Scenarios!$C$25)/(1+D$2/100)^Inputs!$B$10*Inputs!$B$3</f>
        <v/>
      </c>
      <c r="E6">
        <f>(Scenarios!$C$26*Scenarios!$C$21*$A6+(1-Scenarios!$C$26)*Scenarios!$C$22*Scenarios!$C$25)/(1+E$2/100)^Inputs!$B$10*Inputs!$B$3</f>
        <v/>
      </c>
      <c r="F6">
        <f>(Scenarios!$C$26*Scenarios!$C$21*$A6+(1-Scenarios!$C$26)*Scenarios!$C$22*Scenarios!$C$25)/(1+F$2/100)^Inputs!$B$10*Inputs!$B$3</f>
        <v/>
      </c>
    </row>
    <row r="7">
      <c r="A7" t="n">
        <v>0.65</v>
      </c>
      <c r="B7">
        <f>(Scenarios!$C$26*Scenarios!$C$21*$A7+(1-Scenarios!$C$26)*Scenarios!$C$22*Scenarios!$C$25)/(1+B$2/100)^Inputs!$B$10*Inputs!$B$3</f>
        <v/>
      </c>
      <c r="C7">
        <f>(Scenarios!$C$26*Scenarios!$C$21*$A7+(1-Scenarios!$C$26)*Scenarios!$C$22*Scenarios!$C$25)/(1+C$2/100)^Inputs!$B$10*Inputs!$B$3</f>
        <v/>
      </c>
      <c r="D7">
        <f>(Scenarios!$C$26*Scenarios!$C$21*$A7+(1-Scenarios!$C$26)*Scenarios!$C$22*Scenarios!$C$25)/(1+D$2/100)^Inputs!$B$10*Inputs!$B$3</f>
        <v/>
      </c>
      <c r="E7">
        <f>(Scenarios!$C$26*Scenarios!$C$21*$A7+(1-Scenarios!$C$26)*Scenarios!$C$22*Scenarios!$C$25)/(1+E$2/100)^Inputs!$B$10*Inputs!$B$3</f>
        <v/>
      </c>
      <c r="F7">
        <f>(Scenarios!$C$26*Scenarios!$C$21*$A7+(1-Scenarios!$C$26)*Scenarios!$C$22*Scenarios!$C$25)/(1+F$2/100)^Inputs!$B$10*Inputs!$B$3</f>
        <v/>
      </c>
    </row>
    <row r="8">
      <c r="A8" t="inlineStr"/>
    </row>
    <row r="9">
      <c r="A9" s="1" t="inlineStr">
        <is>
          <t>Required return table (base, HKD)</t>
        </is>
      </c>
    </row>
    <row r="10">
      <c r="A10" t="inlineStr">
        <is>
          <t>Return %</t>
        </is>
      </c>
      <c r="B10" t="n">
        <v>9</v>
      </c>
      <c r="C10" t="n">
        <v>10</v>
      </c>
      <c r="D10" t="n">
        <v>11</v>
      </c>
      <c r="E10" t="n">
        <v>12</v>
      </c>
      <c r="F10" t="n">
        <v>15</v>
      </c>
    </row>
    <row r="11">
      <c r="A11" t="inlineStr">
        <is>
          <t>Value / share</t>
        </is>
      </c>
      <c r="B11">
        <f>Scenarios!$C$30/(1+B10/100)^Inputs!$B$10*Inputs!$B$3</f>
        <v/>
      </c>
      <c r="C11">
        <f>Scenarios!$C$30/(1+C10/100)^Inputs!$B$10*Inputs!$B$3</f>
        <v/>
      </c>
      <c r="D11">
        <f>Scenarios!$C$30/(1+D10/100)^Inputs!$B$10*Inputs!$B$3</f>
        <v/>
      </c>
      <c r="E11">
        <f>Scenarios!$C$30/(1+E10/100)^Inputs!$B$10*Inputs!$B$3</f>
        <v/>
      </c>
      <c r="F11">
        <f>Scenarios!$C$30/(1+F10/100)^Inputs!$B$10*Inputs!$B$3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2026-10-11T13:56:03Z</dcterms:created>
  <dcterms:modified xsi:type="dcterms:W3CDTF">2026-10-11T13:56:03Z</dcterms:modified>
</cp:coreProperties>
</file>