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<sst xmlns="http://schemas.openxmlformats.org/spreadsheetml/2006/main" count="386" uniqueCount="173">
  <si>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</si>
  <si>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JBHT</t>
  </si>
  <si>
    <t xml:space="preserve">Company</t>
  </si>
  <si>
    <t xml:space="preserve">J.B. Hunt Transport Services,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</si>
  <si>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</si>
  <si>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</si>
  <si>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</si>
  <si>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</si>
  <si>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2026-09-28T20:00:00Z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</si>
  <si>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</si>
  <si>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</si>
  <si>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</si>
  <si>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</si>
  <si>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</si>
  <si>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</si>
  <si>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</si>
  <si>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</si>
  <si>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</si>
  <si>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</si>
  <si>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</si>
  <si>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</si>
  <si>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2026-09-28T22:08:48Z</t>
  </si>
  <si>
    <t xml:space="preserve">Drivers file</t>
  </si>
  <si>
    <t xml:space="preserve">JBHT_Drivers.json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</si>
  <si>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</si>
  <si>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</si>
  <si>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</si>
  <si>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basis: SBC (incl. net-settlement taxes) fully expensed, flat diluted share count, net capex on the company's own definition normalised to a through-cycle level, cash taxes ramped to the guided GAAP rate, one 9% USD WACC across scenarios with cyclicality carried in the flows and weights. The valuation deliberately does not carry FY2025's capex holiday, bonus-depreciation cash-tax rate or working-capital release forward. JBHT is a high-quality, well-capitalised operator whose asset intensity caps owner-FCF conversion at roughly 55-65% of net income; the market prices it on P/E (~30x trailing) and a margin-recovery narrative, so a cash-flow model at a 9% discount rate lands well below the quote. The gap is the finding.
key_risks_to_valuation: Capex normalisation is the single biggest driver: every 1pp of revenue in net capex (~$150m/yr) is worth roughly $20/share; if the 2022-23 container fleet absorbs growth for longer than modelled, value is higher.; Fuel surcharge inflation in 2026 revenue (~8pp in Q2) makes margin-% comparisons noisy; the FY2026 EBITDA margin dip is a denominator effect, not deterioration.; Cash tax: permanent 100% bonus depreciation could keep cash taxes ~4-5pp below the GAAP rate while capex grows -- an upside to the 24% terminal path.; Intermodal depends on BNSF (West) and CSX/NS (East) service and contract terms; a rail-service failure or contract reset is the sharpest single downside axis.; Insurance-claims and driver-wage inflation have run ahead of pricing since 2022 and are the margin ceiling in the base case.</t>
  </si>
  <si>
    <t xml:space="preserve">Data sources</t>
  </si>
  <si>
    <t xml:space="preserve">price: Yahoo Finance chart API regular close at inputs.price_as_of; 52-week range 131.71-299.76.
financials: JBHT_Metrics.csv (SEC XBRL companyfacts, FY2008-Q2 2026); FY2025 10-K (EDGAR 0001437749-26-005294) for SBC, net-settlement taxes, D&amp;A, equipment-sale proceeds, cash taxes paid, lease liabilities; Q2-2026 10-Q (0001437749-26-024397) for debt, cash, share count, net-capex and tax-rate guidance; Q2-2026 8-K EX-99.1 (0001437749-26-023629) for segment detail and 93.915m actual shares.
qualitative: No JBHT_Analysis.json at build time; segment and cycle judgments from the filings above and the Q2-2026 press release narrative (intermodal +10% volume, ICS gross margin 12.5%, FMS stops -14%, DCS retention ~96%).</t>
  </si>
  <si>
    <t xml:space="preserve">Scenario narrative: bear</t>
  </si>
  <si>
    <t xml:space="preserve">A 2027 relapse: tariff/trade-policy shocks cut import-driven intermodal volumes, truckload capacity returns and collapses spot and contract rates (ICS gross margin already fell to 12.5% from 15.5%), rail service or BNSF contract terms deteriorate, and FMS keeps shedding accounts. Operating margin stalls at the FY2024 trough (~6.9%; EBITDA 12.6%) with insurance-claims and equipment inflation unrecovered; revenue is flat-to-low-single-digit for three years then grows at 2-2.5%. No solvency issue -- net debt is ~0.7x EBITDA and the revolver is undrawn to $946m -- so the bear is an earnings-power case, not a balance-sheet one.</t>
  </si>
  <si>
    <t xml:space="preserve">Scenario narrative: base</t>
  </si>
  <si>
    <t xml:space="preserve">The 2026 freight upturn is real but partly fuel: revenue ex-fuel grows high single digits in 2026 and mid single digits in 2027-28 as intermodal keeps converting highway freight (Eastern network +16% loads in Q2-26) and DCS grows trucks at ~96% retention. Operating margin recovers to ~8% (EBITDA ~13.6%, D&amp;A ~5.6%) -- between FY2019 and the FY2022 peak -- as structural-cost programs and dray/container-utilisation gains offset insurance and driver inflation. ICS and JBT stay marginal contributors. Net capex normalises from the post-overbuild holiday to ~6.7% of revenue; cash tax ramps to the guided 24%. Owner FCF is roughly flat at $650-800m for the decade because rising capex offsets margin recovery -- the asset-heavy model converts ~55-65% of net income to owner FCF.</t>
  </si>
  <si>
    <t xml:space="preserve">Scenario narrative: bull</t>
  </si>
  <si>
    <t xml:space="preserve">A multi-year intermodal cycle: sustained highway-to-rail conversion on fuel and driver scarcity, rail service holding, and the idle container/chassis capacity bought in 2022-23 filling without new growth capex. Operating margin returns to and holds the FY2022 peak (~9.4%; EBITDA 14.8%) as JBI network density and lower empty moves compound, DCS keeps pricing on indexed escalators, and ICS reaches sustainable profitability. Revenue compounds ~6% through 2030. Terminal growth 3% but the 15x owner-FCF cap binds, so the bull is a margin story, not a multiple story.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</si>
  <si>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</si>
  <si>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</si>
  <si>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</si>
  <si>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</si>
  <si>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</si>
  <si>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</si>
  <si>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</si>
  <si>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</si>
  <si>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</si>
  <si>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</si>
  <si>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</si>
  <si>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</si>
  <si>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</si>
  <si>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</si>
  <si>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</si>
  <si>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</si>
  <si>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</si>
  <si>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</si>
  <si>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</si>
  <si>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</si>
  <si>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</si>
  <si>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</si>
  <si>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</si>
  <si>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</si>
  <si>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</si>
  <si>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</si>
  <si>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</si>
  <si>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</si>
  <si>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</si>
  <si>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</si>
  <si>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</si>
  <si>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</si>
  <si>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</si>
  <si>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</si>
  <si>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</si>
  <si>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</si>
  <si>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</si>
  <si>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</si>
  <si>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</si>
  <si>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</si>
  <si>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</si>
  <si>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</si>
  <si>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</si>
  <si>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</si>
  <si>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</si>
  <si>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</si>
  <si>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</si>
  <si>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</si>
  <si>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</si>
  <si>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</si>
  <si>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</si>
  <si>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</si>
  <si>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</si>
  <si>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</si>
  <si>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</si>
  <si>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</si>
  <si>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</si>
  <si>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</si>
  <si>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</si>
  <si>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</si>
  <si>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</si>
  <si>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</si>
  <si>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</si>
  <si>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</si>
  <si>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</si>
  <si>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</si>
  <si>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</si>
  <si>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</si>
  <si>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</si>
  <si>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</si>
  <si>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</si>
  <si>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</si>
  <si>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</si>
  <si>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</si>
  <si>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</si>
  <si>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</si>
  <si>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</si>
  <si>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</si>
  <si>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</si>
  <si>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</si>
  <si>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</si>
  <si>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</si>
  <si>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</si>
  <si>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JBHT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</si>
  <si>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</si>
  <si>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</si>
  <si>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</si>
  <si>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</si>
  <si>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</si>
  <si>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</si>
  <si>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</si>
  <si>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</si>
  <si>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</si>
  <si>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</si>
  <si>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</si>
  <si>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</si>
  <si>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</si>
  <si>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</si>
  <si>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</si>
  <si>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</si>
  <si>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</si>
  <si>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</si>
  <si>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</si>
  <si>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</si>
  <si>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</si>
  <si>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</si>
  <si>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</si>
  <si>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</si>
  <si>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</si>
  <si>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</si>
  <si>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</si>
  <si>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</si>
  <si>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</si>
  <si>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</si>
  <si>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JBHT owner-FCF component DCF: base case (millions, USD)</t>
  </si>
  <si>
    <t xml:space="preserve">JBHT owner-FCF component DCF: bull case (millions, USD)</t>
  </si>
  <si>
    <t xml:space="preserve">JBHT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</si>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</sst>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226.07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343.197</v>
      </c>
      <c r="S2" s="0" t="n">
        <v>14.957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3731.943</v>
      </c>
      <c r="F3" s="0" t="n">
        <v>358.418</v>
      </c>
      <c r="G3" s="0" t="n">
        <v>9.60405879725387</v>
      </c>
      <c r="H3" s="0" t="n">
        <v>560.706</v>
      </c>
      <c r="I3" s="0" t="n">
        <v>200.593</v>
      </c>
      <c r="J3" s="0" t="n">
        <v>5.37502850391874</v>
      </c>
      <c r="K3" s="0" t="n">
        <v>1.6</v>
      </c>
      <c r="L3" s="0" t="n">
        <v>505.146</v>
      </c>
      <c r="M3" s="0" t="n">
        <v>303.241</v>
      </c>
      <c r="N3" s="0" t="n">
        <v>201.905</v>
      </c>
      <c r="O3" s="0" t="n">
        <v>529.011</v>
      </c>
      <c r="S3" s="0" t="n">
        <v>2.373</v>
      </c>
      <c r="T3" s="0" t="n">
        <v>128.533</v>
      </c>
      <c r="U3" s="0" t="n">
        <v>13.773</v>
      </c>
      <c r="V3" s="0" t="n">
        <v>0.4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3203.321</v>
      </c>
      <c r="F4" s="0" t="n">
        <v>247.971</v>
      </c>
      <c r="G4" s="0" t="n">
        <v>7.74105998118827</v>
      </c>
      <c r="H4" s="0" t="n">
        <v>437.016</v>
      </c>
      <c r="I4" s="0" t="n">
        <v>136.435</v>
      </c>
      <c r="J4" s="0" t="n">
        <v>4.25917352647456</v>
      </c>
      <c r="K4" s="0" t="n">
        <v>1.08</v>
      </c>
      <c r="L4" s="0" t="n">
        <v>356.923</v>
      </c>
      <c r="M4" s="0" t="n">
        <v>353.156</v>
      </c>
      <c r="N4" s="0" t="n">
        <v>3.767</v>
      </c>
      <c r="O4" s="0" t="n">
        <v>643.853</v>
      </c>
      <c r="P4" s="0" t="n">
        <v>1856.914</v>
      </c>
      <c r="Q4" s="0" t="n">
        <v>1213.061</v>
      </c>
      <c r="R4" s="0" t="n">
        <v>565</v>
      </c>
      <c r="S4" s="0" t="n">
        <v>7.843</v>
      </c>
      <c r="T4" s="0" t="n">
        <v>129.462</v>
      </c>
      <c r="U4" s="0" t="n">
        <v>17.566</v>
      </c>
      <c r="V4" s="0" t="n">
        <v>0.44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3793.485</v>
      </c>
      <c r="F5" s="0" t="n">
        <v>347.625</v>
      </c>
      <c r="G5" s="0" t="n">
        <v>9.16373730224319</v>
      </c>
      <c r="H5" s="0" t="n">
        <v>544.687</v>
      </c>
      <c r="I5" s="0" t="n">
        <v>199.617</v>
      </c>
      <c r="J5" s="0" t="n">
        <v>5.26210068050882</v>
      </c>
      <c r="K5" s="0" t="n">
        <v>1.6</v>
      </c>
      <c r="L5" s="0" t="n">
        <v>428.078</v>
      </c>
      <c r="M5" s="0" t="n">
        <v>262.449</v>
      </c>
      <c r="N5" s="0" t="n">
        <v>165.629</v>
      </c>
      <c r="O5" s="0" t="n">
        <v>573.021</v>
      </c>
      <c r="P5" s="0" t="n">
        <v>1962</v>
      </c>
      <c r="Q5" s="0" t="n">
        <v>1388.639</v>
      </c>
      <c r="R5" s="0" t="n">
        <v>654.207</v>
      </c>
      <c r="S5" s="0" t="n">
        <v>7.651</v>
      </c>
      <c r="T5" s="0" t="n">
        <v>127.767</v>
      </c>
      <c r="U5" s="0" t="n">
        <v>21.397</v>
      </c>
      <c r="V5" s="0" t="n">
        <v>0.48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4526.842</v>
      </c>
      <c r="F6" s="0" t="n">
        <v>444.233</v>
      </c>
      <c r="G6" s="0" t="n">
        <v>9.81330914575768</v>
      </c>
      <c r="H6" s="0" t="n">
        <v>658.176</v>
      </c>
      <c r="I6" s="0" t="n">
        <v>257.006</v>
      </c>
      <c r="J6" s="0" t="n">
        <v>5.67737950650807</v>
      </c>
      <c r="K6" s="0" t="n">
        <v>2.16</v>
      </c>
      <c r="L6" s="0" t="n">
        <v>635.692</v>
      </c>
      <c r="M6" s="0" t="n">
        <v>502.282</v>
      </c>
      <c r="N6" s="0" t="n">
        <v>133.41</v>
      </c>
      <c r="O6" s="0" t="n">
        <v>567.543</v>
      </c>
      <c r="P6" s="0" t="n">
        <v>2267</v>
      </c>
      <c r="Q6" s="0" t="n">
        <v>1699.789</v>
      </c>
      <c r="R6" s="0" t="n">
        <v>749.177</v>
      </c>
      <c r="S6" s="0" t="n">
        <v>5.45</v>
      </c>
      <c r="T6" s="0" t="n">
        <v>121.922</v>
      </c>
      <c r="U6" s="0" t="n">
        <v>26.841</v>
      </c>
      <c r="V6" s="0" t="n">
        <v>0.52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5054.98</v>
      </c>
      <c r="F7" s="0" t="n">
        <v>530.2</v>
      </c>
      <c r="G7" s="0" t="n">
        <v>10.4886666218264</v>
      </c>
      <c r="H7" s="0" t="n">
        <v>759.366</v>
      </c>
      <c r="I7" s="0" t="n">
        <v>310.354</v>
      </c>
      <c r="J7" s="0" t="n">
        <v>6.13956929602095</v>
      </c>
      <c r="K7" s="0" t="n">
        <v>2.64</v>
      </c>
      <c r="L7" s="0" t="n">
        <v>548.044</v>
      </c>
      <c r="M7" s="0" t="n">
        <v>439.494</v>
      </c>
      <c r="N7" s="0" t="n">
        <v>108.55</v>
      </c>
      <c r="O7" s="0" t="n">
        <v>791.86</v>
      </c>
      <c r="P7" s="0" t="n">
        <v>2465</v>
      </c>
      <c r="Q7" s="0" t="n">
        <v>1672.781</v>
      </c>
      <c r="R7" s="0" t="n">
        <v>685.347</v>
      </c>
      <c r="S7" s="0" t="n">
        <v>5.589</v>
      </c>
      <c r="T7" s="0" t="n">
        <v>120.022</v>
      </c>
      <c r="U7" s="0" t="n">
        <v>29.715</v>
      </c>
      <c r="V7" s="0" t="n">
        <v>0.71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5584.571</v>
      </c>
      <c r="F8" s="0" t="n">
        <v>576.708</v>
      </c>
      <c r="G8" s="0" t="n">
        <v>10.3268093466804</v>
      </c>
      <c r="H8" s="0" t="n">
        <v>830.088</v>
      </c>
      <c r="I8" s="0" t="n">
        <v>342.382</v>
      </c>
      <c r="J8" s="0" t="n">
        <v>6.13085588848275</v>
      </c>
      <c r="K8" s="0" t="n">
        <v>2.92</v>
      </c>
      <c r="L8" s="0" t="n">
        <v>574.351</v>
      </c>
      <c r="M8" s="0" t="n">
        <v>493.431</v>
      </c>
      <c r="N8" s="0" t="n">
        <v>80.92</v>
      </c>
      <c r="O8" s="0" t="n">
        <v>1012.452</v>
      </c>
      <c r="P8" s="0" t="n">
        <v>2819</v>
      </c>
      <c r="Q8" s="0" t="n">
        <v>1806.952</v>
      </c>
      <c r="R8" s="0" t="n">
        <v>708.417</v>
      </c>
      <c r="S8" s="0" t="n">
        <v>5.831</v>
      </c>
      <c r="T8" s="0" t="n">
        <v>119.404</v>
      </c>
      <c r="U8" s="0" t="n">
        <v>32.354</v>
      </c>
      <c r="V8" s="0" t="n">
        <v>0.45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6165.441</v>
      </c>
      <c r="F9" s="0" t="n">
        <v>631.542</v>
      </c>
      <c r="G9" s="0" t="n">
        <v>10.2432575382686</v>
      </c>
      <c r="H9" s="0" t="n">
        <v>926.038</v>
      </c>
      <c r="I9" s="0" t="n">
        <v>374.792</v>
      </c>
      <c r="J9" s="0" t="n">
        <v>6.07891633380321</v>
      </c>
      <c r="K9" s="0" t="n">
        <v>3.2</v>
      </c>
      <c r="L9" s="0" t="n">
        <v>646.779</v>
      </c>
      <c r="M9" s="0" t="n">
        <v>808.569</v>
      </c>
      <c r="N9" s="0" t="n">
        <v>-161.79</v>
      </c>
      <c r="O9" s="0" t="n">
        <v>1204.523</v>
      </c>
      <c r="P9" s="0" t="n">
        <v>3374</v>
      </c>
      <c r="Q9" s="0" t="n">
        <v>2173.963</v>
      </c>
      <c r="R9" s="0" t="n">
        <v>933.539</v>
      </c>
      <c r="S9" s="0" t="n">
        <v>5.961</v>
      </c>
      <c r="T9" s="0" t="n">
        <v>118.445</v>
      </c>
      <c r="U9" s="0" t="n">
        <v>35.333</v>
      </c>
      <c r="V9" s="0" t="n">
        <v>0.8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6187.646</v>
      </c>
      <c r="F10" s="0" t="n">
        <v>715.694</v>
      </c>
      <c r="G10" s="0" t="n">
        <v>11.5664987945335</v>
      </c>
      <c r="H10" s="0" t="n">
        <v>1055.307</v>
      </c>
      <c r="I10" s="0" t="n">
        <v>427.235</v>
      </c>
      <c r="J10" s="0" t="n">
        <v>6.90464515907988</v>
      </c>
      <c r="K10" s="0" t="n">
        <v>3.69</v>
      </c>
      <c r="L10" s="0" t="n">
        <v>873.308</v>
      </c>
      <c r="M10" s="0" t="n">
        <v>725.122</v>
      </c>
      <c r="N10" s="0" t="n">
        <v>148.186</v>
      </c>
      <c r="O10" s="0" t="n">
        <v>1300.352</v>
      </c>
      <c r="P10" s="0" t="n">
        <v>3629.544</v>
      </c>
      <c r="Q10" s="0" t="n">
        <v>2329.192</v>
      </c>
      <c r="R10" s="0" t="n">
        <v>998.003</v>
      </c>
      <c r="S10" s="0" t="n">
        <v>5.566</v>
      </c>
      <c r="T10" s="0" t="n">
        <v>116.728</v>
      </c>
      <c r="U10" s="0" t="n">
        <v>37.228</v>
      </c>
      <c r="V10" s="0" t="n">
        <v>0.84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6555.459</v>
      </c>
      <c r="F11" s="0" t="n">
        <v>721.02</v>
      </c>
      <c r="G11" s="0" t="n">
        <v>10.9987721683562</v>
      </c>
      <c r="H11" s="0" t="n">
        <v>1082.53</v>
      </c>
      <c r="I11" s="0" t="n">
        <v>432.09</v>
      </c>
      <c r="J11" s="0" t="n">
        <v>6.59130047186627</v>
      </c>
      <c r="K11" s="0" t="n">
        <v>3.84</v>
      </c>
      <c r="L11" s="0" t="n">
        <v>854.143</v>
      </c>
      <c r="M11" s="0" t="n">
        <v>638.43</v>
      </c>
      <c r="N11" s="0" t="n">
        <v>215.713</v>
      </c>
      <c r="O11" s="0" t="n">
        <v>1414.061</v>
      </c>
      <c r="P11" s="0" t="n">
        <v>3950.727</v>
      </c>
      <c r="Q11" s="0" t="n">
        <v>2536.666</v>
      </c>
      <c r="R11" s="0" t="n">
        <v>986.278</v>
      </c>
      <c r="S11" s="0" t="n">
        <v>6.377</v>
      </c>
      <c r="T11" s="0" t="n">
        <v>113.361</v>
      </c>
      <c r="U11" s="0" t="n">
        <v>40.625</v>
      </c>
      <c r="V11" s="0" t="n">
        <v>0.88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7189.568</v>
      </c>
      <c r="F12" s="0" t="n">
        <v>623.789</v>
      </c>
      <c r="G12" s="0" t="n">
        <v>8.6763071160882</v>
      </c>
      <c r="H12" s="0" t="n">
        <v>1007.307</v>
      </c>
      <c r="I12" s="0" t="n">
        <v>686.263</v>
      </c>
      <c r="J12" s="0" t="n">
        <v>9.54526057754791</v>
      </c>
      <c r="K12" s="0" t="n">
        <v>6.24</v>
      </c>
      <c r="L12" s="0" t="n">
        <v>855.153</v>
      </c>
      <c r="M12" s="0" t="n">
        <v>526.928</v>
      </c>
      <c r="N12" s="0" t="n">
        <v>328.225</v>
      </c>
      <c r="O12" s="0" t="n">
        <v>1839.325</v>
      </c>
      <c r="P12" s="0" t="n">
        <v>4465.349</v>
      </c>
      <c r="Q12" s="0" t="n">
        <v>2626.024</v>
      </c>
      <c r="R12" s="0" t="n">
        <v>1085.649</v>
      </c>
      <c r="S12" s="0" t="n">
        <v>14.612</v>
      </c>
      <c r="T12" s="0" t="n">
        <v>111.049</v>
      </c>
      <c r="U12" s="0" t="n">
        <v>38.291</v>
      </c>
      <c r="V12" s="0" t="n">
        <v>0.92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8614.874</v>
      </c>
      <c r="F13" s="0" t="n">
        <v>681.021</v>
      </c>
      <c r="G13" s="0" t="n">
        <v>7.90517655858925</v>
      </c>
      <c r="H13" s="0" t="n">
        <v>1116.914</v>
      </c>
      <c r="I13" s="0" t="n">
        <v>489.585</v>
      </c>
      <c r="J13" s="0" t="n">
        <v>5.68301985612326</v>
      </c>
      <c r="K13" s="0" t="n">
        <v>4.48</v>
      </c>
      <c r="L13" s="0" t="n">
        <v>1087.841</v>
      </c>
      <c r="M13" s="0" t="n">
        <v>995.65</v>
      </c>
      <c r="N13" s="0" t="n">
        <v>92.1909999999999</v>
      </c>
      <c r="O13" s="0" t="n">
        <v>2101.384</v>
      </c>
      <c r="P13" s="0" t="n">
        <v>5091.647</v>
      </c>
      <c r="Q13" s="0" t="n">
        <v>2990.263</v>
      </c>
      <c r="R13" s="0" t="n">
        <v>1149.104</v>
      </c>
      <c r="S13" s="0" t="n">
        <v>7.6</v>
      </c>
      <c r="T13" s="0" t="n">
        <v>110.428</v>
      </c>
      <c r="U13" s="0" t="n">
        <v>47.369</v>
      </c>
      <c r="V13" s="0" t="n">
        <v>0.96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9165.258</v>
      </c>
      <c r="F14" s="0" t="n">
        <v>733.825</v>
      </c>
      <c r="G14" s="0" t="n">
        <v>8.00659403150462</v>
      </c>
      <c r="H14" s="0" t="n">
        <v>1232.97</v>
      </c>
      <c r="I14" s="0" t="n">
        <v>516.32</v>
      </c>
      <c r="J14" s="0" t="n">
        <v>5.633447525427</v>
      </c>
      <c r="K14" s="0" t="n">
        <v>4.81</v>
      </c>
      <c r="L14" s="0" t="n">
        <v>1098.347</v>
      </c>
      <c r="M14" s="0" t="n">
        <v>854.115</v>
      </c>
      <c r="N14" s="0" t="n">
        <v>244.232</v>
      </c>
      <c r="O14" s="0" t="n">
        <v>2267.029</v>
      </c>
      <c r="P14" s="0" t="n">
        <v>5470.854</v>
      </c>
      <c r="Q14" s="0" t="n">
        <v>3203.825</v>
      </c>
      <c r="R14" s="0" t="n">
        <v>1295.74</v>
      </c>
      <c r="S14" s="0" t="n">
        <v>35</v>
      </c>
      <c r="T14" s="0" t="n">
        <v>108.307</v>
      </c>
      <c r="U14" s="0" t="n">
        <v>53.324</v>
      </c>
      <c r="V14" s="0" t="n">
        <v>1.04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9636.573</v>
      </c>
      <c r="F15" s="0" t="n">
        <v>713.119</v>
      </c>
      <c r="G15" s="0" t="n">
        <v>7.40013073112195</v>
      </c>
      <c r="H15" s="0" t="n">
        <v>1240.494</v>
      </c>
      <c r="I15" s="0" t="n">
        <v>506.035</v>
      </c>
      <c r="J15" s="0" t="n">
        <v>5.25119251418528</v>
      </c>
      <c r="K15" s="0" t="n">
        <v>4.79</v>
      </c>
      <c r="L15" s="0" t="n">
        <v>1122.859</v>
      </c>
      <c r="M15" s="0" t="n">
        <v>738.545</v>
      </c>
      <c r="N15" s="0" t="n">
        <v>384.314</v>
      </c>
      <c r="O15" s="0" t="n">
        <v>2600.138</v>
      </c>
      <c r="P15" s="0" t="n">
        <v>5928.348</v>
      </c>
      <c r="Q15" s="0" t="n">
        <v>3328.21</v>
      </c>
      <c r="R15" s="0" t="n">
        <v>1305.424</v>
      </c>
      <c r="S15" s="0" t="n">
        <v>313.302</v>
      </c>
      <c r="T15" s="0" t="n">
        <v>106.766</v>
      </c>
      <c r="U15" s="0" t="n">
        <v>60.698</v>
      </c>
      <c r="V15" s="0" t="n">
        <v>1.08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12168.302</v>
      </c>
      <c r="F16" s="0" t="n">
        <v>1045.53</v>
      </c>
      <c r="G16" s="0" t="n">
        <v>8.59224236873805</v>
      </c>
      <c r="H16" s="0" t="n">
        <v>1602.623</v>
      </c>
      <c r="I16" s="0" t="n">
        <v>760.806</v>
      </c>
      <c r="J16" s="0" t="n">
        <v>6.25235961434882</v>
      </c>
      <c r="K16" s="0" t="n">
        <v>7.22</v>
      </c>
      <c r="L16" s="0" t="n">
        <v>1223.898</v>
      </c>
      <c r="M16" s="0" t="n">
        <v>947.563</v>
      </c>
      <c r="N16" s="0" t="n">
        <v>276.335</v>
      </c>
      <c r="O16" s="0" t="n">
        <v>3117.816</v>
      </c>
      <c r="P16" s="0" t="n">
        <v>6794.348</v>
      </c>
      <c r="Q16" s="0" t="n">
        <v>3676.532</v>
      </c>
      <c r="R16" s="0" t="n">
        <v>1301.229</v>
      </c>
      <c r="S16" s="0" t="n">
        <v>355.549</v>
      </c>
      <c r="T16" s="0" t="n">
        <v>106.593</v>
      </c>
      <c r="U16" s="0" t="n">
        <v>61.505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14813.999</v>
      </c>
      <c r="F17" s="0" t="n">
        <v>1331.553</v>
      </c>
      <c r="G17" s="0" t="n">
        <v>8.98847772299701</v>
      </c>
      <c r="H17" s="0" t="n">
        <v>1976.073</v>
      </c>
      <c r="I17" s="0" t="n">
        <v>969.351</v>
      </c>
      <c r="J17" s="0" t="n">
        <v>6.54347958306194</v>
      </c>
      <c r="K17" s="0" t="n">
        <v>9.31</v>
      </c>
      <c r="L17" s="0" t="n">
        <v>1776.882</v>
      </c>
      <c r="M17" s="0" t="n">
        <v>1540.796</v>
      </c>
      <c r="N17" s="0" t="n">
        <v>236.086</v>
      </c>
      <c r="O17" s="0" t="n">
        <v>3666.768</v>
      </c>
      <c r="P17" s="0" t="n">
        <v>7787</v>
      </c>
      <c r="Q17" s="0" t="n">
        <v>4119.814</v>
      </c>
      <c r="R17" s="0" t="n">
        <v>1261.738</v>
      </c>
      <c r="S17" s="0" t="n">
        <v>51.927</v>
      </c>
      <c r="T17" s="0" t="n">
        <v>105.276</v>
      </c>
      <c r="U17" s="0" t="n">
        <v>77.535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12829.665</v>
      </c>
      <c r="F18" s="0" t="n">
        <v>993.196</v>
      </c>
      <c r="G18" s="0" t="n">
        <v>7.74140244503656</v>
      </c>
      <c r="H18" s="0" t="n">
        <v>1731.15</v>
      </c>
      <c r="I18" s="0" t="n">
        <v>728.287</v>
      </c>
      <c r="J18" s="0" t="n">
        <v>5.67658625536988</v>
      </c>
      <c r="K18" s="0" t="n">
        <v>7.04</v>
      </c>
      <c r="L18" s="0" t="n">
        <v>1744.618</v>
      </c>
      <c r="M18" s="0" t="n">
        <v>1862.431</v>
      </c>
      <c r="N18" s="0" t="n">
        <v>-117.813</v>
      </c>
      <c r="O18" s="0" t="n">
        <v>4103.758</v>
      </c>
      <c r="P18" s="0" t="n">
        <v>8588</v>
      </c>
      <c r="Q18" s="0" t="n">
        <v>4484.39</v>
      </c>
      <c r="R18" s="0" t="n">
        <v>1576.068</v>
      </c>
      <c r="S18" s="0" t="n">
        <v>53.344</v>
      </c>
      <c r="T18" s="0" t="n">
        <v>104.451</v>
      </c>
      <c r="U18" s="0" t="n">
        <v>79.189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12087.204</v>
      </c>
      <c r="F19" s="0" t="n">
        <v>831.225</v>
      </c>
      <c r="G19" s="0" t="n">
        <v>6.87690056360429</v>
      </c>
      <c r="H19" s="0" t="n">
        <v>1592.366</v>
      </c>
      <c r="I19" s="0" t="n">
        <v>570.886</v>
      </c>
      <c r="J19" s="0" t="n">
        <v>4.7230608501354</v>
      </c>
      <c r="K19" s="0" t="n">
        <v>5.6</v>
      </c>
      <c r="L19" s="0" t="n">
        <v>1483.156</v>
      </c>
      <c r="M19" s="0" t="n">
        <v>865.373</v>
      </c>
      <c r="N19" s="0" t="n">
        <v>617.783</v>
      </c>
      <c r="O19" s="0" t="n">
        <v>4014.505</v>
      </c>
      <c r="P19" s="0" t="n">
        <v>8312.27</v>
      </c>
      <c r="Q19" s="0" t="n">
        <v>4297.765</v>
      </c>
      <c r="R19" s="0" t="n">
        <v>1477.702</v>
      </c>
      <c r="S19" s="0" t="n">
        <v>46.983</v>
      </c>
      <c r="T19" s="0" t="n">
        <v>102.754</v>
      </c>
      <c r="U19" s="0" t="n">
        <v>65.686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11999.096</v>
      </c>
      <c r="F20" s="0" t="n">
        <v>865.069</v>
      </c>
      <c r="G20" s="0" t="n">
        <v>7.20945144534222</v>
      </c>
      <c r="H20" s="0" t="n">
        <v>1579.854</v>
      </c>
      <c r="I20" s="0" t="n">
        <v>598.282</v>
      </c>
      <c r="J20" s="0" t="n">
        <v>4.98605894977422</v>
      </c>
      <c r="K20" s="0" t="n">
        <v>6.16</v>
      </c>
      <c r="L20" s="0" t="n">
        <v>1678.272</v>
      </c>
      <c r="M20" s="0" t="n">
        <v>730.687</v>
      </c>
      <c r="N20" s="0" t="n">
        <v>947.585</v>
      </c>
      <c r="O20" s="0" t="n">
        <v>3565.085</v>
      </c>
      <c r="P20" s="0" t="n">
        <v>7927.155</v>
      </c>
      <c r="Q20" s="0" t="n">
        <v>4362.07</v>
      </c>
      <c r="R20" s="0" t="n">
        <v>1466.797</v>
      </c>
      <c r="S20" s="0" t="n">
        <v>17.284</v>
      </c>
      <c r="T20" s="0" t="n">
        <v>97.688</v>
      </c>
      <c r="U20" s="0" t="n">
        <v>71.753</v>
      </c>
      <c r="V20" s="0" t="n">
        <v>0.44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226.07</v>
      </c>
    </row>
    <row r="3" customFormat="false" ht="15" hidden="false" customHeight="false" outlineLevel="0" collapsed="false">
      <c r="A3" s="0" t="s">
        <v>85</v>
      </c>
      <c r="B3" s="3" t="n">
        <v>94.7</v>
      </c>
    </row>
    <row r="4" customFormat="false" ht="15" hidden="false" customHeight="false" outlineLevel="0" collapsed="false">
      <c r="A4" s="0" t="s">
        <v>86</v>
      </c>
      <c r="B4" s="3" t="n">
        <v>1141.175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11999.096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9.5</v>
      </c>
      <c r="D13" s="3" t="n">
        <v>1</v>
      </c>
      <c r="E13" s="3" t="n">
        <v>1.5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12.3</v>
      </c>
      <c r="D14" s="3" t="n">
        <v>12</v>
      </c>
      <c r="E14" s="3" t="n">
        <v>12.2</v>
      </c>
      <c r="F14" s="3" t="n">
        <v>12.5</v>
      </c>
      <c r="G14" s="3" t="n">
        <v>12.6</v>
      </c>
      <c r="H14" s="3" t="n">
        <v>12.6</v>
      </c>
      <c r="I14" s="3" t="n">
        <v>12.6</v>
      </c>
      <c r="J14" s="3" t="n">
        <v>12.6</v>
      </c>
      <c r="K14" s="3" t="n">
        <v>12.6</v>
      </c>
      <c r="L14" s="3" t="n">
        <v>12.6</v>
      </c>
    </row>
    <row r="15" customFormat="false" ht="15" hidden="false" customHeight="false" outlineLevel="0" collapsed="false">
      <c r="A15" s="0" t="s">
        <v>107</v>
      </c>
      <c r="C15" s="3" t="n">
        <v>0.8</v>
      </c>
      <c r="D15" s="3" t="n">
        <v>0.8</v>
      </c>
      <c r="E15" s="3" t="n">
        <v>0.8</v>
      </c>
      <c r="F15" s="3" t="n">
        <v>0.8</v>
      </c>
      <c r="G15" s="3" t="n">
        <v>0.8</v>
      </c>
      <c r="H15" s="3" t="n">
        <v>0.8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5.6</v>
      </c>
      <c r="D17" s="3" t="n">
        <v>5.7</v>
      </c>
      <c r="E17" s="3" t="n">
        <v>5.7</v>
      </c>
      <c r="F17" s="3" t="n">
        <v>5.7</v>
      </c>
      <c r="G17" s="3" t="n">
        <v>5.7</v>
      </c>
      <c r="H17" s="3" t="n">
        <v>5.7</v>
      </c>
      <c r="I17" s="3" t="n">
        <v>5.7</v>
      </c>
      <c r="J17" s="3" t="n">
        <v>5.7</v>
      </c>
      <c r="K17" s="3" t="n">
        <v>5.7</v>
      </c>
      <c r="L17" s="3" t="n">
        <v>5.7</v>
      </c>
    </row>
    <row r="18" customFormat="false" ht="15" hidden="false" customHeight="false" outlineLevel="0" collapsed="false">
      <c r="A18" s="0" t="s">
        <v>110</v>
      </c>
      <c r="C18" s="3" t="n">
        <v>5.3</v>
      </c>
      <c r="D18" s="3" t="n">
        <v>5.8</v>
      </c>
      <c r="E18" s="3" t="n">
        <v>6.2</v>
      </c>
      <c r="F18" s="3" t="n">
        <v>6.5</v>
      </c>
      <c r="G18" s="3" t="n">
        <v>6.5</v>
      </c>
      <c r="H18" s="3" t="n">
        <v>6.5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111</v>
      </c>
      <c r="C19" s="3" t="n">
        <v>20</v>
      </c>
      <c r="D19" s="3" t="n">
        <v>22</v>
      </c>
      <c r="E19" s="3" t="n">
        <v>23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-4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11.5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12.8</v>
      </c>
      <c r="D28" s="3" t="n">
        <v>13.2</v>
      </c>
      <c r="E28" s="3" t="n">
        <v>13.5</v>
      </c>
      <c r="F28" s="3" t="n">
        <v>13.6</v>
      </c>
      <c r="G28" s="3" t="n">
        <v>13.6</v>
      </c>
      <c r="H28" s="3" t="n">
        <v>13.6</v>
      </c>
      <c r="I28" s="3" t="n">
        <v>13.6</v>
      </c>
      <c r="J28" s="3" t="n">
        <v>13.6</v>
      </c>
      <c r="K28" s="3" t="n">
        <v>13.6</v>
      </c>
      <c r="L28" s="3" t="n">
        <v>13.6</v>
      </c>
    </row>
    <row r="29" customFormat="false" ht="15" hidden="false" customHeight="false" outlineLevel="0" collapsed="false">
      <c r="A29" s="0" t="s">
        <v>107</v>
      </c>
      <c r="C29" s="3" t="n">
        <v>0.8</v>
      </c>
      <c r="D29" s="3" t="n">
        <v>0.8</v>
      </c>
      <c r="E29" s="3" t="n">
        <v>0.8</v>
      </c>
      <c r="F29" s="3" t="n">
        <v>0.8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5.5</v>
      </c>
      <c r="D31" s="3" t="n">
        <v>5.5</v>
      </c>
      <c r="E31" s="3" t="n">
        <v>5.5</v>
      </c>
      <c r="F31" s="3" t="n">
        <v>5.6</v>
      </c>
      <c r="G31" s="3" t="n">
        <v>5.7</v>
      </c>
      <c r="H31" s="3" t="n">
        <v>5.7</v>
      </c>
      <c r="I31" s="3" t="n">
        <v>5.7</v>
      </c>
      <c r="J31" s="3" t="n">
        <v>5.7</v>
      </c>
      <c r="K31" s="3" t="n">
        <v>5.7</v>
      </c>
      <c r="L31" s="3" t="n">
        <v>5.7</v>
      </c>
    </row>
    <row r="32" customFormat="false" ht="15" hidden="false" customHeight="false" outlineLevel="0" collapsed="false">
      <c r="A32" s="0" t="s">
        <v>110</v>
      </c>
      <c r="C32" s="3" t="n">
        <v>5.2</v>
      </c>
      <c r="D32" s="3" t="n">
        <v>5.8</v>
      </c>
      <c r="E32" s="3" t="n">
        <v>6.3</v>
      </c>
      <c r="F32" s="3" t="n">
        <v>6.6</v>
      </c>
      <c r="G32" s="3" t="n">
        <v>6.8</v>
      </c>
      <c r="H32" s="3" t="n">
        <v>6.8</v>
      </c>
      <c r="I32" s="3" t="n">
        <v>6.8</v>
      </c>
      <c r="J32" s="3" t="n">
        <v>6.7</v>
      </c>
      <c r="K32" s="3" t="n">
        <v>6.7</v>
      </c>
      <c r="L32" s="3" t="n">
        <v>6.7</v>
      </c>
    </row>
    <row r="33" customFormat="false" ht="15" hidden="false" customHeight="false" outlineLevel="0" collapsed="false">
      <c r="A33" s="0" t="s">
        <v>111</v>
      </c>
      <c r="C33" s="3" t="n">
        <v>20</v>
      </c>
      <c r="D33" s="3" t="n">
        <v>22</v>
      </c>
      <c r="E33" s="3" t="n">
        <v>23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-4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13</v>
      </c>
      <c r="D41" s="3" t="n">
        <v>8</v>
      </c>
      <c r="E41" s="3" t="n">
        <v>7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13</v>
      </c>
      <c r="D42" s="3" t="n">
        <v>13.8</v>
      </c>
      <c r="E42" s="3" t="n">
        <v>14.3</v>
      </c>
      <c r="F42" s="3" t="n">
        <v>14.6</v>
      </c>
      <c r="G42" s="3" t="n">
        <v>14.8</v>
      </c>
      <c r="H42" s="3" t="n">
        <v>14.8</v>
      </c>
      <c r="I42" s="3" t="n">
        <v>14.8</v>
      </c>
      <c r="J42" s="3" t="n">
        <v>14.8</v>
      </c>
      <c r="K42" s="3" t="n">
        <v>14.8</v>
      </c>
      <c r="L42" s="3" t="n">
        <v>14.8</v>
      </c>
    </row>
    <row r="43" customFormat="false" ht="15" hidden="false" customHeight="false" outlineLevel="0" collapsed="false">
      <c r="A43" s="0" t="s">
        <v>107</v>
      </c>
      <c r="C43" s="3" t="n">
        <v>0.8</v>
      </c>
      <c r="D43" s="3" t="n">
        <v>0.8</v>
      </c>
      <c r="E43" s="3" t="n">
        <v>0.8</v>
      </c>
      <c r="F43" s="3" t="n">
        <v>0.8</v>
      </c>
      <c r="G43" s="3" t="n">
        <v>0.8</v>
      </c>
      <c r="H43" s="3" t="n">
        <v>0.8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5.5</v>
      </c>
      <c r="D45" s="3" t="n">
        <v>5.4</v>
      </c>
      <c r="E45" s="3" t="n">
        <v>5.4</v>
      </c>
      <c r="F45" s="3" t="n">
        <v>5.4</v>
      </c>
      <c r="G45" s="3" t="n">
        <v>5.4</v>
      </c>
      <c r="H45" s="3" t="n">
        <v>5.4</v>
      </c>
      <c r="I45" s="3" t="n">
        <v>5.4</v>
      </c>
      <c r="J45" s="3" t="n">
        <v>5.4</v>
      </c>
      <c r="K45" s="3" t="n">
        <v>5.4</v>
      </c>
      <c r="L45" s="3" t="n">
        <v>5.4</v>
      </c>
    </row>
    <row r="46" customFormat="false" ht="15" hidden="false" customHeight="false" outlineLevel="0" collapsed="false">
      <c r="A46" s="0" t="s">
        <v>110</v>
      </c>
      <c r="C46" s="3" t="n">
        <v>5.3</v>
      </c>
      <c r="D46" s="3" t="n">
        <v>6</v>
      </c>
      <c r="E46" s="3" t="n">
        <v>6.5</v>
      </c>
      <c r="F46" s="3" t="n">
        <v>6.7</v>
      </c>
      <c r="G46" s="3" t="n">
        <v>6.8</v>
      </c>
      <c r="H46" s="3" t="n">
        <v>6.8</v>
      </c>
      <c r="I46" s="3" t="n">
        <v>6.8</v>
      </c>
      <c r="J46" s="3" t="n">
        <v>6.8</v>
      </c>
      <c r="K46" s="3" t="n">
        <v>6.8</v>
      </c>
      <c r="L46" s="3" t="n">
        <v>6.8</v>
      </c>
    </row>
    <row r="47" customFormat="false" ht="15" hidden="false" customHeight="false" outlineLevel="0" collapsed="false">
      <c r="A47" s="0" t="s">
        <v>111</v>
      </c>
      <c r="C47" s="3" t="n">
        <v>20</v>
      </c>
      <c r="D47" s="3" t="n">
        <v>22</v>
      </c>
      <c r="E47" s="3" t="n">
        <v>23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15</v>
      </c>
    </row>
    <row r="51" customFormat="false" ht="15" hidden="false" customHeight="false" outlineLevel="0" collapsed="false">
      <c r="A51" s="0" t="s">
        <v>115</v>
      </c>
      <c r="B51" s="3" t="n">
        <v>-4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9.5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11999.096</v>
      </c>
      <c r="C6" s="0" t="n">
        <f aca="false">B6*(1+C5/100)</f>
        <v>13139.01012</v>
      </c>
      <c r="D6" s="0" t="n">
        <f aca="false">C6*(1+D5/100)</f>
        <v>13270.4002212</v>
      </c>
      <c r="E6" s="0" t="n">
        <f aca="false">D6*(1+E5/100)</f>
        <v>13469.456224518</v>
      </c>
      <c r="F6" s="0" t="n">
        <f aca="false">E6*(1+F5/100)</f>
        <v>13806.1926301309</v>
      </c>
      <c r="G6" s="0" t="n">
        <f aca="false">F6*(1+G5/100)</f>
        <v>14151.3474458842</v>
      </c>
      <c r="H6" s="0" t="n">
        <f aca="false">G6*(1+H5/100)</f>
        <v>14505.1311320313</v>
      </c>
      <c r="I6" s="0" t="n">
        <f aca="false">H6*(1+I5/100)</f>
        <v>14867.7594103321</v>
      </c>
      <c r="J6" s="0" t="n">
        <f aca="false">I6*(1+J5/100)</f>
        <v>15239.4533955904</v>
      </c>
      <c r="K6" s="0" t="n">
        <f aca="false">J6*(1+K5/100)</f>
        <v>15544.2424635022</v>
      </c>
      <c r="L6" s="0" t="n">
        <f aca="false">K6*(1+L5/100)</f>
        <v>15855.1273127723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12.3</v>
      </c>
      <c r="D7" s="4" t="n">
        <f aca="false">Assumptions!D14</f>
        <v>12</v>
      </c>
      <c r="E7" s="4" t="n">
        <f aca="false">Assumptions!E14</f>
        <v>12.2</v>
      </c>
      <c r="F7" s="4" t="n">
        <f aca="false">Assumptions!F14</f>
        <v>12.5</v>
      </c>
      <c r="G7" s="4" t="n">
        <f aca="false">Assumptions!G14</f>
        <v>12.6</v>
      </c>
      <c r="H7" s="4" t="n">
        <f aca="false">Assumptions!H14</f>
        <v>12.6</v>
      </c>
      <c r="I7" s="4" t="n">
        <f aca="false">Assumptions!I14</f>
        <v>12.6</v>
      </c>
      <c r="J7" s="4" t="n">
        <f aca="false">Assumptions!J14</f>
        <v>12.6</v>
      </c>
      <c r="K7" s="4" t="n">
        <f aca="false">Assumptions!K14</f>
        <v>12.6</v>
      </c>
      <c r="L7" s="4" t="n">
        <f aca="false">Assumptions!L14</f>
        <v>12.6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1616.09824476</v>
      </c>
      <c r="D8" s="0" t="n">
        <f aca="false">D6*D7/100</f>
        <v>1592.448026544</v>
      </c>
      <c r="E8" s="0" t="n">
        <f aca="false">E6*E7/100</f>
        <v>1643.2736593912</v>
      </c>
      <c r="F8" s="0" t="n">
        <f aca="false">F6*F7/100</f>
        <v>1725.77407876637</v>
      </c>
      <c r="G8" s="0" t="n">
        <f aca="false">G6*G7/100</f>
        <v>1783.06977818141</v>
      </c>
      <c r="H8" s="0" t="n">
        <f aca="false">H6*H7/100</f>
        <v>1827.64652263595</v>
      </c>
      <c r="I8" s="0" t="n">
        <f aca="false">I6*I7/100</f>
        <v>1873.33768570185</v>
      </c>
      <c r="J8" s="0" t="n">
        <f aca="false">J6*J7/100</f>
        <v>1920.17112784439</v>
      </c>
      <c r="K8" s="0" t="n">
        <f aca="false">K6*K7/100</f>
        <v>1958.57455040128</v>
      </c>
      <c r="L8" s="0" t="n">
        <f aca="false">L6*L7/100</f>
        <v>1997.7460414093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0.8</v>
      </c>
      <c r="D9" s="4" t="n">
        <f aca="false">Assumptions!D15</f>
        <v>0.8</v>
      </c>
      <c r="E9" s="4" t="n">
        <f aca="false">Assumptions!E15</f>
        <v>0.8</v>
      </c>
      <c r="F9" s="4" t="n">
        <f aca="false">Assumptions!F15</f>
        <v>0.8</v>
      </c>
      <c r="G9" s="4" t="n">
        <f aca="false">Assumptions!G15</f>
        <v>0.8</v>
      </c>
      <c r="H9" s="4" t="n">
        <f aca="false">Assumptions!H15</f>
        <v>0.8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-105.11208096</v>
      </c>
      <c r="D10" s="0" t="n">
        <f aca="false">-D6*D9/100</f>
        <v>-106.1632017696</v>
      </c>
      <c r="E10" s="0" t="n">
        <f aca="false">-E6*E9/100</f>
        <v>-107.755649796144</v>
      </c>
      <c r="F10" s="0" t="n">
        <f aca="false">-F6*F9/100</f>
        <v>-110.449541041048</v>
      </c>
      <c r="G10" s="0" t="n">
        <f aca="false">-G6*G9/100</f>
        <v>-113.210779567074</v>
      </c>
      <c r="H10" s="0" t="n">
        <f aca="false">-H6*H9/100</f>
        <v>-116.041049056251</v>
      </c>
      <c r="I10" s="0" t="n">
        <f aca="false">-I6*I9/100</f>
        <v>-118.942075282657</v>
      </c>
      <c r="J10" s="0" t="n">
        <f aca="false">-J6*J9/100</f>
        <v>-121.915627164723</v>
      </c>
      <c r="K10" s="0" t="n">
        <f aca="false">-K6*K9/100</f>
        <v>-124.353939708018</v>
      </c>
      <c r="L10" s="0" t="n">
        <f aca="false">-L6*L9/100</f>
        <v>-126.841018502178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1510.9861638</v>
      </c>
      <c r="D11" s="0" t="n">
        <f aca="false">D8+D10+D24</f>
        <v>1486.2848247744</v>
      </c>
      <c r="E11" s="0" t="n">
        <f aca="false">E8+E10+E24</f>
        <v>1535.51800959505</v>
      </c>
      <c r="F11" s="0" t="n">
        <f aca="false">F8+F10+F24</f>
        <v>1615.32453772532</v>
      </c>
      <c r="G11" s="0" t="n">
        <f aca="false">G8+G10+G24</f>
        <v>1669.85899861434</v>
      </c>
      <c r="H11" s="0" t="n">
        <f aca="false">H8+H10+H24</f>
        <v>1711.6054735797</v>
      </c>
      <c r="I11" s="0" t="n">
        <f aca="false">I8+I10+I24</f>
        <v>1754.39561041919</v>
      </c>
      <c r="J11" s="0" t="n">
        <f aca="false">J8+J10+J24</f>
        <v>1798.25550067967</v>
      </c>
      <c r="K11" s="0" t="n">
        <f aca="false">K8+K10+K24</f>
        <v>1834.22061069326</v>
      </c>
      <c r="L11" s="0" t="n">
        <f aca="false">L8+L10+L24</f>
        <v>1870.90502290713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-735.78456672</v>
      </c>
      <c r="D12" s="4" t="n">
        <f aca="false">-D6*Assumptions!D17/100</f>
        <v>-756.4128126084</v>
      </c>
      <c r="E12" s="4" t="n">
        <f aca="false">-E6*Assumptions!E17/100</f>
        <v>-767.759004797526</v>
      </c>
      <c r="F12" s="4" t="n">
        <f aca="false">-F6*Assumptions!F17/100</f>
        <v>-786.952979917464</v>
      </c>
      <c r="G12" s="4" t="n">
        <f aca="false">-G6*Assumptions!G17/100</f>
        <v>-806.626804415401</v>
      </c>
      <c r="H12" s="4" t="n">
        <f aca="false">-H6*Assumptions!H17/100</f>
        <v>-826.792474525786</v>
      </c>
      <c r="I12" s="4" t="n">
        <f aca="false">-I6*Assumptions!I17/100</f>
        <v>-847.46228638893</v>
      </c>
      <c r="J12" s="4" t="n">
        <f aca="false">-J6*Assumptions!J17/100</f>
        <v>-868.648843548653</v>
      </c>
      <c r="K12" s="4" t="n">
        <f aca="false">-K6*Assumptions!K17/100</f>
        <v>-886.021820419626</v>
      </c>
      <c r="L12" s="4" t="n">
        <f aca="false">-L6*Assumptions!L17/100</f>
        <v>-903.742256828019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775.20159708</v>
      </c>
      <c r="D13" s="0" t="n">
        <f aca="false">D11+D12</f>
        <v>729.872012166</v>
      </c>
      <c r="E13" s="0" t="n">
        <f aca="false">E11+E12</f>
        <v>767.759004797526</v>
      </c>
      <c r="F13" s="0" t="n">
        <f aca="false">F11+F12</f>
        <v>828.371557807857</v>
      </c>
      <c r="G13" s="0" t="n">
        <f aca="false">G11+G12</f>
        <v>863.232194198937</v>
      </c>
      <c r="H13" s="0" t="n">
        <f aca="false">H11+H12</f>
        <v>884.812999053911</v>
      </c>
      <c r="I13" s="0" t="n">
        <f aca="false">I11+I12</f>
        <v>906.933324030258</v>
      </c>
      <c r="J13" s="0" t="n">
        <f aca="false">J11+J12</f>
        <v>929.606657131015</v>
      </c>
      <c r="K13" s="0" t="n">
        <f aca="false">K11+K12</f>
        <v>948.198790273635</v>
      </c>
      <c r="L13" s="0" t="n">
        <f aca="false">L11+L12</f>
        <v>967.162766079108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20</v>
      </c>
      <c r="D14" s="4" t="n">
        <f aca="false">Assumptions!D19</f>
        <v>22</v>
      </c>
      <c r="E14" s="4" t="n">
        <f aca="false">Assumptions!E19</f>
        <v>23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620.161277664</v>
      </c>
      <c r="D15" s="0" t="n">
        <f aca="false">D13-MAX(0,D13)*D14/100</f>
        <v>569.30016948948</v>
      </c>
      <c r="E15" s="0" t="n">
        <f aca="false">E13-MAX(0,E13)*E14/100</f>
        <v>591.174433694095</v>
      </c>
      <c r="F15" s="0" t="n">
        <f aca="false">F13-MAX(0,F13)*F14/100</f>
        <v>629.562383933971</v>
      </c>
      <c r="G15" s="0" t="n">
        <f aca="false">G13-MAX(0,G13)*G14/100</f>
        <v>656.056467591192</v>
      </c>
      <c r="H15" s="0" t="n">
        <f aca="false">H13-MAX(0,H13)*H14/100</f>
        <v>672.457879280972</v>
      </c>
      <c r="I15" s="0" t="n">
        <f aca="false">I13-MAX(0,I13)*I14/100</f>
        <v>689.269326262996</v>
      </c>
      <c r="J15" s="0" t="n">
        <f aca="false">J13-MAX(0,J13)*J14/100</f>
        <v>706.501059419571</v>
      </c>
      <c r="K15" s="0" t="n">
        <f aca="false">K13-MAX(0,K13)*K14/100</f>
        <v>720.631080607963</v>
      </c>
      <c r="L15" s="0" t="n">
        <f aca="false">L13-MAX(0,L13)*L14/100</f>
        <v>735.043702220122</v>
      </c>
    </row>
    <row r="16" customFormat="false" ht="15" hidden="false" customHeight="false" outlineLevel="0" collapsed="false">
      <c r="A16" s="0" t="s">
        <v>127</v>
      </c>
      <c r="C16" s="0" t="n">
        <f aca="false">-C12</f>
        <v>735.78456672</v>
      </c>
      <c r="D16" s="0" t="n">
        <f aca="false">-D12</f>
        <v>756.4128126084</v>
      </c>
      <c r="E16" s="0" t="n">
        <f aca="false">-E12</f>
        <v>767.759004797526</v>
      </c>
      <c r="F16" s="0" t="n">
        <f aca="false">-F12</f>
        <v>786.952979917464</v>
      </c>
      <c r="G16" s="0" t="n">
        <f aca="false">-G12</f>
        <v>806.626804415401</v>
      </c>
      <c r="H16" s="0" t="n">
        <f aca="false">-H12</f>
        <v>826.792474525786</v>
      </c>
      <c r="I16" s="0" t="n">
        <f aca="false">-I12</f>
        <v>847.46228638893</v>
      </c>
      <c r="J16" s="0" t="n">
        <f aca="false">-J12</f>
        <v>868.648843548653</v>
      </c>
      <c r="K16" s="0" t="n">
        <f aca="false">-K12</f>
        <v>886.021820419626</v>
      </c>
      <c r="L16" s="0" t="n">
        <f aca="false">-L12</f>
        <v>903.742256828019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-696.36753636</v>
      </c>
      <c r="D17" s="4" t="n">
        <f aca="false">-D6*Assumptions!D18/100</f>
        <v>-769.6832128296</v>
      </c>
      <c r="E17" s="4" t="n">
        <f aca="false">-E6*Assumptions!E18/100</f>
        <v>-835.106285920116</v>
      </c>
      <c r="F17" s="4" t="n">
        <f aca="false">-F6*Assumptions!F18/100</f>
        <v>-897.402520958512</v>
      </c>
      <c r="G17" s="4" t="n">
        <f aca="false">-G6*Assumptions!G18/100</f>
        <v>-919.837583982474</v>
      </c>
      <c r="H17" s="4" t="n">
        <f aca="false">-H6*Assumptions!H18/100</f>
        <v>-942.833523582036</v>
      </c>
      <c r="I17" s="4" t="n">
        <f aca="false">-I6*Assumptions!I18/100</f>
        <v>-966.404361671587</v>
      </c>
      <c r="J17" s="4" t="n">
        <f aca="false">-J6*Assumptions!J18/100</f>
        <v>-990.564470713376</v>
      </c>
      <c r="K17" s="4" t="n">
        <f aca="false">-K6*Assumptions!K18/100</f>
        <v>-1010.37576012764</v>
      </c>
      <c r="L17" s="4" t="n">
        <f aca="false">-L6*Assumptions!L18/100</f>
        <v>-1030.5832753302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-45.5965648</v>
      </c>
      <c r="D18" s="4" t="n">
        <f aca="false">(D6-C6)*Assumptions!$B$23/100</f>
        <v>-5.25560404800002</v>
      </c>
      <c r="E18" s="4" t="n">
        <f aca="false">(E6-D6)*Assumptions!$B$23/100</f>
        <v>-7.96224013271996</v>
      </c>
      <c r="F18" s="4" t="n">
        <f aca="false">(F6-E6)*Assumptions!$B$23/100</f>
        <v>-13.4694562245179</v>
      </c>
      <c r="G18" s="4" t="n">
        <f aca="false">(G6-F6)*Assumptions!$B$23/100</f>
        <v>-13.8061926301309</v>
      </c>
      <c r="H18" s="4" t="n">
        <f aca="false">(H6-G6)*Assumptions!$B$23/100</f>
        <v>-14.1513474458842</v>
      </c>
      <c r="I18" s="4" t="n">
        <f aca="false">(I6-H6)*Assumptions!$B$23/100</f>
        <v>-14.5051311320312</v>
      </c>
      <c r="J18" s="4" t="n">
        <f aca="false">(J6-I6)*Assumptions!$B$23/100</f>
        <v>-14.8677594103321</v>
      </c>
      <c r="K18" s="4" t="n">
        <f aca="false">(K6-J6)*Assumptions!$B$23/100</f>
        <v>-12.1915627164723</v>
      </c>
      <c r="L18" s="4" t="n">
        <f aca="false">(L6-K6)*Assumptions!$B$23/100</f>
        <v>-12.4353939708018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613.981743224</v>
      </c>
      <c r="D19" s="0" t="n">
        <f aca="false">D15+D16+D17+D18</f>
        <v>550.77416522028</v>
      </c>
      <c r="E19" s="0" t="n">
        <f aca="false">E15+E16+E17+E18</f>
        <v>515.864912438785</v>
      </c>
      <c r="F19" s="0" t="n">
        <f aca="false">F15+F16+F17+F18</f>
        <v>505.643386668406</v>
      </c>
      <c r="G19" s="0" t="n">
        <f aca="false">G15+G16+G17+G18</f>
        <v>529.039495393988</v>
      </c>
      <c r="H19" s="0" t="n">
        <f aca="false">H15+H16+H17+H18</f>
        <v>542.265482778837</v>
      </c>
      <c r="I19" s="0" t="n">
        <f aca="false">I15+I16+I17+I18</f>
        <v>555.822119848308</v>
      </c>
      <c r="J19" s="0" t="n">
        <f aca="false">J15+J16+J17+J18</f>
        <v>569.717672844516</v>
      </c>
      <c r="K19" s="0" t="n">
        <f aca="false">K15+K16+K17+K18</f>
        <v>584.085578183473</v>
      </c>
      <c r="L19" s="0" t="n">
        <f aca="false">L15+L16+L17+L18</f>
        <v>595.767289747142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563.286002957798</v>
      </c>
      <c r="D21" s="0" t="n">
        <f aca="false">D19*D20</f>
        <v>463.575595674001</v>
      </c>
      <c r="E21" s="0" t="n">
        <f aca="false">E19*E20</f>
        <v>398.342363328377</v>
      </c>
      <c r="F21" s="0" t="n">
        <f aca="false">F19*F20</f>
        <v>358.210522924286</v>
      </c>
      <c r="G21" s="0" t="n">
        <f aca="false">G19*G20</f>
        <v>343.839372647991</v>
      </c>
      <c r="H21" s="0" t="n">
        <f aca="false">H19*H20</f>
        <v>323.335189875405</v>
      </c>
      <c r="I21" s="0" t="n">
        <f aca="false">I19*I20</f>
        <v>304.053733598431</v>
      </c>
      <c r="J21" s="0" t="n">
        <f aca="false">J19*J20</f>
        <v>285.922088934304</v>
      </c>
      <c r="K21" s="0" t="n">
        <f aca="false">K19*K20</f>
        <v>268.929225810511</v>
      </c>
      <c r="L21" s="0" t="n">
        <f aca="false">L19*L20</f>
        <v>251.658541584148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3561.15263733525</v>
      </c>
    </row>
    <row r="31" customFormat="false" ht="15" hidden="false" customHeight="false" outlineLevel="0" collapsed="false">
      <c r="A31" s="0" t="s">
        <v>136</v>
      </c>
      <c r="B31" s="0" t="n">
        <f aca="false">L19</f>
        <v>595.767289747142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8681.18050774407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8936.50934620713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8681.18050774407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3667.0244630833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7228.17710041855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6087.00210041855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64.2766853264894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-0.715677952286949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727.097397743939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780.72281874908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80.1987573063524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4674.48181186219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29.5553982990472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11.5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11999.096</v>
      </c>
      <c r="C6" s="0" t="n">
        <f aca="false">B6*(1+C5/100)</f>
        <v>13378.99204</v>
      </c>
      <c r="D6" s="0" t="n">
        <f aca="false">C6*(1+D5/100)</f>
        <v>14114.8366022</v>
      </c>
      <c r="E6" s="0" t="n">
        <f aca="false">D6*(1+E5/100)</f>
        <v>14820.57843231</v>
      </c>
      <c r="F6" s="0" t="n">
        <f aca="false">E6*(1+F5/100)</f>
        <v>15487.5044617639</v>
      </c>
      <c r="G6" s="0" t="n">
        <f aca="false">F6*(1+G5/100)</f>
        <v>16107.0046402345</v>
      </c>
      <c r="H6" s="0" t="n">
        <f aca="false">G6*(1+H5/100)</f>
        <v>16670.7498026427</v>
      </c>
      <c r="I6" s="0" t="n">
        <f aca="false">H6*(1+I5/100)</f>
        <v>17170.872296722</v>
      </c>
      <c r="J6" s="0" t="n">
        <f aca="false">I6*(1+J5/100)</f>
        <v>17685.9984656237</v>
      </c>
      <c r="K6" s="0" t="n">
        <f aca="false">J6*(1+K5/100)</f>
        <v>18128.1484272642</v>
      </c>
      <c r="L6" s="0" t="n">
        <f aca="false">K6*(1+L5/100)</f>
        <v>18581.3521379459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12.8</v>
      </c>
      <c r="D7" s="4" t="n">
        <f aca="false">Assumptions!D28</f>
        <v>13.2</v>
      </c>
      <c r="E7" s="4" t="n">
        <f aca="false">Assumptions!E28</f>
        <v>13.5</v>
      </c>
      <c r="F7" s="4" t="n">
        <f aca="false">Assumptions!F28</f>
        <v>13.6</v>
      </c>
      <c r="G7" s="4" t="n">
        <f aca="false">Assumptions!G28</f>
        <v>13.6</v>
      </c>
      <c r="H7" s="4" t="n">
        <f aca="false">Assumptions!H28</f>
        <v>13.6</v>
      </c>
      <c r="I7" s="4" t="n">
        <f aca="false">Assumptions!I28</f>
        <v>13.6</v>
      </c>
      <c r="J7" s="4" t="n">
        <f aca="false">Assumptions!J28</f>
        <v>13.6</v>
      </c>
      <c r="K7" s="4" t="n">
        <f aca="false">Assumptions!K28</f>
        <v>13.6</v>
      </c>
      <c r="L7" s="4" t="n">
        <f aca="false">Assumptions!L28</f>
        <v>13.6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1712.51098112</v>
      </c>
      <c r="D8" s="0" t="n">
        <f aca="false">D6*D7/100</f>
        <v>1863.1584314904</v>
      </c>
      <c r="E8" s="0" t="n">
        <f aca="false">E6*E7/100</f>
        <v>2000.77808836185</v>
      </c>
      <c r="F8" s="0" t="n">
        <f aca="false">F6*F7/100</f>
        <v>2106.3006067999</v>
      </c>
      <c r="G8" s="0" t="n">
        <f aca="false">G6*G7/100</f>
        <v>2190.55263107189</v>
      </c>
      <c r="H8" s="0" t="n">
        <f aca="false">H6*H7/100</f>
        <v>2267.22197315941</v>
      </c>
      <c r="I8" s="0" t="n">
        <f aca="false">I6*I7/100</f>
        <v>2335.23863235419</v>
      </c>
      <c r="J8" s="0" t="n">
        <f aca="false">J6*J7/100</f>
        <v>2405.29579132482</v>
      </c>
      <c r="K8" s="0" t="n">
        <f aca="false">K6*K7/100</f>
        <v>2465.42818610794</v>
      </c>
      <c r="L8" s="0" t="n">
        <f aca="false">L6*L7/100</f>
        <v>2527.06389076064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0.8</v>
      </c>
      <c r="D9" s="4" t="n">
        <f aca="false">Assumptions!D29</f>
        <v>0.8</v>
      </c>
      <c r="E9" s="4" t="n">
        <f aca="false">Assumptions!E29</f>
        <v>0.8</v>
      </c>
      <c r="F9" s="4" t="n">
        <f aca="false">Assumptions!F29</f>
        <v>0.8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-107.03193632</v>
      </c>
      <c r="D10" s="0" t="n">
        <f aca="false">-D6*D9/100</f>
        <v>-112.9186928176</v>
      </c>
      <c r="E10" s="0" t="n">
        <f aca="false">-E6*E9/100</f>
        <v>-118.56462745848</v>
      </c>
      <c r="F10" s="0" t="n">
        <f aca="false">-F6*F9/100</f>
        <v>-123.900035694112</v>
      </c>
      <c r="G10" s="0" t="n">
        <f aca="false">-G6*G9/100</f>
        <v>-128.856037121876</v>
      </c>
      <c r="H10" s="0" t="n">
        <f aca="false">-H6*H9/100</f>
        <v>-133.365998421142</v>
      </c>
      <c r="I10" s="0" t="n">
        <f aca="false">-I6*I9/100</f>
        <v>-137.366978373776</v>
      </c>
      <c r="J10" s="0" t="n">
        <f aca="false">-J6*J9/100</f>
        <v>-141.487987724989</v>
      </c>
      <c r="K10" s="0" t="n">
        <f aca="false">-K6*K9/100</f>
        <v>-145.025187418114</v>
      </c>
      <c r="L10" s="0" t="n">
        <f aca="false">-L6*L9/100</f>
        <v>-148.650817103567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1605.4790448</v>
      </c>
      <c r="D11" s="0" t="n">
        <f aca="false">D8+D10+D24</f>
        <v>1750.2397386728</v>
      </c>
      <c r="E11" s="0" t="n">
        <f aca="false">E8+E10+E24</f>
        <v>1882.21346090337</v>
      </c>
      <c r="F11" s="0" t="n">
        <f aca="false">F8+F10+F24</f>
        <v>1982.40057110579</v>
      </c>
      <c r="G11" s="0" t="n">
        <f aca="false">G8+G10+G24</f>
        <v>2061.69659395002</v>
      </c>
      <c r="H11" s="0" t="n">
        <f aca="false">H8+H10+H24</f>
        <v>2133.85597473827</v>
      </c>
      <c r="I11" s="0" t="n">
        <f aca="false">I8+I10+I24</f>
        <v>2197.87165398042</v>
      </c>
      <c r="J11" s="0" t="n">
        <f aca="false">J8+J10+J24</f>
        <v>2263.80780359983</v>
      </c>
      <c r="K11" s="0" t="n">
        <f aca="false">K8+K10+K24</f>
        <v>2320.40299868982</v>
      </c>
      <c r="L11" s="0" t="n">
        <f aca="false">L8+L10+L24</f>
        <v>2378.41307365707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-735.8445622</v>
      </c>
      <c r="D12" s="4" t="n">
        <f aca="false">-D6*Assumptions!D31/100</f>
        <v>-776.316013121</v>
      </c>
      <c r="E12" s="4" t="n">
        <f aca="false">-E6*Assumptions!E31/100</f>
        <v>-815.13181377705</v>
      </c>
      <c r="F12" s="4" t="n">
        <f aca="false">-F6*Assumptions!F31/100</f>
        <v>-867.300249858781</v>
      </c>
      <c r="G12" s="4" t="n">
        <f aca="false">-G6*Assumptions!G31/100</f>
        <v>-918.099264493367</v>
      </c>
      <c r="H12" s="4" t="n">
        <f aca="false">-H6*Assumptions!H31/100</f>
        <v>-950.232738750635</v>
      </c>
      <c r="I12" s="4" t="n">
        <f aca="false">-I6*Assumptions!I31/100</f>
        <v>-978.739720913154</v>
      </c>
      <c r="J12" s="4" t="n">
        <f aca="false">-J6*Assumptions!J31/100</f>
        <v>-1008.10191254055</v>
      </c>
      <c r="K12" s="4" t="n">
        <f aca="false">-K6*Assumptions!K31/100</f>
        <v>-1033.30446035406</v>
      </c>
      <c r="L12" s="4" t="n">
        <f aca="false">-L6*Assumptions!L31/100</f>
        <v>-1059.13707186291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869.6344826</v>
      </c>
      <c r="D13" s="0" t="n">
        <f aca="false">D11+D12</f>
        <v>973.9237255518</v>
      </c>
      <c r="E13" s="0" t="n">
        <f aca="false">E11+E12</f>
        <v>1067.08164712632</v>
      </c>
      <c r="F13" s="0" t="n">
        <f aca="false">F11+F12</f>
        <v>1115.100321247</v>
      </c>
      <c r="G13" s="0" t="n">
        <f aca="false">G11+G12</f>
        <v>1143.59732945665</v>
      </c>
      <c r="H13" s="0" t="n">
        <f aca="false">H11+H12</f>
        <v>1183.62323598763</v>
      </c>
      <c r="I13" s="0" t="n">
        <f aca="false">I11+I12</f>
        <v>1219.13193306726</v>
      </c>
      <c r="J13" s="0" t="n">
        <f aca="false">J11+J12</f>
        <v>1255.70589105928</v>
      </c>
      <c r="K13" s="0" t="n">
        <f aca="false">K11+K12</f>
        <v>1287.09853833576</v>
      </c>
      <c r="L13" s="0" t="n">
        <f aca="false">L11+L12</f>
        <v>1319.27600179416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20</v>
      </c>
      <c r="D14" s="4" t="n">
        <f aca="false">Assumptions!D33</f>
        <v>22</v>
      </c>
      <c r="E14" s="4" t="n">
        <f aca="false">Assumptions!E33</f>
        <v>23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695.70758608</v>
      </c>
      <c r="D15" s="0" t="n">
        <f aca="false">D13-MAX(0,D13)*D14/100</f>
        <v>759.660505930404</v>
      </c>
      <c r="E15" s="0" t="n">
        <f aca="false">E13-MAX(0,E13)*E14/100</f>
        <v>821.652868287267</v>
      </c>
      <c r="F15" s="0" t="n">
        <f aca="false">F13-MAX(0,F13)*F14/100</f>
        <v>847.476244147723</v>
      </c>
      <c r="G15" s="0" t="n">
        <f aca="false">G13-MAX(0,G13)*G14/100</f>
        <v>869.133970387054</v>
      </c>
      <c r="H15" s="0" t="n">
        <f aca="false">H13-MAX(0,H13)*H14/100</f>
        <v>899.553659350601</v>
      </c>
      <c r="I15" s="0" t="n">
        <f aca="false">I13-MAX(0,I13)*I14/100</f>
        <v>926.540269131119</v>
      </c>
      <c r="J15" s="0" t="n">
        <f aca="false">J13-MAX(0,J13)*J14/100</f>
        <v>954.336477205053</v>
      </c>
      <c r="K15" s="0" t="n">
        <f aca="false">K13-MAX(0,K13)*K14/100</f>
        <v>978.194889135178</v>
      </c>
      <c r="L15" s="0" t="n">
        <f aca="false">L13-MAX(0,L13)*L14/100</f>
        <v>1002.64976136356</v>
      </c>
    </row>
    <row r="16" customFormat="false" ht="15" hidden="false" customHeight="false" outlineLevel="0" collapsed="false">
      <c r="A16" s="0" t="s">
        <v>127</v>
      </c>
      <c r="C16" s="0" t="n">
        <f aca="false">-C12</f>
        <v>735.8445622</v>
      </c>
      <c r="D16" s="0" t="n">
        <f aca="false">-D12</f>
        <v>776.316013121</v>
      </c>
      <c r="E16" s="0" t="n">
        <f aca="false">-E12</f>
        <v>815.13181377705</v>
      </c>
      <c r="F16" s="0" t="n">
        <f aca="false">-F12</f>
        <v>867.300249858781</v>
      </c>
      <c r="G16" s="0" t="n">
        <f aca="false">-G12</f>
        <v>918.099264493367</v>
      </c>
      <c r="H16" s="0" t="n">
        <f aca="false">-H12</f>
        <v>950.232738750635</v>
      </c>
      <c r="I16" s="0" t="n">
        <f aca="false">-I12</f>
        <v>978.739720913154</v>
      </c>
      <c r="J16" s="0" t="n">
        <f aca="false">-J12</f>
        <v>1008.10191254055</v>
      </c>
      <c r="K16" s="0" t="n">
        <f aca="false">-K12</f>
        <v>1033.30446035406</v>
      </c>
      <c r="L16" s="0" t="n">
        <f aca="false">-L12</f>
        <v>1059.13707186291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-695.70758608</v>
      </c>
      <c r="D17" s="4" t="n">
        <f aca="false">-D6*Assumptions!D32/100</f>
        <v>-818.6605229276</v>
      </c>
      <c r="E17" s="4" t="n">
        <f aca="false">-E6*Assumptions!E32/100</f>
        <v>-933.69644123553</v>
      </c>
      <c r="F17" s="4" t="n">
        <f aca="false">-F6*Assumptions!F32/100</f>
        <v>-1022.17529447642</v>
      </c>
      <c r="G17" s="4" t="n">
        <f aca="false">-G6*Assumptions!G32/100</f>
        <v>-1095.27631553595</v>
      </c>
      <c r="H17" s="4" t="n">
        <f aca="false">-H6*Assumptions!H32/100</f>
        <v>-1133.6109865797</v>
      </c>
      <c r="I17" s="4" t="n">
        <f aca="false">-I6*Assumptions!I32/100</f>
        <v>-1167.6193161771</v>
      </c>
      <c r="J17" s="4" t="n">
        <f aca="false">-J6*Assumptions!J32/100</f>
        <v>-1184.96189719679</v>
      </c>
      <c r="K17" s="4" t="n">
        <f aca="false">-K6*Assumptions!K32/100</f>
        <v>-1214.5859446267</v>
      </c>
      <c r="L17" s="4" t="n">
        <f aca="false">-L6*Assumptions!L32/100</f>
        <v>-1244.95059324237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-55.1958416</v>
      </c>
      <c r="D18" s="4" t="n">
        <f aca="false">(D6-C6)*Assumptions!$B$37/100</f>
        <v>-29.433782488</v>
      </c>
      <c r="E18" s="4" t="n">
        <f aca="false">(E6-D6)*Assumptions!$B$37/100</f>
        <v>-28.2296732044</v>
      </c>
      <c r="F18" s="4" t="n">
        <f aca="false">(F6-E6)*Assumptions!$B$37/100</f>
        <v>-26.677041178158</v>
      </c>
      <c r="G18" s="4" t="n">
        <f aca="false">(G6-F6)*Assumptions!$B$37/100</f>
        <v>-24.7800071388223</v>
      </c>
      <c r="H18" s="4" t="n">
        <f aca="false">(H6-G6)*Assumptions!$B$37/100</f>
        <v>-22.5498064963282</v>
      </c>
      <c r="I18" s="4" t="n">
        <f aca="false">(I6-H6)*Assumptions!$B$37/100</f>
        <v>-20.0048997631713</v>
      </c>
      <c r="J18" s="4" t="n">
        <f aca="false">(J6-I6)*Assumptions!$B$37/100</f>
        <v>-20.6050467560664</v>
      </c>
      <c r="K18" s="4" t="n">
        <f aca="false">(K6-J6)*Assumptions!$B$37/100</f>
        <v>-17.6859984656236</v>
      </c>
      <c r="L18" s="4" t="n">
        <f aca="false">(L6-K6)*Assumptions!$B$37/100</f>
        <v>-18.1281484272642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680.6487206</v>
      </c>
      <c r="D19" s="0" t="n">
        <f aca="false">D15+D16+D17+D18</f>
        <v>687.882213635804</v>
      </c>
      <c r="E19" s="0" t="n">
        <f aca="false">E15+E16+E17+E18</f>
        <v>674.858567624387</v>
      </c>
      <c r="F19" s="0" t="n">
        <f aca="false">F15+F16+F17+F18</f>
        <v>665.924158351926</v>
      </c>
      <c r="G19" s="0" t="n">
        <f aca="false">G15+G16+G17+G18</f>
        <v>667.176912205652</v>
      </c>
      <c r="H19" s="0" t="n">
        <f aca="false">H15+H16+H17+H18</f>
        <v>693.625605025203</v>
      </c>
      <c r="I19" s="0" t="n">
        <f aca="false">I15+I16+I17+I18</f>
        <v>717.655774104006</v>
      </c>
      <c r="J19" s="0" t="n">
        <f aca="false">J15+J16+J17+J18</f>
        <v>756.87144579275</v>
      </c>
      <c r="K19" s="0" t="n">
        <f aca="false">K15+K16+K17+K18</f>
        <v>779.227406396912</v>
      </c>
      <c r="L19" s="0" t="n">
        <f aca="false">L15+L16+L17+L18</f>
        <v>798.708091556835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624.448367522936</v>
      </c>
      <c r="D21" s="0" t="n">
        <f aca="false">D19*D20</f>
        <v>578.97669694117</v>
      </c>
      <c r="E21" s="0" t="n">
        <f aca="false">E19*E20</f>
        <v>521.114637297224</v>
      </c>
      <c r="F21" s="0" t="n">
        <f aca="false">F19*F20</f>
        <v>471.757462433876</v>
      </c>
      <c r="G21" s="0" t="n">
        <f aca="false">G19*G20</f>
        <v>433.619215456069</v>
      </c>
      <c r="H21" s="0" t="n">
        <f aca="false">H19*H20</f>
        <v>413.586285363356</v>
      </c>
      <c r="I21" s="0" t="n">
        <f aca="false">I19*I20</f>
        <v>392.582284444431</v>
      </c>
      <c r="J21" s="0" t="n">
        <f aca="false">J19*J20</f>
        <v>379.848256690556</v>
      </c>
      <c r="K21" s="0" t="n">
        <f aca="false">K19*K20</f>
        <v>358.777944465577</v>
      </c>
      <c r="L21" s="0" t="n">
        <f aca="false">L19*L20</f>
        <v>337.382929428639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4512.09408004383</v>
      </c>
    </row>
    <row r="31" customFormat="false" ht="15" hidden="false" customHeight="false" outlineLevel="0" collapsed="false">
      <c r="A31" s="0" t="s">
        <v>136</v>
      </c>
      <c r="B31" s="0" t="n">
        <f aca="false">L19</f>
        <v>798.708091556835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12595.0122130116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11980.6213733525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11980.6213733525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5060.74394142958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9572.83802147341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8431.66302147341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89.0355123703634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-0.606159541865956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811.550595310827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990.176990590487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108.061146857178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6549.40635076605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42.0480137281626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13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11999.096</v>
      </c>
      <c r="C6" s="0" t="n">
        <f aca="false">B6*(1+C5/100)</f>
        <v>13558.97848</v>
      </c>
      <c r="D6" s="0" t="n">
        <f aca="false">C6*(1+D5/100)</f>
        <v>14643.6967584</v>
      </c>
      <c r="E6" s="0" t="n">
        <f aca="false">D6*(1+E5/100)</f>
        <v>15668.755531488</v>
      </c>
      <c r="F6" s="0" t="n">
        <f aca="false">E6*(1+F5/100)</f>
        <v>16608.8808633773</v>
      </c>
      <c r="G6" s="0" t="n">
        <f aca="false">F6*(1+G5/100)</f>
        <v>17439.3249065461</v>
      </c>
      <c r="H6" s="0" t="n">
        <f aca="false">G6*(1+H5/100)</f>
        <v>18224.0945273407</v>
      </c>
      <c r="I6" s="0" t="n">
        <f aca="false">H6*(1+I5/100)</f>
        <v>18953.0583084344</v>
      </c>
      <c r="J6" s="0" t="n">
        <f aca="false">I6*(1+J5/100)</f>
        <v>19616.4153492295</v>
      </c>
      <c r="K6" s="0" t="n">
        <f aca="false">J6*(1+K5/100)</f>
        <v>20204.9078097064</v>
      </c>
      <c r="L6" s="0" t="n">
        <f aca="false">K6*(1+L5/100)</f>
        <v>20811.0550439976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13</v>
      </c>
      <c r="D7" s="4" t="n">
        <f aca="false">Assumptions!D42</f>
        <v>13.8</v>
      </c>
      <c r="E7" s="4" t="n">
        <f aca="false">Assumptions!E42</f>
        <v>14.3</v>
      </c>
      <c r="F7" s="4" t="n">
        <f aca="false">Assumptions!F42</f>
        <v>14.6</v>
      </c>
      <c r="G7" s="4" t="n">
        <f aca="false">Assumptions!G42</f>
        <v>14.8</v>
      </c>
      <c r="H7" s="4" t="n">
        <f aca="false">Assumptions!H42</f>
        <v>14.8</v>
      </c>
      <c r="I7" s="4" t="n">
        <f aca="false">Assumptions!I42</f>
        <v>14.8</v>
      </c>
      <c r="J7" s="4" t="n">
        <f aca="false">Assumptions!J42</f>
        <v>14.8</v>
      </c>
      <c r="K7" s="4" t="n">
        <f aca="false">Assumptions!K42</f>
        <v>14.8</v>
      </c>
      <c r="L7" s="4" t="n">
        <f aca="false">Assumptions!L42</f>
        <v>14.8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1762.6672024</v>
      </c>
      <c r="D8" s="0" t="n">
        <f aca="false">D6*D7/100</f>
        <v>2020.8301526592</v>
      </c>
      <c r="E8" s="0" t="n">
        <f aca="false">E6*E7/100</f>
        <v>2240.63204100278</v>
      </c>
      <c r="F8" s="0" t="n">
        <f aca="false">F6*F7/100</f>
        <v>2424.89660605308</v>
      </c>
      <c r="G8" s="0" t="n">
        <f aca="false">G6*G7/100</f>
        <v>2581.02008616883</v>
      </c>
      <c r="H8" s="0" t="n">
        <f aca="false">H6*H7/100</f>
        <v>2697.16599004643</v>
      </c>
      <c r="I8" s="0" t="n">
        <f aca="false">I6*I7/100</f>
        <v>2805.05262964828</v>
      </c>
      <c r="J8" s="0" t="n">
        <f aca="false">J6*J7/100</f>
        <v>2903.22947168597</v>
      </c>
      <c r="K8" s="0" t="n">
        <f aca="false">K6*K7/100</f>
        <v>2990.32635583655</v>
      </c>
      <c r="L8" s="0" t="n">
        <f aca="false">L6*L7/100</f>
        <v>3080.03614651165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0.8</v>
      </c>
      <c r="D9" s="4" t="n">
        <f aca="false">Assumptions!D43</f>
        <v>0.8</v>
      </c>
      <c r="E9" s="4" t="n">
        <f aca="false">Assumptions!E43</f>
        <v>0.8</v>
      </c>
      <c r="F9" s="4" t="n">
        <f aca="false">Assumptions!F43</f>
        <v>0.8</v>
      </c>
      <c r="G9" s="4" t="n">
        <f aca="false">Assumptions!G43</f>
        <v>0.8</v>
      </c>
      <c r="H9" s="4" t="n">
        <f aca="false">Assumptions!H43</f>
        <v>0.8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-108.47182784</v>
      </c>
      <c r="D10" s="0" t="n">
        <f aca="false">-D6*D9/100</f>
        <v>-117.1495740672</v>
      </c>
      <c r="E10" s="0" t="n">
        <f aca="false">-E6*E9/100</f>
        <v>-125.350044251904</v>
      </c>
      <c r="F10" s="0" t="n">
        <f aca="false">-F6*F9/100</f>
        <v>-132.871046907018</v>
      </c>
      <c r="G10" s="0" t="n">
        <f aca="false">-G6*G9/100</f>
        <v>-139.514599252369</v>
      </c>
      <c r="H10" s="0" t="n">
        <f aca="false">-H6*H9/100</f>
        <v>-145.792756218726</v>
      </c>
      <c r="I10" s="0" t="n">
        <f aca="false">-I6*I9/100</f>
        <v>-151.624466467475</v>
      </c>
      <c r="J10" s="0" t="n">
        <f aca="false">-J6*J9/100</f>
        <v>-156.931322793836</v>
      </c>
      <c r="K10" s="0" t="n">
        <f aca="false">-K6*K9/100</f>
        <v>-161.639262477651</v>
      </c>
      <c r="L10" s="0" t="n">
        <f aca="false">-L6*L9/100</f>
        <v>-166.488440351981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1654.19537456</v>
      </c>
      <c r="D11" s="0" t="n">
        <f aca="false">D8+D10+D24</f>
        <v>1903.680578592</v>
      </c>
      <c r="E11" s="0" t="n">
        <f aca="false">E8+E10+E24</f>
        <v>2115.28199675088</v>
      </c>
      <c r="F11" s="0" t="n">
        <f aca="false">F8+F10+F24</f>
        <v>2292.02555914606</v>
      </c>
      <c r="G11" s="0" t="n">
        <f aca="false">G8+G10+G24</f>
        <v>2441.50548691646</v>
      </c>
      <c r="H11" s="0" t="n">
        <f aca="false">H8+H10+H24</f>
        <v>2551.3732338277</v>
      </c>
      <c r="I11" s="0" t="n">
        <f aca="false">I8+I10+I24</f>
        <v>2653.42816318081</v>
      </c>
      <c r="J11" s="0" t="n">
        <f aca="false">J8+J10+J24</f>
        <v>2746.29814889214</v>
      </c>
      <c r="K11" s="0" t="n">
        <f aca="false">K8+K10+K24</f>
        <v>2828.6870933589</v>
      </c>
      <c r="L11" s="0" t="n">
        <f aca="false">L8+L10+L24</f>
        <v>2913.54770615967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-745.7438164</v>
      </c>
      <c r="D12" s="4" t="n">
        <f aca="false">-D6*Assumptions!D45/100</f>
        <v>-790.7596249536</v>
      </c>
      <c r="E12" s="4" t="n">
        <f aca="false">-E6*Assumptions!E45/100</f>
        <v>-846.112798700352</v>
      </c>
      <c r="F12" s="4" t="n">
        <f aca="false">-F6*Assumptions!F45/100</f>
        <v>-896.879566622373</v>
      </c>
      <c r="G12" s="4" t="n">
        <f aca="false">-G6*Assumptions!G45/100</f>
        <v>-941.723544953492</v>
      </c>
      <c r="H12" s="4" t="n">
        <f aca="false">-H6*Assumptions!H45/100</f>
        <v>-984.101104476399</v>
      </c>
      <c r="I12" s="4" t="n">
        <f aca="false">-I6*Assumptions!I45/100</f>
        <v>-1023.46514865546</v>
      </c>
      <c r="J12" s="4" t="n">
        <f aca="false">-J6*Assumptions!J45/100</f>
        <v>-1059.2864288584</v>
      </c>
      <c r="K12" s="4" t="n">
        <f aca="false">-K6*Assumptions!K45/100</f>
        <v>-1091.06502172415</v>
      </c>
      <c r="L12" s="4" t="n">
        <f aca="false">-L6*Assumptions!L45/100</f>
        <v>-1123.79697237587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908.45155816</v>
      </c>
      <c r="D13" s="0" t="n">
        <f aca="false">D11+D12</f>
        <v>1112.9209536384</v>
      </c>
      <c r="E13" s="0" t="n">
        <f aca="false">E11+E12</f>
        <v>1269.16919805053</v>
      </c>
      <c r="F13" s="0" t="n">
        <f aca="false">F11+F12</f>
        <v>1395.14599252369</v>
      </c>
      <c r="G13" s="0" t="n">
        <f aca="false">G11+G12</f>
        <v>1499.78194196297</v>
      </c>
      <c r="H13" s="0" t="n">
        <f aca="false">H11+H12</f>
        <v>1567.2721293513</v>
      </c>
      <c r="I13" s="0" t="n">
        <f aca="false">I11+I12</f>
        <v>1629.96301452535</v>
      </c>
      <c r="J13" s="0" t="n">
        <f aca="false">J11+J12</f>
        <v>1687.01172003374</v>
      </c>
      <c r="K13" s="0" t="n">
        <f aca="false">K11+K12</f>
        <v>1737.62207163475</v>
      </c>
      <c r="L13" s="0" t="n">
        <f aca="false">L11+L12</f>
        <v>1789.7507337838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20</v>
      </c>
      <c r="D14" s="4" t="n">
        <f aca="false">Assumptions!D47</f>
        <v>22</v>
      </c>
      <c r="E14" s="4" t="n">
        <f aca="false">Assumptions!E47</f>
        <v>23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726.761246528</v>
      </c>
      <c r="D15" s="0" t="n">
        <f aca="false">D13-MAX(0,D13)*D14/100</f>
        <v>868.078343837952</v>
      </c>
      <c r="E15" s="0" t="n">
        <f aca="false">E13-MAX(0,E13)*E14/100</f>
        <v>977.260282498907</v>
      </c>
      <c r="F15" s="0" t="n">
        <f aca="false">F13-MAX(0,F13)*F14/100</f>
        <v>1060.31095431801</v>
      </c>
      <c r="G15" s="0" t="n">
        <f aca="false">G13-MAX(0,G13)*G14/100</f>
        <v>1139.83427589186</v>
      </c>
      <c r="H15" s="0" t="n">
        <f aca="false">H13-MAX(0,H13)*H14/100</f>
        <v>1191.12681830699</v>
      </c>
      <c r="I15" s="0" t="n">
        <f aca="false">I13-MAX(0,I13)*I14/100</f>
        <v>1238.77189103927</v>
      </c>
      <c r="J15" s="0" t="n">
        <f aca="false">J13-MAX(0,J13)*J14/100</f>
        <v>1282.12890722564</v>
      </c>
      <c r="K15" s="0" t="n">
        <f aca="false">K13-MAX(0,K13)*K14/100</f>
        <v>1320.59277444241</v>
      </c>
      <c r="L15" s="0" t="n">
        <f aca="false">L13-MAX(0,L13)*L14/100</f>
        <v>1360.21055767569</v>
      </c>
    </row>
    <row r="16" customFormat="false" ht="15" hidden="false" customHeight="false" outlineLevel="0" collapsed="false">
      <c r="A16" s="0" t="s">
        <v>127</v>
      </c>
      <c r="C16" s="0" t="n">
        <f aca="false">-C12</f>
        <v>745.7438164</v>
      </c>
      <c r="D16" s="0" t="n">
        <f aca="false">-D12</f>
        <v>790.7596249536</v>
      </c>
      <c r="E16" s="0" t="n">
        <f aca="false">-E12</f>
        <v>846.112798700352</v>
      </c>
      <c r="F16" s="0" t="n">
        <f aca="false">-F12</f>
        <v>896.879566622373</v>
      </c>
      <c r="G16" s="0" t="n">
        <f aca="false">-G12</f>
        <v>941.723544953492</v>
      </c>
      <c r="H16" s="0" t="n">
        <f aca="false">-H12</f>
        <v>984.101104476399</v>
      </c>
      <c r="I16" s="0" t="n">
        <f aca="false">-I12</f>
        <v>1023.46514865546</v>
      </c>
      <c r="J16" s="0" t="n">
        <f aca="false">-J12</f>
        <v>1059.2864288584</v>
      </c>
      <c r="K16" s="0" t="n">
        <f aca="false">-K12</f>
        <v>1091.06502172415</v>
      </c>
      <c r="L16" s="0" t="n">
        <f aca="false">-L12</f>
        <v>1123.79697237587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-718.62585944</v>
      </c>
      <c r="D17" s="4" t="n">
        <f aca="false">-D6*Assumptions!D46/100</f>
        <v>-878.621805504</v>
      </c>
      <c r="E17" s="4" t="n">
        <f aca="false">-E6*Assumptions!E46/100</f>
        <v>-1018.46910954672</v>
      </c>
      <c r="F17" s="4" t="n">
        <f aca="false">-F6*Assumptions!F46/100</f>
        <v>-1112.79501784628</v>
      </c>
      <c r="G17" s="4" t="n">
        <f aca="false">-G6*Assumptions!G46/100</f>
        <v>-1185.87409364514</v>
      </c>
      <c r="H17" s="4" t="n">
        <f aca="false">-H6*Assumptions!H46/100</f>
        <v>-1239.23842785917</v>
      </c>
      <c r="I17" s="4" t="n">
        <f aca="false">-I6*Assumptions!I46/100</f>
        <v>-1288.80796497354</v>
      </c>
      <c r="J17" s="4" t="n">
        <f aca="false">-J6*Assumptions!J46/100</f>
        <v>-1333.91624374761</v>
      </c>
      <c r="K17" s="4" t="n">
        <f aca="false">-K6*Assumptions!K46/100</f>
        <v>-1373.93373106004</v>
      </c>
      <c r="L17" s="4" t="n">
        <f aca="false">-L6*Assumptions!L46/100</f>
        <v>-1415.15174299184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-62.3952991999999</v>
      </c>
      <c r="D18" s="4" t="n">
        <f aca="false">(D6-C6)*Assumptions!$B$51/100</f>
        <v>-43.3887311360001</v>
      </c>
      <c r="E18" s="4" t="n">
        <f aca="false">(E6-D6)*Assumptions!$B$51/100</f>
        <v>-41.0023509235201</v>
      </c>
      <c r="F18" s="4" t="n">
        <f aca="false">(F6-E6)*Assumptions!$B$51/100</f>
        <v>-37.6050132755713</v>
      </c>
      <c r="G18" s="4" t="n">
        <f aca="false">(G6-F6)*Assumptions!$B$51/100</f>
        <v>-33.2177617267545</v>
      </c>
      <c r="H18" s="4" t="n">
        <f aca="false">(H6-G6)*Assumptions!$B$51/100</f>
        <v>-31.390784831783</v>
      </c>
      <c r="I18" s="4" t="n">
        <f aca="false">(I6-H6)*Assumptions!$B$51/100</f>
        <v>-29.1585512437452</v>
      </c>
      <c r="J18" s="4" t="n">
        <f aca="false">(J6-I6)*Assumptions!$B$51/100</f>
        <v>-26.534281631808</v>
      </c>
      <c r="K18" s="4" t="n">
        <f aca="false">(K6-J6)*Assumptions!$B$51/100</f>
        <v>-23.5396984190754</v>
      </c>
      <c r="L18" s="4" t="n">
        <f aca="false">(L6-K6)*Assumptions!$B$51/100</f>
        <v>-24.2458893716478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691.483904288</v>
      </c>
      <c r="D19" s="0" t="n">
        <f aca="false">D15+D16+D17+D18</f>
        <v>736.827432151552</v>
      </c>
      <c r="E19" s="0" t="n">
        <f aca="false">E15+E16+E17+E18</f>
        <v>763.901620729019</v>
      </c>
      <c r="F19" s="0" t="n">
        <f aca="false">F15+F16+F17+F18</f>
        <v>806.790489818529</v>
      </c>
      <c r="G19" s="0" t="n">
        <f aca="false">G15+G16+G17+G18</f>
        <v>862.465965473456</v>
      </c>
      <c r="H19" s="0" t="n">
        <f aca="false">H15+H16+H17+H18</f>
        <v>904.598710092437</v>
      </c>
      <c r="I19" s="0" t="n">
        <f aca="false">I15+I16+I17+I18</f>
        <v>944.270523477443</v>
      </c>
      <c r="J19" s="0" t="n">
        <f aca="false">J15+J16+J17+J18</f>
        <v>980.964810704622</v>
      </c>
      <c r="K19" s="0" t="n">
        <f aca="false">K15+K16+K17+K18</f>
        <v>1014.18436668745</v>
      </c>
      <c r="L19" s="0" t="n">
        <f aca="false">L15+L16+L17+L18</f>
        <v>1044.60989768807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634.388903016514</v>
      </c>
      <c r="D21" s="0" t="n">
        <f aca="false">D19*D20</f>
        <v>620.172908131935</v>
      </c>
      <c r="E21" s="0" t="n">
        <f aca="false">E19*E20</f>
        <v>589.872211918821</v>
      </c>
      <c r="F21" s="0" t="n">
        <f aca="false">F19*F20</f>
        <v>571.550723035085</v>
      </c>
      <c r="G21" s="0" t="n">
        <f aca="false">G19*G20</f>
        <v>560.543700575304</v>
      </c>
      <c r="H21" s="0" t="n">
        <f aca="false">H19*H20</f>
        <v>539.382654765204</v>
      </c>
      <c r="I21" s="0" t="n">
        <f aca="false">I19*I20</f>
        <v>516.548312738287</v>
      </c>
      <c r="J21" s="0" t="n">
        <f aca="false">J19*J20</f>
        <v>492.31316003823</v>
      </c>
      <c r="K21" s="0" t="n">
        <f aca="false">K19*K20</f>
        <v>466.958655974047</v>
      </c>
      <c r="L21" s="0" t="n">
        <f aca="false">L19*L20</f>
        <v>441.254509773641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5432.98573996707</v>
      </c>
    </row>
    <row r="31" customFormat="false" ht="15" hidden="false" customHeight="false" outlineLevel="0" collapsed="false">
      <c r="A31" s="0" t="s">
        <v>136</v>
      </c>
      <c r="B31" s="0" t="n">
        <f aca="false">L19</f>
        <v>1044.60989768807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17932.4699103119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15669.1484653211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15669.1484653211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6618.81764660461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12051.8033865717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10910.6283865717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115.21254896063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-0.490367811029194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873.098735654625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1207.27186534536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137.180559530852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8966.23495515594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55.3241202012251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64.2766853264894</v>
      </c>
      <c r="C4" s="0" t="n">
        <f aca="false">B4/Assumptions!$B$2-1</f>
        <v>-0.715677952286949</v>
      </c>
      <c r="D4" s="4" t="n">
        <f aca="false">Assumptions!$B$24</f>
        <v>0.25</v>
      </c>
      <c r="E4" s="4" t="n">
        <f aca="false">DCF_Bear!$B$43</f>
        <v>80.1987573063524</v>
      </c>
      <c r="F4" s="4" t="n">
        <f aca="false">DCF_Bear!$B$47</f>
        <v>29.5553982990472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89.0355123703634</v>
      </c>
      <c r="C5" s="0" t="n">
        <f aca="false">B5/Assumptions!$B$2-1</f>
        <v>-0.606159541865956</v>
      </c>
      <c r="D5" s="4" t="n">
        <f aca="false">Assumptions!$B$38</f>
        <v>0.5</v>
      </c>
      <c r="E5" s="4" t="n">
        <f aca="false">DCF_Base!$B$43</f>
        <v>108.061146857178</v>
      </c>
      <c r="F5" s="4" t="n">
        <f aca="false">DCF_Base!$B$47</f>
        <v>42.0480137281626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115.21254896063</v>
      </c>
      <c r="C6" s="0" t="n">
        <f aca="false">B6/Assumptions!$B$2-1</f>
        <v>-0.490367811029194</v>
      </c>
      <c r="D6" s="4" t="n">
        <f aca="false">Assumptions!$B$52</f>
        <v>0.25</v>
      </c>
      <c r="E6" s="4" t="n">
        <f aca="false">DCF_Bull!$B$43</f>
        <v>137.180559530852</v>
      </c>
      <c r="F6" s="4" t="n">
        <f aca="false">DCF_Bull!$B$47</f>
        <v>55.3241202012251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89.3900647569616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108.37540263789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-1.52902826074297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719.923638442801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42.2438864891494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89.0355123703634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77.9512855578596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67.384129445815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59.0453515428456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42.0480137281626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104.542781063624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104.542781063624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104.542781063624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104.542781063624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104.542781063624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96.4302267230571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96.4302267230571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96.4302267230571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96.4302267230571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96.4302267230571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83.8102927663999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87.5086624860884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89.0355123703634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89.0355123703634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89.0355123703634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72.3404989764308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74.9705551864755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77.9512855578596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81.3578345537271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82.2868933707819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63.3010412103396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65.2291662104252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67.384129445815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69.8084630856285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72.5560412107505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2026-09-28T22:08:48Z</dcterms:created>
  <dc:creator>openpyxl</dc:creator>
  <dc:description/>
  <dc:language>en-NZ</dc:language>
  <cp:lastModifiedBy/>
  <dcterms:modified xsi:type="dcterms:W3CDTF">2026-09-28T22:08:48Z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