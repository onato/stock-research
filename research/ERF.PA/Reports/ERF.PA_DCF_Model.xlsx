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<sst xmlns="http://schemas.openxmlformats.org/spreadsheetml/2006/main" count="367" uniqueCount="172">
  <si>
    <t xml:space="preserve">Ticker</t>
  </si>
  <si>
    <t xml:space="preserve">ERF.PA</t>
  </si>
  <si>
    <t xml:space="preserve">Company</t>
  </si>
  <si>
    <t xml:space="preserve">Eurofins Scientific SE</t>
  </si>
  <si>
    <t xml:space="preserve">Valuation date</t>
  </si>
  <si>
    <t xml:space="preserve">2026-10-26</t>
  </si>
  <si>
    <t xml:space="preserve">Current price</t>
  </si>
  <si>
    <t xml:space="preserve">Price as of</t>
  </si>
  <si>
    <t xml:space="preserve">2026-10-23T15:36:59Z regular close (Euronext Paris)</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</si>
  <si>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</si>
  <si>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</si>
  <si>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</si>
  <si>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</si>
  <si>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</si>
  <si>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</si>
  <si>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</si>
  <si>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</si>
  <si>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</si>
  <si>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</si>
  <si>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</si>
  <si>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</si>
  <si>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2026-10-25T13:44:09Z</t>
  </si>
  <si>
    <t xml:space="preserve">Drivers file</t>
  </si>
  <si>
    <t xml:space="preserve">ERF.PA_Drivers.json</t>
  </si>
  <si>
    <t xml:space="preserve">Convention</t>
  </si>
  <si>
    <t xml:space="preserve">Percents stored as percents; formulas divide by 100. Blue = input, green = link, black = formula.</t>
  </si>
  <si>
    <t xml:space="preserve">Methodology</t>
  </si>
  <si>
    <t xml:space="preserve">summary: Owner-FCF DCF on the organic business only: SBC expensed and share count held flat, leases charged as an operating cost with lease liabilities excluded from debt, the perpetual hybrid and deferred acquisition consideration treated as debt, separately-disclosed items treated as recurring (reported rather than adjusted EBITDA), M&amp;A spend and acquired growth both excluded, and the completed MET Labs disposal carried in the bridge net of its revenue. Terminal value is the lower of Gordon growth and a free-cash-flow multiple cap (18x base), discounted at a EUR-built 7.5% WACC that is the same in every scenario. Because EUR 4.5bn of debt-like claims sit ahead of equity, per-share value is a levered residual: the hurdle entry price and the required-return table fall much faster with the discount rate than for an unlevered name.
key_risks_to_valuation: Serial-acquirer accounting: if 'separately disclosed items' are genuinely non-recurring the house margin is ~1pp too low (worth roughly EUR 6-7/share); if acquisitions are value-destructive the exclusion of M&amp;A flatters the model, and the USD 400m Element deal at ~2.3x revenue is the first test at scale.; Governance and related-party property: Eurofins leases and buys sites from the founder family's ABSCA vehicle (EUR 298m purchase of 31 campuses in FY2025); the 2024 Muddy Waters report questioned these and the cash balances. A re-rating of trust either way moves the exit multiple more than any driver.; FX: ~37% of revenue is North American and translation is unhedged (-2.2% FY2025, -2.9% H1 2026); the FY2026 base embeds a weaker dollar and a further 10% USD move is ~3-4% of revenue.; Organic growth: the 6.5% objective has not been met since 2021; the base peaks at 5.0% and each 1pp of sustained organic growth is worth ~EUR 5-6/share.; Capex programme: the owned-sites programme (~EUR 200m p.a. through 2027) is assumed to end on schedule; a further year or two at 7.5% capex instead of 6% is worth ~EUR 3-4/share.; Hybrid capital: treating EUR 1,000m of hybrid as debt costs ~EUR 5.5/share versus the IFRS equity presentation; a reader using the company's own net debt (EUR 3,854m incl. leases, excl. hybrid) will get a higher per-share value.; Terminal multiple: the 18x FCF cap binds in every scenario at WACC &lt;= 7.5%, so the sensitivity grid is flat across terminal growth at low discount rates; the market currently pays ~23x company-defined FCFF, so the model assumes a modest de-rating rather than expansion.; Clinical reimbursement and US healthcare enforcement (French tariff cuts since Sept 2024; Boston Heart Diagnostics FCA/AKS history) in the 21% Diagnostics segment.</t>
  </si>
  <si>
    <t xml:space="preserve">Data sources</t>
  </si>
  <si>
    <t xml:space="preserve">price: Yahoo Finance chart API (ERF.PA, EUR) at inputs.price_as_of; 52-week range 54.86-84.92
financials: ERF.PA_Metrics.csv (core_metrics, FY2016-FY2025 and H1-2016 to H1-2026, EUR millions); FY2025 Annual Report (cash flow statement, notes 2.6, 2.7, 2.8, 2.9, 2.19, 2.27); H1-2026 interim report (balance sheet, cash flow, notes 2.6 held for sale, 2.8 net debt and debt reconciliation, 2.9 equity and share count; CEO review 'Objectives' for FY2026/FY2027 guidance)
qualitative: ERF.PA_Analysis.json (2026-10-26): segment and geographic mix, moat factors, bull/bear cases, the 9M-2026 trading update of 21 October 2026 (FY2026 organic growth below the original mid-single-digit target), completion of the MET Labs disposal and the Element North American Life Sciences acquisition on 1 October 2026, and the ABSCA related-party history.</t>
  </si>
  <si>
    <t xml:space="preserve">Scenario narrative: bear</t>
  </si>
  <si>
    <t xml:space="preserve">Organic growth, which has missed the long-term 6.5% algorithm every year since 2023 and missed FY2026 guidance after the Q1-2026 print (shares -9% on the day), settles at ~3% as food and environment testing mature, French clinical tariff cuts and Spanish/Italian contract rationalisation bite and the dollar stays weak; separately-disclosed items keep recurring at ~1% because the group never stops restructuring and integrating bolt-ons, so the reported margin stalls at 22.5%; the owned-sites programme overruns and keeps capex at 8% of revenue through FY2027 then 6.5%; the governance overhang from the 2024 Muddy Waters report and continuing related-party property transactions with the Martin family's ABSCA vehicle (EUR 298m purchase of 31 campuses in FY2025) caps the multiple at ~14x; leverage at 2.2x plus EUR 1bn of hybrid leaves little room for a misstep on the Element integration.</t>
  </si>
  <si>
    <t xml:space="preserve">Scenario narrative: base</t>
  </si>
  <si>
    <t xml:space="preserve">Eurofins is the world's largest bio-analytical testing network (~950 laboratories, 59 countries; Life/food-environment 42%, BioPharma 28%, Clinical Diagnostics 21%, Consumer &amp; Technology 10% of ~EUR 7.3bn revenue; Europe 52%, North America 37%), two-thirds of the way through a 2023-2027 programme of buying and building large owned campuses. The base case follows management's FY2026-27 objectives at roughly one year's lag and on a reported (post-SDI) basis: 2026 organic growth of ~3.3% (1.5% in EUR after USD translation) per the 9M-2026 walk-back, recovering to a 5% organic peak rather than the 6.5% objective, the adjusted EBITDA margin reaching 24% with ~0.5% of recurring separately-disclosed items, capex at ~EUR 600m through FY2027 then falling to ~6% of revenue, and lease cost shrinking as owned sites replace rented ones. Acquisitions (including the USD 400m Element North American Life Sciences deal closed 1 October 2026) are excluded from both revenue and spend, so the value is that of the organic business; the EUR 1.0bn hybrid and EUR 86m of deferred consideration are treated as debt. The completed MET Labs disposal (EUR 575m EV) is added through the bridge with its revenue removed from the base.</t>
  </si>
  <si>
    <t xml:space="preserve">Scenario narrative: bull</t>
  </si>
  <si>
    <t xml:space="preserve">Ancillary BioPharma activities (discovery, genomics, early biotech — the drag since the COVID-testing unwind) recover with the biotech funding cycle and the long-term 6.5% organic objective is met from FY2028, helped by PFAS, EU wastewater and FSMA regulation in food and environment testing and Synlab Spain/Element integration synergies; the margin-accretive owned-sites, hub-and-spoke and eLIMS-NG digitalisation programmes deliver a 25% adjusted margin, SDI falls to 0.5%, and post-2027 capex normalises to ~5.7% of revenue with leases at 1.8%. Cash conversion rises above 50% of EBITDA as guided, buybacks at what management calls an 'historically low valuation' continue, and the market keeps paying ~20x free cash flow for a defensive compounder.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</si>
  <si>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</si>
  <si>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</si>
  <si>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</si>
  <si>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</si>
  <si>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</si>
  <si>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</si>
  <si>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</si>
  <si>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</si>
  <si>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</si>
  <si>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</si>
  <si>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</si>
  <si>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</si>
  <si>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</si>
  <si>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</si>
  <si>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</si>
  <si>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</si>
  <si>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</si>
  <si>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</si>
  <si>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</si>
  <si>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</si>
  <si>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</si>
  <si>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</si>
  <si>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</si>
  <si>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</si>
  <si>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</si>
  <si>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</si>
  <si>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</si>
  <si>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</si>
  <si>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AdjustedNetIncome</t>
  </si>
  <si>
    <t xml:space="preserve">CapexIntangibles</t>
  </si>
  <si>
    <t xml:space="preserve">CapexPPE</t>
  </si>
  <si>
    <t xml:space="preserve">Employees</t>
  </si>
  <si>
    <t xml:space="preserve">NetIncomeTotal</t>
  </si>
  <si>
    <t xml:space="preserve">OrganicRevenueGrowth</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</si>
  <si>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</si>
  <si>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</si>
  <si>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</si>
  <si>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</si>
  <si>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</si>
  <si>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</si>
  <si>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</si>
  <si>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</si>
  <si>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</si>
  <si>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</si>
  <si>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</si>
  <si>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</si>
  <si>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</si>
  <si>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</si>
  <si>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</si>
  <si>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</si>
  <si>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</si>
  <si>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</si>
  <si>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</si>
  <si>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</si>
  <si>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</si>
  <si>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</si>
  <si>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</si>
  <si>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</si>
  <si>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</si>
  <si>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</si>
  <si>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</si>
  <si>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</si>
  <si>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</si>
  <si>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</si>
  <si>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</si>
  <si>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</si>
  <si>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</si>
  <si>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</si>
  <si>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</si>
  <si>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</si>
  <si>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</si>
  <si>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</si>
  <si>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</si>
  <si>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</si>
  <si>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</si>
  <si>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</si>
  <si>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</si>
  <si>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</si>
  <si>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</si>
  <si>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</si>
  <si>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</si>
  <si>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ERF.PA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</si>
  <si>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</si>
  <si>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</si>
  <si>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</si>
  <si>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</si>
  <si>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</si>
  <si>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</si>
  <si>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</si>
  <si>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</si>
  <si>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</si>
  <si>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</si>
  <si>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</si>
  <si>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</si>
  <si>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</si>
  <si>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</si>
  <si>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</si>
  <si>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</si>
  <si>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</si>
  <si>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</si>
  <si>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</si>
  <si>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</si>
  <si>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</si>
  <si>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</si>
  <si>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</si>
  <si>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</si>
  <si>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</si>
  <si>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</si>
  <si>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</si>
  <si>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</si>
  <si>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</si>
  <si>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</si>
  <si>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ERF.PA owner-FCF component DCF: base case (millions, EUR)</t>
  </si>
  <si>
    <t xml:space="preserve">ERF.PA owner-FCF component DCF: bull case (millions, EUR)</t>
  </si>
  <si>
    <t xml:space="preserve">ERF.PA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</si>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</sst>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84.7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row>
    <row r="2" customFormat="false" ht="15" hidden="false" customHeight="false" outlineLevel="0" collapsed="false">
      <c r="A2" s="0" t="s">
        <v>70</v>
      </c>
      <c r="B2" s="0" t="n">
        <v>2536.608</v>
      </c>
      <c r="F2" s="0" t="n">
        <v>281.947</v>
      </c>
      <c r="G2" s="0" t="n">
        <v>11.1</v>
      </c>
      <c r="H2" s="0" t="n">
        <v>461.076</v>
      </c>
      <c r="I2" s="0" t="n">
        <v>173.997</v>
      </c>
      <c r="J2" s="0" t="n">
        <v>6.9</v>
      </c>
      <c r="K2" s="0" t="n">
        <v>0.816</v>
      </c>
      <c r="L2" s="0" t="n">
        <v>371.843</v>
      </c>
      <c r="M2" s="0" t="n">
        <v>199.675</v>
      </c>
      <c r="N2" s="0" t="n">
        <v>172.168</v>
      </c>
      <c r="O2" s="0" t="n">
        <v>1756.714</v>
      </c>
      <c r="P2" s="0" t="n">
        <v>4129.415</v>
      </c>
      <c r="Q2" s="0" t="n">
        <v>2372.701</v>
      </c>
      <c r="R2" s="0" t="n">
        <v>1383.878</v>
      </c>
      <c r="S2" s="0" t="n">
        <v>826.098</v>
      </c>
      <c r="T2" s="0" t="n">
        <v>169.57</v>
      </c>
      <c r="U2" s="0" t="n">
        <v>8.518</v>
      </c>
      <c r="AA2" s="0" t="s">
        <v>17</v>
      </c>
      <c r="AB2" s="0" t="s">
        <v>14</v>
      </c>
      <c r="AC2" s="0" t="n">
        <v>479.623</v>
      </c>
      <c r="AD2" s="0" t="n">
        <v>227.465</v>
      </c>
      <c r="AE2" s="0" t="n">
        <v>43.954</v>
      </c>
      <c r="AF2" s="0" t="n">
        <v>155.721</v>
      </c>
      <c r="AH2" s="0" t="n">
        <v>177.506</v>
      </c>
    </row>
    <row r="3" customFormat="false" ht="15" hidden="false" customHeight="false" outlineLevel="0" collapsed="false">
      <c r="A3" s="0" t="s">
        <v>71</v>
      </c>
      <c r="B3" s="0" t="n">
        <v>2971.417</v>
      </c>
      <c r="F3" s="0" t="n">
        <v>296.807</v>
      </c>
      <c r="G3" s="0" t="n">
        <v>10</v>
      </c>
      <c r="H3" s="0" t="n">
        <v>513.243</v>
      </c>
      <c r="I3" s="0" t="n">
        <v>216.771</v>
      </c>
      <c r="J3" s="0" t="n">
        <v>7.3</v>
      </c>
      <c r="K3" s="0" t="n">
        <v>0.997</v>
      </c>
      <c r="L3" s="0" t="n">
        <v>405.122</v>
      </c>
      <c r="M3" s="0" t="n">
        <v>245.735</v>
      </c>
      <c r="N3" s="0" t="n">
        <v>159.387</v>
      </c>
      <c r="O3" s="0" t="n">
        <v>2481.973</v>
      </c>
      <c r="P3" s="0" t="n">
        <v>5832.307</v>
      </c>
      <c r="Q3" s="0" t="n">
        <v>3350.334</v>
      </c>
      <c r="R3" s="0" t="n">
        <v>2216.33</v>
      </c>
      <c r="S3" s="0" t="n">
        <v>820.357</v>
      </c>
      <c r="T3" s="0" t="n">
        <v>179.98</v>
      </c>
      <c r="U3" s="0" t="n">
        <v>9.333</v>
      </c>
      <c r="AA3" s="0" t="s">
        <v>17</v>
      </c>
      <c r="AB3" s="0" t="s">
        <v>14</v>
      </c>
      <c r="AC3" s="0" t="n">
        <v>556.723</v>
      </c>
      <c r="AD3" s="0" t="n">
        <v>302.341</v>
      </c>
      <c r="AE3" s="0" t="n">
        <v>45.09</v>
      </c>
      <c r="AF3" s="0" t="n">
        <v>200.645</v>
      </c>
      <c r="AH3" s="0" t="n">
        <v>218.845</v>
      </c>
    </row>
    <row r="4" customFormat="false" ht="15" hidden="false" customHeight="false" outlineLevel="0" collapsed="false">
      <c r="A4" s="0" t="s">
        <v>72</v>
      </c>
      <c r="B4" s="0" t="n">
        <v>3781.1</v>
      </c>
      <c r="F4" s="0" t="n">
        <v>344</v>
      </c>
      <c r="G4" s="0" t="n">
        <v>9.1</v>
      </c>
      <c r="H4" s="0" t="n">
        <v>651.4</v>
      </c>
      <c r="I4" s="0" t="n">
        <v>223.9</v>
      </c>
      <c r="J4" s="0" t="n">
        <v>5.9</v>
      </c>
      <c r="K4" s="0" t="n">
        <v>0.958</v>
      </c>
      <c r="L4" s="0" t="n">
        <v>543.9</v>
      </c>
      <c r="M4" s="0" t="n">
        <v>364.4</v>
      </c>
      <c r="N4" s="0" t="n">
        <v>179.5</v>
      </c>
      <c r="O4" s="0" t="n">
        <v>2722.2</v>
      </c>
      <c r="P4" s="0" t="n">
        <v>7205.4</v>
      </c>
      <c r="Q4" s="0" t="n">
        <v>4483.2</v>
      </c>
      <c r="R4" s="0" t="n">
        <v>3157.3</v>
      </c>
      <c r="S4" s="0" t="n">
        <v>506.2</v>
      </c>
      <c r="T4" s="0" t="n">
        <v>183</v>
      </c>
      <c r="U4" s="0" t="n">
        <v>12.4</v>
      </c>
      <c r="AA4" s="0" t="s">
        <v>17</v>
      </c>
      <c r="AB4" s="0" t="s">
        <v>14</v>
      </c>
      <c r="AC4" s="0" t="n">
        <v>719.8</v>
      </c>
      <c r="AD4" s="0" t="n">
        <v>356.1</v>
      </c>
      <c r="AE4" s="0" t="n">
        <v>42.2</v>
      </c>
      <c r="AF4" s="0" t="n">
        <v>322.2</v>
      </c>
      <c r="AH4" s="0" t="n">
        <v>223.6</v>
      </c>
    </row>
    <row r="5" customFormat="false" ht="15" hidden="false" customHeight="false" outlineLevel="0" collapsed="false">
      <c r="A5" s="0" t="s">
        <v>73</v>
      </c>
      <c r="B5" s="0" t="n">
        <v>4562.8</v>
      </c>
      <c r="F5" s="0" t="n">
        <v>366.6</v>
      </c>
      <c r="G5" s="0" t="n">
        <v>8</v>
      </c>
      <c r="H5" s="0" t="n">
        <v>833</v>
      </c>
      <c r="I5" s="0" t="n">
        <v>195.2</v>
      </c>
      <c r="J5" s="0" t="n">
        <v>4.3</v>
      </c>
      <c r="K5" s="0" t="n">
        <v>0.781</v>
      </c>
      <c r="L5" s="0" t="n">
        <v>677.9</v>
      </c>
      <c r="M5" s="0" t="n">
        <v>425.1</v>
      </c>
      <c r="N5" s="0" t="n">
        <v>252.8</v>
      </c>
      <c r="O5" s="0" t="n">
        <v>2898.1</v>
      </c>
      <c r="P5" s="0" t="n">
        <v>7823.1</v>
      </c>
      <c r="Q5" s="0" t="n">
        <v>4925</v>
      </c>
      <c r="R5" s="0" t="n">
        <v>3541.7</v>
      </c>
      <c r="S5" s="0" t="n">
        <v>297</v>
      </c>
      <c r="T5" s="0" t="n">
        <v>186</v>
      </c>
      <c r="U5" s="0" t="n">
        <v>15.7</v>
      </c>
      <c r="AA5" s="0" t="s">
        <v>17</v>
      </c>
      <c r="AB5" s="0" t="s">
        <v>14</v>
      </c>
      <c r="AC5" s="0" t="n">
        <v>930.7</v>
      </c>
      <c r="AD5" s="0" t="n">
        <v>360.3</v>
      </c>
      <c r="AE5" s="0" t="n">
        <v>44.3</v>
      </c>
      <c r="AF5" s="0" t="n">
        <v>380.8</v>
      </c>
      <c r="AH5" s="0" t="n">
        <v>195.3</v>
      </c>
    </row>
    <row r="6" customFormat="false" ht="15" hidden="false" customHeight="false" outlineLevel="0" collapsed="false">
      <c r="A6" s="0" t="s">
        <v>74</v>
      </c>
      <c r="B6" s="0" t="n">
        <v>5438.8</v>
      </c>
      <c r="F6" s="0" t="n">
        <v>800.3</v>
      </c>
      <c r="G6" s="0" t="n">
        <v>14.7</v>
      </c>
      <c r="H6" s="0" t="n">
        <v>1350.8</v>
      </c>
      <c r="I6" s="0" t="n">
        <v>539.4</v>
      </c>
      <c r="J6" s="0" t="n">
        <v>9.9</v>
      </c>
      <c r="K6" s="0" t="n">
        <v>2.58</v>
      </c>
      <c r="L6" s="0" t="n">
        <v>1223.5</v>
      </c>
      <c r="M6" s="0" t="n">
        <v>355.5</v>
      </c>
      <c r="N6" s="0" t="n">
        <v>868</v>
      </c>
      <c r="O6" s="0" t="n">
        <v>3716.4</v>
      </c>
      <c r="P6" s="0" t="n">
        <v>8575.5</v>
      </c>
      <c r="Q6" s="0" t="n">
        <v>4859.1</v>
      </c>
      <c r="R6" s="0" t="n">
        <v>3154.8</v>
      </c>
      <c r="S6" s="0" t="n">
        <v>912.4</v>
      </c>
      <c r="T6" s="0" t="n">
        <v>195.9</v>
      </c>
      <c r="U6" s="0" t="n">
        <v>16.6</v>
      </c>
      <c r="AA6" s="0" t="s">
        <v>17</v>
      </c>
      <c r="AB6" s="0" t="s">
        <v>14</v>
      </c>
      <c r="AC6" s="0" t="n">
        <v>1412.7</v>
      </c>
      <c r="AD6" s="0" t="n">
        <v>707.2</v>
      </c>
      <c r="AE6" s="0" t="n">
        <v>44.7</v>
      </c>
      <c r="AF6" s="0" t="n">
        <v>310.8</v>
      </c>
      <c r="AG6" s="0" t="n">
        <v>50000</v>
      </c>
      <c r="AH6" s="0" t="n">
        <v>540.5</v>
      </c>
      <c r="AI6" s="0" t="n">
        <v>19.3</v>
      </c>
    </row>
    <row r="7" customFormat="false" ht="15" hidden="false" customHeight="false" outlineLevel="0" collapsed="false">
      <c r="A7" s="0" t="s">
        <v>75</v>
      </c>
      <c r="B7" s="0" t="n">
        <v>6717.7</v>
      </c>
      <c r="F7" s="0" t="n">
        <v>1258.2</v>
      </c>
      <c r="G7" s="0" t="n">
        <v>18.7</v>
      </c>
      <c r="H7" s="0" t="n">
        <v>1840</v>
      </c>
      <c r="I7" s="0" t="n">
        <v>782.6</v>
      </c>
      <c r="J7" s="0" t="n">
        <v>11.6</v>
      </c>
      <c r="K7" s="0" t="n">
        <v>3.73</v>
      </c>
      <c r="L7" s="0" t="n">
        <v>1509.8</v>
      </c>
      <c r="M7" s="0" t="n">
        <v>519.5</v>
      </c>
      <c r="N7" s="0" t="n">
        <v>990.3</v>
      </c>
      <c r="O7" s="0" t="n">
        <v>4677.2</v>
      </c>
      <c r="P7" s="0" t="n">
        <v>9332.3</v>
      </c>
      <c r="Q7" s="0" t="n">
        <v>4655.1</v>
      </c>
      <c r="R7" s="0" t="n">
        <v>2754.1</v>
      </c>
      <c r="S7" s="0" t="n">
        <v>515.3</v>
      </c>
      <c r="T7" s="0" t="n">
        <v>200.6</v>
      </c>
      <c r="U7" s="0" t="n">
        <v>22.1</v>
      </c>
      <c r="AA7" s="0" t="s">
        <v>17</v>
      </c>
      <c r="AB7" s="0" t="s">
        <v>14</v>
      </c>
      <c r="AC7" s="0" t="n">
        <v>1901.6</v>
      </c>
      <c r="AD7" s="0" t="n">
        <v>1043.4</v>
      </c>
      <c r="AE7" s="0" t="n">
        <v>62</v>
      </c>
      <c r="AF7" s="0" t="n">
        <v>457.5</v>
      </c>
      <c r="AH7" s="0" t="n">
        <v>783</v>
      </c>
    </row>
    <row r="8" customFormat="false" ht="15" hidden="false" customHeight="false" outlineLevel="0" collapsed="false">
      <c r="A8" s="0" t="s">
        <v>76</v>
      </c>
      <c r="B8" s="0" t="n">
        <v>6712.1</v>
      </c>
      <c r="F8" s="0" t="n">
        <v>916</v>
      </c>
      <c r="G8" s="0" t="n">
        <v>13.6</v>
      </c>
      <c r="H8" s="0" t="n">
        <v>1415.1</v>
      </c>
      <c r="I8" s="0" t="n">
        <v>610.2</v>
      </c>
      <c r="J8" s="0" t="n">
        <v>9.1</v>
      </c>
      <c r="K8" s="0" t="n">
        <v>2.92</v>
      </c>
      <c r="L8" s="0" t="n">
        <v>1136.3</v>
      </c>
      <c r="M8" s="0" t="n">
        <v>660.2</v>
      </c>
      <c r="N8" s="0" t="n">
        <v>476.1</v>
      </c>
      <c r="O8" s="0" t="n">
        <v>4851</v>
      </c>
      <c r="P8" s="0" t="n">
        <v>10083.5</v>
      </c>
      <c r="Q8" s="0" t="n">
        <v>5232.5</v>
      </c>
      <c r="R8" s="0" t="n">
        <v>3325.6</v>
      </c>
      <c r="S8" s="0" t="n">
        <v>486.6</v>
      </c>
      <c r="T8" s="0" t="n">
        <v>199</v>
      </c>
      <c r="U8" s="0" t="n">
        <v>23</v>
      </c>
      <c r="AA8" s="0" t="s">
        <v>17</v>
      </c>
      <c r="AB8" s="0" t="s">
        <v>14</v>
      </c>
      <c r="AC8" s="0" t="n">
        <v>1513</v>
      </c>
      <c r="AD8" s="0" t="n">
        <v>683</v>
      </c>
      <c r="AE8" s="0" t="n">
        <v>84.1</v>
      </c>
      <c r="AF8" s="0" t="n">
        <v>576.1</v>
      </c>
      <c r="AG8" s="0" t="n">
        <v>61000</v>
      </c>
      <c r="AH8" s="0" t="n">
        <v>605.8</v>
      </c>
      <c r="AI8" s="0" t="n">
        <v>-8.2</v>
      </c>
    </row>
    <row r="9" customFormat="false" ht="15" hidden="false" customHeight="false" outlineLevel="0" collapsed="false">
      <c r="A9" s="0" t="s">
        <v>77</v>
      </c>
      <c r="B9" s="0" t="n">
        <v>6514.6</v>
      </c>
      <c r="F9" s="0" t="n">
        <v>529.9</v>
      </c>
      <c r="G9" s="0" t="n">
        <v>8.1</v>
      </c>
      <c r="H9" s="0" t="n">
        <v>1234.4</v>
      </c>
      <c r="I9" s="0" t="n">
        <v>310.2</v>
      </c>
      <c r="J9" s="0" t="n">
        <v>4.8</v>
      </c>
      <c r="K9" s="0" t="n">
        <v>1.3</v>
      </c>
      <c r="L9" s="0" t="n">
        <v>1017.9</v>
      </c>
      <c r="M9" s="0" t="n">
        <v>550.1</v>
      </c>
      <c r="N9" s="0" t="n">
        <v>467.8</v>
      </c>
      <c r="O9" s="0" t="n">
        <v>5137.4</v>
      </c>
      <c r="P9" s="0" t="n">
        <v>10888.6</v>
      </c>
      <c r="Q9" s="0" t="n">
        <v>5751.2</v>
      </c>
      <c r="R9" s="0" t="n">
        <v>3926.7</v>
      </c>
      <c r="S9" s="0" t="n">
        <v>1221.2</v>
      </c>
      <c r="T9" s="0" t="n">
        <v>197.9</v>
      </c>
      <c r="U9" s="0" t="n">
        <v>23.3</v>
      </c>
      <c r="AA9" s="0" t="s">
        <v>17</v>
      </c>
      <c r="AB9" s="0" t="s">
        <v>14</v>
      </c>
      <c r="AC9" s="0" t="n">
        <v>1363.7</v>
      </c>
      <c r="AD9" s="0" t="n">
        <v>567.8</v>
      </c>
      <c r="AE9" s="0" t="n">
        <v>72</v>
      </c>
      <c r="AF9" s="0" t="n">
        <v>478.1</v>
      </c>
      <c r="AG9" s="0" t="n">
        <v>62000</v>
      </c>
      <c r="AH9" s="0" t="n">
        <v>307.8</v>
      </c>
    </row>
    <row r="10" customFormat="false" ht="15" hidden="false" customHeight="false" outlineLevel="0" collapsed="false">
      <c r="A10" s="0" t="s">
        <v>78</v>
      </c>
      <c r="B10" s="0" t="n">
        <v>6951</v>
      </c>
      <c r="F10" s="0" t="n">
        <v>680.5</v>
      </c>
      <c r="G10" s="0" t="n">
        <v>9.8</v>
      </c>
      <c r="H10" s="0" t="n">
        <v>1439.4</v>
      </c>
      <c r="I10" s="0" t="n">
        <v>406.4</v>
      </c>
      <c r="J10" s="0" t="n">
        <v>5.8</v>
      </c>
      <c r="K10" s="0" t="n">
        <v>1.83</v>
      </c>
      <c r="L10" s="0" t="n">
        <v>1318.9</v>
      </c>
      <c r="M10" s="0" t="n">
        <v>528.4</v>
      </c>
      <c r="N10" s="0" t="n">
        <v>790.5</v>
      </c>
      <c r="O10" s="0" t="n">
        <v>5384.7</v>
      </c>
      <c r="P10" s="0" t="n">
        <v>10888.4</v>
      </c>
      <c r="Q10" s="0" t="n">
        <v>5503.7</v>
      </c>
      <c r="R10" s="0" t="n">
        <v>3610.3</v>
      </c>
      <c r="S10" s="0" t="n">
        <v>613.9</v>
      </c>
      <c r="T10" s="0" t="n">
        <v>194.5</v>
      </c>
      <c r="U10" s="0" t="n">
        <v>21.8</v>
      </c>
      <c r="AA10" s="0" t="s">
        <v>17</v>
      </c>
      <c r="AB10" s="0" t="s">
        <v>14</v>
      </c>
      <c r="AC10" s="0" t="n">
        <v>1552.3</v>
      </c>
      <c r="AD10" s="0" t="n">
        <v>687.1</v>
      </c>
      <c r="AE10" s="0" t="n">
        <v>74.8</v>
      </c>
      <c r="AF10" s="0" t="n">
        <v>453.6</v>
      </c>
      <c r="AH10" s="0" t="n">
        <v>405.5</v>
      </c>
    </row>
    <row r="11" customFormat="false" ht="15" hidden="false" customHeight="false" outlineLevel="0" collapsed="false">
      <c r="A11" s="0" t="s">
        <v>79</v>
      </c>
      <c r="B11" s="0" t="n">
        <v>7296.1</v>
      </c>
      <c r="F11" s="0" t="n">
        <v>784.5</v>
      </c>
      <c r="G11" s="0" t="n">
        <v>10.8</v>
      </c>
      <c r="H11" s="0" t="n">
        <v>1561</v>
      </c>
      <c r="I11" s="0" t="n">
        <v>474.8</v>
      </c>
      <c r="J11" s="0" t="n">
        <v>6.5</v>
      </c>
      <c r="K11" s="0" t="n">
        <v>2.23</v>
      </c>
      <c r="L11" s="0" t="n">
        <v>1398.9</v>
      </c>
      <c r="M11" s="0" t="n">
        <v>536.6</v>
      </c>
      <c r="N11" s="0" t="n">
        <v>862.3</v>
      </c>
      <c r="O11" s="0" t="n">
        <v>4576.7</v>
      </c>
      <c r="P11" s="0" t="n">
        <v>10985.4</v>
      </c>
      <c r="Q11" s="0" t="n">
        <v>6408.7</v>
      </c>
      <c r="R11" s="0" t="n">
        <v>4432</v>
      </c>
      <c r="S11" s="0" t="n">
        <v>791.2</v>
      </c>
      <c r="T11" s="0" t="n">
        <v>186.5</v>
      </c>
      <c r="U11" s="0" t="n">
        <v>19.8</v>
      </c>
      <c r="AA11" s="0" t="s">
        <v>17</v>
      </c>
      <c r="AB11" s="0" t="s">
        <v>14</v>
      </c>
      <c r="AC11" s="0" t="n">
        <v>1640.9</v>
      </c>
      <c r="AD11" s="0" t="n">
        <v>725.5</v>
      </c>
      <c r="AE11" s="0" t="n">
        <v>74.9</v>
      </c>
      <c r="AF11" s="0" t="n">
        <v>461.7</v>
      </c>
      <c r="AG11" s="0" t="n">
        <v>65000</v>
      </c>
      <c r="AH11" s="0" t="n">
        <v>473</v>
      </c>
      <c r="AI11" s="0" t="n">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84.7</v>
      </c>
    </row>
    <row r="3" customFormat="false" ht="15" hidden="false" customHeight="false" outlineLevel="0" collapsed="false">
      <c r="A3" s="0" t="s">
        <v>83</v>
      </c>
      <c r="B3" s="3" t="n">
        <v>181.8</v>
      </c>
    </row>
    <row r="4" customFormat="false" ht="15" hidden="false" customHeight="false" outlineLevel="0" collapsed="false">
      <c r="A4" s="0" t="s">
        <v>84</v>
      </c>
      <c r="B4" s="3" t="n">
        <v>4530.7</v>
      </c>
    </row>
    <row r="5" customFormat="false" ht="15" hidden="false" customHeight="false" outlineLevel="0" collapsed="false">
      <c r="A5" s="0" t="s">
        <v>85</v>
      </c>
      <c r="B5" s="3" t="n">
        <v>488.2</v>
      </c>
    </row>
    <row r="6" customFormat="false" ht="15" hidden="false" customHeight="false" outlineLevel="0" collapsed="false">
      <c r="A6" s="0" t="s">
        <v>86</v>
      </c>
      <c r="B6" s="3" t="n">
        <v>15</v>
      </c>
    </row>
    <row r="7" customFormat="false" ht="15" hidden="false" customHeight="false" outlineLevel="0" collapsed="false">
      <c r="A7" s="0" t="s">
        <v>87</v>
      </c>
      <c r="B7" s="3" t="n">
        <v>7134.1</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0.5</v>
      </c>
      <c r="D13" s="3" t="n">
        <v>3</v>
      </c>
      <c r="E13" s="3" t="n">
        <v>3</v>
      </c>
      <c r="F13" s="3" t="n">
        <v>3</v>
      </c>
      <c r="G13" s="3" t="n">
        <v>3</v>
      </c>
      <c r="H13" s="3" t="n">
        <v>2.5</v>
      </c>
      <c r="I13" s="3" t="n">
        <v>2.5</v>
      </c>
      <c r="J13" s="3" t="n">
        <v>2</v>
      </c>
      <c r="K13" s="3" t="n">
        <v>2</v>
      </c>
      <c r="L13" s="3" t="n">
        <v>2</v>
      </c>
    </row>
    <row r="14" customFormat="false" ht="15" hidden="false" customHeight="false" outlineLevel="0" collapsed="false">
      <c r="A14" s="0" t="s">
        <v>104</v>
      </c>
      <c r="C14" s="3" t="n">
        <v>22.5</v>
      </c>
      <c r="D14" s="3" t="n">
        <v>22.5</v>
      </c>
      <c r="E14" s="3" t="n">
        <v>22.5</v>
      </c>
      <c r="F14" s="3" t="n">
        <v>22.5</v>
      </c>
      <c r="G14" s="3" t="n">
        <v>22.5</v>
      </c>
      <c r="H14" s="3" t="n">
        <v>22.5</v>
      </c>
      <c r="I14" s="3" t="n">
        <v>22.5</v>
      </c>
      <c r="J14" s="3" t="n">
        <v>22.5</v>
      </c>
      <c r="K14" s="3" t="n">
        <v>22.5</v>
      </c>
      <c r="L14" s="3" t="n">
        <v>22.5</v>
      </c>
    </row>
    <row r="15" customFormat="false" ht="15" hidden="false" customHeight="false" outlineLevel="0" collapsed="false">
      <c r="A15" s="0" t="s">
        <v>105</v>
      </c>
      <c r="C15" s="3" t="n">
        <v>0.27</v>
      </c>
      <c r="D15" s="3" t="n">
        <v>0.27</v>
      </c>
      <c r="E15" s="3" t="n">
        <v>0.27</v>
      </c>
      <c r="F15" s="3" t="n">
        <v>0.27</v>
      </c>
      <c r="G15" s="3" t="n">
        <v>0.27</v>
      </c>
      <c r="H15" s="3" t="n">
        <v>0.27</v>
      </c>
      <c r="I15" s="3" t="n">
        <v>0.27</v>
      </c>
      <c r="J15" s="3" t="n">
        <v>0.27</v>
      </c>
      <c r="K15" s="3" t="n">
        <v>0.27</v>
      </c>
      <c r="L15" s="3" t="n">
        <v>0.27</v>
      </c>
    </row>
    <row r="16" customFormat="false" ht="15" hidden="false" customHeight="false" outlineLevel="0" collapsed="false">
      <c r="A16" s="0" t="s">
        <v>106</v>
      </c>
      <c r="C16" s="3" t="n">
        <v>2.4</v>
      </c>
      <c r="D16" s="3" t="n">
        <v>2.3</v>
      </c>
      <c r="E16" s="3" t="n">
        <v>2.2</v>
      </c>
      <c r="F16" s="3" t="n">
        <v>2.2</v>
      </c>
      <c r="G16" s="3" t="n">
        <v>2.2</v>
      </c>
      <c r="H16" s="3" t="n">
        <v>2.2</v>
      </c>
      <c r="I16" s="3" t="n">
        <v>2.2</v>
      </c>
      <c r="J16" s="3" t="n">
        <v>2.2</v>
      </c>
      <c r="K16" s="3" t="n">
        <v>2.2</v>
      </c>
      <c r="L16" s="3" t="n">
        <v>2.2</v>
      </c>
    </row>
    <row r="17" customFormat="false" ht="15" hidden="false" customHeight="false" outlineLevel="0" collapsed="false">
      <c r="A17" s="0" t="s">
        <v>107</v>
      </c>
      <c r="C17" s="3" t="n">
        <v>6</v>
      </c>
      <c r="D17" s="3" t="n">
        <v>6</v>
      </c>
      <c r="E17" s="3" t="n">
        <v>6</v>
      </c>
      <c r="F17" s="3" t="n">
        <v>6</v>
      </c>
      <c r="G17" s="3" t="n">
        <v>6</v>
      </c>
      <c r="H17" s="3" t="n">
        <v>6</v>
      </c>
      <c r="I17" s="3" t="n">
        <v>6</v>
      </c>
      <c r="J17" s="3" t="n">
        <v>6</v>
      </c>
      <c r="K17" s="3" t="n">
        <v>6</v>
      </c>
      <c r="L17" s="3" t="n">
        <v>6</v>
      </c>
    </row>
    <row r="18" customFormat="false" ht="15" hidden="false" customHeight="false" outlineLevel="0" collapsed="false">
      <c r="A18" s="0" t="s">
        <v>108</v>
      </c>
      <c r="C18" s="3" t="n">
        <v>8</v>
      </c>
      <c r="D18" s="3" t="n">
        <v>8</v>
      </c>
      <c r="E18" s="3" t="n">
        <v>7</v>
      </c>
      <c r="F18" s="3" t="n">
        <v>6.5</v>
      </c>
      <c r="G18" s="3" t="n">
        <v>6.5</v>
      </c>
      <c r="H18" s="3" t="n">
        <v>6.5</v>
      </c>
      <c r="I18" s="3" t="n">
        <v>6.5</v>
      </c>
      <c r="J18" s="3" t="n">
        <v>6.5</v>
      </c>
      <c r="K18" s="3" t="n">
        <v>6.5</v>
      </c>
      <c r="L18" s="3" t="n">
        <v>6.5</v>
      </c>
    </row>
    <row r="19" customFormat="false" ht="15" hidden="false" customHeight="false" outlineLevel="0" collapsed="false">
      <c r="A19" s="0" t="s">
        <v>109</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110</v>
      </c>
      <c r="B20" s="3" t="n">
        <v>7.5</v>
      </c>
    </row>
    <row r="21" customFormat="false" ht="15" hidden="false" customHeight="false" outlineLevel="0" collapsed="false">
      <c r="A21" s="0" t="s">
        <v>111</v>
      </c>
      <c r="B21" s="3" t="n">
        <v>2</v>
      </c>
    </row>
    <row r="22" customFormat="false" ht="15" hidden="false" customHeight="false" outlineLevel="0" collapsed="false">
      <c r="A22" s="0" t="s">
        <v>112</v>
      </c>
      <c r="B22" s="3" t="n">
        <v>14</v>
      </c>
    </row>
    <row r="23" customFormat="false" ht="15" hidden="false" customHeight="false" outlineLevel="0" collapsed="false">
      <c r="A23" s="0" t="s">
        <v>113</v>
      </c>
      <c r="B23" s="3" t="n">
        <v>-5</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1.5</v>
      </c>
      <c r="D27" s="3" t="n">
        <v>4.5</v>
      </c>
      <c r="E27" s="3" t="n">
        <v>5</v>
      </c>
      <c r="F27" s="3" t="n">
        <v>5</v>
      </c>
      <c r="G27" s="3" t="n">
        <v>4.5</v>
      </c>
      <c r="H27" s="3" t="n">
        <v>4</v>
      </c>
      <c r="I27" s="3" t="n">
        <v>3.5</v>
      </c>
      <c r="J27" s="3" t="n">
        <v>3</v>
      </c>
      <c r="K27" s="3" t="n">
        <v>2.5</v>
      </c>
      <c r="L27" s="3" t="n">
        <v>2.5</v>
      </c>
    </row>
    <row r="28" customFormat="false" ht="15" hidden="false" customHeight="false" outlineLevel="0" collapsed="false">
      <c r="A28" s="0" t="s">
        <v>104</v>
      </c>
      <c r="C28" s="3" t="n">
        <v>23</v>
      </c>
      <c r="D28" s="3" t="n">
        <v>23.5</v>
      </c>
      <c r="E28" s="3" t="n">
        <v>23.6</v>
      </c>
      <c r="F28" s="3" t="n">
        <v>23.7</v>
      </c>
      <c r="G28" s="3" t="n">
        <v>23.8</v>
      </c>
      <c r="H28" s="3" t="n">
        <v>23.8</v>
      </c>
      <c r="I28" s="3" t="n">
        <v>23.8</v>
      </c>
      <c r="J28" s="3" t="n">
        <v>23.8</v>
      </c>
      <c r="K28" s="3" t="n">
        <v>23.8</v>
      </c>
      <c r="L28" s="3" t="n">
        <v>23.8</v>
      </c>
    </row>
    <row r="29" customFormat="false" ht="15" hidden="false" customHeight="false" outlineLevel="0" collapsed="false">
      <c r="A29" s="0" t="s">
        <v>105</v>
      </c>
      <c r="C29" s="3" t="n">
        <v>0.27</v>
      </c>
      <c r="D29" s="3" t="n">
        <v>0.27</v>
      </c>
      <c r="E29" s="3" t="n">
        <v>0.27</v>
      </c>
      <c r="F29" s="3" t="n">
        <v>0.27</v>
      </c>
      <c r="G29" s="3" t="n">
        <v>0.27</v>
      </c>
      <c r="H29" s="3" t="n">
        <v>0.27</v>
      </c>
      <c r="I29" s="3" t="n">
        <v>0.27</v>
      </c>
      <c r="J29" s="3" t="n">
        <v>0.27</v>
      </c>
      <c r="K29" s="3" t="n">
        <v>0.27</v>
      </c>
      <c r="L29" s="3" t="n">
        <v>0.27</v>
      </c>
    </row>
    <row r="30" customFormat="false" ht="15" hidden="false" customHeight="false" outlineLevel="0" collapsed="false">
      <c r="A30" s="0" t="s">
        <v>106</v>
      </c>
      <c r="C30" s="3" t="n">
        <v>2.4</v>
      </c>
      <c r="D30" s="3" t="n">
        <v>2.2</v>
      </c>
      <c r="E30" s="3" t="n">
        <v>2</v>
      </c>
      <c r="F30" s="3" t="n">
        <v>2</v>
      </c>
      <c r="G30" s="3" t="n">
        <v>2</v>
      </c>
      <c r="H30" s="3" t="n">
        <v>2</v>
      </c>
      <c r="I30" s="3" t="n">
        <v>2</v>
      </c>
      <c r="J30" s="3" t="n">
        <v>2</v>
      </c>
      <c r="K30" s="3" t="n">
        <v>2</v>
      </c>
      <c r="L30" s="3" t="n">
        <v>2</v>
      </c>
    </row>
    <row r="31" customFormat="false" ht="15" hidden="false" customHeight="false" outlineLevel="0" collapsed="false">
      <c r="A31" s="0" t="s">
        <v>107</v>
      </c>
      <c r="C31" s="3" t="n">
        <v>6</v>
      </c>
      <c r="D31" s="3" t="n">
        <v>6</v>
      </c>
      <c r="E31" s="3" t="n">
        <v>6</v>
      </c>
      <c r="F31" s="3" t="n">
        <v>5.9</v>
      </c>
      <c r="G31" s="3" t="n">
        <v>5.8</v>
      </c>
      <c r="H31" s="3" t="n">
        <v>5.8</v>
      </c>
      <c r="I31" s="3" t="n">
        <v>5.8</v>
      </c>
      <c r="J31" s="3" t="n">
        <v>5.8</v>
      </c>
      <c r="K31" s="3" t="n">
        <v>5.8</v>
      </c>
      <c r="L31" s="3" t="n">
        <v>5.8</v>
      </c>
    </row>
    <row r="32" customFormat="false" ht="15" hidden="false" customHeight="false" outlineLevel="0" collapsed="false">
      <c r="A32" s="0" t="s">
        <v>108</v>
      </c>
      <c r="C32" s="3" t="n">
        <v>7.5</v>
      </c>
      <c r="D32" s="3" t="n">
        <v>7.5</v>
      </c>
      <c r="E32" s="3" t="n">
        <v>6.3</v>
      </c>
      <c r="F32" s="3" t="n">
        <v>6</v>
      </c>
      <c r="G32" s="3" t="n">
        <v>6</v>
      </c>
      <c r="H32" s="3" t="n">
        <v>6</v>
      </c>
      <c r="I32" s="3" t="n">
        <v>6</v>
      </c>
      <c r="J32" s="3" t="n">
        <v>6</v>
      </c>
      <c r="K32" s="3" t="n">
        <v>6</v>
      </c>
      <c r="L32" s="3" t="n">
        <v>6</v>
      </c>
    </row>
    <row r="33" customFormat="false" ht="15" hidden="false" customHeight="false" outlineLevel="0" collapsed="false">
      <c r="A33" s="0" t="s">
        <v>109</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110</v>
      </c>
      <c r="B34" s="3" t="n">
        <v>7.5</v>
      </c>
    </row>
    <row r="35" customFormat="false" ht="15" hidden="false" customHeight="false" outlineLevel="0" collapsed="false">
      <c r="A35" s="0" t="s">
        <v>111</v>
      </c>
      <c r="B35" s="3" t="n">
        <v>2.5</v>
      </c>
    </row>
    <row r="36" customFormat="false" ht="15" hidden="false" customHeight="false" outlineLevel="0" collapsed="false">
      <c r="A36" s="0" t="s">
        <v>112</v>
      </c>
      <c r="B36" s="3" t="n">
        <v>18</v>
      </c>
    </row>
    <row r="37" customFormat="false" ht="15" hidden="false" customHeight="false" outlineLevel="0" collapsed="false">
      <c r="A37" s="0" t="s">
        <v>113</v>
      </c>
      <c r="B37" s="3" t="n">
        <v>-5</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2.5</v>
      </c>
      <c r="D41" s="3" t="n">
        <v>6</v>
      </c>
      <c r="E41" s="3" t="n">
        <v>6.5</v>
      </c>
      <c r="F41" s="3" t="n">
        <v>6.5</v>
      </c>
      <c r="G41" s="3" t="n">
        <v>6.5</v>
      </c>
      <c r="H41" s="3" t="n">
        <v>6</v>
      </c>
      <c r="I41" s="3" t="n">
        <v>5.5</v>
      </c>
      <c r="J41" s="3" t="n">
        <v>5</v>
      </c>
      <c r="K41" s="3" t="n">
        <v>4</v>
      </c>
      <c r="L41" s="3" t="n">
        <v>3</v>
      </c>
    </row>
    <row r="42" customFormat="false" ht="15" hidden="false" customHeight="false" outlineLevel="0" collapsed="false">
      <c r="A42" s="0" t="s">
        <v>104</v>
      </c>
      <c r="C42" s="3" t="n">
        <v>23.3</v>
      </c>
      <c r="D42" s="3" t="n">
        <v>24</v>
      </c>
      <c r="E42" s="3" t="n">
        <v>24.3</v>
      </c>
      <c r="F42" s="3" t="n">
        <v>24.5</v>
      </c>
      <c r="G42" s="3" t="n">
        <v>24.5</v>
      </c>
      <c r="H42" s="3" t="n">
        <v>24.5</v>
      </c>
      <c r="I42" s="3" t="n">
        <v>24.5</v>
      </c>
      <c r="J42" s="3" t="n">
        <v>24.5</v>
      </c>
      <c r="K42" s="3" t="n">
        <v>24.5</v>
      </c>
      <c r="L42" s="3" t="n">
        <v>24.5</v>
      </c>
    </row>
    <row r="43" customFormat="false" ht="15" hidden="false" customHeight="false" outlineLevel="0" collapsed="false">
      <c r="A43" s="0" t="s">
        <v>105</v>
      </c>
      <c r="C43" s="3" t="n">
        <v>0.27</v>
      </c>
      <c r="D43" s="3" t="n">
        <v>0.27</v>
      </c>
      <c r="E43" s="3" t="n">
        <v>0.27</v>
      </c>
      <c r="F43" s="3" t="n">
        <v>0.27</v>
      </c>
      <c r="G43" s="3" t="n">
        <v>0.27</v>
      </c>
      <c r="H43" s="3" t="n">
        <v>0.27</v>
      </c>
      <c r="I43" s="3" t="n">
        <v>0.27</v>
      </c>
      <c r="J43" s="3" t="n">
        <v>0.27</v>
      </c>
      <c r="K43" s="3" t="n">
        <v>0.27</v>
      </c>
      <c r="L43" s="3" t="n">
        <v>0.27</v>
      </c>
    </row>
    <row r="44" customFormat="false" ht="15" hidden="false" customHeight="false" outlineLevel="0" collapsed="false">
      <c r="A44" s="0" t="s">
        <v>106</v>
      </c>
      <c r="C44" s="3" t="n">
        <v>2.4</v>
      </c>
      <c r="D44" s="3" t="n">
        <v>2.1</v>
      </c>
      <c r="E44" s="3" t="n">
        <v>1.8</v>
      </c>
      <c r="F44" s="3" t="n">
        <v>1.8</v>
      </c>
      <c r="G44" s="3" t="n">
        <v>1.8</v>
      </c>
      <c r="H44" s="3" t="n">
        <v>1.8</v>
      </c>
      <c r="I44" s="3" t="n">
        <v>1.8</v>
      </c>
      <c r="J44" s="3" t="n">
        <v>1.8</v>
      </c>
      <c r="K44" s="3" t="n">
        <v>1.8</v>
      </c>
      <c r="L44" s="3" t="n">
        <v>1.8</v>
      </c>
    </row>
    <row r="45" customFormat="false" ht="15" hidden="false" customHeight="false" outlineLevel="0" collapsed="false">
      <c r="A45" s="0" t="s">
        <v>107</v>
      </c>
      <c r="C45" s="3" t="n">
        <v>6</v>
      </c>
      <c r="D45" s="3" t="n">
        <v>6</v>
      </c>
      <c r="E45" s="3" t="n">
        <v>5.9</v>
      </c>
      <c r="F45" s="3" t="n">
        <v>5.8</v>
      </c>
      <c r="G45" s="3" t="n">
        <v>5.7</v>
      </c>
      <c r="H45" s="3" t="n">
        <v>5.7</v>
      </c>
      <c r="I45" s="3" t="n">
        <v>5.7</v>
      </c>
      <c r="J45" s="3" t="n">
        <v>5.7</v>
      </c>
      <c r="K45" s="3" t="n">
        <v>5.7</v>
      </c>
      <c r="L45" s="3" t="n">
        <v>5.7</v>
      </c>
    </row>
    <row r="46" customFormat="false" ht="15" hidden="false" customHeight="false" outlineLevel="0" collapsed="false">
      <c r="A46" s="0" t="s">
        <v>108</v>
      </c>
      <c r="C46" s="3" t="n">
        <v>7.5</v>
      </c>
      <c r="D46" s="3" t="n">
        <v>7</v>
      </c>
      <c r="E46" s="3" t="n">
        <v>6</v>
      </c>
      <c r="F46" s="3" t="n">
        <v>5.7</v>
      </c>
      <c r="G46" s="3" t="n">
        <v>5.7</v>
      </c>
      <c r="H46" s="3" t="n">
        <v>5.7</v>
      </c>
      <c r="I46" s="3" t="n">
        <v>5.7</v>
      </c>
      <c r="J46" s="3" t="n">
        <v>5.7</v>
      </c>
      <c r="K46" s="3" t="n">
        <v>5.7</v>
      </c>
      <c r="L46" s="3" t="n">
        <v>5.7</v>
      </c>
    </row>
    <row r="47" customFormat="false" ht="15" hidden="false" customHeight="false" outlineLevel="0" collapsed="false">
      <c r="A47" s="0" t="s">
        <v>109</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110</v>
      </c>
      <c r="B48" s="3" t="n">
        <v>7.5</v>
      </c>
    </row>
    <row r="49" customFormat="false" ht="15" hidden="false" customHeight="false" outlineLevel="0" collapsed="false">
      <c r="A49" s="0" t="s">
        <v>111</v>
      </c>
      <c r="B49" s="3" t="n">
        <v>3</v>
      </c>
    </row>
    <row r="50" customFormat="false" ht="15" hidden="false" customHeight="false" outlineLevel="0" collapsed="false">
      <c r="A50" s="0" t="s">
        <v>112</v>
      </c>
      <c r="B50" s="3" t="n">
        <v>20</v>
      </c>
    </row>
    <row r="51" customFormat="false" ht="15" hidden="false" customHeight="false" outlineLevel="0" collapsed="false">
      <c r="A51" s="0" t="s">
        <v>113</v>
      </c>
      <c r="B51" s="3" t="n">
        <v>-5</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0.5</v>
      </c>
      <c r="D5" s="4" t="n">
        <f aca="false">Assumptions!D13</f>
        <v>3</v>
      </c>
      <c r="E5" s="4" t="n">
        <f aca="false">Assumptions!E13</f>
        <v>3</v>
      </c>
      <c r="F5" s="4" t="n">
        <f aca="false">Assumptions!F13</f>
        <v>3</v>
      </c>
      <c r="G5" s="4" t="n">
        <f aca="false">Assumptions!G13</f>
        <v>3</v>
      </c>
      <c r="H5" s="4" t="n">
        <f aca="false">Assumptions!H13</f>
        <v>2.5</v>
      </c>
      <c r="I5" s="4" t="n">
        <f aca="false">Assumptions!I13</f>
        <v>2.5</v>
      </c>
      <c r="J5" s="4" t="n">
        <f aca="false">Assumptions!J13</f>
        <v>2</v>
      </c>
      <c r="K5" s="4" t="n">
        <f aca="false">Assumptions!K13</f>
        <v>2</v>
      </c>
      <c r="L5" s="4" t="n">
        <f aca="false">Assumptions!L13</f>
        <v>2</v>
      </c>
    </row>
    <row r="6" customFormat="false" ht="15" hidden="false" customHeight="false" outlineLevel="0" collapsed="false">
      <c r="A6" s="0" t="s">
        <v>37</v>
      </c>
      <c r="B6" s="3" t="n">
        <v>7134.1</v>
      </c>
      <c r="C6" s="0" t="n">
        <f aca="false">B6*(1+C5/100)</f>
        <v>7169.7705</v>
      </c>
      <c r="D6" s="0" t="n">
        <f aca="false">C6*(1+D5/100)</f>
        <v>7384.863615</v>
      </c>
      <c r="E6" s="0" t="n">
        <f aca="false">D6*(1+E5/100)</f>
        <v>7606.40952345</v>
      </c>
      <c r="F6" s="0" t="n">
        <f aca="false">E6*(1+F5/100)</f>
        <v>7834.6018091535</v>
      </c>
      <c r="G6" s="0" t="n">
        <f aca="false">F6*(1+G5/100)</f>
        <v>8069.63986342811</v>
      </c>
      <c r="H6" s="0" t="n">
        <f aca="false">G6*(1+H5/100)</f>
        <v>8271.38086001381</v>
      </c>
      <c r="I6" s="0" t="n">
        <f aca="false">H6*(1+I5/100)</f>
        <v>8478.16538151415</v>
      </c>
      <c r="J6" s="0" t="n">
        <f aca="false">I6*(1+J5/100)</f>
        <v>8647.72868914444</v>
      </c>
      <c r="K6" s="0" t="n">
        <f aca="false">J6*(1+K5/100)</f>
        <v>8820.68326292732</v>
      </c>
      <c r="L6" s="0" t="n">
        <f aca="false">K6*(1+L5/100)</f>
        <v>8997.09692818587</v>
      </c>
    </row>
    <row r="7" customFormat="false" ht="15" hidden="false" customHeight="false" outlineLevel="0" collapsed="false">
      <c r="A7" s="0" t="s">
        <v>104</v>
      </c>
      <c r="C7" s="4" t="n">
        <f aca="false">Assumptions!C14</f>
        <v>22.5</v>
      </c>
      <c r="D7" s="4" t="n">
        <f aca="false">Assumptions!D14</f>
        <v>22.5</v>
      </c>
      <c r="E7" s="4" t="n">
        <f aca="false">Assumptions!E14</f>
        <v>22.5</v>
      </c>
      <c r="F7" s="4" t="n">
        <f aca="false">Assumptions!F14</f>
        <v>22.5</v>
      </c>
      <c r="G7" s="4" t="n">
        <f aca="false">Assumptions!G14</f>
        <v>22.5</v>
      </c>
      <c r="H7" s="4" t="n">
        <f aca="false">Assumptions!H14</f>
        <v>22.5</v>
      </c>
      <c r="I7" s="4" t="n">
        <f aca="false">Assumptions!I14</f>
        <v>22.5</v>
      </c>
      <c r="J7" s="4" t="n">
        <f aca="false">Assumptions!J14</f>
        <v>22.5</v>
      </c>
      <c r="K7" s="4" t="n">
        <f aca="false">Assumptions!K14</f>
        <v>22.5</v>
      </c>
      <c r="L7" s="4" t="n">
        <f aca="false">Assumptions!L14</f>
        <v>22.5</v>
      </c>
    </row>
    <row r="8" customFormat="false" ht="15" hidden="false" customHeight="false" outlineLevel="0" collapsed="false">
      <c r="A8" s="0" t="s">
        <v>43</v>
      </c>
      <c r="C8" s="0" t="n">
        <f aca="false">C6*C7/100</f>
        <v>1613.1983625</v>
      </c>
      <c r="D8" s="0" t="n">
        <f aca="false">D6*D7/100</f>
        <v>1661.594313375</v>
      </c>
      <c r="E8" s="0" t="n">
        <f aca="false">E6*E7/100</f>
        <v>1711.44214277625</v>
      </c>
      <c r="F8" s="0" t="n">
        <f aca="false">F6*F7/100</f>
        <v>1762.78540705954</v>
      </c>
      <c r="G8" s="0" t="n">
        <f aca="false">G6*G7/100</f>
        <v>1815.66896927132</v>
      </c>
      <c r="H8" s="0" t="n">
        <f aca="false">H6*H7/100</f>
        <v>1861.06069350311</v>
      </c>
      <c r="I8" s="0" t="n">
        <f aca="false">I6*I7/100</f>
        <v>1907.58721084068</v>
      </c>
      <c r="J8" s="0" t="n">
        <f aca="false">J6*J7/100</f>
        <v>1945.7389550575</v>
      </c>
      <c r="K8" s="0" t="n">
        <f aca="false">K6*K7/100</f>
        <v>1984.65373415865</v>
      </c>
      <c r="L8" s="0" t="n">
        <f aca="false">L6*L7/100</f>
        <v>2024.34680884182</v>
      </c>
    </row>
    <row r="9" customFormat="false" ht="15" hidden="false" customHeight="false" outlineLevel="0" collapsed="false">
      <c r="A9" s="0" t="s">
        <v>105</v>
      </c>
      <c r="C9" s="4" t="n">
        <f aca="false">Assumptions!C15</f>
        <v>0.27</v>
      </c>
      <c r="D9" s="4" t="n">
        <f aca="false">Assumptions!D15</f>
        <v>0.27</v>
      </c>
      <c r="E9" s="4" t="n">
        <f aca="false">Assumptions!E15</f>
        <v>0.27</v>
      </c>
      <c r="F9" s="4" t="n">
        <f aca="false">Assumptions!F15</f>
        <v>0.27</v>
      </c>
      <c r="G9" s="4" t="n">
        <f aca="false">Assumptions!G15</f>
        <v>0.27</v>
      </c>
      <c r="H9" s="4" t="n">
        <f aca="false">Assumptions!H15</f>
        <v>0.27</v>
      </c>
      <c r="I9" s="4" t="n">
        <f aca="false">Assumptions!I15</f>
        <v>0.27</v>
      </c>
      <c r="J9" s="4" t="n">
        <f aca="false">Assumptions!J15</f>
        <v>0.27</v>
      </c>
      <c r="K9" s="4" t="n">
        <f aca="false">Assumptions!K15</f>
        <v>0.27</v>
      </c>
      <c r="L9" s="4" t="n">
        <f aca="false">Assumptions!L15</f>
        <v>0.27</v>
      </c>
    </row>
    <row r="10" customFormat="false" ht="15" hidden="false" customHeight="false" outlineLevel="0" collapsed="false">
      <c r="A10" s="0" t="s">
        <v>120</v>
      </c>
      <c r="C10" s="0" t="n">
        <f aca="false">-C6*C9/100</f>
        <v>-19.35838035</v>
      </c>
      <c r="D10" s="0" t="n">
        <f aca="false">-D6*D9/100</f>
        <v>-19.9391317605</v>
      </c>
      <c r="E10" s="0" t="n">
        <f aca="false">-E6*E9/100</f>
        <v>-20.537305713315</v>
      </c>
      <c r="F10" s="0" t="n">
        <f aca="false">-F6*F9/100</f>
        <v>-21.1534248847145</v>
      </c>
      <c r="G10" s="0" t="n">
        <f aca="false">-G6*G9/100</f>
        <v>-21.7880276312559</v>
      </c>
      <c r="H10" s="0" t="n">
        <f aca="false">-H6*H9/100</f>
        <v>-22.3327283220373</v>
      </c>
      <c r="I10" s="0" t="n">
        <f aca="false">-I6*I9/100</f>
        <v>-22.8910465300882</v>
      </c>
      <c r="J10" s="0" t="n">
        <f aca="false">-J6*J9/100</f>
        <v>-23.34886746069</v>
      </c>
      <c r="K10" s="0" t="n">
        <f aca="false">-K6*K9/100</f>
        <v>-23.8158448099038</v>
      </c>
      <c r="L10" s="0" t="n">
        <f aca="false">-L6*L9/100</f>
        <v>-24.2921617061018</v>
      </c>
    </row>
    <row r="11" customFormat="false" ht="15" hidden="false" customHeight="false" outlineLevel="0" collapsed="false">
      <c r="A11" s="0" t="s">
        <v>121</v>
      </c>
      <c r="C11" s="0" t="n">
        <f aca="false">C8+C10+C24</f>
        <v>1421.76549015</v>
      </c>
      <c r="D11" s="0" t="n">
        <f aca="false">D8+D10+D24</f>
        <v>1471.8033184695</v>
      </c>
      <c r="E11" s="0" t="n">
        <f aca="false">E8+E10+E24</f>
        <v>1523.56382754704</v>
      </c>
      <c r="F11" s="0" t="n">
        <f aca="false">F8+F10+F24</f>
        <v>1569.27074237345</v>
      </c>
      <c r="G11" s="0" t="n">
        <f aca="false">G8+G10+G24</f>
        <v>1616.34886464465</v>
      </c>
      <c r="H11" s="0" t="n">
        <f aca="false">H8+H10+H24</f>
        <v>1656.75758626077</v>
      </c>
      <c r="I11" s="0" t="n">
        <f aca="false">I8+I10+I24</f>
        <v>1698.17652591728</v>
      </c>
      <c r="J11" s="0" t="n">
        <f aca="false">J8+J10+J24</f>
        <v>1732.14005643563</v>
      </c>
      <c r="K11" s="0" t="n">
        <f aca="false">K8+K10+K24</f>
        <v>1766.78285756434</v>
      </c>
      <c r="L11" s="0" t="n">
        <f aca="false">L8+L10+L24</f>
        <v>1802.11851471563</v>
      </c>
    </row>
    <row r="12" customFormat="false" ht="15" hidden="false" customHeight="false" outlineLevel="0" collapsed="false">
      <c r="A12" s="0" t="s">
        <v>122</v>
      </c>
      <c r="C12" s="4" t="n">
        <f aca="false">-C6*Assumptions!C17/100</f>
        <v>-430.18623</v>
      </c>
      <c r="D12" s="4" t="n">
        <f aca="false">-D6*Assumptions!D17/100</f>
        <v>-443.0918169</v>
      </c>
      <c r="E12" s="4" t="n">
        <f aca="false">-E6*Assumptions!E17/100</f>
        <v>-456.384571407</v>
      </c>
      <c r="F12" s="4" t="n">
        <f aca="false">-F6*Assumptions!F17/100</f>
        <v>-470.07610854921</v>
      </c>
      <c r="G12" s="4" t="n">
        <f aca="false">-G6*Assumptions!G17/100</f>
        <v>-484.178391805686</v>
      </c>
      <c r="H12" s="4" t="n">
        <f aca="false">-H6*Assumptions!H17/100</f>
        <v>-496.282851600828</v>
      </c>
      <c r="I12" s="4" t="n">
        <f aca="false">-I6*Assumptions!I17/100</f>
        <v>-508.689922890849</v>
      </c>
      <c r="J12" s="4" t="n">
        <f aca="false">-J6*Assumptions!J17/100</f>
        <v>-518.863721348666</v>
      </c>
      <c r="K12" s="4" t="n">
        <f aca="false">-K6*Assumptions!K17/100</f>
        <v>-529.240995775639</v>
      </c>
      <c r="L12" s="4" t="n">
        <f aca="false">-L6*Assumptions!L17/100</f>
        <v>-539.825815691152</v>
      </c>
    </row>
    <row r="13" customFormat="false" ht="15" hidden="false" customHeight="false" outlineLevel="0" collapsed="false">
      <c r="A13" s="0" t="s">
        <v>123</v>
      </c>
      <c r="C13" s="0" t="n">
        <f aca="false">C11+C12</f>
        <v>991.57926015</v>
      </c>
      <c r="D13" s="0" t="n">
        <f aca="false">D11+D12</f>
        <v>1028.7115015695</v>
      </c>
      <c r="E13" s="0" t="n">
        <f aca="false">E11+E12</f>
        <v>1067.17925614004</v>
      </c>
      <c r="F13" s="0" t="n">
        <f aca="false">F11+F12</f>
        <v>1099.19463382424</v>
      </c>
      <c r="G13" s="0" t="n">
        <f aca="false">G11+G12</f>
        <v>1132.17047283896</v>
      </c>
      <c r="H13" s="0" t="n">
        <f aca="false">H11+H12</f>
        <v>1160.47473465994</v>
      </c>
      <c r="I13" s="0" t="n">
        <f aca="false">I11+I12</f>
        <v>1189.48660302644</v>
      </c>
      <c r="J13" s="0" t="n">
        <f aca="false">J11+J12</f>
        <v>1213.27633508696</v>
      </c>
      <c r="K13" s="0" t="n">
        <f aca="false">K11+K12</f>
        <v>1237.5418617887</v>
      </c>
      <c r="L13" s="0" t="n">
        <f aca="false">L11+L12</f>
        <v>1262.29269902448</v>
      </c>
    </row>
    <row r="14" customFormat="false" ht="15" hidden="false" customHeight="false" outlineLevel="0" collapsed="false">
      <c r="A14" s="0" t="s">
        <v>109</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124</v>
      </c>
      <c r="C15" s="0" t="n">
        <f aca="false">C13-MAX(0,C13)*C14/100</f>
        <v>713.937067308</v>
      </c>
      <c r="D15" s="0" t="n">
        <f aca="false">D13-MAX(0,D13)*D14/100</f>
        <v>740.67228113004</v>
      </c>
      <c r="E15" s="0" t="n">
        <f aca="false">E13-MAX(0,E13)*E14/100</f>
        <v>768.369064420825</v>
      </c>
      <c r="F15" s="0" t="n">
        <f aca="false">F13-MAX(0,F13)*F14/100</f>
        <v>791.42013635345</v>
      </c>
      <c r="G15" s="0" t="n">
        <f aca="false">G13-MAX(0,G13)*G14/100</f>
        <v>815.162740444054</v>
      </c>
      <c r="H15" s="0" t="n">
        <f aca="false">H13-MAX(0,H13)*H14/100</f>
        <v>835.541808955155</v>
      </c>
      <c r="I15" s="0" t="n">
        <f aca="false">I13-MAX(0,I13)*I14/100</f>
        <v>856.430354179033</v>
      </c>
      <c r="J15" s="0" t="n">
        <f aca="false">J13-MAX(0,J13)*J14/100</f>
        <v>873.558961262614</v>
      </c>
      <c r="K15" s="0" t="n">
        <f aca="false">K13-MAX(0,K13)*K14/100</f>
        <v>891.030140487867</v>
      </c>
      <c r="L15" s="0" t="n">
        <f aca="false">L13-MAX(0,L13)*L14/100</f>
        <v>908.850743297624</v>
      </c>
    </row>
    <row r="16" customFormat="false" ht="15" hidden="false" customHeight="false" outlineLevel="0" collapsed="false">
      <c r="A16" s="0" t="s">
        <v>125</v>
      </c>
      <c r="C16" s="0" t="n">
        <f aca="false">-C12</f>
        <v>430.18623</v>
      </c>
      <c r="D16" s="0" t="n">
        <f aca="false">-D12</f>
        <v>443.0918169</v>
      </c>
      <c r="E16" s="0" t="n">
        <f aca="false">-E12</f>
        <v>456.384571407</v>
      </c>
      <c r="F16" s="0" t="n">
        <f aca="false">-F12</f>
        <v>470.07610854921</v>
      </c>
      <c r="G16" s="0" t="n">
        <f aca="false">-G12</f>
        <v>484.178391805686</v>
      </c>
      <c r="H16" s="0" t="n">
        <f aca="false">-H12</f>
        <v>496.282851600828</v>
      </c>
      <c r="I16" s="0" t="n">
        <f aca="false">-I12</f>
        <v>508.689922890849</v>
      </c>
      <c r="J16" s="0" t="n">
        <f aca="false">-J12</f>
        <v>518.863721348666</v>
      </c>
      <c r="K16" s="0" t="n">
        <f aca="false">-K12</f>
        <v>529.240995775639</v>
      </c>
      <c r="L16" s="0" t="n">
        <f aca="false">-L12</f>
        <v>539.825815691152</v>
      </c>
    </row>
    <row r="17" customFormat="false" ht="15" hidden="false" customHeight="false" outlineLevel="0" collapsed="false">
      <c r="A17" s="0" t="s">
        <v>126</v>
      </c>
      <c r="C17" s="4" t="n">
        <f aca="false">-C6*Assumptions!C18/100</f>
        <v>-573.58164</v>
      </c>
      <c r="D17" s="4" t="n">
        <f aca="false">-D6*Assumptions!D18/100</f>
        <v>-590.7890892</v>
      </c>
      <c r="E17" s="4" t="n">
        <f aca="false">-E6*Assumptions!E18/100</f>
        <v>-532.4486666415</v>
      </c>
      <c r="F17" s="4" t="n">
        <f aca="false">-F6*Assumptions!F18/100</f>
        <v>-509.249117594978</v>
      </c>
      <c r="G17" s="4" t="n">
        <f aca="false">-G6*Assumptions!G18/100</f>
        <v>-524.526591122827</v>
      </c>
      <c r="H17" s="4" t="n">
        <f aca="false">-H6*Assumptions!H18/100</f>
        <v>-537.639755900897</v>
      </c>
      <c r="I17" s="4" t="n">
        <f aca="false">-I6*Assumptions!I18/100</f>
        <v>-551.08074979842</v>
      </c>
      <c r="J17" s="4" t="n">
        <f aca="false">-J6*Assumptions!J18/100</f>
        <v>-562.102364794388</v>
      </c>
      <c r="K17" s="4" t="n">
        <f aca="false">-K6*Assumptions!K18/100</f>
        <v>-573.344412090276</v>
      </c>
      <c r="L17" s="4" t="n">
        <f aca="false">-L6*Assumptions!L18/100</f>
        <v>-584.811300332082</v>
      </c>
    </row>
    <row r="18" customFormat="false" ht="15" hidden="false" customHeight="false" outlineLevel="0" collapsed="false">
      <c r="A18" s="0" t="s">
        <v>127</v>
      </c>
      <c r="C18" s="4" t="n">
        <f aca="false">(C6-B6)*Assumptions!$B$23/100</f>
        <v>-1.78352499999996</v>
      </c>
      <c r="D18" s="4" t="n">
        <f aca="false">(D6-C6)*Assumptions!$B$23/100</f>
        <v>-10.75465575</v>
      </c>
      <c r="E18" s="4" t="n">
        <f aca="false">(E6-D6)*Assumptions!$B$23/100</f>
        <v>-11.0772954225</v>
      </c>
      <c r="F18" s="4" t="n">
        <f aca="false">(F6-E6)*Assumptions!$B$23/100</f>
        <v>-11.409614285175</v>
      </c>
      <c r="G18" s="4" t="n">
        <f aca="false">(G6-F6)*Assumptions!$B$23/100</f>
        <v>-11.7519027137303</v>
      </c>
      <c r="H18" s="4" t="n">
        <f aca="false">(H6-G6)*Assumptions!$B$23/100</f>
        <v>-10.0870498292851</v>
      </c>
      <c r="I18" s="4" t="n">
        <f aca="false">(I6-H6)*Assumptions!$B$23/100</f>
        <v>-10.3392260750172</v>
      </c>
      <c r="J18" s="4" t="n">
        <f aca="false">(J6-I6)*Assumptions!$B$23/100</f>
        <v>-8.47816538151419</v>
      </c>
      <c r="K18" s="4" t="n">
        <f aca="false">(K6-J6)*Assumptions!$B$23/100</f>
        <v>-8.64772868914442</v>
      </c>
      <c r="L18" s="4" t="n">
        <f aca="false">(L6-K6)*Assumptions!$B$23/100</f>
        <v>-8.82068326292729</v>
      </c>
    </row>
    <row r="19" customFormat="false" ht="15" hidden="false" customHeight="false" outlineLevel="0" collapsed="false">
      <c r="A19" s="0" t="s">
        <v>128</v>
      </c>
      <c r="C19" s="0" t="n">
        <f aca="false">C15+C16+C17+C18</f>
        <v>568.758132308</v>
      </c>
      <c r="D19" s="0" t="n">
        <f aca="false">D15+D16+D17+D18</f>
        <v>582.22035308004</v>
      </c>
      <c r="E19" s="0" t="n">
        <f aca="false">E15+E16+E17+E18</f>
        <v>681.227673763825</v>
      </c>
      <c r="F19" s="0" t="n">
        <f aca="false">F15+F16+F17+F18</f>
        <v>740.837513022507</v>
      </c>
      <c r="G19" s="0" t="n">
        <f aca="false">G15+G16+G17+G18</f>
        <v>763.062638413183</v>
      </c>
      <c r="H19" s="0" t="n">
        <f aca="false">H15+H16+H17+H18</f>
        <v>784.097854825801</v>
      </c>
      <c r="I19" s="0" t="n">
        <f aca="false">I15+I16+I17+I18</f>
        <v>803.700301196445</v>
      </c>
      <c r="J19" s="0" t="n">
        <f aca="false">J15+J16+J17+J18</f>
        <v>821.842152435378</v>
      </c>
      <c r="K19" s="0" t="n">
        <f aca="false">K15+K16+K17+K18</f>
        <v>838.278995484086</v>
      </c>
      <c r="L19" s="0" t="n">
        <f aca="false">L15+L16+L17+L18</f>
        <v>855.044575393767</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529.077332379535</v>
      </c>
      <c r="D21" s="0" t="n">
        <f aca="false">D19*D20</f>
        <v>503.814259020046</v>
      </c>
      <c r="E21" s="0" t="n">
        <f aca="false">E19*E20</f>
        <v>548.361416238631</v>
      </c>
      <c r="F21" s="0" t="n">
        <f aca="false">F19*F20</f>
        <v>554.739522229466</v>
      </c>
      <c r="G21" s="0" t="n">
        <f aca="false">G19*G20</f>
        <v>531.517867810558</v>
      </c>
      <c r="H21" s="0" t="n">
        <f aca="false">H19*H20</f>
        <v>508.065236638251</v>
      </c>
      <c r="I21" s="0" t="n">
        <f aca="false">I19*I20</f>
        <v>484.434295399262</v>
      </c>
      <c r="J21" s="0" t="n">
        <f aca="false">J19*J20</f>
        <v>460.808730367339</v>
      </c>
      <c r="K21" s="0" t="n">
        <f aca="false">K19*K20</f>
        <v>437.232469743894</v>
      </c>
      <c r="L21" s="0" t="n">
        <f aca="false">L19*L20</f>
        <v>414.86243640816</v>
      </c>
    </row>
    <row r="23" customFormat="false" ht="15" hidden="false" customHeight="false" outlineLevel="0" collapsed="false">
      <c r="A23" s="0" t="s">
        <v>106</v>
      </c>
      <c r="C23" s="4" t="n">
        <f aca="false">Assumptions!C16</f>
        <v>2.4</v>
      </c>
      <c r="D23" s="4" t="n">
        <f aca="false">Assumptions!D16</f>
        <v>2.3</v>
      </c>
      <c r="E23" s="4" t="n">
        <f aca="false">Assumptions!E16</f>
        <v>2.2</v>
      </c>
      <c r="F23" s="4" t="n">
        <f aca="false">Assumptions!F16</f>
        <v>2.2</v>
      </c>
      <c r="G23" s="4" t="n">
        <f aca="false">Assumptions!G16</f>
        <v>2.2</v>
      </c>
      <c r="H23" s="4" t="n">
        <f aca="false">Assumptions!H16</f>
        <v>2.2</v>
      </c>
      <c r="I23" s="4" t="n">
        <f aca="false">Assumptions!I16</f>
        <v>2.2</v>
      </c>
      <c r="J23" s="4" t="n">
        <f aca="false">Assumptions!J16</f>
        <v>2.2</v>
      </c>
      <c r="K23" s="4" t="n">
        <f aca="false">Assumptions!K16</f>
        <v>2.2</v>
      </c>
      <c r="L23" s="4" t="n">
        <f aca="false">Assumptions!L16</f>
        <v>2.2</v>
      </c>
    </row>
    <row r="24" customFormat="false" ht="15" hidden="false" customHeight="false" outlineLevel="0" collapsed="false">
      <c r="A24" s="0" t="s">
        <v>131</v>
      </c>
      <c r="C24" s="0" t="n">
        <f aca="false">-C6*C23/100</f>
        <v>-172.074492</v>
      </c>
      <c r="D24" s="0" t="n">
        <f aca="false">-D6*D23/100</f>
        <v>-169.851863145</v>
      </c>
      <c r="E24" s="0" t="n">
        <f aca="false">-E6*E23/100</f>
        <v>-167.3410095159</v>
      </c>
      <c r="F24" s="0" t="n">
        <f aca="false">-F6*F23/100</f>
        <v>-172.361239801377</v>
      </c>
      <c r="G24" s="0" t="n">
        <f aca="false">-G6*G23/100</f>
        <v>-177.532076995418</v>
      </c>
      <c r="H24" s="0" t="n">
        <f aca="false">-H6*H23/100</f>
        <v>-181.970378920304</v>
      </c>
      <c r="I24" s="0" t="n">
        <f aca="false">-I6*I23/100</f>
        <v>-186.519638393311</v>
      </c>
      <c r="J24" s="0" t="n">
        <f aca="false">-J6*J23/100</f>
        <v>-190.250031161178</v>
      </c>
      <c r="K24" s="0" t="n">
        <f aca="false">-K6*K23/100</f>
        <v>-194.055031784401</v>
      </c>
      <c r="L24" s="0" t="n">
        <f aca="false">-L6*L23/100</f>
        <v>-197.936132420089</v>
      </c>
    </row>
    <row r="26" customFormat="false" ht="15" hidden="false" customHeight="false" outlineLevel="0" collapsed="false">
      <c r="A26" s="2" t="s">
        <v>132</v>
      </c>
    </row>
    <row r="27" customFormat="false" ht="15" hidden="false" customHeight="false" outlineLevel="0" collapsed="false">
      <c r="A27" s="0" t="s">
        <v>110</v>
      </c>
      <c r="B27" s="4" t="n">
        <f aca="false">Assumptions!$B$20</f>
        <v>7.5</v>
      </c>
    </row>
    <row r="28" customFormat="false" ht="15" hidden="false" customHeight="false" outlineLevel="0" collapsed="false">
      <c r="A28" s="0" t="s">
        <v>111</v>
      </c>
      <c r="B28" s="4" t="n">
        <f aca="false">Assumptions!$B$21</f>
        <v>2</v>
      </c>
    </row>
    <row r="29" customFormat="false" ht="15" hidden="false" customHeight="false" outlineLevel="0" collapsed="false">
      <c r="A29" s="0" t="s">
        <v>112</v>
      </c>
      <c r="B29" s="4" t="n">
        <f aca="false">Assumptions!$B$22</f>
        <v>14</v>
      </c>
    </row>
    <row r="30" customFormat="false" ht="15" hidden="false" customHeight="false" outlineLevel="0" collapsed="false">
      <c r="A30" s="0" t="s">
        <v>133</v>
      </c>
      <c r="B30" s="0" t="n">
        <f aca="false">SUM(C21:L21)</f>
        <v>4972.91356623514</v>
      </c>
    </row>
    <row r="31" customFormat="false" ht="15" hidden="false" customHeight="false" outlineLevel="0" collapsed="false">
      <c r="A31" s="0" t="s">
        <v>134</v>
      </c>
      <c r="B31" s="0" t="n">
        <f aca="false">L19</f>
        <v>855.044575393767</v>
      </c>
    </row>
    <row r="32" customFormat="false" ht="15" hidden="false" customHeight="false" outlineLevel="0" collapsed="false">
      <c r="A32" s="0" t="s">
        <v>135</v>
      </c>
      <c r="B32" s="0" t="n">
        <f aca="false">IF(B27&gt;B28,B31*(1+B28/100)/((B27-B28)/100),B31*B29)</f>
        <v>15857.1903073026</v>
      </c>
    </row>
    <row r="33" customFormat="false" ht="15" hidden="false" customHeight="false" outlineLevel="0" collapsed="false">
      <c r="A33" s="0" t="s">
        <v>136</v>
      </c>
      <c r="B33" s="0" t="n">
        <f aca="false">B31*B29</f>
        <v>11970.6240555127</v>
      </c>
    </row>
    <row r="34" customFormat="false" ht="15" hidden="false" customHeight="false" outlineLevel="0" collapsed="false">
      <c r="A34" s="0" t="s">
        <v>137</v>
      </c>
      <c r="B34" s="0" t="n">
        <f aca="false">MAX(0,MIN(B32,B33))</f>
        <v>11970.6240555127</v>
      </c>
    </row>
    <row r="35" customFormat="false" ht="15" hidden="false" customHeight="false" outlineLevel="0" collapsed="false">
      <c r="A35" s="0" t="s">
        <v>138</v>
      </c>
      <c r="B35" s="0" t="n">
        <f aca="false">B34/(1+B27/100)^L4</f>
        <v>5808.07410971423</v>
      </c>
    </row>
    <row r="36" customFormat="false" ht="15" hidden="false" customHeight="false" outlineLevel="0" collapsed="false">
      <c r="A36" s="0" t="s">
        <v>139</v>
      </c>
      <c r="B36" s="0" t="n">
        <f aca="false">B30+B35</f>
        <v>10780.9876759494</v>
      </c>
    </row>
    <row r="37" customFormat="false" ht="15" hidden="false" customHeight="false" outlineLevel="0" collapsed="false">
      <c r="A37" s="0" t="s">
        <v>140</v>
      </c>
      <c r="B37" s="0" t="n">
        <f aca="false">B36+Assumptions!$B$5-Assumptions!$B$4</f>
        <v>6738.48767594937</v>
      </c>
    </row>
    <row r="38" customFormat="false" ht="15" hidden="false" customHeight="false" outlineLevel="0" collapsed="false">
      <c r="A38" s="0" t="s">
        <v>141</v>
      </c>
      <c r="B38" s="0" t="n">
        <f aca="false">B37/Assumptions!$B$3*Assumptions!$B$10</f>
        <v>37.0653887565972</v>
      </c>
    </row>
    <row r="39" customFormat="false" ht="15" hidden="false" customHeight="false" outlineLevel="0" collapsed="false">
      <c r="A39" s="0" t="s">
        <v>142</v>
      </c>
      <c r="B39" s="4" t="n">
        <f aca="false">B38/Assumptions!$B$2-1</f>
        <v>-0.562392104408534</v>
      </c>
    </row>
    <row r="41" customFormat="false" ht="15" hidden="false" customHeight="false" outlineLevel="0" collapsed="false">
      <c r="A41" s="0" t="s">
        <v>143</v>
      </c>
      <c r="B41" s="0" t="n">
        <f aca="false">SUMPRODUCT(-C10:L10/(1+$B$27/100)^C4:L4)</f>
        <v>148.378394019877</v>
      </c>
    </row>
    <row r="42" customFormat="false" ht="15" hidden="false" customHeight="false" outlineLevel="0" collapsed="false">
      <c r="A42" s="0" t="s">
        <v>144</v>
      </c>
      <c r="B42" s="0" t="n">
        <f aca="false">IF(B27&gt;B28,-L10*(1+B28/100)/((B27-B28)/100),-L10*20)/(1+B27/100)^L4</f>
        <v>218.584319134915</v>
      </c>
    </row>
    <row r="43" customFormat="false" ht="15" hidden="false" customHeight="false" outlineLevel="0" collapsed="false">
      <c r="A43" s="0" t="s">
        <v>145</v>
      </c>
      <c r="B43" s="0" t="n">
        <f aca="false">(B37+B41+B42)/Assumptions!$B$3*Assumptions!$B$10</f>
        <v>39.0838855286258</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6708.81128385879</v>
      </c>
    </row>
    <row r="47" customFormat="false" ht="15" hidden="false" customHeight="false" outlineLevel="0" collapsed="false">
      <c r="A47" s="0" t="s">
        <v>147</v>
      </c>
      <c r="B47" s="0" t="n">
        <f aca="false">(SUMPRODUCT(C19:L19/(1+B45/100)^C4:L4)+B46/(1+B45/100)^L4+Assumptions!$B$5-Assumptions!$B$4)/Assumptions!$B$3*Assumptions!$B$10</f>
        <v>6.38578782432514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1.5</v>
      </c>
      <c r="D5" s="4" t="n">
        <f aca="false">Assumptions!D27</f>
        <v>4.5</v>
      </c>
      <c r="E5" s="4" t="n">
        <f aca="false">Assumptions!E27</f>
        <v>5</v>
      </c>
      <c r="F5" s="4" t="n">
        <f aca="false">Assumptions!F27</f>
        <v>5</v>
      </c>
      <c r="G5" s="4" t="n">
        <f aca="false">Assumptions!G27</f>
        <v>4.5</v>
      </c>
      <c r="H5" s="4" t="n">
        <f aca="false">Assumptions!H27</f>
        <v>4</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37</v>
      </c>
      <c r="B6" s="3" t="n">
        <v>7134.1</v>
      </c>
      <c r="C6" s="0" t="n">
        <f aca="false">B6*(1+C5/100)</f>
        <v>7241.1115</v>
      </c>
      <c r="D6" s="0" t="n">
        <f aca="false">C6*(1+D5/100)</f>
        <v>7566.9615175</v>
      </c>
      <c r="E6" s="0" t="n">
        <f aca="false">D6*(1+E5/100)</f>
        <v>7945.309593375</v>
      </c>
      <c r="F6" s="0" t="n">
        <f aca="false">E6*(1+F5/100)</f>
        <v>8342.57507304375</v>
      </c>
      <c r="G6" s="0" t="n">
        <f aca="false">F6*(1+G5/100)</f>
        <v>8717.99095133072</v>
      </c>
      <c r="H6" s="0" t="n">
        <f aca="false">G6*(1+H5/100)</f>
        <v>9066.71058938395</v>
      </c>
      <c r="I6" s="0" t="n">
        <f aca="false">H6*(1+I5/100)</f>
        <v>9384.04546001239</v>
      </c>
      <c r="J6" s="0" t="n">
        <f aca="false">I6*(1+J5/100)</f>
        <v>9665.56682381276</v>
      </c>
      <c r="K6" s="0" t="n">
        <f aca="false">J6*(1+K5/100)</f>
        <v>9907.20599440808</v>
      </c>
      <c r="L6" s="0" t="n">
        <f aca="false">K6*(1+L5/100)</f>
        <v>10154.8861442683</v>
      </c>
    </row>
    <row r="7" customFormat="false" ht="15" hidden="false" customHeight="false" outlineLevel="0" collapsed="false">
      <c r="A7" s="0" t="s">
        <v>104</v>
      </c>
      <c r="C7" s="4" t="n">
        <f aca="false">Assumptions!C28</f>
        <v>23</v>
      </c>
      <c r="D7" s="4" t="n">
        <f aca="false">Assumptions!D28</f>
        <v>23.5</v>
      </c>
      <c r="E7" s="4" t="n">
        <f aca="false">Assumptions!E28</f>
        <v>23.6</v>
      </c>
      <c r="F7" s="4" t="n">
        <f aca="false">Assumptions!F28</f>
        <v>23.7</v>
      </c>
      <c r="G7" s="4" t="n">
        <f aca="false">Assumptions!G28</f>
        <v>23.8</v>
      </c>
      <c r="H7" s="4" t="n">
        <f aca="false">Assumptions!H28</f>
        <v>23.8</v>
      </c>
      <c r="I7" s="4" t="n">
        <f aca="false">Assumptions!I28</f>
        <v>23.8</v>
      </c>
      <c r="J7" s="4" t="n">
        <f aca="false">Assumptions!J28</f>
        <v>23.8</v>
      </c>
      <c r="K7" s="4" t="n">
        <f aca="false">Assumptions!K28</f>
        <v>23.8</v>
      </c>
      <c r="L7" s="4" t="n">
        <f aca="false">Assumptions!L28</f>
        <v>23.8</v>
      </c>
    </row>
    <row r="8" customFormat="false" ht="15" hidden="false" customHeight="false" outlineLevel="0" collapsed="false">
      <c r="A8" s="0" t="s">
        <v>43</v>
      </c>
      <c r="C8" s="0" t="n">
        <f aca="false">C6*C7/100</f>
        <v>1665.455645</v>
      </c>
      <c r="D8" s="0" t="n">
        <f aca="false">D6*D7/100</f>
        <v>1778.2359566125</v>
      </c>
      <c r="E8" s="0" t="n">
        <f aca="false">E6*E7/100</f>
        <v>1875.0930640365</v>
      </c>
      <c r="F8" s="0" t="n">
        <f aca="false">F6*F7/100</f>
        <v>1977.19029231137</v>
      </c>
      <c r="G8" s="0" t="n">
        <f aca="false">G6*G7/100</f>
        <v>2074.88184641671</v>
      </c>
      <c r="H8" s="0" t="n">
        <f aca="false">H6*H7/100</f>
        <v>2157.87712027338</v>
      </c>
      <c r="I8" s="0" t="n">
        <f aca="false">I6*I7/100</f>
        <v>2233.40281948295</v>
      </c>
      <c r="J8" s="0" t="n">
        <f aca="false">J6*J7/100</f>
        <v>2300.40490406744</v>
      </c>
      <c r="K8" s="0" t="n">
        <f aca="false">K6*K7/100</f>
        <v>2357.91502666912</v>
      </c>
      <c r="L8" s="0" t="n">
        <f aca="false">L6*L7/100</f>
        <v>2416.86290233585</v>
      </c>
    </row>
    <row r="9" customFormat="false" ht="15" hidden="false" customHeight="false" outlineLevel="0" collapsed="false">
      <c r="A9" s="0" t="s">
        <v>105</v>
      </c>
      <c r="C9" s="4" t="n">
        <f aca="false">Assumptions!C29</f>
        <v>0.27</v>
      </c>
      <c r="D9" s="4" t="n">
        <f aca="false">Assumptions!D29</f>
        <v>0.27</v>
      </c>
      <c r="E9" s="4" t="n">
        <f aca="false">Assumptions!E29</f>
        <v>0.27</v>
      </c>
      <c r="F9" s="4" t="n">
        <f aca="false">Assumptions!F29</f>
        <v>0.27</v>
      </c>
      <c r="G9" s="4" t="n">
        <f aca="false">Assumptions!G29</f>
        <v>0.27</v>
      </c>
      <c r="H9" s="4" t="n">
        <f aca="false">Assumptions!H29</f>
        <v>0.27</v>
      </c>
      <c r="I9" s="4" t="n">
        <f aca="false">Assumptions!I29</f>
        <v>0.27</v>
      </c>
      <c r="J9" s="4" t="n">
        <f aca="false">Assumptions!J29</f>
        <v>0.27</v>
      </c>
      <c r="K9" s="4" t="n">
        <f aca="false">Assumptions!K29</f>
        <v>0.27</v>
      </c>
      <c r="L9" s="4" t="n">
        <f aca="false">Assumptions!L29</f>
        <v>0.27</v>
      </c>
    </row>
    <row r="10" customFormat="false" ht="15" hidden="false" customHeight="false" outlineLevel="0" collapsed="false">
      <c r="A10" s="0" t="s">
        <v>120</v>
      </c>
      <c r="C10" s="0" t="n">
        <f aca="false">-C6*C9/100</f>
        <v>-19.55100105</v>
      </c>
      <c r="D10" s="0" t="n">
        <f aca="false">-D6*D9/100</f>
        <v>-20.43079609725</v>
      </c>
      <c r="E10" s="0" t="n">
        <f aca="false">-E6*E9/100</f>
        <v>-21.4523359021125</v>
      </c>
      <c r="F10" s="0" t="n">
        <f aca="false">-F6*F9/100</f>
        <v>-22.5249526972181</v>
      </c>
      <c r="G10" s="0" t="n">
        <f aca="false">-G6*G9/100</f>
        <v>-23.5385755685929</v>
      </c>
      <c r="H10" s="0" t="n">
        <f aca="false">-H6*H9/100</f>
        <v>-24.4801185913367</v>
      </c>
      <c r="I10" s="0" t="n">
        <f aca="false">-I6*I9/100</f>
        <v>-25.3369227420334</v>
      </c>
      <c r="J10" s="0" t="n">
        <f aca="false">-J6*J9/100</f>
        <v>-26.0970304242945</v>
      </c>
      <c r="K10" s="0" t="n">
        <f aca="false">-K6*K9/100</f>
        <v>-26.7494561849018</v>
      </c>
      <c r="L10" s="0" t="n">
        <f aca="false">-L6*L9/100</f>
        <v>-27.4181925895244</v>
      </c>
    </row>
    <row r="11" customFormat="false" ht="15" hidden="false" customHeight="false" outlineLevel="0" collapsed="false">
      <c r="A11" s="0" t="s">
        <v>121</v>
      </c>
      <c r="C11" s="0" t="n">
        <f aca="false">C8+C10+C24</f>
        <v>1472.11796795</v>
      </c>
      <c r="D11" s="0" t="n">
        <f aca="false">D8+D10+D24</f>
        <v>1591.33200713025</v>
      </c>
      <c r="E11" s="0" t="n">
        <f aca="false">E8+E10+E24</f>
        <v>1694.73453626689</v>
      </c>
      <c r="F11" s="0" t="n">
        <f aca="false">F8+F10+F24</f>
        <v>1787.81383815328</v>
      </c>
      <c r="G11" s="0" t="n">
        <f aca="false">G8+G10+G24</f>
        <v>1876.9834518215</v>
      </c>
      <c r="H11" s="0" t="n">
        <f aca="false">H8+H10+H24</f>
        <v>1952.06278989436</v>
      </c>
      <c r="I11" s="0" t="n">
        <f aca="false">I8+I10+I24</f>
        <v>2020.38498754067</v>
      </c>
      <c r="J11" s="0" t="n">
        <f aca="false">J8+J10+J24</f>
        <v>2080.99653716689</v>
      </c>
      <c r="K11" s="0" t="n">
        <f aca="false">K8+K10+K24</f>
        <v>2133.02145059606</v>
      </c>
      <c r="L11" s="0" t="n">
        <f aca="false">L8+L10+L24</f>
        <v>2186.34698686096</v>
      </c>
    </row>
    <row r="12" customFormat="false" ht="15" hidden="false" customHeight="false" outlineLevel="0" collapsed="false">
      <c r="A12" s="0" t="s">
        <v>122</v>
      </c>
      <c r="C12" s="4" t="n">
        <f aca="false">-C6*Assumptions!C31/100</f>
        <v>-434.46669</v>
      </c>
      <c r="D12" s="4" t="n">
        <f aca="false">-D6*Assumptions!D31/100</f>
        <v>-454.01769105</v>
      </c>
      <c r="E12" s="4" t="n">
        <f aca="false">-E6*Assumptions!E31/100</f>
        <v>-476.7185756025</v>
      </c>
      <c r="F12" s="4" t="n">
        <f aca="false">-F6*Assumptions!F31/100</f>
        <v>-492.211929309581</v>
      </c>
      <c r="G12" s="4" t="n">
        <f aca="false">-G6*Assumptions!G31/100</f>
        <v>-505.643475177182</v>
      </c>
      <c r="H12" s="4" t="n">
        <f aca="false">-H6*Assumptions!H31/100</f>
        <v>-525.869214184269</v>
      </c>
      <c r="I12" s="4" t="n">
        <f aca="false">-I6*Assumptions!I31/100</f>
        <v>-544.274636680718</v>
      </c>
      <c r="J12" s="4" t="n">
        <f aca="false">-J6*Assumptions!J31/100</f>
        <v>-560.60287578114</v>
      </c>
      <c r="K12" s="4" t="n">
        <f aca="false">-K6*Assumptions!K31/100</f>
        <v>-574.617947675668</v>
      </c>
      <c r="L12" s="4" t="n">
        <f aca="false">-L6*Assumptions!L31/100</f>
        <v>-588.98339636756</v>
      </c>
    </row>
    <row r="13" customFormat="false" ht="15" hidden="false" customHeight="false" outlineLevel="0" collapsed="false">
      <c r="A13" s="0" t="s">
        <v>123</v>
      </c>
      <c r="C13" s="0" t="n">
        <f aca="false">C11+C12</f>
        <v>1037.65127795</v>
      </c>
      <c r="D13" s="0" t="n">
        <f aca="false">D11+D12</f>
        <v>1137.31431608025</v>
      </c>
      <c r="E13" s="0" t="n">
        <f aca="false">E11+E12</f>
        <v>1218.01596066439</v>
      </c>
      <c r="F13" s="0" t="n">
        <f aca="false">F11+F12</f>
        <v>1295.60190884369</v>
      </c>
      <c r="G13" s="0" t="n">
        <f aca="false">G11+G12</f>
        <v>1371.33997664432</v>
      </c>
      <c r="H13" s="0" t="n">
        <f aca="false">H11+H12</f>
        <v>1426.1935757101</v>
      </c>
      <c r="I13" s="0" t="n">
        <f aca="false">I11+I12</f>
        <v>1476.11035085995</v>
      </c>
      <c r="J13" s="0" t="n">
        <f aca="false">J11+J12</f>
        <v>1520.39366138575</v>
      </c>
      <c r="K13" s="0" t="n">
        <f aca="false">K11+K12</f>
        <v>1558.40350292039</v>
      </c>
      <c r="L13" s="0" t="n">
        <f aca="false">L11+L12</f>
        <v>1597.3635904934</v>
      </c>
    </row>
    <row r="14" customFormat="false" ht="15" hidden="false" customHeight="false" outlineLevel="0" collapsed="false">
      <c r="A14" s="0" t="s">
        <v>109</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124</v>
      </c>
      <c r="C15" s="0" t="n">
        <f aca="false">C13-MAX(0,C13)*C14/100</f>
        <v>757.4854329035</v>
      </c>
      <c r="D15" s="0" t="n">
        <f aca="false">D13-MAX(0,D13)*D14/100</f>
        <v>830.239450738583</v>
      </c>
      <c r="E15" s="0" t="n">
        <f aca="false">E13-MAX(0,E13)*E14/100</f>
        <v>889.151651285003</v>
      </c>
      <c r="F15" s="0" t="n">
        <f aca="false">F13-MAX(0,F13)*F14/100</f>
        <v>945.789393455897</v>
      </c>
      <c r="G15" s="0" t="n">
        <f aca="false">G13-MAX(0,G13)*G14/100</f>
        <v>1001.07818295036</v>
      </c>
      <c r="H15" s="0" t="n">
        <f aca="false">H13-MAX(0,H13)*H14/100</f>
        <v>1041.12131026837</v>
      </c>
      <c r="I15" s="0" t="n">
        <f aca="false">I13-MAX(0,I13)*I14/100</f>
        <v>1077.56055612776</v>
      </c>
      <c r="J15" s="0" t="n">
        <f aca="false">J13-MAX(0,J13)*J14/100</f>
        <v>1109.8873728116</v>
      </c>
      <c r="K15" s="0" t="n">
        <f aca="false">K13-MAX(0,K13)*K14/100</f>
        <v>1137.63455713189</v>
      </c>
      <c r="L15" s="0" t="n">
        <f aca="false">L13-MAX(0,L13)*L14/100</f>
        <v>1166.07542106018</v>
      </c>
    </row>
    <row r="16" customFormat="false" ht="15" hidden="false" customHeight="false" outlineLevel="0" collapsed="false">
      <c r="A16" s="0" t="s">
        <v>125</v>
      </c>
      <c r="C16" s="0" t="n">
        <f aca="false">-C12</f>
        <v>434.46669</v>
      </c>
      <c r="D16" s="0" t="n">
        <f aca="false">-D12</f>
        <v>454.01769105</v>
      </c>
      <c r="E16" s="0" t="n">
        <f aca="false">-E12</f>
        <v>476.7185756025</v>
      </c>
      <c r="F16" s="0" t="n">
        <f aca="false">-F12</f>
        <v>492.211929309581</v>
      </c>
      <c r="G16" s="0" t="n">
        <f aca="false">-G12</f>
        <v>505.643475177182</v>
      </c>
      <c r="H16" s="0" t="n">
        <f aca="false">-H12</f>
        <v>525.869214184269</v>
      </c>
      <c r="I16" s="0" t="n">
        <f aca="false">-I12</f>
        <v>544.274636680718</v>
      </c>
      <c r="J16" s="0" t="n">
        <f aca="false">-J12</f>
        <v>560.60287578114</v>
      </c>
      <c r="K16" s="0" t="n">
        <f aca="false">-K12</f>
        <v>574.617947675668</v>
      </c>
      <c r="L16" s="0" t="n">
        <f aca="false">-L12</f>
        <v>588.98339636756</v>
      </c>
    </row>
    <row r="17" customFormat="false" ht="15" hidden="false" customHeight="false" outlineLevel="0" collapsed="false">
      <c r="A17" s="0" t="s">
        <v>126</v>
      </c>
      <c r="C17" s="4" t="n">
        <f aca="false">-C6*Assumptions!C32/100</f>
        <v>-543.0833625</v>
      </c>
      <c r="D17" s="4" t="n">
        <f aca="false">-D6*Assumptions!D32/100</f>
        <v>-567.5221138125</v>
      </c>
      <c r="E17" s="4" t="n">
        <f aca="false">-E6*Assumptions!E32/100</f>
        <v>-500.554504382625</v>
      </c>
      <c r="F17" s="4" t="n">
        <f aca="false">-F6*Assumptions!F32/100</f>
        <v>-500.554504382625</v>
      </c>
      <c r="G17" s="4" t="n">
        <f aca="false">-G6*Assumptions!G32/100</f>
        <v>-523.079457079843</v>
      </c>
      <c r="H17" s="4" t="n">
        <f aca="false">-H6*Assumptions!H32/100</f>
        <v>-544.002635363037</v>
      </c>
      <c r="I17" s="4" t="n">
        <f aca="false">-I6*Assumptions!I32/100</f>
        <v>-563.042727600743</v>
      </c>
      <c r="J17" s="4" t="n">
        <f aca="false">-J6*Assumptions!J32/100</f>
        <v>-579.934009428766</v>
      </c>
      <c r="K17" s="4" t="n">
        <f aca="false">-K6*Assumptions!K32/100</f>
        <v>-594.432359664485</v>
      </c>
      <c r="L17" s="4" t="n">
        <f aca="false">-L6*Assumptions!L32/100</f>
        <v>-609.293168656097</v>
      </c>
    </row>
    <row r="18" customFormat="false" ht="15" hidden="false" customHeight="false" outlineLevel="0" collapsed="false">
      <c r="A18" s="0" t="s">
        <v>127</v>
      </c>
      <c r="C18" s="4" t="n">
        <f aca="false">(C6-B6)*Assumptions!$B$37/100</f>
        <v>-5.35057499999998</v>
      </c>
      <c r="D18" s="4" t="n">
        <f aca="false">(D6-C6)*Assumptions!$B$37/100</f>
        <v>-16.292500875</v>
      </c>
      <c r="E18" s="4" t="n">
        <f aca="false">(E6-D6)*Assumptions!$B$37/100</f>
        <v>-18.91740379375</v>
      </c>
      <c r="F18" s="4" t="n">
        <f aca="false">(F6-E6)*Assumptions!$B$37/100</f>
        <v>-19.8632739834375</v>
      </c>
      <c r="G18" s="4" t="n">
        <f aca="false">(G6-F6)*Assumptions!$B$37/100</f>
        <v>-18.7707939143485</v>
      </c>
      <c r="H18" s="4" t="n">
        <f aca="false">(H6-G6)*Assumptions!$B$37/100</f>
        <v>-17.4359819026615</v>
      </c>
      <c r="I18" s="4" t="n">
        <f aca="false">(I6-H6)*Assumptions!$B$37/100</f>
        <v>-15.8667435314219</v>
      </c>
      <c r="J18" s="4" t="n">
        <f aca="false">(J6-I6)*Assumptions!$B$37/100</f>
        <v>-14.0760681900186</v>
      </c>
      <c r="K18" s="4" t="n">
        <f aca="false">(K6-J6)*Assumptions!$B$37/100</f>
        <v>-12.0819585297659</v>
      </c>
      <c r="L18" s="4" t="n">
        <f aca="false">(L6-K6)*Assumptions!$B$37/100</f>
        <v>-12.3840074930101</v>
      </c>
    </row>
    <row r="19" customFormat="false" ht="15" hidden="false" customHeight="false" outlineLevel="0" collapsed="false">
      <c r="A19" s="0" t="s">
        <v>128</v>
      </c>
      <c r="C19" s="0" t="n">
        <f aca="false">C15+C16+C17+C18</f>
        <v>643.5181854035</v>
      </c>
      <c r="D19" s="0" t="n">
        <f aca="false">D15+D16+D17+D18</f>
        <v>700.442527101083</v>
      </c>
      <c r="E19" s="0" t="n">
        <f aca="false">E15+E16+E17+E18</f>
        <v>846.398318711128</v>
      </c>
      <c r="F19" s="0" t="n">
        <f aca="false">F15+F16+F17+F18</f>
        <v>917.583544399416</v>
      </c>
      <c r="G19" s="0" t="n">
        <f aca="false">G15+G16+G17+G18</f>
        <v>964.871407133345</v>
      </c>
      <c r="H19" s="0" t="n">
        <f aca="false">H15+H16+H17+H18</f>
        <v>1005.55190718694</v>
      </c>
      <c r="I19" s="0" t="n">
        <f aca="false">I15+I16+I17+I18</f>
        <v>1042.92572167632</v>
      </c>
      <c r="J19" s="0" t="n">
        <f aca="false">J15+J16+J17+J18</f>
        <v>1076.48017097395</v>
      </c>
      <c r="K19" s="0" t="n">
        <f aca="false">K15+K16+K17+K18</f>
        <v>1105.7381866133</v>
      </c>
      <c r="L19" s="0" t="n">
        <f aca="false">L15+L16+L17+L18</f>
        <v>1133.38164127864</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598.621567817209</v>
      </c>
      <c r="D21" s="0" t="n">
        <f aca="false">D19*D20</f>
        <v>606.115761688336</v>
      </c>
      <c r="E21" s="0" t="n">
        <f aca="false">E19*E20</f>
        <v>681.31727266168</v>
      </c>
      <c r="F21" s="0" t="n">
        <f aca="false">F19*F20</f>
        <v>687.087044160366</v>
      </c>
      <c r="G21" s="0" t="n">
        <f aca="false">G19*G20</f>
        <v>672.089507746535</v>
      </c>
      <c r="H21" s="0" t="n">
        <f aca="false">H19*H20</f>
        <v>651.558940676452</v>
      </c>
      <c r="I21" s="0" t="n">
        <f aca="false">I19*I20</f>
        <v>628.628590012861</v>
      </c>
      <c r="J21" s="0" t="n">
        <f aca="false">J19*J20</f>
        <v>603.584836068782</v>
      </c>
      <c r="K21" s="0" t="n">
        <f aca="false">K19*K20</f>
        <v>576.734763518535</v>
      </c>
      <c r="L21" s="0" t="n">
        <f aca="false">L19*L20</f>
        <v>549.909890796742</v>
      </c>
    </row>
    <row r="23" customFormat="false" ht="15" hidden="false" customHeight="false" outlineLevel="0" collapsed="false">
      <c r="A23" s="0" t="s">
        <v>106</v>
      </c>
      <c r="C23" s="4" t="n">
        <f aca="false">Assumptions!C30</f>
        <v>2.4</v>
      </c>
      <c r="D23" s="4" t="n">
        <f aca="false">Assumptions!D30</f>
        <v>2.2</v>
      </c>
      <c r="E23" s="4" t="n">
        <f aca="false">Assumptions!E30</f>
        <v>2</v>
      </c>
      <c r="F23" s="4" t="n">
        <f aca="false">Assumptions!F30</f>
        <v>2</v>
      </c>
      <c r="G23" s="4" t="n">
        <f aca="false">Assumptions!G30</f>
        <v>2</v>
      </c>
      <c r="H23" s="4" t="n">
        <f aca="false">Assumptions!H30</f>
        <v>2</v>
      </c>
      <c r="I23" s="4" t="n">
        <f aca="false">Assumptions!I30</f>
        <v>2</v>
      </c>
      <c r="J23" s="4" t="n">
        <f aca="false">Assumptions!J30</f>
        <v>2</v>
      </c>
      <c r="K23" s="4" t="n">
        <f aca="false">Assumptions!K30</f>
        <v>2</v>
      </c>
      <c r="L23" s="4" t="n">
        <f aca="false">Assumptions!L30</f>
        <v>2</v>
      </c>
    </row>
    <row r="24" customFormat="false" ht="15" hidden="false" customHeight="false" outlineLevel="0" collapsed="false">
      <c r="A24" s="0" t="s">
        <v>131</v>
      </c>
      <c r="C24" s="0" t="n">
        <f aca="false">-C6*C23/100</f>
        <v>-173.786676</v>
      </c>
      <c r="D24" s="0" t="n">
        <f aca="false">-D6*D23/100</f>
        <v>-166.473153385</v>
      </c>
      <c r="E24" s="0" t="n">
        <f aca="false">-E6*E23/100</f>
        <v>-158.9061918675</v>
      </c>
      <c r="F24" s="0" t="n">
        <f aca="false">-F6*F23/100</f>
        <v>-166.851501460875</v>
      </c>
      <c r="G24" s="0" t="n">
        <f aca="false">-G6*G23/100</f>
        <v>-174.359819026614</v>
      </c>
      <c r="H24" s="0" t="n">
        <f aca="false">-H6*H23/100</f>
        <v>-181.334211787679</v>
      </c>
      <c r="I24" s="0" t="n">
        <f aca="false">-I6*I23/100</f>
        <v>-187.680909200248</v>
      </c>
      <c r="J24" s="0" t="n">
        <f aca="false">-J6*J23/100</f>
        <v>-193.311336476255</v>
      </c>
      <c r="K24" s="0" t="n">
        <f aca="false">-K6*K23/100</f>
        <v>-198.144119888162</v>
      </c>
      <c r="L24" s="0" t="n">
        <f aca="false">-L6*L23/100</f>
        <v>-203.097722885366</v>
      </c>
    </row>
    <row r="26" customFormat="false" ht="15" hidden="false" customHeight="false" outlineLevel="0" collapsed="false">
      <c r="A26" s="2" t="s">
        <v>132</v>
      </c>
    </row>
    <row r="27" customFormat="false" ht="15" hidden="false" customHeight="false" outlineLevel="0" collapsed="false">
      <c r="A27" s="0" t="s">
        <v>110</v>
      </c>
      <c r="B27" s="4" t="n">
        <f aca="false">Assumptions!$B$34</f>
        <v>7.5</v>
      </c>
    </row>
    <row r="28" customFormat="false" ht="15" hidden="false" customHeight="false" outlineLevel="0" collapsed="false">
      <c r="A28" s="0" t="s">
        <v>111</v>
      </c>
      <c r="B28" s="4" t="n">
        <f aca="false">Assumptions!$B$35</f>
        <v>2.5</v>
      </c>
    </row>
    <row r="29" customFormat="false" ht="15" hidden="false" customHeight="false" outlineLevel="0" collapsed="false">
      <c r="A29" s="0" t="s">
        <v>112</v>
      </c>
      <c r="B29" s="4" t="n">
        <f aca="false">Assumptions!$B$36</f>
        <v>18</v>
      </c>
    </row>
    <row r="30" customFormat="false" ht="15" hidden="false" customHeight="false" outlineLevel="0" collapsed="false">
      <c r="A30" s="0" t="s">
        <v>133</v>
      </c>
      <c r="B30" s="0" t="n">
        <f aca="false">SUM(C21:L21)</f>
        <v>6255.6481751475</v>
      </c>
    </row>
    <row r="31" customFormat="false" ht="15" hidden="false" customHeight="false" outlineLevel="0" collapsed="false">
      <c r="A31" s="0" t="s">
        <v>134</v>
      </c>
      <c r="B31" s="0" t="n">
        <f aca="false">L19</f>
        <v>1133.38164127864</v>
      </c>
    </row>
    <row r="32" customFormat="false" ht="15" hidden="false" customHeight="false" outlineLevel="0" collapsed="false">
      <c r="A32" s="0" t="s">
        <v>135</v>
      </c>
      <c r="B32" s="0" t="n">
        <f aca="false">IF(B27&gt;B28,B31*(1+B28/100)/((B27-B28)/100),B31*B29)</f>
        <v>23234.323646212</v>
      </c>
    </row>
    <row r="33" customFormat="false" ht="15" hidden="false" customHeight="false" outlineLevel="0" collapsed="false">
      <c r="A33" s="0" t="s">
        <v>136</v>
      </c>
      <c r="B33" s="0" t="n">
        <f aca="false">B31*B29</f>
        <v>20400.8695430154</v>
      </c>
    </row>
    <row r="34" customFormat="false" ht="15" hidden="false" customHeight="false" outlineLevel="0" collapsed="false">
      <c r="A34" s="0" t="s">
        <v>137</v>
      </c>
      <c r="B34" s="0" t="n">
        <f aca="false">MAX(0,MIN(B32,B33))</f>
        <v>20400.8695430154</v>
      </c>
    </row>
    <row r="35" customFormat="false" ht="15" hidden="false" customHeight="false" outlineLevel="0" collapsed="false">
      <c r="A35" s="0" t="s">
        <v>138</v>
      </c>
      <c r="B35" s="0" t="n">
        <f aca="false">B34/(1+B27/100)^L4</f>
        <v>9898.37803434136</v>
      </c>
    </row>
    <row r="36" customFormat="false" ht="15" hidden="false" customHeight="false" outlineLevel="0" collapsed="false">
      <c r="A36" s="0" t="s">
        <v>139</v>
      </c>
      <c r="B36" s="0" t="n">
        <f aca="false">B30+B35</f>
        <v>16154.0262094889</v>
      </c>
    </row>
    <row r="37" customFormat="false" ht="15" hidden="false" customHeight="false" outlineLevel="0" collapsed="false">
      <c r="A37" s="0" t="s">
        <v>140</v>
      </c>
      <c r="B37" s="0" t="n">
        <f aca="false">B36+Assumptions!$B$5-Assumptions!$B$4</f>
        <v>12111.5262094889</v>
      </c>
    </row>
    <row r="38" customFormat="false" ht="15" hidden="false" customHeight="false" outlineLevel="0" collapsed="false">
      <c r="A38" s="0" t="s">
        <v>141</v>
      </c>
      <c r="B38" s="0" t="n">
        <f aca="false">B37/Assumptions!$B$3*Assumptions!$B$10</f>
        <v>66.6200561578045</v>
      </c>
    </row>
    <row r="39" customFormat="false" ht="15" hidden="false" customHeight="false" outlineLevel="0" collapsed="false">
      <c r="A39" s="0" t="s">
        <v>142</v>
      </c>
      <c r="B39" s="4" t="n">
        <f aca="false">B38/Assumptions!$B$2-1</f>
        <v>-0.213458604984599</v>
      </c>
    </row>
    <row r="41" customFormat="false" ht="15" hidden="false" customHeight="false" outlineLevel="0" collapsed="false">
      <c r="A41" s="0" t="s">
        <v>143</v>
      </c>
      <c r="B41" s="0" t="n">
        <f aca="false">SUMPRODUCT(-C10:L10/(1+$B$27/100)^C4:L4)</f>
        <v>159.419398161134</v>
      </c>
    </row>
    <row r="42" customFormat="false" ht="15" hidden="false" customHeight="false" outlineLevel="0" collapsed="false">
      <c r="A42" s="0" t="s">
        <v>144</v>
      </c>
      <c r="B42" s="0" t="n">
        <f aca="false">IF(B27&gt;B28,-L10*(1+B28/100)/((B27-B28)/100),-L10*20)/(1+B27/100)^L4</f>
        <v>272.714381673467</v>
      </c>
    </row>
    <row r="43" customFormat="false" ht="15" hidden="false" customHeight="false" outlineLevel="0" collapsed="false">
      <c r="A43" s="0" t="s">
        <v>145</v>
      </c>
      <c r="B43" s="0" t="n">
        <f aca="false">(B37+B41+B42)/Assumptions!$B$3*Assumptions!$B$10</f>
        <v>68.9970296442434</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9293.72945848481</v>
      </c>
    </row>
    <row r="47" customFormat="false" ht="15" hidden="false" customHeight="false" outlineLevel="0" collapsed="false">
      <c r="A47" s="0" t="s">
        <v>147</v>
      </c>
      <c r="B47" s="0" t="n">
        <f aca="false">(SUMPRODUCT(C19:L19/(1+B45/100)^C4:L4)+B46/(1+B45/100)^L4+Assumptions!$B$5-Assumptions!$B$4)/Assumptions!$B$3*Assumptions!$B$10</f>
        <v>14.7306246038608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2.5</v>
      </c>
      <c r="D5" s="4" t="n">
        <f aca="false">Assumptions!D41</f>
        <v>6</v>
      </c>
      <c r="E5" s="4" t="n">
        <f aca="false">Assumptions!E41</f>
        <v>6.5</v>
      </c>
      <c r="F5" s="4" t="n">
        <f aca="false">Assumptions!F41</f>
        <v>6.5</v>
      </c>
      <c r="G5" s="4" t="n">
        <f aca="false">Assumptions!G41</f>
        <v>6.5</v>
      </c>
      <c r="H5" s="4" t="n">
        <f aca="false">Assumptions!H41</f>
        <v>6</v>
      </c>
      <c r="I5" s="4" t="n">
        <f aca="false">Assumptions!I41</f>
        <v>5.5</v>
      </c>
      <c r="J5" s="4" t="n">
        <f aca="false">Assumptions!J41</f>
        <v>5</v>
      </c>
      <c r="K5" s="4" t="n">
        <f aca="false">Assumptions!K41</f>
        <v>4</v>
      </c>
      <c r="L5" s="4" t="n">
        <f aca="false">Assumptions!L41</f>
        <v>3</v>
      </c>
    </row>
    <row r="6" customFormat="false" ht="15" hidden="false" customHeight="false" outlineLevel="0" collapsed="false">
      <c r="A6" s="0" t="s">
        <v>37</v>
      </c>
      <c r="B6" s="3" t="n">
        <v>7134.1</v>
      </c>
      <c r="C6" s="0" t="n">
        <f aca="false">B6*(1+C5/100)</f>
        <v>7312.4525</v>
      </c>
      <c r="D6" s="0" t="n">
        <f aca="false">C6*(1+D5/100)</f>
        <v>7751.19965</v>
      </c>
      <c r="E6" s="0" t="n">
        <f aca="false">D6*(1+E5/100)</f>
        <v>8255.02762725</v>
      </c>
      <c r="F6" s="0" t="n">
        <f aca="false">E6*(1+F5/100)</f>
        <v>8791.60442302125</v>
      </c>
      <c r="G6" s="0" t="n">
        <f aca="false">F6*(1+G5/100)</f>
        <v>9363.05871051763</v>
      </c>
      <c r="H6" s="0" t="n">
        <f aca="false">G6*(1+H5/100)</f>
        <v>9924.84223314869</v>
      </c>
      <c r="I6" s="0" t="n">
        <f aca="false">H6*(1+I5/100)</f>
        <v>10470.7085559719</v>
      </c>
      <c r="J6" s="0" t="n">
        <f aca="false">I6*(1+J5/100)</f>
        <v>10994.2439837705</v>
      </c>
      <c r="K6" s="0" t="n">
        <f aca="false">J6*(1+K5/100)</f>
        <v>11434.0137431213</v>
      </c>
      <c r="L6" s="0" t="n">
        <f aca="false">K6*(1+L5/100)</f>
        <v>11777.0341554149</v>
      </c>
    </row>
    <row r="7" customFormat="false" ht="15" hidden="false" customHeight="false" outlineLevel="0" collapsed="false">
      <c r="A7" s="0" t="s">
        <v>104</v>
      </c>
      <c r="C7" s="4" t="n">
        <f aca="false">Assumptions!C42</f>
        <v>23.3</v>
      </c>
      <c r="D7" s="4" t="n">
        <f aca="false">Assumptions!D42</f>
        <v>24</v>
      </c>
      <c r="E7" s="4" t="n">
        <f aca="false">Assumptions!E42</f>
        <v>24.3</v>
      </c>
      <c r="F7" s="4" t="n">
        <f aca="false">Assumptions!F42</f>
        <v>24.5</v>
      </c>
      <c r="G7" s="4" t="n">
        <f aca="false">Assumptions!G42</f>
        <v>24.5</v>
      </c>
      <c r="H7" s="4" t="n">
        <f aca="false">Assumptions!H42</f>
        <v>24.5</v>
      </c>
      <c r="I7" s="4" t="n">
        <f aca="false">Assumptions!I42</f>
        <v>24.5</v>
      </c>
      <c r="J7" s="4" t="n">
        <f aca="false">Assumptions!J42</f>
        <v>24.5</v>
      </c>
      <c r="K7" s="4" t="n">
        <f aca="false">Assumptions!K42</f>
        <v>24.5</v>
      </c>
      <c r="L7" s="4" t="n">
        <f aca="false">Assumptions!L42</f>
        <v>24.5</v>
      </c>
    </row>
    <row r="8" customFormat="false" ht="15" hidden="false" customHeight="false" outlineLevel="0" collapsed="false">
      <c r="A8" s="0" t="s">
        <v>43</v>
      </c>
      <c r="C8" s="0" t="n">
        <f aca="false">C6*C7/100</f>
        <v>1703.8014325</v>
      </c>
      <c r="D8" s="0" t="n">
        <f aca="false">D6*D7/100</f>
        <v>1860.287916</v>
      </c>
      <c r="E8" s="0" t="n">
        <f aca="false">E6*E7/100</f>
        <v>2005.97171342175</v>
      </c>
      <c r="F8" s="0" t="n">
        <f aca="false">F6*F7/100</f>
        <v>2153.94308364021</v>
      </c>
      <c r="G8" s="0" t="n">
        <f aca="false">G6*G7/100</f>
        <v>2293.94938407682</v>
      </c>
      <c r="H8" s="0" t="n">
        <f aca="false">H6*H7/100</f>
        <v>2431.58634712143</v>
      </c>
      <c r="I8" s="0" t="n">
        <f aca="false">I6*I7/100</f>
        <v>2565.32359621311</v>
      </c>
      <c r="J8" s="0" t="n">
        <f aca="false">J6*J7/100</f>
        <v>2693.58977602376</v>
      </c>
      <c r="K8" s="0" t="n">
        <f aca="false">K6*K7/100</f>
        <v>2801.33336706471</v>
      </c>
      <c r="L8" s="0" t="n">
        <f aca="false">L6*L7/100</f>
        <v>2885.37336807665</v>
      </c>
    </row>
    <row r="9" customFormat="false" ht="15" hidden="false" customHeight="false" outlineLevel="0" collapsed="false">
      <c r="A9" s="0" t="s">
        <v>105</v>
      </c>
      <c r="C9" s="4" t="n">
        <f aca="false">Assumptions!C43</f>
        <v>0.27</v>
      </c>
      <c r="D9" s="4" t="n">
        <f aca="false">Assumptions!D43</f>
        <v>0.27</v>
      </c>
      <c r="E9" s="4" t="n">
        <f aca="false">Assumptions!E43</f>
        <v>0.27</v>
      </c>
      <c r="F9" s="4" t="n">
        <f aca="false">Assumptions!F43</f>
        <v>0.27</v>
      </c>
      <c r="G9" s="4" t="n">
        <f aca="false">Assumptions!G43</f>
        <v>0.27</v>
      </c>
      <c r="H9" s="4" t="n">
        <f aca="false">Assumptions!H43</f>
        <v>0.27</v>
      </c>
      <c r="I9" s="4" t="n">
        <f aca="false">Assumptions!I43</f>
        <v>0.27</v>
      </c>
      <c r="J9" s="4" t="n">
        <f aca="false">Assumptions!J43</f>
        <v>0.27</v>
      </c>
      <c r="K9" s="4" t="n">
        <f aca="false">Assumptions!K43</f>
        <v>0.27</v>
      </c>
      <c r="L9" s="4" t="n">
        <f aca="false">Assumptions!L43</f>
        <v>0.27</v>
      </c>
    </row>
    <row r="10" customFormat="false" ht="15" hidden="false" customHeight="false" outlineLevel="0" collapsed="false">
      <c r="A10" s="0" t="s">
        <v>120</v>
      </c>
      <c r="C10" s="0" t="n">
        <f aca="false">-C6*C9/100</f>
        <v>-19.74362175</v>
      </c>
      <c r="D10" s="0" t="n">
        <f aca="false">-D6*D9/100</f>
        <v>-20.928239055</v>
      </c>
      <c r="E10" s="0" t="n">
        <f aca="false">-E6*E9/100</f>
        <v>-22.288574593575</v>
      </c>
      <c r="F10" s="0" t="n">
        <f aca="false">-F6*F9/100</f>
        <v>-23.7373319421574</v>
      </c>
      <c r="G10" s="0" t="n">
        <f aca="false">-G6*G9/100</f>
        <v>-25.2802585183976</v>
      </c>
      <c r="H10" s="0" t="n">
        <f aca="false">-H6*H9/100</f>
        <v>-26.7970740295015</v>
      </c>
      <c r="I10" s="0" t="n">
        <f aca="false">-I6*I9/100</f>
        <v>-28.270913101124</v>
      </c>
      <c r="J10" s="0" t="n">
        <f aca="false">-J6*J9/100</f>
        <v>-29.6844587561802</v>
      </c>
      <c r="K10" s="0" t="n">
        <f aca="false">-K6*K9/100</f>
        <v>-30.8718371064275</v>
      </c>
      <c r="L10" s="0" t="n">
        <f aca="false">-L6*L9/100</f>
        <v>-31.7979922196203</v>
      </c>
    </row>
    <row r="11" customFormat="false" ht="15" hidden="false" customHeight="false" outlineLevel="0" collapsed="false">
      <c r="A11" s="0" t="s">
        <v>121</v>
      </c>
      <c r="C11" s="0" t="n">
        <f aca="false">C8+C10+C24</f>
        <v>1508.55895075</v>
      </c>
      <c r="D11" s="0" t="n">
        <f aca="false">D8+D10+D24</f>
        <v>1676.584484295</v>
      </c>
      <c r="E11" s="0" t="n">
        <f aca="false">E8+E10+E24</f>
        <v>1835.09264153767</v>
      </c>
      <c r="F11" s="0" t="n">
        <f aca="false">F8+F10+F24</f>
        <v>1971.95687208367</v>
      </c>
      <c r="G11" s="0" t="n">
        <f aca="false">G8+G10+G24</f>
        <v>2100.1340687691</v>
      </c>
      <c r="H11" s="0" t="n">
        <f aca="false">H8+H10+H24</f>
        <v>2226.14211289525</v>
      </c>
      <c r="I11" s="0" t="n">
        <f aca="false">I8+I10+I24</f>
        <v>2348.57992910449</v>
      </c>
      <c r="J11" s="0" t="n">
        <f aca="false">J8+J10+J24</f>
        <v>2466.00892555971</v>
      </c>
      <c r="K11" s="0" t="n">
        <f aca="false">K8+K10+K24</f>
        <v>2564.6492825821</v>
      </c>
      <c r="L11" s="0" t="n">
        <f aca="false">L8+L10+L24</f>
        <v>2641.58876105957</v>
      </c>
    </row>
    <row r="12" customFormat="false" ht="15" hidden="false" customHeight="false" outlineLevel="0" collapsed="false">
      <c r="A12" s="0" t="s">
        <v>122</v>
      </c>
      <c r="C12" s="4" t="n">
        <f aca="false">-C6*Assumptions!C45/100</f>
        <v>-438.74715</v>
      </c>
      <c r="D12" s="4" t="n">
        <f aca="false">-D6*Assumptions!D45/100</f>
        <v>-465.071979</v>
      </c>
      <c r="E12" s="4" t="n">
        <f aca="false">-E6*Assumptions!E45/100</f>
        <v>-487.04663000775</v>
      </c>
      <c r="F12" s="4" t="n">
        <f aca="false">-F6*Assumptions!F45/100</f>
        <v>-509.913056535232</v>
      </c>
      <c r="G12" s="4" t="n">
        <f aca="false">-G6*Assumptions!G45/100</f>
        <v>-533.694346499505</v>
      </c>
      <c r="H12" s="4" t="n">
        <f aca="false">-H6*Assumptions!H45/100</f>
        <v>-565.716007289475</v>
      </c>
      <c r="I12" s="4" t="n">
        <f aca="false">-I6*Assumptions!I45/100</f>
        <v>-596.830387690396</v>
      </c>
      <c r="J12" s="4" t="n">
        <f aca="false">-J6*Assumptions!J45/100</f>
        <v>-626.671907074916</v>
      </c>
      <c r="K12" s="4" t="n">
        <f aca="false">-K6*Assumptions!K45/100</f>
        <v>-651.738783357913</v>
      </c>
      <c r="L12" s="4" t="n">
        <f aca="false">-L6*Assumptions!L45/100</f>
        <v>-671.29094685865</v>
      </c>
    </row>
    <row r="13" customFormat="false" ht="15" hidden="false" customHeight="false" outlineLevel="0" collapsed="false">
      <c r="A13" s="0" t="s">
        <v>123</v>
      </c>
      <c r="C13" s="0" t="n">
        <f aca="false">C11+C12</f>
        <v>1069.81180075</v>
      </c>
      <c r="D13" s="0" t="n">
        <f aca="false">D11+D12</f>
        <v>1211.512505295</v>
      </c>
      <c r="E13" s="0" t="n">
        <f aca="false">E11+E12</f>
        <v>1348.04601152992</v>
      </c>
      <c r="F13" s="0" t="n">
        <f aca="false">F11+F12</f>
        <v>1462.04381554843</v>
      </c>
      <c r="G13" s="0" t="n">
        <f aca="false">G11+G12</f>
        <v>1566.4397222696</v>
      </c>
      <c r="H13" s="0" t="n">
        <f aca="false">H11+H12</f>
        <v>1660.42610560578</v>
      </c>
      <c r="I13" s="0" t="n">
        <f aca="false">I11+I12</f>
        <v>1751.74954141409</v>
      </c>
      <c r="J13" s="0" t="n">
        <f aca="false">J11+J12</f>
        <v>1839.3370184848</v>
      </c>
      <c r="K13" s="0" t="n">
        <f aca="false">K11+K12</f>
        <v>1912.91049922419</v>
      </c>
      <c r="L13" s="0" t="n">
        <f aca="false">L11+L12</f>
        <v>1970.29781420092</v>
      </c>
    </row>
    <row r="14" customFormat="false" ht="15" hidden="false" customHeight="false" outlineLevel="0" collapsed="false">
      <c r="A14" s="0" t="s">
        <v>109</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124</v>
      </c>
      <c r="C15" s="0" t="n">
        <f aca="false">C13-MAX(0,C13)*C14/100</f>
        <v>780.9626145475</v>
      </c>
      <c r="D15" s="0" t="n">
        <f aca="false">D13-MAX(0,D13)*D14/100</f>
        <v>884.40412886535</v>
      </c>
      <c r="E15" s="0" t="n">
        <f aca="false">E13-MAX(0,E13)*E14/100</f>
        <v>984.073588416845</v>
      </c>
      <c r="F15" s="0" t="n">
        <f aca="false">F13-MAX(0,F13)*F14/100</f>
        <v>1067.29198535036</v>
      </c>
      <c r="G15" s="0" t="n">
        <f aca="false">G13-MAX(0,G13)*G14/100</f>
        <v>1143.50099725681</v>
      </c>
      <c r="H15" s="0" t="n">
        <f aca="false">H13-MAX(0,H13)*H14/100</f>
        <v>1212.11105709222</v>
      </c>
      <c r="I15" s="0" t="n">
        <f aca="false">I13-MAX(0,I13)*I14/100</f>
        <v>1278.77716523229</v>
      </c>
      <c r="J15" s="0" t="n">
        <f aca="false">J13-MAX(0,J13)*J14/100</f>
        <v>1342.7160234939</v>
      </c>
      <c r="K15" s="0" t="n">
        <f aca="false">K13-MAX(0,K13)*K14/100</f>
        <v>1396.42466443366</v>
      </c>
      <c r="L15" s="0" t="n">
        <f aca="false">L13-MAX(0,L13)*L14/100</f>
        <v>1438.31740436667</v>
      </c>
    </row>
    <row r="16" customFormat="false" ht="15" hidden="false" customHeight="false" outlineLevel="0" collapsed="false">
      <c r="A16" s="0" t="s">
        <v>125</v>
      </c>
      <c r="C16" s="0" t="n">
        <f aca="false">-C12</f>
        <v>438.74715</v>
      </c>
      <c r="D16" s="0" t="n">
        <f aca="false">-D12</f>
        <v>465.071979</v>
      </c>
      <c r="E16" s="0" t="n">
        <f aca="false">-E12</f>
        <v>487.04663000775</v>
      </c>
      <c r="F16" s="0" t="n">
        <f aca="false">-F12</f>
        <v>509.913056535232</v>
      </c>
      <c r="G16" s="0" t="n">
        <f aca="false">-G12</f>
        <v>533.694346499505</v>
      </c>
      <c r="H16" s="0" t="n">
        <f aca="false">-H12</f>
        <v>565.716007289475</v>
      </c>
      <c r="I16" s="0" t="n">
        <f aca="false">-I12</f>
        <v>596.830387690396</v>
      </c>
      <c r="J16" s="0" t="n">
        <f aca="false">-J12</f>
        <v>626.671907074916</v>
      </c>
      <c r="K16" s="0" t="n">
        <f aca="false">-K12</f>
        <v>651.738783357913</v>
      </c>
      <c r="L16" s="0" t="n">
        <f aca="false">-L12</f>
        <v>671.29094685865</v>
      </c>
    </row>
    <row r="17" customFormat="false" ht="15" hidden="false" customHeight="false" outlineLevel="0" collapsed="false">
      <c r="A17" s="0" t="s">
        <v>126</v>
      </c>
      <c r="C17" s="4" t="n">
        <f aca="false">-C6*Assumptions!C46/100</f>
        <v>-548.4339375</v>
      </c>
      <c r="D17" s="4" t="n">
        <f aca="false">-D6*Assumptions!D46/100</f>
        <v>-542.5839755</v>
      </c>
      <c r="E17" s="4" t="n">
        <f aca="false">-E6*Assumptions!E46/100</f>
        <v>-495.301657635</v>
      </c>
      <c r="F17" s="4" t="n">
        <f aca="false">-F6*Assumptions!F46/100</f>
        <v>-501.121452112211</v>
      </c>
      <c r="G17" s="4" t="n">
        <f aca="false">-G6*Assumptions!G46/100</f>
        <v>-533.694346499505</v>
      </c>
      <c r="H17" s="4" t="n">
        <f aca="false">-H6*Assumptions!H46/100</f>
        <v>-565.716007289475</v>
      </c>
      <c r="I17" s="4" t="n">
        <f aca="false">-I6*Assumptions!I46/100</f>
        <v>-596.830387690396</v>
      </c>
      <c r="J17" s="4" t="n">
        <f aca="false">-J6*Assumptions!J46/100</f>
        <v>-626.671907074916</v>
      </c>
      <c r="K17" s="4" t="n">
        <f aca="false">-K6*Assumptions!K46/100</f>
        <v>-651.738783357913</v>
      </c>
      <c r="L17" s="4" t="n">
        <f aca="false">-L6*Assumptions!L46/100</f>
        <v>-671.29094685865</v>
      </c>
    </row>
    <row r="18" customFormat="false" ht="15" hidden="false" customHeight="false" outlineLevel="0" collapsed="false">
      <c r="A18" s="0" t="s">
        <v>127</v>
      </c>
      <c r="C18" s="4" t="n">
        <f aca="false">(C6-B6)*Assumptions!$B$51/100</f>
        <v>-8.91762499999995</v>
      </c>
      <c r="D18" s="4" t="n">
        <f aca="false">(D6-C6)*Assumptions!$B$51/100</f>
        <v>-21.9373575</v>
      </c>
      <c r="E18" s="4" t="n">
        <f aca="false">(E6-D6)*Assumptions!$B$51/100</f>
        <v>-25.1913988625</v>
      </c>
      <c r="F18" s="4" t="n">
        <f aca="false">(F6-E6)*Assumptions!$B$51/100</f>
        <v>-26.8288397885624</v>
      </c>
      <c r="G18" s="4" t="n">
        <f aca="false">(G6-F6)*Assumptions!$B$51/100</f>
        <v>-28.572714374819</v>
      </c>
      <c r="H18" s="4" t="n">
        <f aca="false">(H6-G6)*Assumptions!$B$51/100</f>
        <v>-28.0891761315529</v>
      </c>
      <c r="I18" s="4" t="n">
        <f aca="false">(I6-H6)*Assumptions!$B$51/100</f>
        <v>-27.2933161411589</v>
      </c>
      <c r="J18" s="4" t="n">
        <f aca="false">(J6-I6)*Assumptions!$B$51/100</f>
        <v>-26.1767713899297</v>
      </c>
      <c r="K18" s="4" t="n">
        <f aca="false">(K6-J6)*Assumptions!$B$51/100</f>
        <v>-21.9884879675409</v>
      </c>
      <c r="L18" s="4" t="n">
        <f aca="false">(L6-K6)*Assumptions!$B$51/100</f>
        <v>-17.151020614682</v>
      </c>
    </row>
    <row r="19" customFormat="false" ht="15" hidden="false" customHeight="false" outlineLevel="0" collapsed="false">
      <c r="A19" s="0" t="s">
        <v>128</v>
      </c>
      <c r="C19" s="0" t="n">
        <f aca="false">C15+C16+C17+C18</f>
        <v>662.3582020475</v>
      </c>
      <c r="D19" s="0" t="n">
        <f aca="false">D15+D16+D17+D18</f>
        <v>784.95477486535</v>
      </c>
      <c r="E19" s="0" t="n">
        <f aca="false">E15+E16+E17+E18</f>
        <v>950.627161927095</v>
      </c>
      <c r="F19" s="0" t="n">
        <f aca="false">F15+F16+F17+F18</f>
        <v>1049.25474998482</v>
      </c>
      <c r="G19" s="0" t="n">
        <f aca="false">G15+G16+G17+G18</f>
        <v>1114.92828288199</v>
      </c>
      <c r="H19" s="0" t="n">
        <f aca="false">H15+H16+H17+H18</f>
        <v>1184.02188096066</v>
      </c>
      <c r="I19" s="0" t="n">
        <f aca="false">I15+I16+I17+I18</f>
        <v>1251.48384909113</v>
      </c>
      <c r="J19" s="0" t="n">
        <f aca="false">J15+J16+J17+J18</f>
        <v>1316.53925210397</v>
      </c>
      <c r="K19" s="0" t="n">
        <f aca="false">K15+K16+K17+K18</f>
        <v>1374.43617646612</v>
      </c>
      <c r="L19" s="0" t="n">
        <f aca="false">L15+L16+L17+L18</f>
        <v>1421.16638375199</v>
      </c>
    </row>
    <row r="20" customFormat="false" ht="15" hidden="false" customHeight="false" outlineLevel="0" collapsed="false">
      <c r="A20" s="0" t="s">
        <v>129</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130</v>
      </c>
      <c r="C21" s="0" t="n">
        <f aca="false">C19*C20</f>
        <v>616.147164695349</v>
      </c>
      <c r="D21" s="0" t="n">
        <f aca="false">D19*D20</f>
        <v>679.246965811012</v>
      </c>
      <c r="E21" s="0" t="n">
        <f aca="false">E19*E20</f>
        <v>765.217381656132</v>
      </c>
      <c r="F21" s="0" t="n">
        <f aca="false">F19*F20</f>
        <v>785.682512659007</v>
      </c>
      <c r="G21" s="0" t="n">
        <f aca="false">G19*G20</f>
        <v>776.612919892741</v>
      </c>
      <c r="H21" s="0" t="n">
        <f aca="false">H19*H20</f>
        <v>767.200615883323</v>
      </c>
      <c r="I21" s="0" t="n">
        <f aca="false">I19*I20</f>
        <v>754.338023434225</v>
      </c>
      <c r="J21" s="0" t="n">
        <f aca="false">J19*J20</f>
        <v>738.186499004747</v>
      </c>
      <c r="K21" s="0" t="n">
        <f aca="false">K19*K20</f>
        <v>716.883194233683</v>
      </c>
      <c r="L21" s="0" t="n">
        <f aca="false">L19*L20</f>
        <v>689.541300502613</v>
      </c>
    </row>
    <row r="23" customFormat="false" ht="15" hidden="false" customHeight="false" outlineLevel="0" collapsed="false">
      <c r="A23" s="0" t="s">
        <v>106</v>
      </c>
      <c r="C23" s="4" t="n">
        <f aca="false">Assumptions!C44</f>
        <v>2.4</v>
      </c>
      <c r="D23" s="4" t="n">
        <f aca="false">Assumptions!D44</f>
        <v>2.1</v>
      </c>
      <c r="E23" s="4" t="n">
        <f aca="false">Assumptions!E44</f>
        <v>1.8</v>
      </c>
      <c r="F23" s="4" t="n">
        <f aca="false">Assumptions!F44</f>
        <v>1.8</v>
      </c>
      <c r="G23" s="4" t="n">
        <f aca="false">Assumptions!G44</f>
        <v>1.8</v>
      </c>
      <c r="H23" s="4" t="n">
        <f aca="false">Assumptions!H44</f>
        <v>1.8</v>
      </c>
      <c r="I23" s="4" t="n">
        <f aca="false">Assumptions!I44</f>
        <v>1.8</v>
      </c>
      <c r="J23" s="4" t="n">
        <f aca="false">Assumptions!J44</f>
        <v>1.8</v>
      </c>
      <c r="K23" s="4" t="n">
        <f aca="false">Assumptions!K44</f>
        <v>1.8</v>
      </c>
      <c r="L23" s="4" t="n">
        <f aca="false">Assumptions!L44</f>
        <v>1.8</v>
      </c>
    </row>
    <row r="24" customFormat="false" ht="15" hidden="false" customHeight="false" outlineLevel="0" collapsed="false">
      <c r="A24" s="0" t="s">
        <v>131</v>
      </c>
      <c r="C24" s="0" t="n">
        <f aca="false">-C6*C23/100</f>
        <v>-175.49886</v>
      </c>
      <c r="D24" s="0" t="n">
        <f aca="false">-D6*D23/100</f>
        <v>-162.77519265</v>
      </c>
      <c r="E24" s="0" t="n">
        <f aca="false">-E6*E23/100</f>
        <v>-148.5904972905</v>
      </c>
      <c r="F24" s="0" t="n">
        <f aca="false">-F6*F23/100</f>
        <v>-158.248879614382</v>
      </c>
      <c r="G24" s="0" t="n">
        <f aca="false">-G6*G23/100</f>
        <v>-168.535056789317</v>
      </c>
      <c r="H24" s="0" t="n">
        <f aca="false">-H6*H23/100</f>
        <v>-178.647160196676</v>
      </c>
      <c r="I24" s="0" t="n">
        <f aca="false">-I6*I23/100</f>
        <v>-188.472754007494</v>
      </c>
      <c r="J24" s="0" t="n">
        <f aca="false">-J6*J23/100</f>
        <v>-197.896391707868</v>
      </c>
      <c r="K24" s="0" t="n">
        <f aca="false">-K6*K23/100</f>
        <v>-205.812247376183</v>
      </c>
      <c r="L24" s="0" t="n">
        <f aca="false">-L6*L23/100</f>
        <v>-211.986614797469</v>
      </c>
    </row>
    <row r="26" customFormat="false" ht="15" hidden="false" customHeight="false" outlineLevel="0" collapsed="false">
      <c r="A26" s="2" t="s">
        <v>132</v>
      </c>
    </row>
    <row r="27" customFormat="false" ht="15" hidden="false" customHeight="false" outlineLevel="0" collapsed="false">
      <c r="A27" s="0" t="s">
        <v>110</v>
      </c>
      <c r="B27" s="4" t="n">
        <f aca="false">Assumptions!$B$48</f>
        <v>7.5</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20</v>
      </c>
    </row>
    <row r="30" customFormat="false" ht="15" hidden="false" customHeight="false" outlineLevel="0" collapsed="false">
      <c r="A30" s="0" t="s">
        <v>133</v>
      </c>
      <c r="B30" s="0" t="n">
        <f aca="false">SUM(C21:L21)</f>
        <v>7289.05657777283</v>
      </c>
    </row>
    <row r="31" customFormat="false" ht="15" hidden="false" customHeight="false" outlineLevel="0" collapsed="false">
      <c r="A31" s="0" t="s">
        <v>134</v>
      </c>
      <c r="B31" s="0" t="n">
        <f aca="false">L19</f>
        <v>1421.16638375199</v>
      </c>
    </row>
    <row r="32" customFormat="false" ht="15" hidden="false" customHeight="false" outlineLevel="0" collapsed="false">
      <c r="A32" s="0" t="s">
        <v>135</v>
      </c>
      <c r="B32" s="0" t="n">
        <f aca="false">IF(B27&gt;B28,B31*(1+B28/100)/((B27-B28)/100),B31*B29)</f>
        <v>32528.9194503232</v>
      </c>
    </row>
    <row r="33" customFormat="false" ht="15" hidden="false" customHeight="false" outlineLevel="0" collapsed="false">
      <c r="A33" s="0" t="s">
        <v>136</v>
      </c>
      <c r="B33" s="0" t="n">
        <f aca="false">B31*B29</f>
        <v>28423.3276750397</v>
      </c>
    </row>
    <row r="34" customFormat="false" ht="15" hidden="false" customHeight="false" outlineLevel="0" collapsed="false">
      <c r="A34" s="0" t="s">
        <v>137</v>
      </c>
      <c r="B34" s="0" t="n">
        <f aca="false">MAX(0,MIN(B32,B33))</f>
        <v>28423.3276750397</v>
      </c>
    </row>
    <row r="35" customFormat="false" ht="15" hidden="false" customHeight="false" outlineLevel="0" collapsed="false">
      <c r="A35" s="0" t="s">
        <v>138</v>
      </c>
      <c r="B35" s="0" t="n">
        <f aca="false">B34/(1+B27/100)^L4</f>
        <v>13790.8260100523</v>
      </c>
    </row>
    <row r="36" customFormat="false" ht="15" hidden="false" customHeight="false" outlineLevel="0" collapsed="false">
      <c r="A36" s="0" t="s">
        <v>139</v>
      </c>
      <c r="B36" s="0" t="n">
        <f aca="false">B30+B35</f>
        <v>21079.8825878251</v>
      </c>
    </row>
    <row r="37" customFormat="false" ht="15" hidden="false" customHeight="false" outlineLevel="0" collapsed="false">
      <c r="A37" s="0" t="s">
        <v>140</v>
      </c>
      <c r="B37" s="0" t="n">
        <f aca="false">B36+Assumptions!$B$5-Assumptions!$B$4</f>
        <v>17037.3825878251</v>
      </c>
    </row>
    <row r="38" customFormat="false" ht="15" hidden="false" customHeight="false" outlineLevel="0" collapsed="false">
      <c r="A38" s="0" t="s">
        <v>141</v>
      </c>
      <c r="B38" s="0" t="n">
        <f aca="false">B37/Assumptions!$B$3*Assumptions!$B$10</f>
        <v>93.714975730611</v>
      </c>
    </row>
    <row r="39" customFormat="false" ht="15" hidden="false" customHeight="false" outlineLevel="0" collapsed="false">
      <c r="A39" s="0" t="s">
        <v>142</v>
      </c>
      <c r="B39" s="4" t="n">
        <f aca="false">B38/Assumptions!$B$2-1</f>
        <v>0.106434188082775</v>
      </c>
    </row>
    <row r="41" customFormat="false" ht="15" hidden="false" customHeight="false" outlineLevel="0" collapsed="false">
      <c r="A41" s="0" t="s">
        <v>143</v>
      </c>
      <c r="B41" s="0" t="n">
        <f aca="false">SUMPRODUCT(-C10:L10/(1+$B$27/100)^C4:L4)</f>
        <v>172.379659564787</v>
      </c>
    </row>
    <row r="42" customFormat="false" ht="15" hidden="false" customHeight="false" outlineLevel="0" collapsed="false">
      <c r="A42" s="0" t="s">
        <v>144</v>
      </c>
      <c r="B42" s="0" t="n">
        <f aca="false">IF(B27&gt;B28,-L10*(1+B28/100)/((B27-B28)/100),-L10*20)/(1+B27/100)^L4</f>
        <v>353.134189774468</v>
      </c>
    </row>
    <row r="43" customFormat="false" ht="15" hidden="false" customHeight="false" outlineLevel="0" collapsed="false">
      <c r="A43" s="0" t="s">
        <v>145</v>
      </c>
      <c r="B43" s="0" t="n">
        <f aca="false">(B37+B41+B42)/Assumptions!$B$3*Assumptions!$B$10</f>
        <v>96.6055909635002</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12198.3447938712</v>
      </c>
    </row>
    <row r="47" customFormat="false" ht="15" hidden="false" customHeight="false" outlineLevel="0" collapsed="false">
      <c r="A47" s="0" t="s">
        <v>147</v>
      </c>
      <c r="B47" s="0" t="n">
        <f aca="false">(SUMPRODUCT(C19:L19/(1+B45/100)^C4:L4)+B46/(1+B45/100)^L4+Assumptions!$B$5-Assumptions!$B$4)/Assumptions!$B$3*Assumptions!$B$10</f>
        <v>22.4217004023522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37.0653887565972</v>
      </c>
      <c r="C4" s="0" t="n">
        <f aca="false">B4/Assumptions!$B$2-1</f>
        <v>-0.562392104408534</v>
      </c>
      <c r="D4" s="4" t="n">
        <f aca="false">Assumptions!$B$24</f>
        <v>0.25</v>
      </c>
      <c r="E4" s="4" t="n">
        <f aca="false">DCF_Bear!$B$43</f>
        <v>39.0838855286258</v>
      </c>
      <c r="F4" s="4" t="n">
        <f aca="false">DCF_Bear!$B$47</f>
        <v>6.38578782432514</v>
      </c>
    </row>
    <row r="5" customFormat="false" ht="15" hidden="false" customHeight="false" outlineLevel="0" collapsed="false">
      <c r="A5" s="0" t="s">
        <v>156</v>
      </c>
      <c r="B5" s="4" t="n">
        <f aca="false">DCF_Base!$B$38</f>
        <v>66.6200561578045</v>
      </c>
      <c r="C5" s="0" t="n">
        <f aca="false">B5/Assumptions!$B$2-1</f>
        <v>-0.213458604984599</v>
      </c>
      <c r="D5" s="4" t="n">
        <f aca="false">Assumptions!$B$38</f>
        <v>0.5</v>
      </c>
      <c r="E5" s="4" t="n">
        <f aca="false">DCF_Base!$B$43</f>
        <v>68.9970296442434</v>
      </c>
      <c r="F5" s="4" t="n">
        <f aca="false">DCF_Base!$B$47</f>
        <v>14.7306246038608</v>
      </c>
    </row>
    <row r="6" customFormat="false" ht="15" hidden="false" customHeight="false" outlineLevel="0" collapsed="false">
      <c r="A6" s="0" t="s">
        <v>157</v>
      </c>
      <c r="B6" s="4" t="n">
        <f aca="false">DCF_Bull!$B$38</f>
        <v>93.714975730611</v>
      </c>
      <c r="C6" s="0" t="n">
        <f aca="false">B6/Assumptions!$B$2-1</f>
        <v>0.106434188082775</v>
      </c>
      <c r="D6" s="4" t="n">
        <f aca="false">Assumptions!$B$52</f>
        <v>0.25</v>
      </c>
      <c r="E6" s="4" t="n">
        <f aca="false">DCF_Bull!$B$43</f>
        <v>96.6055909635002</v>
      </c>
      <c r="F6" s="4" t="n">
        <f aca="false">DCF_Bull!$B$47</f>
        <v>22.4217004023522</v>
      </c>
    </row>
    <row r="8" customFormat="false" ht="15" hidden="false" customHeight="false" outlineLevel="0" collapsed="false">
      <c r="A8" s="0" t="s">
        <v>158</v>
      </c>
      <c r="B8" s="0" t="n">
        <f aca="false">SUMPRODUCT(B4:B6,D4:D6)</f>
        <v>66.0051192007043</v>
      </c>
    </row>
    <row r="9" customFormat="false" ht="15" hidden="false" customHeight="false" outlineLevel="0" collapsed="false">
      <c r="A9" s="0" t="s">
        <v>159</v>
      </c>
      <c r="B9" s="0" t="n">
        <f aca="false">SUMPRODUCT(E4:E6,D4:D6)</f>
        <v>68.4208839451532</v>
      </c>
    </row>
    <row r="10" customFormat="false" ht="15" hidden="false" customHeight="false" outlineLevel="0" collapsed="false">
      <c r="A10" s="0" t="s">
        <v>160</v>
      </c>
      <c r="B10" s="0" t="n">
        <f aca="false">1-Assumptions!$B$2/B8</f>
        <v>-0.283233801039726</v>
      </c>
    </row>
    <row r="11" customFormat="false" ht="15" hidden="false" customHeight="false" outlineLevel="0" collapsed="false">
      <c r="A11" s="0" t="s">
        <v>161</v>
      </c>
      <c r="B11" s="0" t="n">
        <f aca="false">IF(ABS(B9-B8)&gt;0.01*ABS(B8),(Assumptions!$B$2-B8)/(B9-B8)*100,"n/a")</f>
        <v>773.870089885774</v>
      </c>
    </row>
    <row r="12" customFormat="false" ht="15" hidden="false" customHeight="false" outlineLevel="0" collapsed="false">
      <c r="A12" s="0" t="s">
        <v>162</v>
      </c>
      <c r="B12" s="0" t="n">
        <f aca="false">SUMPRODUCT(F4:F6,D4:D6)</f>
        <v>14.5671843585997</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66.6200561578045</v>
      </c>
      <c r="C15" s="3" t="n">
        <v>7.5</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51.2426605231992</v>
      </c>
      <c r="C16" s="3" t="n">
        <v>9</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41.0666517414384</v>
      </c>
      <c r="C17" s="3" t="n">
        <v>10</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33.2977683807102</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27.1752671928304</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14.7306246038608</v>
      </c>
      <c r="C20" s="3" t="n">
        <v>15</v>
      </c>
    </row>
    <row r="22" customFormat="false" ht="15" hidden="false" customHeight="false" outlineLevel="0" collapsed="false">
      <c r="A22" s="2" t="s">
        <v>171</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81.5947749770726</v>
      </c>
      <c r="C24" s="0" t="n">
        <f aca="false">(SUMPRODUCT(DCF_Base!$C$19:$L$19/(1+$A$24/100)^DCF_Base!$C$4:$L$4)+MAX(0,MIN(IF($A$24&gt;$C$23,DCF_Base!$L$19*(1+$C$23/100)/(($A$24-$C$23)/100),DCF_Base!$L$19*DCF_Base!$B$29),DCF_Base!$L$19*DCF_Base!$B$29))/(1+$A$24/100)^DCF_Base!$L$4+Assumptions!$B$5-Assumptions!$B$4)/Assumptions!$B$3*Assumptions!$B$10</f>
        <v>81.5947749770726</v>
      </c>
      <c r="D24" s="0" t="n">
        <f aca="false">(SUMPRODUCT(DCF_Base!$C$19:$L$19/(1+$A$24/100)^DCF_Base!$C$4:$L$4)+MAX(0,MIN(IF($A$24&gt;$D$23,DCF_Base!$L$19*(1+$D$23/100)/(($A$24-$D$23)/100),DCF_Base!$L$19*DCF_Base!$B$29),DCF_Base!$L$19*DCF_Base!$B$29))/(1+$A$24/100)^DCF_Base!$L$4+Assumptions!$B$5-Assumptions!$B$4)/Assumptions!$B$3*Assumptions!$B$10</f>
        <v>81.5947749770726</v>
      </c>
      <c r="E24" s="0" t="n">
        <f aca="false">(SUMPRODUCT(DCF_Base!$C$19:$L$19/(1+$A$24/100)^DCF_Base!$C$4:$L$4)+MAX(0,MIN(IF($A$24&gt;$E$23,DCF_Base!$L$19*(1+$E$23/100)/(($A$24-$E$23)/100),DCF_Base!$L$19*DCF_Base!$B$29),DCF_Base!$L$19*DCF_Base!$B$29))/(1+$A$24/100)^DCF_Base!$L$4+Assumptions!$B$5-Assumptions!$B$4)/Assumptions!$B$3*Assumptions!$B$10</f>
        <v>81.5947749770726</v>
      </c>
      <c r="F24" s="0" t="n">
        <f aca="false">(SUMPRODUCT(DCF_Base!$C$19:$L$19/(1+$A$24/100)^DCF_Base!$C$4:$L$4)+MAX(0,MIN(IF($A$24&gt;$F$23,DCF_Base!$L$19*(1+$F$23/100)/(($A$24-$F$23)/100),DCF_Base!$L$19*DCF_Base!$B$29),DCF_Base!$L$19*DCF_Base!$B$29))/(1+$A$24/100)^DCF_Base!$L$4+Assumptions!$B$5-Assumptions!$B$4)/Assumptions!$B$3*Assumptions!$B$10</f>
        <v>81.5947749770726</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73.7480510798133</v>
      </c>
      <c r="C25" s="0" t="n">
        <f aca="false">(SUMPRODUCT(DCF_Base!$C$19:$L$19/(1+$A$25/100)^DCF_Base!$C$4:$L$4)+MAX(0,MIN(IF($A$25&gt;$C$23,DCF_Base!$L$19*(1+$C$23/100)/(($A$25-$C$23)/100),DCF_Base!$L$19*DCF_Base!$B$29),DCF_Base!$L$19*DCF_Base!$B$29))/(1+$A$25/100)^DCF_Base!$L$4+Assumptions!$B$5-Assumptions!$B$4)/Assumptions!$B$3*Assumptions!$B$10</f>
        <v>73.7480510798133</v>
      </c>
      <c r="D25" s="0" t="n">
        <f aca="false">(SUMPRODUCT(DCF_Base!$C$19:$L$19/(1+$A$25/100)^DCF_Base!$C$4:$L$4)+MAX(0,MIN(IF($A$25&gt;$D$23,DCF_Base!$L$19*(1+$D$23/100)/(($A$25-$D$23)/100),DCF_Base!$L$19*DCF_Base!$B$29),DCF_Base!$L$19*DCF_Base!$B$29))/(1+$A$25/100)^DCF_Base!$L$4+Assumptions!$B$5-Assumptions!$B$4)/Assumptions!$B$3*Assumptions!$B$10</f>
        <v>73.7480510798133</v>
      </c>
      <c r="E25" s="0" t="n">
        <f aca="false">(SUMPRODUCT(DCF_Base!$C$19:$L$19/(1+$A$25/100)^DCF_Base!$C$4:$L$4)+MAX(0,MIN(IF($A$25&gt;$E$23,DCF_Base!$L$19*(1+$E$23/100)/(($A$25-$E$23)/100),DCF_Base!$L$19*DCF_Base!$B$29),DCF_Base!$L$19*DCF_Base!$B$29))/(1+$A$25/100)^DCF_Base!$L$4+Assumptions!$B$5-Assumptions!$B$4)/Assumptions!$B$3*Assumptions!$B$10</f>
        <v>73.7480510798133</v>
      </c>
      <c r="F25" s="0" t="n">
        <f aca="false">(SUMPRODUCT(DCF_Base!$C$19:$L$19/(1+$A$25/100)^DCF_Base!$C$4:$L$4)+MAX(0,MIN(IF($A$25&gt;$F$23,DCF_Base!$L$19*(1+$F$23/100)/(($A$25-$F$23)/100),DCF_Base!$L$19*DCF_Base!$B$29),DCF_Base!$L$19*DCF_Base!$B$29))/(1+$A$25/100)^DCF_Base!$L$4+Assumptions!$B$5-Assumptions!$B$4)/Assumptions!$B$3*Assumptions!$B$10</f>
        <v>73.7480510798133</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63.3431820377286</v>
      </c>
      <c r="C26" s="0" t="n">
        <f aca="false">(SUMPRODUCT(DCF_Base!$C$19:$L$19/(1+$A$26/100)^DCF_Base!$C$4:$L$4)+MAX(0,MIN(IF($A$26&gt;$C$23,DCF_Base!$L$19*(1+$C$23/100)/(($A$26-$C$23)/100),DCF_Base!$L$19*DCF_Base!$B$29),DCF_Base!$L$19*DCF_Base!$B$29))/(1+$A$26/100)^DCF_Base!$L$4+Assumptions!$B$5-Assumptions!$B$4)/Assumptions!$B$3*Assumptions!$B$10</f>
        <v>66.6200561578045</v>
      </c>
      <c r="D26" s="0" t="n">
        <f aca="false">(SUMPRODUCT(DCF_Base!$C$19:$L$19/(1+$A$26/100)^DCF_Base!$C$4:$L$4)+MAX(0,MIN(IF($A$26&gt;$D$23,DCF_Base!$L$19*(1+$D$23/100)/(($A$26-$D$23)/100),DCF_Base!$L$19*DCF_Base!$B$29),DCF_Base!$L$19*DCF_Base!$B$29))/(1+$A$26/100)^DCF_Base!$L$4+Assumptions!$B$5-Assumptions!$B$4)/Assumptions!$B$3*Assumptions!$B$10</f>
        <v>66.6200561578045</v>
      </c>
      <c r="E26" s="0" t="n">
        <f aca="false">(SUMPRODUCT(DCF_Base!$C$19:$L$19/(1+$A$26/100)^DCF_Base!$C$4:$L$4)+MAX(0,MIN(IF($A$26&gt;$E$23,DCF_Base!$L$19*(1+$E$23/100)/(($A$26-$E$23)/100),DCF_Base!$L$19*DCF_Base!$B$29),DCF_Base!$L$19*DCF_Base!$B$29))/(1+$A$26/100)^DCF_Base!$L$4+Assumptions!$B$5-Assumptions!$B$4)/Assumptions!$B$3*Assumptions!$B$10</f>
        <v>66.6200561578045</v>
      </c>
      <c r="F26" s="0" t="n">
        <f aca="false">(SUMPRODUCT(DCF_Base!$C$19:$L$19/(1+$A$26/100)^DCF_Base!$C$4:$L$4)+MAX(0,MIN(IF($A$26&gt;$F$23,DCF_Base!$L$19*(1+$F$23/100)/(($A$26-$F$23)/100),DCF_Base!$L$19*DCF_Base!$B$29),DCF_Base!$L$19*DCF_Base!$B$29))/(1+$A$26/100)^DCF_Base!$L$4+Assumptions!$B$5-Assumptions!$B$4)/Assumptions!$B$3*Assumptions!$B$10</f>
        <v>66.6200561578045</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50.4867249774646</v>
      </c>
      <c r="C27" s="0" t="n">
        <f aca="false">(SUMPRODUCT(DCF_Base!$C$19:$L$19/(1+$A$27/100)^DCF_Base!$C$4:$L$4)+MAX(0,MIN(IF($A$27&gt;$C$23,DCF_Base!$L$19*(1+$C$23/100)/(($A$27-$C$23)/100),DCF_Base!$L$19*DCF_Base!$B$29),DCF_Base!$L$19*DCF_Base!$B$29))/(1+$A$27/100)^DCF_Base!$L$4+Assumptions!$B$5-Assumptions!$B$4)/Assumptions!$B$3*Assumptions!$B$10</f>
        <v>53.7742817299931</v>
      </c>
      <c r="D27" s="0" t="n">
        <f aca="false">(SUMPRODUCT(DCF_Base!$C$19:$L$19/(1+$A$27/100)^DCF_Base!$C$4:$L$4)+MAX(0,MIN(IF($A$27&gt;$D$23,DCF_Base!$L$19*(1+$D$23/100)/(($A$27-$D$23)/100),DCF_Base!$L$19*DCF_Base!$B$29),DCF_Base!$L$19*DCF_Base!$B$29))/(1+$A$27/100)^DCF_Base!$L$4+Assumptions!$B$5-Assumptions!$B$4)/Assumptions!$B$3*Assumptions!$B$10</f>
        <v>57.609764607943</v>
      </c>
      <c r="E27" s="0" t="n">
        <f aca="false">(SUMPRODUCT(DCF_Base!$C$19:$L$19/(1+$A$27/100)^DCF_Base!$C$4:$L$4)+MAX(0,MIN(IF($A$27&gt;$E$23,DCF_Base!$L$19*(1+$E$23/100)/(($A$27-$E$23)/100),DCF_Base!$L$19*DCF_Base!$B$29),DCF_Base!$L$19*DCF_Base!$B$29))/(1+$A$27/100)^DCF_Base!$L$4+Assumptions!$B$5-Assumptions!$B$4)/Assumptions!$B$3*Assumptions!$B$10</f>
        <v>60.137294799403</v>
      </c>
      <c r="F27" s="0" t="n">
        <f aca="false">(SUMPRODUCT(DCF_Base!$C$19:$L$19/(1+$A$27/100)^DCF_Base!$C$4:$L$4)+MAX(0,MIN(IF($A$27&gt;$F$23,DCF_Base!$L$19*(1+$F$23/100)/(($A$27-$F$23)/100),DCF_Base!$L$19*DCF_Base!$B$29),DCF_Base!$L$19*DCF_Base!$B$29))/(1+$A$27/100)^DCF_Base!$L$4+Assumptions!$B$5-Assumptions!$B$4)/Assumptions!$B$3*Assumptions!$B$10</f>
        <v>60.137294799403</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40.8703449722826</v>
      </c>
      <c r="C28" s="0" t="n">
        <f aca="false">(SUMPRODUCT(DCF_Base!$C$19:$L$19/(1+$A$28/100)^DCF_Base!$C$4:$L$4)+MAX(0,MIN(IF($A$28&gt;$C$23,DCF_Base!$L$19*(1+$C$23/100)/(($A$28-$C$23)/100),DCF_Base!$L$19*DCF_Base!$B$29),DCF_Base!$L$19*DCF_Base!$B$29))/(1+$A$28/100)^DCF_Base!$L$4+Assumptions!$B$5-Assumptions!$B$4)/Assumptions!$B$3*Assumptions!$B$10</f>
        <v>43.1658274187179</v>
      </c>
      <c r="D28" s="0" t="n">
        <f aca="false">(SUMPRODUCT(DCF_Base!$C$19:$L$19/(1+$A$28/100)^DCF_Base!$C$4:$L$4)+MAX(0,MIN(IF($A$28&gt;$D$23,DCF_Base!$L$19*(1+$D$23/100)/(($A$28-$D$23)/100),DCF_Base!$L$19*DCF_Base!$B$29),DCF_Base!$L$19*DCF_Base!$B$29))/(1+$A$28/100)^DCF_Base!$L$4+Assumptions!$B$5-Assumptions!$B$4)/Assumptions!$B$3*Assumptions!$B$10</f>
        <v>45.7892359289297</v>
      </c>
      <c r="E28" s="0" t="n">
        <f aca="false">(SUMPRODUCT(DCF_Base!$C$19:$L$19/(1+$A$28/100)^DCF_Base!$C$4:$L$4)+MAX(0,MIN(IF($A$28&gt;$E$23,DCF_Base!$L$19*(1+$E$23/100)/(($A$28-$E$23)/100),DCF_Base!$L$19*DCF_Base!$B$29),DCF_Base!$L$19*DCF_Base!$B$29))/(1+$A$28/100)^DCF_Base!$L$4+Assumptions!$B$5-Assumptions!$B$4)/Assumptions!$B$3*Assumptions!$B$10</f>
        <v>48.8162457484049</v>
      </c>
      <c r="F28" s="0" t="n">
        <f aca="false">(SUMPRODUCT(DCF_Base!$C$19:$L$19/(1+$A$28/100)^DCF_Base!$C$4:$L$4)+MAX(0,MIN(IF($A$28&gt;$F$23,DCF_Base!$L$19*(1+$F$23/100)/(($A$28-$F$23)/100),DCF_Base!$L$19*DCF_Base!$B$29),DCF_Base!$L$19*DCF_Base!$B$29))/(1+$A$28/100)^DCF_Base!$L$4+Assumptions!$B$5-Assumptions!$B$4)/Assumptions!$B$3*Assumptions!$B$10</f>
        <v>52.3477572044593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2026-10-25T13:44:09Z</dcterms:created>
  <dc:creator>openpyxl</dc:creator>
  <dc:description/>
  <dc:language>en-NZ</dc:language>
  <cp:lastModifiedBy/>
  <dcterms:modified xsi:type="dcterms:W3CDTF">2026-10-25T13:44:09Z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