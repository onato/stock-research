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<sst xmlns="http://schemas.openxmlformats.org/spreadsheetml/2006/main" count="358" uniqueCount="166">
  <si>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</si>
  <si>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3993.HK</t>
  </si>
  <si>
    <t xml:space="preserve">Company</t>
  </si>
  <si>
    <t xml:space="preserve">CMOC Group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</si>
  <si>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</si>
  <si>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</si>
  <si>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</si>
  <si>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</si>
  <si>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2026-10-23T08:08:08Z (HKEX regular session; 52-week range 12.13-25.24)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</si>
  <si>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</si>
  <si>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</si>
  <si>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</si>
  <si>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</si>
  <si>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</si>
  <si>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</si>
  <si>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</si>
  <si>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</si>
  <si>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</si>
  <si>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</si>
  <si>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</si>
  <si>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</si>
  <si>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</si>
  <si>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2026-10-23T09:58:10Z</t>
  </si>
  <si>
    <t xml:space="preserve">Drivers file</t>
  </si>
  <si>
    <t xml:space="preserve">3993.HK_Drivers.json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</si>
  <si>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</si>
  <si>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</si>
  <si>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</si>
  <si>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CMOC as a volume-growing, mid-cycle copper-cobalt producer, not at today's cobalt-quota earnings. The owner's question is what ~1Mt of low-cost copper plus by-product cobalt, Mo/W, Nb/P and a nascent gold business earns through a cycle, after the DRC's take (tax, royalty, Gecamines) and minority partners, discounted at a CNY cost of capital with the DRC risk carried in a heavy bear weight rather than in the discount rate. Debt-like prepayments (stream, CATL) and the Gecamines settlement are deducted because the revenue they pre-paid is in the projections.
key_risks_to_valuation: Cobalt price: the 2025-26 rally is a DRC export-policy artefact; base assumes US$25k/t mid-cycle, bear US$15-20k/t -- every US$10k/t on ~60-100kt of sellable cobalt is ~RMB4-7bn of EBITDA; DRC fiscal and regulatory terms: quota administration, royalty renegotiation, Gecamines minimum dividends; modelled as 40-43% combined leakage; Copper price versus the 1Mt volume ramp: base US$9,000/t; FY2026 run-rate embeds &gt;US$10k/t; Capex intensity of TFM III / KFM II / Cangrejos and gold-acquisition integration; FY2025 OCF fell 36% on working capital while profit rose 50%; A/H and CNY/HKD basis: IV is computed in CNY and converted at 1.1751; the H-share trades at a 28.5% discount to the A-share, so an A/H re-rating is upside not modelled; IXM trading revenue (~70% of consolidated) makes %-of-revenue drivers small and sensitive to trading volumes; the absolute EBITDA/capex paths are the real assumptions</t>
  </si>
  <si>
    <t xml:space="preserve">Data sources</t>
  </si>
  <si>
    <t xml:space="preserve">price: Yahoo Finance chart API at inputs.price_as_of; 52-week range 12.13-25.24 HKD. CNYHKD=X and 603993.SS from the same endpoint for the FX bridge and A/H parity.
financials: 3993.HK_Metrics.csv / metrics_normalized (FY2017-FY2025, H1 FY2023-H1 FY2026); balance sheet, cash flow, note VII.39 (other non-current liabilities), convertible-bond section and share count from 3993.HK_HalfYear_H1-2026.txt; D&amp;A split (fixed 4,942.5 + RoU 138.6 + intangibles 2,172.0), income tax 11,134, NCI dividends 902 and note (XII) SBC from 3993.HK_Annual_FY2025.txt.
qualitative: 3993.HK_Analysis.json (2026-10-23): FY2026 guidance copper 760-820kt, cobalt 100-120kt, 2026 DRC cobalt export quota 31,200t, 1Mt copper by 2028, 20t gold target, Gecamines settlement terms.</t>
  </si>
  <si>
    <t xml:space="preserve">Scenario narrative: bear</t>
  </si>
  <si>
    <t xml:space="preserve">Cobalt rally unwinds to US$15-20k/t, copper US$7,500/t, DRC fiscal re-negotiation lifts leakage to 43%, gold build-out overruns; 12.5% margin from FY2028 (~RMB30bn EBITDA).</t>
  </si>
  <si>
    <t xml:space="preserve">Scenario narrative: base</t>
  </si>
  <si>
    <t xml:space="preserve">Peak-cycle FY2026 banked (H1 already reported +86% net profit), then mid-cycle: copper ~US$9,000/t, cobalt ~US$25k/t as DRC quotas evolve into a managed-but-looser regime, copper volume to ~1Mt by 2028 and gold to ~10t by 2030. Absolute EBITDA dips from ~RMB58bn (FY2026) to ~RMB45bn (FY2028) and grows with volume thereafter; capex peaks at RMB14bn through the build-out, then 4% of revenue. The axes that matter are (1) where cobalt settles once the export quota is no longer the price-setter, (2) whether DRC fiscal terms hold, and (3) copper price versus the volume ramp.</t>
  </si>
  <si>
    <t xml:space="preserve">Scenario narrative: bull</t>
  </si>
  <si>
    <t xml:space="preserve">Copper &gt;US$10,500/t sustained, cobalt kept at ~US$40k/t by a durable DRC quota, 1Mt copper by 2028, 20t gold by 2030, lower NCI leakage; 21% margin in perpetuity (~RMB65bn EBITDA by FY2030).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</si>
  <si>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</si>
  <si>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</si>
  <si>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</si>
  <si>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</si>
  <si>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</si>
  <si>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</si>
  <si>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</si>
  <si>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</si>
  <si>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</si>
  <si>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</si>
  <si>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</si>
  <si>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</si>
  <si>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</si>
  <si>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</si>
  <si>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</si>
  <si>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</si>
  <si>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</si>
  <si>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</si>
  <si>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</si>
  <si>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</si>
  <si>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</si>
  <si>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</si>
  <si>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</si>
  <si>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</si>
  <si>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</si>
  <si>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</si>
  <si>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</si>
  <si>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CopperProduction</t>
  </si>
  <si>
    <t xml:space="preserve">GoldProduction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</si>
  <si>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</si>
  <si>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</si>
  <si>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</si>
  <si>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</si>
  <si>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</si>
  <si>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</si>
  <si>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</si>
  <si>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</si>
  <si>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</si>
  <si>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</si>
  <si>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</si>
  <si>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</si>
  <si>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</si>
  <si>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</si>
  <si>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</si>
  <si>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</si>
  <si>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</si>
  <si>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</si>
  <si>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</si>
  <si>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</si>
  <si>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</si>
  <si>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</si>
  <si>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</si>
  <si>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</si>
  <si>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</si>
  <si>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</si>
  <si>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</si>
  <si>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</si>
  <si>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</si>
  <si>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</si>
  <si>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</si>
  <si>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</si>
  <si>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</si>
  <si>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</si>
  <si>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</si>
  <si>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</si>
  <si>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</si>
  <si>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</si>
  <si>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</si>
  <si>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</si>
  <si>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</si>
  <si>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</si>
  <si>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</si>
  <si>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</si>
  <si>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</si>
  <si>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</si>
  <si>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3993.HK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</si>
  <si>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</si>
  <si>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</si>
  <si>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</si>
  <si>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</si>
  <si>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</si>
  <si>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</si>
  <si>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</si>
  <si>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</si>
  <si>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</si>
  <si>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</si>
  <si>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</si>
  <si>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</si>
  <si>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</si>
  <si>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</si>
  <si>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</si>
  <si>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</si>
  <si>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</si>
  <si>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</si>
  <si>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</si>
  <si>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</si>
  <si>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</si>
  <si>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</si>
  <si>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</si>
  <si>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</si>
  <si>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</si>
  <si>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</si>
  <si>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</si>
  <si>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</si>
  <si>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</si>
  <si>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</si>
  <si>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3993.HK owner-FCF component DCF: base case (millions, CNY)</t>
  </si>
  <si>
    <t xml:space="preserve">3993.HK owner-FCF component DCF: bull case (millions, CNY)</t>
  </si>
  <si>
    <t xml:space="preserve">3993.HK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</si>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</sst>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13.01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24147.6</v>
      </c>
      <c r="F2" s="0" t="n">
        <v>5377.1</v>
      </c>
      <c r="G2" s="0" t="n">
        <v>22.3</v>
      </c>
      <c r="H2" s="0" t="n">
        <v>11304</v>
      </c>
      <c r="I2" s="0" t="n">
        <v>2727.8</v>
      </c>
      <c r="J2" s="0" t="n">
        <v>11.3</v>
      </c>
      <c r="K2" s="0" t="n">
        <v>0.14</v>
      </c>
      <c r="L2" s="0" t="n">
        <v>8428.8</v>
      </c>
      <c r="M2" s="0" t="n">
        <v>1066.5</v>
      </c>
      <c r="N2" s="0" t="n">
        <v>7362.3</v>
      </c>
      <c r="O2" s="0" t="n">
        <v>38157.2</v>
      </c>
      <c r="P2" s="0" t="n">
        <v>97837.2</v>
      </c>
      <c r="Q2" s="0" t="n">
        <v>51928.1</v>
      </c>
      <c r="R2" s="0" t="n">
        <v>30309.8</v>
      </c>
      <c r="S2" s="0" t="n">
        <v>26508.8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25962.9</v>
      </c>
      <c r="F3" s="0" t="n">
        <v>7058</v>
      </c>
      <c r="G3" s="0" t="n">
        <v>27.2</v>
      </c>
      <c r="H3" s="0" t="n">
        <v>12402</v>
      </c>
      <c r="I3" s="0" t="n">
        <v>4635.6</v>
      </c>
      <c r="J3" s="0" t="n">
        <v>17.9</v>
      </c>
      <c r="K3" s="0" t="n">
        <v>0.21</v>
      </c>
      <c r="L3" s="0" t="n">
        <v>9434.5</v>
      </c>
      <c r="M3" s="0" t="n">
        <v>2807.4</v>
      </c>
      <c r="N3" s="0" t="n">
        <v>6627.1</v>
      </c>
      <c r="O3" s="0" t="n">
        <v>40948.9</v>
      </c>
      <c r="P3" s="0" t="n">
        <v>101216.1</v>
      </c>
      <c r="Q3" s="0" t="n">
        <v>51618.2</v>
      </c>
      <c r="R3" s="0" t="n">
        <v>29714.9</v>
      </c>
      <c r="S3" s="0" t="n">
        <v>26647.6</v>
      </c>
      <c r="T3" s="0" t="n">
        <v>21599.2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68676.6</v>
      </c>
      <c r="F4" s="0" t="n">
        <v>2221.6</v>
      </c>
      <c r="G4" s="0" t="n">
        <v>3.2</v>
      </c>
      <c r="H4" s="0" t="n">
        <v>7930.9</v>
      </c>
      <c r="I4" s="0" t="n">
        <v>1857</v>
      </c>
      <c r="J4" s="0" t="n">
        <v>2.7</v>
      </c>
      <c r="K4" s="0" t="n">
        <v>0.09</v>
      </c>
      <c r="L4" s="0" t="n">
        <v>1704.8</v>
      </c>
      <c r="M4" s="0" t="n">
        <v>2718.6</v>
      </c>
      <c r="N4" s="0" t="n">
        <v>-1013.8</v>
      </c>
      <c r="O4" s="0" t="n">
        <v>40802.8</v>
      </c>
      <c r="P4" s="0" t="n">
        <v>116862.2</v>
      </c>
      <c r="Q4" s="0" t="n">
        <v>67366.6</v>
      </c>
      <c r="R4" s="0" t="n">
        <v>43983.9</v>
      </c>
      <c r="S4" s="0" t="n">
        <v>15647.9</v>
      </c>
      <c r="T4" s="0" t="n">
        <v>21599.2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112981</v>
      </c>
      <c r="F5" s="0" t="n">
        <v>2947.3</v>
      </c>
      <c r="G5" s="0" t="n">
        <v>2.6</v>
      </c>
      <c r="H5" s="0" t="n">
        <v>8998.9</v>
      </c>
      <c r="I5" s="0" t="n">
        <v>2328.8</v>
      </c>
      <c r="J5" s="0" t="n">
        <v>2.1</v>
      </c>
      <c r="K5" s="0" t="n">
        <v>0.11</v>
      </c>
      <c r="L5" s="0" t="n">
        <v>8492.5</v>
      </c>
      <c r="M5" s="0" t="n">
        <v>7621.8</v>
      </c>
      <c r="N5" s="0" t="n">
        <v>870.7</v>
      </c>
      <c r="O5" s="0" t="n">
        <v>38891.8</v>
      </c>
      <c r="P5" s="0" t="n">
        <v>122441</v>
      </c>
      <c r="Q5" s="0" t="n">
        <v>75106.4</v>
      </c>
      <c r="R5" s="0" t="n">
        <v>45033.5</v>
      </c>
      <c r="S5" s="0" t="n">
        <v>16947.6</v>
      </c>
      <c r="T5" s="0" t="n">
        <v>21599.2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173862.6</v>
      </c>
      <c r="F6" s="0" t="n">
        <v>8788.7</v>
      </c>
      <c r="G6" s="0" t="n">
        <v>5.1</v>
      </c>
      <c r="H6" s="0" t="n">
        <v>14814.9</v>
      </c>
      <c r="I6" s="0" t="n">
        <v>5106</v>
      </c>
      <c r="J6" s="0" t="n">
        <v>2.9</v>
      </c>
      <c r="K6" s="0" t="n">
        <v>0.24</v>
      </c>
      <c r="L6" s="0" t="n">
        <v>6190.6</v>
      </c>
      <c r="M6" s="0" t="n">
        <v>4281.7</v>
      </c>
      <c r="N6" s="0" t="n">
        <v>1908.9</v>
      </c>
      <c r="O6" s="0" t="n">
        <v>39845.3</v>
      </c>
      <c r="P6" s="0" t="n">
        <v>137450</v>
      </c>
      <c r="Q6" s="0" t="n">
        <v>89185.6</v>
      </c>
      <c r="R6" s="0" t="n">
        <v>46860.8</v>
      </c>
      <c r="S6" s="0" t="n">
        <v>24318</v>
      </c>
      <c r="T6" s="0" t="n">
        <v>21599.2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172990.9</v>
      </c>
      <c r="F7" s="0" t="n">
        <v>9889.1</v>
      </c>
      <c r="G7" s="0" t="n">
        <v>5.7</v>
      </c>
      <c r="H7" s="0" t="n">
        <v>17130</v>
      </c>
      <c r="I7" s="0" t="n">
        <v>6066.9</v>
      </c>
      <c r="J7" s="0" t="n">
        <v>3.5</v>
      </c>
      <c r="K7" s="0" t="n">
        <v>0.28</v>
      </c>
      <c r="L7" s="0" t="n">
        <v>15453.8</v>
      </c>
      <c r="M7" s="0" t="n">
        <v>10517.8</v>
      </c>
      <c r="N7" s="0" t="n">
        <v>4936</v>
      </c>
      <c r="O7" s="0" t="n">
        <v>51698.6</v>
      </c>
      <c r="P7" s="0" t="n">
        <v>165019.2</v>
      </c>
      <c r="Q7" s="0" t="n">
        <v>102981.8</v>
      </c>
      <c r="R7" s="0" t="n">
        <v>48347</v>
      </c>
      <c r="S7" s="0" t="n">
        <v>32647.6</v>
      </c>
      <c r="T7" s="0" t="n">
        <v>21599.2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186269</v>
      </c>
      <c r="F8" s="0" t="n">
        <v>13288</v>
      </c>
      <c r="G8" s="0" t="n">
        <v>7.1</v>
      </c>
      <c r="H8" s="0" t="n">
        <v>20225</v>
      </c>
      <c r="I8" s="0" t="n">
        <v>8249.7</v>
      </c>
      <c r="J8" s="0" t="n">
        <v>4.4</v>
      </c>
      <c r="K8" s="0" t="n">
        <v>0.38</v>
      </c>
      <c r="L8" s="0" t="n">
        <v>15542</v>
      </c>
      <c r="M8" s="0" t="n">
        <v>12924.4</v>
      </c>
      <c r="N8" s="0" t="n">
        <v>2617.6</v>
      </c>
      <c r="O8" s="0" t="n">
        <v>59540.3</v>
      </c>
      <c r="P8" s="0" t="n">
        <v>172974.5</v>
      </c>
      <c r="Q8" s="0" t="n">
        <v>101012.4</v>
      </c>
      <c r="R8" s="0" t="n">
        <v>49722.8</v>
      </c>
      <c r="S8" s="0" t="n">
        <v>30716.1</v>
      </c>
      <c r="T8" s="0" t="n">
        <v>21599.2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73</v>
      </c>
      <c r="B9" s="0" t="n">
        <v>213028.7</v>
      </c>
      <c r="C9" s="0" t="n">
        <v>177774</v>
      </c>
      <c r="D9" s="0" t="n">
        <v>35254.7</v>
      </c>
      <c r="E9" s="0" t="n">
        <v>16.5</v>
      </c>
      <c r="F9" s="0" t="n">
        <v>25266</v>
      </c>
      <c r="G9" s="0" t="n">
        <v>11.9</v>
      </c>
      <c r="H9" s="0" t="n">
        <v>35322.2</v>
      </c>
      <c r="I9" s="0" t="n">
        <v>13532</v>
      </c>
      <c r="J9" s="0" t="n">
        <v>6.4</v>
      </c>
      <c r="K9" s="0" t="n">
        <v>0.63</v>
      </c>
      <c r="L9" s="0" t="n">
        <v>32386.7</v>
      </c>
      <c r="M9" s="0" t="n">
        <v>4901.3</v>
      </c>
      <c r="N9" s="0" t="n">
        <v>27485.4</v>
      </c>
      <c r="O9" s="0" t="n">
        <v>71023</v>
      </c>
      <c r="P9" s="0" t="n">
        <v>170236.4</v>
      </c>
      <c r="Q9" s="0" t="n">
        <v>84294.2</v>
      </c>
      <c r="R9" s="0" t="n">
        <v>29641.9</v>
      </c>
      <c r="S9" s="0" t="n">
        <v>30427.3</v>
      </c>
      <c r="T9" s="0" t="n">
        <v>21599.2</v>
      </c>
      <c r="AA9" s="0" t="s">
        <v>18</v>
      </c>
      <c r="AB9" s="0" t="s">
        <v>14</v>
      </c>
      <c r="AC9" s="0" t="n">
        <v>650161</v>
      </c>
    </row>
    <row r="10" customFormat="false" ht="15" hidden="false" customHeight="false" outlineLevel="0" collapsed="false">
      <c r="A10" s="0" t="s">
        <v>74</v>
      </c>
      <c r="B10" s="0" t="n">
        <v>206683.6</v>
      </c>
      <c r="C10" s="0" t="n">
        <v>157229.4</v>
      </c>
      <c r="D10" s="0" t="n">
        <v>49454.2</v>
      </c>
      <c r="E10" s="0" t="n">
        <v>23.9</v>
      </c>
      <c r="F10" s="0" t="n">
        <v>35327.7</v>
      </c>
      <c r="G10" s="0" t="n">
        <v>17.1</v>
      </c>
      <c r="H10" s="0" t="n">
        <v>45089.1</v>
      </c>
      <c r="I10" s="0" t="n">
        <v>20338.8</v>
      </c>
      <c r="J10" s="0" t="n">
        <v>9.8</v>
      </c>
      <c r="K10" s="0" t="n">
        <v>0.95</v>
      </c>
      <c r="L10" s="0" t="n">
        <v>20843.1</v>
      </c>
      <c r="M10" s="0" t="n">
        <v>7583.5</v>
      </c>
      <c r="N10" s="0" t="n">
        <v>13259.6</v>
      </c>
      <c r="O10" s="0" t="n">
        <v>82435.3</v>
      </c>
      <c r="P10" s="0" t="n">
        <v>200932.4</v>
      </c>
      <c r="Q10" s="0" t="n">
        <v>101145.6</v>
      </c>
      <c r="R10" s="0" t="n">
        <v>31874.5</v>
      </c>
      <c r="S10" s="0" t="n">
        <v>33564</v>
      </c>
      <c r="T10" s="0" t="n">
        <v>21394.3</v>
      </c>
      <c r="AA10" s="0" t="s">
        <v>18</v>
      </c>
      <c r="AB10" s="0" t="s">
        <v>14</v>
      </c>
      <c r="AC10" s="0" t="n">
        <v>741149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13.01</v>
      </c>
    </row>
    <row r="3" customFormat="false" ht="15" hidden="false" customHeight="false" outlineLevel="0" collapsed="false">
      <c r="A3" s="0" t="s">
        <v>78</v>
      </c>
      <c r="B3" s="3" t="n">
        <v>21394.3</v>
      </c>
    </row>
    <row r="4" customFormat="false" ht="15" hidden="false" customHeight="false" outlineLevel="0" collapsed="false">
      <c r="A4" s="0" t="s">
        <v>79</v>
      </c>
      <c r="B4" s="3" t="n">
        <v>8002</v>
      </c>
    </row>
    <row r="5" customFormat="false" ht="15" hidden="false" customHeight="false" outlineLevel="0" collapsed="false">
      <c r="A5" s="0" t="s">
        <v>80</v>
      </c>
      <c r="B5" s="3" t="n">
        <v>-10862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206683.6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1.1751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22</v>
      </c>
      <c r="D13" s="3" t="n">
        <v>-12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21</v>
      </c>
      <c r="D14" s="3" t="n">
        <v>15</v>
      </c>
      <c r="E14" s="3" t="n">
        <v>12.5</v>
      </c>
      <c r="F14" s="3" t="n">
        <v>12.5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3.5</v>
      </c>
      <c r="D17" s="3" t="n">
        <v>3.9</v>
      </c>
      <c r="E17" s="3" t="n">
        <v>4.1</v>
      </c>
      <c r="F17" s="3" t="n">
        <v>4.2</v>
      </c>
      <c r="G17" s="3" t="n">
        <v>4.2</v>
      </c>
      <c r="H17" s="3" t="n">
        <v>4.2</v>
      </c>
      <c r="I17" s="3" t="n">
        <v>4.2</v>
      </c>
      <c r="J17" s="3" t="n">
        <v>4.2</v>
      </c>
      <c r="K17" s="3" t="n">
        <v>4.2</v>
      </c>
      <c r="L17" s="3" t="n">
        <v>4.2</v>
      </c>
    </row>
    <row r="18" customFormat="false" ht="15" hidden="false" customHeight="false" outlineLevel="0" collapsed="false">
      <c r="A18" s="0" t="s">
        <v>103</v>
      </c>
      <c r="C18" s="3" t="n">
        <v>5</v>
      </c>
      <c r="D18" s="3" t="n">
        <v>6</v>
      </c>
      <c r="E18" s="3" t="n">
        <v>6</v>
      </c>
      <c r="F18" s="3" t="n">
        <v>5.5</v>
      </c>
      <c r="G18" s="3" t="n">
        <v>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104</v>
      </c>
      <c r="C19" s="3" t="n">
        <v>40</v>
      </c>
      <c r="D19" s="3" t="n">
        <v>42</v>
      </c>
      <c r="E19" s="3" t="n">
        <v>43</v>
      </c>
      <c r="F19" s="3" t="n">
        <v>43</v>
      </c>
      <c r="G19" s="3" t="n">
        <v>43</v>
      </c>
      <c r="H19" s="3" t="n">
        <v>43</v>
      </c>
      <c r="I19" s="3" t="n">
        <v>43</v>
      </c>
      <c r="J19" s="3" t="n">
        <v>43</v>
      </c>
      <c r="K19" s="3" t="n">
        <v>43</v>
      </c>
      <c r="L19" s="3" t="n">
        <v>43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-4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25</v>
      </c>
      <c r="D27" s="3" t="n">
        <v>-3</v>
      </c>
      <c r="E27" s="3" t="n">
        <v>5</v>
      </c>
      <c r="F27" s="3" t="n">
        <v>5</v>
      </c>
      <c r="G27" s="3" t="n">
        <v>4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22.5</v>
      </c>
      <c r="D28" s="3" t="n">
        <v>19.5</v>
      </c>
      <c r="E28" s="3" t="n">
        <v>17.5</v>
      </c>
      <c r="F28" s="3" t="n">
        <v>17.5</v>
      </c>
      <c r="G28" s="3" t="n">
        <v>17.5</v>
      </c>
      <c r="H28" s="3" t="n">
        <v>17.5</v>
      </c>
      <c r="I28" s="3" t="n">
        <v>17.5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3.5</v>
      </c>
      <c r="D31" s="3" t="n">
        <v>3.7</v>
      </c>
      <c r="E31" s="3" t="n">
        <v>3.8</v>
      </c>
      <c r="F31" s="3" t="n">
        <v>3.9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103</v>
      </c>
      <c r="C32" s="3" t="n">
        <v>5</v>
      </c>
      <c r="D32" s="3" t="n">
        <v>5.5</v>
      </c>
      <c r="E32" s="3" t="n">
        <v>5.5</v>
      </c>
      <c r="F32" s="3" t="n">
        <v>5</v>
      </c>
      <c r="G32" s="3" t="n">
        <v>4.5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104</v>
      </c>
      <c r="C33" s="3" t="n">
        <v>40</v>
      </c>
      <c r="D33" s="3" t="n">
        <v>40</v>
      </c>
      <c r="E33" s="3" t="n">
        <v>40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-4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28</v>
      </c>
      <c r="D41" s="3" t="n">
        <v>3</v>
      </c>
      <c r="E41" s="3" t="n">
        <v>7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23</v>
      </c>
      <c r="D42" s="3" t="n">
        <v>22</v>
      </c>
      <c r="E42" s="3" t="n">
        <v>21</v>
      </c>
      <c r="F42" s="3" t="n">
        <v>21</v>
      </c>
      <c r="G42" s="3" t="n">
        <v>21</v>
      </c>
      <c r="H42" s="3" t="n">
        <v>21</v>
      </c>
      <c r="I42" s="3" t="n">
        <v>21</v>
      </c>
      <c r="J42" s="3" t="n">
        <v>21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3.5</v>
      </c>
      <c r="D45" s="3" t="n">
        <v>3.7</v>
      </c>
      <c r="E45" s="3" t="n">
        <v>3.8</v>
      </c>
      <c r="F45" s="3" t="n">
        <v>3.9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103</v>
      </c>
      <c r="C46" s="3" t="n">
        <v>5</v>
      </c>
      <c r="D46" s="3" t="n">
        <v>5.5</v>
      </c>
      <c r="E46" s="3" t="n">
        <v>5.5</v>
      </c>
      <c r="F46" s="3" t="n">
        <v>5</v>
      </c>
      <c r="G46" s="3" t="n">
        <v>4.5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104</v>
      </c>
      <c r="C47" s="3" t="n">
        <v>38</v>
      </c>
      <c r="D47" s="3" t="n">
        <v>38</v>
      </c>
      <c r="E47" s="3" t="n">
        <v>38</v>
      </c>
      <c r="F47" s="3" t="n">
        <v>38</v>
      </c>
      <c r="G47" s="3" t="n">
        <v>38</v>
      </c>
      <c r="H47" s="3" t="n">
        <v>38</v>
      </c>
      <c r="I47" s="3" t="n">
        <v>38</v>
      </c>
      <c r="J47" s="3" t="n">
        <v>38</v>
      </c>
      <c r="K47" s="3" t="n">
        <v>38</v>
      </c>
      <c r="L47" s="3" t="n">
        <v>38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-4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22</v>
      </c>
      <c r="D5" s="4" t="n">
        <f aca="false">Assumptions!D13</f>
        <v>-12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206683.6</v>
      </c>
      <c r="C6" s="0" t="n">
        <f aca="false">B6*(1+C5/100)</f>
        <v>252153.992</v>
      </c>
      <c r="D6" s="0" t="n">
        <f aca="false">C6*(1+D5/100)</f>
        <v>221895.51296</v>
      </c>
      <c r="E6" s="0" t="n">
        <f aca="false">D6*(1+E5/100)</f>
        <v>228552.3783488</v>
      </c>
      <c r="F6" s="0" t="n">
        <f aca="false">E6*(1+F5/100)</f>
        <v>235408.949699264</v>
      </c>
      <c r="G6" s="0" t="n">
        <f aca="false">F6*(1+G5/100)</f>
        <v>242471.218190242</v>
      </c>
      <c r="H6" s="0" t="n">
        <f aca="false">G6*(1+H5/100)</f>
        <v>248532.998644998</v>
      </c>
      <c r="I6" s="0" t="n">
        <f aca="false">H6*(1+I5/100)</f>
        <v>254746.323611123</v>
      </c>
      <c r="J6" s="0" t="n">
        <f aca="false">I6*(1+J5/100)</f>
        <v>261114.981701401</v>
      </c>
      <c r="K6" s="0" t="n">
        <f aca="false">J6*(1+K5/100)</f>
        <v>266337.281335429</v>
      </c>
      <c r="L6" s="0" t="n">
        <f aca="false">K6*(1+L5/100)</f>
        <v>271664.026962138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21</v>
      </c>
      <c r="D7" s="4" t="n">
        <f aca="false">Assumptions!D14</f>
        <v>15</v>
      </c>
      <c r="E7" s="4" t="n">
        <f aca="false">Assumptions!E14</f>
        <v>12.5</v>
      </c>
      <c r="F7" s="4" t="n">
        <f aca="false">Assumptions!F14</f>
        <v>12.5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52952.33832</v>
      </c>
      <c r="D8" s="0" t="n">
        <f aca="false">D6*D7/100</f>
        <v>33284.326944</v>
      </c>
      <c r="E8" s="0" t="n">
        <f aca="false">E6*E7/100</f>
        <v>28569.0472936</v>
      </c>
      <c r="F8" s="0" t="n">
        <f aca="false">F6*F7/100</f>
        <v>29426.118712408</v>
      </c>
      <c r="G8" s="0" t="n">
        <f aca="false">G6*G7/100</f>
        <v>30308.9022737802</v>
      </c>
      <c r="H8" s="0" t="n">
        <f aca="false">H6*H7/100</f>
        <v>31066.6248306247</v>
      </c>
      <c r="I8" s="0" t="n">
        <f aca="false">I6*I7/100</f>
        <v>31843.2904513904</v>
      </c>
      <c r="J8" s="0" t="n">
        <f aca="false">J6*J7/100</f>
        <v>32639.3727126751</v>
      </c>
      <c r="K8" s="0" t="n">
        <f aca="false">K6*K7/100</f>
        <v>33292.1601669286</v>
      </c>
      <c r="L8" s="0" t="n">
        <f aca="false">L6*L7/100</f>
        <v>33958.0033702672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52952.33832</v>
      </c>
      <c r="D11" s="0" t="n">
        <f aca="false">D8+D10+D24</f>
        <v>33284.326944</v>
      </c>
      <c r="E11" s="0" t="n">
        <f aca="false">E8+E10+E24</f>
        <v>28569.0472936</v>
      </c>
      <c r="F11" s="0" t="n">
        <f aca="false">F8+F10+F24</f>
        <v>29426.118712408</v>
      </c>
      <c r="G11" s="0" t="n">
        <f aca="false">G8+G10+G24</f>
        <v>30308.9022737802</v>
      </c>
      <c r="H11" s="0" t="n">
        <f aca="false">H8+H10+H24</f>
        <v>31066.6248306247</v>
      </c>
      <c r="I11" s="0" t="n">
        <f aca="false">I8+I10+I24</f>
        <v>31843.2904513904</v>
      </c>
      <c r="J11" s="0" t="n">
        <f aca="false">J8+J10+J24</f>
        <v>32639.3727126751</v>
      </c>
      <c r="K11" s="0" t="n">
        <f aca="false">K8+K10+K24</f>
        <v>33292.1601669286</v>
      </c>
      <c r="L11" s="0" t="n">
        <f aca="false">L8+L10+L24</f>
        <v>33958.0033702672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-8825.38972</v>
      </c>
      <c r="D12" s="4" t="n">
        <f aca="false">-D6*Assumptions!D17/100</f>
        <v>-8653.92500544</v>
      </c>
      <c r="E12" s="4" t="n">
        <f aca="false">-E6*Assumptions!E17/100</f>
        <v>-9370.6475123008</v>
      </c>
      <c r="F12" s="4" t="n">
        <f aca="false">-F6*Assumptions!F17/100</f>
        <v>-9887.17588736909</v>
      </c>
      <c r="G12" s="4" t="n">
        <f aca="false">-G6*Assumptions!G17/100</f>
        <v>-10183.7911639902</v>
      </c>
      <c r="H12" s="4" t="n">
        <f aca="false">-H6*Assumptions!H17/100</f>
        <v>-10438.3859430899</v>
      </c>
      <c r="I12" s="4" t="n">
        <f aca="false">-I6*Assumptions!I17/100</f>
        <v>-10699.3455916672</v>
      </c>
      <c r="J12" s="4" t="n">
        <f aca="false">-J6*Assumptions!J17/100</f>
        <v>-10966.8292314588</v>
      </c>
      <c r="K12" s="4" t="n">
        <f aca="false">-K6*Assumptions!K17/100</f>
        <v>-11186.165816088</v>
      </c>
      <c r="L12" s="4" t="n">
        <f aca="false">-L6*Assumptions!L17/100</f>
        <v>-11409.8891324098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44126.9486</v>
      </c>
      <c r="D13" s="0" t="n">
        <f aca="false">D11+D12</f>
        <v>24630.40193856</v>
      </c>
      <c r="E13" s="0" t="n">
        <f aca="false">E11+E12</f>
        <v>19198.3997812992</v>
      </c>
      <c r="F13" s="0" t="n">
        <f aca="false">F11+F12</f>
        <v>19538.9428250389</v>
      </c>
      <c r="G13" s="0" t="n">
        <f aca="false">G11+G12</f>
        <v>20125.1111097901</v>
      </c>
      <c r="H13" s="0" t="n">
        <f aca="false">H11+H12</f>
        <v>20628.2388875348</v>
      </c>
      <c r="I13" s="0" t="n">
        <f aca="false">I11+I12</f>
        <v>21143.9448597232</v>
      </c>
      <c r="J13" s="0" t="n">
        <f aca="false">J11+J12</f>
        <v>21672.5434812163</v>
      </c>
      <c r="K13" s="0" t="n">
        <f aca="false">K11+K12</f>
        <v>22105.9943508406</v>
      </c>
      <c r="L13" s="0" t="n">
        <f aca="false">L11+L12</f>
        <v>22548.1142378574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40</v>
      </c>
      <c r="D14" s="4" t="n">
        <f aca="false">Assumptions!D19</f>
        <v>42</v>
      </c>
      <c r="E14" s="4" t="n">
        <f aca="false">Assumptions!E19</f>
        <v>43</v>
      </c>
      <c r="F14" s="4" t="n">
        <f aca="false">Assumptions!F19</f>
        <v>43</v>
      </c>
      <c r="G14" s="4" t="n">
        <f aca="false">Assumptions!G19</f>
        <v>43</v>
      </c>
      <c r="H14" s="4" t="n">
        <f aca="false">Assumptions!H19</f>
        <v>43</v>
      </c>
      <c r="I14" s="4" t="n">
        <f aca="false">Assumptions!I19</f>
        <v>43</v>
      </c>
      <c r="J14" s="4" t="n">
        <f aca="false">Assumptions!J19</f>
        <v>43</v>
      </c>
      <c r="K14" s="4" t="n">
        <f aca="false">Assumptions!K19</f>
        <v>43</v>
      </c>
      <c r="L14" s="4" t="n">
        <f aca="false">Assumptions!L19</f>
        <v>43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26476.16916</v>
      </c>
      <c r="D15" s="0" t="n">
        <f aca="false">D13-MAX(0,D13)*D14/100</f>
        <v>14285.6331243648</v>
      </c>
      <c r="E15" s="0" t="n">
        <f aca="false">E13-MAX(0,E13)*E14/100</f>
        <v>10943.0878753405</v>
      </c>
      <c r="F15" s="0" t="n">
        <f aca="false">F13-MAX(0,F13)*F14/100</f>
        <v>11137.1974102722</v>
      </c>
      <c r="G15" s="0" t="n">
        <f aca="false">G13-MAX(0,G13)*G14/100</f>
        <v>11471.3133325803</v>
      </c>
      <c r="H15" s="0" t="n">
        <f aca="false">H13-MAX(0,H13)*H14/100</f>
        <v>11758.0961658949</v>
      </c>
      <c r="I15" s="0" t="n">
        <f aca="false">I13-MAX(0,I13)*I14/100</f>
        <v>12052.0485700422</v>
      </c>
      <c r="J15" s="0" t="n">
        <f aca="false">J13-MAX(0,J13)*J14/100</f>
        <v>12353.3497842933</v>
      </c>
      <c r="K15" s="0" t="n">
        <f aca="false">K13-MAX(0,K13)*K14/100</f>
        <v>12600.4167799791</v>
      </c>
      <c r="L15" s="0" t="n">
        <f aca="false">L13-MAX(0,L13)*L14/100</f>
        <v>12852.4251155787</v>
      </c>
    </row>
    <row r="16" customFormat="false" ht="15" hidden="false" customHeight="false" outlineLevel="0" collapsed="false">
      <c r="A16" s="0" t="s">
        <v>120</v>
      </c>
      <c r="C16" s="0" t="n">
        <f aca="false">-C12</f>
        <v>8825.38972</v>
      </c>
      <c r="D16" s="0" t="n">
        <f aca="false">-D12</f>
        <v>8653.92500544</v>
      </c>
      <c r="E16" s="0" t="n">
        <f aca="false">-E12</f>
        <v>9370.6475123008</v>
      </c>
      <c r="F16" s="0" t="n">
        <f aca="false">-F12</f>
        <v>9887.17588736909</v>
      </c>
      <c r="G16" s="0" t="n">
        <f aca="false">-G12</f>
        <v>10183.7911639902</v>
      </c>
      <c r="H16" s="0" t="n">
        <f aca="false">-H12</f>
        <v>10438.3859430899</v>
      </c>
      <c r="I16" s="0" t="n">
        <f aca="false">-I12</f>
        <v>10699.3455916672</v>
      </c>
      <c r="J16" s="0" t="n">
        <f aca="false">-J12</f>
        <v>10966.8292314588</v>
      </c>
      <c r="K16" s="0" t="n">
        <f aca="false">-K12</f>
        <v>11186.165816088</v>
      </c>
      <c r="L16" s="0" t="n">
        <f aca="false">-L12</f>
        <v>11409.8891324098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-12607.6996</v>
      </c>
      <c r="D17" s="4" t="n">
        <f aca="false">-D6*Assumptions!D18/100</f>
        <v>-13313.7307776</v>
      </c>
      <c r="E17" s="4" t="n">
        <f aca="false">-E6*Assumptions!E18/100</f>
        <v>-13713.142700928</v>
      </c>
      <c r="F17" s="4" t="n">
        <f aca="false">-F6*Assumptions!F18/100</f>
        <v>-12947.4922334595</v>
      </c>
      <c r="G17" s="4" t="n">
        <f aca="false">-G6*Assumptions!G18/100</f>
        <v>-12123.5609095121</v>
      </c>
      <c r="H17" s="4" t="n">
        <f aca="false">-H6*Assumptions!H18/100</f>
        <v>-11183.9849390249</v>
      </c>
      <c r="I17" s="4" t="n">
        <f aca="false">-I6*Assumptions!I18/100</f>
        <v>-11463.5845625005</v>
      </c>
      <c r="J17" s="4" t="n">
        <f aca="false">-J6*Assumptions!J18/100</f>
        <v>-11750.174176563</v>
      </c>
      <c r="K17" s="4" t="n">
        <f aca="false">-K6*Assumptions!K18/100</f>
        <v>-11985.1776600943</v>
      </c>
      <c r="L17" s="4" t="n">
        <f aca="false">-L6*Assumptions!L18/100</f>
        <v>-12224.8812132962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-1818.81568</v>
      </c>
      <c r="D18" s="4" t="n">
        <f aca="false">(D6-C6)*Assumptions!$B$23/100</f>
        <v>1210.3391616</v>
      </c>
      <c r="E18" s="4" t="n">
        <f aca="false">(E6-D6)*Assumptions!$B$23/100</f>
        <v>-266.274615552</v>
      </c>
      <c r="F18" s="4" t="n">
        <f aca="false">(F6-E6)*Assumptions!$B$23/100</f>
        <v>-274.262854018561</v>
      </c>
      <c r="G18" s="4" t="n">
        <f aca="false">(G6-F6)*Assumptions!$B$23/100</f>
        <v>-282.490739639117</v>
      </c>
      <c r="H18" s="4" t="n">
        <f aca="false">(H6-G6)*Assumptions!$B$23/100</f>
        <v>-242.471218190241</v>
      </c>
      <c r="I18" s="4" t="n">
        <f aca="false">(I6-H6)*Assumptions!$B$23/100</f>
        <v>-248.532998644997</v>
      </c>
      <c r="J18" s="4" t="n">
        <f aca="false">(J6-I6)*Assumptions!$B$23/100</f>
        <v>-254.746323611122</v>
      </c>
      <c r="K18" s="4" t="n">
        <f aca="false">(K6-J6)*Assumptions!$B$23/100</f>
        <v>-208.891985361122</v>
      </c>
      <c r="L18" s="4" t="n">
        <f aca="false">(L6-K6)*Assumptions!$B$23/100</f>
        <v>-213.069825068344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20875.0436</v>
      </c>
      <c r="D19" s="0" t="n">
        <f aca="false">D15+D16+D17+D18</f>
        <v>10836.1665138048</v>
      </c>
      <c r="E19" s="0" t="n">
        <f aca="false">E15+E16+E17+E18</f>
        <v>6334.31807116134</v>
      </c>
      <c r="F19" s="0" t="n">
        <f aca="false">F15+F16+F17+F18</f>
        <v>7802.61821016319</v>
      </c>
      <c r="G19" s="0" t="n">
        <f aca="false">G15+G16+G17+G18</f>
        <v>9249.05284741929</v>
      </c>
      <c r="H19" s="0" t="n">
        <f aca="false">H15+H16+H17+H18</f>
        <v>10770.0259517696</v>
      </c>
      <c r="I19" s="0" t="n">
        <f aca="false">I15+I16+I17+I18</f>
        <v>11039.2766005639</v>
      </c>
      <c r="J19" s="0" t="n">
        <f aca="false">J15+J16+J17+J18</f>
        <v>11315.258515578</v>
      </c>
      <c r="K19" s="0" t="n">
        <f aca="false">K15+K16+K17+K18</f>
        <v>11592.5129506117</v>
      </c>
      <c r="L19" s="0" t="n">
        <f aca="false">L15+L16+L17+L18</f>
        <v>11824.363209624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19151.416146789</v>
      </c>
      <c r="D21" s="0" t="n">
        <f aca="false">D19*D20</f>
        <v>9120.58455837455</v>
      </c>
      <c r="E21" s="0" t="n">
        <f aca="false">E19*E20</f>
        <v>4891.25577200305</v>
      </c>
      <c r="F21" s="0" t="n">
        <f aca="false">F19*F20</f>
        <v>5527.571452396</v>
      </c>
      <c r="G21" s="0" t="n">
        <f aca="false">G19*G20</f>
        <v>6011.24973906988</v>
      </c>
      <c r="H21" s="0" t="n">
        <f aca="false">H19*H20</f>
        <v>6421.81458468145</v>
      </c>
      <c r="I21" s="0" t="n">
        <f aca="false">I19*I20</f>
        <v>6038.86233880595</v>
      </c>
      <c r="J21" s="0" t="n">
        <f aca="false">J19*J20</f>
        <v>5678.74669474871</v>
      </c>
      <c r="K21" s="0" t="n">
        <f aca="false">K19*K20</f>
        <v>5337.51499686412</v>
      </c>
      <c r="L21" s="0" t="n">
        <f aca="false">L19*L20</f>
        <v>4994.73880440496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73173.7550881377</v>
      </c>
    </row>
    <row r="31" customFormat="false" ht="15" hidden="false" customHeight="false" outlineLevel="0" collapsed="false">
      <c r="A31" s="0" t="s">
        <v>129</v>
      </c>
      <c r="B31" s="0" t="n">
        <f aca="false">L19</f>
        <v>11824.363209624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172297.863911664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141892.358515488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141892.358515488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59936.8656528595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133110.620740997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114246.620740997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6.27509215224363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-0.517671625500106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6.27509215224363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92775.7728755112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3.42531374577251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25</v>
      </c>
      <c r="D5" s="4" t="n">
        <f aca="false">Assumptions!D27</f>
        <v>-3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206683.6</v>
      </c>
      <c r="C6" s="0" t="n">
        <f aca="false">B6*(1+C5/100)</f>
        <v>258354.5</v>
      </c>
      <c r="D6" s="0" t="n">
        <f aca="false">C6*(1+D5/100)</f>
        <v>250603.865</v>
      </c>
      <c r="E6" s="0" t="n">
        <f aca="false">D6*(1+E5/100)</f>
        <v>263134.05825</v>
      </c>
      <c r="F6" s="0" t="n">
        <f aca="false">E6*(1+F5/100)</f>
        <v>276290.7611625</v>
      </c>
      <c r="G6" s="0" t="n">
        <f aca="false">F6*(1+G5/100)</f>
        <v>287342.391609</v>
      </c>
      <c r="H6" s="0" t="n">
        <f aca="false">G6*(1+H5/100)</f>
        <v>295962.66335727</v>
      </c>
      <c r="I6" s="0" t="n">
        <f aca="false">H6*(1+I5/100)</f>
        <v>304841.543257988</v>
      </c>
      <c r="J6" s="0" t="n">
        <f aca="false">I6*(1+J5/100)</f>
        <v>312462.581839438</v>
      </c>
      <c r="K6" s="0" t="n">
        <f aca="false">J6*(1+K5/100)</f>
        <v>320274.146385424</v>
      </c>
      <c r="L6" s="0" t="n">
        <f aca="false">K6*(1+L5/100)</f>
        <v>328281.000045059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22.5</v>
      </c>
      <c r="D7" s="4" t="n">
        <f aca="false">Assumptions!D28</f>
        <v>19.5</v>
      </c>
      <c r="E7" s="4" t="n">
        <f aca="false">Assumptions!E28</f>
        <v>17.5</v>
      </c>
      <c r="F7" s="4" t="n">
        <f aca="false">Assumptions!F28</f>
        <v>17.5</v>
      </c>
      <c r="G7" s="4" t="n">
        <f aca="false">Assumptions!G28</f>
        <v>17.5</v>
      </c>
      <c r="H7" s="4" t="n">
        <f aca="false">Assumptions!H28</f>
        <v>17.5</v>
      </c>
      <c r="I7" s="4" t="n">
        <f aca="false">Assumptions!I28</f>
        <v>17.5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58129.7625</v>
      </c>
      <c r="D8" s="0" t="n">
        <f aca="false">D6*D7/100</f>
        <v>48867.753675</v>
      </c>
      <c r="E8" s="0" t="n">
        <f aca="false">E6*E7/100</f>
        <v>46048.46019375</v>
      </c>
      <c r="F8" s="0" t="n">
        <f aca="false">F6*F7/100</f>
        <v>48350.8832034375</v>
      </c>
      <c r="G8" s="0" t="n">
        <f aca="false">G6*G7/100</f>
        <v>50284.918531575</v>
      </c>
      <c r="H8" s="0" t="n">
        <f aca="false">H6*H7/100</f>
        <v>51793.4660875223</v>
      </c>
      <c r="I8" s="0" t="n">
        <f aca="false">I6*I7/100</f>
        <v>53347.2700701479</v>
      </c>
      <c r="J8" s="0" t="n">
        <f aca="false">J6*J7/100</f>
        <v>54680.9518219016</v>
      </c>
      <c r="K8" s="0" t="n">
        <f aca="false">K6*K7/100</f>
        <v>56047.9756174492</v>
      </c>
      <c r="L8" s="0" t="n">
        <f aca="false">L6*L7/100</f>
        <v>57449.1750078854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58129.7625</v>
      </c>
      <c r="D11" s="0" t="n">
        <f aca="false">D8+D10+D24</f>
        <v>48867.753675</v>
      </c>
      <c r="E11" s="0" t="n">
        <f aca="false">E8+E10+E24</f>
        <v>46048.46019375</v>
      </c>
      <c r="F11" s="0" t="n">
        <f aca="false">F8+F10+F24</f>
        <v>48350.8832034375</v>
      </c>
      <c r="G11" s="0" t="n">
        <f aca="false">G8+G10+G24</f>
        <v>50284.918531575</v>
      </c>
      <c r="H11" s="0" t="n">
        <f aca="false">H8+H10+H24</f>
        <v>51793.4660875223</v>
      </c>
      <c r="I11" s="0" t="n">
        <f aca="false">I8+I10+I24</f>
        <v>53347.2700701479</v>
      </c>
      <c r="J11" s="0" t="n">
        <f aca="false">J8+J10+J24</f>
        <v>54680.9518219016</v>
      </c>
      <c r="K11" s="0" t="n">
        <f aca="false">K8+K10+K24</f>
        <v>56047.9756174492</v>
      </c>
      <c r="L11" s="0" t="n">
        <f aca="false">L8+L10+L24</f>
        <v>57449.1750078854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-9042.4075</v>
      </c>
      <c r="D12" s="4" t="n">
        <f aca="false">-D6*Assumptions!D31/100</f>
        <v>-9272.343005</v>
      </c>
      <c r="E12" s="4" t="n">
        <f aca="false">-E6*Assumptions!E31/100</f>
        <v>-9999.0942135</v>
      </c>
      <c r="F12" s="4" t="n">
        <f aca="false">-F6*Assumptions!F31/100</f>
        <v>-10775.3396853375</v>
      </c>
      <c r="G12" s="4" t="n">
        <f aca="false">-G6*Assumptions!G31/100</f>
        <v>-11493.69566436</v>
      </c>
      <c r="H12" s="4" t="n">
        <f aca="false">-H6*Assumptions!H31/100</f>
        <v>-11838.5065342908</v>
      </c>
      <c r="I12" s="4" t="n">
        <f aca="false">-I6*Assumptions!I31/100</f>
        <v>-12193.6617303195</v>
      </c>
      <c r="J12" s="4" t="n">
        <f aca="false">-J6*Assumptions!J31/100</f>
        <v>-12498.5032735775</v>
      </c>
      <c r="K12" s="4" t="n">
        <f aca="false">-K6*Assumptions!K31/100</f>
        <v>-12810.965855417</v>
      </c>
      <c r="L12" s="4" t="n">
        <f aca="false">-L6*Assumptions!L31/100</f>
        <v>-13131.2400018024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49087.355</v>
      </c>
      <c r="D13" s="0" t="n">
        <f aca="false">D11+D12</f>
        <v>39595.41067</v>
      </c>
      <c r="E13" s="0" t="n">
        <f aca="false">E11+E12</f>
        <v>36049.36598025</v>
      </c>
      <c r="F13" s="0" t="n">
        <f aca="false">F11+F12</f>
        <v>37575.5435181</v>
      </c>
      <c r="G13" s="0" t="n">
        <f aca="false">G11+G12</f>
        <v>38791.222867215</v>
      </c>
      <c r="H13" s="0" t="n">
        <f aca="false">H11+H12</f>
        <v>39954.9595532315</v>
      </c>
      <c r="I13" s="0" t="n">
        <f aca="false">I11+I12</f>
        <v>41153.6083398284</v>
      </c>
      <c r="J13" s="0" t="n">
        <f aca="false">J11+J12</f>
        <v>42182.4485483241</v>
      </c>
      <c r="K13" s="0" t="n">
        <f aca="false">K11+K12</f>
        <v>43237.0097620322</v>
      </c>
      <c r="L13" s="0" t="n">
        <f aca="false">L11+L12</f>
        <v>44317.935006083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40</v>
      </c>
      <c r="D14" s="4" t="n">
        <f aca="false">Assumptions!D33</f>
        <v>40</v>
      </c>
      <c r="E14" s="4" t="n">
        <f aca="false">Assumptions!E33</f>
        <v>40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29452.413</v>
      </c>
      <c r="D15" s="0" t="n">
        <f aca="false">D13-MAX(0,D13)*D14/100</f>
        <v>23757.246402</v>
      </c>
      <c r="E15" s="0" t="n">
        <f aca="false">E13-MAX(0,E13)*E14/100</f>
        <v>21629.61958815</v>
      </c>
      <c r="F15" s="0" t="n">
        <f aca="false">F13-MAX(0,F13)*F14/100</f>
        <v>22545.32611086</v>
      </c>
      <c r="G15" s="0" t="n">
        <f aca="false">G13-MAX(0,G13)*G14/100</f>
        <v>23274.733720329</v>
      </c>
      <c r="H15" s="0" t="n">
        <f aca="false">H13-MAX(0,H13)*H14/100</f>
        <v>23972.9757319389</v>
      </c>
      <c r="I15" s="0" t="n">
        <f aca="false">I13-MAX(0,I13)*I14/100</f>
        <v>24692.165003897</v>
      </c>
      <c r="J15" s="0" t="n">
        <f aca="false">J13-MAX(0,J13)*J14/100</f>
        <v>25309.4691289945</v>
      </c>
      <c r="K15" s="0" t="n">
        <f aca="false">K13-MAX(0,K13)*K14/100</f>
        <v>25942.2058572193</v>
      </c>
      <c r="L15" s="0" t="n">
        <f aca="false">L13-MAX(0,L13)*L14/100</f>
        <v>26590.7610036498</v>
      </c>
    </row>
    <row r="16" customFormat="false" ht="15" hidden="false" customHeight="false" outlineLevel="0" collapsed="false">
      <c r="A16" s="0" t="s">
        <v>120</v>
      </c>
      <c r="C16" s="0" t="n">
        <f aca="false">-C12</f>
        <v>9042.4075</v>
      </c>
      <c r="D16" s="0" t="n">
        <f aca="false">-D12</f>
        <v>9272.343005</v>
      </c>
      <c r="E16" s="0" t="n">
        <f aca="false">-E12</f>
        <v>9999.0942135</v>
      </c>
      <c r="F16" s="0" t="n">
        <f aca="false">-F12</f>
        <v>10775.3396853375</v>
      </c>
      <c r="G16" s="0" t="n">
        <f aca="false">-G12</f>
        <v>11493.69566436</v>
      </c>
      <c r="H16" s="0" t="n">
        <f aca="false">-H12</f>
        <v>11838.5065342908</v>
      </c>
      <c r="I16" s="0" t="n">
        <f aca="false">-I12</f>
        <v>12193.6617303195</v>
      </c>
      <c r="J16" s="0" t="n">
        <f aca="false">-J12</f>
        <v>12498.5032735775</v>
      </c>
      <c r="K16" s="0" t="n">
        <f aca="false">-K12</f>
        <v>12810.965855417</v>
      </c>
      <c r="L16" s="0" t="n">
        <f aca="false">-L12</f>
        <v>13131.2400018024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-12917.725</v>
      </c>
      <c r="D17" s="4" t="n">
        <f aca="false">-D6*Assumptions!D32/100</f>
        <v>-13783.212575</v>
      </c>
      <c r="E17" s="4" t="n">
        <f aca="false">-E6*Assumptions!E32/100</f>
        <v>-14472.37320375</v>
      </c>
      <c r="F17" s="4" t="n">
        <f aca="false">-F6*Assumptions!F32/100</f>
        <v>-13814.538058125</v>
      </c>
      <c r="G17" s="4" t="n">
        <f aca="false">-G6*Assumptions!G32/100</f>
        <v>-12930.407622405</v>
      </c>
      <c r="H17" s="4" t="n">
        <f aca="false">-H6*Assumptions!H32/100</f>
        <v>-11838.5065342908</v>
      </c>
      <c r="I17" s="4" t="n">
        <f aca="false">-I6*Assumptions!I32/100</f>
        <v>-12193.6617303195</v>
      </c>
      <c r="J17" s="4" t="n">
        <f aca="false">-J6*Assumptions!J32/100</f>
        <v>-12498.5032735775</v>
      </c>
      <c r="K17" s="4" t="n">
        <f aca="false">-K6*Assumptions!K32/100</f>
        <v>-12810.965855417</v>
      </c>
      <c r="L17" s="4" t="n">
        <f aca="false">-L6*Assumptions!L32/100</f>
        <v>-13131.2400018024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-2066.836</v>
      </c>
      <c r="D18" s="4" t="n">
        <f aca="false">(D6-C6)*Assumptions!$B$37/100</f>
        <v>310.0254</v>
      </c>
      <c r="E18" s="4" t="n">
        <f aca="false">(E6-D6)*Assumptions!$B$37/100</f>
        <v>-501.20773</v>
      </c>
      <c r="F18" s="4" t="n">
        <f aca="false">(F6-E6)*Assumptions!$B$37/100</f>
        <v>-526.268116500001</v>
      </c>
      <c r="G18" s="4" t="n">
        <f aca="false">(G6-F6)*Assumptions!$B$37/100</f>
        <v>-442.065217860001</v>
      </c>
      <c r="H18" s="4" t="n">
        <f aca="false">(H6-G6)*Assumptions!$B$37/100</f>
        <v>-344.810869930801</v>
      </c>
      <c r="I18" s="4" t="n">
        <f aca="false">(I6-H6)*Assumptions!$B$37/100</f>
        <v>-355.155196028724</v>
      </c>
      <c r="J18" s="4" t="n">
        <f aca="false">(J6-I6)*Assumptions!$B$37/100</f>
        <v>-304.841543257986</v>
      </c>
      <c r="K18" s="4" t="n">
        <f aca="false">(K6-J6)*Assumptions!$B$37/100</f>
        <v>-312.462581839436</v>
      </c>
      <c r="L18" s="4" t="n">
        <f aca="false">(L6-K6)*Assumptions!$B$37/100</f>
        <v>-320.274146385423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23510.2595</v>
      </c>
      <c r="D19" s="0" t="n">
        <f aca="false">D15+D16+D17+D18</f>
        <v>19556.402232</v>
      </c>
      <c r="E19" s="0" t="n">
        <f aca="false">E15+E16+E17+E18</f>
        <v>16655.1328679</v>
      </c>
      <c r="F19" s="0" t="n">
        <f aca="false">F15+F16+F17+F18</f>
        <v>18979.8596215725</v>
      </c>
      <c r="G19" s="0" t="n">
        <f aca="false">G15+G16+G17+G18</f>
        <v>21395.956544424</v>
      </c>
      <c r="H19" s="0" t="n">
        <f aca="false">H15+H16+H17+H18</f>
        <v>23628.1648620081</v>
      </c>
      <c r="I19" s="0" t="n">
        <f aca="false">I15+I16+I17+I18</f>
        <v>24337.0098078683</v>
      </c>
      <c r="J19" s="0" t="n">
        <f aca="false">J15+J16+J17+J18</f>
        <v>25004.6275857365</v>
      </c>
      <c r="K19" s="0" t="n">
        <f aca="false">K15+K16+K17+K18</f>
        <v>25629.7432753799</v>
      </c>
      <c r="L19" s="0" t="n">
        <f aca="false">L15+L16+L17+L18</f>
        <v>26270.4868572644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21569.045412844</v>
      </c>
      <c r="D21" s="0" t="n">
        <f aca="false">D19*D20</f>
        <v>16460.2324989479</v>
      </c>
      <c r="E21" s="0" t="n">
        <f aca="false">E19*E20</f>
        <v>12860.8184588144</v>
      </c>
      <c r="F21" s="0" t="n">
        <f aca="false">F19*F20</f>
        <v>13445.8110584003</v>
      </c>
      <c r="G21" s="0" t="n">
        <f aca="false">G19*G20</f>
        <v>13905.9036980966</v>
      </c>
      <c r="H21" s="0" t="n">
        <f aca="false">H19*H20</f>
        <v>14088.702701331</v>
      </c>
      <c r="I21" s="0" t="n">
        <f aca="false">I19*I20</f>
        <v>13313.1777819917</v>
      </c>
      <c r="J21" s="0" t="n">
        <f aca="false">J19*J20</f>
        <v>12548.9794210566</v>
      </c>
      <c r="K21" s="0" t="n">
        <f aca="false">K19*K20</f>
        <v>11800.645785856</v>
      </c>
      <c r="L21" s="0" t="n">
        <f aca="false">L19*L20</f>
        <v>11096.9375509196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141090.254368258</v>
      </c>
    </row>
    <row r="31" customFormat="false" ht="15" hidden="false" customHeight="false" outlineLevel="0" collapsed="false">
      <c r="A31" s="0" t="s">
        <v>129</v>
      </c>
      <c r="B31" s="0" t="n">
        <f aca="false">L19</f>
        <v>26270.4868572644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414265.369672246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315245.842287173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315245.842287173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133163.250611036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274253.504979294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255389.504979294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14.027484297274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0.0782078629726328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14.027484297274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215417.992229568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7.87489184628979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28</v>
      </c>
      <c r="D5" s="4" t="n">
        <f aca="false">Assumptions!D41</f>
        <v>3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206683.6</v>
      </c>
      <c r="C6" s="0" t="n">
        <f aca="false">B6*(1+C5/100)</f>
        <v>264555.008</v>
      </c>
      <c r="D6" s="0" t="n">
        <f aca="false">C6*(1+D5/100)</f>
        <v>272491.65824</v>
      </c>
      <c r="E6" s="0" t="n">
        <f aca="false">D6*(1+E5/100)</f>
        <v>291566.0743168</v>
      </c>
      <c r="F6" s="0" t="n">
        <f aca="false">E6*(1+F5/100)</f>
        <v>311975.699518976</v>
      </c>
      <c r="G6" s="0" t="n">
        <f aca="false">F6*(1+G5/100)</f>
        <v>330694.241490115</v>
      </c>
      <c r="H6" s="0" t="n">
        <f aca="false">G6*(1+H5/100)</f>
        <v>347228.95356462</v>
      </c>
      <c r="I6" s="0" t="n">
        <f aca="false">H6*(1+I5/100)</f>
        <v>361118.111707205</v>
      </c>
      <c r="J6" s="0" t="n">
        <f aca="false">I6*(1+J5/100)</f>
        <v>371951.655058421</v>
      </c>
      <c r="K6" s="0" t="n">
        <f aca="false">J6*(1+K5/100)</f>
        <v>383110.204710174</v>
      </c>
      <c r="L6" s="0" t="n">
        <f aca="false">K6*(1+L5/100)</f>
        <v>392687.959827928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23</v>
      </c>
      <c r="D7" s="4" t="n">
        <f aca="false">Assumptions!D42</f>
        <v>22</v>
      </c>
      <c r="E7" s="4" t="n">
        <f aca="false">Assumptions!E42</f>
        <v>21</v>
      </c>
      <c r="F7" s="4" t="n">
        <f aca="false">Assumptions!F42</f>
        <v>21</v>
      </c>
      <c r="G7" s="4" t="n">
        <f aca="false">Assumptions!G42</f>
        <v>21</v>
      </c>
      <c r="H7" s="4" t="n">
        <f aca="false">Assumptions!H42</f>
        <v>21</v>
      </c>
      <c r="I7" s="4" t="n">
        <f aca="false">Assumptions!I42</f>
        <v>21</v>
      </c>
      <c r="J7" s="4" t="n">
        <f aca="false">Assumptions!J42</f>
        <v>21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60847.65184</v>
      </c>
      <c r="D8" s="0" t="n">
        <f aca="false">D6*D7/100</f>
        <v>59948.1648128</v>
      </c>
      <c r="E8" s="0" t="n">
        <f aca="false">E6*E7/100</f>
        <v>61228.875606528</v>
      </c>
      <c r="F8" s="0" t="n">
        <f aca="false">F6*F7/100</f>
        <v>65514.896898985</v>
      </c>
      <c r="G8" s="0" t="n">
        <f aca="false">G6*G7/100</f>
        <v>69445.7907129241</v>
      </c>
      <c r="H8" s="0" t="n">
        <f aca="false">H6*H7/100</f>
        <v>72918.0802485703</v>
      </c>
      <c r="I8" s="0" t="n">
        <f aca="false">I6*I7/100</f>
        <v>75834.8034585131</v>
      </c>
      <c r="J8" s="0" t="n">
        <f aca="false">J6*J7/100</f>
        <v>78109.8475622685</v>
      </c>
      <c r="K8" s="0" t="n">
        <f aca="false">K6*K7/100</f>
        <v>80453.1429891366</v>
      </c>
      <c r="L8" s="0" t="n">
        <f aca="false">L6*L7/100</f>
        <v>82464.471563865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60847.65184</v>
      </c>
      <c r="D11" s="0" t="n">
        <f aca="false">D8+D10+D24</f>
        <v>59948.1648128</v>
      </c>
      <c r="E11" s="0" t="n">
        <f aca="false">E8+E10+E24</f>
        <v>61228.875606528</v>
      </c>
      <c r="F11" s="0" t="n">
        <f aca="false">F8+F10+F24</f>
        <v>65514.896898985</v>
      </c>
      <c r="G11" s="0" t="n">
        <f aca="false">G8+G10+G24</f>
        <v>69445.7907129241</v>
      </c>
      <c r="H11" s="0" t="n">
        <f aca="false">H8+H10+H24</f>
        <v>72918.0802485703</v>
      </c>
      <c r="I11" s="0" t="n">
        <f aca="false">I8+I10+I24</f>
        <v>75834.8034585131</v>
      </c>
      <c r="J11" s="0" t="n">
        <f aca="false">J8+J10+J24</f>
        <v>78109.8475622685</v>
      </c>
      <c r="K11" s="0" t="n">
        <f aca="false">K8+K10+K24</f>
        <v>80453.1429891366</v>
      </c>
      <c r="L11" s="0" t="n">
        <f aca="false">L8+L10+L24</f>
        <v>82464.471563865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-9259.42528</v>
      </c>
      <c r="D12" s="4" t="n">
        <f aca="false">-D6*Assumptions!D45/100</f>
        <v>-10082.19135488</v>
      </c>
      <c r="E12" s="4" t="n">
        <f aca="false">-E6*Assumptions!E45/100</f>
        <v>-11079.5108240384</v>
      </c>
      <c r="F12" s="4" t="n">
        <f aca="false">-F6*Assumptions!F45/100</f>
        <v>-12167.0522812401</v>
      </c>
      <c r="G12" s="4" t="n">
        <f aca="false">-G6*Assumptions!G45/100</f>
        <v>-13227.7696596046</v>
      </c>
      <c r="H12" s="4" t="n">
        <f aca="false">-H6*Assumptions!H45/100</f>
        <v>-13889.1581425848</v>
      </c>
      <c r="I12" s="4" t="n">
        <f aca="false">-I6*Assumptions!I45/100</f>
        <v>-14444.7244682882</v>
      </c>
      <c r="J12" s="4" t="n">
        <f aca="false">-J6*Assumptions!J45/100</f>
        <v>-14878.0662023369</v>
      </c>
      <c r="K12" s="4" t="n">
        <f aca="false">-K6*Assumptions!K45/100</f>
        <v>-15324.408188407</v>
      </c>
      <c r="L12" s="4" t="n">
        <f aca="false">-L6*Assumptions!L45/100</f>
        <v>-15707.5183931171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51588.22656</v>
      </c>
      <c r="D13" s="0" t="n">
        <f aca="false">D11+D12</f>
        <v>49865.97345792</v>
      </c>
      <c r="E13" s="0" t="n">
        <f aca="false">E11+E12</f>
        <v>50149.3647824896</v>
      </c>
      <c r="F13" s="0" t="n">
        <f aca="false">F11+F12</f>
        <v>53347.8446177449</v>
      </c>
      <c r="G13" s="0" t="n">
        <f aca="false">G11+G12</f>
        <v>56218.0210533195</v>
      </c>
      <c r="H13" s="0" t="n">
        <f aca="false">H11+H12</f>
        <v>59028.9221059855</v>
      </c>
      <c r="I13" s="0" t="n">
        <f aca="false">I11+I12</f>
        <v>61390.0789902249</v>
      </c>
      <c r="J13" s="0" t="n">
        <f aca="false">J11+J12</f>
        <v>63231.7813599316</v>
      </c>
      <c r="K13" s="0" t="n">
        <f aca="false">K11+K12</f>
        <v>65128.7348007296</v>
      </c>
      <c r="L13" s="0" t="n">
        <f aca="false">L11+L12</f>
        <v>66756.9531707478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38</v>
      </c>
      <c r="D14" s="4" t="n">
        <f aca="false">Assumptions!D47</f>
        <v>38</v>
      </c>
      <c r="E14" s="4" t="n">
        <f aca="false">Assumptions!E47</f>
        <v>38</v>
      </c>
      <c r="F14" s="4" t="n">
        <f aca="false">Assumptions!F47</f>
        <v>38</v>
      </c>
      <c r="G14" s="4" t="n">
        <f aca="false">Assumptions!G47</f>
        <v>38</v>
      </c>
      <c r="H14" s="4" t="n">
        <f aca="false">Assumptions!H47</f>
        <v>38</v>
      </c>
      <c r="I14" s="4" t="n">
        <f aca="false">Assumptions!I47</f>
        <v>38</v>
      </c>
      <c r="J14" s="4" t="n">
        <f aca="false">Assumptions!J47</f>
        <v>38</v>
      </c>
      <c r="K14" s="4" t="n">
        <f aca="false">Assumptions!K47</f>
        <v>38</v>
      </c>
      <c r="L14" s="4" t="n">
        <f aca="false">Assumptions!L47</f>
        <v>38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31984.7004672</v>
      </c>
      <c r="D15" s="0" t="n">
        <f aca="false">D13-MAX(0,D13)*D14/100</f>
        <v>30916.9035439104</v>
      </c>
      <c r="E15" s="0" t="n">
        <f aca="false">E13-MAX(0,E13)*E14/100</f>
        <v>31092.6061651436</v>
      </c>
      <c r="F15" s="0" t="n">
        <f aca="false">F13-MAX(0,F13)*F14/100</f>
        <v>33075.6636630019</v>
      </c>
      <c r="G15" s="0" t="n">
        <f aca="false">G13-MAX(0,G13)*G14/100</f>
        <v>34855.1730530581</v>
      </c>
      <c r="H15" s="0" t="n">
        <f aca="false">H13-MAX(0,H13)*H14/100</f>
        <v>36597.931705711</v>
      </c>
      <c r="I15" s="0" t="n">
        <f aca="false">I13-MAX(0,I13)*I14/100</f>
        <v>38061.8489739394</v>
      </c>
      <c r="J15" s="0" t="n">
        <f aca="false">J13-MAX(0,J13)*J14/100</f>
        <v>39203.7044431576</v>
      </c>
      <c r="K15" s="0" t="n">
        <f aca="false">K13-MAX(0,K13)*K14/100</f>
        <v>40379.8155764524</v>
      </c>
      <c r="L15" s="0" t="n">
        <f aca="false">L13-MAX(0,L13)*L14/100</f>
        <v>41389.3109658637</v>
      </c>
    </row>
    <row r="16" customFormat="false" ht="15" hidden="false" customHeight="false" outlineLevel="0" collapsed="false">
      <c r="A16" s="0" t="s">
        <v>120</v>
      </c>
      <c r="C16" s="0" t="n">
        <f aca="false">-C12</f>
        <v>9259.42528</v>
      </c>
      <c r="D16" s="0" t="n">
        <f aca="false">-D12</f>
        <v>10082.19135488</v>
      </c>
      <c r="E16" s="0" t="n">
        <f aca="false">-E12</f>
        <v>11079.5108240384</v>
      </c>
      <c r="F16" s="0" t="n">
        <f aca="false">-F12</f>
        <v>12167.0522812401</v>
      </c>
      <c r="G16" s="0" t="n">
        <f aca="false">-G12</f>
        <v>13227.7696596046</v>
      </c>
      <c r="H16" s="0" t="n">
        <f aca="false">-H12</f>
        <v>13889.1581425848</v>
      </c>
      <c r="I16" s="0" t="n">
        <f aca="false">-I12</f>
        <v>14444.7244682882</v>
      </c>
      <c r="J16" s="0" t="n">
        <f aca="false">-J12</f>
        <v>14878.0662023369</v>
      </c>
      <c r="K16" s="0" t="n">
        <f aca="false">-K12</f>
        <v>15324.408188407</v>
      </c>
      <c r="L16" s="0" t="n">
        <f aca="false">-L12</f>
        <v>15707.5183931171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-13227.7504</v>
      </c>
      <c r="D17" s="4" t="n">
        <f aca="false">-D6*Assumptions!D46/100</f>
        <v>-14987.0412032</v>
      </c>
      <c r="E17" s="4" t="n">
        <f aca="false">-E6*Assumptions!E46/100</f>
        <v>-16036.134087424</v>
      </c>
      <c r="F17" s="4" t="n">
        <f aca="false">-F6*Assumptions!F46/100</f>
        <v>-15598.7849759488</v>
      </c>
      <c r="G17" s="4" t="n">
        <f aca="false">-G6*Assumptions!G46/100</f>
        <v>-14881.2408670552</v>
      </c>
      <c r="H17" s="4" t="n">
        <f aca="false">-H6*Assumptions!H46/100</f>
        <v>-13889.1581425848</v>
      </c>
      <c r="I17" s="4" t="n">
        <f aca="false">-I6*Assumptions!I46/100</f>
        <v>-14444.7244682882</v>
      </c>
      <c r="J17" s="4" t="n">
        <f aca="false">-J6*Assumptions!J46/100</f>
        <v>-14878.0662023369</v>
      </c>
      <c r="K17" s="4" t="n">
        <f aca="false">-K6*Assumptions!K46/100</f>
        <v>-15324.408188407</v>
      </c>
      <c r="L17" s="4" t="n">
        <f aca="false">-L6*Assumptions!L46/100</f>
        <v>-15707.5183931171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-2314.85632</v>
      </c>
      <c r="D18" s="4" t="n">
        <f aca="false">(D6-C6)*Assumptions!$B$51/100</f>
        <v>-317.4660096</v>
      </c>
      <c r="E18" s="4" t="n">
        <f aca="false">(E6-D6)*Assumptions!$B$51/100</f>
        <v>-762.976643072001</v>
      </c>
      <c r="F18" s="4" t="n">
        <f aca="false">(F6-E6)*Assumptions!$B$51/100</f>
        <v>-816.385008087042</v>
      </c>
      <c r="G18" s="4" t="n">
        <f aca="false">(G6-F6)*Assumptions!$B$51/100</f>
        <v>-748.741678845543</v>
      </c>
      <c r="H18" s="4" t="n">
        <f aca="false">(H6-G6)*Assumptions!$B$51/100</f>
        <v>-661.38848298023</v>
      </c>
      <c r="I18" s="4" t="n">
        <f aca="false">(I6-H6)*Assumptions!$B$51/100</f>
        <v>-555.566325703394</v>
      </c>
      <c r="J18" s="4" t="n">
        <f aca="false">(J6-I6)*Assumptions!$B$51/100</f>
        <v>-433.341734048647</v>
      </c>
      <c r="K18" s="4" t="n">
        <f aca="false">(K6-J6)*Assumptions!$B$51/100</f>
        <v>-446.341986070105</v>
      </c>
      <c r="L18" s="4" t="n">
        <f aca="false">(L6-K6)*Assumptions!$B$51/100</f>
        <v>-383.110204710173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25701.5190272</v>
      </c>
      <c r="D19" s="0" t="n">
        <f aca="false">D15+D16+D17+D18</f>
        <v>25694.5876859904</v>
      </c>
      <c r="E19" s="0" t="n">
        <f aca="false">E15+E16+E17+E18</f>
        <v>25373.006258686</v>
      </c>
      <c r="F19" s="0" t="n">
        <f aca="false">F15+F16+F17+F18</f>
        <v>28827.5459602061</v>
      </c>
      <c r="G19" s="0" t="n">
        <f aca="false">G15+G16+G17+G18</f>
        <v>32452.960166762</v>
      </c>
      <c r="H19" s="0" t="n">
        <f aca="false">H15+H16+H17+H18</f>
        <v>35936.5432227308</v>
      </c>
      <c r="I19" s="0" t="n">
        <f aca="false">I15+I16+I17+I18</f>
        <v>37506.2826482361</v>
      </c>
      <c r="J19" s="0" t="n">
        <f aca="false">J15+J16+J17+J18</f>
        <v>38770.362709109</v>
      </c>
      <c r="K19" s="0" t="n">
        <f aca="false">K15+K16+K17+K18</f>
        <v>39933.4735903823</v>
      </c>
      <c r="L19" s="0" t="n">
        <f aca="false">L15+L16+L17+L18</f>
        <v>41006.2007611535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23579.3752543119</v>
      </c>
      <c r="D21" s="0" t="n">
        <f aca="false">D19*D20</f>
        <v>21626.6203905314</v>
      </c>
      <c r="E21" s="0" t="n">
        <f aca="false">E19*E20</f>
        <v>19592.6162724433</v>
      </c>
      <c r="F21" s="0" t="n">
        <f aca="false">F19*F20</f>
        <v>20422.1603313506</v>
      </c>
      <c r="G21" s="0" t="n">
        <f aca="false">G19*G20</f>
        <v>21092.1973906686</v>
      </c>
      <c r="H21" s="0" t="n">
        <f aca="false">H19*H20</f>
        <v>21427.7865646971</v>
      </c>
      <c r="I21" s="0" t="n">
        <f aca="false">I19*I20</f>
        <v>20517.2210053578</v>
      </c>
      <c r="J21" s="0" t="n">
        <f aca="false">J19*J20</f>
        <v>19457.5376943843</v>
      </c>
      <c r="K21" s="0" t="n">
        <f aca="false">K19*K20</f>
        <v>18386.4805735925</v>
      </c>
      <c r="L21" s="0" t="n">
        <f aca="false">L19*L20</f>
        <v>17321.4623512455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203423.457828583</v>
      </c>
    </row>
    <row r="31" customFormat="false" ht="15" hidden="false" customHeight="false" outlineLevel="0" collapsed="false">
      <c r="A31" s="0" t="s">
        <v>129</v>
      </c>
      <c r="B31" s="0" t="n">
        <f aca="false">L19</f>
        <v>41006.2007611535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646636.242772036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492074.409133842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492074.409133842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207857.548214945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411281.006043529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392417.006043529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21.5538355450634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0.656712955039464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21.5538355450634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336250.846241459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12.035814032501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6.27509215224363</v>
      </c>
      <c r="C4" s="0" t="n">
        <f aca="false">B4/Assumptions!$B$2-1</f>
        <v>-0.517671625500106</v>
      </c>
      <c r="D4" s="4" t="n">
        <f aca="false">Assumptions!$B$24</f>
        <v>0.3</v>
      </c>
      <c r="E4" s="4" t="n">
        <f aca="false">DCF_Bear!$B$43</f>
        <v>6.27509215224363</v>
      </c>
      <c r="F4" s="4" t="n">
        <f aca="false">DCF_Bear!$B$47</f>
        <v>3.42531374577251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14.027484297274</v>
      </c>
      <c r="C5" s="0" t="n">
        <f aca="false">B5/Assumptions!$B$2-1</f>
        <v>0.0782078629726328</v>
      </c>
      <c r="D5" s="4" t="n">
        <f aca="false">Assumptions!$B$38</f>
        <v>0.5</v>
      </c>
      <c r="E5" s="4" t="n">
        <f aca="false">DCF_Base!$B$43</f>
        <v>14.027484297274</v>
      </c>
      <c r="F5" s="4" t="n">
        <f aca="false">DCF_Base!$B$47</f>
        <v>7.87489184628979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21.5538355450634</v>
      </c>
      <c r="C6" s="0" t="n">
        <f aca="false">B6/Assumptions!$B$2-1</f>
        <v>0.656712955039464</v>
      </c>
      <c r="D6" s="4" t="n">
        <f aca="false">Assumptions!$B$52</f>
        <v>0.2</v>
      </c>
      <c r="E6" s="4" t="n">
        <f aca="false">DCF_Bull!$B$43</f>
        <v>21.5538355450634</v>
      </c>
      <c r="F6" s="4" t="n">
        <f aca="false">DCF_Bull!$B$47</f>
        <v>12.035814032501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13.2070369033227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13.2070369033227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0.0149190847852615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7.37220285337684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14.027484297274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13.0428632621471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12.1423427006947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10.7553547541532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7.87489184628979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16.2868002573904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16.2868002573904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16.2868002573904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16.2868002573904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16.2868002573904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15.1053692822938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15.1053692822938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15.1053692822938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15.1053692822938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15.1053692822938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14.027484297274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14.027484297274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14.027484297274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14.027484297274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14.027484297274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13.0101390579968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13.0428632621471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13.0428632621471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13.0428632621471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13.0428632621471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11.4736886403584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11.803557976791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12.1423427006947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12.1423427006947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12.1423427006947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2026-10-23T09:58:10Z</dcterms:created>
  <dc:creator>openpyxl</dc:creator>
  <dc:description/>
  <dc:language>en-NZ</dc:language>
  <cp:lastModifiedBy/>
  <dcterms:modified xsi:type="dcterms:W3CDTF">2026-10-23T09:58:10Z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