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Historical Growth" sheetId="3" r:id="rId3"/>
    <sheet name="Model Notes" sheetId="4" r:id="rId4"/>
  </sheets>
  <calcPr calcId="124519" fullCalcOnLoad="1"/>
</workbook>
</file>

<file path=xl/sharedStrings.xml><?xml version="1.0" encoding="utf-8"?>
<sst xmlns="http://schemas.openxmlformats.org/spreadsheetml/2006/main" count="220" uniqueCount="196">
  <si>
    <t>Constellation Software Inc. (CSU.TO) – DCF Valuation</t>
  </si>
  <si>
    <t>Gray = editable inputs  |  Yellow = CAD price/FX  |  Green = results  |  All financials USD millions</t>
  </si>
  <si>
    <t>NOTE: CSU reports in USD; stock trades in CAD on TSX. Per-share IV shown in USD and CAD.</t>
  </si>
  <si>
    <t>A. KEY INPUTS</t>
  </si>
  <si>
    <t>Current Price (CAD – live CSU.TO)</t>
  </si>
  <si>
    <t>USD/CAD Exchange Rate (1 CAD = x USD)</t>
  </si>
  <si>
    <t>Current Price (USD equiv.)</t>
  </si>
  <si>
    <t>Shares Outstanding (M)</t>
  </si>
  <si>
    <t>Normalised Base Year FCFA2S (USD M)</t>
  </si>
  <si>
    <t xml:space="preserve">  (FY2025 mgmt FCFA2S reference: $1,683M)</t>
  </si>
  <si>
    <t xml:space="preserve">  (LTM FCFA2S Q2-2025 to Q1-2026: $2,323M)</t>
  </si>
  <si>
    <t>Cash (USD M) – Q1 2026</t>
  </si>
  <si>
    <t>Total Debt (USD M) – Q1 2026</t>
  </si>
  <si>
    <t>Net Debt (USD M)</t>
  </si>
  <si>
    <t>IRGA Liability (~$1,234M, excluded from net debt)</t>
  </si>
  <si>
    <t>WACC (Base Case)</t>
  </si>
  <si>
    <t>Terminal Growth Rate (Base Case)</t>
  </si>
  <si>
    <t>B. BASE CASE GROWTH ASSUMPTIONS (adjust grey cells)</t>
  </si>
  <si>
    <t>Year</t>
  </si>
  <si>
    <t>Y1</t>
  </si>
  <si>
    <t>Y2</t>
  </si>
  <si>
    <t>Y3</t>
  </si>
  <si>
    <t>Y4</t>
  </si>
  <si>
    <t>Y5</t>
  </si>
  <si>
    <t>FCFA2S Growth Rate</t>
  </si>
  <si>
    <t>C. BASE CASE PROJECTIONS</t>
  </si>
  <si>
    <t>Projected FCFA2S (USD M)</t>
  </si>
  <si>
    <t>Discount Factor (1/(1+WACC)^n)</t>
  </si>
  <si>
    <t>PV of FCFA2S (USD M)</t>
  </si>
  <si>
    <t>D. BASE CASE VALUATION</t>
  </si>
  <si>
    <t>Sum of PV of FCFA2S (USD M)</t>
  </si>
  <si>
    <t>Terminal FCFA2S = Y5 × (1 + Term. Growth)</t>
  </si>
  <si>
    <t>Terminal Value (USD M)</t>
  </si>
  <si>
    <t>PV of Terminal Value (USD M)</t>
  </si>
  <si>
    <t>Enterprise Value (USD M)</t>
  </si>
  <si>
    <t>Less: Net Debt (USD M)</t>
  </si>
  <si>
    <t>Equity Value (USD M)</t>
  </si>
  <si>
    <t>Intrinsic Value / Share (USD)</t>
  </si>
  <si>
    <t>Intrinsic Value / Share (CAD)</t>
  </si>
  <si>
    <t>Upside vs Current Price (CAD)</t>
  </si>
  <si>
    <t xml:space="preserve">  Terminal Value % of EV</t>
  </si>
  <si>
    <t>E. ENTRY PRICE FOR 15% CAGR TARGET</t>
  </si>
  <si>
    <t>Terminal Value per Share (USD)</t>
  </si>
  <si>
    <t>Entry Price for 15% CAGR (USD)</t>
  </si>
  <si>
    <t>Entry Price for 15% CAGR (CAD)</t>
  </si>
  <si>
    <t>Current Price Premium over Entry (CAD)</t>
  </si>
  <si>
    <t>F. SCENARIO COMPARISON (hardcoded from model)</t>
  </si>
  <si>
    <t>Metric</t>
  </si>
  <si>
    <t>Bear</t>
  </si>
  <si>
    <t>Base</t>
  </si>
  <si>
    <t>Bull</t>
  </si>
  <si>
    <t>Year 1-5 FCFA2S Growth Rates</t>
  </si>
  <si>
    <t>12,10,9,8,7%</t>
  </si>
  <si>
    <t>18,16,14,13,12%</t>
  </si>
  <si>
    <t>22,20,18,16,15%</t>
  </si>
  <si>
    <t>WACC</t>
  </si>
  <si>
    <t>12.0%</t>
  </si>
  <si>
    <t>10.0%</t>
  </si>
  <si>
    <t>9.0%</t>
  </si>
  <si>
    <t>Terminal Growth</t>
  </si>
  <si>
    <t>2.5%</t>
  </si>
  <si>
    <t>3.0%</t>
  </si>
  <si>
    <t>3.5%</t>
  </si>
  <si>
    <t>Sum PV of FCFA2S (USD M)</t>
  </si>
  <si>
    <t>$9,005</t>
  </si>
  <si>
    <t>$11,034</t>
  </si>
  <si>
    <t>$12,545</t>
  </si>
  <si>
    <t>$31,814</t>
  </si>
  <si>
    <t>$55,211</t>
  </si>
  <si>
    <t>$82,396</t>
  </si>
  <si>
    <t>$27,058</t>
  </si>
  <si>
    <t>$45,322</t>
  </si>
  <si>
    <t>$66,102</t>
  </si>
  <si>
    <t>$1,177.13</t>
  </si>
  <si>
    <t>$2,038.69</t>
  </si>
  <si>
    <t>$3,019.35</t>
  </si>
  <si>
    <t>CA$1,670.88</t>
  </si>
  <si>
    <t>CA$2,893.81</t>
  </si>
  <si>
    <t>CA$4,285.80</t>
  </si>
  <si>
    <t>Upside vs CAD $2,818.02</t>
  </si>
  <si>
    <t>-40.7%</t>
  </si>
  <si>
    <t>+2.7%</t>
  </si>
  <si>
    <t>+52.1%</t>
  </si>
  <si>
    <t>Implied P/FCFA2S (FY2025 $1,683M)</t>
  </si>
  <si>
    <t>13.1x</t>
  </si>
  <si>
    <t>22.7x</t>
  </si>
  <si>
    <t>33.7x</t>
  </si>
  <si>
    <t>Entry Price (15% CAGR, CAD)</t>
  </si>
  <si>
    <t>CA$1,058.55</t>
  </si>
  <si>
    <t>CA$1,839.33</t>
  </si>
  <si>
    <t>CA$2,743.00</t>
  </si>
  <si>
    <t>Probability-Weighted IV (25/50/25)</t>
  </si>
  <si>
    <t>CA$2,936.08  |  +4.2% upside</t>
  </si>
  <si>
    <t>USD $2,068.47</t>
  </si>
  <si>
    <t>G. SANITY CHECK – VALUATION MULTIPLES</t>
  </si>
  <si>
    <t>Market Cap (USD M)</t>
  </si>
  <si>
    <t>$42,072</t>
  </si>
  <si>
    <t>Market EV (USD M)</t>
  </si>
  <si>
    <t>$44,184</t>
  </si>
  <si>
    <t>FY2025 Mgmt FCFA2S (USD M)</t>
  </si>
  <si>
    <t>$1,683</t>
  </si>
  <si>
    <t>LTM FCFA2S (USD M)</t>
  </si>
  <si>
    <t>$2,323</t>
  </si>
  <si>
    <t>Market P/FCFA2S (FY2025 mgmt)</t>
  </si>
  <si>
    <t>25.0x</t>
  </si>
  <si>
    <t>Market P/FCFA2S (LTM)</t>
  </si>
  <si>
    <t>18.1x</t>
  </si>
  <si>
    <t>Market EV/FCFA2S (FY2025)</t>
  </si>
  <si>
    <t>26.3x</t>
  </si>
  <si>
    <t>LTM EPS (USD)</t>
  </si>
  <si>
    <t>$35.06</t>
  </si>
  <si>
    <t>Market P/E (LTM)</t>
  </si>
  <si>
    <t>56.6x</t>
  </si>
  <si>
    <t>Historical P/FCFA2S Range</t>
  </si>
  <si>
    <t>30-55x (FY2021-2024 trading range)</t>
  </si>
  <si>
    <t>Base Case Implied P/FCFA2S</t>
  </si>
  <si>
    <t>25.7x</t>
  </si>
  <si>
    <t>Bull Case Implied P/FCFA2S</t>
  </si>
  <si>
    <t>38.0x</t>
  </si>
  <si>
    <t>Bear Case Implied P/FCFA2S</t>
  </si>
  <si>
    <t>14.8x</t>
  </si>
  <si>
    <t>Sanity Status</t>
  </si>
  <si>
    <t>PASS – base/bull within historical range; bear = distress scenario</t>
  </si>
  <si>
    <t>Key Observation:</t>
  </si>
  <si>
    <t>At CAD $2,818, CSU trades at ~25x FY2025 FCFA2S – below its historical 30-55x range. Stock has de-rated ~47% from all-time high (~CA$5,300). Model implies stock is roughly fairly valued in base case with meaningful bull upside if acquisition pace is maintained.</t>
  </si>
  <si>
    <t>Currency note:</t>
  </si>
  <si>
    <t>All financial inputs in USD millions. Per-share IV in USD. CAD equivalent = USD / USD-CAD rate (cell B7). Current price in CAD (cell B6) from live Yahoo Finance CSU.TO quote. IRGA liability of ~$1,234M excluded from net debt (see JSON for impact).</t>
  </si>
  <si>
    <t>CSU – Intrinsic Value Sensitivity (Base Case Growth Rates)</t>
  </si>
  <si>
    <t>Base case growth rates: 18%, 16%, 14%, 13%, 12% | Base FCFA2S: $1,900M | Net Debt: $2,112M | Shares: 21.192M</t>
  </si>
  <si>
    <t>USD / Share</t>
  </si>
  <si>
    <t>WACC \ Term.G →</t>
  </si>
  <si>
    <t>2.0%</t>
  </si>
  <si>
    <t>4.0%</t>
  </si>
  <si>
    <t>8%</t>
  </si>
  <si>
    <t>9%</t>
  </si>
  <si>
    <t>10%</t>
  </si>
  <si>
    <t>11%</t>
  </si>
  <si>
    <t>12%</t>
  </si>
  <si>
    <t>CAD / Share (÷ 0.7045)</t>
  </si>
  <si>
    <t>Green = &gt;10% above current price  |  Yellow = within 10%  |  Red = &gt;10% below current price</t>
  </si>
  <si>
    <t>Current price: CA$2,818.02 / USD $1,984.99  |  WACC 10%, Terminal 3% = base case</t>
  </si>
  <si>
    <t>CSU – Historical Growth Rates &amp; FCFA2S Series</t>
  </si>
  <si>
    <t>3-Year CAGR</t>
  </si>
  <si>
    <t>5-Year CAGR</t>
  </si>
  <si>
    <t>Notes</t>
  </si>
  <si>
    <t>Revenue</t>
  </si>
  <si>
    <t>FY2022→FY2025 / FY2020→FY2025; almost entirely acquisition-driven</t>
  </si>
  <si>
    <t>FCFA2S (Management)</t>
  </si>
  <si>
    <t>5yr depressed by FY2021-22 weakness; 3yr and 6yr more representative</t>
  </si>
  <si>
    <t>FCF (OCF-CapEx)</t>
  </si>
  <si>
    <t>Shareholders' Equity</t>
  </si>
  <si>
    <t>Inflated by acquisition leverage; not used as primary driver</t>
  </si>
  <si>
    <t>EPS (GAAP)</t>
  </si>
  <si>
    <t>Distorted by non-cash charges (IRGA, Asseco). LTM EPS $35.06 used for P/E.</t>
  </si>
  <si>
    <t>FCFA2S Annual History (Management)</t>
  </si>
  <si>
    <t>Fiscal Year</t>
  </si>
  <si>
    <t>FCFA2S (USD M)</t>
  </si>
  <si>
    <t>YoY Growth</t>
  </si>
  <si>
    <t>FY2019</t>
  </si>
  <si>
    <t>FY2020</t>
  </si>
  <si>
    <t>FY2021</t>
  </si>
  <si>
    <t>FY2022</t>
  </si>
  <si>
    <t>FY2023</t>
  </si>
  <si>
    <t>FY2024</t>
  </si>
  <si>
    <t>FY2025 (mgmt)</t>
  </si>
  <si>
    <t>LTM FCFA2S (Q2 2025 – Q1 2026)</t>
  </si>
  <si>
    <t>Q1 2026 Annualised</t>
  </si>
  <si>
    <t>Selected Growth Rate (Base Y1):</t>
  </si>
  <si>
    <t>FCFA2S 6yr CAGR (2019-2025):</t>
  </si>
  <si>
    <t>Divergence Warning:</t>
  </si>
  <si>
    <t>Yes – FCFA2S 5yr CAGR (11.2%) vs Revenue 5yr CAGR (24.0%)</t>
  </si>
  <si>
    <t>Divergence Explanation:</t>
  </si>
  <si>
    <t>Expected for a serial acquirer: revenue grows with acquisitions (all recognised), while FCFA2S growth was compressed in FY2021-22 by Topicus spinout, Altera drag, and NCI deductions. 3yr and 6yr CAGRs are more representative.</t>
  </si>
  <si>
    <t>CSU DCF – Model Philosophy &amp; Key Assumptions</t>
  </si>
  <si>
    <t>Valuation Philosophy</t>
  </si>
  <si>
    <t>CSU is a hyper-compounder / serial acquirer of vertical market software (VMS) businesses. Traditional organic-growth DCF understates value because CSU continuously reinvests FCFA2S into new acquisitions at 20-30% IRR hurdle rates, compounding intrinsic value per share over time. This model uses FCFA2S (Free Cash Flow Available to Shareholders - CSU management's preferred intrinsic value metric) as the primary FCF driver, projecting growth from a normalised base that blends FY2025 management FCFA2S ($1,683M) with the improving Q1 2026 trajectory. The DCF captures the capital deployment flywheel: growth rates reflect both organic portfolio growth (currently ~4-6% reported) AND the compounding benefit of reinvesting FCFA2S into new VMS acquisitions. WACC is set to reflect risk-adjusted returns for a diversified, recurring-revenue software conglomerate with moderate leverage.</t>
  </si>
  <si>
    <t>FCF Metric Used</t>
  </si>
  <si>
    <t>FCFA2S (Free Cash Flow Available to Shareholders): CSU management's preferred intrinsic value metric. Calculated as operating cash flow minus maintenance CapEx minus lease payments. More conservative than simple OCF minus CapEx. CSI-shareholder-attributable portion only (excludes Topicus/Lumine NCI shares).</t>
  </si>
  <si>
    <t>Serial Acquirer Model</t>
  </si>
  <si>
    <t>CSU does not grow organically - it acquires VMS businesses and holds them forever. The 'growth rate' in this DCF is driven primarily by redeployment of FCFA2S into acquisitions at 20-30% IRR hurdle rates. The Year 1-5 growth rates represent FCFA2S compounding from acquisitions (inorganic) plus portfolio organic growth (~4-6% reported). This is fundamentally different from a product-company DCF.</t>
  </si>
  <si>
    <t>PEMS Strategy</t>
  </si>
  <si>
    <t>The new PEMS (Permanent Engaged Minority Shareholder) strategy allows CSU to deploy capital into very large businesses (e.g. Sabre Corporation 12.7% stake) where full acquisition is impractical. This is unproven at scale and not explicitly modeled in the DCF. Success would be upside to the bull case; failure would be consistent with the bear case.</t>
  </si>
  <si>
    <t>Share Count</t>
  </si>
  <si>
    <t>CSU has not repurchased or issued material shares since IPO. 21.192 million shares outstanding since at least 2015. No dilution expected.</t>
  </si>
  <si>
    <t>Asseco Poland</t>
  </si>
  <si>
    <t>23.14% equity method stake in Asseco Poland (carrying value $590M, fair value $872M at Q1 2026). The $282M embedded unrealized gain is not reflected in the DCF but represents additional NAV per share of ~$13 USD (~$19 CAD). This is a conservative omission.</t>
  </si>
  <si>
    <t>Mark Leonard Departure</t>
  </si>
  <si>
    <t>Mark Leonard completed his departure from the Board of Directors at the May 15, 2026 AGM. He remains an advisor focused on PEMS. Mark Miller (President since September 2025, 30+ years at CSI/Volaris) leads the company. The bear case explicitly assigns higher WACC to reflect this governance transition risk.</t>
  </si>
  <si>
    <t>IRGA Liability</t>
  </si>
  <si>
    <t>The IRGA (Investment Risk and Gain Account) liability related to Topicus Joday Group put option was ~$1,234M at Dec 31, 2025. This is excluded from net debt for DCF purposes (consistent with prior model) but represents a material contingent obligation. Investors should note that including IRGA in net debt would reduce intrinsic values by approximately $58/share USD ($83/share CAD) across all scenarios.</t>
  </si>
  <si>
    <t>LTM FCFA2S Note</t>
  </si>
  <si>
    <t>The LTM FCFA2S of $2,323M (Q2 2025 through Q1 2026) is elevated because Q1 is CSU's seasonally strongest OCF quarter and Q1 2026 benefited from record acquisition activity. The normalised base of $1,900M used in the DCF provides a more conservative starting point.</t>
  </si>
  <si>
    <t>Currency Methodology</t>
  </si>
  <si>
    <t>Reporting: USD | Trading: CAD (TSX) | DCF: USD | Rate: 1 CAD = 0.7045 USD (live) | IV shown in USD and CAD</t>
  </si>
  <si>
    <t>Sanity Check</t>
  </si>
  <si>
    <t>At CAD $2,818, CSU trades at ~25x FY2025 management FCFA2S ($1,683M) - below its historical 30-55x range. The stock has de-rated ~47% from its all-time high of ~CAD $5,300 in 2024. On LTM FCFA2S ($2,323M), the market P/FCF is only 18x. This suggests CSU is at the low end of or below its historical valuation range, potentially offering value for long-term holders. The de-rating reflects: (1) Mark Leonard's complete Board departure; (2) PEMS strategy uncertainty; (3) 'SaaSpocalypse' software sector sentiment; (4) FCFA2S growth deceleration to 14% in FY2025.</t>
  </si>
</sst>
</file>

<file path=xl/styles.xml><?xml version="1.0" encoding="utf-8"?>
<styleSheet xmlns="http://schemas.openxmlformats.org/spreadsheetml/2006/main">
  <numFmts count="7">
    <numFmt numFmtId="164" formatCode="&quot;CA$&quot;#,##0.00"/>
    <numFmt numFmtId="165" formatCode="#,##0.0"/>
    <numFmt numFmtId="166" formatCode="&quot;$&quot;#,##0.00"/>
    <numFmt numFmtId="167" formatCode="0.0%"/>
    <numFmt numFmtId="168" formatCode="+0.0%;-0.0%;0.0%"/>
    <numFmt numFmtId="169" formatCode="&quot;$&quot;#,##0"/>
    <numFmt numFmtId="170" formatCode="&quot;CA$&quot;#,##0"/>
  </numFmts>
  <fonts count="7">
    <font>
      <sz val="11"/>
      <color theme="1"/>
      <name val="Calibri"/>
      <family val="2"/>
      <scheme val="minor"/>
    </font>
    <font>
      <b/>
      <sz val="16"/>
      <color rgb="FF2D3436"/>
      <name val="Calibri"/>
      <family val="2"/>
      <scheme val="minor"/>
    </font>
    <font>
      <i/>
      <sz val="10"/>
      <color rgb="FF636E72"/>
      <name val="Calibri"/>
      <family val="2"/>
      <scheme val="minor"/>
    </font>
    <font>
      <i/>
      <sz val="9"/>
      <color rgb="FF636E72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00CEC9"/>
        <bgColor indexed="64"/>
      </patternFill>
    </fill>
    <fill>
      <patternFill patternType="solid">
        <fgColor rgb="FFD63031"/>
        <bgColor indexed="64"/>
      </patternFill>
    </fill>
    <fill>
      <patternFill patternType="solid">
        <fgColor rgb="FF0984E3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DCB6E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2" borderId="1" xfId="0" applyFont="1" applyFill="1" applyBorder="1"/>
    <xf numFmtId="164" fontId="0" fillId="3" borderId="2" xfId="0" applyNumberFormat="1" applyFill="1" applyBorder="1" applyAlignment="1">
      <alignment horizontal="right"/>
    </xf>
    <xf numFmtId="165" fontId="0" fillId="2" borderId="2" xfId="0" applyNumberFormat="1" applyFill="1" applyBorder="1" applyAlignment="1">
      <alignment horizontal="right"/>
    </xf>
    <xf numFmtId="166" fontId="0" fillId="0" borderId="2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167" fontId="0" fillId="2" borderId="2" xfId="0" applyNumberFormat="1" applyFill="1" applyBorder="1" applyAlignment="1">
      <alignment horizontal="right"/>
    </xf>
    <xf numFmtId="0" fontId="5" fillId="4" borderId="2" xfId="0" applyFont="1" applyFill="1" applyBorder="1" applyAlignment="1">
      <alignment horizontal="center"/>
    </xf>
    <xf numFmtId="0" fontId="6" fillId="0" borderId="0" xfId="0" applyFont="1"/>
    <xf numFmtId="166" fontId="5" fillId="5" borderId="3" xfId="0" applyNumberFormat="1" applyFont="1" applyFill="1" applyBorder="1" applyAlignment="1">
      <alignment horizontal="right"/>
    </xf>
    <xf numFmtId="164" fontId="5" fillId="6" borderId="3" xfId="0" applyNumberFormat="1" applyFont="1" applyFill="1" applyBorder="1" applyAlignment="1">
      <alignment horizontal="right"/>
    </xf>
    <xf numFmtId="168" fontId="6" fillId="0" borderId="2" xfId="0" applyNumberFormat="1" applyFont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0" fontId="5" fillId="7" borderId="2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165" fontId="0" fillId="9" borderId="2" xfId="0" applyNumberFormat="1" applyFill="1" applyBorder="1" applyAlignment="1">
      <alignment horizontal="right"/>
    </xf>
    <xf numFmtId="165" fontId="0" fillId="10" borderId="2" xfId="0" applyNumberFormat="1" applyFill="1" applyBorder="1" applyAlignment="1">
      <alignment horizontal="right"/>
    </xf>
    <xf numFmtId="0" fontId="4" fillId="11" borderId="2" xfId="0" applyFont="1" applyFill="1" applyBorder="1" applyAlignment="1">
      <alignment horizontal="center" wrapText="1"/>
    </xf>
    <xf numFmtId="169" fontId="0" fillId="10" borderId="2" xfId="0" applyNumberFormat="1" applyFill="1" applyBorder="1" applyAlignment="1">
      <alignment horizontal="right"/>
    </xf>
    <xf numFmtId="169" fontId="0" fillId="3" borderId="2" xfId="0" applyNumberFormat="1" applyFill="1" applyBorder="1" applyAlignment="1">
      <alignment horizontal="right"/>
    </xf>
    <xf numFmtId="169" fontId="0" fillId="9" borderId="2" xfId="0" applyNumberFormat="1" applyFill="1" applyBorder="1" applyAlignment="1">
      <alignment horizontal="right"/>
    </xf>
    <xf numFmtId="170" fontId="0" fillId="10" borderId="2" xfId="0" applyNumberFormat="1" applyFill="1" applyBorder="1" applyAlignment="1">
      <alignment horizontal="right"/>
    </xf>
    <xf numFmtId="170" fontId="0" fillId="3" borderId="2" xfId="0" applyNumberFormat="1" applyFill="1" applyBorder="1" applyAlignment="1">
      <alignment horizontal="right"/>
    </xf>
    <xf numFmtId="170" fontId="0" fillId="9" borderId="2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30.7109375" customWidth="1"/>
    <col min="2" max="2" width="16.7109375" customWidth="1"/>
    <col min="3" max="8" width="14.7109375" customWidth="1"/>
  </cols>
  <sheetData>
    <row r="1" spans="1:5">
      <c r="A1" s="1" t="s">
        <v>0</v>
      </c>
    </row>
    <row r="2" spans="1:5">
      <c r="A2" s="2" t="s">
        <v>1</v>
      </c>
    </row>
    <row r="3" spans="1:5">
      <c r="A3" s="3" t="s">
        <v>2</v>
      </c>
    </row>
    <row r="5" spans="1:5">
      <c r="A5" s="4" t="s">
        <v>3</v>
      </c>
      <c r="B5" s="4"/>
      <c r="C5" s="4"/>
      <c r="D5" s="4"/>
      <c r="E5" s="4"/>
    </row>
    <row r="6" spans="1:5">
      <c r="A6" t="s">
        <v>4</v>
      </c>
      <c r="B6" s="5">
        <v>2818.02</v>
      </c>
    </row>
    <row r="7" spans="1:5">
      <c r="A7" t="s">
        <v>5</v>
      </c>
      <c r="B7" s="6">
        <v>0.7045</v>
      </c>
    </row>
    <row r="8" spans="1:5">
      <c r="A8" t="s">
        <v>6</v>
      </c>
      <c r="B8" s="7">
        <f>B6*B7</f>
        <v>0</v>
      </c>
    </row>
    <row r="9" spans="1:5">
      <c r="A9" t="s">
        <v>7</v>
      </c>
      <c r="B9" s="6">
        <v>21.192</v>
      </c>
    </row>
    <row r="10" spans="1:5">
      <c r="A10" t="s">
        <v>8</v>
      </c>
      <c r="B10" s="6">
        <v>1900</v>
      </c>
    </row>
    <row r="11" spans="1:5">
      <c r="A11" s="3" t="s">
        <v>9</v>
      </c>
      <c r="B11" s="8">
        <v>1683</v>
      </c>
    </row>
    <row r="12" spans="1:5">
      <c r="A12" s="3" t="s">
        <v>10</v>
      </c>
      <c r="B12" s="8">
        <v>2323</v>
      </c>
    </row>
    <row r="13" spans="1:5">
      <c r="A13" t="s">
        <v>11</v>
      </c>
      <c r="B13" s="6">
        <v>3010</v>
      </c>
    </row>
    <row r="14" spans="1:5">
      <c r="A14" t="s">
        <v>12</v>
      </c>
      <c r="B14" s="6">
        <v>5122</v>
      </c>
    </row>
    <row r="15" spans="1:5">
      <c r="A15" t="s">
        <v>13</v>
      </c>
      <c r="B15" s="8">
        <f>B14-B13</f>
        <v>0</v>
      </c>
    </row>
    <row r="16" spans="1:5">
      <c r="A16" s="3" t="s">
        <v>14</v>
      </c>
      <c r="B16" s="8">
        <v>1234</v>
      </c>
    </row>
    <row r="17" spans="1:7">
      <c r="A17" t="s">
        <v>15</v>
      </c>
      <c r="B17" s="9">
        <v>0.1</v>
      </c>
    </row>
    <row r="18" spans="1:7">
      <c r="A18" t="s">
        <v>16</v>
      </c>
      <c r="B18" s="9">
        <v>0.03</v>
      </c>
    </row>
    <row r="20" spans="1:7">
      <c r="A20" s="4" t="s">
        <v>17</v>
      </c>
      <c r="B20" s="4"/>
      <c r="C20" s="4"/>
      <c r="D20" s="4"/>
      <c r="E20" s="4"/>
      <c r="F20" s="4"/>
      <c r="G20" s="4"/>
    </row>
    <row r="21" spans="1:7">
      <c r="A21" s="10" t="s">
        <v>18</v>
      </c>
      <c r="B21" s="10" t="s">
        <v>19</v>
      </c>
      <c r="C21" s="10" t="s">
        <v>20</v>
      </c>
      <c r="D21" s="10" t="s">
        <v>21</v>
      </c>
      <c r="E21" s="10" t="s">
        <v>22</v>
      </c>
      <c r="F21" s="10" t="s">
        <v>23</v>
      </c>
    </row>
    <row r="22" spans="1:7">
      <c r="A22" t="s">
        <v>24</v>
      </c>
      <c r="B22" s="9">
        <v>0.18</v>
      </c>
      <c r="C22" s="9">
        <v>0.16</v>
      </c>
      <c r="D22" s="9">
        <v>0.14</v>
      </c>
      <c r="E22" s="9">
        <v>0.13</v>
      </c>
      <c r="F22" s="9">
        <v>0.12</v>
      </c>
    </row>
    <row r="24" spans="1:7">
      <c r="A24" s="4" t="s">
        <v>25</v>
      </c>
      <c r="B24" s="4"/>
      <c r="C24" s="4"/>
      <c r="D24" s="4"/>
      <c r="E24" s="4"/>
      <c r="F24" s="4"/>
      <c r="G24" s="4"/>
    </row>
    <row r="25" spans="1:7">
      <c r="A25" s="10"/>
      <c r="B25" s="10" t="s">
        <v>19</v>
      </c>
      <c r="C25" s="10" t="s">
        <v>20</v>
      </c>
      <c r="D25" s="10" t="s">
        <v>21</v>
      </c>
      <c r="E25" s="10" t="s">
        <v>22</v>
      </c>
      <c r="F25" s="10" t="s">
        <v>23</v>
      </c>
    </row>
    <row r="26" spans="1:7">
      <c r="A26" t="s">
        <v>26</v>
      </c>
      <c r="B26" s="8">
        <f>$B$10*(1+B22)</f>
        <v>0</v>
      </c>
      <c r="C26" s="8">
        <f>C26*(1+C22)</f>
        <v>0</v>
      </c>
      <c r="D26" s="8">
        <f>D26*(1+D22)</f>
        <v>0</v>
      </c>
      <c r="E26" s="8">
        <f>E26*(1+E22)</f>
        <v>0</v>
      </c>
      <c r="F26" s="8">
        <f>F26*(1+F22)</f>
        <v>0</v>
      </c>
    </row>
    <row r="27" spans="1:7">
      <c r="A27" t="s">
        <v>27</v>
      </c>
      <c r="B27" s="8">
        <f>1/(1+$B$17)^1</f>
        <v>0</v>
      </c>
      <c r="C27" s="8">
        <f>1/(1+$B$17)^2</f>
        <v>0</v>
      </c>
      <c r="D27" s="8">
        <f>1/(1+$B$17)^3</f>
        <v>0</v>
      </c>
      <c r="E27" s="8">
        <f>1/(1+$B$17)^4</f>
        <v>0</v>
      </c>
      <c r="F27" s="8">
        <f>1/(1+$B$17)^5</f>
        <v>0</v>
      </c>
    </row>
    <row r="28" spans="1:7">
      <c r="A28" t="s">
        <v>28</v>
      </c>
      <c r="B28" s="8">
        <f>B26*B27</f>
        <v>0</v>
      </c>
      <c r="C28" s="8">
        <f>C26*C27</f>
        <v>0</v>
      </c>
      <c r="D28" s="8">
        <f>D26*D27</f>
        <v>0</v>
      </c>
      <c r="E28" s="8">
        <f>E26*E27</f>
        <v>0</v>
      </c>
      <c r="F28" s="8">
        <f>F26*F27</f>
        <v>0</v>
      </c>
    </row>
    <row r="30" spans="1:7">
      <c r="A30" s="4" t="s">
        <v>29</v>
      </c>
      <c r="B30" s="4"/>
      <c r="C30" s="4"/>
      <c r="D30" s="4"/>
      <c r="E30" s="4"/>
    </row>
    <row r="31" spans="1:7">
      <c r="A31" t="s">
        <v>30</v>
      </c>
      <c r="B31" s="8">
        <f>SUM(B28:F28)</f>
        <v>0</v>
      </c>
    </row>
    <row r="32" spans="1:7">
      <c r="A32" t="s">
        <v>31</v>
      </c>
      <c r="B32" s="8">
        <f>F26*(1+$B$18)</f>
        <v>0</v>
      </c>
    </row>
    <row r="33" spans="1:5">
      <c r="A33" t="s">
        <v>32</v>
      </c>
      <c r="B33" s="8">
        <f>B32/(($B$17-$B$18))</f>
        <v>0</v>
      </c>
    </row>
    <row r="34" spans="1:5">
      <c r="A34" t="s">
        <v>33</v>
      </c>
      <c r="B34" s="8">
        <f>B33*F27</f>
        <v>0</v>
      </c>
    </row>
    <row r="35" spans="1:5">
      <c r="A35" t="s">
        <v>34</v>
      </c>
      <c r="B35" s="8">
        <f>B31+B34</f>
        <v>0</v>
      </c>
    </row>
    <row r="36" spans="1:5">
      <c r="A36" t="s">
        <v>35</v>
      </c>
      <c r="B36" s="8">
        <f>B15</f>
        <v>0</v>
      </c>
    </row>
    <row r="37" spans="1:5">
      <c r="A37" t="s">
        <v>36</v>
      </c>
      <c r="B37" s="8">
        <f>B35-B36</f>
        <v>0</v>
      </c>
    </row>
    <row r="38" spans="1:5">
      <c r="A38" s="11" t="s">
        <v>37</v>
      </c>
      <c r="B38" s="12">
        <f>B37/B9</f>
        <v>0</v>
      </c>
    </row>
    <row r="39" spans="1:5">
      <c r="A39" s="11" t="s">
        <v>38</v>
      </c>
      <c r="B39" s="13">
        <f>B38/B7</f>
        <v>0</v>
      </c>
    </row>
    <row r="40" spans="1:5">
      <c r="A40" s="11" t="s">
        <v>39</v>
      </c>
      <c r="B40" s="14">
        <f>(B39-B6)/B6</f>
        <v>0</v>
      </c>
    </row>
    <row r="41" spans="1:5">
      <c r="A41" t="s">
        <v>40</v>
      </c>
      <c r="B41" s="15">
        <f>B34/B35</f>
        <v>0</v>
      </c>
    </row>
    <row r="43" spans="1:5">
      <c r="A43" s="4" t="s">
        <v>41</v>
      </c>
      <c r="B43" s="4"/>
      <c r="C43" s="4"/>
      <c r="D43" s="4"/>
      <c r="E43" s="4"/>
    </row>
    <row r="44" spans="1:5">
      <c r="A44" t="s">
        <v>42</v>
      </c>
      <c r="B44" s="7">
        <f>B33/B9</f>
        <v>0</v>
      </c>
    </row>
    <row r="45" spans="1:5">
      <c r="A45" t="s">
        <v>43</v>
      </c>
      <c r="B45" s="12">
        <f>B45/(1.15^5)</f>
        <v>0</v>
      </c>
    </row>
    <row r="46" spans="1:5">
      <c r="A46" t="s">
        <v>44</v>
      </c>
      <c r="B46" s="13">
        <f>B46/B7</f>
        <v>0</v>
      </c>
    </row>
    <row r="47" spans="1:5">
      <c r="A47" t="s">
        <v>45</v>
      </c>
      <c r="B47" s="14">
        <f>(B6-B47)/B6</f>
        <v>0</v>
      </c>
    </row>
    <row r="49" spans="1:5">
      <c r="A49" s="4" t="s">
        <v>46</v>
      </c>
      <c r="B49" s="4"/>
      <c r="C49" s="4"/>
      <c r="D49" s="4"/>
      <c r="E49" s="4"/>
    </row>
    <row r="50" spans="1:5">
      <c r="A50" s="10" t="s">
        <v>47</v>
      </c>
      <c r="B50" s="16" t="s">
        <v>48</v>
      </c>
      <c r="C50" s="17" t="s">
        <v>49</v>
      </c>
      <c r="D50" s="18" t="s">
        <v>50</v>
      </c>
    </row>
    <row r="51" spans="1:5">
      <c r="A51" t="s">
        <v>51</v>
      </c>
      <c r="B51" s="19" t="s">
        <v>52</v>
      </c>
      <c r="C51" s="8" t="s">
        <v>53</v>
      </c>
      <c r="D51" s="20" t="s">
        <v>54</v>
      </c>
    </row>
    <row r="52" spans="1:5">
      <c r="A52" t="s">
        <v>55</v>
      </c>
      <c r="B52" s="19" t="s">
        <v>56</v>
      </c>
      <c r="C52" s="8" t="s">
        <v>57</v>
      </c>
      <c r="D52" s="20" t="s">
        <v>58</v>
      </c>
    </row>
    <row r="53" spans="1:5">
      <c r="A53" t="s">
        <v>59</v>
      </c>
      <c r="B53" s="19" t="s">
        <v>60</v>
      </c>
      <c r="C53" s="8" t="s">
        <v>61</v>
      </c>
      <c r="D53" s="20" t="s">
        <v>62</v>
      </c>
    </row>
    <row r="54" spans="1:5">
      <c r="A54" t="s">
        <v>63</v>
      </c>
      <c r="B54" s="19" t="s">
        <v>64</v>
      </c>
      <c r="C54" s="8" t="s">
        <v>65</v>
      </c>
      <c r="D54" s="20" t="s">
        <v>66</v>
      </c>
    </row>
    <row r="55" spans="1:5">
      <c r="A55" t="s">
        <v>32</v>
      </c>
      <c r="B55" s="19" t="s">
        <v>67</v>
      </c>
      <c r="C55" s="8" t="s">
        <v>68</v>
      </c>
      <c r="D55" s="20" t="s">
        <v>69</v>
      </c>
    </row>
    <row r="56" spans="1:5">
      <c r="A56" t="s">
        <v>34</v>
      </c>
      <c r="B56" s="19" t="s">
        <v>70</v>
      </c>
      <c r="C56" s="8" t="s">
        <v>71</v>
      </c>
      <c r="D56" s="20" t="s">
        <v>72</v>
      </c>
    </row>
    <row r="57" spans="1:5">
      <c r="A57" t="s">
        <v>37</v>
      </c>
      <c r="B57" s="19" t="s">
        <v>73</v>
      </c>
      <c r="C57" s="8" t="s">
        <v>74</v>
      </c>
      <c r="D57" s="20" t="s">
        <v>75</v>
      </c>
    </row>
    <row r="58" spans="1:5">
      <c r="A58" t="s">
        <v>38</v>
      </c>
      <c r="B58" s="19" t="s">
        <v>76</v>
      </c>
      <c r="C58" s="8" t="s">
        <v>77</v>
      </c>
      <c r="D58" s="20" t="s">
        <v>78</v>
      </c>
    </row>
    <row r="59" spans="1:5">
      <c r="A59" t="s">
        <v>79</v>
      </c>
      <c r="B59" s="19" t="s">
        <v>80</v>
      </c>
      <c r="C59" s="8" t="s">
        <v>81</v>
      </c>
      <c r="D59" s="20" t="s">
        <v>82</v>
      </c>
    </row>
    <row r="60" spans="1:5">
      <c r="A60" t="s">
        <v>83</v>
      </c>
      <c r="B60" s="19" t="s">
        <v>84</v>
      </c>
      <c r="C60" s="8" t="s">
        <v>85</v>
      </c>
      <c r="D60" s="20" t="s">
        <v>86</v>
      </c>
    </row>
    <row r="61" spans="1:5">
      <c r="A61" t="s">
        <v>87</v>
      </c>
      <c r="B61" s="19" t="s">
        <v>88</v>
      </c>
      <c r="C61" s="8" t="s">
        <v>89</v>
      </c>
      <c r="D61" s="20" t="s">
        <v>90</v>
      </c>
    </row>
    <row r="62" spans="1:5">
      <c r="A62" s="11" t="s">
        <v>91</v>
      </c>
      <c r="C62" s="13" t="s">
        <v>92</v>
      </c>
      <c r="D62" s="12" t="s">
        <v>93</v>
      </c>
    </row>
    <row r="64" spans="1:5">
      <c r="A64" s="4" t="s">
        <v>94</v>
      </c>
      <c r="B64" s="4"/>
      <c r="C64" s="4"/>
      <c r="D64" s="4"/>
      <c r="E64" s="4"/>
    </row>
    <row r="65" spans="1:5">
      <c r="A65" t="s">
        <v>95</v>
      </c>
      <c r="B65" t="s">
        <v>96</v>
      </c>
    </row>
    <row r="66" spans="1:5">
      <c r="A66" t="s">
        <v>97</v>
      </c>
      <c r="B66" t="s">
        <v>98</v>
      </c>
    </row>
    <row r="67" spans="1:5">
      <c r="A67" t="s">
        <v>99</v>
      </c>
      <c r="B67" t="s">
        <v>100</v>
      </c>
    </row>
    <row r="68" spans="1:5">
      <c r="A68" t="s">
        <v>101</v>
      </c>
      <c r="B68" t="s">
        <v>102</v>
      </c>
    </row>
    <row r="69" spans="1:5">
      <c r="A69" t="s">
        <v>103</v>
      </c>
      <c r="B69" t="s">
        <v>104</v>
      </c>
    </row>
    <row r="70" spans="1:5">
      <c r="A70" t="s">
        <v>105</v>
      </c>
      <c r="B70" t="s">
        <v>106</v>
      </c>
    </row>
    <row r="71" spans="1:5">
      <c r="A71" t="s">
        <v>107</v>
      </c>
      <c r="B71" t="s">
        <v>108</v>
      </c>
    </row>
    <row r="72" spans="1:5">
      <c r="A72" t="s">
        <v>109</v>
      </c>
      <c r="B72" t="s">
        <v>110</v>
      </c>
    </row>
    <row r="73" spans="1:5">
      <c r="A73" t="s">
        <v>111</v>
      </c>
      <c r="B73" t="s">
        <v>112</v>
      </c>
    </row>
    <row r="74" spans="1:5">
      <c r="A74" t="s">
        <v>113</v>
      </c>
      <c r="B74" t="s">
        <v>114</v>
      </c>
    </row>
    <row r="75" spans="1:5">
      <c r="A75" t="s">
        <v>115</v>
      </c>
      <c r="B75" t="s">
        <v>116</v>
      </c>
    </row>
    <row r="76" spans="1:5">
      <c r="A76" t="s">
        <v>117</v>
      </c>
      <c r="B76" t="s">
        <v>118</v>
      </c>
    </row>
    <row r="77" spans="1:5">
      <c r="A77" t="s">
        <v>119</v>
      </c>
      <c r="B77" t="s">
        <v>120</v>
      </c>
    </row>
    <row r="78" spans="1:5">
      <c r="A78" t="s">
        <v>121</v>
      </c>
      <c r="B78" t="s">
        <v>122</v>
      </c>
    </row>
    <row r="79" spans="1:5">
      <c r="A79" t="s">
        <v>123</v>
      </c>
      <c r="B79" s="21" t="s">
        <v>124</v>
      </c>
      <c r="C79" s="21"/>
      <c r="D79" s="21"/>
      <c r="E79" s="21"/>
    </row>
    <row r="81" spans="1:6">
      <c r="A81" s="3" t="s">
        <v>125</v>
      </c>
      <c r="B81" s="3" t="s">
        <v>126</v>
      </c>
      <c r="C81" s="3"/>
      <c r="D81" s="3"/>
      <c r="E81" s="3"/>
      <c r="F81" s="3"/>
    </row>
  </sheetData>
  <mergeCells count="9">
    <mergeCell ref="A5:E5"/>
    <mergeCell ref="A20:G20"/>
    <mergeCell ref="A24:G24"/>
    <mergeCell ref="A30:E30"/>
    <mergeCell ref="A43:E43"/>
    <mergeCell ref="A49:E49"/>
    <mergeCell ref="A64:E64"/>
    <mergeCell ref="B79:E79"/>
    <mergeCell ref="B81:F8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1" max="1" width="18.7109375" customWidth="1"/>
    <col min="2" max="7" width="14.7109375" customWidth="1"/>
  </cols>
  <sheetData>
    <row r="1" spans="1:6">
      <c r="A1" s="1" t="s">
        <v>127</v>
      </c>
    </row>
    <row r="2" spans="1:6">
      <c r="A2" s="2" t="s">
        <v>128</v>
      </c>
    </row>
    <row r="4" spans="1:6">
      <c r="A4" s="10" t="s">
        <v>129</v>
      </c>
    </row>
    <row r="5" spans="1:6">
      <c r="A5" s="10" t="s">
        <v>130</v>
      </c>
      <c r="B5" s="10" t="s">
        <v>131</v>
      </c>
      <c r="C5" s="10" t="s">
        <v>60</v>
      </c>
      <c r="D5" s="10" t="s">
        <v>61</v>
      </c>
      <c r="E5" s="10" t="s">
        <v>62</v>
      </c>
      <c r="F5" s="10" t="s">
        <v>132</v>
      </c>
    </row>
    <row r="6" spans="1:6">
      <c r="A6" s="10" t="s">
        <v>133</v>
      </c>
      <c r="B6" s="22">
        <v>2500</v>
      </c>
      <c r="C6" s="22">
        <v>2697</v>
      </c>
      <c r="D6" s="22">
        <v>2934</v>
      </c>
      <c r="E6" s="22">
        <v>3223</v>
      </c>
      <c r="F6" s="22">
        <v>3584</v>
      </c>
    </row>
    <row r="7" spans="1:6">
      <c r="A7" s="10" t="s">
        <v>134</v>
      </c>
      <c r="B7" s="23">
        <v>2113</v>
      </c>
      <c r="C7" s="22">
        <v>2250</v>
      </c>
      <c r="D7" s="22">
        <v>2411</v>
      </c>
      <c r="E7" s="22">
        <v>2601</v>
      </c>
      <c r="F7" s="22">
        <v>2829</v>
      </c>
    </row>
    <row r="8" spans="1:6">
      <c r="A8" s="10" t="s">
        <v>135</v>
      </c>
      <c r="B8" s="23">
        <v>1823</v>
      </c>
      <c r="C8" s="23">
        <v>1923</v>
      </c>
      <c r="D8" s="23">
        <v>2039</v>
      </c>
      <c r="E8" s="23">
        <v>2172</v>
      </c>
      <c r="F8" s="22">
        <v>2327</v>
      </c>
    </row>
    <row r="9" spans="1:6">
      <c r="A9" s="10" t="s">
        <v>136</v>
      </c>
      <c r="B9" s="24">
        <v>1598</v>
      </c>
      <c r="C9" s="24">
        <v>1674</v>
      </c>
      <c r="D9" s="24">
        <v>1760</v>
      </c>
      <c r="E9" s="23">
        <v>1857</v>
      </c>
      <c r="F9" s="23">
        <v>1968</v>
      </c>
    </row>
    <row r="10" spans="1:6">
      <c r="A10" s="10" t="s">
        <v>137</v>
      </c>
      <c r="B10" s="24">
        <v>1418</v>
      </c>
      <c r="C10" s="24">
        <v>1477</v>
      </c>
      <c r="D10" s="24">
        <v>1543</v>
      </c>
      <c r="E10" s="24">
        <v>1617</v>
      </c>
      <c r="F10" s="24">
        <v>1699</v>
      </c>
    </row>
    <row r="13" spans="1:6">
      <c r="A13" s="10" t="s">
        <v>138</v>
      </c>
    </row>
    <row r="14" spans="1:6">
      <c r="A14" s="10" t="s">
        <v>130</v>
      </c>
      <c r="B14" s="10" t="s">
        <v>131</v>
      </c>
      <c r="C14" s="10" t="s">
        <v>60</v>
      </c>
      <c r="D14" s="10" t="s">
        <v>61</v>
      </c>
      <c r="E14" s="10" t="s">
        <v>62</v>
      </c>
      <c r="F14" s="10" t="s">
        <v>132</v>
      </c>
    </row>
    <row r="15" spans="1:6">
      <c r="A15" s="10" t="s">
        <v>133</v>
      </c>
      <c r="B15" s="25">
        <v>3548</v>
      </c>
      <c r="C15" s="25">
        <v>3828</v>
      </c>
      <c r="D15" s="25">
        <v>4164</v>
      </c>
      <c r="E15" s="25">
        <v>4575</v>
      </c>
      <c r="F15" s="25">
        <v>5088</v>
      </c>
    </row>
    <row r="16" spans="1:6">
      <c r="A16" s="10" t="s">
        <v>134</v>
      </c>
      <c r="B16" s="26">
        <v>2999</v>
      </c>
      <c r="C16" s="25">
        <v>3194</v>
      </c>
      <c r="D16" s="25">
        <v>3423</v>
      </c>
      <c r="E16" s="25">
        <v>3692</v>
      </c>
      <c r="F16" s="25">
        <v>4016</v>
      </c>
    </row>
    <row r="17" spans="1:6">
      <c r="A17" s="10" t="s">
        <v>135</v>
      </c>
      <c r="B17" s="26">
        <v>2587</v>
      </c>
      <c r="C17" s="26">
        <v>2730</v>
      </c>
      <c r="D17" s="26">
        <v>2894</v>
      </c>
      <c r="E17" s="26">
        <v>3082</v>
      </c>
      <c r="F17" s="25">
        <v>3303</v>
      </c>
    </row>
    <row r="18" spans="1:6">
      <c r="A18" s="10" t="s">
        <v>136</v>
      </c>
      <c r="B18" s="27">
        <v>2268</v>
      </c>
      <c r="C18" s="27">
        <v>2376</v>
      </c>
      <c r="D18" s="27">
        <v>2498</v>
      </c>
      <c r="E18" s="26">
        <v>2636</v>
      </c>
      <c r="F18" s="26">
        <v>2793</v>
      </c>
    </row>
    <row r="19" spans="1:6">
      <c r="A19" s="10" t="s">
        <v>137</v>
      </c>
      <c r="B19" s="27">
        <v>2013</v>
      </c>
      <c r="C19" s="27">
        <v>2097</v>
      </c>
      <c r="D19" s="27">
        <v>2190</v>
      </c>
      <c r="E19" s="27">
        <v>2295</v>
      </c>
      <c r="F19" s="27">
        <v>2412</v>
      </c>
    </row>
    <row r="21" spans="1:6">
      <c r="A21" s="2" t="s">
        <v>139</v>
      </c>
    </row>
    <row r="22" spans="1:6">
      <c r="A22" s="2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cols>
    <col min="1" max="1" width="28.7109375" customWidth="1"/>
    <col min="2" max="4" width="16.7109375" customWidth="1"/>
  </cols>
  <sheetData>
    <row r="1" spans="1:4">
      <c r="A1" s="1" t="s">
        <v>141</v>
      </c>
    </row>
    <row r="3" spans="1:4">
      <c r="A3" s="10" t="s">
        <v>47</v>
      </c>
      <c r="B3" s="10" t="s">
        <v>142</v>
      </c>
      <c r="C3" s="10" t="s">
        <v>143</v>
      </c>
      <c r="D3" s="10" t="s">
        <v>144</v>
      </c>
    </row>
    <row r="5" spans="1:4">
      <c r="A5" t="s">
        <v>145</v>
      </c>
      <c r="B5" s="15">
        <v>0.206</v>
      </c>
      <c r="C5" s="15">
        <v>0.24</v>
      </c>
      <c r="D5" s="3" t="s">
        <v>146</v>
      </c>
    </row>
    <row r="6" spans="1:4">
      <c r="A6" t="s">
        <v>147</v>
      </c>
      <c r="B6" s="15">
        <v>0.254</v>
      </c>
      <c r="C6" s="15">
        <v>0.112</v>
      </c>
      <c r="D6" s="3" t="s">
        <v>148</v>
      </c>
    </row>
    <row r="7" spans="1:4">
      <c r="A7" t="s">
        <v>149</v>
      </c>
      <c r="B7" s="15">
        <v>0.285</v>
      </c>
      <c r="C7" s="15">
        <v>0.181</v>
      </c>
      <c r="D7" s="3"/>
    </row>
    <row r="8" spans="1:4">
      <c r="A8" t="s">
        <v>150</v>
      </c>
      <c r="B8" s="15">
        <v>0.302</v>
      </c>
      <c r="C8" s="15">
        <v>0.324</v>
      </c>
      <c r="D8" s="3" t="s">
        <v>151</v>
      </c>
    </row>
    <row r="9" spans="1:4">
      <c r="A9" t="s">
        <v>152</v>
      </c>
      <c r="B9" s="15">
        <v>-0.001</v>
      </c>
      <c r="C9" s="15">
        <v>0.032</v>
      </c>
      <c r="D9" s="3" t="s">
        <v>153</v>
      </c>
    </row>
    <row r="11" spans="1:4">
      <c r="A11" s="11" t="s">
        <v>154</v>
      </c>
    </row>
    <row r="12" spans="1:4">
      <c r="A12" s="10" t="s">
        <v>155</v>
      </c>
      <c r="B12" s="10" t="s">
        <v>156</v>
      </c>
      <c r="C12" s="10" t="s">
        <v>157</v>
      </c>
    </row>
    <row r="14" spans="1:4">
      <c r="A14" t="s">
        <v>158</v>
      </c>
      <c r="B14" s="8">
        <v>590</v>
      </c>
    </row>
    <row r="15" spans="1:4">
      <c r="A15" t="s">
        <v>159</v>
      </c>
      <c r="B15" s="8">
        <v>989</v>
      </c>
      <c r="C15" s="15">
        <v>0.676271186440678</v>
      </c>
    </row>
    <row r="16" spans="1:4">
      <c r="A16" t="s">
        <v>160</v>
      </c>
      <c r="B16" s="8">
        <v>883</v>
      </c>
      <c r="C16" s="15">
        <v>-0.1071789686552073</v>
      </c>
    </row>
    <row r="17" spans="1:4">
      <c r="A17" t="s">
        <v>161</v>
      </c>
      <c r="B17" s="8">
        <v>853</v>
      </c>
      <c r="C17" s="15">
        <v>-0.03397508493771234</v>
      </c>
    </row>
    <row r="18" spans="1:4">
      <c r="A18" t="s">
        <v>162</v>
      </c>
      <c r="B18" s="8">
        <v>1160</v>
      </c>
      <c r="C18" s="15">
        <v>0.3599062133645956</v>
      </c>
    </row>
    <row r="19" spans="1:4">
      <c r="A19" t="s">
        <v>163</v>
      </c>
      <c r="B19" s="8">
        <v>1472</v>
      </c>
      <c r="C19" s="15">
        <v>0.2689655172413793</v>
      </c>
    </row>
    <row r="20" spans="1:4">
      <c r="A20" t="s">
        <v>164</v>
      </c>
      <c r="B20" s="8">
        <v>1683</v>
      </c>
      <c r="C20" s="15">
        <v>0.1433423913043478</v>
      </c>
    </row>
    <row r="21" spans="1:4">
      <c r="A21" s="11" t="s">
        <v>165</v>
      </c>
      <c r="B21" s="8">
        <v>2323</v>
      </c>
      <c r="C21" s="15">
        <v>0.5123697916666666</v>
      </c>
    </row>
    <row r="22" spans="1:4">
      <c r="A22" s="11" t="s">
        <v>166</v>
      </c>
      <c r="B22" s="8">
        <v>3360</v>
      </c>
    </row>
    <row r="23" spans="1:4">
      <c r="A23" s="11" t="s">
        <v>167</v>
      </c>
      <c r="B23" s="15">
        <v>0.18</v>
      </c>
    </row>
    <row r="24" spans="1:4">
      <c r="A24" s="11" t="s">
        <v>168</v>
      </c>
      <c r="B24" s="15">
        <v>0.191</v>
      </c>
    </row>
    <row r="25" spans="1:4">
      <c r="A25" s="11" t="s">
        <v>169</v>
      </c>
      <c r="B25" t="s">
        <v>170</v>
      </c>
    </row>
    <row r="26" spans="1:4">
      <c r="A26" s="11" t="s">
        <v>171</v>
      </c>
    </row>
    <row r="27" spans="1:4">
      <c r="B27" s="3" t="s">
        <v>172</v>
      </c>
      <c r="C27" s="3"/>
      <c r="D27" s="3"/>
    </row>
  </sheetData>
  <mergeCells count="1">
    <mergeCell ref="B27:D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sheetFormatPr defaultRowHeight="15"/>
  <cols>
    <col min="1" max="1" width="100.7109375" customWidth="1"/>
  </cols>
  <sheetData>
    <row r="1" spans="1:1">
      <c r="A1" s="1" t="s">
        <v>173</v>
      </c>
    </row>
    <row r="4" spans="1:1">
      <c r="A4" s="11" t="s">
        <v>174</v>
      </c>
    </row>
    <row r="5" spans="1:1" ht="45" customHeight="1">
      <c r="A5" s="3" t="s">
        <v>175</v>
      </c>
    </row>
    <row r="6" spans="1:1">
      <c r="A6" s="11" t="s">
        <v>176</v>
      </c>
    </row>
    <row r="7" spans="1:1" ht="45" customHeight="1">
      <c r="A7" s="3" t="s">
        <v>177</v>
      </c>
    </row>
    <row r="8" spans="1:1">
      <c r="A8" s="11" t="s">
        <v>178</v>
      </c>
    </row>
    <row r="9" spans="1:1" ht="45" customHeight="1">
      <c r="A9" s="3" t="s">
        <v>179</v>
      </c>
    </row>
    <row r="10" spans="1:1">
      <c r="A10" s="11" t="s">
        <v>180</v>
      </c>
    </row>
    <row r="11" spans="1:1" ht="45" customHeight="1">
      <c r="A11" s="3" t="s">
        <v>181</v>
      </c>
    </row>
    <row r="12" spans="1:1">
      <c r="A12" s="11" t="s">
        <v>182</v>
      </c>
    </row>
    <row r="13" spans="1:1" ht="45" customHeight="1">
      <c r="A13" s="3" t="s">
        <v>183</v>
      </c>
    </row>
    <row r="14" spans="1:1">
      <c r="A14" s="11" t="s">
        <v>184</v>
      </c>
    </row>
    <row r="15" spans="1:1" ht="45" customHeight="1">
      <c r="A15" s="3" t="s">
        <v>185</v>
      </c>
    </row>
    <row r="16" spans="1:1">
      <c r="A16" s="11" t="s">
        <v>186</v>
      </c>
    </row>
    <row r="17" spans="1:1" ht="45" customHeight="1">
      <c r="A17" s="3" t="s">
        <v>187</v>
      </c>
    </row>
    <row r="18" spans="1:1">
      <c r="A18" s="11" t="s">
        <v>188</v>
      </c>
    </row>
    <row r="19" spans="1:1" ht="45" customHeight="1">
      <c r="A19" s="3" t="s">
        <v>189</v>
      </c>
    </row>
    <row r="20" spans="1:1">
      <c r="A20" s="11" t="s">
        <v>190</v>
      </c>
    </row>
    <row r="21" spans="1:1" ht="45" customHeight="1">
      <c r="A21" s="3" t="s">
        <v>191</v>
      </c>
    </row>
    <row r="22" spans="1:1">
      <c r="A22" s="11" t="s">
        <v>192</v>
      </c>
    </row>
    <row r="23" spans="1:1" ht="45" customHeight="1">
      <c r="A23" s="3" t="s">
        <v>193</v>
      </c>
    </row>
    <row r="24" spans="1:1">
      <c r="A24" s="11" t="s">
        <v>194</v>
      </c>
    </row>
    <row r="25" spans="1:1" ht="45" customHeight="1">
      <c r="A25" s="3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</vt:lpstr>
      <vt:lpstr>Sensitivity</vt:lpstr>
      <vt:lpstr>Historical Growth</vt:lpstr>
      <vt:lpstr>Model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2026-06-27T07:10:34Z</dcterms:created>
  <dcterms:modified xsi:type="dcterms:W3CDTF">2026-06-27T07:10:34Z</dcterms:modified>
</cp:coreProperties>
</file>