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<sst xmlns="http://schemas.openxmlformats.org/spreadsheetml/2006/main" count="389" uniqueCount="174">
  <si>
    <t xml:space="preserve">Ticker</t>
  </si>
  <si>
    <t xml:space="preserve">CRM</t>
  </si>
  <si>
    <t xml:space="preserve">Company</t>
  </si>
  <si>
    <t xml:space="preserve">Salesforce, Inc.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</si>
  <si>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</si>
  <si>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</si>
  <si>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</si>
  <si>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</si>
  <si>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2026-09-25T20:00:03Z regular close (Yahoo chart API)</t>
  </si>
  <si>
    <t xml:space="preserve">Balance sheet date</t>
  </si>
  <si>
    <t xml:space="preserve">2026-07-31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</si>
  <si>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</si>
  <si>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</si>
  <si>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</si>
  <si>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</si>
  <si>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</si>
  <si>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</si>
  <si>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</si>
  <si>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</si>
  <si>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</si>
  <si>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</si>
  <si>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2026-09-26T01:08:57Z</t>
  </si>
  <si>
    <t xml:space="preserve">Drivers file</t>
  </si>
  <si>
    <t xml:space="preserve">CRM_Drivers.json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</si>
  <si>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</si>
  <si>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</si>
  <si>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</si>
  <si>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Salesforce is valued as a mature, highly cash-generative SaaS franchise on an owner-FCF basis: SBC plus equity-award withholding taxes (~9.3% of revenue) is charged as a real cost, the share count is held flat, and the Q1 FY27 debt-funded buyback is reflected once, through the new share count and the higher net debt. Acquired-intangible amortisation is glided down toward capex so its tax shield is not capitalised in perpetuity, and the Anthropic-inclusive strategic investment book is added to equity at a 25% haircut.
key_risks_to_valuation: AI agents disintermediating seat-based CRM licensing (bear-case axis); Leverage: $39.3B gross debt; a 1pp change in organic growth now moves equity value more than before the buyback; Pending Contentful and Fin acquisitions: purchase consideration not yet in net debt; Strategic-investment marks (Anthropic) are private and could reverse; Inference/token cost inflation compressing gross margin if agent pricing does not scale with usage; SBC staying near 9% of revenue rather than gliding down</t>
  </si>
  <si>
    <t xml:space="preserve">Data sources</t>
  </si>
  <si>
    <t xml:space="preserve">price: Yahoo Finance chart API at inputs.price_as_of; 52-week range 146.32-269.11
financials: research/CRM/Reports/CRM_Metrics.csv (SEC XBRL, FY2007-FY2026 + Q2 FY2027); balance-sheet anchors, SBC, withholding taxes, marketable securities, strategic investments and share counts from SEC XBRL companyfacts (CIK 1108524), Q2 FY2027 10-Q filed 2026-08-27 and FY2026 10-K. Note: the CSV's 'Q2 2026'/'Q3 2026' rows are fiscal Q1/Q2 FY2027 (quarters ended 2026-04-30 and 2026-07-31).
qualitative: research/CRM/Reports/CRM_Analysis.json (2026-09-26): FY27 guidance raised 2026-08-26 to revenue $46.1-46.4B, non-GAAP op margin 34.3%, cRPO +14%.</t>
  </si>
  <si>
    <t xml:space="preserve">Scenario narrative: bear</t>
  </si>
  <si>
    <t xml:space="preserve">The 'SaaSpocalypse' partly lands: AI agents from Microsoft Copilot, OpenAI and Anthropic-powered startups compress seat counts and per-seat pricing, HubSpot keeps taking the mid-market, and Agentforce revenue cannibalises rather than adds. Organic growth drops to 3-5% after the Informatica lap, rising inference costs and price concessions pull adj. EBITDA margin to 35%, and SBC stays ~8.5-9% because talent retention in an AI market is expensive. A structurally slower business earns a 14x exit cap and 2% perpetual growth; the $39B debt load raises the equity's sensitivity to this path.</t>
  </si>
  <si>
    <t xml:space="preserve">Scenario narrative: base</t>
  </si>
  <si>
    <t xml:space="preserve">Salesforce holds its ~20% CRM share and converts the agentic shift into consumption revenue: Agentforce + Data 360 ARR (~$3.9B, +210%) grows into a meaningful slice of revenue, roughly offsetting slower seat expansion in Sales and Service Cloud, so organic growth settles at 8-9% before fading. Informatica integrates on schedule and the FY27 34.3% non-GAAP margin inches up on internal AI productivity, partly eaten by token/inference costs (Anthropic spend). SBC declines slowly as a share of revenue; the leveraged buyback is financed, not repeated.</t>
  </si>
  <si>
    <t xml:space="preserve">Scenario narrative: bull</t>
  </si>
  <si>
    <t xml:space="preserve">Salesforce becomes the model-agnostic orchestration layer the Claudeforce partnership pitches: Data 360 + Informatica make it the trusted system of record agents run on, outcome/consumption pricing expands the TAM beyond seats, and growth re-accelerates to ~10-11% for several years. AI-driven internal productivity carries adj. EBITDA margin to 43% and lets SBC fall to ~6.5% of revenue. Requires Agentforce monetisation AND margin discipline AND no share loss to Microsoft - several things at once, hence the 25% weight.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</si>
  <si>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</si>
  <si>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</si>
  <si>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</si>
  <si>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</si>
  <si>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</si>
  <si>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</si>
  <si>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</si>
  <si>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</si>
  <si>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</si>
  <si>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</si>
  <si>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</si>
  <si>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</si>
  <si>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</si>
  <si>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</si>
  <si>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</si>
  <si>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</si>
  <si>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</si>
  <si>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</si>
  <si>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</si>
  <si>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</si>
  <si>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</si>
  <si>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</si>
  <si>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</si>
  <si>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</si>
  <si>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</si>
  <si>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</si>
  <si>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</si>
  <si>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</si>
  <si>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</si>
  <si>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</si>
  <si>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</si>
  <si>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</si>
  <si>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</si>
  <si>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</si>
  <si>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</si>
  <si>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</si>
  <si>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</si>
  <si>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</si>
  <si>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</si>
  <si>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</si>
  <si>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</si>
  <si>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</si>
  <si>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</si>
  <si>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</si>
  <si>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</si>
  <si>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</si>
  <si>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</si>
  <si>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</si>
  <si>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</si>
  <si>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</si>
  <si>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</si>
  <si>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</si>
  <si>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</si>
  <si>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</si>
  <si>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</si>
  <si>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</si>
  <si>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</si>
  <si>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</si>
  <si>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</si>
  <si>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</si>
  <si>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</si>
  <si>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</si>
  <si>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</si>
  <si>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</si>
  <si>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</si>
  <si>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</si>
  <si>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</si>
  <si>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</si>
  <si>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</si>
  <si>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</si>
  <si>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</si>
  <si>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</si>
  <si>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</si>
  <si>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</si>
  <si>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</si>
  <si>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</si>
  <si>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</si>
  <si>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</si>
  <si>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</si>
  <si>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</si>
  <si>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</si>
  <si>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</si>
  <si>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</si>
  <si>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</si>
  <si>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CRM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</si>
  <si>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</si>
  <si>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</si>
  <si>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</si>
  <si>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</si>
  <si>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</si>
  <si>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</si>
  <si>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</si>
  <si>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</si>
  <si>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</si>
  <si>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</si>
  <si>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</si>
  <si>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</si>
  <si>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</si>
  <si>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</si>
  <si>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</si>
  <si>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</si>
  <si>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</si>
  <si>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</si>
  <si>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</si>
  <si>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</si>
  <si>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</si>
  <si>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</si>
  <si>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</si>
  <si>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</si>
  <si>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</si>
  <si>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</si>
  <si>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</si>
  <si>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</si>
  <si>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</si>
  <si>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</si>
  <si>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CRM owner-FCF component DCF: base case (millions, USD)</t>
  </si>
  <si>
    <t xml:space="preserve">CRM owner-FCF component DCF: bull case (millions, USD)</t>
  </si>
  <si>
    <t xml:space="preserve">CRM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</si>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</sst>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234.02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286.425</v>
      </c>
      <c r="S2" s="0" t="n">
        <v>86.608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748.7</v>
      </c>
      <c r="C3" s="0" t="n">
        <v>171.591</v>
      </c>
      <c r="D3" s="0" t="n">
        <v>577.109</v>
      </c>
      <c r="E3" s="0" t="n">
        <v>77.0814745558969</v>
      </c>
      <c r="F3" s="0" t="n">
        <v>20.309</v>
      </c>
      <c r="G3" s="0" t="n">
        <v>2.71256845198344</v>
      </c>
      <c r="H3" s="0" t="n">
        <v>44.528</v>
      </c>
      <c r="I3" s="0" t="n">
        <v>22.828</v>
      </c>
      <c r="J3" s="0" t="n">
        <v>3.04901829838387</v>
      </c>
      <c r="K3" s="0" t="n">
        <v>0.16</v>
      </c>
      <c r="L3" s="0" t="n">
        <v>204.275</v>
      </c>
      <c r="M3" s="0" t="n">
        <v>43.552</v>
      </c>
      <c r="N3" s="0" t="n">
        <v>160.723</v>
      </c>
      <c r="O3" s="0" t="n">
        <v>461.002</v>
      </c>
      <c r="S3" s="0" t="n">
        <v>279.095</v>
      </c>
      <c r="T3" s="0" t="n">
        <v>122.422</v>
      </c>
      <c r="U3" s="0" t="n">
        <v>55.207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1076.769</v>
      </c>
      <c r="C4" s="0" t="n">
        <v>220.471</v>
      </c>
      <c r="D4" s="0" t="n">
        <v>856.298</v>
      </c>
      <c r="E4" s="0" t="n">
        <v>79.5247634357973</v>
      </c>
      <c r="F4" s="0" t="n">
        <v>63.742</v>
      </c>
      <c r="G4" s="0" t="n">
        <v>5.91974694665244</v>
      </c>
      <c r="H4" s="0" t="n">
        <v>99.713</v>
      </c>
      <c r="I4" s="0" t="n">
        <v>48.035</v>
      </c>
      <c r="J4" s="0" t="n">
        <v>4.4610311032357</v>
      </c>
      <c r="K4" s="0" t="n">
        <v>0.36</v>
      </c>
      <c r="L4" s="0" t="n">
        <v>229.557</v>
      </c>
      <c r="M4" s="0" t="n">
        <v>61.059</v>
      </c>
      <c r="N4" s="0" t="n">
        <v>168.498</v>
      </c>
      <c r="O4" s="0" t="n">
        <v>682.487</v>
      </c>
      <c r="P4" s="0" t="n">
        <v>1479.822</v>
      </c>
      <c r="Q4" s="0" t="n">
        <v>797.335</v>
      </c>
      <c r="S4" s="0" t="n">
        <v>483.834</v>
      </c>
      <c r="T4" s="0" t="n">
        <v>125.228</v>
      </c>
      <c r="U4" s="0" t="n">
        <v>77.366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1305.583</v>
      </c>
      <c r="C5" s="0" t="n">
        <v>257.925</v>
      </c>
      <c r="D5" s="0" t="n">
        <v>1047.658</v>
      </c>
      <c r="E5" s="0" t="n">
        <v>80.2444578399075</v>
      </c>
      <c r="F5" s="0" t="n">
        <v>115.272</v>
      </c>
      <c r="G5" s="0" t="n">
        <v>8.82915908065592</v>
      </c>
      <c r="H5" s="0" t="n">
        <v>168.449</v>
      </c>
      <c r="I5" s="0" t="n">
        <v>84.692</v>
      </c>
      <c r="J5" s="0" t="n">
        <v>6.48691044537191</v>
      </c>
      <c r="K5" s="0" t="n">
        <v>0.65</v>
      </c>
      <c r="L5" s="0" t="n">
        <v>270.911</v>
      </c>
      <c r="M5" s="0" t="n">
        <v>49.501</v>
      </c>
      <c r="N5" s="0" t="n">
        <v>221.41</v>
      </c>
      <c r="O5" s="0" t="n">
        <v>1056.666</v>
      </c>
      <c r="P5" s="0" t="n">
        <v>2460.201</v>
      </c>
      <c r="Q5" s="0" t="n">
        <v>1403.535</v>
      </c>
      <c r="S5" s="0" t="n">
        <v>1011.306</v>
      </c>
      <c r="T5" s="0" t="n">
        <v>128.114</v>
      </c>
      <c r="U5" s="0" t="n">
        <v>88.892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1657.139</v>
      </c>
      <c r="C6" s="0" t="n">
        <v>323.813</v>
      </c>
      <c r="D6" s="0" t="n">
        <v>1333.326</v>
      </c>
      <c r="E6" s="0" t="n">
        <v>80.4595148626639</v>
      </c>
      <c r="F6" s="0" t="n">
        <v>97.497</v>
      </c>
      <c r="G6" s="0" t="n">
        <v>5.88345334941728</v>
      </c>
      <c r="H6" s="0" t="n">
        <v>173.243</v>
      </c>
      <c r="I6" s="0" t="n">
        <v>69.697</v>
      </c>
      <c r="J6" s="0" t="n">
        <v>4.20586323778512</v>
      </c>
      <c r="K6" s="0" t="n">
        <v>0.5</v>
      </c>
      <c r="L6" s="0" t="n">
        <v>459.081</v>
      </c>
      <c r="M6" s="0" t="n">
        <v>90.887</v>
      </c>
      <c r="N6" s="0" t="n">
        <v>368.194</v>
      </c>
      <c r="O6" s="0" t="n">
        <v>1276.491</v>
      </c>
      <c r="P6" s="0" t="n">
        <v>3091.165</v>
      </c>
      <c r="Q6" s="0" t="n">
        <v>1814.674</v>
      </c>
      <c r="S6" s="0" t="n">
        <v>424.292</v>
      </c>
      <c r="T6" s="0" t="n">
        <v>136.598</v>
      </c>
      <c r="U6" s="0" t="n">
        <v>120.429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2266.539</v>
      </c>
      <c r="C7" s="0" t="n">
        <v>488.886</v>
      </c>
      <c r="D7" s="0" t="n">
        <v>1777.653</v>
      </c>
      <c r="E7" s="0" t="n">
        <v>78.4302851175294</v>
      </c>
      <c r="F7" s="0" t="n">
        <v>-35.085</v>
      </c>
      <c r="G7" s="0" t="n">
        <v>-1.54795483333841</v>
      </c>
      <c r="H7" s="0" t="n">
        <v>122.201</v>
      </c>
      <c r="I7" s="0" t="n">
        <v>-11.572</v>
      </c>
      <c r="J7" s="0" t="n">
        <v>-0.510558168202709</v>
      </c>
      <c r="K7" s="0" t="n">
        <v>-0.02</v>
      </c>
      <c r="L7" s="0" t="n">
        <v>591.507</v>
      </c>
      <c r="M7" s="0" t="n">
        <v>151.645</v>
      </c>
      <c r="N7" s="0" t="n">
        <v>439.862</v>
      </c>
      <c r="O7" s="0" t="n">
        <v>1587.36</v>
      </c>
      <c r="P7" s="0" t="n">
        <v>4164.154</v>
      </c>
      <c r="Q7" s="0" t="n">
        <v>2498.053</v>
      </c>
      <c r="S7" s="0" t="n">
        <v>607.284</v>
      </c>
      <c r="T7" s="0" t="n">
        <v>137.036541</v>
      </c>
      <c r="U7" s="0" t="n">
        <v>229.3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3050.195</v>
      </c>
      <c r="C8" s="0" t="n">
        <v>683.579</v>
      </c>
      <c r="D8" s="0" t="n">
        <v>2366.616</v>
      </c>
      <c r="E8" s="0" t="n">
        <v>77.5890066044958</v>
      </c>
      <c r="F8" s="0" t="n">
        <v>-110.71</v>
      </c>
      <c r="G8" s="0" t="n">
        <v>-3.62960400892402</v>
      </c>
      <c r="H8" s="0" t="n">
        <v>106.085</v>
      </c>
      <c r="I8" s="0" t="n">
        <v>-270.445</v>
      </c>
      <c r="J8" s="0" t="n">
        <v>-8.86648230686891</v>
      </c>
      <c r="K8" s="0" t="n">
        <v>-0.48</v>
      </c>
      <c r="L8" s="0" t="n">
        <v>736.897</v>
      </c>
      <c r="M8" s="0" t="n">
        <v>175.601</v>
      </c>
      <c r="N8" s="0" t="n">
        <v>561.296</v>
      </c>
      <c r="O8" s="0" t="n">
        <v>2317.633</v>
      </c>
      <c r="P8" s="0" t="n">
        <v>5528.956</v>
      </c>
      <c r="Q8" s="0" t="n">
        <v>3157.711</v>
      </c>
      <c r="R8" s="0" t="n">
        <v>0</v>
      </c>
      <c r="S8" s="0" t="n">
        <v>747.245</v>
      </c>
      <c r="T8" s="0" t="n">
        <v>585.627</v>
      </c>
      <c r="U8" s="0" t="n">
        <v>379.35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4071.003</v>
      </c>
      <c r="C9" s="0" t="n">
        <v>968.428</v>
      </c>
      <c r="D9" s="0" t="n">
        <v>3102.575</v>
      </c>
      <c r="E9" s="0" t="n">
        <v>76.2115626050877</v>
      </c>
      <c r="F9" s="0" t="n">
        <v>-286.074</v>
      </c>
      <c r="G9" s="0" t="n">
        <v>-7.02711346564962</v>
      </c>
      <c r="H9" s="0" t="n">
        <v>83.349</v>
      </c>
      <c r="I9" s="0" t="n">
        <v>-232.175</v>
      </c>
      <c r="J9" s="0" t="n">
        <v>-5.70313998786049</v>
      </c>
      <c r="K9" s="0" t="n">
        <v>-0.39</v>
      </c>
      <c r="L9" s="0" t="n">
        <v>875.469</v>
      </c>
      <c r="M9" s="0" t="n">
        <v>299.11</v>
      </c>
      <c r="N9" s="0" t="n">
        <v>576.359</v>
      </c>
      <c r="O9" s="0" t="n">
        <v>3038.51</v>
      </c>
      <c r="P9" s="0" t="n">
        <v>9152.93</v>
      </c>
      <c r="Q9" s="0" t="n">
        <v>6087.715</v>
      </c>
      <c r="R9" s="0" t="n">
        <v>285</v>
      </c>
      <c r="S9" s="0" t="n">
        <v>781.635</v>
      </c>
      <c r="T9" s="0" t="n">
        <v>610.143</v>
      </c>
      <c r="U9" s="0" t="n">
        <v>503.28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5373.586</v>
      </c>
      <c r="D10" s="0" t="n">
        <v>4084.316</v>
      </c>
      <c r="E10" s="0" t="n">
        <v>76.007269633351</v>
      </c>
      <c r="F10" s="0" t="n">
        <v>-145.633</v>
      </c>
      <c r="G10" s="0" t="n">
        <v>-2.7101641250368</v>
      </c>
      <c r="H10" s="0" t="n">
        <v>302.663</v>
      </c>
      <c r="I10" s="0" t="n">
        <v>-262.688</v>
      </c>
      <c r="J10" s="0" t="n">
        <v>-4.88850462242532</v>
      </c>
      <c r="K10" s="0" t="n">
        <v>-0.42</v>
      </c>
      <c r="L10" s="0" t="n">
        <v>1181.444</v>
      </c>
      <c r="M10" s="0" t="n">
        <v>290.454</v>
      </c>
      <c r="N10" s="0" t="n">
        <v>890.99</v>
      </c>
      <c r="O10" s="0" t="n">
        <v>3975.183</v>
      </c>
      <c r="P10" s="0" t="n">
        <v>10665.127</v>
      </c>
      <c r="Q10" s="0" t="n">
        <v>6689.944</v>
      </c>
      <c r="S10" s="0" t="n">
        <v>908.117</v>
      </c>
      <c r="T10" s="0" t="n">
        <v>650.596</v>
      </c>
      <c r="U10" s="0" t="n">
        <v>564.765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6667.216</v>
      </c>
      <c r="D11" s="0" t="n">
        <v>5012.668</v>
      </c>
      <c r="E11" s="0" t="n">
        <v>75.1838248528321</v>
      </c>
      <c r="F11" s="0" t="n">
        <v>114.923</v>
      </c>
      <c r="G11" s="0" t="n">
        <v>1.72370296687553</v>
      </c>
      <c r="H11" s="0" t="n">
        <v>640.673</v>
      </c>
      <c r="I11" s="0" t="n">
        <v>-47.426</v>
      </c>
      <c r="J11" s="0" t="n">
        <v>-0.711331386293769</v>
      </c>
      <c r="K11" s="0" t="n">
        <v>-0.07</v>
      </c>
      <c r="L11" s="0" t="n">
        <v>1672.081</v>
      </c>
      <c r="M11" s="0" t="n">
        <v>284.476</v>
      </c>
      <c r="N11" s="0" t="n">
        <v>1387.605</v>
      </c>
      <c r="O11" s="0" t="n">
        <v>5003</v>
      </c>
      <c r="P11" s="0" t="n">
        <v>12762.92</v>
      </c>
      <c r="Q11" s="0" t="n">
        <v>7760.051</v>
      </c>
      <c r="S11" s="0" t="n">
        <v>1158</v>
      </c>
      <c r="T11" s="0" t="n">
        <v>670.929</v>
      </c>
      <c r="U11" s="0" t="n">
        <v>593.628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8437</v>
      </c>
      <c r="C12" s="0" t="n">
        <v>2234</v>
      </c>
      <c r="D12" s="0" t="n">
        <v>6203</v>
      </c>
      <c r="E12" s="0" t="n">
        <v>73.5213938603769</v>
      </c>
      <c r="F12" s="0" t="n">
        <v>218</v>
      </c>
      <c r="G12" s="0" t="n">
        <v>2.58385682114496</v>
      </c>
      <c r="H12" s="0" t="n">
        <v>850</v>
      </c>
      <c r="I12" s="0" t="n">
        <v>323</v>
      </c>
      <c r="J12" s="0" t="n">
        <v>3.82837501481569</v>
      </c>
      <c r="K12" s="0" t="n">
        <v>0.47</v>
      </c>
      <c r="L12" s="0" t="n">
        <v>2162</v>
      </c>
      <c r="M12" s="0" t="n">
        <v>464</v>
      </c>
      <c r="N12" s="0" t="n">
        <v>1698</v>
      </c>
      <c r="O12" s="0" t="n">
        <v>8230</v>
      </c>
      <c r="P12" s="0" t="n">
        <v>17584.923</v>
      </c>
      <c r="Q12" s="0" t="n">
        <v>10084.796</v>
      </c>
      <c r="R12" s="0" t="n">
        <v>2008.391</v>
      </c>
      <c r="S12" s="0" t="n">
        <v>1607</v>
      </c>
      <c r="T12" s="0" t="n">
        <v>707.46</v>
      </c>
      <c r="U12" s="0" t="n">
        <v>820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10540</v>
      </c>
      <c r="C13" s="0" t="n">
        <v>2773</v>
      </c>
      <c r="D13" s="0" t="n">
        <v>7767</v>
      </c>
      <c r="E13" s="0" t="n">
        <v>73.6907020872865</v>
      </c>
      <c r="F13" s="0" t="n">
        <v>454</v>
      </c>
      <c r="G13" s="0" t="n">
        <v>4.30740037950664</v>
      </c>
      <c r="H13" s="0" t="n">
        <v>1238</v>
      </c>
      <c r="I13" s="0" t="n">
        <v>360</v>
      </c>
      <c r="J13" s="0" t="n">
        <v>3.41555977229602</v>
      </c>
      <c r="K13" s="0" t="n">
        <v>0.5</v>
      </c>
      <c r="L13" s="0" t="n">
        <v>2738</v>
      </c>
      <c r="M13" s="0" t="n">
        <v>534</v>
      </c>
      <c r="N13" s="0" t="n">
        <v>2204</v>
      </c>
      <c r="O13" s="0" t="n">
        <v>10376</v>
      </c>
      <c r="P13" s="0" t="n">
        <v>21984</v>
      </c>
      <c r="Q13" s="0" t="n">
        <v>11608</v>
      </c>
      <c r="R13" s="0" t="n">
        <v>1720</v>
      </c>
      <c r="S13" s="0" t="n">
        <v>2543</v>
      </c>
      <c r="T13" s="0" t="n">
        <v>735</v>
      </c>
      <c r="U13" s="0" t="n">
        <v>997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13282</v>
      </c>
      <c r="C14" s="0" t="n">
        <v>3451</v>
      </c>
      <c r="D14" s="0" t="n">
        <v>9831</v>
      </c>
      <c r="E14" s="0" t="n">
        <v>74.0174672489083</v>
      </c>
      <c r="F14" s="0" t="n">
        <v>535</v>
      </c>
      <c r="G14" s="0" t="n">
        <v>4.02800783014606</v>
      </c>
      <c r="H14" s="0" t="n">
        <v>1517</v>
      </c>
      <c r="I14" s="0" t="n">
        <v>1110</v>
      </c>
      <c r="J14" s="0" t="n">
        <v>8.35717512422828</v>
      </c>
      <c r="K14" s="0" t="n">
        <v>1.48</v>
      </c>
      <c r="L14" s="0" t="n">
        <v>3398</v>
      </c>
      <c r="M14" s="0" t="n">
        <v>595</v>
      </c>
      <c r="N14" s="0" t="n">
        <v>2803</v>
      </c>
      <c r="O14" s="0" t="n">
        <v>15605</v>
      </c>
      <c r="P14" s="0" t="n">
        <v>30737</v>
      </c>
      <c r="Q14" s="0" t="n">
        <v>15132</v>
      </c>
      <c r="R14" s="0" t="n">
        <v>3176</v>
      </c>
      <c r="S14" s="0" t="n">
        <v>2669</v>
      </c>
      <c r="T14" s="0" t="n">
        <v>775</v>
      </c>
      <c r="U14" s="0" t="n">
        <v>1283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17098</v>
      </c>
      <c r="C15" s="0" t="n">
        <v>4235</v>
      </c>
      <c r="D15" s="0" t="n">
        <v>12863</v>
      </c>
      <c r="E15" s="0" t="n">
        <v>75.2310211720669</v>
      </c>
      <c r="F15" s="0" t="n">
        <v>297</v>
      </c>
      <c r="G15" s="0" t="n">
        <v>1.73704526845245</v>
      </c>
      <c r="H15" s="0" t="n">
        <v>2432</v>
      </c>
      <c r="I15" s="0" t="n">
        <v>126</v>
      </c>
      <c r="J15" s="0" t="n">
        <v>0.7369282957071</v>
      </c>
      <c r="K15" s="0" t="n">
        <v>0.15</v>
      </c>
      <c r="L15" s="0" t="n">
        <v>4331</v>
      </c>
      <c r="M15" s="0" t="n">
        <v>643</v>
      </c>
      <c r="N15" s="0" t="n">
        <v>3688</v>
      </c>
      <c r="O15" s="0" t="n">
        <v>33885</v>
      </c>
      <c r="P15" s="0" t="n">
        <v>55126</v>
      </c>
      <c r="Q15" s="0" t="n">
        <v>21241</v>
      </c>
      <c r="R15" s="0" t="n">
        <v>2677</v>
      </c>
      <c r="S15" s="0" t="n">
        <v>4145</v>
      </c>
      <c r="T15" s="0" t="n">
        <v>893</v>
      </c>
      <c r="U15" s="0" t="n">
        <v>1785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21252</v>
      </c>
      <c r="C16" s="0" t="n">
        <v>5438</v>
      </c>
      <c r="D16" s="0" t="n">
        <v>15814</v>
      </c>
      <c r="E16" s="0" t="n">
        <v>74.411820063994</v>
      </c>
      <c r="F16" s="0" t="n">
        <v>455</v>
      </c>
      <c r="G16" s="0" t="n">
        <v>2.14097496706192</v>
      </c>
      <c r="H16" s="0" t="n">
        <v>3301</v>
      </c>
      <c r="I16" s="0" t="n">
        <v>4072</v>
      </c>
      <c r="J16" s="0" t="n">
        <v>19.1605495953322</v>
      </c>
      <c r="K16" s="0" t="n">
        <v>4.48</v>
      </c>
      <c r="L16" s="0" t="n">
        <v>4801</v>
      </c>
      <c r="M16" s="0" t="n">
        <v>710</v>
      </c>
      <c r="N16" s="0" t="n">
        <v>4091</v>
      </c>
      <c r="O16" s="0" t="n">
        <v>41493</v>
      </c>
      <c r="P16" s="0" t="n">
        <v>66301</v>
      </c>
      <c r="Q16" s="0" t="n">
        <v>24808</v>
      </c>
      <c r="R16" s="0" t="n">
        <v>2681</v>
      </c>
      <c r="S16" s="0" t="n">
        <v>6195</v>
      </c>
      <c r="T16" s="0" t="n">
        <v>930</v>
      </c>
      <c r="U16" s="0" t="n">
        <v>2190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26492</v>
      </c>
      <c r="C17" s="0" t="n">
        <v>7026</v>
      </c>
      <c r="D17" s="0" t="n">
        <v>19466</v>
      </c>
      <c r="E17" s="0" t="n">
        <v>73.4787860486185</v>
      </c>
      <c r="F17" s="0" t="n">
        <v>548</v>
      </c>
      <c r="G17" s="0" t="n">
        <v>2.0685489959233</v>
      </c>
      <c r="H17" s="0" t="n">
        <v>3846</v>
      </c>
      <c r="I17" s="0" t="n">
        <v>1444</v>
      </c>
      <c r="J17" s="0" t="n">
        <v>5.45070209874679</v>
      </c>
      <c r="K17" s="0" t="n">
        <v>1.51</v>
      </c>
      <c r="L17" s="0" t="n">
        <v>6000</v>
      </c>
      <c r="M17" s="0" t="n">
        <v>717</v>
      </c>
      <c r="N17" s="0" t="n">
        <v>5283</v>
      </c>
      <c r="O17" s="0" t="n">
        <v>58131</v>
      </c>
      <c r="P17" s="0" t="n">
        <v>95209</v>
      </c>
      <c r="Q17" s="0" t="n">
        <v>37078</v>
      </c>
      <c r="R17" s="0" t="n">
        <v>10600</v>
      </c>
      <c r="S17" s="0" t="n">
        <v>5464</v>
      </c>
      <c r="T17" s="0" t="n">
        <v>989</v>
      </c>
      <c r="U17" s="0" t="n">
        <v>2779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31352</v>
      </c>
      <c r="C18" s="0" t="n">
        <v>8360</v>
      </c>
      <c r="D18" s="0" t="n">
        <v>22992</v>
      </c>
      <c r="E18" s="0" t="n">
        <v>73.3350344475632</v>
      </c>
      <c r="F18" s="0" t="n">
        <v>1030</v>
      </c>
      <c r="G18" s="0" t="n">
        <v>3.2852768563409</v>
      </c>
      <c r="H18" s="0" t="n">
        <v>4816</v>
      </c>
      <c r="I18" s="0" t="n">
        <v>208</v>
      </c>
      <c r="J18" s="0" t="n">
        <v>0.663434549630008</v>
      </c>
      <c r="K18" s="0" t="n">
        <v>0.21</v>
      </c>
      <c r="L18" s="0" t="n">
        <v>7111</v>
      </c>
      <c r="M18" s="0" t="n">
        <v>798</v>
      </c>
      <c r="N18" s="0" t="n">
        <v>6313</v>
      </c>
      <c r="O18" s="0" t="n">
        <v>58359</v>
      </c>
      <c r="P18" s="0" t="n">
        <v>98849</v>
      </c>
      <c r="Q18" s="0" t="n">
        <v>40490</v>
      </c>
      <c r="R18" s="0" t="n">
        <v>11783</v>
      </c>
      <c r="S18" s="0" t="n">
        <v>7016</v>
      </c>
      <c r="T18" s="0" t="n">
        <v>1009</v>
      </c>
      <c r="U18" s="0" t="n">
        <v>3279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34857</v>
      </c>
      <c r="C19" s="0" t="n">
        <v>8541</v>
      </c>
      <c r="D19" s="0" t="n">
        <v>26316</v>
      </c>
      <c r="E19" s="0" t="n">
        <v>75.4970307255358</v>
      </c>
      <c r="F19" s="0" t="n">
        <v>5011</v>
      </c>
      <c r="G19" s="0" t="n">
        <v>14.3758785896664</v>
      </c>
      <c r="H19" s="0" t="n">
        <v>8970</v>
      </c>
      <c r="I19" s="0" t="n">
        <v>4136</v>
      </c>
      <c r="J19" s="0" t="n">
        <v>11.8656224000918</v>
      </c>
      <c r="K19" s="0" t="n">
        <v>4.25</v>
      </c>
      <c r="L19" s="0" t="n">
        <v>10234</v>
      </c>
      <c r="M19" s="0" t="n">
        <v>736</v>
      </c>
      <c r="N19" s="0" t="n">
        <v>9498</v>
      </c>
      <c r="O19" s="0" t="n">
        <v>59646</v>
      </c>
      <c r="P19" s="0" t="n">
        <v>99823</v>
      </c>
      <c r="Q19" s="0" t="n">
        <v>40177</v>
      </c>
      <c r="R19" s="0" t="n">
        <v>10425</v>
      </c>
      <c r="S19" s="0" t="n">
        <v>8472</v>
      </c>
      <c r="T19" s="0" t="n">
        <v>984</v>
      </c>
      <c r="U19" s="0" t="n">
        <v>2787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37895</v>
      </c>
      <c r="C20" s="0" t="n">
        <v>8643</v>
      </c>
      <c r="D20" s="0" t="n">
        <v>29252</v>
      </c>
      <c r="E20" s="0" t="n">
        <v>77.1922417205436</v>
      </c>
      <c r="F20" s="0" t="n">
        <v>7205</v>
      </c>
      <c r="G20" s="0" t="n">
        <v>19.0130624092888</v>
      </c>
      <c r="H20" s="0" t="n">
        <v>10682</v>
      </c>
      <c r="I20" s="0" t="n">
        <v>6197</v>
      </c>
      <c r="J20" s="0" t="n">
        <v>16.3530808813828</v>
      </c>
      <c r="K20" s="0" t="n">
        <v>6.44</v>
      </c>
      <c r="L20" s="0" t="n">
        <v>13092</v>
      </c>
      <c r="M20" s="0" t="n">
        <v>658</v>
      </c>
      <c r="N20" s="0" t="n">
        <v>12434</v>
      </c>
      <c r="O20" s="0" t="n">
        <v>61173</v>
      </c>
      <c r="P20" s="0" t="n">
        <v>102928</v>
      </c>
      <c r="Q20" s="0" t="n">
        <v>41755</v>
      </c>
      <c r="R20" s="0" t="n">
        <v>8433</v>
      </c>
      <c r="S20" s="0" t="n">
        <v>8848</v>
      </c>
      <c r="T20" s="0" t="n">
        <v>974</v>
      </c>
      <c r="U20" s="0" t="n">
        <v>3183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41525</v>
      </c>
      <c r="C21" s="0" t="n">
        <v>9270</v>
      </c>
      <c r="D21" s="0" t="n">
        <v>32255</v>
      </c>
      <c r="E21" s="0" t="n">
        <v>77.6760987357014</v>
      </c>
      <c r="F21" s="0" t="n">
        <v>8331</v>
      </c>
      <c r="G21" s="0" t="n">
        <v>20.0626128838049</v>
      </c>
      <c r="H21" s="0" t="n">
        <v>11962</v>
      </c>
      <c r="I21" s="0" t="n">
        <v>7457</v>
      </c>
      <c r="J21" s="0" t="n">
        <v>17.9578567128236</v>
      </c>
      <c r="K21" s="0" t="n">
        <v>7.85</v>
      </c>
      <c r="L21" s="0" t="n">
        <v>14996</v>
      </c>
      <c r="M21" s="0" t="n">
        <v>594</v>
      </c>
      <c r="N21" s="0" t="n">
        <v>14402</v>
      </c>
      <c r="O21" s="0" t="n">
        <v>59142</v>
      </c>
      <c r="P21" s="0" t="n">
        <v>112305</v>
      </c>
      <c r="Q21" s="0" t="n">
        <v>53163</v>
      </c>
      <c r="R21" s="0" t="n">
        <v>18439</v>
      </c>
      <c r="S21" s="0" t="n">
        <v>7327</v>
      </c>
      <c r="T21" s="0" t="n">
        <v>956</v>
      </c>
      <c r="U21" s="0" t="n">
        <v>3509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234.02</v>
      </c>
    </row>
    <row r="3" customFormat="false" ht="15" hidden="false" customHeight="false" outlineLevel="0" collapsed="false">
      <c r="A3" s="0" t="s">
        <v>86</v>
      </c>
      <c r="B3" s="3" t="n">
        <v>826</v>
      </c>
    </row>
    <row r="4" customFormat="false" ht="15" hidden="false" customHeight="false" outlineLevel="0" collapsed="false">
      <c r="A4" s="0" t="s">
        <v>87</v>
      </c>
      <c r="B4" s="3" t="n">
        <v>27885</v>
      </c>
    </row>
    <row r="5" customFormat="false" ht="15" hidden="false" customHeight="false" outlineLevel="0" collapsed="false">
      <c r="A5" s="0" t="s">
        <v>88</v>
      </c>
      <c r="B5" s="3" t="n">
        <v>8493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41525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10.5</v>
      </c>
      <c r="D13" s="3" t="n">
        <v>6</v>
      </c>
      <c r="E13" s="3" t="n">
        <v>5</v>
      </c>
      <c r="F13" s="3" t="n">
        <v>4</v>
      </c>
      <c r="G13" s="3" t="n">
        <v>3.5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107</v>
      </c>
      <c r="C14" s="3" t="n">
        <v>37</v>
      </c>
      <c r="D14" s="3" t="n">
        <v>36.5</v>
      </c>
      <c r="E14" s="3" t="n">
        <v>36</v>
      </c>
      <c r="F14" s="3" t="n">
        <v>35.5</v>
      </c>
      <c r="G14" s="3" t="n">
        <v>35</v>
      </c>
      <c r="H14" s="3" t="n">
        <v>35</v>
      </c>
      <c r="I14" s="3" t="n">
        <v>35</v>
      </c>
      <c r="J14" s="3" t="n">
        <v>35</v>
      </c>
      <c r="K14" s="3" t="n">
        <v>35</v>
      </c>
      <c r="L14" s="3" t="n">
        <v>35</v>
      </c>
    </row>
    <row r="15" customFormat="false" ht="15" hidden="false" customHeight="false" outlineLevel="0" collapsed="false">
      <c r="A15" s="0" t="s">
        <v>108</v>
      </c>
      <c r="C15" s="3" t="n">
        <v>9.3</v>
      </c>
      <c r="D15" s="3" t="n">
        <v>9.2</v>
      </c>
      <c r="E15" s="3" t="n">
        <v>9.1</v>
      </c>
      <c r="F15" s="3" t="n">
        <v>9</v>
      </c>
      <c r="G15" s="3" t="n">
        <v>8.8</v>
      </c>
      <c r="H15" s="3" t="n">
        <v>8.6</v>
      </c>
      <c r="I15" s="3" t="n">
        <v>8.5</v>
      </c>
      <c r="J15" s="3" t="n">
        <v>8.5</v>
      </c>
      <c r="K15" s="3" t="n">
        <v>8.5</v>
      </c>
      <c r="L15" s="3" t="n">
        <v>8.5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9</v>
      </c>
      <c r="D17" s="3" t="n">
        <v>8.5</v>
      </c>
      <c r="E17" s="3" t="n">
        <v>7.5</v>
      </c>
      <c r="F17" s="3" t="n">
        <v>6.5</v>
      </c>
      <c r="G17" s="3" t="n">
        <v>5.5</v>
      </c>
      <c r="H17" s="3" t="n">
        <v>4.5</v>
      </c>
      <c r="I17" s="3" t="n">
        <v>3.8</v>
      </c>
      <c r="J17" s="3" t="n">
        <v>3.2</v>
      </c>
      <c r="K17" s="3" t="n">
        <v>2.8</v>
      </c>
      <c r="L17" s="3" t="n">
        <v>2.5</v>
      </c>
    </row>
    <row r="18" customFormat="false" ht="15" hidden="false" customHeight="false" outlineLevel="0" collapsed="false">
      <c r="A18" s="0" t="s">
        <v>111</v>
      </c>
      <c r="C18" s="3" t="n">
        <v>1.5</v>
      </c>
      <c r="D18" s="3" t="n">
        <v>1.7</v>
      </c>
      <c r="E18" s="3" t="n">
        <v>1.9</v>
      </c>
      <c r="F18" s="3" t="n">
        <v>2.1</v>
      </c>
      <c r="G18" s="3" t="n">
        <v>2.3</v>
      </c>
      <c r="H18" s="3" t="n">
        <v>2.5</v>
      </c>
      <c r="I18" s="3" t="n">
        <v>2.5</v>
      </c>
      <c r="J18" s="3" t="n">
        <v>2.5</v>
      </c>
      <c r="K18" s="3" t="n">
        <v>2.5</v>
      </c>
      <c r="L18" s="3" t="n">
        <v>2.5</v>
      </c>
    </row>
    <row r="19" customFormat="false" ht="15" hidden="false" customHeight="false" outlineLevel="0" collapsed="false">
      <c r="A19" s="0" t="s">
        <v>112</v>
      </c>
      <c r="C19" s="3" t="n">
        <v>16</v>
      </c>
      <c r="D19" s="3" t="n">
        <v>18</v>
      </c>
      <c r="E19" s="3" t="n">
        <v>20</v>
      </c>
      <c r="F19" s="3" t="n">
        <v>21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113</v>
      </c>
      <c r="B20" s="3" t="n">
        <v>9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14</v>
      </c>
    </row>
    <row r="23" customFormat="false" ht="15" hidden="false" customHeight="false" outlineLevel="0" collapsed="false">
      <c r="A23" s="0" t="s">
        <v>116</v>
      </c>
      <c r="B23" s="3" t="n">
        <v>15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11.2</v>
      </c>
      <c r="D27" s="3" t="n">
        <v>9</v>
      </c>
      <c r="E27" s="3" t="n">
        <v>8.5</v>
      </c>
      <c r="F27" s="3" t="n">
        <v>8</v>
      </c>
      <c r="G27" s="3" t="n">
        <v>7.5</v>
      </c>
      <c r="H27" s="3" t="n">
        <v>7</v>
      </c>
      <c r="I27" s="3" t="n">
        <v>6</v>
      </c>
      <c r="J27" s="3" t="n">
        <v>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107</v>
      </c>
      <c r="C28" s="3" t="n">
        <v>37.2</v>
      </c>
      <c r="D28" s="3" t="n">
        <v>37.8</v>
      </c>
      <c r="E28" s="3" t="n">
        <v>38.3</v>
      </c>
      <c r="F28" s="3" t="n">
        <v>38.8</v>
      </c>
      <c r="G28" s="3" t="n">
        <v>39.2</v>
      </c>
      <c r="H28" s="3" t="n">
        <v>39.5</v>
      </c>
      <c r="I28" s="3" t="n">
        <v>39.8</v>
      </c>
      <c r="J28" s="3" t="n">
        <v>40</v>
      </c>
      <c r="K28" s="3" t="n">
        <v>40</v>
      </c>
      <c r="L28" s="3" t="n">
        <v>40</v>
      </c>
    </row>
    <row r="29" customFormat="false" ht="15" hidden="false" customHeight="false" outlineLevel="0" collapsed="false">
      <c r="A29" s="0" t="s">
        <v>108</v>
      </c>
      <c r="C29" s="3" t="n">
        <v>9.2</v>
      </c>
      <c r="D29" s="3" t="n">
        <v>9</v>
      </c>
      <c r="E29" s="3" t="n">
        <v>8.7</v>
      </c>
      <c r="F29" s="3" t="n">
        <v>8.4</v>
      </c>
      <c r="G29" s="3" t="n">
        <v>8.1</v>
      </c>
      <c r="H29" s="3" t="n">
        <v>7.8</v>
      </c>
      <c r="I29" s="3" t="n">
        <v>7.5</v>
      </c>
      <c r="J29" s="3" t="n">
        <v>7.2</v>
      </c>
      <c r="K29" s="3" t="n">
        <v>7</v>
      </c>
      <c r="L29" s="3" t="n">
        <v>7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9</v>
      </c>
      <c r="D31" s="3" t="n">
        <v>8.5</v>
      </c>
      <c r="E31" s="3" t="n">
        <v>7.5</v>
      </c>
      <c r="F31" s="3" t="n">
        <v>6.5</v>
      </c>
      <c r="G31" s="3" t="n">
        <v>5.5</v>
      </c>
      <c r="H31" s="3" t="n">
        <v>4.5</v>
      </c>
      <c r="I31" s="3" t="n">
        <v>3.8</v>
      </c>
      <c r="J31" s="3" t="n">
        <v>3.2</v>
      </c>
      <c r="K31" s="3" t="n">
        <v>2.8</v>
      </c>
      <c r="L31" s="3" t="n">
        <v>2.5</v>
      </c>
    </row>
    <row r="32" customFormat="false" ht="15" hidden="false" customHeight="false" outlineLevel="0" collapsed="false">
      <c r="A32" s="0" t="s">
        <v>111</v>
      </c>
      <c r="C32" s="3" t="n">
        <v>1.5</v>
      </c>
      <c r="D32" s="3" t="n">
        <v>1.6</v>
      </c>
      <c r="E32" s="3" t="n">
        <v>1.7</v>
      </c>
      <c r="F32" s="3" t="n">
        <v>1.8</v>
      </c>
      <c r="G32" s="3" t="n">
        <v>1.9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</row>
    <row r="33" customFormat="false" ht="15" hidden="false" customHeight="false" outlineLevel="0" collapsed="false">
      <c r="A33" s="0" t="s">
        <v>112</v>
      </c>
      <c r="C33" s="3" t="n">
        <v>16</v>
      </c>
      <c r="D33" s="3" t="n">
        <v>18</v>
      </c>
      <c r="E33" s="3" t="n">
        <v>20</v>
      </c>
      <c r="F33" s="3" t="n">
        <v>21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113</v>
      </c>
      <c r="B34" s="3" t="n">
        <v>9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20</v>
      </c>
    </row>
    <row r="37" customFormat="false" ht="15" hidden="false" customHeight="false" outlineLevel="0" collapsed="false">
      <c r="A37" s="0" t="s">
        <v>116</v>
      </c>
      <c r="B37" s="3" t="n">
        <v>15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11.8</v>
      </c>
      <c r="D41" s="3" t="n">
        <v>11</v>
      </c>
      <c r="E41" s="3" t="n">
        <v>10.5</v>
      </c>
      <c r="F41" s="3" t="n">
        <v>10</v>
      </c>
      <c r="G41" s="3" t="n">
        <v>9.5</v>
      </c>
      <c r="H41" s="3" t="n">
        <v>9</v>
      </c>
      <c r="I41" s="3" t="n">
        <v>8</v>
      </c>
      <c r="J41" s="3" t="n">
        <v>7</v>
      </c>
      <c r="K41" s="3" t="n">
        <v>6</v>
      </c>
      <c r="L41" s="3" t="n">
        <v>5</v>
      </c>
    </row>
    <row r="42" customFormat="false" ht="15" hidden="false" customHeight="false" outlineLevel="0" collapsed="false">
      <c r="A42" s="0" t="s">
        <v>107</v>
      </c>
      <c r="C42" s="3" t="n">
        <v>37.5</v>
      </c>
      <c r="D42" s="3" t="n">
        <v>38.5</v>
      </c>
      <c r="E42" s="3" t="n">
        <v>39.5</v>
      </c>
      <c r="F42" s="3" t="n">
        <v>40.5</v>
      </c>
      <c r="G42" s="3" t="n">
        <v>41.3</v>
      </c>
      <c r="H42" s="3" t="n">
        <v>42</v>
      </c>
      <c r="I42" s="3" t="n">
        <v>42.5</v>
      </c>
      <c r="J42" s="3" t="n">
        <v>43</v>
      </c>
      <c r="K42" s="3" t="n">
        <v>43</v>
      </c>
      <c r="L42" s="3" t="n">
        <v>43</v>
      </c>
    </row>
    <row r="43" customFormat="false" ht="15" hidden="false" customHeight="false" outlineLevel="0" collapsed="false">
      <c r="A43" s="0" t="s">
        <v>108</v>
      </c>
      <c r="C43" s="3" t="n">
        <v>9</v>
      </c>
      <c r="D43" s="3" t="n">
        <v>8.6</v>
      </c>
      <c r="E43" s="3" t="n">
        <v>8.2</v>
      </c>
      <c r="F43" s="3" t="n">
        <v>7.8</v>
      </c>
      <c r="G43" s="3" t="n">
        <v>7.4</v>
      </c>
      <c r="H43" s="3" t="n">
        <v>7</v>
      </c>
      <c r="I43" s="3" t="n">
        <v>6.8</v>
      </c>
      <c r="J43" s="3" t="n">
        <v>6.5</v>
      </c>
      <c r="K43" s="3" t="n">
        <v>6.5</v>
      </c>
      <c r="L43" s="3" t="n">
        <v>6.5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9</v>
      </c>
      <c r="D45" s="3" t="n">
        <v>8.5</v>
      </c>
      <c r="E45" s="3" t="n">
        <v>7.5</v>
      </c>
      <c r="F45" s="3" t="n">
        <v>6.5</v>
      </c>
      <c r="G45" s="3" t="n">
        <v>5.5</v>
      </c>
      <c r="H45" s="3" t="n">
        <v>4.5</v>
      </c>
      <c r="I45" s="3" t="n">
        <v>3.8</v>
      </c>
      <c r="J45" s="3" t="n">
        <v>3.2</v>
      </c>
      <c r="K45" s="3" t="n">
        <v>2.8</v>
      </c>
      <c r="L45" s="3" t="n">
        <v>2.5</v>
      </c>
    </row>
    <row r="46" customFormat="false" ht="15" hidden="false" customHeight="false" outlineLevel="0" collapsed="false">
      <c r="A46" s="0" t="s">
        <v>111</v>
      </c>
      <c r="C46" s="3" t="n">
        <v>1.5</v>
      </c>
      <c r="D46" s="3" t="n">
        <v>1.6</v>
      </c>
      <c r="E46" s="3" t="n">
        <v>1.7</v>
      </c>
      <c r="F46" s="3" t="n">
        <v>1.8</v>
      </c>
      <c r="G46" s="3" t="n">
        <v>1.9</v>
      </c>
      <c r="H46" s="3" t="n">
        <v>2</v>
      </c>
      <c r="I46" s="3" t="n">
        <v>2</v>
      </c>
      <c r="J46" s="3" t="n">
        <v>2</v>
      </c>
      <c r="K46" s="3" t="n">
        <v>2</v>
      </c>
      <c r="L46" s="3" t="n">
        <v>2</v>
      </c>
    </row>
    <row r="47" customFormat="false" ht="15" hidden="false" customHeight="false" outlineLevel="0" collapsed="false">
      <c r="A47" s="0" t="s">
        <v>112</v>
      </c>
      <c r="C47" s="3" t="n">
        <v>16</v>
      </c>
      <c r="D47" s="3" t="n">
        <v>18</v>
      </c>
      <c r="E47" s="3" t="n">
        <v>20</v>
      </c>
      <c r="F47" s="3" t="n">
        <v>21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113</v>
      </c>
      <c r="B48" s="3" t="n">
        <v>9</v>
      </c>
    </row>
    <row r="49" customFormat="false" ht="15" hidden="false" customHeight="false" outlineLevel="0" collapsed="false">
      <c r="A49" s="0" t="s">
        <v>114</v>
      </c>
      <c r="B49" s="3" t="n">
        <v>3.5</v>
      </c>
    </row>
    <row r="50" customFormat="false" ht="15" hidden="false" customHeight="false" outlineLevel="0" collapsed="false">
      <c r="A50" s="0" t="s">
        <v>115</v>
      </c>
      <c r="B50" s="3" t="n">
        <v>20</v>
      </c>
    </row>
    <row r="51" customFormat="false" ht="15" hidden="false" customHeight="false" outlineLevel="0" collapsed="false">
      <c r="A51" s="0" t="s">
        <v>116</v>
      </c>
      <c r="B51" s="3" t="n">
        <v>15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10.5</v>
      </c>
      <c r="D5" s="4" t="n">
        <f aca="false">Assumptions!D13</f>
        <v>6</v>
      </c>
      <c r="E5" s="4" t="n">
        <f aca="false">Assumptions!E13</f>
        <v>5</v>
      </c>
      <c r="F5" s="4" t="n">
        <f aca="false">Assumptions!F13</f>
        <v>4</v>
      </c>
      <c r="G5" s="4" t="n">
        <f aca="false">Assumptions!G13</f>
        <v>3.5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41525</v>
      </c>
      <c r="C6" s="0" t="n">
        <f aca="false">B6*(1+C5/100)</f>
        <v>45885.125</v>
      </c>
      <c r="D6" s="0" t="n">
        <f aca="false">C6*(1+D5/100)</f>
        <v>48638.2325</v>
      </c>
      <c r="E6" s="0" t="n">
        <f aca="false">D6*(1+E5/100)</f>
        <v>51070.144125</v>
      </c>
      <c r="F6" s="0" t="n">
        <f aca="false">E6*(1+F5/100)</f>
        <v>53112.94989</v>
      </c>
      <c r="G6" s="0" t="n">
        <f aca="false">F6*(1+G5/100)</f>
        <v>54971.90313615</v>
      </c>
      <c r="H6" s="0" t="n">
        <f aca="false">G6*(1+H5/100)</f>
        <v>56621.0602302345</v>
      </c>
      <c r="I6" s="0" t="n">
        <f aca="false">H6*(1+I5/100)</f>
        <v>58319.6920371416</v>
      </c>
      <c r="J6" s="0" t="n">
        <f aca="false">I6*(1+J5/100)</f>
        <v>59777.6843380701</v>
      </c>
      <c r="K6" s="0" t="n">
        <f aca="false">J6*(1+K5/100)</f>
        <v>61272.1264465218</v>
      </c>
      <c r="L6" s="0" t="n">
        <f aca="false">K6*(1+L5/100)</f>
        <v>62803.9296076849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37</v>
      </c>
      <c r="D7" s="4" t="n">
        <f aca="false">Assumptions!D14</f>
        <v>36.5</v>
      </c>
      <c r="E7" s="4" t="n">
        <f aca="false">Assumptions!E14</f>
        <v>36</v>
      </c>
      <c r="F7" s="4" t="n">
        <f aca="false">Assumptions!F14</f>
        <v>35.5</v>
      </c>
      <c r="G7" s="4" t="n">
        <f aca="false">Assumptions!G14</f>
        <v>35</v>
      </c>
      <c r="H7" s="4" t="n">
        <f aca="false">Assumptions!H14</f>
        <v>35</v>
      </c>
      <c r="I7" s="4" t="n">
        <f aca="false">Assumptions!I14</f>
        <v>35</v>
      </c>
      <c r="J7" s="4" t="n">
        <f aca="false">Assumptions!J14</f>
        <v>35</v>
      </c>
      <c r="K7" s="4" t="n">
        <f aca="false">Assumptions!K14</f>
        <v>35</v>
      </c>
      <c r="L7" s="4" t="n">
        <f aca="false">Assumptions!L14</f>
        <v>35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16977.49625</v>
      </c>
      <c r="D8" s="0" t="n">
        <f aca="false">D6*D7/100</f>
        <v>17752.9548625</v>
      </c>
      <c r="E8" s="0" t="n">
        <f aca="false">E6*E7/100</f>
        <v>18385.251885</v>
      </c>
      <c r="F8" s="0" t="n">
        <f aca="false">F6*F7/100</f>
        <v>18855.09721095</v>
      </c>
      <c r="G8" s="0" t="n">
        <f aca="false">G6*G7/100</f>
        <v>19240.1660976525</v>
      </c>
      <c r="H8" s="0" t="n">
        <f aca="false">H6*H7/100</f>
        <v>19817.3710805821</v>
      </c>
      <c r="I8" s="0" t="n">
        <f aca="false">I6*I7/100</f>
        <v>20411.8922129995</v>
      </c>
      <c r="J8" s="0" t="n">
        <f aca="false">J6*J7/100</f>
        <v>20922.1895183245</v>
      </c>
      <c r="K8" s="0" t="n">
        <f aca="false">K6*K7/100</f>
        <v>21445.2442562826</v>
      </c>
      <c r="L8" s="0" t="n">
        <f aca="false">L6*L7/100</f>
        <v>21981.3753626897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9.3</v>
      </c>
      <c r="D9" s="4" t="n">
        <f aca="false">Assumptions!D15</f>
        <v>9.2</v>
      </c>
      <c r="E9" s="4" t="n">
        <f aca="false">Assumptions!E15</f>
        <v>9.1</v>
      </c>
      <c r="F9" s="4" t="n">
        <f aca="false">Assumptions!F15</f>
        <v>9</v>
      </c>
      <c r="G9" s="4" t="n">
        <f aca="false">Assumptions!G15</f>
        <v>8.8</v>
      </c>
      <c r="H9" s="4" t="n">
        <f aca="false">Assumptions!H15</f>
        <v>8.6</v>
      </c>
      <c r="I9" s="4" t="n">
        <f aca="false">Assumptions!I15</f>
        <v>8.5</v>
      </c>
      <c r="J9" s="4" t="n">
        <f aca="false">Assumptions!J15</f>
        <v>8.5</v>
      </c>
      <c r="K9" s="4" t="n">
        <f aca="false">Assumptions!K15</f>
        <v>8.5</v>
      </c>
      <c r="L9" s="4" t="n">
        <f aca="false">Assumptions!L15</f>
        <v>8.5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-4267.316625</v>
      </c>
      <c r="D10" s="0" t="n">
        <f aca="false">-D6*D9/100</f>
        <v>-4474.71739</v>
      </c>
      <c r="E10" s="0" t="n">
        <f aca="false">-E6*E9/100</f>
        <v>-4647.383115375</v>
      </c>
      <c r="F10" s="0" t="n">
        <f aca="false">-F6*F9/100</f>
        <v>-4780.1654901</v>
      </c>
      <c r="G10" s="0" t="n">
        <f aca="false">-G6*G9/100</f>
        <v>-4837.5274759812</v>
      </c>
      <c r="H10" s="0" t="n">
        <f aca="false">-H6*H9/100</f>
        <v>-4869.41117980017</v>
      </c>
      <c r="I10" s="0" t="n">
        <f aca="false">-I6*I9/100</f>
        <v>-4957.17382315703</v>
      </c>
      <c r="J10" s="0" t="n">
        <f aca="false">-J6*J9/100</f>
        <v>-5081.10316873596</v>
      </c>
      <c r="K10" s="0" t="n">
        <f aca="false">-K6*K9/100</f>
        <v>-5208.13074795436</v>
      </c>
      <c r="L10" s="0" t="n">
        <f aca="false">-L6*L9/100</f>
        <v>-5338.33401665321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12710.179625</v>
      </c>
      <c r="D11" s="0" t="n">
        <f aca="false">D8+D10+D24</f>
        <v>13278.2374725</v>
      </c>
      <c r="E11" s="0" t="n">
        <f aca="false">E8+E10+E24</f>
        <v>13737.868769625</v>
      </c>
      <c r="F11" s="0" t="n">
        <f aca="false">F8+F10+F24</f>
        <v>14074.93172085</v>
      </c>
      <c r="G11" s="0" t="n">
        <f aca="false">G8+G10+G24</f>
        <v>14402.6386216713</v>
      </c>
      <c r="H11" s="0" t="n">
        <f aca="false">H8+H10+H24</f>
        <v>14947.9599007819</v>
      </c>
      <c r="I11" s="0" t="n">
        <f aca="false">I8+I10+I24</f>
        <v>15454.7183898425</v>
      </c>
      <c r="J11" s="0" t="n">
        <f aca="false">J8+J10+J24</f>
        <v>15841.0863495886</v>
      </c>
      <c r="K11" s="0" t="n">
        <f aca="false">K8+K10+K24</f>
        <v>16237.1135083283</v>
      </c>
      <c r="L11" s="0" t="n">
        <f aca="false">L8+L10+L24</f>
        <v>16643.0413460365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-4129.66125</v>
      </c>
      <c r="D12" s="4" t="n">
        <f aca="false">-D6*Assumptions!D17/100</f>
        <v>-4134.2497625</v>
      </c>
      <c r="E12" s="4" t="n">
        <f aca="false">-E6*Assumptions!E17/100</f>
        <v>-3830.260809375</v>
      </c>
      <c r="F12" s="4" t="n">
        <f aca="false">-F6*Assumptions!F17/100</f>
        <v>-3452.34174285</v>
      </c>
      <c r="G12" s="4" t="n">
        <f aca="false">-G6*Assumptions!G17/100</f>
        <v>-3023.45467248825</v>
      </c>
      <c r="H12" s="4" t="n">
        <f aca="false">-H6*Assumptions!H17/100</f>
        <v>-2547.94771036055</v>
      </c>
      <c r="I12" s="4" t="n">
        <f aca="false">-I6*Assumptions!I17/100</f>
        <v>-2216.14829741138</v>
      </c>
      <c r="J12" s="4" t="n">
        <f aca="false">-J6*Assumptions!J17/100</f>
        <v>-1912.88589881824</v>
      </c>
      <c r="K12" s="4" t="n">
        <f aca="false">-K6*Assumptions!K17/100</f>
        <v>-1715.61954050261</v>
      </c>
      <c r="L12" s="4" t="n">
        <f aca="false">-L6*Assumptions!L17/100</f>
        <v>-1570.09824019212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8580.518375</v>
      </c>
      <c r="D13" s="0" t="n">
        <f aca="false">D11+D12</f>
        <v>9143.98771</v>
      </c>
      <c r="E13" s="0" t="n">
        <f aca="false">E11+E12</f>
        <v>9907.60796025</v>
      </c>
      <c r="F13" s="0" t="n">
        <f aca="false">F11+F12</f>
        <v>10622.589978</v>
      </c>
      <c r="G13" s="0" t="n">
        <f aca="false">G11+G12</f>
        <v>11379.183949183</v>
      </c>
      <c r="H13" s="0" t="n">
        <f aca="false">H11+H12</f>
        <v>12400.0121904214</v>
      </c>
      <c r="I13" s="0" t="n">
        <f aca="false">I11+I12</f>
        <v>13238.5700924311</v>
      </c>
      <c r="J13" s="0" t="n">
        <f aca="false">J11+J12</f>
        <v>13928.2004507703</v>
      </c>
      <c r="K13" s="0" t="n">
        <f aca="false">K11+K12</f>
        <v>14521.4939678257</v>
      </c>
      <c r="L13" s="0" t="n">
        <f aca="false">L11+L12</f>
        <v>15072.9431058444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16</v>
      </c>
      <c r="D14" s="4" t="n">
        <f aca="false">Assumptions!D19</f>
        <v>18</v>
      </c>
      <c r="E14" s="4" t="n">
        <f aca="false">Assumptions!E19</f>
        <v>20</v>
      </c>
      <c r="F14" s="4" t="n">
        <f aca="false">Assumptions!F19</f>
        <v>21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7207.635435</v>
      </c>
      <c r="D15" s="0" t="n">
        <f aca="false">D13-MAX(0,D13)*D14/100</f>
        <v>7498.0699222</v>
      </c>
      <c r="E15" s="0" t="n">
        <f aca="false">E13-MAX(0,E13)*E14/100</f>
        <v>7926.0863682</v>
      </c>
      <c r="F15" s="0" t="n">
        <f aca="false">F13-MAX(0,F13)*F14/100</f>
        <v>8391.84608262</v>
      </c>
      <c r="G15" s="0" t="n">
        <f aca="false">G13-MAX(0,G13)*G14/100</f>
        <v>8875.76348036278</v>
      </c>
      <c r="H15" s="0" t="n">
        <f aca="false">H13-MAX(0,H13)*H14/100</f>
        <v>9672.00950852866</v>
      </c>
      <c r="I15" s="0" t="n">
        <f aca="false">I13-MAX(0,I13)*I14/100</f>
        <v>10326.0846720963</v>
      </c>
      <c r="J15" s="0" t="n">
        <f aca="false">J13-MAX(0,J13)*J14/100</f>
        <v>10863.9963516009</v>
      </c>
      <c r="K15" s="0" t="n">
        <f aca="false">K13-MAX(0,K13)*K14/100</f>
        <v>11326.765294904</v>
      </c>
      <c r="L15" s="0" t="n">
        <f aca="false">L13-MAX(0,L13)*L14/100</f>
        <v>11756.8956225586</v>
      </c>
    </row>
    <row r="16" customFormat="false" ht="15" hidden="false" customHeight="false" outlineLevel="0" collapsed="false">
      <c r="A16" s="0" t="s">
        <v>128</v>
      </c>
      <c r="C16" s="0" t="n">
        <f aca="false">-C12</f>
        <v>4129.66125</v>
      </c>
      <c r="D16" s="0" t="n">
        <f aca="false">-D12</f>
        <v>4134.2497625</v>
      </c>
      <c r="E16" s="0" t="n">
        <f aca="false">-E12</f>
        <v>3830.260809375</v>
      </c>
      <c r="F16" s="0" t="n">
        <f aca="false">-F12</f>
        <v>3452.34174285</v>
      </c>
      <c r="G16" s="0" t="n">
        <f aca="false">-G12</f>
        <v>3023.45467248825</v>
      </c>
      <c r="H16" s="0" t="n">
        <f aca="false">-H12</f>
        <v>2547.94771036055</v>
      </c>
      <c r="I16" s="0" t="n">
        <f aca="false">-I12</f>
        <v>2216.14829741138</v>
      </c>
      <c r="J16" s="0" t="n">
        <f aca="false">-J12</f>
        <v>1912.88589881824</v>
      </c>
      <c r="K16" s="0" t="n">
        <f aca="false">-K12</f>
        <v>1715.61954050261</v>
      </c>
      <c r="L16" s="0" t="n">
        <f aca="false">-L12</f>
        <v>1570.09824019212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-688.276875</v>
      </c>
      <c r="D17" s="4" t="n">
        <f aca="false">-D6*Assumptions!D18/100</f>
        <v>-826.8499525</v>
      </c>
      <c r="E17" s="4" t="n">
        <f aca="false">-E6*Assumptions!E18/100</f>
        <v>-970.332738375</v>
      </c>
      <c r="F17" s="4" t="n">
        <f aca="false">-F6*Assumptions!F18/100</f>
        <v>-1115.37194769</v>
      </c>
      <c r="G17" s="4" t="n">
        <f aca="false">-G6*Assumptions!G18/100</f>
        <v>-1264.35377213145</v>
      </c>
      <c r="H17" s="4" t="n">
        <f aca="false">-H6*Assumptions!H18/100</f>
        <v>-1415.52650575586</v>
      </c>
      <c r="I17" s="4" t="n">
        <f aca="false">-I6*Assumptions!I18/100</f>
        <v>-1457.99230092854</v>
      </c>
      <c r="J17" s="4" t="n">
        <f aca="false">-J6*Assumptions!J18/100</f>
        <v>-1494.44210845175</v>
      </c>
      <c r="K17" s="4" t="n">
        <f aca="false">-K6*Assumptions!K18/100</f>
        <v>-1531.80316116305</v>
      </c>
      <c r="L17" s="4" t="n">
        <f aca="false">-L6*Assumptions!L18/100</f>
        <v>-1570.09824019212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654.01875</v>
      </c>
      <c r="D18" s="4" t="n">
        <f aca="false">(D6-C6)*Assumptions!$B$23/100</f>
        <v>412.966125000001</v>
      </c>
      <c r="E18" s="4" t="n">
        <f aca="false">(E6-D6)*Assumptions!$B$23/100</f>
        <v>364.78674375</v>
      </c>
      <c r="F18" s="4" t="n">
        <f aca="false">(F6-E6)*Assumptions!$B$23/100</f>
        <v>306.420864750001</v>
      </c>
      <c r="G18" s="4" t="n">
        <f aca="false">(G6-F6)*Assumptions!$B$23/100</f>
        <v>278.8429869225</v>
      </c>
      <c r="H18" s="4" t="n">
        <f aca="false">(H6-G6)*Assumptions!$B$23/100</f>
        <v>247.373564112676</v>
      </c>
      <c r="I18" s="4" t="n">
        <f aca="false">(I6-H6)*Assumptions!$B$23/100</f>
        <v>254.794771036056</v>
      </c>
      <c r="J18" s="4" t="n">
        <f aca="false">(J6-I6)*Assumptions!$B$23/100</f>
        <v>218.69884513928</v>
      </c>
      <c r="K18" s="4" t="n">
        <f aca="false">(K6-J6)*Assumptions!$B$23/100</f>
        <v>224.166316267762</v>
      </c>
      <c r="L18" s="4" t="n">
        <f aca="false">(L6-K6)*Assumptions!$B$23/100</f>
        <v>229.770474174456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11303.03856</v>
      </c>
      <c r="D19" s="0" t="n">
        <f aca="false">D15+D16+D17+D18</f>
        <v>11218.4358572</v>
      </c>
      <c r="E19" s="0" t="n">
        <f aca="false">E15+E16+E17+E18</f>
        <v>11150.80118295</v>
      </c>
      <c r="F19" s="0" t="n">
        <f aca="false">F15+F16+F17+F18</f>
        <v>11035.23674253</v>
      </c>
      <c r="G19" s="0" t="n">
        <f aca="false">G15+G16+G17+G18</f>
        <v>10913.7073676421</v>
      </c>
      <c r="H19" s="0" t="n">
        <f aca="false">H15+H16+H17+H18</f>
        <v>11051.804277246</v>
      </c>
      <c r="I19" s="0" t="n">
        <f aca="false">I15+I16+I17+I18</f>
        <v>11339.0354396152</v>
      </c>
      <c r="J19" s="0" t="n">
        <f aca="false">J15+J16+J17+J18</f>
        <v>11501.1389871066</v>
      </c>
      <c r="K19" s="0" t="n">
        <f aca="false">K15+K16+K17+K18</f>
        <v>11734.7479905114</v>
      </c>
      <c r="L19" s="0" t="n">
        <f aca="false">L15+L16+L17+L18</f>
        <v>11986.6660967331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10369.760146789</v>
      </c>
      <c r="D21" s="0" t="n">
        <f aca="false">D19*D20</f>
        <v>9442.33301674943</v>
      </c>
      <c r="E21" s="0" t="n">
        <f aca="false">E19*E20</f>
        <v>8610.46446291936</v>
      </c>
      <c r="F21" s="0" t="n">
        <f aca="false">F19*F20</f>
        <v>7817.63991848123</v>
      </c>
      <c r="G21" s="0" t="n">
        <f aca="false">G19*G20</f>
        <v>7093.16095910608</v>
      </c>
      <c r="H21" s="0" t="n">
        <f aca="false">H19*H20</f>
        <v>6589.82979358577</v>
      </c>
      <c r="I21" s="0" t="n">
        <f aca="false">I19*I20</f>
        <v>6202.8406889615</v>
      </c>
      <c r="J21" s="0" t="n">
        <f aca="false">J19*J20</f>
        <v>5772.03383545863</v>
      </c>
      <c r="K21" s="0" t="n">
        <f aca="false">K19*K20</f>
        <v>5403.00396045451</v>
      </c>
      <c r="L21" s="0" t="n">
        <f aca="false">L19*L20</f>
        <v>5063.29729791021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72364.3640804157</v>
      </c>
    </row>
    <row r="31" customFormat="false" ht="15" hidden="false" customHeight="false" outlineLevel="0" collapsed="false">
      <c r="A31" s="0" t="s">
        <v>137</v>
      </c>
      <c r="B31" s="0" t="n">
        <f aca="false">L19</f>
        <v>11986.6660967331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174662.84883811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167813.325354263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167813.325354263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70886.1621707429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143250.526251159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123858.526251159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149.949789650313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-0.359243698614165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30618.5196612521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32858.1339863179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226.798038618315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94049.2262974441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73.0429658774057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11.2</v>
      </c>
      <c r="D5" s="4" t="n">
        <f aca="false">Assumptions!D27</f>
        <v>9</v>
      </c>
      <c r="E5" s="4" t="n">
        <f aca="false">Assumptions!E27</f>
        <v>8.5</v>
      </c>
      <c r="F5" s="4" t="n">
        <f aca="false">Assumptions!F27</f>
        <v>8</v>
      </c>
      <c r="G5" s="4" t="n">
        <f aca="false">Assumptions!G27</f>
        <v>7.5</v>
      </c>
      <c r="H5" s="4" t="n">
        <f aca="false">Assumptions!H27</f>
        <v>7</v>
      </c>
      <c r="I5" s="4" t="n">
        <f aca="false">Assumptions!I27</f>
        <v>6</v>
      </c>
      <c r="J5" s="4" t="n">
        <f aca="false">Assumptions!J27</f>
        <v>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41525</v>
      </c>
      <c r="C6" s="0" t="n">
        <f aca="false">B6*(1+C5/100)</f>
        <v>46175.8</v>
      </c>
      <c r="D6" s="0" t="n">
        <f aca="false">C6*(1+D5/100)</f>
        <v>50331.622</v>
      </c>
      <c r="E6" s="0" t="n">
        <f aca="false">D6*(1+E5/100)</f>
        <v>54609.80987</v>
      </c>
      <c r="F6" s="0" t="n">
        <f aca="false">E6*(1+F5/100)</f>
        <v>58978.5946596</v>
      </c>
      <c r="G6" s="0" t="n">
        <f aca="false">F6*(1+G5/100)</f>
        <v>63401.98925907</v>
      </c>
      <c r="H6" s="0" t="n">
        <f aca="false">G6*(1+H5/100)</f>
        <v>67840.1285072049</v>
      </c>
      <c r="I6" s="0" t="n">
        <f aca="false">H6*(1+I5/100)</f>
        <v>71910.5362176372</v>
      </c>
      <c r="J6" s="0" t="n">
        <f aca="false">I6*(1+J5/100)</f>
        <v>75506.0630285191</v>
      </c>
      <c r="K6" s="0" t="n">
        <f aca="false">J6*(1+K5/100)</f>
        <v>78526.3055496599</v>
      </c>
      <c r="L6" s="0" t="n">
        <f aca="false">K6*(1+L5/100)</f>
        <v>81274.7262438979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37.2</v>
      </c>
      <c r="D7" s="4" t="n">
        <f aca="false">Assumptions!D28</f>
        <v>37.8</v>
      </c>
      <c r="E7" s="4" t="n">
        <f aca="false">Assumptions!E28</f>
        <v>38.3</v>
      </c>
      <c r="F7" s="4" t="n">
        <f aca="false">Assumptions!F28</f>
        <v>38.8</v>
      </c>
      <c r="G7" s="4" t="n">
        <f aca="false">Assumptions!G28</f>
        <v>39.2</v>
      </c>
      <c r="H7" s="4" t="n">
        <f aca="false">Assumptions!H28</f>
        <v>39.5</v>
      </c>
      <c r="I7" s="4" t="n">
        <f aca="false">Assumptions!I28</f>
        <v>39.8</v>
      </c>
      <c r="J7" s="4" t="n">
        <f aca="false">Assumptions!J28</f>
        <v>40</v>
      </c>
      <c r="K7" s="4" t="n">
        <f aca="false">Assumptions!K28</f>
        <v>40</v>
      </c>
      <c r="L7" s="4" t="n">
        <f aca="false">Assumptions!L28</f>
        <v>40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17177.3976</v>
      </c>
      <c r="D8" s="0" t="n">
        <f aca="false">D6*D7/100</f>
        <v>19025.353116</v>
      </c>
      <c r="E8" s="0" t="n">
        <f aca="false">E6*E7/100</f>
        <v>20915.55718021</v>
      </c>
      <c r="F8" s="0" t="n">
        <f aca="false">F6*F7/100</f>
        <v>22883.6947279248</v>
      </c>
      <c r="G8" s="0" t="n">
        <f aca="false">G6*G7/100</f>
        <v>24853.5797895554</v>
      </c>
      <c r="H8" s="0" t="n">
        <f aca="false">H6*H7/100</f>
        <v>26796.8507603459</v>
      </c>
      <c r="I8" s="0" t="n">
        <f aca="false">I6*I7/100</f>
        <v>28620.3934146196</v>
      </c>
      <c r="J8" s="0" t="n">
        <f aca="false">J6*J7/100</f>
        <v>30202.4252114076</v>
      </c>
      <c r="K8" s="0" t="n">
        <f aca="false">K6*K7/100</f>
        <v>31410.5222198639</v>
      </c>
      <c r="L8" s="0" t="n">
        <f aca="false">L6*L7/100</f>
        <v>32509.8904975592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9.2</v>
      </c>
      <c r="D9" s="4" t="n">
        <f aca="false">Assumptions!D29</f>
        <v>9</v>
      </c>
      <c r="E9" s="4" t="n">
        <f aca="false">Assumptions!E29</f>
        <v>8.7</v>
      </c>
      <c r="F9" s="4" t="n">
        <f aca="false">Assumptions!F29</f>
        <v>8.4</v>
      </c>
      <c r="G9" s="4" t="n">
        <f aca="false">Assumptions!G29</f>
        <v>8.1</v>
      </c>
      <c r="H9" s="4" t="n">
        <f aca="false">Assumptions!H29</f>
        <v>7.8</v>
      </c>
      <c r="I9" s="4" t="n">
        <f aca="false">Assumptions!I29</f>
        <v>7.5</v>
      </c>
      <c r="J9" s="4" t="n">
        <f aca="false">Assumptions!J29</f>
        <v>7.2</v>
      </c>
      <c r="K9" s="4" t="n">
        <f aca="false">Assumptions!K29</f>
        <v>7</v>
      </c>
      <c r="L9" s="4" t="n">
        <f aca="false">Assumptions!L29</f>
        <v>7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-4248.1736</v>
      </c>
      <c r="D10" s="0" t="n">
        <f aca="false">-D6*D9/100</f>
        <v>-4529.84598</v>
      </c>
      <c r="E10" s="0" t="n">
        <f aca="false">-E6*E9/100</f>
        <v>-4751.05345869</v>
      </c>
      <c r="F10" s="0" t="n">
        <f aca="false">-F6*F9/100</f>
        <v>-4954.2019514064</v>
      </c>
      <c r="G10" s="0" t="n">
        <f aca="false">-G6*G9/100</f>
        <v>-5135.56112998467</v>
      </c>
      <c r="H10" s="0" t="n">
        <f aca="false">-H6*H9/100</f>
        <v>-5291.53002356198</v>
      </c>
      <c r="I10" s="0" t="n">
        <f aca="false">-I6*I9/100</f>
        <v>-5393.29021632279</v>
      </c>
      <c r="J10" s="0" t="n">
        <f aca="false">-J6*J9/100</f>
        <v>-5436.43653805337</v>
      </c>
      <c r="K10" s="0" t="n">
        <f aca="false">-K6*K9/100</f>
        <v>-5496.84138847619</v>
      </c>
      <c r="L10" s="0" t="n">
        <f aca="false">-L6*L9/100</f>
        <v>-5689.23083707286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12929.224</v>
      </c>
      <c r="D11" s="0" t="n">
        <f aca="false">D8+D10+D24</f>
        <v>14495.507136</v>
      </c>
      <c r="E11" s="0" t="n">
        <f aca="false">E8+E10+E24</f>
        <v>16164.50372152</v>
      </c>
      <c r="F11" s="0" t="n">
        <f aca="false">F8+F10+F24</f>
        <v>17929.4927765184</v>
      </c>
      <c r="G11" s="0" t="n">
        <f aca="false">G8+G10+G24</f>
        <v>19718.0186595708</v>
      </c>
      <c r="H11" s="0" t="n">
        <f aca="false">H8+H10+H24</f>
        <v>21505.320736784</v>
      </c>
      <c r="I11" s="0" t="n">
        <f aca="false">I8+I10+I24</f>
        <v>23227.1031982968</v>
      </c>
      <c r="J11" s="0" t="n">
        <f aca="false">J8+J10+J24</f>
        <v>24765.9886733543</v>
      </c>
      <c r="K11" s="0" t="n">
        <f aca="false">K8+K10+K24</f>
        <v>25913.6808313878</v>
      </c>
      <c r="L11" s="0" t="n">
        <f aca="false">L8+L10+L24</f>
        <v>26820.6596604863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-4155.822</v>
      </c>
      <c r="D12" s="4" t="n">
        <f aca="false">-D6*Assumptions!D31/100</f>
        <v>-4278.18787</v>
      </c>
      <c r="E12" s="4" t="n">
        <f aca="false">-E6*Assumptions!E31/100</f>
        <v>-4095.73574025</v>
      </c>
      <c r="F12" s="4" t="n">
        <f aca="false">-F6*Assumptions!F31/100</f>
        <v>-3833.608652874</v>
      </c>
      <c r="G12" s="4" t="n">
        <f aca="false">-G6*Assumptions!G31/100</f>
        <v>-3487.10940924885</v>
      </c>
      <c r="H12" s="4" t="n">
        <f aca="false">-H6*Assumptions!H31/100</f>
        <v>-3052.80578282422</v>
      </c>
      <c r="I12" s="4" t="n">
        <f aca="false">-I6*Assumptions!I31/100</f>
        <v>-2732.60037627021</v>
      </c>
      <c r="J12" s="4" t="n">
        <f aca="false">-J6*Assumptions!J31/100</f>
        <v>-2416.19401691261</v>
      </c>
      <c r="K12" s="4" t="n">
        <f aca="false">-K6*Assumptions!K31/100</f>
        <v>-2198.73655539048</v>
      </c>
      <c r="L12" s="4" t="n">
        <f aca="false">-L6*Assumptions!L31/100</f>
        <v>-2031.86815609745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8773.402</v>
      </c>
      <c r="D13" s="0" t="n">
        <f aca="false">D11+D12</f>
        <v>10217.319266</v>
      </c>
      <c r="E13" s="0" t="n">
        <f aca="false">E11+E12</f>
        <v>12068.76798127</v>
      </c>
      <c r="F13" s="0" t="n">
        <f aca="false">F11+F12</f>
        <v>14095.8841236444</v>
      </c>
      <c r="G13" s="0" t="n">
        <f aca="false">G11+G12</f>
        <v>16230.9092503219</v>
      </c>
      <c r="H13" s="0" t="n">
        <f aca="false">H11+H12</f>
        <v>18452.5149539597</v>
      </c>
      <c r="I13" s="0" t="n">
        <f aca="false">I11+I12</f>
        <v>20494.5028220266</v>
      </c>
      <c r="J13" s="0" t="n">
        <f aca="false">J11+J12</f>
        <v>22349.7946564417</v>
      </c>
      <c r="K13" s="0" t="n">
        <f aca="false">K11+K12</f>
        <v>23714.9442759973</v>
      </c>
      <c r="L13" s="0" t="n">
        <f aca="false">L11+L12</f>
        <v>24788.7915043889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16</v>
      </c>
      <c r="D14" s="4" t="n">
        <f aca="false">Assumptions!D33</f>
        <v>18</v>
      </c>
      <c r="E14" s="4" t="n">
        <f aca="false">Assumptions!E33</f>
        <v>20</v>
      </c>
      <c r="F14" s="4" t="n">
        <f aca="false">Assumptions!F33</f>
        <v>21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7369.65768</v>
      </c>
      <c r="D15" s="0" t="n">
        <f aca="false">D13-MAX(0,D13)*D14/100</f>
        <v>8378.20179812</v>
      </c>
      <c r="E15" s="0" t="n">
        <f aca="false">E13-MAX(0,E13)*E14/100</f>
        <v>9655.014385016</v>
      </c>
      <c r="F15" s="0" t="n">
        <f aca="false">F13-MAX(0,F13)*F14/100</f>
        <v>11135.7484576791</v>
      </c>
      <c r="G15" s="0" t="n">
        <f aca="false">G13-MAX(0,G13)*G14/100</f>
        <v>12660.1092152511</v>
      </c>
      <c r="H15" s="0" t="n">
        <f aca="false">H13-MAX(0,H13)*H14/100</f>
        <v>14392.9616640886</v>
      </c>
      <c r="I15" s="0" t="n">
        <f aca="false">I13-MAX(0,I13)*I14/100</f>
        <v>15985.7122011808</v>
      </c>
      <c r="J15" s="0" t="n">
        <f aca="false">J13-MAX(0,J13)*J14/100</f>
        <v>17432.8398320245</v>
      </c>
      <c r="K15" s="0" t="n">
        <f aca="false">K13-MAX(0,K13)*K14/100</f>
        <v>18497.6565352779</v>
      </c>
      <c r="L15" s="0" t="n">
        <f aca="false">L13-MAX(0,L13)*L14/100</f>
        <v>19335.2573734233</v>
      </c>
    </row>
    <row r="16" customFormat="false" ht="15" hidden="false" customHeight="false" outlineLevel="0" collapsed="false">
      <c r="A16" s="0" t="s">
        <v>128</v>
      </c>
      <c r="C16" s="0" t="n">
        <f aca="false">-C12</f>
        <v>4155.822</v>
      </c>
      <c r="D16" s="0" t="n">
        <f aca="false">-D12</f>
        <v>4278.18787</v>
      </c>
      <c r="E16" s="0" t="n">
        <f aca="false">-E12</f>
        <v>4095.73574025</v>
      </c>
      <c r="F16" s="0" t="n">
        <f aca="false">-F12</f>
        <v>3833.608652874</v>
      </c>
      <c r="G16" s="0" t="n">
        <f aca="false">-G12</f>
        <v>3487.10940924885</v>
      </c>
      <c r="H16" s="0" t="n">
        <f aca="false">-H12</f>
        <v>3052.80578282422</v>
      </c>
      <c r="I16" s="0" t="n">
        <f aca="false">-I12</f>
        <v>2732.60037627021</v>
      </c>
      <c r="J16" s="0" t="n">
        <f aca="false">-J12</f>
        <v>2416.19401691261</v>
      </c>
      <c r="K16" s="0" t="n">
        <f aca="false">-K12</f>
        <v>2198.73655539048</v>
      </c>
      <c r="L16" s="0" t="n">
        <f aca="false">-L12</f>
        <v>2031.86815609745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-692.637</v>
      </c>
      <c r="D17" s="4" t="n">
        <f aca="false">-D6*Assumptions!D32/100</f>
        <v>-805.305952</v>
      </c>
      <c r="E17" s="4" t="n">
        <f aca="false">-E6*Assumptions!E32/100</f>
        <v>-928.36676779</v>
      </c>
      <c r="F17" s="4" t="n">
        <f aca="false">-F6*Assumptions!F32/100</f>
        <v>-1061.6147038728</v>
      </c>
      <c r="G17" s="4" t="n">
        <f aca="false">-G6*Assumptions!G32/100</f>
        <v>-1204.63779592233</v>
      </c>
      <c r="H17" s="4" t="n">
        <f aca="false">-H6*Assumptions!H32/100</f>
        <v>-1356.8025701441</v>
      </c>
      <c r="I17" s="4" t="n">
        <f aca="false">-I6*Assumptions!I32/100</f>
        <v>-1438.21072435274</v>
      </c>
      <c r="J17" s="4" t="n">
        <f aca="false">-J6*Assumptions!J32/100</f>
        <v>-1510.12126057038</v>
      </c>
      <c r="K17" s="4" t="n">
        <f aca="false">-K6*Assumptions!K32/100</f>
        <v>-1570.5261109932</v>
      </c>
      <c r="L17" s="4" t="n">
        <f aca="false">-L6*Assumptions!L32/100</f>
        <v>-1625.49452487796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697.620000000001</v>
      </c>
      <c r="D18" s="4" t="n">
        <f aca="false">(D6-C6)*Assumptions!$B$37/100</f>
        <v>623.373300000001</v>
      </c>
      <c r="E18" s="4" t="n">
        <f aca="false">(E6-D6)*Assumptions!$B$37/100</f>
        <v>641.7281805</v>
      </c>
      <c r="F18" s="4" t="n">
        <f aca="false">(F6-E6)*Assumptions!$B$37/100</f>
        <v>655.31771844</v>
      </c>
      <c r="G18" s="4" t="n">
        <f aca="false">(G6-F6)*Assumptions!$B$37/100</f>
        <v>663.5091899205</v>
      </c>
      <c r="H18" s="4" t="n">
        <f aca="false">(H6-G6)*Assumptions!$B$37/100</f>
        <v>665.720887220237</v>
      </c>
      <c r="I18" s="4" t="n">
        <f aca="false">(I6-H6)*Assumptions!$B$37/100</f>
        <v>610.561156564844</v>
      </c>
      <c r="J18" s="4" t="n">
        <f aca="false">(J6-I6)*Assumptions!$B$37/100</f>
        <v>539.329021632281</v>
      </c>
      <c r="K18" s="4" t="n">
        <f aca="false">(K6-J6)*Assumptions!$B$37/100</f>
        <v>453.036378171115</v>
      </c>
      <c r="L18" s="4" t="n">
        <f aca="false">(L6-K6)*Assumptions!$B$37/100</f>
        <v>412.263104135713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11530.46268</v>
      </c>
      <c r="D19" s="0" t="n">
        <f aca="false">D15+D16+D17+D18</f>
        <v>12474.45701612</v>
      </c>
      <c r="E19" s="0" t="n">
        <f aca="false">E15+E16+E17+E18</f>
        <v>13464.111537976</v>
      </c>
      <c r="F19" s="0" t="n">
        <f aca="false">F15+F16+F17+F18</f>
        <v>14563.0601251203</v>
      </c>
      <c r="G19" s="0" t="n">
        <f aca="false">G15+G16+G17+G18</f>
        <v>15606.0900184981</v>
      </c>
      <c r="H19" s="0" t="n">
        <f aca="false">H15+H16+H17+H18</f>
        <v>16754.685763989</v>
      </c>
      <c r="I19" s="0" t="n">
        <f aca="false">I15+I16+I17+I18</f>
        <v>17890.6630096631</v>
      </c>
      <c r="J19" s="0" t="n">
        <f aca="false">J15+J16+J17+J18</f>
        <v>18878.241609999</v>
      </c>
      <c r="K19" s="0" t="n">
        <f aca="false">K15+K16+K17+K18</f>
        <v>19578.9033578463</v>
      </c>
      <c r="L19" s="0" t="n">
        <f aca="false">L15+L16+L17+L18</f>
        <v>20153.8941087785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10578.4061284404</v>
      </c>
      <c r="D21" s="0" t="n">
        <f aca="false">D19*D20</f>
        <v>10499.5008973319</v>
      </c>
      <c r="E21" s="0" t="n">
        <f aca="false">E19*E20</f>
        <v>10396.7645033246</v>
      </c>
      <c r="F21" s="0" t="n">
        <f aca="false">F19*F20</f>
        <v>10316.8389428935</v>
      </c>
      <c r="G21" s="0" t="n">
        <f aca="false">G19*G20</f>
        <v>10142.8877204193</v>
      </c>
      <c r="H21" s="0" t="n">
        <f aca="false">H19*H20</f>
        <v>9990.27169319495</v>
      </c>
      <c r="I21" s="0" t="n">
        <f aca="false">I19*I20</f>
        <v>9786.80532923731</v>
      </c>
      <c r="J21" s="0" t="n">
        <f aca="false">J19*J20</f>
        <v>9474.35288357384</v>
      </c>
      <c r="K21" s="0" t="n">
        <f aca="false">K19*K20</f>
        <v>9014.67099841741</v>
      </c>
      <c r="L21" s="0" t="n">
        <f aca="false">L19*L20</f>
        <v>8513.2226725794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98713.7217694125</v>
      </c>
    </row>
    <row r="31" customFormat="false" ht="15" hidden="false" customHeight="false" outlineLevel="0" collapsed="false">
      <c r="A31" s="0" t="s">
        <v>137</v>
      </c>
      <c r="B31" s="0" t="n">
        <f aca="false">L19</f>
        <v>20153.8941087785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345975.182200698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403077.88217557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345975.182200698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146143.65587928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244857.377648692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225465.377648692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272.960505627957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0.166398195145529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31994.1527741655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41254.8061026482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361.639632597465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172987.591100349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119.192589307152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11.8</v>
      </c>
      <c r="D5" s="4" t="n">
        <f aca="false">Assumptions!D41</f>
        <v>11</v>
      </c>
      <c r="E5" s="4" t="n">
        <f aca="false">Assumptions!E41</f>
        <v>10.5</v>
      </c>
      <c r="F5" s="4" t="n">
        <f aca="false">Assumptions!F41</f>
        <v>10</v>
      </c>
      <c r="G5" s="4" t="n">
        <f aca="false">Assumptions!G41</f>
        <v>9.5</v>
      </c>
      <c r="H5" s="4" t="n">
        <f aca="false">Assumptions!H41</f>
        <v>9</v>
      </c>
      <c r="I5" s="4" t="n">
        <f aca="false">Assumptions!I41</f>
        <v>8</v>
      </c>
      <c r="J5" s="4" t="n">
        <f aca="false">Assumptions!J41</f>
        <v>7</v>
      </c>
      <c r="K5" s="4" t="n">
        <f aca="false">Assumptions!K41</f>
        <v>6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37</v>
      </c>
      <c r="B6" s="3" t="n">
        <v>41525</v>
      </c>
      <c r="C6" s="0" t="n">
        <f aca="false">B6*(1+C5/100)</f>
        <v>46424.95</v>
      </c>
      <c r="D6" s="0" t="n">
        <f aca="false">C6*(1+D5/100)</f>
        <v>51531.6945</v>
      </c>
      <c r="E6" s="0" t="n">
        <f aca="false">D6*(1+E5/100)</f>
        <v>56942.5224225</v>
      </c>
      <c r="F6" s="0" t="n">
        <f aca="false">E6*(1+F5/100)</f>
        <v>62636.77466475</v>
      </c>
      <c r="G6" s="0" t="n">
        <f aca="false">F6*(1+G5/100)</f>
        <v>68587.2682579013</v>
      </c>
      <c r="H6" s="0" t="n">
        <f aca="false">G6*(1+H5/100)</f>
        <v>74760.1224011124</v>
      </c>
      <c r="I6" s="0" t="n">
        <f aca="false">H6*(1+I5/100)</f>
        <v>80740.9321932014</v>
      </c>
      <c r="J6" s="0" t="n">
        <f aca="false">I6*(1+J5/100)</f>
        <v>86392.7974467255</v>
      </c>
      <c r="K6" s="0" t="n">
        <f aca="false">J6*(1+K5/100)</f>
        <v>91576.365293529</v>
      </c>
      <c r="L6" s="0" t="n">
        <f aca="false">K6*(1+L5/100)</f>
        <v>96155.1835582055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37.5</v>
      </c>
      <c r="D7" s="4" t="n">
        <f aca="false">Assumptions!D42</f>
        <v>38.5</v>
      </c>
      <c r="E7" s="4" t="n">
        <f aca="false">Assumptions!E42</f>
        <v>39.5</v>
      </c>
      <c r="F7" s="4" t="n">
        <f aca="false">Assumptions!F42</f>
        <v>40.5</v>
      </c>
      <c r="G7" s="4" t="n">
        <f aca="false">Assumptions!G42</f>
        <v>41.3</v>
      </c>
      <c r="H7" s="4" t="n">
        <f aca="false">Assumptions!H42</f>
        <v>42</v>
      </c>
      <c r="I7" s="4" t="n">
        <f aca="false">Assumptions!I42</f>
        <v>42.5</v>
      </c>
      <c r="J7" s="4" t="n">
        <f aca="false">Assumptions!J42</f>
        <v>43</v>
      </c>
      <c r="K7" s="4" t="n">
        <f aca="false">Assumptions!K42</f>
        <v>43</v>
      </c>
      <c r="L7" s="4" t="n">
        <f aca="false">Assumptions!L42</f>
        <v>43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17409.35625</v>
      </c>
      <c r="D8" s="0" t="n">
        <f aca="false">D6*D7/100</f>
        <v>19839.7023825</v>
      </c>
      <c r="E8" s="0" t="n">
        <f aca="false">E6*E7/100</f>
        <v>22492.2963568875</v>
      </c>
      <c r="F8" s="0" t="n">
        <f aca="false">F6*F7/100</f>
        <v>25367.8937392238</v>
      </c>
      <c r="G8" s="0" t="n">
        <f aca="false">G6*G7/100</f>
        <v>28326.5417905132</v>
      </c>
      <c r="H8" s="0" t="n">
        <f aca="false">H6*H7/100</f>
        <v>31399.2514084672</v>
      </c>
      <c r="I8" s="0" t="n">
        <f aca="false">I6*I7/100</f>
        <v>34314.8961821106</v>
      </c>
      <c r="J8" s="0" t="n">
        <f aca="false">J6*J7/100</f>
        <v>37148.902902092</v>
      </c>
      <c r="K8" s="0" t="n">
        <f aca="false">K6*K7/100</f>
        <v>39377.8370762175</v>
      </c>
      <c r="L8" s="0" t="n">
        <f aca="false">L6*L7/100</f>
        <v>41346.7289300284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9</v>
      </c>
      <c r="D9" s="4" t="n">
        <f aca="false">Assumptions!D43</f>
        <v>8.6</v>
      </c>
      <c r="E9" s="4" t="n">
        <f aca="false">Assumptions!E43</f>
        <v>8.2</v>
      </c>
      <c r="F9" s="4" t="n">
        <f aca="false">Assumptions!F43</f>
        <v>7.8</v>
      </c>
      <c r="G9" s="4" t="n">
        <f aca="false">Assumptions!G43</f>
        <v>7.4</v>
      </c>
      <c r="H9" s="4" t="n">
        <f aca="false">Assumptions!H43</f>
        <v>7</v>
      </c>
      <c r="I9" s="4" t="n">
        <f aca="false">Assumptions!I43</f>
        <v>6.8</v>
      </c>
      <c r="J9" s="4" t="n">
        <f aca="false">Assumptions!J43</f>
        <v>6.5</v>
      </c>
      <c r="K9" s="4" t="n">
        <f aca="false">Assumptions!K43</f>
        <v>6.5</v>
      </c>
      <c r="L9" s="4" t="n">
        <f aca="false">Assumptions!L43</f>
        <v>6.5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-4178.2455</v>
      </c>
      <c r="D10" s="0" t="n">
        <f aca="false">-D6*D9/100</f>
        <v>-4431.725727</v>
      </c>
      <c r="E10" s="0" t="n">
        <f aca="false">-E6*E9/100</f>
        <v>-4669.286838645</v>
      </c>
      <c r="F10" s="0" t="n">
        <f aca="false">-F6*F9/100</f>
        <v>-4885.6684238505</v>
      </c>
      <c r="G10" s="0" t="n">
        <f aca="false">-G6*G9/100</f>
        <v>-5075.45785108469</v>
      </c>
      <c r="H10" s="0" t="n">
        <f aca="false">-H6*H9/100</f>
        <v>-5233.20856807787</v>
      </c>
      <c r="I10" s="0" t="n">
        <f aca="false">-I6*I9/100</f>
        <v>-5490.38338913769</v>
      </c>
      <c r="J10" s="0" t="n">
        <f aca="false">-J6*J9/100</f>
        <v>-5615.53183403716</v>
      </c>
      <c r="K10" s="0" t="n">
        <f aca="false">-K6*K9/100</f>
        <v>-5952.46374407939</v>
      </c>
      <c r="L10" s="0" t="n">
        <f aca="false">-L6*L9/100</f>
        <v>-6250.08693128336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13231.11075</v>
      </c>
      <c r="D11" s="0" t="n">
        <f aca="false">D8+D10+D24</f>
        <v>15407.9766555</v>
      </c>
      <c r="E11" s="0" t="n">
        <f aca="false">E8+E10+E24</f>
        <v>17823.0095182425</v>
      </c>
      <c r="F11" s="0" t="n">
        <f aca="false">F8+F10+F24</f>
        <v>20482.2253153733</v>
      </c>
      <c r="G11" s="0" t="n">
        <f aca="false">G8+G10+G24</f>
        <v>23251.0839394285</v>
      </c>
      <c r="H11" s="0" t="n">
        <f aca="false">H8+H10+H24</f>
        <v>26166.0428403893</v>
      </c>
      <c r="I11" s="0" t="n">
        <f aca="false">I8+I10+I24</f>
        <v>28824.5127929729</v>
      </c>
      <c r="J11" s="0" t="n">
        <f aca="false">J8+J10+J24</f>
        <v>31533.3710680548</v>
      </c>
      <c r="K11" s="0" t="n">
        <f aca="false">K8+K10+K24</f>
        <v>33425.3733321381</v>
      </c>
      <c r="L11" s="0" t="n">
        <f aca="false">L8+L10+L24</f>
        <v>35096.641998745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-4178.2455</v>
      </c>
      <c r="D12" s="4" t="n">
        <f aca="false">-D6*Assumptions!D45/100</f>
        <v>-4380.1940325</v>
      </c>
      <c r="E12" s="4" t="n">
        <f aca="false">-E6*Assumptions!E45/100</f>
        <v>-4270.6891816875</v>
      </c>
      <c r="F12" s="4" t="n">
        <f aca="false">-F6*Assumptions!F45/100</f>
        <v>-4071.39035320875</v>
      </c>
      <c r="G12" s="4" t="n">
        <f aca="false">-G6*Assumptions!G45/100</f>
        <v>-3772.29975418457</v>
      </c>
      <c r="H12" s="4" t="n">
        <f aca="false">-H6*Assumptions!H45/100</f>
        <v>-3364.20550805006</v>
      </c>
      <c r="I12" s="4" t="n">
        <f aca="false">-I6*Assumptions!I45/100</f>
        <v>-3068.15542334165</v>
      </c>
      <c r="J12" s="4" t="n">
        <f aca="false">-J6*Assumptions!J45/100</f>
        <v>-2764.56951829522</v>
      </c>
      <c r="K12" s="4" t="n">
        <f aca="false">-K6*Assumptions!K45/100</f>
        <v>-2564.13822821881</v>
      </c>
      <c r="L12" s="4" t="n">
        <f aca="false">-L6*Assumptions!L45/100</f>
        <v>-2403.87958895514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9052.86525</v>
      </c>
      <c r="D13" s="0" t="n">
        <f aca="false">D11+D12</f>
        <v>11027.782623</v>
      </c>
      <c r="E13" s="0" t="n">
        <f aca="false">E11+E12</f>
        <v>13552.320336555</v>
      </c>
      <c r="F13" s="0" t="n">
        <f aca="false">F11+F12</f>
        <v>16410.8349621645</v>
      </c>
      <c r="G13" s="0" t="n">
        <f aca="false">G11+G12</f>
        <v>19478.784185244</v>
      </c>
      <c r="H13" s="0" t="n">
        <f aca="false">H11+H12</f>
        <v>22801.8373323393</v>
      </c>
      <c r="I13" s="0" t="n">
        <f aca="false">I11+I12</f>
        <v>25756.3573696312</v>
      </c>
      <c r="J13" s="0" t="n">
        <f aca="false">J11+J12</f>
        <v>28768.8015497596</v>
      </c>
      <c r="K13" s="0" t="n">
        <f aca="false">K11+K12</f>
        <v>30861.2351039193</v>
      </c>
      <c r="L13" s="0" t="n">
        <f aca="false">L11+L12</f>
        <v>32692.7624097899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16</v>
      </c>
      <c r="D14" s="4" t="n">
        <f aca="false">Assumptions!D47</f>
        <v>18</v>
      </c>
      <c r="E14" s="4" t="n">
        <f aca="false">Assumptions!E47</f>
        <v>20</v>
      </c>
      <c r="F14" s="4" t="n">
        <f aca="false">Assumptions!F47</f>
        <v>21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7604.40681</v>
      </c>
      <c r="D15" s="0" t="n">
        <f aca="false">D13-MAX(0,D13)*D14/100</f>
        <v>9042.78175086</v>
      </c>
      <c r="E15" s="0" t="n">
        <f aca="false">E13-MAX(0,E13)*E14/100</f>
        <v>10841.856269244</v>
      </c>
      <c r="F15" s="0" t="n">
        <f aca="false">F13-MAX(0,F13)*F14/100</f>
        <v>12964.55962011</v>
      </c>
      <c r="G15" s="0" t="n">
        <f aca="false">G13-MAX(0,G13)*G14/100</f>
        <v>15193.4516644903</v>
      </c>
      <c r="H15" s="0" t="n">
        <f aca="false">H13-MAX(0,H13)*H14/100</f>
        <v>17785.4331192246</v>
      </c>
      <c r="I15" s="0" t="n">
        <f aca="false">I13-MAX(0,I13)*I14/100</f>
        <v>20089.9587483124</v>
      </c>
      <c r="J15" s="0" t="n">
        <f aca="false">J13-MAX(0,J13)*J14/100</f>
        <v>22439.6652088125</v>
      </c>
      <c r="K15" s="0" t="n">
        <f aca="false">K13-MAX(0,K13)*K14/100</f>
        <v>24071.763381057</v>
      </c>
      <c r="L15" s="0" t="n">
        <f aca="false">L13-MAX(0,L13)*L14/100</f>
        <v>25500.3546796361</v>
      </c>
    </row>
    <row r="16" customFormat="false" ht="15" hidden="false" customHeight="false" outlineLevel="0" collapsed="false">
      <c r="A16" s="0" t="s">
        <v>128</v>
      </c>
      <c r="C16" s="0" t="n">
        <f aca="false">-C12</f>
        <v>4178.2455</v>
      </c>
      <c r="D16" s="0" t="n">
        <f aca="false">-D12</f>
        <v>4380.1940325</v>
      </c>
      <c r="E16" s="0" t="n">
        <f aca="false">-E12</f>
        <v>4270.6891816875</v>
      </c>
      <c r="F16" s="0" t="n">
        <f aca="false">-F12</f>
        <v>4071.39035320875</v>
      </c>
      <c r="G16" s="0" t="n">
        <f aca="false">-G12</f>
        <v>3772.29975418457</v>
      </c>
      <c r="H16" s="0" t="n">
        <f aca="false">-H12</f>
        <v>3364.20550805006</v>
      </c>
      <c r="I16" s="0" t="n">
        <f aca="false">-I12</f>
        <v>3068.15542334165</v>
      </c>
      <c r="J16" s="0" t="n">
        <f aca="false">-J12</f>
        <v>2764.56951829522</v>
      </c>
      <c r="K16" s="0" t="n">
        <f aca="false">-K12</f>
        <v>2564.13822821881</v>
      </c>
      <c r="L16" s="0" t="n">
        <f aca="false">-L12</f>
        <v>2403.87958895514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-696.37425</v>
      </c>
      <c r="D17" s="4" t="n">
        <f aca="false">-D6*Assumptions!D46/100</f>
        <v>-824.507112</v>
      </c>
      <c r="E17" s="4" t="n">
        <f aca="false">-E6*Assumptions!E46/100</f>
        <v>-968.0228811825</v>
      </c>
      <c r="F17" s="4" t="n">
        <f aca="false">-F6*Assumptions!F46/100</f>
        <v>-1127.4619439655</v>
      </c>
      <c r="G17" s="4" t="n">
        <f aca="false">-G6*Assumptions!G46/100</f>
        <v>-1303.15809690012</v>
      </c>
      <c r="H17" s="4" t="n">
        <f aca="false">-H6*Assumptions!H46/100</f>
        <v>-1495.20244802225</v>
      </c>
      <c r="I17" s="4" t="n">
        <f aca="false">-I6*Assumptions!I46/100</f>
        <v>-1614.81864386403</v>
      </c>
      <c r="J17" s="4" t="n">
        <f aca="false">-J6*Assumptions!J46/100</f>
        <v>-1727.85594893451</v>
      </c>
      <c r="K17" s="4" t="n">
        <f aca="false">-K6*Assumptions!K46/100</f>
        <v>-1831.52730587058</v>
      </c>
      <c r="L17" s="4" t="n">
        <f aca="false">-L6*Assumptions!L46/100</f>
        <v>-1923.10367116411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734.992500000001</v>
      </c>
      <c r="D18" s="4" t="n">
        <f aca="false">(D6-C6)*Assumptions!$B$51/100</f>
        <v>766.011675000001</v>
      </c>
      <c r="E18" s="4" t="n">
        <f aca="false">(E6-D6)*Assumptions!$B$51/100</f>
        <v>811.624188375</v>
      </c>
      <c r="F18" s="4" t="n">
        <f aca="false">(F6-E6)*Assumptions!$B$51/100</f>
        <v>854.137836337501</v>
      </c>
      <c r="G18" s="4" t="n">
        <f aca="false">(G6-F6)*Assumptions!$B$51/100</f>
        <v>892.574038972687</v>
      </c>
      <c r="H18" s="4" t="n">
        <f aca="false">(H6-G6)*Assumptions!$B$51/100</f>
        <v>925.928121481669</v>
      </c>
      <c r="I18" s="4" t="n">
        <f aca="false">(I6-H6)*Assumptions!$B$51/100</f>
        <v>897.12146881335</v>
      </c>
      <c r="J18" s="4" t="n">
        <f aca="false">(J6-I6)*Assumptions!$B$51/100</f>
        <v>847.779788028615</v>
      </c>
      <c r="K18" s="4" t="n">
        <f aca="false">(K6-J6)*Assumptions!$B$51/100</f>
        <v>777.53517702053</v>
      </c>
      <c r="L18" s="4" t="n">
        <f aca="false">(L6-K6)*Assumptions!$B$51/100</f>
        <v>686.822739701469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11821.27056</v>
      </c>
      <c r="D19" s="0" t="n">
        <f aca="false">D15+D16+D17+D18</f>
        <v>13364.48034636</v>
      </c>
      <c r="E19" s="0" t="n">
        <f aca="false">E15+E16+E17+E18</f>
        <v>14956.146758124</v>
      </c>
      <c r="F19" s="0" t="n">
        <f aca="false">F15+F16+F17+F18</f>
        <v>16762.6258656907</v>
      </c>
      <c r="G19" s="0" t="n">
        <f aca="false">G15+G16+G17+G18</f>
        <v>18555.1673607474</v>
      </c>
      <c r="H19" s="0" t="n">
        <f aca="false">H15+H16+H17+H18</f>
        <v>20580.3643007341</v>
      </c>
      <c r="I19" s="0" t="n">
        <f aca="false">I15+I16+I17+I18</f>
        <v>22440.4169966033</v>
      </c>
      <c r="J19" s="0" t="n">
        <f aca="false">J15+J16+J17+J18</f>
        <v>24324.1585662018</v>
      </c>
      <c r="K19" s="0" t="n">
        <f aca="false">K15+K16+K17+K18</f>
        <v>25581.9094804258</v>
      </c>
      <c r="L19" s="0" t="n">
        <f aca="false">L15+L16+L17+L18</f>
        <v>26667.9533371286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10845.2023486239</v>
      </c>
      <c r="D21" s="0" t="n">
        <f aca="false">D19*D20</f>
        <v>11248.6157279354</v>
      </c>
      <c r="E21" s="0" t="n">
        <f aca="false">E19*E20</f>
        <v>11548.8894519922</v>
      </c>
      <c r="F21" s="0" t="n">
        <f aca="false">F19*F20</f>
        <v>11875.0667669089</v>
      </c>
      <c r="G21" s="0" t="n">
        <f aca="false">G19*G20</f>
        <v>12059.5856457684</v>
      </c>
      <c r="H21" s="0" t="n">
        <f aca="false">H19*H20</f>
        <v>12271.3988077992</v>
      </c>
      <c r="I21" s="0" t="n">
        <f aca="false">I19*I20</f>
        <v>12275.6765657061</v>
      </c>
      <c r="J21" s="0" t="n">
        <f aca="false">J19*J20</f>
        <v>12207.4749657902</v>
      </c>
      <c r="K21" s="0" t="n">
        <f aca="false">K19*K20</f>
        <v>11778.6217778595</v>
      </c>
      <c r="L21" s="0" t="n">
        <f aca="false">L19*L20</f>
        <v>11264.8316873931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117375.363745777</v>
      </c>
    </row>
    <row r="31" customFormat="false" ht="15" hidden="false" customHeight="false" outlineLevel="0" collapsed="false">
      <c r="A31" s="0" t="s">
        <v>137</v>
      </c>
      <c r="B31" s="0" t="n">
        <f aca="false">L19</f>
        <v>26667.9533371286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501842.394616874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533359.066742572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501842.394616874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211983.650844579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329359.014590355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309967.014590355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375.262729528275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0.603549822785553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32251.5728475856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49681.9620553638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474.455871057269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240011.580034157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155.099705508993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149.949789650313</v>
      </c>
      <c r="C4" s="0" t="n">
        <f aca="false">B4/Assumptions!$B$2-1</f>
        <v>-0.359243698614165</v>
      </c>
      <c r="D4" s="4" t="n">
        <f aca="false">Assumptions!$B$24</f>
        <v>0.25</v>
      </c>
      <c r="E4" s="4" t="n">
        <f aca="false">DCF_Bear!$B$43</f>
        <v>226.798038618315</v>
      </c>
      <c r="F4" s="4" t="n">
        <f aca="false">DCF_Bear!$B$47</f>
        <v>73.0429658774057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272.960505627957</v>
      </c>
      <c r="C5" s="0" t="n">
        <f aca="false">B5/Assumptions!$B$2-1</f>
        <v>0.166398195145529</v>
      </c>
      <c r="D5" s="4" t="n">
        <f aca="false">Assumptions!$B$38</f>
        <v>0.5</v>
      </c>
      <c r="E5" s="4" t="n">
        <f aca="false">DCF_Base!$B$43</f>
        <v>361.639632597465</v>
      </c>
      <c r="F5" s="4" t="n">
        <f aca="false">DCF_Base!$B$47</f>
        <v>119.192589307152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375.262729528275</v>
      </c>
      <c r="C6" s="0" t="n">
        <f aca="false">B6/Assumptions!$B$2-1</f>
        <v>0.603549822785553</v>
      </c>
      <c r="D6" s="4" t="n">
        <f aca="false">Assumptions!$B$52</f>
        <v>0.25</v>
      </c>
      <c r="E6" s="4" t="n">
        <f aca="false">DCF_Bull!$B$43</f>
        <v>474.455871057269</v>
      </c>
      <c r="F6" s="4" t="n">
        <f aca="false">DCF_Bull!$B$47</f>
        <v>155.099705508993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267.783382608625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356.133293717629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0.126084681878755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-38.2155252731033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116.631962500176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272.960505627957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228.818477835804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195.791246968837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170.169388847279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119.192589307152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356.658374239508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356.658374239508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356.658374239508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356.658374239508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356.658374239508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294.209061777221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312.70265028627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328.113974043811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328.113974043811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328.113974043811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246.212515563643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258.557741747173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272.960505627957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289.981953850702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302.162439734868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210.340402575374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218.963504363575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228.818477835804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240.189601072991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253.455911516376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182.543573360932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188.777772705829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195.791246968837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203.739851133581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212.823970179001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2026-09-26T01:08:57Z</dcterms:created>
  <dc:creator>openpyxl</dc:creator>
  <dc:description/>
  <dc:language>en-NZ</dc:language>
  <cp:lastModifiedBy/>
  <dcterms:modified xsi:type="dcterms:W3CDTF">2026-09-26T01:08:57Z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