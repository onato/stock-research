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Base" sheetId="2" state="visible" r:id="rId2"/>
    <sheet xmlns:r="http://schemas.openxmlformats.org/officeDocument/2006/relationships" name="Bull" sheetId="3" state="visible" r:id="rId3"/>
    <sheet xmlns:r="http://schemas.openxmlformats.org/officeDocument/2006/relationships" name="Bear" sheetId="4" state="visible" r:id="rId4"/>
    <sheet xmlns:r="http://schemas.openxmlformats.org/officeDocument/2006/relationships" name="Summary" sheetId="5" state="visible" r:id="rId5"/>
    <sheet xmlns:r="http://schemas.openxmlformats.org/officeDocument/2006/relationships" name="Sensitivity" sheetId="6" state="visible" r:id="rId6"/>
    <sheet xmlns:r="http://schemas.openxmlformats.org/officeDocument/2006/relationships" name="History_Sanit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4" fontId="1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70" customWidth="1" min="1" max="1"/>
    <col width="18" customWidth="1" min="2" max="2"/>
  </cols>
  <sheetData>
    <row r="1">
      <c r="A1" s="1" t="inlineStr">
        <is>
          <t>PFI.NZ — Blended AFFO-capitalization / NTA model (NZ REIT)</t>
        </is>
      </c>
    </row>
    <row r="2">
      <c r="A2" t="inlineStr">
        <is>
          <t>Valuation date</t>
        </is>
      </c>
      <c r="B2" t="inlineStr">
        <is>
          <t>2026-08-25</t>
        </is>
      </c>
    </row>
    <row r="3">
      <c r="A3" t="inlineStr">
        <is>
          <t>Current price (NZD)</t>
        </is>
      </c>
      <c r="B3" t="n">
        <v>2.37</v>
      </c>
    </row>
    <row r="4">
      <c r="A4" t="inlineStr">
        <is>
          <t>Shares outstanding (m, 30-Jun-2026)</t>
        </is>
      </c>
      <c r="B4" t="n">
        <v>502.433</v>
      </c>
    </row>
    <row r="5">
      <c r="A5" t="inlineStr">
        <is>
          <t>NTA per share (cents, FY2026)</t>
        </is>
      </c>
      <c r="B5" t="n">
        <v>290</v>
      </c>
    </row>
    <row r="6">
      <c r="A6" t="inlineStr">
        <is>
          <t>FY2026 AFFO (cps, reported)</t>
        </is>
      </c>
      <c r="B6" t="n">
        <v>10.93</v>
      </c>
    </row>
    <row r="7">
      <c r="A7" t="inlineStr">
        <is>
          <t>FY2026 AFFO normalized ex GrainCorp surrender (cps)</t>
        </is>
      </c>
      <c r="B7" t="n">
        <v>9.91</v>
      </c>
    </row>
    <row r="8">
      <c r="A8" t="inlineStr">
        <is>
          <t>FY2027 base-year AFFO (cps, guidance-implied: 9.80 div / 95% payout)</t>
        </is>
      </c>
      <c r="B8" t="n">
        <v>10.3</v>
      </c>
    </row>
    <row r="9">
      <c r="A9" t="inlineStr">
        <is>
          <t>Net debt incl. $19.4m deferred settlements (NZ$m) — NOT deducted anywhere</t>
        </is>
      </c>
      <c r="B9" t="n">
        <v>799.24</v>
      </c>
    </row>
    <row r="10">
      <c r="A10" t="inlineStr">
        <is>
          <t>Risk-free (NZ 10yr, %)</t>
        </is>
      </c>
      <c r="B10" t="n">
        <v>4.35</v>
      </c>
    </row>
    <row r="11">
      <c r="A11" t="inlineStr">
        <is>
          <t>Equity risk premium (%)</t>
        </is>
      </c>
      <c r="B11" t="n">
        <v>5.5</v>
      </c>
    </row>
    <row r="12">
      <c r="A12" t="inlineStr">
        <is>
          <t>Beta</t>
        </is>
      </c>
      <c r="B12" t="n">
        <v>0.7</v>
      </c>
    </row>
    <row r="13">
      <c r="A13" t="inlineStr">
        <is>
          <t>CAPM = rf + beta*ERP (%)</t>
        </is>
      </c>
      <c r="B13">
        <f>B10+B12*B11</f>
        <v/>
      </c>
    </row>
    <row r="14">
      <c r="A14" t="inlineStr">
        <is>
          <t>Auckland concentration premium (%)</t>
        </is>
      </c>
      <c r="B14" t="n">
        <v>0.4</v>
      </c>
    </row>
    <row r="15">
      <c r="A15" t="inlineStr">
        <is>
          <t>Base cost of equity (%) = CAPM + premium</t>
        </is>
      </c>
      <c r="B15">
        <f>B13+B14</f>
        <v/>
      </c>
    </row>
    <row r="16">
      <c r="A16" t="inlineStr">
        <is>
          <t>Bull cost of equity (%)</t>
        </is>
      </c>
      <c r="B16" t="n">
        <v>7.9</v>
      </c>
    </row>
    <row r="17">
      <c r="A17" t="inlineStr">
        <is>
          <t>Bear cost of equity (%)</t>
        </is>
      </c>
      <c r="B17" t="n">
        <v>9.6</v>
      </c>
    </row>
    <row r="18">
      <c r="A18" t="inlineStr">
        <is>
          <t>Hurdle rate for entry price (%)</t>
        </is>
      </c>
      <c r="B18" t="n">
        <v>15</v>
      </c>
    </row>
    <row r="19">
      <c r="A19" t="inlineStr">
        <is>
          <t>Blend weights: AFFO leg / NTA leg</t>
        </is>
      </c>
      <c r="B19" t="n">
        <v>0.5</v>
      </c>
    </row>
    <row r="20">
      <c r="A20" t="inlineStr">
        <is>
          <t>Scenario weights bear/base/bull</t>
        </is>
      </c>
      <c r="B20" t="inlineStr">
        <is>
          <t>0.20 / 0.55 / 0.25</t>
        </is>
      </c>
    </row>
    <row r="21">
      <c r="A21" t="inlineStr">
        <is>
          <t>NOTE: AFFO is POST-INTEREST — capitalized at cost of equity; net debt is never subtracted (would double-count leverage).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Base scenario — all per-share figures in CENTS unless noted</t>
        </is>
      </c>
    </row>
    <row r="2">
      <c r="A2" t="inlineStr">
        <is>
          <t>Cost of equity (%)</t>
        </is>
      </c>
      <c r="B2" t="n">
        <v>8.6</v>
      </c>
    </row>
    <row r="3">
      <c r="A3" t="inlineStr">
        <is>
          <t>Terminal growth (%)</t>
        </is>
      </c>
      <c r="B3" t="n">
        <v>2.75</v>
      </c>
    </row>
    <row r="4">
      <c r="A4" t="inlineStr">
        <is>
          <t>Exit AFFO yield (%) = CoE - g</t>
        </is>
      </c>
      <c r="B4">
        <f>B2-B3</f>
        <v/>
      </c>
    </row>
    <row r="6">
      <c r="A6" s="1" t="inlineStr">
        <is>
          <t>Year</t>
        </is>
      </c>
      <c r="B6" s="1" t="inlineStr">
        <is>
          <t>FY2027</t>
        </is>
      </c>
      <c r="C6" s="1" t="inlineStr">
        <is>
          <t>FY2028</t>
        </is>
      </c>
      <c r="D6" s="1" t="inlineStr">
        <is>
          <t>FY2029</t>
        </is>
      </c>
      <c r="E6" s="1" t="inlineStr">
        <is>
          <t>FY2030</t>
        </is>
      </c>
      <c r="F6" s="1" t="inlineStr">
        <is>
          <t>FY2031</t>
        </is>
      </c>
    </row>
    <row r="7">
      <c r="A7" t="inlineStr">
        <is>
          <t>AFFO per share (cps)</t>
        </is>
      </c>
      <c r="B7" t="n">
        <v>10.3</v>
      </c>
      <c r="C7">
        <f>B7*(1+4.5/100)</f>
        <v/>
      </c>
      <c r="D7">
        <f>C7*(1+4.5/100)</f>
        <v/>
      </c>
      <c r="E7">
        <f>D7*(1+4.0/100)</f>
        <v/>
      </c>
      <c r="F7">
        <f>E7*(1+3.5/100)</f>
        <v/>
      </c>
    </row>
    <row r="8">
      <c r="A8" t="inlineStr">
        <is>
          <t>AFFO growth (%)</t>
        </is>
      </c>
      <c r="B8" t="inlineStr">
        <is>
          <t>n/a (anchor)</t>
        </is>
      </c>
      <c r="C8" t="n">
        <v>4.5</v>
      </c>
      <c r="D8" t="n">
        <v>4.5</v>
      </c>
      <c r="E8" t="n">
        <v>4</v>
      </c>
      <c r="F8" t="n">
        <v>3.5</v>
      </c>
    </row>
    <row r="9">
      <c r="A9" t="inlineStr">
        <is>
          <t>Discount factor @ CoE</t>
        </is>
      </c>
      <c r="B9">
        <f>1/(1+$B$2/100)^1</f>
        <v/>
      </c>
      <c r="C9">
        <f>1/(1+$B$2/100)^2</f>
        <v/>
      </c>
      <c r="D9">
        <f>1/(1+$B$2/100)^3</f>
        <v/>
      </c>
      <c r="E9">
        <f>1/(1+$B$2/100)^4</f>
        <v/>
      </c>
      <c r="F9">
        <f>1/(1+$B$2/100)^5</f>
        <v/>
      </c>
    </row>
    <row r="10">
      <c r="A10" t="inlineStr">
        <is>
          <t>PV of AFFO (cps)</t>
        </is>
      </c>
      <c r="B10">
        <f>B7*B9</f>
        <v/>
      </c>
      <c r="C10">
        <f>C7*C9</f>
        <v/>
      </c>
      <c r="D10">
        <f>D7*D9</f>
        <v/>
      </c>
      <c r="E10">
        <f>E7*E9</f>
        <v/>
      </c>
      <c r="F10">
        <f>F7*F9</f>
        <v/>
      </c>
    </row>
    <row r="11">
      <c r="A11" t="inlineStr">
        <is>
          <t>DPS (cps)</t>
        </is>
      </c>
      <c r="B11" t="n">
        <v>9.800000000000001</v>
      </c>
      <c r="C11" t="n">
        <v>10.15</v>
      </c>
      <c r="D11" t="n">
        <v>10.55</v>
      </c>
      <c r="E11" t="n">
        <v>10.95</v>
      </c>
      <c r="F11" t="n">
        <v>11.35</v>
      </c>
    </row>
    <row r="12">
      <c r="A12" t="inlineStr">
        <is>
          <t>PV of DPS (cps)</t>
        </is>
      </c>
      <c r="B12">
        <f>B11*B9</f>
        <v/>
      </c>
      <c r="C12">
        <f>C11*C9</f>
        <v/>
      </c>
      <c r="D12">
        <f>D11*D9</f>
        <v/>
      </c>
      <c r="E12">
        <f>E11*E9</f>
        <v/>
      </c>
      <c r="F12">
        <f>F11*F9</f>
        <v/>
      </c>
    </row>
    <row r="13">
      <c r="A13" t="inlineStr">
        <is>
          <t>NTA per share (cps)</t>
        </is>
      </c>
      <c r="B13">
        <f>290*(1+2.5/100)</f>
        <v/>
      </c>
      <c r="C13">
        <f>B13*(1+2.5/100)</f>
        <v/>
      </c>
      <c r="D13">
        <f>C13*(1+2.5/100)</f>
        <v/>
      </c>
      <c r="E13">
        <f>D13*(1+2.5/100)</f>
        <v/>
      </c>
      <c r="F13">
        <f>E13*(1+2.5/100)</f>
        <v/>
      </c>
    </row>
    <row r="15">
      <c r="A15" s="1" t="inlineStr">
        <is>
          <t>AFFO-CAPITALIZATION LEG</t>
        </is>
      </c>
    </row>
    <row r="16">
      <c r="A16" t="inlineStr">
        <is>
          <t>Sum PV AFFO (cps)</t>
        </is>
      </c>
      <c r="B16">
        <f>SUM(B10:F10)</f>
        <v/>
      </c>
    </row>
    <row r="17">
      <c r="A17" t="inlineStr">
        <is>
          <t>Terminal value (cps) = AFFO_Y5*(1+g)/exit yield</t>
        </is>
      </c>
      <c r="B17">
        <f>F7*(1+B3/100)/(B4/100)</f>
        <v/>
      </c>
    </row>
    <row r="18">
      <c r="A18" t="inlineStr">
        <is>
          <t>PV terminal (cps)</t>
        </is>
      </c>
      <c r="B18">
        <f>B17*F9</f>
        <v/>
      </c>
    </row>
    <row r="19">
      <c r="A19" t="inlineStr">
        <is>
          <t>AFFO-leg IV ($/share)</t>
        </is>
      </c>
      <c r="B19" s="2">
        <f>(B16+B18)/100</f>
        <v/>
      </c>
    </row>
    <row r="21">
      <c r="A21" s="1" t="inlineStr">
        <is>
          <t>NTA LEG</t>
        </is>
      </c>
    </row>
    <row r="22">
      <c r="A22" t="inlineStr">
        <is>
          <t>PV of dividends (cps)</t>
        </is>
      </c>
      <c r="B22">
        <f>SUM(B12:F12)</f>
        <v/>
      </c>
    </row>
    <row r="23">
      <c r="A23" t="inlineStr">
        <is>
          <t>Exit P/NTA</t>
        </is>
      </c>
      <c r="B23" t="n">
        <v>0.85</v>
      </c>
    </row>
    <row r="24">
      <c r="A24" t="inlineStr">
        <is>
          <t>Year-5 exit value (cps) = NTA_Y5 x exit P/NTA</t>
        </is>
      </c>
      <c r="B24">
        <f>F13*B23</f>
        <v/>
      </c>
    </row>
    <row r="25">
      <c r="A25" t="inlineStr">
        <is>
          <t>PV exit value (cps)</t>
        </is>
      </c>
      <c r="B25">
        <f>B24*F9</f>
        <v/>
      </c>
    </row>
    <row r="26">
      <c r="A26" t="inlineStr">
        <is>
          <t>NTA-leg IV ($/share)</t>
        </is>
      </c>
      <c r="B26" s="2">
        <f>(B22+B25)/100</f>
        <v/>
      </c>
    </row>
    <row r="28">
      <c r="A28" s="1" t="inlineStr">
        <is>
          <t>BLENDED IV ($/share) 50/50</t>
        </is>
      </c>
      <c r="B28" s="3">
        <f>0.5*B19+0.5*B26</f>
        <v/>
      </c>
    </row>
    <row r="29">
      <c r="A29" t="inlineStr">
        <is>
          <t>Upside vs $2.37 (%)</t>
        </is>
      </c>
      <c r="B29" s="4">
        <f>(B28/Inputs!$B$3-1)*100</f>
        <v/>
      </c>
    </row>
    <row r="31">
      <c r="A31" s="1" t="inlineStr">
        <is>
          <t>ENTRY PRICE @ 15% hurdle (AFFO leg)</t>
        </is>
      </c>
    </row>
    <row r="32">
      <c r="A32" t="inlineStr">
        <is>
          <t>PV interim AFFO @15% (cps)</t>
        </is>
      </c>
      <c r="B32">
        <f>B7/(1.15^1)+C7/(1.15^2)+D7/(1.15^3)+E7/(1.15^4)+F7/(1.15^5)</f>
        <v/>
      </c>
    </row>
    <row r="33">
      <c r="A33" t="inlineStr">
        <is>
          <t>PV terminal @15% (cps)</t>
        </is>
      </c>
      <c r="B33">
        <f>B17/(1.15^5)</f>
        <v/>
      </c>
    </row>
    <row r="34">
      <c r="A34" t="inlineStr">
        <is>
          <t>Entry price ($/share)</t>
        </is>
      </c>
      <c r="B34" s="2">
        <f>(B32+B33)/100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Bull scenario — all per-share figures in CENTS unless noted</t>
        </is>
      </c>
    </row>
    <row r="2">
      <c r="A2" t="inlineStr">
        <is>
          <t>Cost of equity (%)</t>
        </is>
      </c>
      <c r="B2" t="n">
        <v>7.9</v>
      </c>
    </row>
    <row r="3">
      <c r="A3" t="inlineStr">
        <is>
          <t>Terminal growth (%)</t>
        </is>
      </c>
      <c r="B3" t="n">
        <v>3</v>
      </c>
    </row>
    <row r="4">
      <c r="A4" t="inlineStr">
        <is>
          <t>Exit AFFO yield (%) = CoE - g</t>
        </is>
      </c>
      <c r="B4">
        <f>B2-B3</f>
        <v/>
      </c>
    </row>
    <row r="6">
      <c r="A6" s="1" t="inlineStr">
        <is>
          <t>Year</t>
        </is>
      </c>
      <c r="B6" s="1" t="inlineStr">
        <is>
          <t>FY2027</t>
        </is>
      </c>
      <c r="C6" s="1" t="inlineStr">
        <is>
          <t>FY2028</t>
        </is>
      </c>
      <c r="D6" s="1" t="inlineStr">
        <is>
          <t>FY2029</t>
        </is>
      </c>
      <c r="E6" s="1" t="inlineStr">
        <is>
          <t>FY2030</t>
        </is>
      </c>
      <c r="F6" s="1" t="inlineStr">
        <is>
          <t>FY2031</t>
        </is>
      </c>
    </row>
    <row r="7">
      <c r="A7" t="inlineStr">
        <is>
          <t>AFFO per share (cps)</t>
        </is>
      </c>
      <c r="B7" t="n">
        <v>10.55</v>
      </c>
      <c r="C7">
        <f>B7*(1+5.5/100)</f>
        <v/>
      </c>
      <c r="D7">
        <f>C7*(1+5.5/100)</f>
        <v/>
      </c>
      <c r="E7">
        <f>D7*(1+5.0/100)</f>
        <v/>
      </c>
      <c r="F7">
        <f>E7*(1+4.5/100)</f>
        <v/>
      </c>
    </row>
    <row r="8">
      <c r="A8" t="inlineStr">
        <is>
          <t>AFFO growth (%)</t>
        </is>
      </c>
      <c r="B8" t="inlineStr">
        <is>
          <t>n/a (anchor)</t>
        </is>
      </c>
      <c r="C8" t="n">
        <v>5.5</v>
      </c>
      <c r="D8" t="n">
        <v>5.5</v>
      </c>
      <c r="E8" t="n">
        <v>5</v>
      </c>
      <c r="F8" t="n">
        <v>4.5</v>
      </c>
    </row>
    <row r="9">
      <c r="A9" t="inlineStr">
        <is>
          <t>Discount factor @ CoE</t>
        </is>
      </c>
      <c r="B9">
        <f>1/(1+$B$2/100)^1</f>
        <v/>
      </c>
      <c r="C9">
        <f>1/(1+$B$2/100)^2</f>
        <v/>
      </c>
      <c r="D9">
        <f>1/(1+$B$2/100)^3</f>
        <v/>
      </c>
      <c r="E9">
        <f>1/(1+$B$2/100)^4</f>
        <v/>
      </c>
      <c r="F9">
        <f>1/(1+$B$2/100)^5</f>
        <v/>
      </c>
    </row>
    <row r="10">
      <c r="A10" t="inlineStr">
        <is>
          <t>PV of AFFO (cps)</t>
        </is>
      </c>
      <c r="B10">
        <f>B7*B9</f>
        <v/>
      </c>
      <c r="C10">
        <f>C7*C9</f>
        <v/>
      </c>
      <c r="D10">
        <f>D7*D9</f>
        <v/>
      </c>
      <c r="E10">
        <f>E7*E9</f>
        <v/>
      </c>
      <c r="F10">
        <f>F7*F9</f>
        <v/>
      </c>
    </row>
    <row r="11">
      <c r="A11" t="inlineStr">
        <is>
          <t>DPS (cps)</t>
        </is>
      </c>
      <c r="B11" t="n">
        <v>9.85</v>
      </c>
      <c r="C11" t="n">
        <v>10.35</v>
      </c>
      <c r="D11" t="n">
        <v>10.9</v>
      </c>
      <c r="E11" t="n">
        <v>11.45</v>
      </c>
      <c r="F11" t="n">
        <v>12</v>
      </c>
    </row>
    <row r="12">
      <c r="A12" t="inlineStr">
        <is>
          <t>PV of DPS (cps)</t>
        </is>
      </c>
      <c r="B12">
        <f>B11*B9</f>
        <v/>
      </c>
      <c r="C12">
        <f>C11*C9</f>
        <v/>
      </c>
      <c r="D12">
        <f>D11*D9</f>
        <v/>
      </c>
      <c r="E12">
        <f>E11*E9</f>
        <v/>
      </c>
      <c r="F12">
        <f>F11*F9</f>
        <v/>
      </c>
    </row>
    <row r="13">
      <c r="A13" t="inlineStr">
        <is>
          <t>NTA per share (cps)</t>
        </is>
      </c>
      <c r="B13">
        <f>290*(1+4.0/100)</f>
        <v/>
      </c>
      <c r="C13">
        <f>B13*(1+4.0/100)</f>
        <v/>
      </c>
      <c r="D13">
        <f>C13*(1+4.0/100)</f>
        <v/>
      </c>
      <c r="E13">
        <f>D13*(1+4.0/100)</f>
        <v/>
      </c>
      <c r="F13">
        <f>E13*(1+4.0/100)</f>
        <v/>
      </c>
    </row>
    <row r="15">
      <c r="A15" s="1" t="inlineStr">
        <is>
          <t>AFFO-CAPITALIZATION LEG</t>
        </is>
      </c>
    </row>
    <row r="16">
      <c r="A16" t="inlineStr">
        <is>
          <t>Sum PV AFFO (cps)</t>
        </is>
      </c>
      <c r="B16">
        <f>SUM(B10:F10)</f>
        <v/>
      </c>
    </row>
    <row r="17">
      <c r="A17" t="inlineStr">
        <is>
          <t>Terminal value (cps) = AFFO_Y5*(1+g)/exit yield</t>
        </is>
      </c>
      <c r="B17">
        <f>F7*(1+B3/100)/(B4/100)</f>
        <v/>
      </c>
    </row>
    <row r="18">
      <c r="A18" t="inlineStr">
        <is>
          <t>PV terminal (cps)</t>
        </is>
      </c>
      <c r="B18">
        <f>B17*F9</f>
        <v/>
      </c>
    </row>
    <row r="19">
      <c r="A19" t="inlineStr">
        <is>
          <t>AFFO-leg IV ($/share)</t>
        </is>
      </c>
      <c r="B19" s="2">
        <f>(B16+B18)/100</f>
        <v/>
      </c>
    </row>
    <row r="21">
      <c r="A21" s="1" t="inlineStr">
        <is>
          <t>NTA LEG</t>
        </is>
      </c>
    </row>
    <row r="22">
      <c r="A22" t="inlineStr">
        <is>
          <t>PV of dividends (cps)</t>
        </is>
      </c>
      <c r="B22">
        <f>SUM(B12:F12)</f>
        <v/>
      </c>
    </row>
    <row r="23">
      <c r="A23" t="inlineStr">
        <is>
          <t>Exit P/NTA</t>
        </is>
      </c>
      <c r="B23" t="n">
        <v>1</v>
      </c>
    </row>
    <row r="24">
      <c r="A24" t="inlineStr">
        <is>
          <t>Year-5 exit value (cps) = NTA_Y5 x exit P/NTA</t>
        </is>
      </c>
      <c r="B24">
        <f>F13*B23</f>
        <v/>
      </c>
    </row>
    <row r="25">
      <c r="A25" t="inlineStr">
        <is>
          <t>PV exit value (cps)</t>
        </is>
      </c>
      <c r="B25">
        <f>B24*F9</f>
        <v/>
      </c>
    </row>
    <row r="26">
      <c r="A26" t="inlineStr">
        <is>
          <t>NTA-leg IV ($/share)</t>
        </is>
      </c>
      <c r="B26" s="2">
        <f>(B22+B25)/100</f>
        <v/>
      </c>
    </row>
    <row r="28">
      <c r="A28" s="1" t="inlineStr">
        <is>
          <t>BLENDED IV ($/share) 50/50</t>
        </is>
      </c>
      <c r="B28" s="3">
        <f>0.5*B19+0.5*B26</f>
        <v/>
      </c>
    </row>
    <row r="29">
      <c r="A29" t="inlineStr">
        <is>
          <t>Upside vs $2.37 (%)</t>
        </is>
      </c>
      <c r="B29" s="4">
        <f>(B28/Inputs!$B$3-1)*100</f>
        <v/>
      </c>
    </row>
    <row r="31">
      <c r="A31" s="1" t="inlineStr">
        <is>
          <t>ENTRY PRICE @ 15% hurdle (AFFO leg)</t>
        </is>
      </c>
    </row>
    <row r="32">
      <c r="A32" t="inlineStr">
        <is>
          <t>PV interim AFFO @15% (cps)</t>
        </is>
      </c>
      <c r="B32">
        <f>B7/(1.15^1)+C7/(1.15^2)+D7/(1.15^3)+E7/(1.15^4)+F7/(1.15^5)</f>
        <v/>
      </c>
    </row>
    <row r="33">
      <c r="A33" t="inlineStr">
        <is>
          <t>PV terminal @15% (cps)</t>
        </is>
      </c>
      <c r="B33">
        <f>B17/(1.15^5)</f>
        <v/>
      </c>
    </row>
    <row r="34">
      <c r="A34" t="inlineStr">
        <is>
          <t>Entry price ($/share)</t>
        </is>
      </c>
      <c r="B34" s="2">
        <f>(B32+B33)/100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Bear scenario — all per-share figures in CENTS unless noted</t>
        </is>
      </c>
    </row>
    <row r="2">
      <c r="A2" t="inlineStr">
        <is>
          <t>Cost of equity (%)</t>
        </is>
      </c>
      <c r="B2" t="n">
        <v>9.6</v>
      </c>
    </row>
    <row r="3">
      <c r="A3" t="inlineStr">
        <is>
          <t>Terminal growth (%)</t>
        </is>
      </c>
      <c r="B3" t="n">
        <v>2</v>
      </c>
    </row>
    <row r="4">
      <c r="A4" t="inlineStr">
        <is>
          <t>Exit AFFO yield (%) = CoE - g</t>
        </is>
      </c>
      <c r="B4">
        <f>B2-B3</f>
        <v/>
      </c>
    </row>
    <row r="6">
      <c r="A6" s="1" t="inlineStr">
        <is>
          <t>Year</t>
        </is>
      </c>
      <c r="B6" s="1" t="inlineStr">
        <is>
          <t>FY2027</t>
        </is>
      </c>
      <c r="C6" s="1" t="inlineStr">
        <is>
          <t>FY2028</t>
        </is>
      </c>
      <c r="D6" s="1" t="inlineStr">
        <is>
          <t>FY2029</t>
        </is>
      </c>
      <c r="E6" s="1" t="inlineStr">
        <is>
          <t>FY2030</t>
        </is>
      </c>
      <c r="F6" s="1" t="inlineStr">
        <is>
          <t>FY2031</t>
        </is>
      </c>
    </row>
    <row r="7">
      <c r="A7" t="inlineStr">
        <is>
          <t>AFFO per share (cps)</t>
        </is>
      </c>
      <c r="B7" t="n">
        <v>10</v>
      </c>
      <c r="C7">
        <f>B7*(1+1.5/100)</f>
        <v/>
      </c>
      <c r="D7">
        <f>C7*(1+1.0/100)</f>
        <v/>
      </c>
      <c r="E7">
        <f>D7*(1+1.5/100)</f>
        <v/>
      </c>
      <c r="F7">
        <f>E7*(1+2.0/100)</f>
        <v/>
      </c>
    </row>
    <row r="8">
      <c r="A8" t="inlineStr">
        <is>
          <t>AFFO growth (%)</t>
        </is>
      </c>
      <c r="B8" t="inlineStr">
        <is>
          <t>n/a (anchor)</t>
        </is>
      </c>
      <c r="C8" t="n">
        <v>1.5</v>
      </c>
      <c r="D8" t="n">
        <v>1</v>
      </c>
      <c r="E8" t="n">
        <v>1.5</v>
      </c>
      <c r="F8" t="n">
        <v>2</v>
      </c>
    </row>
    <row r="9">
      <c r="A9" t="inlineStr">
        <is>
          <t>Discount factor @ CoE</t>
        </is>
      </c>
      <c r="B9">
        <f>1/(1+$B$2/100)^1</f>
        <v/>
      </c>
      <c r="C9">
        <f>1/(1+$B$2/100)^2</f>
        <v/>
      </c>
      <c r="D9">
        <f>1/(1+$B$2/100)^3</f>
        <v/>
      </c>
      <c r="E9">
        <f>1/(1+$B$2/100)^4</f>
        <v/>
      </c>
      <c r="F9">
        <f>1/(1+$B$2/100)^5</f>
        <v/>
      </c>
    </row>
    <row r="10">
      <c r="A10" t="inlineStr">
        <is>
          <t>PV of AFFO (cps)</t>
        </is>
      </c>
      <c r="B10">
        <f>B7*B9</f>
        <v/>
      </c>
      <c r="C10">
        <f>C7*C9</f>
        <v/>
      </c>
      <c r="D10">
        <f>D7*D9</f>
        <v/>
      </c>
      <c r="E10">
        <f>E7*E9</f>
        <v/>
      </c>
      <c r="F10">
        <f>F7*F9</f>
        <v/>
      </c>
    </row>
    <row r="11">
      <c r="A11" t="inlineStr">
        <is>
          <t>DPS (cps)</t>
        </is>
      </c>
      <c r="B11" t="n">
        <v>9.75</v>
      </c>
      <c r="C11" t="n">
        <v>9.75</v>
      </c>
      <c r="D11" t="n">
        <v>9.75</v>
      </c>
      <c r="E11" t="n">
        <v>9.800000000000001</v>
      </c>
      <c r="F11" t="n">
        <v>9.9</v>
      </c>
    </row>
    <row r="12">
      <c r="A12" t="inlineStr">
        <is>
          <t>PV of DPS (cps)</t>
        </is>
      </c>
      <c r="B12">
        <f>B11*B9</f>
        <v/>
      </c>
      <c r="C12">
        <f>C11*C9</f>
        <v/>
      </c>
      <c r="D12">
        <f>D11*D9</f>
        <v/>
      </c>
      <c r="E12">
        <f>E11*E9</f>
        <v/>
      </c>
      <c r="F12">
        <f>F11*F9</f>
        <v/>
      </c>
    </row>
    <row r="13">
      <c r="A13" t="inlineStr">
        <is>
          <t>NTA per share (cps)</t>
        </is>
      </c>
      <c r="B13">
        <f>290*(1+-1.0/100)</f>
        <v/>
      </c>
      <c r="C13">
        <f>B13*(1+-1.0/100)</f>
        <v/>
      </c>
      <c r="D13">
        <f>C13*(1+-1.0/100)</f>
        <v/>
      </c>
      <c r="E13">
        <f>D13*(1+-1.0/100)</f>
        <v/>
      </c>
      <c r="F13">
        <f>E13*(1+-1.0/100)</f>
        <v/>
      </c>
    </row>
    <row r="15">
      <c r="A15" s="1" t="inlineStr">
        <is>
          <t>AFFO-CAPITALIZATION LEG</t>
        </is>
      </c>
    </row>
    <row r="16">
      <c r="A16" t="inlineStr">
        <is>
          <t>Sum PV AFFO (cps)</t>
        </is>
      </c>
      <c r="B16">
        <f>SUM(B10:F10)</f>
        <v/>
      </c>
    </row>
    <row r="17">
      <c r="A17" t="inlineStr">
        <is>
          <t>Terminal value (cps) = AFFO_Y5*(1+g)/exit yield</t>
        </is>
      </c>
      <c r="B17">
        <f>F7*(1+B3/100)/(B4/100)</f>
        <v/>
      </c>
    </row>
    <row r="18">
      <c r="A18" t="inlineStr">
        <is>
          <t>PV terminal (cps)</t>
        </is>
      </c>
      <c r="B18">
        <f>B17*F9</f>
        <v/>
      </c>
    </row>
    <row r="19">
      <c r="A19" t="inlineStr">
        <is>
          <t>AFFO-leg IV ($/share)</t>
        </is>
      </c>
      <c r="B19" s="2">
        <f>(B16+B18)/100</f>
        <v/>
      </c>
    </row>
    <row r="21">
      <c r="A21" s="1" t="inlineStr">
        <is>
          <t>NTA LEG</t>
        </is>
      </c>
    </row>
    <row r="22">
      <c r="A22" t="inlineStr">
        <is>
          <t>PV of dividends (cps)</t>
        </is>
      </c>
      <c r="B22">
        <f>SUM(B12:F12)</f>
        <v/>
      </c>
    </row>
    <row r="23">
      <c r="A23" t="inlineStr">
        <is>
          <t>Exit P/NTA</t>
        </is>
      </c>
      <c r="B23" t="n">
        <v>0.7</v>
      </c>
    </row>
    <row r="24">
      <c r="A24" t="inlineStr">
        <is>
          <t>Year-5 exit value (cps) = NTA_Y5 x exit P/NTA</t>
        </is>
      </c>
      <c r="B24">
        <f>F13*B23</f>
        <v/>
      </c>
    </row>
    <row r="25">
      <c r="A25" t="inlineStr">
        <is>
          <t>PV exit value (cps)</t>
        </is>
      </c>
      <c r="B25">
        <f>B24*F9</f>
        <v/>
      </c>
    </row>
    <row r="26">
      <c r="A26" t="inlineStr">
        <is>
          <t>NTA-leg IV ($/share)</t>
        </is>
      </c>
      <c r="B26" s="2">
        <f>(B22+B25)/100</f>
        <v/>
      </c>
    </row>
    <row r="28">
      <c r="A28" s="1" t="inlineStr">
        <is>
          <t>BLENDED IV ($/share) 50/50</t>
        </is>
      </c>
      <c r="B28" s="3">
        <f>0.5*B19+0.5*B26</f>
        <v/>
      </c>
    </row>
    <row r="29">
      <c r="A29" t="inlineStr">
        <is>
          <t>Upside vs $2.37 (%)</t>
        </is>
      </c>
      <c r="B29" s="4">
        <f>(B28/Inputs!$B$3-1)*100</f>
        <v/>
      </c>
    </row>
    <row r="31">
      <c r="A31" s="1" t="inlineStr">
        <is>
          <t>ENTRY PRICE @ 15% hurdle (AFFO leg)</t>
        </is>
      </c>
    </row>
    <row r="32">
      <c r="A32" t="inlineStr">
        <is>
          <t>PV interim AFFO @15% (cps)</t>
        </is>
      </c>
      <c r="B32">
        <f>B7/(1.15^1)+C7/(1.15^2)+D7/(1.15^3)+E7/(1.15^4)+F7/(1.15^5)</f>
        <v/>
      </c>
    </row>
    <row r="33">
      <c r="A33" t="inlineStr">
        <is>
          <t>PV terminal @15% (cps)</t>
        </is>
      </c>
      <c r="B33">
        <f>B17/(1.15^5)</f>
        <v/>
      </c>
    </row>
    <row r="34">
      <c r="A34" t="inlineStr">
        <is>
          <t>Entry price ($/share)</t>
        </is>
      </c>
      <c r="B34" s="2">
        <f>(B32+B33)/100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PFI.NZ probability-weighted valuation</t>
        </is>
      </c>
    </row>
    <row r="3">
      <c r="A3" s="1" t="inlineStr"/>
      <c r="B3" s="1" t="inlineStr">
        <is>
          <t>Bear</t>
        </is>
      </c>
      <c r="C3" s="1" t="inlineStr">
        <is>
          <t>Base</t>
        </is>
      </c>
      <c r="D3" s="1" t="inlineStr">
        <is>
          <t>Bull</t>
        </is>
      </c>
    </row>
    <row r="4">
      <c r="A4" t="inlineStr">
        <is>
          <t>Blended IV ($)</t>
        </is>
      </c>
      <c r="B4">
        <f>Bear!B28</f>
        <v/>
      </c>
      <c r="C4">
        <f>Base!B28</f>
        <v/>
      </c>
      <c r="D4">
        <f>Bull!B28</f>
        <v/>
      </c>
    </row>
    <row r="5">
      <c r="A5" t="inlineStr">
        <is>
          <t>Weight</t>
        </is>
      </c>
      <c r="B5" t="n">
        <v>0.2</v>
      </c>
      <c r="C5" t="n">
        <v>0.55</v>
      </c>
      <c r="D5" t="n">
        <v>0.25</v>
      </c>
    </row>
    <row r="6">
      <c r="A6" t="inlineStr">
        <is>
          <t>Entry price @15% ($)</t>
        </is>
      </c>
      <c r="B6">
        <f>Bear!B34</f>
        <v/>
      </c>
      <c r="C6">
        <f>Base!B34</f>
        <v/>
      </c>
      <c r="D6">
        <f>Bull!B34</f>
        <v/>
      </c>
    </row>
    <row r="8">
      <c r="A8" s="1" t="inlineStr">
        <is>
          <t>Weighted IV ($)</t>
        </is>
      </c>
      <c r="B8" s="3">
        <f>SUMPRODUCT(B4:D4,B5:D5)</f>
        <v/>
      </c>
    </row>
    <row r="9">
      <c r="A9" t="inlineStr">
        <is>
          <t>Current price ($)</t>
        </is>
      </c>
      <c r="B9">
        <f>Inputs!B3</f>
        <v/>
      </c>
    </row>
    <row r="10">
      <c r="A10" t="inlineStr">
        <is>
          <t>Weighted upside (%)</t>
        </is>
      </c>
      <c r="B10" s="4">
        <f>(B8/B9-1)*100</f>
        <v/>
      </c>
    </row>
    <row r="11">
      <c r="A11" t="inlineStr">
        <is>
          <t>Weighted entry price ($)</t>
        </is>
      </c>
      <c r="B11" s="2">
        <f>SUMPRODUCT(B6:D6,B5:D5)</f>
        <v/>
      </c>
    </row>
    <row r="13">
      <c r="A13" t="inlineStr">
        <is>
          <t>Python cross-check IVs (static)</t>
        </is>
      </c>
      <c r="B13" t="n">
        <v>1.444</v>
      </c>
      <c r="C13" t="n">
        <v>2.052</v>
      </c>
      <c r="D13" t="n">
        <v>2.582</v>
      </c>
    </row>
    <row r="14">
      <c r="A14" t="inlineStr">
        <is>
          <t>Match? (formula vs static, must all be ~0)</t>
        </is>
      </c>
      <c r="B14">
        <f>B4-B13</f>
        <v/>
      </c>
      <c r="C14">
        <f>C4-C13</f>
        <v/>
      </c>
      <c r="D14">
        <f>D4-D13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A1" s="1" t="inlineStr">
        <is>
          <t>AFFO-cap leg IV ($/share), base AFFO path</t>
        </is>
      </c>
    </row>
    <row r="2">
      <c r="A2" t="inlineStr">
        <is>
          <t>Rows: cost of equity % | Cols: exit AFFO yield %</t>
        </is>
      </c>
    </row>
    <row r="4">
      <c r="B4" s="1" t="n">
        <v>4.85</v>
      </c>
      <c r="C4" s="1" t="n">
        <v>5.35</v>
      </c>
      <c r="D4" s="1" t="n">
        <v>5.85</v>
      </c>
      <c r="E4" s="1" t="n">
        <v>6.35</v>
      </c>
      <c r="F4" s="1" t="n">
        <v>6.85</v>
      </c>
    </row>
    <row r="5">
      <c r="A5" s="1" t="n">
        <v>7.6</v>
      </c>
      <c r="B5" s="2">
        <f>(10.300000/(1+7.6/100)^1+10.763500/(1+7.6/100)^2+11.247858/(1+7.6/100)^3+11.697772/(1+7.6/100)^4+12.107194/(1+7.6/100)^5+12.107194*1.0275/(4.85/100)/(1+7.6/100)^5)/100</f>
        <v/>
      </c>
      <c r="C5" s="2">
        <f>(10.300000/(1+7.6/100)^1+10.763500/(1+7.6/100)^2+11.247858/(1+7.6/100)^3+11.697772/(1+7.6/100)^4+12.107194/(1+7.6/100)^5+12.107194*1.0275/(5.35/100)/(1+7.6/100)^5)/100</f>
        <v/>
      </c>
      <c r="D5" s="2">
        <f>(10.300000/(1+7.6/100)^1+10.763500/(1+7.6/100)^2+11.247858/(1+7.6/100)^3+11.697772/(1+7.6/100)^4+12.107194/(1+7.6/100)^5+12.107194*1.0275/(5.85/100)/(1+7.6/100)^5)/100</f>
        <v/>
      </c>
      <c r="E5" s="2">
        <f>(10.300000/(1+7.6/100)^1+10.763500/(1+7.6/100)^2+11.247858/(1+7.6/100)^3+11.697772/(1+7.6/100)^4+12.107194/(1+7.6/100)^5+12.107194*1.0275/(6.35/100)/(1+7.6/100)^5)/100</f>
        <v/>
      </c>
      <c r="F5" s="2">
        <f>(10.300000/(1+7.6/100)^1+10.763500/(1+7.6/100)^2+11.247858/(1+7.6/100)^3+11.697772/(1+7.6/100)^4+12.107194/(1+7.6/100)^5+12.107194*1.0275/(6.85/100)/(1+7.6/100)^5)/100</f>
        <v/>
      </c>
    </row>
    <row r="6">
      <c r="A6" s="1" t="n">
        <v>8.1</v>
      </c>
      <c r="B6" s="2">
        <f>(10.300000/(1+8.1/100)^1+10.763500/(1+8.1/100)^2+11.247858/(1+8.1/100)^3+11.697772/(1+8.1/100)^4+12.107194/(1+8.1/100)^5+12.107194*1.0275/(4.85/100)/(1+8.1/100)^5)/100</f>
        <v/>
      </c>
      <c r="C6" s="2">
        <f>(10.300000/(1+8.1/100)^1+10.763500/(1+8.1/100)^2+11.247858/(1+8.1/100)^3+11.697772/(1+8.1/100)^4+12.107194/(1+8.1/100)^5+12.107194*1.0275/(5.35/100)/(1+8.1/100)^5)/100</f>
        <v/>
      </c>
      <c r="D6" s="2">
        <f>(10.300000/(1+8.1/100)^1+10.763500/(1+8.1/100)^2+11.247858/(1+8.1/100)^3+11.697772/(1+8.1/100)^4+12.107194/(1+8.1/100)^5+12.107194*1.0275/(5.85/100)/(1+8.1/100)^5)/100</f>
        <v/>
      </c>
      <c r="E6" s="2">
        <f>(10.300000/(1+8.1/100)^1+10.763500/(1+8.1/100)^2+11.247858/(1+8.1/100)^3+11.697772/(1+8.1/100)^4+12.107194/(1+8.1/100)^5+12.107194*1.0275/(6.35/100)/(1+8.1/100)^5)/100</f>
        <v/>
      </c>
      <c r="F6" s="2">
        <f>(10.300000/(1+8.1/100)^1+10.763500/(1+8.1/100)^2+11.247858/(1+8.1/100)^3+11.697772/(1+8.1/100)^4+12.107194/(1+8.1/100)^5+12.107194*1.0275/(6.85/100)/(1+8.1/100)^5)/100</f>
        <v/>
      </c>
    </row>
    <row r="7">
      <c r="A7" s="1" t="n">
        <v>8.6</v>
      </c>
      <c r="B7" s="2">
        <f>(10.300000/(1+8.6/100)^1+10.763500/(1+8.6/100)^2+11.247858/(1+8.6/100)^3+11.697772/(1+8.6/100)^4+12.107194/(1+8.6/100)^5+12.107194*1.0275/(4.85/100)/(1+8.6/100)^5)/100</f>
        <v/>
      </c>
      <c r="C7" s="2">
        <f>(10.300000/(1+8.6/100)^1+10.763500/(1+8.6/100)^2+11.247858/(1+8.6/100)^3+11.697772/(1+8.6/100)^4+12.107194/(1+8.6/100)^5+12.107194*1.0275/(5.35/100)/(1+8.6/100)^5)/100</f>
        <v/>
      </c>
      <c r="D7" s="2">
        <f>(10.300000/(1+8.6/100)^1+10.763500/(1+8.6/100)^2+11.247858/(1+8.6/100)^3+11.697772/(1+8.6/100)^4+12.107194/(1+8.6/100)^5+12.107194*1.0275/(5.85/100)/(1+8.6/100)^5)/100</f>
        <v/>
      </c>
      <c r="E7" s="2">
        <f>(10.300000/(1+8.6/100)^1+10.763500/(1+8.6/100)^2+11.247858/(1+8.6/100)^3+11.697772/(1+8.6/100)^4+12.107194/(1+8.6/100)^5+12.107194*1.0275/(6.35/100)/(1+8.6/100)^5)/100</f>
        <v/>
      </c>
      <c r="F7" s="2">
        <f>(10.300000/(1+8.6/100)^1+10.763500/(1+8.6/100)^2+11.247858/(1+8.6/100)^3+11.697772/(1+8.6/100)^4+12.107194/(1+8.6/100)^5+12.107194*1.0275/(6.85/100)/(1+8.6/100)^5)/100</f>
        <v/>
      </c>
    </row>
    <row r="8">
      <c r="A8" s="1" t="n">
        <v>9.1</v>
      </c>
      <c r="B8" s="2">
        <f>(10.300000/(1+9.1/100)^1+10.763500/(1+9.1/100)^2+11.247858/(1+9.1/100)^3+11.697772/(1+9.1/100)^4+12.107194/(1+9.1/100)^5+12.107194*1.0275/(4.85/100)/(1+9.1/100)^5)/100</f>
        <v/>
      </c>
      <c r="C8" s="2">
        <f>(10.300000/(1+9.1/100)^1+10.763500/(1+9.1/100)^2+11.247858/(1+9.1/100)^3+11.697772/(1+9.1/100)^4+12.107194/(1+9.1/100)^5+12.107194*1.0275/(5.35/100)/(1+9.1/100)^5)/100</f>
        <v/>
      </c>
      <c r="D8" s="2">
        <f>(10.300000/(1+9.1/100)^1+10.763500/(1+9.1/100)^2+11.247858/(1+9.1/100)^3+11.697772/(1+9.1/100)^4+12.107194/(1+9.1/100)^5+12.107194*1.0275/(5.85/100)/(1+9.1/100)^5)/100</f>
        <v/>
      </c>
      <c r="E8" s="2">
        <f>(10.300000/(1+9.1/100)^1+10.763500/(1+9.1/100)^2+11.247858/(1+9.1/100)^3+11.697772/(1+9.1/100)^4+12.107194/(1+9.1/100)^5+12.107194*1.0275/(6.35/100)/(1+9.1/100)^5)/100</f>
        <v/>
      </c>
      <c r="F8" s="2">
        <f>(10.300000/(1+9.1/100)^1+10.763500/(1+9.1/100)^2+11.247858/(1+9.1/100)^3+11.697772/(1+9.1/100)^4+12.107194/(1+9.1/100)^5+12.107194*1.0275/(6.85/100)/(1+9.1/100)^5)/100</f>
        <v/>
      </c>
    </row>
    <row r="9">
      <c r="A9" s="1" t="n">
        <v>9.6</v>
      </c>
      <c r="B9" s="2">
        <f>(10.300000/(1+9.6/100)^1+10.763500/(1+9.6/100)^2+11.247858/(1+9.6/100)^3+11.697772/(1+9.6/100)^4+12.107194/(1+9.6/100)^5+12.107194*1.0275/(4.85/100)/(1+9.6/100)^5)/100</f>
        <v/>
      </c>
      <c r="C9" s="2">
        <f>(10.300000/(1+9.6/100)^1+10.763500/(1+9.6/100)^2+11.247858/(1+9.6/100)^3+11.697772/(1+9.6/100)^4+12.107194/(1+9.6/100)^5+12.107194*1.0275/(5.35/100)/(1+9.6/100)^5)/100</f>
        <v/>
      </c>
      <c r="D9" s="2">
        <f>(10.300000/(1+9.6/100)^1+10.763500/(1+9.6/100)^2+11.247858/(1+9.6/100)^3+11.697772/(1+9.6/100)^4+12.107194/(1+9.6/100)^5+12.107194*1.0275/(5.85/100)/(1+9.6/100)^5)/100</f>
        <v/>
      </c>
      <c r="E9" s="2">
        <f>(10.300000/(1+9.6/100)^1+10.763500/(1+9.6/100)^2+11.247858/(1+9.6/100)^3+11.697772/(1+9.6/100)^4+12.107194/(1+9.6/100)^5+12.107194*1.0275/(6.35/100)/(1+9.6/100)^5)/100</f>
        <v/>
      </c>
      <c r="F9" s="2">
        <f>(10.300000/(1+9.6/100)^1+10.763500/(1+9.6/100)^2+11.247858/(1+9.6/100)^3+11.697772/(1+9.6/100)^4+12.107194/(1+9.6/100)^5+12.107194*1.0275/(6.85/100)/(1+9.6/100)^5)/100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FY-end price vs NTA / AFFO / EBITDA (Dec-end FY2018-23; Jun-end FY2024 stub, FY2025-26)</t>
        </is>
      </c>
    </row>
    <row r="3">
      <c r="A3" s="1" t="inlineStr">
        <is>
          <t>Year</t>
        </is>
      </c>
      <c r="B3" s="1" t="inlineStr">
        <is>
          <t>FY-end price</t>
        </is>
      </c>
      <c r="C3" s="1" t="inlineStr">
        <is>
          <t>NTA (cps)</t>
        </is>
      </c>
      <c r="D3" s="1" t="inlineStr">
        <is>
          <t>AFFO (cps)</t>
        </is>
      </c>
      <c r="E3" s="1" t="inlineStr">
        <is>
          <t>P/NTA</t>
        </is>
      </c>
      <c r="F3" s="1" t="inlineStr">
        <is>
          <t>P/AFFO</t>
        </is>
      </c>
    </row>
    <row r="4">
      <c r="A4" t="inlineStr">
        <is>
          <t>FY2018</t>
        </is>
      </c>
      <c r="B4" t="n">
        <v>1.81</v>
      </c>
      <c r="C4" t="n">
        <v>177.7</v>
      </c>
      <c r="D4" t="n">
        <v>7.46</v>
      </c>
      <c r="E4" s="2">
        <f>B4/(C4/100)</f>
        <v/>
      </c>
      <c r="F4" s="4">
        <f>B4/(D4/100)</f>
        <v/>
      </c>
    </row>
    <row r="5">
      <c r="A5" t="inlineStr">
        <is>
          <t>FY2019</t>
        </is>
      </c>
      <c r="B5" t="n">
        <v>2.44</v>
      </c>
      <c r="C5" t="n">
        <v>205.5</v>
      </c>
      <c r="D5" t="n">
        <v>7.79</v>
      </c>
      <c r="E5" s="2">
        <f>B5/(C5/100)</f>
        <v/>
      </c>
      <c r="F5" s="4">
        <f>B5/(D5/100)</f>
        <v/>
      </c>
    </row>
    <row r="6">
      <c r="A6" t="inlineStr">
        <is>
          <t>FY2020</t>
        </is>
      </c>
      <c r="B6" t="n">
        <v>2.93</v>
      </c>
      <c r="C6" t="n">
        <v>220.9</v>
      </c>
      <c r="D6" t="n">
        <v>8.029999999999999</v>
      </c>
      <c r="E6" s="2">
        <f>B6/(C6/100)</f>
        <v/>
      </c>
      <c r="F6" s="4">
        <f>B6/(D6/100)</f>
        <v/>
      </c>
    </row>
    <row r="7">
      <c r="A7" t="inlineStr">
        <is>
          <t>FY2021</t>
        </is>
      </c>
      <c r="B7" t="n">
        <v>2.98</v>
      </c>
      <c r="C7" t="n">
        <v>303.4</v>
      </c>
      <c r="D7" t="n">
        <v>9.289999999999999</v>
      </c>
      <c r="E7" s="2">
        <f>B7/(C7/100)</f>
        <v/>
      </c>
      <c r="F7" s="4">
        <f>B7/(D7/100)</f>
        <v/>
      </c>
    </row>
    <row r="8">
      <c r="A8" t="inlineStr">
        <is>
          <t>FY2022</t>
        </is>
      </c>
      <c r="B8" t="n">
        <v>2.3</v>
      </c>
      <c r="C8" t="n">
        <v>298.8</v>
      </c>
      <c r="D8" t="n">
        <v>8.83</v>
      </c>
      <c r="E8" s="2">
        <f>B8/(C8/100)</f>
        <v/>
      </c>
      <c r="F8" s="4">
        <f>B8/(D8/100)</f>
        <v/>
      </c>
    </row>
    <row r="9">
      <c r="A9" t="inlineStr">
        <is>
          <t>FY2023</t>
        </is>
      </c>
      <c r="B9" t="n">
        <v>2.25</v>
      </c>
      <c r="C9" t="n">
        <v>270.9</v>
      </c>
      <c r="D9" t="n">
        <v>8.92</v>
      </c>
      <c r="E9" s="2">
        <f>B9/(C9/100)</f>
        <v/>
      </c>
      <c r="F9" s="4">
        <f>B9/(D9/100)</f>
        <v/>
      </c>
    </row>
    <row r="10">
      <c r="A10" t="inlineStr">
        <is>
          <t>FY2024 (6mo stub)</t>
        </is>
      </c>
      <c r="B10" t="n">
        <v>2.15</v>
      </c>
      <c r="C10" t="n">
        <v>270.7</v>
      </c>
      <c r="E10" s="2">
        <f>B10/(C10/100)</f>
        <v/>
      </c>
    </row>
    <row r="11">
      <c r="A11" t="inlineStr">
        <is>
          <t>FY2025</t>
        </is>
      </c>
      <c r="B11" t="n">
        <v>2.23</v>
      </c>
      <c r="C11" t="n">
        <v>283.6</v>
      </c>
      <c r="D11" t="n">
        <v>9.59</v>
      </c>
      <c r="E11" s="2">
        <f>B11/(C11/100)</f>
        <v/>
      </c>
      <c r="F11" s="4">
        <f>B11/(D11/100)</f>
        <v/>
      </c>
    </row>
    <row r="12">
      <c r="A12" t="inlineStr">
        <is>
          <t>FY2026</t>
        </is>
      </c>
      <c r="B12" t="n">
        <v>2.42</v>
      </c>
      <c r="C12" t="n">
        <v>290</v>
      </c>
      <c r="D12" t="n">
        <v>10.93</v>
      </c>
      <c r="E12" s="2">
        <f>B12/(C12/100)</f>
        <v/>
      </c>
      <c r="F12" s="4">
        <f>B12/(D12/100)</f>
        <v/>
      </c>
    </row>
    <row r="14">
      <c r="A14" s="1" t="inlineStr">
        <is>
          <t>Averages</t>
        </is>
      </c>
      <c r="E14" s="2">
        <f>AVERAGE(E4:E12)</f>
        <v/>
      </c>
      <c r="F14" s="4">
        <f>AVERAGE(F4:F12)</f>
        <v/>
      </c>
    </row>
    <row r="16">
      <c r="A16" s="1" t="inlineStr">
        <is>
          <t>Implied at base blended IV $2.052:</t>
        </is>
      </c>
    </row>
    <row r="17">
      <c r="A17" t="inlineStr">
        <is>
          <t>P/NTA</t>
        </is>
      </c>
      <c r="B17" s="2">
        <f>Base!B28/(290/100)</f>
        <v/>
      </c>
    </row>
    <row r="18">
      <c r="A18" t="inlineStr">
        <is>
          <t>P/AFFO (FY2027 10.30c)</t>
        </is>
      </c>
      <c r="B18" s="4">
        <f>Base!B28/(10.30/100)</f>
        <v/>
      </c>
    </row>
    <row r="20">
      <c r="A20" t="inlineStr">
        <is>
          <t>Sanity: all implied multiples BELOW historical avg/max — no overvaluation trip. Implied P/NTA ~0.71x sits slightly below the 8yr min (0.77x): consequence of requiring 8.6% CoE vs the ~7.3-7.5% the market has accepted. Conclusion: fully priced at our required return.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2026-08-25T08:13:19Z</dcterms:created>
  <dcterms:modified xsi:type="dcterms:W3CDTF">2026-08-25T08:13:19Z</dcterms:modified>
</cp:coreProperties>
</file>