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<sst xmlns="http://schemas.openxmlformats.org/spreadsheetml/2006/main" count="387" uniqueCount="174">
  <si>
    <t xml:space="preserve">Ticker</t>
  </si>
  <si>
    <t xml:space="preserve">AJG</t>
  </si>
  <si>
    <t xml:space="preserve">Company</t>
  </si>
  <si>
    <t xml:space="preserve">Arthur J. Gallagher &amp; Co.</t>
  </si>
  <si>
    <t xml:space="preserve">Valuation date</t>
  </si>
  <si>
    <t xml:space="preserve">2026-09-25</t>
  </si>
  <si>
    <t xml:space="preserve">Current price</t>
  </si>
  <si>
    <t xml:space="preserve">Price as of</t>
  </si>
  <si>
    <t xml:space="preserve">2026-09-24T20:00:03Z regular close (Yahoo Finance chart API); 52-week range 190.75-313.55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</si>
  <si>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</si>
  <si>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</si>
  <si>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</si>
  <si>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</si>
  <si>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</si>
  <si>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</si>
  <si>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</si>
  <si>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</si>
  <si>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</si>
  <si>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</si>
  <si>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</si>
  <si>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</si>
  <si>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2026-09-25T09:32:59Z</t>
  </si>
  <si>
    <t xml:space="preserve">Drivers file</t>
  </si>
  <si>
    <t xml:space="preserve">AJG_Drivers.json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</si>
  <si>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</si>
  <si>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</si>
  <si>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</si>
  <si>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AJG is a capital-light, fee/commission-based global insurance brokerage (third/fourth-largest globally) with a decades-long algorithm of mid-single-digit organic growth plus continuous tuck-in M&amp;A, now digesting its largest-ever acquisition (AssuredPartners, $13.8B, closed August 2025). The valuation is built on an owner-FCF component DCF anchored to management's own (recently trimmed) FY2026 guidance rather than historical CAGRs, which are badly distorted by the AssuredPartners equity raise and deal-related D&amp;A/interest. Elevated D&amp;A (~7.5%-8% of revenue, mostly purchase-accounting intangible amortization) is genuinely non-cash and is added back correctly in the FCF build; the near-term normalized EBITDA margin (27.5% ramping to 30%) sits meaningfully below AJG's own guided Brokerage-segment-only EBITDAC range (33.6-34.2%) to reflect the lower-margin Risk Management mix and corporate costs, which is a deliberately conservative blend. FY2025 reported FCF ($1,785M, 12.8% margin) is a trough distorted by acquisition-close transaction costs and fiduciary-fund working-capital timing -- TTM OCF through Q2-2026 recovered to $2,449M -- so the base FCF for the DCF is built from normalized components rather than carried forward from the depressed FY2025 actual.
key_risks_to_valuation: AssuredPartners integration execution -- the largest deal in company history; realizing $160M-$325M of targeted synergies carries meaningful execution risk, and management already removed an assumed Q4 2026 acceleration from guidance; Softening P&amp;C pricing cycle (property renewals -10% in Q2 2026) could spread into casualty/professional lines, which have so far remained firm and are propping up the organic growth guide; Elevated leverage (~3.0x net debt/EBITDA) narrows financial flexibility for further tuck-in M&amp;A and increases interest-expense sensitivity to rates; Premium valuation historically afforded to AJG (trailing P/E ~38-39x pre-cut) leaves little room for further guidance disappointments; Structural reliance on continuous, well-priced M&amp;A to sustain the growth algorithm; a thinner or more expensive acquisition pipeline would compress the long-run growth assumption; D&amp;A build is a modeling judgment (7.5% of revenue tapering to 6.0%) calibrated to disclosed intangible-amortization schedules but sensitive to the pace and size of future tuck-in acquisitions, which reset the amortization base each time</t>
  </si>
  <si>
    <t xml:space="preserve">Data sources</t>
  </si>
  <si>
    <t xml:space="preserve">price: Yahoo Finance chart API at inputs.price_as_of; 52-week range 190.75-313.55
financials: research/AJG/Reports/AJG_Metrics.csv (core_metrics, SEC XBRL-sourced) plus direct SEC XBRL companyconcept API queries (CIK 0000354190) for FY2021-2025 capex (PaymentsForCapitalImprovements), D&amp;A (DepreciationAmortizationAndAccretionNet), SBC (ShareBasedCompensation), debt (LongTermDebtNoncurrent) and cash (CashCashEquivalentsRestrictedCashAndRestrictedCashEquivalents) to fill CapEx/FreeCashFlow gaps in the CSV for FY2023-2025, which the acquisition-era filings left unpopulated
qualitative: research/AJG/Reports/AJG_Analysis.json (2026-09-25) -- AssuredPartners acquisition detail, September 2026 guidance cut, bull/bear cases, competitive position</t>
  </si>
  <si>
    <t xml:space="preserve">Scenario narrative: bear</t>
  </si>
  <si>
    <t xml:space="preserve">The September 2026 guidance cut is the leading edge of a broader P&amp;C pricing-cycle turn rather than a one-off Q4 timing fix; AssuredPartners integration underdelivers on its synergy targets as outsized brokerage mega-deals often do, elevated post-deal leverage constrains further tuck-in M&amp;A, and the mature margin stalls in the mid-to-high-20s% rather than reaching 30%+ -- though the recurring, high-retention commission base keeps growth modestly positive throughout rather than going negative.</t>
  </si>
  <si>
    <t xml:space="preserve">Scenario narrative: base</t>
  </si>
  <si>
    <t xml:space="preserve">Management delivers its own just-lowered guidance (~5% Brokerage organic, 9-12% Risk Management organic) while AssuredPartners integration proceeds on the stated synergy timeline and AJG resumes its historical tuck-in M&amp;A pace; margin expands toward a ~30% mature adjusted EBITDA level via guided 40-60bps/yr underlying expansion plus synergy capture.</t>
  </si>
  <si>
    <t xml:space="preserve">Scenario narrative: bull</t>
  </si>
  <si>
    <t xml:space="preserve">AssuredPartners synergies beat the $325M ceiling and land early, Gallagher Bassett sustains the top of its double-digit organic range, casualty/professional-lines pricing strength offsets property softness so total organic growth reaccelerates, and disciplined tuck-in M&amp;A continues at historical pace -- pushing the mature margin toward the low-33% area.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</si>
  <si>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</si>
  <si>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</si>
  <si>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</si>
  <si>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</si>
  <si>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</si>
  <si>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</si>
  <si>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</si>
  <si>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</si>
  <si>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</si>
  <si>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</si>
  <si>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</si>
  <si>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</si>
  <si>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</si>
  <si>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</si>
  <si>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</si>
  <si>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</si>
  <si>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</si>
  <si>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</si>
  <si>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</si>
  <si>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</si>
  <si>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</si>
  <si>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</si>
  <si>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</si>
  <si>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</si>
  <si>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</si>
  <si>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</si>
  <si>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</si>
  <si>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</si>
  <si>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</si>
  <si>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</si>
  <si>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</si>
  <si>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</si>
  <si>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</si>
  <si>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</si>
  <si>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</si>
  <si>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</si>
  <si>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</si>
  <si>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</si>
  <si>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</si>
  <si>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</si>
  <si>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</si>
  <si>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</si>
  <si>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</si>
  <si>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</si>
  <si>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</si>
  <si>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</si>
  <si>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</si>
  <si>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</si>
  <si>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</si>
  <si>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</si>
  <si>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</si>
  <si>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</si>
  <si>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</si>
  <si>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</si>
  <si>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</si>
  <si>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</si>
  <si>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</si>
  <si>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</si>
  <si>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</si>
  <si>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</si>
  <si>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</si>
  <si>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</si>
  <si>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</si>
  <si>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</si>
  <si>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</si>
  <si>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</si>
  <si>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</si>
  <si>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</si>
  <si>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</si>
  <si>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</si>
  <si>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</si>
  <si>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</si>
  <si>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</si>
  <si>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</si>
  <si>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</si>
  <si>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</si>
  <si>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</si>
  <si>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</si>
  <si>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</si>
  <si>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</si>
  <si>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</si>
  <si>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</si>
  <si>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</si>
  <si>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AJG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</si>
  <si>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</si>
  <si>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</si>
  <si>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</si>
  <si>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</si>
  <si>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</si>
  <si>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</si>
  <si>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</si>
  <si>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</si>
  <si>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</si>
  <si>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</si>
  <si>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</si>
  <si>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</si>
  <si>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</si>
  <si>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</si>
  <si>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</si>
  <si>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</si>
  <si>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</si>
  <si>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</si>
  <si>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</si>
  <si>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</si>
  <si>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</si>
  <si>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</si>
  <si>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</si>
  <si>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</si>
  <si>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</si>
  <si>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</si>
  <si>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</si>
  <si>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</si>
  <si>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</si>
  <si>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</si>
  <si>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AJG owner-FCF component DCF: base case (millions, USD)</t>
  </si>
  <si>
    <t xml:space="preserve">AJG owner-FCF component DCF: bull case (millions, USD)</t>
  </si>
  <si>
    <t xml:space="preserve">AJG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</si>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</sst>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227.13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715.5</v>
      </c>
      <c r="S2" s="0" t="n">
        <v>255.9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1645</v>
      </c>
      <c r="I3" s="0" t="n">
        <v>77.3</v>
      </c>
      <c r="J3" s="0" t="n">
        <v>4.69908814589666</v>
      </c>
      <c r="K3" s="0" t="n">
        <v>0.82</v>
      </c>
      <c r="L3" s="0" t="n">
        <v>160.6</v>
      </c>
      <c r="M3" s="0" t="n">
        <v>32</v>
      </c>
      <c r="N3" s="0" t="n">
        <v>128.6</v>
      </c>
      <c r="O3" s="0" t="n">
        <v>738.5</v>
      </c>
      <c r="S3" s="0" t="n">
        <v>194.4</v>
      </c>
      <c r="U3" s="0" t="n">
        <v>11.4</v>
      </c>
      <c r="V3" s="0" t="n">
        <v>1.28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1729.3</v>
      </c>
      <c r="I4" s="0" t="n">
        <v>128.6</v>
      </c>
      <c r="J4" s="0" t="n">
        <v>7.43653501416758</v>
      </c>
      <c r="K4" s="0" t="n">
        <v>1.28</v>
      </c>
      <c r="L4" s="0" t="n">
        <v>211.5</v>
      </c>
      <c r="M4" s="0" t="n">
        <v>23.5</v>
      </c>
      <c r="N4" s="0" t="n">
        <v>188</v>
      </c>
      <c r="O4" s="0" t="n">
        <v>892.9</v>
      </c>
      <c r="P4" s="0" t="n">
        <v>3250.3</v>
      </c>
      <c r="Q4" s="0" t="n">
        <v>2357.4</v>
      </c>
      <c r="R4" s="0" t="n">
        <v>550</v>
      </c>
      <c r="S4" s="0" t="n">
        <v>205.9</v>
      </c>
      <c r="T4" s="0" t="n">
        <v>102.5</v>
      </c>
      <c r="U4" s="0" t="n">
        <v>9.9</v>
      </c>
      <c r="V4" s="0" t="n">
        <v>1.28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1864.2</v>
      </c>
      <c r="C5" s="0" t="n">
        <v>64</v>
      </c>
      <c r="I5" s="0" t="n">
        <v>174.1</v>
      </c>
      <c r="J5" s="0" t="n">
        <v>9.33912670314344</v>
      </c>
      <c r="K5" s="0" t="n">
        <v>1.66</v>
      </c>
      <c r="L5" s="0" t="n">
        <v>229.5</v>
      </c>
      <c r="M5" s="0" t="n">
        <v>25.1</v>
      </c>
      <c r="N5" s="0" t="n">
        <v>204.4</v>
      </c>
      <c r="O5" s="0" t="n">
        <v>1106.7</v>
      </c>
      <c r="P5" s="0" t="n">
        <v>3596</v>
      </c>
      <c r="Q5" s="0" t="n">
        <v>2489.3</v>
      </c>
      <c r="R5" s="0" t="n">
        <v>550</v>
      </c>
      <c r="S5" s="0" t="n">
        <v>249.8</v>
      </c>
      <c r="T5" s="0" t="n">
        <v>108.4</v>
      </c>
      <c r="U5" s="0" t="n">
        <v>9</v>
      </c>
      <c r="V5" s="0" t="n">
        <v>1.28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2134.7</v>
      </c>
      <c r="C6" s="0" t="n">
        <v>32</v>
      </c>
      <c r="I6" s="0" t="n">
        <v>144.1</v>
      </c>
      <c r="J6" s="0" t="n">
        <v>6.75036304867195</v>
      </c>
      <c r="K6" s="0" t="n">
        <v>1.28</v>
      </c>
      <c r="L6" s="0" t="n">
        <v>284</v>
      </c>
      <c r="M6" s="0" t="n">
        <v>45.9</v>
      </c>
      <c r="N6" s="0" t="n">
        <v>238.1</v>
      </c>
      <c r="O6" s="0" t="n">
        <v>1243.6</v>
      </c>
      <c r="P6" s="0" t="n">
        <v>4483.5</v>
      </c>
      <c r="Q6" s="0" t="n">
        <v>3239.9</v>
      </c>
      <c r="R6" s="0" t="n">
        <v>675</v>
      </c>
      <c r="S6" s="0" t="n">
        <v>291.2</v>
      </c>
      <c r="T6" s="0" t="n">
        <v>114.7</v>
      </c>
      <c r="U6" s="0" t="n">
        <v>14.3</v>
      </c>
      <c r="V6" s="0" t="n">
        <v>1.32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2520.3</v>
      </c>
      <c r="C7" s="0" t="n">
        <v>111.6</v>
      </c>
      <c r="I7" s="0" t="n">
        <v>195</v>
      </c>
      <c r="J7" s="0" t="n">
        <v>7.73717414593501</v>
      </c>
      <c r="K7" s="0" t="n">
        <v>1.59</v>
      </c>
      <c r="L7" s="0" t="n">
        <v>343</v>
      </c>
      <c r="M7" s="0" t="n">
        <v>51</v>
      </c>
      <c r="N7" s="0" t="n">
        <v>292</v>
      </c>
      <c r="O7" s="0" t="n">
        <v>1672.8</v>
      </c>
      <c r="P7" s="0" t="n">
        <v>5352.3</v>
      </c>
      <c r="Q7" s="0" t="n">
        <v>3693.7</v>
      </c>
      <c r="R7" s="0" t="n">
        <v>725</v>
      </c>
      <c r="S7" s="0" t="n">
        <v>302.1</v>
      </c>
      <c r="T7" s="0" t="n">
        <v>125.6</v>
      </c>
      <c r="U7" s="0" t="n">
        <v>7.5</v>
      </c>
      <c r="V7" s="0" t="n">
        <v>1.36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3179.6</v>
      </c>
      <c r="C8" s="0" t="n">
        <v>437.3</v>
      </c>
      <c r="I8" s="0" t="n">
        <v>268.6</v>
      </c>
      <c r="J8" s="0" t="n">
        <v>8.44760347213486</v>
      </c>
      <c r="K8" s="0" t="n">
        <v>2.06</v>
      </c>
      <c r="L8" s="0" t="n">
        <v>349.9</v>
      </c>
      <c r="M8" s="0" t="n">
        <v>93.6</v>
      </c>
      <c r="N8" s="0" t="n">
        <v>256.3</v>
      </c>
      <c r="O8" s="0" t="n">
        <v>2114.8</v>
      </c>
      <c r="P8" s="0" t="n">
        <v>6860.5</v>
      </c>
      <c r="Q8" s="0" t="n">
        <v>4775</v>
      </c>
      <c r="R8" s="0" t="n">
        <v>825</v>
      </c>
      <c r="S8" s="0" t="n">
        <v>298.1</v>
      </c>
      <c r="T8" s="0" t="n">
        <v>133.6</v>
      </c>
      <c r="U8" s="0" t="n">
        <v>7.7</v>
      </c>
      <c r="V8" s="0" t="n">
        <v>1.4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4626.5</v>
      </c>
      <c r="C9" s="0" t="n">
        <v>1058.9</v>
      </c>
      <c r="I9" s="0" t="n">
        <v>303.4</v>
      </c>
      <c r="J9" s="0" t="n">
        <v>6.55787312223063</v>
      </c>
      <c r="K9" s="0" t="n">
        <v>1.97</v>
      </c>
      <c r="M9" s="0" t="n">
        <v>81.5</v>
      </c>
      <c r="O9" s="0" t="n">
        <v>3305.1</v>
      </c>
      <c r="P9" s="0" t="n">
        <v>10010</v>
      </c>
      <c r="Q9" s="0" t="n">
        <v>6704.9</v>
      </c>
      <c r="R9" s="0" t="n">
        <v>2125</v>
      </c>
      <c r="S9" s="0" t="n">
        <v>314.4</v>
      </c>
      <c r="T9" s="0" t="n">
        <v>164.6</v>
      </c>
      <c r="U9" s="0" t="n">
        <v>10.6</v>
      </c>
      <c r="V9" s="0" t="n">
        <v>1.44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5392.4</v>
      </c>
      <c r="I10" s="0" t="n">
        <v>356.8</v>
      </c>
      <c r="J10" s="0" t="n">
        <v>6.61671982790594</v>
      </c>
      <c r="K10" s="0" t="n">
        <v>2.06</v>
      </c>
      <c r="M10" s="0" t="n">
        <v>99</v>
      </c>
      <c r="O10" s="0" t="n">
        <v>3688.2</v>
      </c>
      <c r="P10" s="0" t="n">
        <v>10913.8</v>
      </c>
      <c r="Q10" s="0" t="n">
        <v>7222.3</v>
      </c>
      <c r="R10" s="0" t="n">
        <v>2071.7</v>
      </c>
      <c r="S10" s="0" t="n">
        <v>480.4</v>
      </c>
      <c r="T10" s="0" t="n">
        <v>176.9</v>
      </c>
      <c r="U10" s="0" t="n">
        <v>11.2</v>
      </c>
      <c r="V10" s="0" t="n">
        <v>1.48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5680.5</v>
      </c>
      <c r="C11" s="0" t="n">
        <v>1408.6</v>
      </c>
      <c r="I11" s="0" t="n">
        <v>396.8</v>
      </c>
      <c r="J11" s="0" t="n">
        <v>6.98530058973682</v>
      </c>
      <c r="K11" s="0" t="n">
        <v>2.22</v>
      </c>
      <c r="L11" s="0" t="n">
        <v>649.6</v>
      </c>
      <c r="M11" s="0" t="n">
        <v>217.8</v>
      </c>
      <c r="N11" s="0" t="n">
        <v>431.8</v>
      </c>
      <c r="O11" s="0" t="n">
        <v>3775.5</v>
      </c>
      <c r="P11" s="0" t="n">
        <v>13528.2</v>
      </c>
      <c r="Q11" s="0" t="n">
        <v>7833.8</v>
      </c>
      <c r="R11" s="0" t="n">
        <v>2144.6</v>
      </c>
      <c r="S11" s="0" t="n">
        <v>545.5</v>
      </c>
      <c r="T11" s="0" t="n">
        <v>178.3</v>
      </c>
      <c r="U11" s="0" t="n">
        <v>14.7</v>
      </c>
      <c r="V11" s="0" t="n">
        <v>1.52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6249</v>
      </c>
      <c r="C12" s="0" t="n">
        <v>1635.9</v>
      </c>
      <c r="I12" s="0" t="n">
        <v>481.3</v>
      </c>
      <c r="J12" s="0" t="n">
        <v>7.70203232517203</v>
      </c>
      <c r="K12" s="0" t="n">
        <v>2.64</v>
      </c>
      <c r="L12" s="0" t="n">
        <v>854.2</v>
      </c>
      <c r="O12" s="0" t="n">
        <v>4299.7</v>
      </c>
      <c r="P12" s="0" t="n">
        <v>14909.7</v>
      </c>
      <c r="Q12" s="0" t="n">
        <v>10610</v>
      </c>
      <c r="R12" s="0" t="n">
        <v>2691.9</v>
      </c>
      <c r="S12" s="0" t="n">
        <v>681.2</v>
      </c>
      <c r="T12" s="0" t="n">
        <v>181</v>
      </c>
      <c r="U12" s="0" t="n">
        <v>17.3</v>
      </c>
      <c r="V12" s="0" t="n">
        <v>1.56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6934</v>
      </c>
      <c r="C13" s="0" t="n">
        <v>1816</v>
      </c>
      <c r="I13" s="0" t="n">
        <v>633.5</v>
      </c>
      <c r="J13" s="0" t="n">
        <v>9.13614075569657</v>
      </c>
      <c r="K13" s="0" t="n">
        <v>3.4</v>
      </c>
      <c r="L13" s="0" t="n">
        <v>765.1</v>
      </c>
      <c r="O13" s="0" t="n">
        <v>4569.7</v>
      </c>
      <c r="P13" s="0" t="n">
        <v>16334</v>
      </c>
      <c r="Q13" s="0" t="n">
        <v>11764.3</v>
      </c>
      <c r="R13" s="0" t="n">
        <v>3091.4</v>
      </c>
      <c r="S13" s="0" t="n">
        <v>607.2</v>
      </c>
      <c r="T13" s="0" t="n">
        <v>184</v>
      </c>
      <c r="U13" s="0" t="n">
        <v>13.7</v>
      </c>
      <c r="V13" s="0" t="n">
        <v>1.64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7195</v>
      </c>
      <c r="C14" s="0" t="n">
        <v>1352.8</v>
      </c>
      <c r="I14" s="0" t="n">
        <v>668.8</v>
      </c>
      <c r="J14" s="0" t="n">
        <v>9.29534398888117</v>
      </c>
      <c r="K14" s="0" t="n">
        <v>3.52</v>
      </c>
      <c r="L14" s="0" t="n">
        <v>1191.1</v>
      </c>
      <c r="O14" s="0" t="n">
        <v>5215.5</v>
      </c>
      <c r="P14" s="0" t="n">
        <v>19634.8</v>
      </c>
      <c r="Q14" s="0" t="n">
        <v>14419.3</v>
      </c>
      <c r="R14" s="0" t="n">
        <v>3816.1</v>
      </c>
      <c r="S14" s="0" t="n">
        <v>604.8</v>
      </c>
      <c r="T14" s="0" t="n">
        <v>188.1</v>
      </c>
      <c r="U14" s="0" t="n">
        <v>14</v>
      </c>
      <c r="V14" s="0" t="n">
        <v>1.72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7003.6</v>
      </c>
      <c r="C15" s="0" t="n">
        <v>882.1</v>
      </c>
      <c r="I15" s="0" t="n">
        <v>818.8</v>
      </c>
      <c r="J15" s="0" t="n">
        <v>11.6911302758581</v>
      </c>
      <c r="K15" s="0" t="n">
        <v>4.2</v>
      </c>
      <c r="L15" s="0" t="n">
        <v>1807.1</v>
      </c>
      <c r="O15" s="0" t="n">
        <v>6232.7</v>
      </c>
      <c r="P15" s="0" t="n">
        <v>22331.4</v>
      </c>
      <c r="Q15" s="0" t="n">
        <v>16098.7</v>
      </c>
      <c r="R15" s="0" t="n">
        <v>4266</v>
      </c>
      <c r="S15" s="0" t="n">
        <v>664.6</v>
      </c>
      <c r="T15" s="0" t="n">
        <v>193.7</v>
      </c>
      <c r="U15" s="0" t="n">
        <v>13.6</v>
      </c>
      <c r="V15" s="0" t="n">
        <v>1.8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8209.4</v>
      </c>
      <c r="C16" s="0" t="n">
        <v>1173.2</v>
      </c>
      <c r="I16" s="0" t="n">
        <v>906.8</v>
      </c>
      <c r="J16" s="0" t="n">
        <v>11.0458742417229</v>
      </c>
      <c r="K16" s="0" t="n">
        <v>4.37</v>
      </c>
      <c r="L16" s="0" t="n">
        <v>1392.4</v>
      </c>
      <c r="O16" s="0" t="n">
        <v>8560.1</v>
      </c>
      <c r="P16" s="0" t="n">
        <v>33236.1</v>
      </c>
      <c r="Q16" s="0" t="n">
        <v>24784.9</v>
      </c>
      <c r="R16" s="0" t="n">
        <v>5810.2</v>
      </c>
      <c r="S16" s="0" t="n">
        <v>402.6</v>
      </c>
      <c r="T16" s="0" t="n">
        <v>208.5</v>
      </c>
      <c r="U16" s="0" t="n">
        <v>13.4</v>
      </c>
      <c r="V16" s="0" t="n">
        <v>1.92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8550.6</v>
      </c>
      <c r="C17" s="0" t="n">
        <v>22.9</v>
      </c>
      <c r="I17" s="0" t="n">
        <v>1114.2</v>
      </c>
      <c r="J17" s="0" t="n">
        <v>13.0306645147709</v>
      </c>
      <c r="K17" s="0" t="n">
        <v>5.19</v>
      </c>
      <c r="L17" s="0" t="n">
        <v>1390</v>
      </c>
      <c r="O17" s="0" t="n">
        <v>9190</v>
      </c>
      <c r="P17" s="0" t="n">
        <v>38358.4</v>
      </c>
      <c r="Q17" s="0" t="n">
        <v>29168.2</v>
      </c>
      <c r="R17" s="0" t="n">
        <v>5562.8</v>
      </c>
      <c r="S17" s="0" t="n">
        <v>738.4</v>
      </c>
      <c r="T17" s="0" t="n">
        <v>211.9</v>
      </c>
      <c r="U17" s="0" t="n">
        <v>24.4</v>
      </c>
      <c r="V17" s="0" t="n">
        <v>2.04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10072</v>
      </c>
      <c r="I18" s="0" t="n">
        <v>970</v>
      </c>
      <c r="J18" s="0" t="n">
        <v>9.6306592533757</v>
      </c>
      <c r="K18" s="0" t="n">
        <v>4.42</v>
      </c>
      <c r="L18" s="0" t="n">
        <v>2032</v>
      </c>
      <c r="O18" s="0" t="n">
        <v>10815</v>
      </c>
      <c r="P18" s="0" t="n">
        <v>51616</v>
      </c>
      <c r="Q18" s="0" t="n">
        <v>40800.5</v>
      </c>
      <c r="R18" s="0" t="n">
        <v>7006</v>
      </c>
      <c r="T18" s="0" t="n">
        <v>216.7</v>
      </c>
      <c r="U18" s="0" t="n">
        <v>31</v>
      </c>
      <c r="V18" s="0" t="n">
        <v>2.2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11555</v>
      </c>
      <c r="I19" s="0" t="n">
        <v>1463</v>
      </c>
      <c r="J19" s="0" t="n">
        <v>12.6611856339247</v>
      </c>
      <c r="K19" s="0" t="n">
        <v>6.5</v>
      </c>
      <c r="L19" s="0" t="n">
        <v>2583</v>
      </c>
      <c r="O19" s="0" t="n">
        <v>20154</v>
      </c>
      <c r="P19" s="0" t="n">
        <v>64255</v>
      </c>
      <c r="Q19" s="0" t="n">
        <v>44075</v>
      </c>
      <c r="R19" s="0" t="n">
        <v>12732</v>
      </c>
      <c r="T19" s="0" t="n">
        <v>250</v>
      </c>
      <c r="U19" s="0" t="n">
        <v>42</v>
      </c>
      <c r="V19" s="0" t="n">
        <v>2.4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13942</v>
      </c>
      <c r="I20" s="0" t="n">
        <v>1494</v>
      </c>
      <c r="J20" s="0" t="n">
        <v>10.7158226940181</v>
      </c>
      <c r="K20" s="0" t="n">
        <v>5.74</v>
      </c>
      <c r="L20" s="0" t="n">
        <v>1930</v>
      </c>
      <c r="O20" s="0" t="n">
        <v>23321</v>
      </c>
      <c r="P20" s="0" t="n">
        <v>70665</v>
      </c>
      <c r="Q20" s="0" t="n">
        <v>47318</v>
      </c>
      <c r="R20" s="0" t="n">
        <v>12873</v>
      </c>
      <c r="T20" s="0" t="n">
        <v>257</v>
      </c>
      <c r="U20" s="0" t="n">
        <v>49</v>
      </c>
      <c r="V20" s="0" t="n">
        <v>2.6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227.13</v>
      </c>
    </row>
    <row r="3" customFormat="false" ht="15" hidden="false" customHeight="false" outlineLevel="0" collapsed="false">
      <c r="A3" s="0" t="s">
        <v>85</v>
      </c>
      <c r="B3" s="3" t="n">
        <v>256.3</v>
      </c>
    </row>
    <row r="4" customFormat="false" ht="15" hidden="false" customHeight="false" outlineLevel="0" collapsed="false">
      <c r="A4" s="0" t="s">
        <v>86</v>
      </c>
      <c r="B4" s="3" t="n">
        <v>10569</v>
      </c>
    </row>
    <row r="5" customFormat="false" ht="15" hidden="false" customHeight="false" outlineLevel="0" collapsed="false">
      <c r="A5" s="0" t="s">
        <v>87</v>
      </c>
      <c r="B5" s="3" t="n">
        <v>0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13942</v>
      </c>
    </row>
    <row r="8" customFormat="false" ht="15" hidden="false" customHeight="false" outlineLevel="0" collapsed="false">
      <c r="A8" s="0" t="s">
        <v>90</v>
      </c>
      <c r="B8" s="3" t="s">
        <v>81</v>
      </c>
    </row>
    <row r="9" customFormat="false" ht="15" hidden="false" customHeight="false" outlineLevel="0" collapsed="false">
      <c r="A9" s="0" t="s">
        <v>91</v>
      </c>
      <c r="B9" s="3" t="s">
        <v>92</v>
      </c>
    </row>
    <row r="10" customFormat="false" ht="15" hidden="false" customHeight="false" outlineLevel="0" collapsed="false">
      <c r="A10" s="0" t="s">
        <v>93</v>
      </c>
      <c r="B10" s="3" t="n">
        <v>1</v>
      </c>
    </row>
    <row r="12" customFormat="false" ht="15" hidden="false" customHeight="false" outlineLevel="0" collapsed="false">
      <c r="A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102</v>
      </c>
      <c r="K12" s="2" t="s">
        <v>103</v>
      </c>
      <c r="L12" s="2" t="s">
        <v>104</v>
      </c>
    </row>
    <row r="13" customFormat="false" ht="15" hidden="false" customHeight="false" outlineLevel="0" collapsed="false">
      <c r="A13" s="0" t="s">
        <v>105</v>
      </c>
      <c r="C13" s="3" t="n">
        <v>3</v>
      </c>
      <c r="D13" s="3" t="n">
        <v>2.5</v>
      </c>
      <c r="E13" s="3" t="n">
        <v>3</v>
      </c>
      <c r="F13" s="3" t="n">
        <v>3</v>
      </c>
      <c r="G13" s="3" t="n">
        <v>3</v>
      </c>
      <c r="H13" s="3" t="n">
        <v>3</v>
      </c>
      <c r="I13" s="3" t="n">
        <v>2.5</v>
      </c>
      <c r="J13" s="3" t="n">
        <v>2.5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106</v>
      </c>
      <c r="C14" s="3" t="n">
        <v>25.5</v>
      </c>
      <c r="D14" s="3" t="n">
        <v>25.5</v>
      </c>
      <c r="E14" s="3" t="n">
        <v>26</v>
      </c>
      <c r="F14" s="3" t="n">
        <v>26</v>
      </c>
      <c r="G14" s="3" t="n">
        <v>26.5</v>
      </c>
      <c r="H14" s="3" t="n">
        <v>26.5</v>
      </c>
      <c r="I14" s="3" t="n">
        <v>27</v>
      </c>
      <c r="J14" s="3" t="n">
        <v>27</v>
      </c>
      <c r="K14" s="3" t="n">
        <v>27</v>
      </c>
      <c r="L14" s="3" t="n">
        <v>27</v>
      </c>
    </row>
    <row r="15" customFormat="false" ht="15" hidden="false" customHeight="false" outlineLevel="0" collapsed="false">
      <c r="A15" s="0" t="s">
        <v>107</v>
      </c>
      <c r="C15" s="3" t="n">
        <v>0.35</v>
      </c>
      <c r="D15" s="3" t="n">
        <v>0.35</v>
      </c>
      <c r="E15" s="3" t="n">
        <v>0.35</v>
      </c>
      <c r="F15" s="3" t="n">
        <v>0.35</v>
      </c>
      <c r="G15" s="3" t="n">
        <v>0.35</v>
      </c>
      <c r="H15" s="3" t="n">
        <v>0.35</v>
      </c>
      <c r="I15" s="3" t="n">
        <v>0.35</v>
      </c>
      <c r="J15" s="3" t="n">
        <v>0.35</v>
      </c>
      <c r="K15" s="3" t="n">
        <v>0.35</v>
      </c>
      <c r="L15" s="3" t="n">
        <v>0.35</v>
      </c>
    </row>
    <row r="16" customFormat="false" ht="15" hidden="false" customHeight="false" outlineLevel="0" collapsed="false">
      <c r="A16" s="0" t="s">
        <v>108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109</v>
      </c>
      <c r="C17" s="3" t="n">
        <v>7.8</v>
      </c>
      <c r="D17" s="3" t="n">
        <v>7.8</v>
      </c>
      <c r="E17" s="3" t="n">
        <v>7.6</v>
      </c>
      <c r="F17" s="3" t="n">
        <v>7.6</v>
      </c>
      <c r="G17" s="3" t="n">
        <v>7.4</v>
      </c>
      <c r="H17" s="3" t="n">
        <v>7.4</v>
      </c>
      <c r="I17" s="3" t="n">
        <v>7.2</v>
      </c>
      <c r="J17" s="3" t="n">
        <v>7.2</v>
      </c>
      <c r="K17" s="3" t="n">
        <v>7</v>
      </c>
      <c r="L17" s="3" t="n">
        <v>7</v>
      </c>
    </row>
    <row r="18" customFormat="false" ht="15" hidden="false" customHeight="false" outlineLevel="0" collapsed="false">
      <c r="A18" s="0" t="s">
        <v>110</v>
      </c>
      <c r="C18" s="3" t="n">
        <v>1.3</v>
      </c>
      <c r="D18" s="3" t="n">
        <v>1.3</v>
      </c>
      <c r="E18" s="3" t="n">
        <v>1.25</v>
      </c>
      <c r="F18" s="3" t="n">
        <v>1.25</v>
      </c>
      <c r="G18" s="3" t="n">
        <v>1.2</v>
      </c>
      <c r="H18" s="3" t="n">
        <v>1.2</v>
      </c>
      <c r="I18" s="3" t="n">
        <v>1.2</v>
      </c>
      <c r="J18" s="3" t="n">
        <v>1.2</v>
      </c>
      <c r="K18" s="3" t="n">
        <v>1.2</v>
      </c>
      <c r="L18" s="3" t="n">
        <v>1.2</v>
      </c>
    </row>
    <row r="19" customFormat="false" ht="15" hidden="false" customHeight="false" outlineLevel="0" collapsed="false">
      <c r="A19" s="0" t="s">
        <v>111</v>
      </c>
      <c r="C19" s="3" t="n">
        <v>20</v>
      </c>
      <c r="D19" s="3" t="n">
        <v>21</v>
      </c>
      <c r="E19" s="3" t="n">
        <v>22</v>
      </c>
      <c r="F19" s="3" t="n">
        <v>22</v>
      </c>
      <c r="G19" s="3" t="n">
        <v>22</v>
      </c>
      <c r="H19" s="3" t="n">
        <v>22</v>
      </c>
      <c r="I19" s="3" t="n">
        <v>22</v>
      </c>
      <c r="J19" s="3" t="n">
        <v>22</v>
      </c>
      <c r="K19" s="3" t="n">
        <v>22</v>
      </c>
      <c r="L19" s="3" t="n">
        <v>22</v>
      </c>
    </row>
    <row r="20" customFormat="false" ht="15" hidden="false" customHeight="false" outlineLevel="0" collapsed="false">
      <c r="A20" s="0" t="s">
        <v>112</v>
      </c>
      <c r="B20" s="3" t="n">
        <v>10</v>
      </c>
    </row>
    <row r="21" customFormat="false" ht="15" hidden="false" customHeight="false" outlineLevel="0" collapsed="false">
      <c r="A21" s="0" t="s">
        <v>113</v>
      </c>
      <c r="B21" s="3" t="n">
        <v>2</v>
      </c>
    </row>
    <row r="22" customFormat="false" ht="15" hidden="false" customHeight="false" outlineLevel="0" collapsed="false">
      <c r="A22" s="0" t="s">
        <v>114</v>
      </c>
      <c r="B22" s="3" t="n">
        <v>14</v>
      </c>
    </row>
    <row r="23" customFormat="false" ht="15" hidden="false" customHeight="false" outlineLevel="0" collapsed="false">
      <c r="A23" s="0" t="s">
        <v>115</v>
      </c>
      <c r="B23" s="3" t="n">
        <v>0</v>
      </c>
    </row>
    <row r="24" customFormat="false" ht="15" hidden="false" customHeight="false" outlineLevel="0" collapsed="false">
      <c r="A24" s="0" t="s">
        <v>116</v>
      </c>
      <c r="B24" s="3" t="n">
        <v>0.25</v>
      </c>
    </row>
    <row r="26" customFormat="false" ht="15" hidden="false" customHeight="false" outlineLevel="0" collapsed="false">
      <c r="A26" s="2" t="s">
        <v>117</v>
      </c>
      <c r="C26" s="2" t="s">
        <v>95</v>
      </c>
      <c r="D26" s="2" t="s">
        <v>96</v>
      </c>
      <c r="E26" s="2" t="s">
        <v>97</v>
      </c>
      <c r="F26" s="2" t="s">
        <v>98</v>
      </c>
      <c r="G26" s="2" t="s">
        <v>99</v>
      </c>
      <c r="H26" s="2" t="s">
        <v>100</v>
      </c>
      <c r="I26" s="2" t="s">
        <v>101</v>
      </c>
      <c r="J26" s="2" t="s">
        <v>102</v>
      </c>
      <c r="K26" s="2" t="s">
        <v>103</v>
      </c>
      <c r="L26" s="2" t="s">
        <v>104</v>
      </c>
    </row>
    <row r="27" customFormat="false" ht="15" hidden="false" customHeight="false" outlineLevel="0" collapsed="false">
      <c r="A27" s="0" t="s">
        <v>105</v>
      </c>
      <c r="C27" s="3" t="n">
        <v>7.5</v>
      </c>
      <c r="D27" s="3" t="n">
        <v>7</v>
      </c>
      <c r="E27" s="3" t="n">
        <v>6.5</v>
      </c>
      <c r="F27" s="3" t="n">
        <v>6</v>
      </c>
      <c r="G27" s="3" t="n">
        <v>5.5</v>
      </c>
      <c r="H27" s="3" t="n">
        <v>5</v>
      </c>
      <c r="I27" s="3" t="n">
        <v>4.5</v>
      </c>
      <c r="J27" s="3" t="n">
        <v>4</v>
      </c>
      <c r="K27" s="3" t="n">
        <v>3</v>
      </c>
      <c r="L27" s="3" t="n">
        <v>2.5</v>
      </c>
    </row>
    <row r="28" customFormat="false" ht="15" hidden="false" customHeight="false" outlineLevel="0" collapsed="false">
      <c r="A28" s="0" t="s">
        <v>106</v>
      </c>
      <c r="C28" s="3" t="n">
        <v>27.5</v>
      </c>
      <c r="D28" s="3" t="n">
        <v>28</v>
      </c>
      <c r="E28" s="3" t="n">
        <v>28.5</v>
      </c>
      <c r="F28" s="3" t="n">
        <v>29</v>
      </c>
      <c r="G28" s="3" t="n">
        <v>29.5</v>
      </c>
      <c r="H28" s="3" t="n">
        <v>30</v>
      </c>
      <c r="I28" s="3" t="n">
        <v>30</v>
      </c>
      <c r="J28" s="3" t="n">
        <v>30</v>
      </c>
      <c r="K28" s="3" t="n">
        <v>30</v>
      </c>
      <c r="L28" s="3" t="n">
        <v>30</v>
      </c>
    </row>
    <row r="29" customFormat="false" ht="15" hidden="false" customHeight="false" outlineLevel="0" collapsed="false">
      <c r="A29" s="0" t="s">
        <v>107</v>
      </c>
      <c r="C29" s="3" t="n">
        <v>0.35</v>
      </c>
      <c r="D29" s="3" t="n">
        <v>0.35</v>
      </c>
      <c r="E29" s="3" t="n">
        <v>0.35</v>
      </c>
      <c r="F29" s="3" t="n">
        <v>0.35</v>
      </c>
      <c r="G29" s="3" t="n">
        <v>0.35</v>
      </c>
      <c r="H29" s="3" t="n">
        <v>0.35</v>
      </c>
      <c r="I29" s="3" t="n">
        <v>0.35</v>
      </c>
      <c r="J29" s="3" t="n">
        <v>0.35</v>
      </c>
      <c r="K29" s="3" t="n">
        <v>0.35</v>
      </c>
      <c r="L29" s="3" t="n">
        <v>0.35</v>
      </c>
    </row>
    <row r="30" customFormat="false" ht="15" hidden="false" customHeight="false" outlineLevel="0" collapsed="false">
      <c r="A30" s="0" t="s">
        <v>108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109</v>
      </c>
      <c r="C31" s="3" t="n">
        <v>7.5</v>
      </c>
      <c r="D31" s="3" t="n">
        <v>7.3</v>
      </c>
      <c r="E31" s="3" t="n">
        <v>7.1</v>
      </c>
      <c r="F31" s="3" t="n">
        <v>6.9</v>
      </c>
      <c r="G31" s="3" t="n">
        <v>6.7</v>
      </c>
      <c r="H31" s="3" t="n">
        <v>6.5</v>
      </c>
      <c r="I31" s="3" t="n">
        <v>6.3</v>
      </c>
      <c r="J31" s="3" t="n">
        <v>6.2</v>
      </c>
      <c r="K31" s="3" t="n">
        <v>6.1</v>
      </c>
      <c r="L31" s="3" t="n">
        <v>6</v>
      </c>
    </row>
    <row r="32" customFormat="false" ht="15" hidden="false" customHeight="false" outlineLevel="0" collapsed="false">
      <c r="A32" s="0" t="s">
        <v>110</v>
      </c>
      <c r="C32" s="3" t="n">
        <v>1.2</v>
      </c>
      <c r="D32" s="3" t="n">
        <v>1.15</v>
      </c>
      <c r="E32" s="3" t="n">
        <v>1.1</v>
      </c>
      <c r="F32" s="3" t="n">
        <v>1.1</v>
      </c>
      <c r="G32" s="3" t="n">
        <v>1.05</v>
      </c>
      <c r="H32" s="3" t="n">
        <v>1.05</v>
      </c>
      <c r="I32" s="3" t="n">
        <v>1</v>
      </c>
      <c r="J32" s="3" t="n">
        <v>1</v>
      </c>
      <c r="K32" s="3" t="n">
        <v>1</v>
      </c>
      <c r="L32" s="3" t="n">
        <v>1</v>
      </c>
    </row>
    <row r="33" customFormat="false" ht="15" hidden="false" customHeight="false" outlineLevel="0" collapsed="false">
      <c r="A33" s="0" t="s">
        <v>111</v>
      </c>
      <c r="C33" s="3" t="n">
        <v>19</v>
      </c>
      <c r="D33" s="3" t="n">
        <v>19.5</v>
      </c>
      <c r="E33" s="3" t="n">
        <v>20</v>
      </c>
      <c r="F33" s="3" t="n">
        <v>20.5</v>
      </c>
      <c r="G33" s="3" t="n">
        <v>21</v>
      </c>
      <c r="H33" s="3" t="n">
        <v>21</v>
      </c>
      <c r="I33" s="3" t="n">
        <v>21</v>
      </c>
      <c r="J33" s="3" t="n">
        <v>21</v>
      </c>
      <c r="K33" s="3" t="n">
        <v>21</v>
      </c>
      <c r="L33" s="3" t="n">
        <v>21</v>
      </c>
    </row>
    <row r="34" customFormat="false" ht="15" hidden="false" customHeight="false" outlineLevel="0" collapsed="false">
      <c r="A34" s="0" t="s">
        <v>112</v>
      </c>
      <c r="B34" s="3" t="n">
        <v>8.5</v>
      </c>
    </row>
    <row r="35" customFormat="false" ht="15" hidden="false" customHeight="false" outlineLevel="0" collapsed="false">
      <c r="A35" s="0" t="s">
        <v>113</v>
      </c>
      <c r="B35" s="3" t="n">
        <v>2.5</v>
      </c>
    </row>
    <row r="36" customFormat="false" ht="15" hidden="false" customHeight="false" outlineLevel="0" collapsed="false">
      <c r="A36" s="0" t="s">
        <v>114</v>
      </c>
      <c r="B36" s="3" t="n">
        <v>18</v>
      </c>
    </row>
    <row r="37" customFormat="false" ht="15" hidden="false" customHeight="false" outlineLevel="0" collapsed="false">
      <c r="A37" s="0" t="s">
        <v>115</v>
      </c>
      <c r="B37" s="3" t="n">
        <v>0</v>
      </c>
    </row>
    <row r="38" customFormat="false" ht="15" hidden="false" customHeight="false" outlineLevel="0" collapsed="false">
      <c r="A38" s="0" t="s">
        <v>116</v>
      </c>
      <c r="B38" s="3" t="n">
        <v>0.5</v>
      </c>
    </row>
    <row r="40" customFormat="false" ht="15" hidden="false" customHeight="false" outlineLevel="0" collapsed="false">
      <c r="A40" s="2" t="s">
        <v>118</v>
      </c>
      <c r="C40" s="2" t="s">
        <v>95</v>
      </c>
      <c r="D40" s="2" t="s">
        <v>96</v>
      </c>
      <c r="E40" s="2" t="s">
        <v>97</v>
      </c>
      <c r="F40" s="2" t="s">
        <v>98</v>
      </c>
      <c r="G40" s="2" t="s">
        <v>99</v>
      </c>
      <c r="H40" s="2" t="s">
        <v>100</v>
      </c>
      <c r="I40" s="2" t="s">
        <v>101</v>
      </c>
      <c r="J40" s="2" t="s">
        <v>102</v>
      </c>
      <c r="K40" s="2" t="s">
        <v>103</v>
      </c>
      <c r="L40" s="2" t="s">
        <v>104</v>
      </c>
    </row>
    <row r="41" customFormat="false" ht="15" hidden="false" customHeight="false" outlineLevel="0" collapsed="false">
      <c r="A41" s="0" t="s">
        <v>105</v>
      </c>
      <c r="C41" s="3" t="n">
        <v>10</v>
      </c>
      <c r="D41" s="3" t="n">
        <v>9</v>
      </c>
      <c r="E41" s="3" t="n">
        <v>8</v>
      </c>
      <c r="F41" s="3" t="n">
        <v>7.5</v>
      </c>
      <c r="G41" s="3" t="n">
        <v>7</v>
      </c>
      <c r="H41" s="3" t="n">
        <v>6.5</v>
      </c>
      <c r="I41" s="3" t="n">
        <v>6</v>
      </c>
      <c r="J41" s="3" t="n">
        <v>5</v>
      </c>
      <c r="K41" s="3" t="n">
        <v>4</v>
      </c>
      <c r="L41" s="3" t="n">
        <v>3</v>
      </c>
    </row>
    <row r="42" customFormat="false" ht="15" hidden="false" customHeight="false" outlineLevel="0" collapsed="false">
      <c r="A42" s="0" t="s">
        <v>106</v>
      </c>
      <c r="C42" s="3" t="n">
        <v>28.5</v>
      </c>
      <c r="D42" s="3" t="n">
        <v>29.5</v>
      </c>
      <c r="E42" s="3" t="n">
        <v>30.5</v>
      </c>
      <c r="F42" s="3" t="n">
        <v>31.5</v>
      </c>
      <c r="G42" s="3" t="n">
        <v>32</v>
      </c>
      <c r="H42" s="3" t="n">
        <v>32.5</v>
      </c>
      <c r="I42" s="3" t="n">
        <v>32.5</v>
      </c>
      <c r="J42" s="3" t="n">
        <v>32.5</v>
      </c>
      <c r="K42" s="3" t="n">
        <v>32.5</v>
      </c>
      <c r="L42" s="3" t="n">
        <v>32.5</v>
      </c>
    </row>
    <row r="43" customFormat="false" ht="15" hidden="false" customHeight="false" outlineLevel="0" collapsed="false">
      <c r="A43" s="0" t="s">
        <v>107</v>
      </c>
      <c r="C43" s="3" t="n">
        <v>0.35</v>
      </c>
      <c r="D43" s="3" t="n">
        <v>0.35</v>
      </c>
      <c r="E43" s="3" t="n">
        <v>0.35</v>
      </c>
      <c r="F43" s="3" t="n">
        <v>0.35</v>
      </c>
      <c r="G43" s="3" t="n">
        <v>0.35</v>
      </c>
      <c r="H43" s="3" t="n">
        <v>0.35</v>
      </c>
      <c r="I43" s="3" t="n">
        <v>0.35</v>
      </c>
      <c r="J43" s="3" t="n">
        <v>0.35</v>
      </c>
      <c r="K43" s="3" t="n">
        <v>0.35</v>
      </c>
      <c r="L43" s="3" t="n">
        <v>0.35</v>
      </c>
    </row>
    <row r="44" customFormat="false" ht="15" hidden="false" customHeight="false" outlineLevel="0" collapsed="false">
      <c r="A44" s="0" t="s">
        <v>108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109</v>
      </c>
      <c r="C45" s="3" t="n">
        <v>7.3</v>
      </c>
      <c r="D45" s="3" t="n">
        <v>7</v>
      </c>
      <c r="E45" s="3" t="n">
        <v>6.7</v>
      </c>
      <c r="F45" s="3" t="n">
        <v>6.4</v>
      </c>
      <c r="G45" s="3" t="n">
        <v>6.1</v>
      </c>
      <c r="H45" s="3" t="n">
        <v>5.9</v>
      </c>
      <c r="I45" s="3" t="n">
        <v>5.7</v>
      </c>
      <c r="J45" s="3" t="n">
        <v>5.5</v>
      </c>
      <c r="K45" s="3" t="n">
        <v>5.4</v>
      </c>
      <c r="L45" s="3" t="n">
        <v>5.3</v>
      </c>
    </row>
    <row r="46" customFormat="false" ht="15" hidden="false" customHeight="false" outlineLevel="0" collapsed="false">
      <c r="A46" s="0" t="s">
        <v>110</v>
      </c>
      <c r="C46" s="3" t="n">
        <v>1.15</v>
      </c>
      <c r="D46" s="3" t="n">
        <v>1.1</v>
      </c>
      <c r="E46" s="3" t="n">
        <v>1.05</v>
      </c>
      <c r="F46" s="3" t="n">
        <v>1</v>
      </c>
      <c r="G46" s="3" t="n">
        <v>1</v>
      </c>
      <c r="H46" s="3" t="n">
        <v>0.95</v>
      </c>
      <c r="I46" s="3" t="n">
        <v>0.95</v>
      </c>
      <c r="J46" s="3" t="n">
        <v>0.9</v>
      </c>
      <c r="K46" s="3" t="n">
        <v>0.9</v>
      </c>
      <c r="L46" s="3" t="n">
        <v>0.9</v>
      </c>
    </row>
    <row r="47" customFormat="false" ht="15" hidden="false" customHeight="false" outlineLevel="0" collapsed="false">
      <c r="A47" s="0" t="s">
        <v>111</v>
      </c>
      <c r="C47" s="3" t="n">
        <v>18.5</v>
      </c>
      <c r="D47" s="3" t="n">
        <v>19</v>
      </c>
      <c r="E47" s="3" t="n">
        <v>19.5</v>
      </c>
      <c r="F47" s="3" t="n">
        <v>20</v>
      </c>
      <c r="G47" s="3" t="n">
        <v>20.5</v>
      </c>
      <c r="H47" s="3" t="n">
        <v>21</v>
      </c>
      <c r="I47" s="3" t="n">
        <v>21</v>
      </c>
      <c r="J47" s="3" t="n">
        <v>21</v>
      </c>
      <c r="K47" s="3" t="n">
        <v>21</v>
      </c>
      <c r="L47" s="3" t="n">
        <v>21</v>
      </c>
    </row>
    <row r="48" customFormat="false" ht="15" hidden="false" customHeight="false" outlineLevel="0" collapsed="false">
      <c r="A48" s="0" t="s">
        <v>112</v>
      </c>
      <c r="B48" s="3" t="n">
        <v>8</v>
      </c>
    </row>
    <row r="49" customFormat="false" ht="15" hidden="false" customHeight="false" outlineLevel="0" collapsed="false">
      <c r="A49" s="0" t="s">
        <v>113</v>
      </c>
      <c r="B49" s="3" t="n">
        <v>3</v>
      </c>
    </row>
    <row r="50" customFormat="false" ht="15" hidden="false" customHeight="false" outlineLevel="0" collapsed="false">
      <c r="A50" s="0" t="s">
        <v>114</v>
      </c>
      <c r="B50" s="3" t="n">
        <v>20</v>
      </c>
    </row>
    <row r="51" customFormat="false" ht="15" hidden="false" customHeight="false" outlineLevel="0" collapsed="false">
      <c r="A51" s="0" t="s">
        <v>115</v>
      </c>
      <c r="B51" s="3" t="n">
        <v>0</v>
      </c>
    </row>
    <row r="52" customFormat="false" ht="15" hidden="false" customHeight="false" outlineLevel="0" collapsed="false">
      <c r="A52" s="0" t="s">
        <v>116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119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Assumptions!C13</f>
        <v>3</v>
      </c>
      <c r="D5" s="4" t="n">
        <f aca="false">Assumptions!D13</f>
        <v>2.5</v>
      </c>
      <c r="E5" s="4" t="n">
        <f aca="false">Assumptions!E13</f>
        <v>3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13942</v>
      </c>
      <c r="C6" s="0" t="n">
        <f aca="false">B6*(1+C5/100)</f>
        <v>14360.26</v>
      </c>
      <c r="D6" s="0" t="n">
        <f aca="false">C6*(1+D5/100)</f>
        <v>14719.2665</v>
      </c>
      <c r="E6" s="0" t="n">
        <f aca="false">D6*(1+E5/100)</f>
        <v>15160.844495</v>
      </c>
      <c r="F6" s="0" t="n">
        <f aca="false">E6*(1+F5/100)</f>
        <v>15615.66982985</v>
      </c>
      <c r="G6" s="0" t="n">
        <f aca="false">F6*(1+G5/100)</f>
        <v>16084.1399247455</v>
      </c>
      <c r="H6" s="0" t="n">
        <f aca="false">G6*(1+H5/100)</f>
        <v>16566.6641224879</v>
      </c>
      <c r="I6" s="0" t="n">
        <f aca="false">H6*(1+I5/100)</f>
        <v>16980.8307255501</v>
      </c>
      <c r="J6" s="0" t="n">
        <f aca="false">I6*(1+J5/100)</f>
        <v>17405.3514936888</v>
      </c>
      <c r="K6" s="0" t="n">
        <f aca="false">J6*(1+K5/100)</f>
        <v>17753.4585235626</v>
      </c>
      <c r="L6" s="0" t="n">
        <f aca="false">K6*(1+L5/100)</f>
        <v>18108.5276940338</v>
      </c>
    </row>
    <row r="7" customFormat="false" ht="15" hidden="false" customHeight="false" outlineLevel="0" collapsed="false">
      <c r="A7" s="0" t="s">
        <v>106</v>
      </c>
      <c r="C7" s="4" t="n">
        <f aca="false">Assumptions!C14</f>
        <v>25.5</v>
      </c>
      <c r="D7" s="4" t="n">
        <f aca="false">Assumptions!D14</f>
        <v>25.5</v>
      </c>
      <c r="E7" s="4" t="n">
        <f aca="false">Assumptions!E14</f>
        <v>26</v>
      </c>
      <c r="F7" s="4" t="n">
        <f aca="false">Assumptions!F14</f>
        <v>26</v>
      </c>
      <c r="G7" s="4" t="n">
        <f aca="false">Assumptions!G14</f>
        <v>26.5</v>
      </c>
      <c r="H7" s="4" t="n">
        <f aca="false">Assumptions!H14</f>
        <v>26.5</v>
      </c>
      <c r="I7" s="4" t="n">
        <f aca="false">Assumptions!I14</f>
        <v>27</v>
      </c>
      <c r="J7" s="4" t="n">
        <f aca="false">Assumptions!J14</f>
        <v>27</v>
      </c>
      <c r="K7" s="4" t="n">
        <f aca="false">Assumptions!K14</f>
        <v>27</v>
      </c>
      <c r="L7" s="4" t="n">
        <f aca="false">Assumptions!L14</f>
        <v>27</v>
      </c>
    </row>
    <row r="8" customFormat="false" ht="15" hidden="false" customHeight="false" outlineLevel="0" collapsed="false">
      <c r="A8" s="0" t="s">
        <v>43</v>
      </c>
      <c r="C8" s="0" t="n">
        <f aca="false">C6*C7/100</f>
        <v>3661.8663</v>
      </c>
      <c r="D8" s="0" t="n">
        <f aca="false">D6*D7/100</f>
        <v>3753.4129575</v>
      </c>
      <c r="E8" s="0" t="n">
        <f aca="false">E6*E7/100</f>
        <v>3941.8195687</v>
      </c>
      <c r="F8" s="0" t="n">
        <f aca="false">F6*F7/100</f>
        <v>4060.074155761</v>
      </c>
      <c r="G8" s="0" t="n">
        <f aca="false">G6*G7/100</f>
        <v>4262.29708005756</v>
      </c>
      <c r="H8" s="0" t="n">
        <f aca="false">H6*H7/100</f>
        <v>4390.16599245929</v>
      </c>
      <c r="I8" s="0" t="n">
        <f aca="false">I6*I7/100</f>
        <v>4584.82429589852</v>
      </c>
      <c r="J8" s="0" t="n">
        <f aca="false">J6*J7/100</f>
        <v>4699.44490329598</v>
      </c>
      <c r="K8" s="0" t="n">
        <f aca="false">K6*K7/100</f>
        <v>4793.4338013619</v>
      </c>
      <c r="L8" s="0" t="n">
        <f aca="false">L6*L7/100</f>
        <v>4889.30247738914</v>
      </c>
    </row>
    <row r="9" customFormat="false" ht="15" hidden="false" customHeight="false" outlineLevel="0" collapsed="false">
      <c r="A9" s="0" t="s">
        <v>107</v>
      </c>
      <c r="C9" s="4" t="n">
        <f aca="false">Assumptions!C15</f>
        <v>0.35</v>
      </c>
      <c r="D9" s="4" t="n">
        <f aca="false">Assumptions!D15</f>
        <v>0.35</v>
      </c>
      <c r="E9" s="4" t="n">
        <f aca="false">Assumptions!E15</f>
        <v>0.35</v>
      </c>
      <c r="F9" s="4" t="n">
        <f aca="false">Assumptions!F15</f>
        <v>0.35</v>
      </c>
      <c r="G9" s="4" t="n">
        <f aca="false">Assumptions!G15</f>
        <v>0.35</v>
      </c>
      <c r="H9" s="4" t="n">
        <f aca="false">Assumptions!H15</f>
        <v>0.35</v>
      </c>
      <c r="I9" s="4" t="n">
        <f aca="false">Assumptions!I15</f>
        <v>0.35</v>
      </c>
      <c r="J9" s="4" t="n">
        <f aca="false">Assumptions!J15</f>
        <v>0.35</v>
      </c>
      <c r="K9" s="4" t="n">
        <f aca="false">Assumptions!K15</f>
        <v>0.35</v>
      </c>
      <c r="L9" s="4" t="n">
        <f aca="false">Assumptions!L15</f>
        <v>0.35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-50.26091</v>
      </c>
      <c r="D10" s="0" t="n">
        <f aca="false">-D6*D9/100</f>
        <v>-51.51743275</v>
      </c>
      <c r="E10" s="0" t="n">
        <f aca="false">-E6*E9/100</f>
        <v>-53.0629557325</v>
      </c>
      <c r="F10" s="0" t="n">
        <f aca="false">-F6*F9/100</f>
        <v>-54.654844404475</v>
      </c>
      <c r="G10" s="0" t="n">
        <f aca="false">-G6*G9/100</f>
        <v>-56.2944897366093</v>
      </c>
      <c r="H10" s="0" t="n">
        <f aca="false">-H6*H9/100</f>
        <v>-57.9833244287075</v>
      </c>
      <c r="I10" s="0" t="n">
        <f aca="false">-I6*I9/100</f>
        <v>-59.4329075394252</v>
      </c>
      <c r="J10" s="0" t="n">
        <f aca="false">-J6*J9/100</f>
        <v>-60.9187302279109</v>
      </c>
      <c r="K10" s="0" t="n">
        <f aca="false">-K6*K9/100</f>
        <v>-62.1371048324691</v>
      </c>
      <c r="L10" s="0" t="n">
        <f aca="false">-L6*L9/100</f>
        <v>-63.3798469291184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3611.60539</v>
      </c>
      <c r="D11" s="0" t="n">
        <f aca="false">D8+D10+D24</f>
        <v>3701.89552475</v>
      </c>
      <c r="E11" s="0" t="n">
        <f aca="false">E8+E10+E24</f>
        <v>3888.7566129675</v>
      </c>
      <c r="F11" s="0" t="n">
        <f aca="false">F8+F10+F24</f>
        <v>4005.41931135652</v>
      </c>
      <c r="G11" s="0" t="n">
        <f aca="false">G8+G10+G24</f>
        <v>4206.00259032095</v>
      </c>
      <c r="H11" s="0" t="n">
        <f aca="false">H8+H10+H24</f>
        <v>4332.18266803058</v>
      </c>
      <c r="I11" s="0" t="n">
        <f aca="false">I8+I10+I24</f>
        <v>4525.39138835909</v>
      </c>
      <c r="J11" s="0" t="n">
        <f aca="false">J8+J10+J24</f>
        <v>4638.52617306807</v>
      </c>
      <c r="K11" s="0" t="n">
        <f aca="false">K8+K10+K24</f>
        <v>4731.29669652943</v>
      </c>
      <c r="L11" s="0" t="n">
        <f aca="false">L8+L10+L24</f>
        <v>4825.92263046002</v>
      </c>
    </row>
    <row r="12" customFormat="false" ht="15" hidden="false" customHeight="false" outlineLevel="0" collapsed="false">
      <c r="A12" s="0" t="s">
        <v>124</v>
      </c>
      <c r="C12" s="4" t="n">
        <f aca="false">-C6*Assumptions!C17/100</f>
        <v>-1120.10028</v>
      </c>
      <c r="D12" s="4" t="n">
        <f aca="false">-D6*Assumptions!D17/100</f>
        <v>-1148.102787</v>
      </c>
      <c r="E12" s="4" t="n">
        <f aca="false">-E6*Assumptions!E17/100</f>
        <v>-1152.22418162</v>
      </c>
      <c r="F12" s="4" t="n">
        <f aca="false">-F6*Assumptions!F17/100</f>
        <v>-1186.7909070686</v>
      </c>
      <c r="G12" s="4" t="n">
        <f aca="false">-G6*Assumptions!G17/100</f>
        <v>-1190.22635443117</v>
      </c>
      <c r="H12" s="4" t="n">
        <f aca="false">-H6*Assumptions!H17/100</f>
        <v>-1225.9331450641</v>
      </c>
      <c r="I12" s="4" t="n">
        <f aca="false">-I6*Assumptions!I17/100</f>
        <v>-1222.6198122396</v>
      </c>
      <c r="J12" s="4" t="n">
        <f aca="false">-J6*Assumptions!J17/100</f>
        <v>-1253.18530754559</v>
      </c>
      <c r="K12" s="4" t="n">
        <f aca="false">-K6*Assumptions!K17/100</f>
        <v>-1242.74209664938</v>
      </c>
      <c r="L12" s="4" t="n">
        <f aca="false">-L6*Assumptions!L17/100</f>
        <v>-1267.59693858237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2491.50511</v>
      </c>
      <c r="D13" s="0" t="n">
        <f aca="false">D11+D12</f>
        <v>2553.79273775</v>
      </c>
      <c r="E13" s="0" t="n">
        <f aca="false">E11+E12</f>
        <v>2736.5324313475</v>
      </c>
      <c r="F13" s="0" t="n">
        <f aca="false">F11+F12</f>
        <v>2818.62840428793</v>
      </c>
      <c r="G13" s="0" t="n">
        <f aca="false">G11+G12</f>
        <v>3015.77623588978</v>
      </c>
      <c r="H13" s="0" t="n">
        <f aca="false">H11+H12</f>
        <v>3106.24952296648</v>
      </c>
      <c r="I13" s="0" t="n">
        <f aca="false">I11+I12</f>
        <v>3302.77157611949</v>
      </c>
      <c r="J13" s="0" t="n">
        <f aca="false">J11+J12</f>
        <v>3385.34086552247</v>
      </c>
      <c r="K13" s="0" t="n">
        <f aca="false">K11+K12</f>
        <v>3488.55459988005</v>
      </c>
      <c r="L13" s="0" t="n">
        <f aca="false">L11+L12</f>
        <v>3558.32569187765</v>
      </c>
    </row>
    <row r="14" customFormat="false" ht="15" hidden="false" customHeight="false" outlineLevel="0" collapsed="false">
      <c r="A14" s="0" t="s">
        <v>111</v>
      </c>
      <c r="C14" s="4" t="n">
        <f aca="false">Assumptions!C19</f>
        <v>20</v>
      </c>
      <c r="D14" s="4" t="n">
        <f aca="false">Assumptions!D19</f>
        <v>21</v>
      </c>
      <c r="E14" s="4" t="n">
        <f aca="false">Assumptions!E19</f>
        <v>22</v>
      </c>
      <c r="F14" s="4" t="n">
        <f aca="false">Assumptions!F19</f>
        <v>22</v>
      </c>
      <c r="G14" s="4" t="n">
        <f aca="false">Assumptions!G19</f>
        <v>22</v>
      </c>
      <c r="H14" s="4" t="n">
        <f aca="false">Assumptions!H19</f>
        <v>22</v>
      </c>
      <c r="I14" s="4" t="n">
        <f aca="false">Assumptions!I19</f>
        <v>22</v>
      </c>
      <c r="J14" s="4" t="n">
        <f aca="false">Assumptions!J19</f>
        <v>22</v>
      </c>
      <c r="K14" s="4" t="n">
        <f aca="false">Assumptions!K19</f>
        <v>22</v>
      </c>
      <c r="L14" s="4" t="n">
        <f aca="false">Assumptions!L19</f>
        <v>22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1993.204088</v>
      </c>
      <c r="D15" s="0" t="n">
        <f aca="false">D13-MAX(0,D13)*D14/100</f>
        <v>2017.4962628225</v>
      </c>
      <c r="E15" s="0" t="n">
        <f aca="false">E13-MAX(0,E13)*E14/100</f>
        <v>2134.49529645105</v>
      </c>
      <c r="F15" s="0" t="n">
        <f aca="false">F13-MAX(0,F13)*F14/100</f>
        <v>2198.53015534458</v>
      </c>
      <c r="G15" s="0" t="n">
        <f aca="false">G13-MAX(0,G13)*G14/100</f>
        <v>2352.30546399403</v>
      </c>
      <c r="H15" s="0" t="n">
        <f aca="false">H13-MAX(0,H13)*H14/100</f>
        <v>2422.87462791385</v>
      </c>
      <c r="I15" s="0" t="n">
        <f aca="false">I13-MAX(0,I13)*I14/100</f>
        <v>2576.1618293732</v>
      </c>
      <c r="J15" s="0" t="n">
        <f aca="false">J13-MAX(0,J13)*J14/100</f>
        <v>2640.56587510753</v>
      </c>
      <c r="K15" s="0" t="n">
        <f aca="false">K13-MAX(0,K13)*K14/100</f>
        <v>2721.07258790644</v>
      </c>
      <c r="L15" s="0" t="n">
        <f aca="false">L13-MAX(0,L13)*L14/100</f>
        <v>2775.49403966457</v>
      </c>
    </row>
    <row r="16" customFormat="false" ht="15" hidden="false" customHeight="false" outlineLevel="0" collapsed="false">
      <c r="A16" s="0" t="s">
        <v>127</v>
      </c>
      <c r="C16" s="0" t="n">
        <f aca="false">-C12</f>
        <v>1120.10028</v>
      </c>
      <c r="D16" s="0" t="n">
        <f aca="false">-D12</f>
        <v>1148.102787</v>
      </c>
      <c r="E16" s="0" t="n">
        <f aca="false">-E12</f>
        <v>1152.22418162</v>
      </c>
      <c r="F16" s="0" t="n">
        <f aca="false">-F12</f>
        <v>1186.7909070686</v>
      </c>
      <c r="G16" s="0" t="n">
        <f aca="false">-G12</f>
        <v>1190.22635443117</v>
      </c>
      <c r="H16" s="0" t="n">
        <f aca="false">-H12</f>
        <v>1225.9331450641</v>
      </c>
      <c r="I16" s="0" t="n">
        <f aca="false">-I12</f>
        <v>1222.6198122396</v>
      </c>
      <c r="J16" s="0" t="n">
        <f aca="false">-J12</f>
        <v>1253.18530754559</v>
      </c>
      <c r="K16" s="0" t="n">
        <f aca="false">-K12</f>
        <v>1242.74209664938</v>
      </c>
      <c r="L16" s="0" t="n">
        <f aca="false">-L12</f>
        <v>1267.59693858237</v>
      </c>
    </row>
    <row r="17" customFormat="false" ht="15" hidden="false" customHeight="false" outlineLevel="0" collapsed="false">
      <c r="A17" s="0" t="s">
        <v>128</v>
      </c>
      <c r="C17" s="4" t="n">
        <f aca="false">-C6*Assumptions!C18/100</f>
        <v>-186.68338</v>
      </c>
      <c r="D17" s="4" t="n">
        <f aca="false">-D6*Assumptions!D18/100</f>
        <v>-191.3504645</v>
      </c>
      <c r="E17" s="4" t="n">
        <f aca="false">-E6*Assumptions!E18/100</f>
        <v>-189.5105561875</v>
      </c>
      <c r="F17" s="4" t="n">
        <f aca="false">-F6*Assumptions!F18/100</f>
        <v>-195.195872873125</v>
      </c>
      <c r="G17" s="4" t="n">
        <f aca="false">-G6*Assumptions!G18/100</f>
        <v>-193.009679096946</v>
      </c>
      <c r="H17" s="4" t="n">
        <f aca="false">-H6*Assumptions!H18/100</f>
        <v>-198.799969469854</v>
      </c>
      <c r="I17" s="4" t="n">
        <f aca="false">-I6*Assumptions!I18/100</f>
        <v>-203.769968706601</v>
      </c>
      <c r="J17" s="4" t="n">
        <f aca="false">-J6*Assumptions!J18/100</f>
        <v>-208.864217924266</v>
      </c>
      <c r="K17" s="4" t="n">
        <f aca="false">-K6*Assumptions!K18/100</f>
        <v>-213.041502282751</v>
      </c>
      <c r="L17" s="4" t="n">
        <f aca="false">-L6*Assumptions!L18/100</f>
        <v>-217.302332328406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2926.620988</v>
      </c>
      <c r="D19" s="0" t="n">
        <f aca="false">D15+D16+D17+D18</f>
        <v>2974.2485853225</v>
      </c>
      <c r="E19" s="0" t="n">
        <f aca="false">E15+E16+E17+E18</f>
        <v>3097.20892188355</v>
      </c>
      <c r="F19" s="0" t="n">
        <f aca="false">F15+F16+F17+F18</f>
        <v>3190.12518954006</v>
      </c>
      <c r="G19" s="0" t="n">
        <f aca="false">G15+G16+G17+G18</f>
        <v>3349.52213932825</v>
      </c>
      <c r="H19" s="0" t="n">
        <f aca="false">H15+H16+H17+H18</f>
        <v>3450.0078035081</v>
      </c>
      <c r="I19" s="0" t="n">
        <f aca="false">I15+I16+I17+I18</f>
        <v>3595.0116729062</v>
      </c>
      <c r="J19" s="0" t="n">
        <f aca="false">J15+J16+J17+J18</f>
        <v>3684.88696472886</v>
      </c>
      <c r="K19" s="0" t="n">
        <f aca="false">K15+K16+K17+K18</f>
        <v>3750.77318227307</v>
      </c>
      <c r="L19" s="0" t="n">
        <f aca="false">L15+L16+L17+L18</f>
        <v>3825.78864591853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2660.56453454545</v>
      </c>
      <c r="D21" s="0" t="n">
        <f aca="false">D19*D20</f>
        <v>2458.05668208471</v>
      </c>
      <c r="E21" s="0" t="n">
        <f aca="false">E19*E20</f>
        <v>2326.97890449553</v>
      </c>
      <c r="F21" s="0" t="n">
        <f aca="false">F19*F20</f>
        <v>2178.8984287549</v>
      </c>
      <c r="G21" s="0" t="n">
        <f aca="false">G19*G20</f>
        <v>2079.78971836763</v>
      </c>
      <c r="H21" s="0" t="n">
        <f aca="false">H19*H20</f>
        <v>1947.43946356242</v>
      </c>
      <c r="I21" s="0" t="n">
        <f aca="false">I19*I20</f>
        <v>1844.80942508597</v>
      </c>
      <c r="J21" s="0" t="n">
        <f aca="false">J19*J20</f>
        <v>1719.02696428466</v>
      </c>
      <c r="K21" s="0" t="n">
        <f aca="false">K19*K20</f>
        <v>1590.69397365739</v>
      </c>
      <c r="L21" s="0" t="n">
        <f aca="false">L19*L20</f>
        <v>1475.00713920958</v>
      </c>
    </row>
    <row r="23" customFormat="false" ht="15" hidden="false" customHeight="false" outlineLevel="0" collapsed="false">
      <c r="A23" s="0" t="s">
        <v>108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113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114</v>
      </c>
      <c r="B29" s="4" t="n">
        <f aca="false">Assumptions!$B$22</f>
        <v>14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20281.2652340482</v>
      </c>
    </row>
    <row r="31" customFormat="false" ht="15" hidden="false" customHeight="false" outlineLevel="0" collapsed="false">
      <c r="A31" s="0" t="s">
        <v>136</v>
      </c>
      <c r="B31" s="0" t="n">
        <f aca="false">L19</f>
        <v>3825.78864591853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48778.8052354612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53561.0410428594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48778.8052354612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18806.3410249222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39087.6062589704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28518.6062589704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111.27041068658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-0.510102537372519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342.855018361561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311.554852024554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113.823707098543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30017.7262987454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51.6192428477828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Assumptions!C27</f>
        <v>7.5</v>
      </c>
      <c r="D5" s="4" t="n">
        <f aca="false">Assumptions!D27</f>
        <v>7</v>
      </c>
      <c r="E5" s="4" t="n">
        <f aca="false">Assumptions!E27</f>
        <v>6.5</v>
      </c>
      <c r="F5" s="4" t="n">
        <f aca="false">Assumptions!F27</f>
        <v>6</v>
      </c>
      <c r="G5" s="4" t="n">
        <f aca="false">Assumptions!G27</f>
        <v>5.5</v>
      </c>
      <c r="H5" s="4" t="n">
        <f aca="false">Assumptions!H27</f>
        <v>5</v>
      </c>
      <c r="I5" s="4" t="n">
        <f aca="false">Assumptions!I27</f>
        <v>4.5</v>
      </c>
      <c r="J5" s="4" t="n">
        <f aca="false">Assumptions!J27</f>
        <v>4</v>
      </c>
      <c r="K5" s="4" t="n">
        <f aca="false">Assumptions!K27</f>
        <v>3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13942</v>
      </c>
      <c r="C6" s="0" t="n">
        <f aca="false">B6*(1+C5/100)</f>
        <v>14987.65</v>
      </c>
      <c r="D6" s="0" t="n">
        <f aca="false">C6*(1+D5/100)</f>
        <v>16036.7855</v>
      </c>
      <c r="E6" s="0" t="n">
        <f aca="false">D6*(1+E5/100)</f>
        <v>17079.1765575</v>
      </c>
      <c r="F6" s="0" t="n">
        <f aca="false">E6*(1+F5/100)</f>
        <v>18103.92715095</v>
      </c>
      <c r="G6" s="0" t="n">
        <f aca="false">F6*(1+G5/100)</f>
        <v>19099.6431442522</v>
      </c>
      <c r="H6" s="0" t="n">
        <f aca="false">G6*(1+H5/100)</f>
        <v>20054.6253014649</v>
      </c>
      <c r="I6" s="0" t="n">
        <f aca="false">H6*(1+I5/100)</f>
        <v>20957.0834400308</v>
      </c>
      <c r="J6" s="0" t="n">
        <f aca="false">I6*(1+J5/100)</f>
        <v>21795.366777632</v>
      </c>
      <c r="K6" s="0" t="n">
        <f aca="false">J6*(1+K5/100)</f>
        <v>22449.227780961</v>
      </c>
      <c r="L6" s="0" t="n">
        <f aca="false">K6*(1+L5/100)</f>
        <v>23010.458475485</v>
      </c>
    </row>
    <row r="7" customFormat="false" ht="15" hidden="false" customHeight="false" outlineLevel="0" collapsed="false">
      <c r="A7" s="0" t="s">
        <v>106</v>
      </c>
      <c r="C7" s="4" t="n">
        <f aca="false">Assumptions!C28</f>
        <v>27.5</v>
      </c>
      <c r="D7" s="4" t="n">
        <f aca="false">Assumptions!D28</f>
        <v>28</v>
      </c>
      <c r="E7" s="4" t="n">
        <f aca="false">Assumptions!E28</f>
        <v>28.5</v>
      </c>
      <c r="F7" s="4" t="n">
        <f aca="false">Assumptions!F28</f>
        <v>29</v>
      </c>
      <c r="G7" s="4" t="n">
        <f aca="false">Assumptions!G28</f>
        <v>29.5</v>
      </c>
      <c r="H7" s="4" t="n">
        <f aca="false">Assumptions!H28</f>
        <v>30</v>
      </c>
      <c r="I7" s="4" t="n">
        <f aca="false">Assumptions!I28</f>
        <v>30</v>
      </c>
      <c r="J7" s="4" t="n">
        <f aca="false">Assumptions!J28</f>
        <v>30</v>
      </c>
      <c r="K7" s="4" t="n">
        <f aca="false">Assumptions!K28</f>
        <v>30</v>
      </c>
      <c r="L7" s="4" t="n">
        <f aca="false">Assumptions!L28</f>
        <v>30</v>
      </c>
    </row>
    <row r="8" customFormat="false" ht="15" hidden="false" customHeight="false" outlineLevel="0" collapsed="false">
      <c r="A8" s="0" t="s">
        <v>43</v>
      </c>
      <c r="C8" s="0" t="n">
        <f aca="false">C6*C7/100</f>
        <v>4121.60375</v>
      </c>
      <c r="D8" s="0" t="n">
        <f aca="false">D6*D7/100</f>
        <v>4490.29994</v>
      </c>
      <c r="E8" s="0" t="n">
        <f aca="false">E6*E7/100</f>
        <v>4867.5653188875</v>
      </c>
      <c r="F8" s="0" t="n">
        <f aca="false">F6*F7/100</f>
        <v>5250.1388737755</v>
      </c>
      <c r="G8" s="0" t="n">
        <f aca="false">G6*G7/100</f>
        <v>5634.39472755441</v>
      </c>
      <c r="H8" s="0" t="n">
        <f aca="false">H6*H7/100</f>
        <v>6016.38759043946</v>
      </c>
      <c r="I8" s="0" t="n">
        <f aca="false">I6*I7/100</f>
        <v>6287.12503200923</v>
      </c>
      <c r="J8" s="0" t="n">
        <f aca="false">J6*J7/100</f>
        <v>6538.6100332896</v>
      </c>
      <c r="K8" s="0" t="n">
        <f aca="false">K6*K7/100</f>
        <v>6734.76833428829</v>
      </c>
      <c r="L8" s="0" t="n">
        <f aca="false">L6*L7/100</f>
        <v>6903.1375426455</v>
      </c>
    </row>
    <row r="9" customFormat="false" ht="15" hidden="false" customHeight="false" outlineLevel="0" collapsed="false">
      <c r="A9" s="0" t="s">
        <v>107</v>
      </c>
      <c r="C9" s="4" t="n">
        <f aca="false">Assumptions!C29</f>
        <v>0.35</v>
      </c>
      <c r="D9" s="4" t="n">
        <f aca="false">Assumptions!D29</f>
        <v>0.35</v>
      </c>
      <c r="E9" s="4" t="n">
        <f aca="false">Assumptions!E29</f>
        <v>0.35</v>
      </c>
      <c r="F9" s="4" t="n">
        <f aca="false">Assumptions!F29</f>
        <v>0.35</v>
      </c>
      <c r="G9" s="4" t="n">
        <f aca="false">Assumptions!G29</f>
        <v>0.35</v>
      </c>
      <c r="H9" s="4" t="n">
        <f aca="false">Assumptions!H29</f>
        <v>0.35</v>
      </c>
      <c r="I9" s="4" t="n">
        <f aca="false">Assumptions!I29</f>
        <v>0.35</v>
      </c>
      <c r="J9" s="4" t="n">
        <f aca="false">Assumptions!J29</f>
        <v>0.35</v>
      </c>
      <c r="K9" s="4" t="n">
        <f aca="false">Assumptions!K29</f>
        <v>0.35</v>
      </c>
      <c r="L9" s="4" t="n">
        <f aca="false">Assumptions!L29</f>
        <v>0.35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-52.456775</v>
      </c>
      <c r="D10" s="0" t="n">
        <f aca="false">-D6*D9/100</f>
        <v>-56.12874925</v>
      </c>
      <c r="E10" s="0" t="n">
        <f aca="false">-E6*E9/100</f>
        <v>-59.77711795125</v>
      </c>
      <c r="F10" s="0" t="n">
        <f aca="false">-F6*F9/100</f>
        <v>-63.363745028325</v>
      </c>
      <c r="G10" s="0" t="n">
        <f aca="false">-G6*G9/100</f>
        <v>-66.8487510048829</v>
      </c>
      <c r="H10" s="0" t="n">
        <f aca="false">-H6*H9/100</f>
        <v>-70.191188555127</v>
      </c>
      <c r="I10" s="0" t="n">
        <f aca="false">-I6*I9/100</f>
        <v>-73.3497920401077</v>
      </c>
      <c r="J10" s="0" t="n">
        <f aca="false">-J6*J9/100</f>
        <v>-76.283783721712</v>
      </c>
      <c r="K10" s="0" t="n">
        <f aca="false">-K6*K9/100</f>
        <v>-78.5722972333634</v>
      </c>
      <c r="L10" s="0" t="n">
        <f aca="false">-L6*L9/100</f>
        <v>-80.5366046641975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4069.146975</v>
      </c>
      <c r="D11" s="0" t="n">
        <f aca="false">D8+D10+D24</f>
        <v>4434.17119075</v>
      </c>
      <c r="E11" s="0" t="n">
        <f aca="false">E8+E10+E24</f>
        <v>4807.78820093625</v>
      </c>
      <c r="F11" s="0" t="n">
        <f aca="false">F8+F10+F24</f>
        <v>5186.77512874718</v>
      </c>
      <c r="G11" s="0" t="n">
        <f aca="false">G8+G10+G24</f>
        <v>5567.54597654953</v>
      </c>
      <c r="H11" s="0" t="n">
        <f aca="false">H8+H10+H24</f>
        <v>5946.19640188433</v>
      </c>
      <c r="I11" s="0" t="n">
        <f aca="false">I8+I10+I24</f>
        <v>6213.77523996913</v>
      </c>
      <c r="J11" s="0" t="n">
        <f aca="false">J8+J10+J24</f>
        <v>6462.32624956789</v>
      </c>
      <c r="K11" s="0" t="n">
        <f aca="false">K8+K10+K24</f>
        <v>6656.19603705493</v>
      </c>
      <c r="L11" s="0" t="n">
        <f aca="false">L8+L10+L24</f>
        <v>6822.6009379813</v>
      </c>
    </row>
    <row r="12" customFormat="false" ht="15" hidden="false" customHeight="false" outlineLevel="0" collapsed="false">
      <c r="A12" s="0" t="s">
        <v>124</v>
      </c>
      <c r="C12" s="4" t="n">
        <f aca="false">-C6*Assumptions!C31/100</f>
        <v>-1124.07375</v>
      </c>
      <c r="D12" s="4" t="n">
        <f aca="false">-D6*Assumptions!D31/100</f>
        <v>-1170.6853415</v>
      </c>
      <c r="E12" s="4" t="n">
        <f aca="false">-E6*Assumptions!E31/100</f>
        <v>-1212.6215355825</v>
      </c>
      <c r="F12" s="4" t="n">
        <f aca="false">-F6*Assumptions!F31/100</f>
        <v>-1249.17097341555</v>
      </c>
      <c r="G12" s="4" t="n">
        <f aca="false">-G6*Assumptions!G31/100</f>
        <v>-1279.6760906649</v>
      </c>
      <c r="H12" s="4" t="n">
        <f aca="false">-H6*Assumptions!H31/100</f>
        <v>-1303.55064459522</v>
      </c>
      <c r="I12" s="4" t="n">
        <f aca="false">-I6*Assumptions!I31/100</f>
        <v>-1320.29625672194</v>
      </c>
      <c r="J12" s="4" t="n">
        <f aca="false">-J6*Assumptions!J31/100</f>
        <v>-1351.31274021318</v>
      </c>
      <c r="K12" s="4" t="n">
        <f aca="false">-K6*Assumptions!K31/100</f>
        <v>-1369.40289463862</v>
      </c>
      <c r="L12" s="4" t="n">
        <f aca="false">-L6*Assumptions!L31/100</f>
        <v>-1380.6275085291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2945.073225</v>
      </c>
      <c r="D13" s="0" t="n">
        <f aca="false">D11+D12</f>
        <v>3263.48584925</v>
      </c>
      <c r="E13" s="0" t="n">
        <f aca="false">E11+E12</f>
        <v>3595.16666535375</v>
      </c>
      <c r="F13" s="0" t="n">
        <f aca="false">F11+F12</f>
        <v>3937.60415533163</v>
      </c>
      <c r="G13" s="0" t="n">
        <f aca="false">G11+G12</f>
        <v>4287.86988588463</v>
      </c>
      <c r="H13" s="0" t="n">
        <f aca="false">H11+H12</f>
        <v>4642.64575728912</v>
      </c>
      <c r="I13" s="0" t="n">
        <f aca="false">I11+I12</f>
        <v>4893.47898324719</v>
      </c>
      <c r="J13" s="0" t="n">
        <f aca="false">J11+J12</f>
        <v>5111.01350935471</v>
      </c>
      <c r="K13" s="0" t="n">
        <f aca="false">K11+K12</f>
        <v>5286.79314241631</v>
      </c>
      <c r="L13" s="0" t="n">
        <f aca="false">L11+L12</f>
        <v>5441.9734294522</v>
      </c>
    </row>
    <row r="14" customFormat="false" ht="15" hidden="false" customHeight="false" outlineLevel="0" collapsed="false">
      <c r="A14" s="0" t="s">
        <v>111</v>
      </c>
      <c r="C14" s="4" t="n">
        <f aca="false">Assumptions!C33</f>
        <v>19</v>
      </c>
      <c r="D14" s="4" t="n">
        <f aca="false">Assumptions!D33</f>
        <v>19.5</v>
      </c>
      <c r="E14" s="4" t="n">
        <f aca="false">Assumptions!E33</f>
        <v>20</v>
      </c>
      <c r="F14" s="4" t="n">
        <f aca="false">Assumptions!F33</f>
        <v>20.5</v>
      </c>
      <c r="G14" s="4" t="n">
        <f aca="false">Assumptions!G33</f>
        <v>21</v>
      </c>
      <c r="H14" s="4" t="n">
        <f aca="false">Assumptions!H33</f>
        <v>21</v>
      </c>
      <c r="I14" s="4" t="n">
        <f aca="false">Assumptions!I33</f>
        <v>21</v>
      </c>
      <c r="J14" s="4" t="n">
        <f aca="false">Assumptions!J33</f>
        <v>21</v>
      </c>
      <c r="K14" s="4" t="n">
        <f aca="false">Assumptions!K33</f>
        <v>21</v>
      </c>
      <c r="L14" s="4" t="n">
        <f aca="false">Assumptions!L33</f>
        <v>21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2385.50931225</v>
      </c>
      <c r="D15" s="0" t="n">
        <f aca="false">D13-MAX(0,D13)*D14/100</f>
        <v>2627.10610864625</v>
      </c>
      <c r="E15" s="0" t="n">
        <f aca="false">E13-MAX(0,E13)*E14/100</f>
        <v>2876.133332283</v>
      </c>
      <c r="F15" s="0" t="n">
        <f aca="false">F13-MAX(0,F13)*F14/100</f>
        <v>3130.39530348864</v>
      </c>
      <c r="G15" s="0" t="n">
        <f aca="false">G13-MAX(0,G13)*G14/100</f>
        <v>3387.41720984886</v>
      </c>
      <c r="H15" s="0" t="n">
        <f aca="false">H13-MAX(0,H13)*H14/100</f>
        <v>3667.6901482584</v>
      </c>
      <c r="I15" s="0" t="n">
        <f aca="false">I13-MAX(0,I13)*I14/100</f>
        <v>3865.84839676528</v>
      </c>
      <c r="J15" s="0" t="n">
        <f aca="false">J13-MAX(0,J13)*J14/100</f>
        <v>4037.70067239022</v>
      </c>
      <c r="K15" s="0" t="n">
        <f aca="false">K13-MAX(0,K13)*K14/100</f>
        <v>4176.56658250888</v>
      </c>
      <c r="L15" s="0" t="n">
        <f aca="false">L13-MAX(0,L13)*L14/100</f>
        <v>4299.15900926724</v>
      </c>
    </row>
    <row r="16" customFormat="false" ht="15" hidden="false" customHeight="false" outlineLevel="0" collapsed="false">
      <c r="A16" s="0" t="s">
        <v>127</v>
      </c>
      <c r="C16" s="0" t="n">
        <f aca="false">-C12</f>
        <v>1124.07375</v>
      </c>
      <c r="D16" s="0" t="n">
        <f aca="false">-D12</f>
        <v>1170.6853415</v>
      </c>
      <c r="E16" s="0" t="n">
        <f aca="false">-E12</f>
        <v>1212.6215355825</v>
      </c>
      <c r="F16" s="0" t="n">
        <f aca="false">-F12</f>
        <v>1249.17097341555</v>
      </c>
      <c r="G16" s="0" t="n">
        <f aca="false">-G12</f>
        <v>1279.6760906649</v>
      </c>
      <c r="H16" s="0" t="n">
        <f aca="false">-H12</f>
        <v>1303.55064459522</v>
      </c>
      <c r="I16" s="0" t="n">
        <f aca="false">-I12</f>
        <v>1320.29625672194</v>
      </c>
      <c r="J16" s="0" t="n">
        <f aca="false">-J12</f>
        <v>1351.31274021318</v>
      </c>
      <c r="K16" s="0" t="n">
        <f aca="false">-K12</f>
        <v>1369.40289463862</v>
      </c>
      <c r="L16" s="0" t="n">
        <f aca="false">-L12</f>
        <v>1380.6275085291</v>
      </c>
    </row>
    <row r="17" customFormat="false" ht="15" hidden="false" customHeight="false" outlineLevel="0" collapsed="false">
      <c r="A17" s="0" t="s">
        <v>128</v>
      </c>
      <c r="C17" s="4" t="n">
        <f aca="false">-C6*Assumptions!C32/100</f>
        <v>-179.8518</v>
      </c>
      <c r="D17" s="4" t="n">
        <f aca="false">-D6*Assumptions!D32/100</f>
        <v>-184.42303325</v>
      </c>
      <c r="E17" s="4" t="n">
        <f aca="false">-E6*Assumptions!E32/100</f>
        <v>-187.8709421325</v>
      </c>
      <c r="F17" s="4" t="n">
        <f aca="false">-F6*Assumptions!F32/100</f>
        <v>-199.14319866045</v>
      </c>
      <c r="G17" s="4" t="n">
        <f aca="false">-G6*Assumptions!G32/100</f>
        <v>-200.546253014649</v>
      </c>
      <c r="H17" s="4" t="n">
        <f aca="false">-H6*Assumptions!H32/100</f>
        <v>-210.573565665381</v>
      </c>
      <c r="I17" s="4" t="n">
        <f aca="false">-I6*Assumptions!I32/100</f>
        <v>-209.570834400308</v>
      </c>
      <c r="J17" s="4" t="n">
        <f aca="false">-J6*Assumptions!J32/100</f>
        <v>-217.95366777632</v>
      </c>
      <c r="K17" s="4" t="n">
        <f aca="false">-K6*Assumptions!K32/100</f>
        <v>-224.49227780961</v>
      </c>
      <c r="L17" s="4" t="n">
        <f aca="false">-L6*Assumptions!L32/100</f>
        <v>-230.10458475485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3329.73126225</v>
      </c>
      <c r="D19" s="0" t="n">
        <f aca="false">D15+D16+D17+D18</f>
        <v>3613.36841689625</v>
      </c>
      <c r="E19" s="0" t="n">
        <f aca="false">E15+E16+E17+E18</f>
        <v>3900.883925733</v>
      </c>
      <c r="F19" s="0" t="n">
        <f aca="false">F15+F16+F17+F18</f>
        <v>4180.42307824374</v>
      </c>
      <c r="G19" s="0" t="n">
        <f aca="false">G15+G16+G17+G18</f>
        <v>4466.54704749911</v>
      </c>
      <c r="H19" s="0" t="n">
        <f aca="false">H15+H16+H17+H18</f>
        <v>4760.66722718824</v>
      </c>
      <c r="I19" s="0" t="n">
        <f aca="false">I15+I16+I17+I18</f>
        <v>4976.57381908691</v>
      </c>
      <c r="J19" s="0" t="n">
        <f aca="false">J15+J16+J17+J18</f>
        <v>5171.05974482708</v>
      </c>
      <c r="K19" s="0" t="n">
        <f aca="false">K15+K16+K17+K18</f>
        <v>5321.47719933789</v>
      </c>
      <c r="L19" s="0" t="n">
        <f aca="false">L15+L16+L17+L18</f>
        <v>5449.68193304149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3068.87673940092</v>
      </c>
      <c r="D21" s="0" t="n">
        <f aca="false">D19*D20</f>
        <v>3069.39490487906</v>
      </c>
      <c r="E21" s="0" t="n">
        <f aca="false">E19*E20</f>
        <v>3054.03361649462</v>
      </c>
      <c r="F21" s="0" t="n">
        <f aca="false">F19*F20</f>
        <v>3016.48579062096</v>
      </c>
      <c r="G21" s="0" t="n">
        <f aca="false">G19*G20</f>
        <v>2970.45667184176</v>
      </c>
      <c r="H21" s="0" t="n">
        <f aca="false">H19*H20</f>
        <v>2918.02760483022</v>
      </c>
      <c r="I21" s="0" t="n">
        <f aca="false">I19*I20</f>
        <v>2811.39768696791</v>
      </c>
      <c r="J21" s="0" t="n">
        <f aca="false">J19*J20</f>
        <v>2692.41282144974</v>
      </c>
      <c r="K21" s="0" t="n">
        <f aca="false">K19*K20</f>
        <v>2553.66875061461</v>
      </c>
      <c r="L21" s="0" t="n">
        <f aca="false">L19*L20</f>
        <v>2410.31483557433</v>
      </c>
    </row>
    <row r="23" customFormat="false" ht="15" hidden="false" customHeight="false" outlineLevel="0" collapsed="false">
      <c r="A23" s="0" t="s">
        <v>108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113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114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28565.0694226741</v>
      </c>
    </row>
    <row r="31" customFormat="false" ht="15" hidden="false" customHeight="false" outlineLevel="0" collapsed="false">
      <c r="A31" s="0" t="s">
        <v>136</v>
      </c>
      <c r="B31" s="0" t="n">
        <f aca="false">L19</f>
        <v>5449.68193304149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93098.7330227921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98094.2747947468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93098.7330227921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41176.2117743947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69741.2811970689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59172.2811970689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230.871171272216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0.0164714976983031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430.50983989622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608.511162667602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234.925096370007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44687.3918509402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84.8991846408731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Assumptions!C41</f>
        <v>10</v>
      </c>
      <c r="D5" s="4" t="n">
        <f aca="false">Assumptions!D41</f>
        <v>9</v>
      </c>
      <c r="E5" s="4" t="n">
        <f aca="false">Assumptions!E41</f>
        <v>8</v>
      </c>
      <c r="F5" s="4" t="n">
        <f aca="false">Assumptions!F41</f>
        <v>7.5</v>
      </c>
      <c r="G5" s="4" t="n">
        <f aca="false">Assumptions!G41</f>
        <v>7</v>
      </c>
      <c r="H5" s="4" t="n">
        <f aca="false">Assumptions!H41</f>
        <v>6.5</v>
      </c>
      <c r="I5" s="4" t="n">
        <f aca="false">Assumptions!I41</f>
        <v>6</v>
      </c>
      <c r="J5" s="4" t="n">
        <f aca="false">Assumptions!J41</f>
        <v>5</v>
      </c>
      <c r="K5" s="4" t="n">
        <f aca="false">Assumptions!K41</f>
        <v>4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13942</v>
      </c>
      <c r="C6" s="0" t="n">
        <f aca="false">B6*(1+C5/100)</f>
        <v>15336.2</v>
      </c>
      <c r="D6" s="0" t="n">
        <f aca="false">C6*(1+D5/100)</f>
        <v>16716.458</v>
      </c>
      <c r="E6" s="0" t="n">
        <f aca="false">D6*(1+E5/100)</f>
        <v>18053.77464</v>
      </c>
      <c r="F6" s="0" t="n">
        <f aca="false">E6*(1+F5/100)</f>
        <v>19407.807738</v>
      </c>
      <c r="G6" s="0" t="n">
        <f aca="false">F6*(1+G5/100)</f>
        <v>20766.35427966</v>
      </c>
      <c r="H6" s="0" t="n">
        <f aca="false">G6*(1+H5/100)</f>
        <v>22116.1673078379</v>
      </c>
      <c r="I6" s="0" t="n">
        <f aca="false">H6*(1+I5/100)</f>
        <v>23443.1373463082</v>
      </c>
      <c r="J6" s="0" t="n">
        <f aca="false">I6*(1+J5/100)</f>
        <v>24615.2942136236</v>
      </c>
      <c r="K6" s="0" t="n">
        <f aca="false">J6*(1+K5/100)</f>
        <v>25599.9059821685</v>
      </c>
      <c r="L6" s="0" t="n">
        <f aca="false">K6*(1+L5/100)</f>
        <v>26367.9031616336</v>
      </c>
    </row>
    <row r="7" customFormat="false" ht="15" hidden="false" customHeight="false" outlineLevel="0" collapsed="false">
      <c r="A7" s="0" t="s">
        <v>106</v>
      </c>
      <c r="C7" s="4" t="n">
        <f aca="false">Assumptions!C42</f>
        <v>28.5</v>
      </c>
      <c r="D7" s="4" t="n">
        <f aca="false">Assumptions!D42</f>
        <v>29.5</v>
      </c>
      <c r="E7" s="4" t="n">
        <f aca="false">Assumptions!E42</f>
        <v>30.5</v>
      </c>
      <c r="F7" s="4" t="n">
        <f aca="false">Assumptions!F42</f>
        <v>31.5</v>
      </c>
      <c r="G7" s="4" t="n">
        <f aca="false">Assumptions!G42</f>
        <v>32</v>
      </c>
      <c r="H7" s="4" t="n">
        <f aca="false">Assumptions!H42</f>
        <v>32.5</v>
      </c>
      <c r="I7" s="4" t="n">
        <f aca="false">Assumptions!I42</f>
        <v>32.5</v>
      </c>
      <c r="J7" s="4" t="n">
        <f aca="false">Assumptions!J42</f>
        <v>32.5</v>
      </c>
      <c r="K7" s="4" t="n">
        <f aca="false">Assumptions!K42</f>
        <v>32.5</v>
      </c>
      <c r="L7" s="4" t="n">
        <f aca="false">Assumptions!L42</f>
        <v>32.5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4370.817</v>
      </c>
      <c r="D8" s="0" t="n">
        <f aca="false">D6*D7/100</f>
        <v>4931.35511</v>
      </c>
      <c r="E8" s="0" t="n">
        <f aca="false">E6*E7/100</f>
        <v>5506.4012652</v>
      </c>
      <c r="F8" s="0" t="n">
        <f aca="false">F6*F7/100</f>
        <v>6113.45943747</v>
      </c>
      <c r="G8" s="0" t="n">
        <f aca="false">G6*G7/100</f>
        <v>6645.2333694912</v>
      </c>
      <c r="H8" s="0" t="n">
        <f aca="false">H6*H7/100</f>
        <v>7187.75437504732</v>
      </c>
      <c r="I8" s="0" t="n">
        <f aca="false">I6*I7/100</f>
        <v>7619.01963755016</v>
      </c>
      <c r="J8" s="0" t="n">
        <f aca="false">J6*J7/100</f>
        <v>7999.97061942767</v>
      </c>
      <c r="K8" s="0" t="n">
        <f aca="false">K6*K7/100</f>
        <v>8319.96944420477</v>
      </c>
      <c r="L8" s="0" t="n">
        <f aca="false">L6*L7/100</f>
        <v>8569.56852753092</v>
      </c>
    </row>
    <row r="9" customFormat="false" ht="15" hidden="false" customHeight="false" outlineLevel="0" collapsed="false">
      <c r="A9" s="0" t="s">
        <v>107</v>
      </c>
      <c r="C9" s="4" t="n">
        <f aca="false">Assumptions!C43</f>
        <v>0.35</v>
      </c>
      <c r="D9" s="4" t="n">
        <f aca="false">Assumptions!D43</f>
        <v>0.35</v>
      </c>
      <c r="E9" s="4" t="n">
        <f aca="false">Assumptions!E43</f>
        <v>0.35</v>
      </c>
      <c r="F9" s="4" t="n">
        <f aca="false">Assumptions!F43</f>
        <v>0.35</v>
      </c>
      <c r="G9" s="4" t="n">
        <f aca="false">Assumptions!G43</f>
        <v>0.35</v>
      </c>
      <c r="H9" s="4" t="n">
        <f aca="false">Assumptions!H43</f>
        <v>0.35</v>
      </c>
      <c r="I9" s="4" t="n">
        <f aca="false">Assumptions!I43</f>
        <v>0.35</v>
      </c>
      <c r="J9" s="4" t="n">
        <f aca="false">Assumptions!J43</f>
        <v>0.35</v>
      </c>
      <c r="K9" s="4" t="n">
        <f aca="false">Assumptions!K43</f>
        <v>0.35</v>
      </c>
      <c r="L9" s="4" t="n">
        <f aca="false">Assumptions!L43</f>
        <v>0.35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-53.6767</v>
      </c>
      <c r="D10" s="0" t="n">
        <f aca="false">-D6*D9/100</f>
        <v>-58.507603</v>
      </c>
      <c r="E10" s="0" t="n">
        <f aca="false">-E6*E9/100</f>
        <v>-63.18821124</v>
      </c>
      <c r="F10" s="0" t="n">
        <f aca="false">-F6*F9/100</f>
        <v>-67.927327083</v>
      </c>
      <c r="G10" s="0" t="n">
        <f aca="false">-G6*G9/100</f>
        <v>-72.68223997881</v>
      </c>
      <c r="H10" s="0" t="n">
        <f aca="false">-H6*H9/100</f>
        <v>-77.4065855774327</v>
      </c>
      <c r="I10" s="0" t="n">
        <f aca="false">-I6*I9/100</f>
        <v>-82.0509807120786</v>
      </c>
      <c r="J10" s="0" t="n">
        <f aca="false">-J6*J9/100</f>
        <v>-86.1535297476826</v>
      </c>
      <c r="K10" s="0" t="n">
        <f aca="false">-K6*K9/100</f>
        <v>-89.5996709375899</v>
      </c>
      <c r="L10" s="0" t="n">
        <f aca="false">-L6*L9/100</f>
        <v>-92.2876610657175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4317.1403</v>
      </c>
      <c r="D11" s="0" t="n">
        <f aca="false">D8+D10+D24</f>
        <v>4872.847507</v>
      </c>
      <c r="E11" s="0" t="n">
        <f aca="false">E8+E10+E24</f>
        <v>5443.21305396</v>
      </c>
      <c r="F11" s="0" t="n">
        <f aca="false">F8+F10+F24</f>
        <v>6045.532110387</v>
      </c>
      <c r="G11" s="0" t="n">
        <f aca="false">G8+G10+G24</f>
        <v>6572.55112951239</v>
      </c>
      <c r="H11" s="0" t="n">
        <f aca="false">H8+H10+H24</f>
        <v>7110.34778946989</v>
      </c>
      <c r="I11" s="0" t="n">
        <f aca="false">I8+I10+I24</f>
        <v>7536.96865683808</v>
      </c>
      <c r="J11" s="0" t="n">
        <f aca="false">J8+J10+J24</f>
        <v>7913.81708967998</v>
      </c>
      <c r="K11" s="0" t="n">
        <f aca="false">K8+K10+K24</f>
        <v>8230.36977326718</v>
      </c>
      <c r="L11" s="0" t="n">
        <f aca="false">L8+L10+L24</f>
        <v>8477.2808664652</v>
      </c>
    </row>
    <row r="12" customFormat="false" ht="15" hidden="false" customHeight="false" outlineLevel="0" collapsed="false">
      <c r="A12" s="0" t="s">
        <v>124</v>
      </c>
      <c r="C12" s="4" t="n">
        <f aca="false">-C6*Assumptions!C45/100</f>
        <v>-1119.5426</v>
      </c>
      <c r="D12" s="4" t="n">
        <f aca="false">-D6*Assumptions!D45/100</f>
        <v>-1170.15206</v>
      </c>
      <c r="E12" s="4" t="n">
        <f aca="false">-E6*Assumptions!E45/100</f>
        <v>-1209.60290088</v>
      </c>
      <c r="F12" s="4" t="n">
        <f aca="false">-F6*Assumptions!F45/100</f>
        <v>-1242.099695232</v>
      </c>
      <c r="G12" s="4" t="n">
        <f aca="false">-G6*Assumptions!G45/100</f>
        <v>-1266.74761105926</v>
      </c>
      <c r="H12" s="4" t="n">
        <f aca="false">-H6*Assumptions!H45/100</f>
        <v>-1304.85387116244</v>
      </c>
      <c r="I12" s="4" t="n">
        <f aca="false">-I6*Assumptions!I45/100</f>
        <v>-1336.25882873957</v>
      </c>
      <c r="J12" s="4" t="n">
        <f aca="false">-J6*Assumptions!J45/100</f>
        <v>-1353.8411817493</v>
      </c>
      <c r="K12" s="4" t="n">
        <f aca="false">-K6*Assumptions!K45/100</f>
        <v>-1382.3949230371</v>
      </c>
      <c r="L12" s="4" t="n">
        <f aca="false">-L6*Assumptions!L45/100</f>
        <v>-1397.49886756658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3197.5977</v>
      </c>
      <c r="D13" s="0" t="n">
        <f aca="false">D11+D12</f>
        <v>3702.695447</v>
      </c>
      <c r="E13" s="0" t="n">
        <f aca="false">E11+E12</f>
        <v>4233.61015308</v>
      </c>
      <c r="F13" s="0" t="n">
        <f aca="false">F11+F12</f>
        <v>4803.432415155</v>
      </c>
      <c r="G13" s="0" t="n">
        <f aca="false">G11+G12</f>
        <v>5305.80351845313</v>
      </c>
      <c r="H13" s="0" t="n">
        <f aca="false">H11+H12</f>
        <v>5805.49391830745</v>
      </c>
      <c r="I13" s="0" t="n">
        <f aca="false">I11+I12</f>
        <v>6200.70982809851</v>
      </c>
      <c r="J13" s="0" t="n">
        <f aca="false">J11+J12</f>
        <v>6559.97590793069</v>
      </c>
      <c r="K13" s="0" t="n">
        <f aca="false">K11+K12</f>
        <v>6847.97485023008</v>
      </c>
      <c r="L13" s="0" t="n">
        <f aca="false">L11+L12</f>
        <v>7079.78199889862</v>
      </c>
    </row>
    <row r="14" customFormat="false" ht="15" hidden="false" customHeight="false" outlineLevel="0" collapsed="false">
      <c r="A14" s="0" t="s">
        <v>111</v>
      </c>
      <c r="C14" s="4" t="n">
        <f aca="false">Assumptions!C47</f>
        <v>18.5</v>
      </c>
      <c r="D14" s="4" t="n">
        <f aca="false">Assumptions!D47</f>
        <v>19</v>
      </c>
      <c r="E14" s="4" t="n">
        <f aca="false">Assumptions!E47</f>
        <v>19.5</v>
      </c>
      <c r="F14" s="4" t="n">
        <f aca="false">Assumptions!F47</f>
        <v>20</v>
      </c>
      <c r="G14" s="4" t="n">
        <f aca="false">Assumptions!G47</f>
        <v>20.5</v>
      </c>
      <c r="H14" s="4" t="n">
        <f aca="false">Assumptions!H47</f>
        <v>21</v>
      </c>
      <c r="I14" s="4" t="n">
        <f aca="false">Assumptions!I47</f>
        <v>21</v>
      </c>
      <c r="J14" s="4" t="n">
        <f aca="false">Assumptions!J47</f>
        <v>21</v>
      </c>
      <c r="K14" s="4" t="n">
        <f aca="false">Assumptions!K47</f>
        <v>21</v>
      </c>
      <c r="L14" s="4" t="n">
        <f aca="false">Assumptions!L47</f>
        <v>21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2606.0421255</v>
      </c>
      <c r="D15" s="0" t="n">
        <f aca="false">D13-MAX(0,D13)*D14/100</f>
        <v>2999.18331207</v>
      </c>
      <c r="E15" s="0" t="n">
        <f aca="false">E13-MAX(0,E13)*E14/100</f>
        <v>3408.0561732294</v>
      </c>
      <c r="F15" s="0" t="n">
        <f aca="false">F13-MAX(0,F13)*F14/100</f>
        <v>3842.745932124</v>
      </c>
      <c r="G15" s="0" t="n">
        <f aca="false">G13-MAX(0,G13)*G14/100</f>
        <v>4218.11379717024</v>
      </c>
      <c r="H15" s="0" t="n">
        <f aca="false">H13-MAX(0,H13)*H14/100</f>
        <v>4586.34019546289</v>
      </c>
      <c r="I15" s="0" t="n">
        <f aca="false">I13-MAX(0,I13)*I14/100</f>
        <v>4898.56076419782</v>
      </c>
      <c r="J15" s="0" t="n">
        <f aca="false">J13-MAX(0,J13)*J14/100</f>
        <v>5182.38096726524</v>
      </c>
      <c r="K15" s="0" t="n">
        <f aca="false">K13-MAX(0,K13)*K14/100</f>
        <v>5409.90013168177</v>
      </c>
      <c r="L15" s="0" t="n">
        <f aca="false">L13-MAX(0,L13)*L14/100</f>
        <v>5593.02777912991</v>
      </c>
    </row>
    <row r="16" customFormat="false" ht="15" hidden="false" customHeight="false" outlineLevel="0" collapsed="false">
      <c r="A16" s="0" t="s">
        <v>127</v>
      </c>
      <c r="C16" s="0" t="n">
        <f aca="false">-C12</f>
        <v>1119.5426</v>
      </c>
      <c r="D16" s="0" t="n">
        <f aca="false">-D12</f>
        <v>1170.15206</v>
      </c>
      <c r="E16" s="0" t="n">
        <f aca="false">-E12</f>
        <v>1209.60290088</v>
      </c>
      <c r="F16" s="0" t="n">
        <f aca="false">-F12</f>
        <v>1242.099695232</v>
      </c>
      <c r="G16" s="0" t="n">
        <f aca="false">-G12</f>
        <v>1266.74761105926</v>
      </c>
      <c r="H16" s="0" t="n">
        <f aca="false">-H12</f>
        <v>1304.85387116244</v>
      </c>
      <c r="I16" s="0" t="n">
        <f aca="false">-I12</f>
        <v>1336.25882873957</v>
      </c>
      <c r="J16" s="0" t="n">
        <f aca="false">-J12</f>
        <v>1353.8411817493</v>
      </c>
      <c r="K16" s="0" t="n">
        <f aca="false">-K12</f>
        <v>1382.3949230371</v>
      </c>
      <c r="L16" s="0" t="n">
        <f aca="false">-L12</f>
        <v>1397.49886756658</v>
      </c>
    </row>
    <row r="17" customFormat="false" ht="15" hidden="false" customHeight="false" outlineLevel="0" collapsed="false">
      <c r="A17" s="0" t="s">
        <v>128</v>
      </c>
      <c r="C17" s="4" t="n">
        <f aca="false">-C6*Assumptions!C46/100</f>
        <v>-176.3663</v>
      </c>
      <c r="D17" s="4" t="n">
        <f aca="false">-D6*Assumptions!D46/100</f>
        <v>-183.881038</v>
      </c>
      <c r="E17" s="4" t="n">
        <f aca="false">-E6*Assumptions!E46/100</f>
        <v>-189.56463372</v>
      </c>
      <c r="F17" s="4" t="n">
        <f aca="false">-F6*Assumptions!F46/100</f>
        <v>-194.07807738</v>
      </c>
      <c r="G17" s="4" t="n">
        <f aca="false">-G6*Assumptions!G46/100</f>
        <v>-207.6635427966</v>
      </c>
      <c r="H17" s="4" t="n">
        <f aca="false">-H6*Assumptions!H46/100</f>
        <v>-210.10358942446</v>
      </c>
      <c r="I17" s="4" t="n">
        <f aca="false">-I6*Assumptions!I46/100</f>
        <v>-222.709804789928</v>
      </c>
      <c r="J17" s="4" t="n">
        <f aca="false">-J6*Assumptions!J46/100</f>
        <v>-221.537647922612</v>
      </c>
      <c r="K17" s="4" t="n">
        <f aca="false">-K6*Assumptions!K46/100</f>
        <v>-230.399153839517</v>
      </c>
      <c r="L17" s="4" t="n">
        <f aca="false">-L6*Assumptions!L46/100</f>
        <v>-237.311128454702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3549.2184255</v>
      </c>
      <c r="D19" s="0" t="n">
        <f aca="false">D15+D16+D17+D18</f>
        <v>3985.45433407</v>
      </c>
      <c r="E19" s="0" t="n">
        <f aca="false">E15+E16+E17+E18</f>
        <v>4428.0944403894</v>
      </c>
      <c r="F19" s="0" t="n">
        <f aca="false">F15+F16+F17+F18</f>
        <v>4890.767549976</v>
      </c>
      <c r="G19" s="0" t="n">
        <f aca="false">G15+G16+G17+G18</f>
        <v>5277.1978654329</v>
      </c>
      <c r="H19" s="0" t="n">
        <f aca="false">H15+H16+H17+H18</f>
        <v>5681.09047720086</v>
      </c>
      <c r="I19" s="0" t="n">
        <f aca="false">I15+I16+I17+I18</f>
        <v>6012.10978814746</v>
      </c>
      <c r="J19" s="0" t="n">
        <f aca="false">J15+J16+J17+J18</f>
        <v>6314.68450109193</v>
      </c>
      <c r="K19" s="0" t="n">
        <f aca="false">K15+K16+K17+K18</f>
        <v>6561.89590087935</v>
      </c>
      <c r="L19" s="0" t="n">
        <f aca="false">L15+L16+L17+L18</f>
        <v>6753.21551824179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3286.31335694444</v>
      </c>
      <c r="D21" s="0" t="n">
        <f aca="false">D19*D20</f>
        <v>3416.8847171382</v>
      </c>
      <c r="E21" s="0" t="n">
        <f aca="false">E19*E20</f>
        <v>3515.16413306327</v>
      </c>
      <c r="F21" s="0" t="n">
        <f aca="false">F19*F20</f>
        <v>3594.86015232053</v>
      </c>
      <c r="G21" s="0" t="n">
        <f aca="false">G19*G20</f>
        <v>3591.57219463602</v>
      </c>
      <c r="H21" s="0" t="n">
        <f aca="false">H19*H20</f>
        <v>3580.05066630683</v>
      </c>
      <c r="I21" s="0" t="n">
        <f aca="false">I19*I20</f>
        <v>3508.00831664551</v>
      </c>
      <c r="J21" s="0" t="n">
        <f aca="false">J19*J20</f>
        <v>3411.62755138685</v>
      </c>
      <c r="K21" s="0" t="n">
        <f aca="false">K19*K20</f>
        <v>3282.58164683905</v>
      </c>
      <c r="L21" s="0" t="n">
        <f aca="false">L19*L20</f>
        <v>3128.04545168203</v>
      </c>
    </row>
    <row r="23" customFormat="false" ht="15" hidden="false" customHeight="false" outlineLevel="0" collapsed="false">
      <c r="A23" s="0" t="s">
        <v>108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113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114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34315.1081869627</v>
      </c>
    </row>
    <row r="31" customFormat="false" ht="15" hidden="false" customHeight="false" outlineLevel="0" collapsed="false">
      <c r="A31" s="0" t="s">
        <v>136</v>
      </c>
      <c r="B31" s="0" t="n">
        <f aca="false">L19</f>
        <v>6753.21551824179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139116.239675781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135064.310364836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135064.310364836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62560.9090336406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96876.0172206034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86307.0172206034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336.742166291859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0.482596602350454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480.187747506291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880.58909890586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342.051478997329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57965.0998649087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111.219804068549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2" t="s">
        <v>153</v>
      </c>
      <c r="B3" s="2" t="s">
        <v>154</v>
      </c>
      <c r="C3" s="2" t="s">
        <v>144</v>
      </c>
      <c r="D3" s="2" t="s">
        <v>155</v>
      </c>
      <c r="E3" s="2" t="s">
        <v>147</v>
      </c>
      <c r="F3" s="2" t="s">
        <v>156</v>
      </c>
    </row>
    <row r="4" customFormat="false" ht="15" hidden="false" customHeight="false" outlineLevel="0" collapsed="false">
      <c r="A4" s="0" t="s">
        <v>157</v>
      </c>
      <c r="B4" s="4" t="n">
        <f aca="false">DCF_Bear!$B$38</f>
        <v>111.27041068658</v>
      </c>
      <c r="C4" s="0" t="n">
        <f aca="false">B4/Assumptions!$B$2-1</f>
        <v>-0.510102537372519</v>
      </c>
      <c r="D4" s="4" t="n">
        <f aca="false">Assumptions!$B$24</f>
        <v>0.25</v>
      </c>
      <c r="E4" s="4" t="n">
        <f aca="false">DCF_Bear!$B$43</f>
        <v>113.823707098543</v>
      </c>
      <c r="F4" s="4" t="n">
        <f aca="false">DCF_Bear!$B$47</f>
        <v>51.6192428477828</v>
      </c>
    </row>
    <row r="5" customFormat="false" ht="15" hidden="false" customHeight="false" outlineLevel="0" collapsed="false">
      <c r="A5" s="0" t="s">
        <v>158</v>
      </c>
      <c r="B5" s="4" t="n">
        <f aca="false">DCF_Base!$B$38</f>
        <v>230.871171272216</v>
      </c>
      <c r="C5" s="0" t="n">
        <f aca="false">B5/Assumptions!$B$2-1</f>
        <v>0.0164714976983031</v>
      </c>
      <c r="D5" s="4" t="n">
        <f aca="false">Assumptions!$B$38</f>
        <v>0.5</v>
      </c>
      <c r="E5" s="4" t="n">
        <f aca="false">DCF_Base!$B$43</f>
        <v>234.925096370007</v>
      </c>
      <c r="F5" s="4" t="n">
        <f aca="false">DCF_Base!$B$47</f>
        <v>84.8991846408731</v>
      </c>
    </row>
    <row r="6" customFormat="false" ht="15" hidden="false" customHeight="false" outlineLevel="0" collapsed="false">
      <c r="A6" s="0" t="s">
        <v>159</v>
      </c>
      <c r="B6" s="4" t="n">
        <f aca="false">DCF_Bull!$B$38</f>
        <v>336.742166291859</v>
      </c>
      <c r="C6" s="0" t="n">
        <f aca="false">B6/Assumptions!$B$2-1</f>
        <v>0.482596602350454</v>
      </c>
      <c r="D6" s="4" t="n">
        <f aca="false">Assumptions!$B$52</f>
        <v>0.25</v>
      </c>
      <c r="E6" s="4" t="n">
        <f aca="false">DCF_Bull!$B$43</f>
        <v>342.051478997329</v>
      </c>
      <c r="F6" s="4" t="n">
        <f aca="false">DCF_Bull!$B$47</f>
        <v>111.219804068549</v>
      </c>
    </row>
    <row r="8" customFormat="false" ht="15" hidden="false" customHeight="false" outlineLevel="0" collapsed="false">
      <c r="A8" s="0" t="s">
        <v>160</v>
      </c>
      <c r="B8" s="0" t="n">
        <f aca="false">SUMPRODUCT(B4:B6,D4:D6)</f>
        <v>227.438729880717</v>
      </c>
    </row>
    <row r="9" customFormat="false" ht="15" hidden="false" customHeight="false" outlineLevel="0" collapsed="false">
      <c r="A9" s="0" t="s">
        <v>161</v>
      </c>
      <c r="B9" s="0" t="n">
        <f aca="false">SUMPRODUCT(E4:E6,D4:D6)</f>
        <v>231.431344708971</v>
      </c>
    </row>
    <row r="10" customFormat="false" ht="15" hidden="false" customHeight="false" outlineLevel="0" collapsed="false">
      <c r="A10" s="0" t="s">
        <v>162</v>
      </c>
      <c r="B10" s="0" t="n">
        <f aca="false">1-Assumptions!$B$2/B8</f>
        <v>0.00135742000001193</v>
      </c>
    </row>
    <row r="11" customFormat="false" ht="15" hidden="false" customHeight="false" outlineLevel="0" collapsed="false">
      <c r="A11" s="0" t="s">
        <v>163</v>
      </c>
      <c r="B11" s="0" t="n">
        <f aca="false">IF(ABS(B9-B8)&gt;0.01*ABS(B8),(Assumptions!$B$2-B8)/(B9-B8)*100,"n/a")</f>
        <v>-7.73252352149441</v>
      </c>
    </row>
    <row r="12" customFormat="false" ht="15" hidden="false" customHeight="false" outlineLevel="0" collapsed="false">
      <c r="A12" s="0" t="s">
        <v>164</v>
      </c>
      <c r="B12" s="0" t="n">
        <f aca="false">SUMPRODUCT(F4:F6,D4:D6)</f>
        <v>83.1593540495194</v>
      </c>
    </row>
    <row r="14" customFormat="false" ht="15" hidden="false" customHeight="false" outlineLevel="0" collapsed="false">
      <c r="A14" s="2" t="s">
        <v>165</v>
      </c>
      <c r="C14" s="0" t="s">
        <v>166</v>
      </c>
    </row>
    <row r="15" customFormat="false" ht="15" hidden="false" customHeight="false" outlineLevel="0" collapsed="false">
      <c r="A15" s="0" t="s">
        <v>167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230.871171272216</v>
      </c>
      <c r="C15" s="3" t="n">
        <v>8.5</v>
      </c>
    </row>
    <row r="16" customFormat="false" ht="15" hidden="false" customHeight="false" outlineLevel="0" collapsed="false">
      <c r="A16" s="0" t="s">
        <v>168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209.180382545203</v>
      </c>
      <c r="C16" s="3" t="n">
        <v>9</v>
      </c>
    </row>
    <row r="17" customFormat="false" ht="15" hidden="false" customHeight="false" outlineLevel="0" collapsed="false">
      <c r="A17" s="0" t="s">
        <v>169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174.521660189135</v>
      </c>
      <c r="C17" s="3" t="n">
        <v>10</v>
      </c>
    </row>
    <row r="18" customFormat="false" ht="15" hidden="false" customHeight="false" outlineLevel="0" collapsed="false">
      <c r="A18" s="0" t="s">
        <v>170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148.069919800294</v>
      </c>
      <c r="C18" s="3" t="n">
        <v>11</v>
      </c>
    </row>
    <row r="19" customFormat="false" ht="15" hidden="false" customHeight="false" outlineLevel="0" collapsed="false">
      <c r="A19" s="0" t="s">
        <v>171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127.230702307382</v>
      </c>
      <c r="C19" s="3" t="n">
        <v>12</v>
      </c>
    </row>
    <row r="20" customFormat="false" ht="15" hidden="false" customHeight="false" outlineLevel="0" collapsed="false">
      <c r="A20" s="0" t="s">
        <v>172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84.8991846408731</v>
      </c>
      <c r="C20" s="3" t="n">
        <v>15</v>
      </c>
    </row>
    <row r="22" customFormat="false" ht="15" hidden="false" customHeight="false" outlineLevel="0" collapsed="false">
      <c r="A22" s="2" t="s">
        <v>173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285.80388607099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285.80388607099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285.80388607099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285.80388607099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285.80388607099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250.372867108816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261.54921761152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261.54921761152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261.54921761152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261.54921761152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206.576802725329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217.789588208507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230.871171272216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239.49175365982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239.49175365982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173.828336551241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181.657479647397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190.60507175729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200.929216499474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212.974052032023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148.439018069074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154.097118039254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160.462480505706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167.676557967685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175.921217924232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2026-09-25T09:32:59Z</dcterms:created>
  <dc:creator>openpyxl</dc:creator>
  <dc:description/>
  <dc:language>en-NZ</dc:language>
  <cp:lastModifiedBy/>
  <dcterms:modified xsi:type="dcterms:W3CDTF">2026-09-25T09:32:59Z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