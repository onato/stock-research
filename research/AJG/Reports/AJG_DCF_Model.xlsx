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_Info" sheetId="1" state="visible" r:id="rId3"/>
    <sheet name="Actuals" sheetId="2" state="visible" r:id="rId4"/>
    <sheet name="Assumptions" sheetId="3" state="visible" r:id="rId5"/>
    <sheet name="DCF_Bear" sheetId="4" state="visible" r:id="rId6"/>
    <sheet name="DCF_Base" sheetId="5" state="visible" r:id="rId7"/>
    <sheet name="DCF_Bull" sheetId="6" state="visible" r:id="rId8"/>
    <sheet name="Valu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<sst xmlns="http://schemas.openxmlformats.org/spreadsheetml/2006/main" count="387" uniqueCount="174">
  <si>
    <t xml:space="preserve">Ticker</t>
  </si>
  <si>
    <t xml:space="preserve">AJG</t>
  </si>
  <si>
    <t xml:space="preserve">Company</t>
  </si>
  <si>
    <t xml:space="preserve">Arthur J. Gallagher &amp; Co.</t>
  </si>
  <si>
    <t xml:space="preserve">Valuation date</t>
  </si>
  <si>
    <t xml:space="preserve">2026-09-25</t>
  </si>
  <si>
    <t xml:space="preserve">Current price</t>
  </si>
  <si>
    <t xml:space="preserve">Price as of</t>
  </si>
  <si>
    <t xml:space="preserve">2026-09-24T20:00:03Z regular close (Yahoo Finance chart API)</t>
  </si>
  <si>
    <t xml:space="preserve">Balance sheet date</t>
  </si>
  <si>
    <t xml:space="preserve">2026-06-30</t>
  </si>
  <si>
    <t xml:space="preserve">Model</t>
  </si>
  <si>
    <t xml:space="preserve">owner_fcf_dcf_component</t>
  </si>
  <si>
    <t xml:space="preserve">Currency (model)</t>
  </si>
  <si>
    <t xml:space="preserve">USD</t>
  </si>
  <si>
    <t xml:space="preserve">Currency (quote)</t>
  </si>
  <si>
    <t xml:space="preserve">Units</t>
  </si>
  <si>
    <t xml:space="preserve">millions</t>
  </si>
  <si>
    <t xml:space="preserve">Engine</t>
  </si>
  <si>
    <t xml:space="preserve">dcf_engine v1</t>
  </si>
  <si>
    <t xml:space="preserve">Built at</t>
  </si>
  <si>
    <t xml:space="preserve">2026-09-25T09:53:48Z</t>
  </si>
  <si>
    <t xml:space="preserve">Drivers file</t>
  </si>
  <si>
    <t xml:space="preserve">AJG_Drivers.json</t>
  </si>
  <si>
    <t xml:space="preserve">Convention</t>
  </si>
  <si>
    <t xml:space="preserve">Percents stored as percents; formulas divide by 100. Blue = input, green = link, black = formula.</t>
  </si>
  <si>
    <t xml:space="preserve">Methodology</t>
  </si>
  <si>
    <t xml:space="preserve">summary: AJG is valued as an asset-light fee business on an owner-FCF basis with ORGANIC growth only after FY2026; the tuck-in acquisition machine is treated as NPV-neutral rather than as free growth. Debt is the full 2026-06-30 combined debt including credit-facility borrowings; fiduciary cash is excluded; the remaining clean-energy tax credits and estimated earnout payables sit in the equity bridge.
key_risks_to_valuation: Earnout payables are an estimate ($600M) -- each $260M is ~$1/share; Organic growth sensitivity to a prolonged soft P&amp;C pricing cycle; GAAP EBITDA margin path depends on AssuredPartners integration costs rolling off and $325M synergies landing; Excluding M&amp;A value understates AJG if its tuck-ins keep earning above WACC -- the main source of upside not in the model; Cash tax 24% on EBIT is a judgment; each 1pp is roughly $2/share</t>
  </si>
  <si>
    <t xml:space="preserve">Data sources</t>
  </si>
  <si>
    <t xml:space="preserve">price: Yahoo Finance chart API at inputs.price_as_of; 52-week range 190.75-313.55
financials: SEC XBRL companyfacts (CIK 0000354190): 10-K FY2025 and 10-Q Q2-2026 (period ended 2026-06-30) -- OCF, capex (PaymentsForCapitalImprovements), SBC, D&amp;A, interest expense, cash taxes paid, debt (DebtLongtermAndShorttermCombinedAmount), restricted cash, tax-credit DTA, intangible amortisation schedule, diluted EPS; research/AJG/Reports/AJG_Metrics.csv for history
qualitative: research/AJG/Reports/AJG_Analysis.json (Sept-2026 investor update, Q2-2026 results, AP synergy targets)</t>
  </si>
  <si>
    <t xml:space="preserve">Scenario narrative: bear</t>
  </si>
  <si>
    <t xml:space="preserve">The P&amp;C cycle turns fully soft for several years (property rates keep falling and casualty follows), contingent/supplemental commissions tied to carrier profitability compress, and AI-driven placement and embedded distribution erode small-commercial fees. Brokerage organic sinks to 2-3% (as in the 2015-17 soft market), AP integration slips and the synergies are reinvested to retain producers, so the margin stalls near 27%. Leverage (~3x) limits buybacks and the M&amp;A engine slows.</t>
  </si>
  <si>
    <t xml:space="preserve">Scenario narrative: base</t>
  </si>
  <si>
    <t xml:space="preserve">AJG meets its cut FY2026 guide (Brokerage organic ~5%, Gallagher Bassett 9-12%, ~6% blended) and then grows organically at 4-5% a year -- exposure-unit growth plus modest rate, with property renewal pricing (down ~10% in Q2-2026) weighing while casualty and professional lines stay firm. AssuredPartners integration runs on plan: $160M run-rate synergies by end-2026 and $325M by early 2028, and integration spend rolls off, lifting the GAAP EBITDA margin from ~26.5% to ~30% by Year 6. Tuck-in M&amp;A continues but is valued at zero NPV.</t>
  </si>
  <si>
    <t xml:space="preserve">Scenario narrative: bull</t>
  </si>
  <si>
    <t xml:space="preserve">The softening is confined to property and brief; casualty/social-inflation, cyber and benefits complexity keep advisory demand and premium inflation high, so Brokerage organic returns to 6-7% and Gallagher Bassett keeps compounding at double digits. AP synergies beat the $325M target and the shared-services centres keep adding 40-60bps a year, taking the margin to ~31.5% -- close to AJG's guided Brokerage adjusted EBITDAC once corporate costs are absorbed.</t>
  </si>
  <si>
    <t xml:space="preserve">Period</t>
  </si>
  <si>
    <t xml:space="preserve">Revenue</t>
  </si>
  <si>
    <t xml:space="preserve">CostOfRevenue</t>
  </si>
  <si>
    <t xml:space="preserve">GrossProfit</t>
  </si>
  <si>
    <t xml:space="preserve">GrossMargin</t>
  </si>
  <si>
    <t xml:space="preserve">OperatingIncome</t>
  </si>
  <si>
    <t xml:space="preserve">OperatingMargin</t>
  </si>
  <si>
    <t xml:space="preserve">EBITDA</t>
  </si>
  <si>
    <t xml:space="preserve">NetIncome</t>
  </si>
  <si>
    <t xml:space="preserve">NetMargin</t>
  </si>
  <si>
    <t xml:space="preserve">EPS</t>
  </si>
  <si>
    <t xml:space="preserve">OperatingCashFlow</t>
  </si>
  <si>
    <t xml:space="preserve">CapEx</t>
  </si>
  <si>
    <t xml:space="preserve">FreeCashFlow</t>
  </si>
  <si>
    <t xml:space="preserve">ShareholdersEquity</t>
  </si>
  <si>
    <t xml:space="preserve">TotalAssets</t>
  </si>
  <si>
    <t xml:space="preserve">TotalLiabilities</t>
  </si>
  <si>
    <t xml:space="preserve">TotalDebt</t>
  </si>
  <si>
    <t xml:space="preserve">CashAndEquivalents</t>
  </si>
  <si>
    <t xml:space="preserve">SharesOutstanding</t>
  </si>
  <si>
    <t xml:space="preserve">StockBasedComp</t>
  </si>
  <si>
    <t xml:space="preserve">DividendPerShare</t>
  </si>
  <si>
    <t xml:space="preserve">EBITDABeforeSignificant</t>
  </si>
  <si>
    <t xml:space="preserve">RevenueContinuing</t>
  </si>
  <si>
    <t xml:space="preserve">EBITDAContinuingBeforeSignificant</t>
  </si>
  <si>
    <t xml:space="preserve">EBITContinuingBeforeSignificant</t>
  </si>
  <si>
    <t xml:space="preserve">Currency</t>
  </si>
  <si>
    <t xml:space="preserve">FY2007</t>
  </si>
  <si>
    <t xml:space="preserve">FY2008</t>
  </si>
  <si>
    <t xml:space="preserve">FY2009</t>
  </si>
  <si>
    <t xml:space="preserve">FY2010</t>
  </si>
  <si>
    <t xml:space="preserve">FY2011</t>
  </si>
  <si>
    <t xml:space="preserve">FY2012</t>
  </si>
  <si>
    <t xml:space="preserve">FY2013</t>
  </si>
  <si>
    <t xml:space="preserve">FY2014</t>
  </si>
  <si>
    <t xml:space="preserve">FY2015</t>
  </si>
  <si>
    <t xml:space="preserve">FY2016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</si>
  <si>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</si>
  <si>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</si>
  <si>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</si>
  <si>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</si>
  <si>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</si>
  <si>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</si>
  <si>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</si>
  <si>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</si>
  <si>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</si>
  <si>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Input</t>
  </si>
  <si>
    <t xml:space="preserve">Value</t>
  </si>
  <si>
    <t xml:space="preserve">Current price (quote currency)</t>
  </si>
  <si>
    <t xml:space="preserve">Shares, final projected (m)</t>
  </si>
  <si>
    <t xml:space="preserve">Net debt (m, model currency)</t>
  </si>
  <si>
    <t xml:space="preserve">Equity bridge total (m, + adds)</t>
  </si>
  <si>
    <t xml:space="preserve">Hurdle rate (%)</t>
  </si>
  <si>
    <t xml:space="preserve">Base revenue FY0 (m)</t>
  </si>
  <si>
    <t xml:space="preserve">FY0</t>
  </si>
  <si>
    <t xml:space="preserve">Currency / units</t>
  </si>
  <si>
    <t xml:space="preserve">USD millions</t>
  </si>
  <si>
    <t xml:space="preserve">FX rate (model -&gt; quote)</t>
  </si>
  <si>
    <t xml:space="preserve">BEAR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</si>
  <si>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</si>
  <si>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</si>
  <si>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</si>
  <si>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</si>
  <si>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</si>
  <si>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</si>
  <si>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</si>
  <si>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</si>
  <si>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</si>
  <si>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</si>
  <si>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Revenue growth (%)</t>
  </si>
  <si>
    <t xml:space="preserve">EBITDA margin (%)</t>
  </si>
  <si>
    <t xml:space="preserve">SBC (% of revenue)</t>
  </si>
  <si>
    <t xml:space="preserve">Lease cost (% of revenue)</t>
  </si>
  <si>
    <t xml:space="preserve">D&amp;A (% of revenue)</t>
  </si>
  <si>
    <t xml:space="preserve">Capex (% of revenue)</t>
  </si>
  <si>
    <t xml:space="preserve">Cash tax rate (%)</t>
  </si>
  <si>
    <t xml:space="preserve">WACC (%)</t>
  </si>
  <si>
    <t xml:space="preserve">Terminal growth (%)</t>
  </si>
  <si>
    <t xml:space="preserve">Terminal cap multiple (x FCF)</t>
  </si>
  <si>
    <t xml:space="preserve">Working-capital capture (% of revenue change)</t>
  </si>
  <si>
    <t xml:space="preserve">Scenario weight</t>
  </si>
  <si>
    <t xml:space="preserve">BASE</t>
  </si>
  <si>
    <t xml:space="preserve">BULL</t>
  </si>
  <si>
    <t xml:space="preserve">AJG owner-FCF component DCF: bear case (millions, USD)</t>
  </si>
  <si>
    <t xml:space="preserve">Line</t>
  </si>
  <si>
    <t xml:space="preserve">Year index (discount exponent)</t>
  </si>
  <si>
    <t xml:space="preserve">SBC charge</t>
  </si>
  <si>
    <t xml:space="preserve">Owner EBITDA (after SBC and leases)</t>
  </si>
  <si>
    <t xml:space="preserve">D&amp;A</t>
  </si>
  <si>
    <t xml:space="preserve">EBIT</t>
  </si>
  <si>
    <t xml:space="preserve">NOPAT</t>
  </si>
  <si>
    <t xml:space="preserve">D&amp;A add-back</t>
  </si>
  <si>
    <t xml:space="preserve">Capex</t>
  </si>
  <si>
    <t xml:space="preserve">Working capital</t>
  </si>
  <si>
    <t xml:space="preserve">Unlevered owner FCF</t>
  </si>
  <si>
    <t xml:space="preserve">Discount factor</t>
  </si>
  <si>
    <t xml:space="preserve">PV of FCF</t>
  </si>
  <si>
    <t xml:space="preserve">Lease cost</t>
  </si>
  <si>
    <t xml:space="preserve">Valuation</t>
  </si>
  <si>
    <t xml:space="preserve">Sum of PV of FCF</t>
  </si>
  <si>
    <t xml:space="preserve">Terminal-year FCF</t>
  </si>
  <si>
    <t xml:space="preserve">Gordon terminal value</t>
  </si>
  <si>
    <t xml:space="preserve">Cap terminal value</t>
  </si>
  <si>
    <t xml:space="preserve">Terminal value used: MAX(0,MIN(Gordon,cap))</t>
  </si>
  <si>
    <t xml:space="preserve">PV of terminal value</t>
  </si>
  <si>
    <t xml:space="preserve">Enterprise value</t>
  </si>
  <si>
    <t xml:space="preserve">Equity value (EV + bridge - net debt)</t>
  </si>
  <si>
    <t xml:space="preserve">Value per share (quote currency)</t>
  </si>
  <si>
    <t xml:space="preserve">Upside vs price</t>
  </si>
  <si>
    <t xml:space="preserve">Street memo: PV of explicit-period SBC</t>
  </si>
  <si>
    <t xml:space="preserve">Street memo: PV of terminal SBC (Gordon)</t>
  </si>
  <si>
    <t xml:space="preserve">Street value per share</t>
  </si>
  <si>
    <t xml:space="preserve">Terminal value at hurdle: MAX(0,MIN(Gordon@hurdle,cap))</t>
  </si>
  <si>
    <t xml:space="preserve">Hurdle entry price (quote currency)</t>
  </si>
  <si>
    <t xml:space="preserve">AJG owner-FCF component DCF: base case (millions, USD)</t>
  </si>
  <si>
    <t xml:space="preserve">AJG owner-FCF component DCF: bull case (millions, USD)</t>
  </si>
  <si>
    <t xml:space="preserve">AJG valuation summary</t>
  </si>
  <si>
    <t xml:space="preserve">Scenario</t>
  </si>
  <si>
    <t xml:space="preserve">Value per share</t>
  </si>
  <si>
    <t xml:space="preserve">Weight</t>
  </si>
  <si>
    <t xml:space="preserve">Hurdle entry price</t>
  </si>
  <si>
    <t xml:space="preserve">Bear</t>
  </si>
  <si>
    <t xml:space="preserve">Base</t>
  </si>
  <si>
    <t xml:space="preserve">Bull</t>
  </si>
  <si>
    <t xml:space="preserve">Probability-weighted value per share</t>
  </si>
  <si>
    <t xml:space="preserve">Street weighted value per share</t>
  </si>
  <si>
    <t xml:space="preserve">Margin of safety (1 - price/weighted)</t>
  </si>
  <si>
    <t xml:space="preserve">Band position (%; 0 = house, 100 = street)</t>
  </si>
  <si>
    <t xml:space="preserve">Weighted 15% hurdle entry price</t>
  </si>
  <si>
    <t xml:space="preserve">Required-return table (base case; each row rebuilds its own terminal value)</t>
  </si>
  <si>
    <t xml:space="preserve">Rate (%)</t>
  </si>
  <si>
    <t xml:space="preserve">Value per share at 8% (WACC)</t>
  </si>
  <si>
    <t xml:space="preserve">Value per share at 9%</t>
  </si>
  <si>
    <t xml:space="preserve">Value per share at 10%</t>
  </si>
  <si>
    <t xml:space="preserve">Value per share at 11%</t>
  </si>
  <si>
    <t xml:space="preserve">Value per share at 12%</t>
  </si>
  <si>
    <t xml:space="preserve">Value per share at 15%</t>
  </si>
  <si>
    <t xml:space="preserve">Sensitivity: value per share, rows WACC (%) x columns terminal growth (%)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</si>
</sst>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n">
        <v>227.13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14</v>
      </c>
    </row>
    <row r="10" customFormat="false" ht="15" hidden="false" customHeight="false" outlineLevel="0" collapsed="false">
      <c r="A10" s="0" t="s">
        <v>16</v>
      </c>
      <c r="B10" s="0" t="s">
        <v>17</v>
      </c>
    </row>
    <row r="11" customFormat="false" ht="15" hidden="false" customHeight="false" outlineLevel="0" collapsed="false">
      <c r="A11" s="0" t="s">
        <v>18</v>
      </c>
      <c r="B11" s="0" t="s">
        <v>19</v>
      </c>
    </row>
    <row r="12" customFormat="false" ht="15" hidden="false" customHeight="false" outlineLevel="0" collapsed="false">
      <c r="A12" s="0" t="s">
        <v>20</v>
      </c>
      <c r="B12" s="0" t="s">
        <v>21</v>
      </c>
    </row>
    <row r="13" customFormat="false" ht="15" hidden="false" customHeight="false" outlineLevel="0" collapsed="false">
      <c r="A13" s="0" t="s">
        <v>22</v>
      </c>
      <c r="B13" s="0" t="s">
        <v>23</v>
      </c>
    </row>
    <row r="14" customFormat="false" ht="15" hidden="false" customHeight="false" outlineLevel="0" collapsed="false">
      <c r="A14" s="0" t="s">
        <v>24</v>
      </c>
      <c r="B14" s="0" t="s">
        <v>25</v>
      </c>
    </row>
    <row r="15" customFormat="false" ht="23.85" hidden="false" customHeight="false" outlineLevel="0" collapsed="false">
      <c r="A15" s="0" t="s">
        <v>26</v>
      </c>
      <c r="B15" s="1" t="s">
        <v>27</v>
      </c>
    </row>
    <row r="16" customFormat="false" ht="35.05" hidden="false" customHeight="false" outlineLevel="0" collapsed="false">
      <c r="A16" s="0" t="s">
        <v>28</v>
      </c>
      <c r="B16" s="1" t="s">
        <v>29</v>
      </c>
    </row>
    <row r="17" customFormat="false" ht="15" hidden="false" customHeight="false" outlineLevel="0" collapsed="false">
      <c r="A17" s="0" t="s">
        <v>30</v>
      </c>
      <c r="B17" s="0" t="s">
        <v>31</v>
      </c>
    </row>
    <row r="18" customFormat="false" ht="15" hidden="false" customHeight="false" outlineLevel="0" collapsed="false">
      <c r="A18" s="0" t="s">
        <v>32</v>
      </c>
      <c r="B18" s="0" t="s">
        <v>33</v>
      </c>
    </row>
    <row r="19" customFormat="false" ht="15" hidden="false" customHeight="false" outlineLevel="0" collapsed="false">
      <c r="A19" s="0" t="s">
        <v>34</v>
      </c>
      <c r="B19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  <c r="O1" s="2" t="s">
        <v>50</v>
      </c>
      <c r="P1" s="2" t="s">
        <v>51</v>
      </c>
      <c r="Q1" s="2" t="s">
        <v>52</v>
      </c>
      <c r="R1" s="2" t="s">
        <v>53</v>
      </c>
      <c r="S1" s="2" t="s">
        <v>54</v>
      </c>
      <c r="T1" s="2" t="s">
        <v>55</v>
      </c>
      <c r="U1" s="2" t="s">
        <v>56</v>
      </c>
      <c r="V1" s="2" t="s">
        <v>57</v>
      </c>
      <c r="W1" s="2" t="s">
        <v>58</v>
      </c>
      <c r="X1" s="2" t="s">
        <v>59</v>
      </c>
      <c r="Y1" s="2" t="s">
        <v>60</v>
      </c>
      <c r="Z1" s="2" t="s">
        <v>61</v>
      </c>
      <c r="AA1" s="2" t="s">
        <v>16</v>
      </c>
      <c r="AB1" s="2" t="s">
        <v>62</v>
      </c>
    </row>
    <row r="2" customFormat="false" ht="15" hidden="false" customHeight="false" outlineLevel="0" collapsed="false">
      <c r="A2" s="0" t="s">
        <v>63</v>
      </c>
      <c r="O2" s="0" t="n">
        <v>715.5</v>
      </c>
      <c r="S2" s="0" t="n">
        <v>255.9</v>
      </c>
      <c r="AA2" s="0" t="s">
        <v>17</v>
      </c>
      <c r="AB2" s="0" t="s">
        <v>14</v>
      </c>
    </row>
    <row r="3" customFormat="false" ht="15" hidden="false" customHeight="false" outlineLevel="0" collapsed="false">
      <c r="A3" s="0" t="s">
        <v>64</v>
      </c>
      <c r="B3" s="0" t="n">
        <v>1645</v>
      </c>
      <c r="I3" s="0" t="n">
        <v>77.3</v>
      </c>
      <c r="J3" s="0" t="n">
        <v>4.69908814589666</v>
      </c>
      <c r="K3" s="0" t="n">
        <v>0.82</v>
      </c>
      <c r="L3" s="0" t="n">
        <v>160.6</v>
      </c>
      <c r="M3" s="0" t="n">
        <v>32</v>
      </c>
      <c r="N3" s="0" t="n">
        <v>128.6</v>
      </c>
      <c r="O3" s="0" t="n">
        <v>738.5</v>
      </c>
      <c r="S3" s="0" t="n">
        <v>194.4</v>
      </c>
      <c r="U3" s="0" t="n">
        <v>11.4</v>
      </c>
      <c r="V3" s="0" t="n">
        <v>1.28</v>
      </c>
      <c r="AA3" s="0" t="s">
        <v>17</v>
      </c>
      <c r="AB3" s="0" t="s">
        <v>14</v>
      </c>
    </row>
    <row r="4" customFormat="false" ht="15" hidden="false" customHeight="false" outlineLevel="0" collapsed="false">
      <c r="A4" s="0" t="s">
        <v>65</v>
      </c>
      <c r="B4" s="0" t="n">
        <v>1729.3</v>
      </c>
      <c r="I4" s="0" t="n">
        <v>128.6</v>
      </c>
      <c r="J4" s="0" t="n">
        <v>7.43653501416758</v>
      </c>
      <c r="K4" s="0" t="n">
        <v>1.28</v>
      </c>
      <c r="L4" s="0" t="n">
        <v>211.5</v>
      </c>
      <c r="M4" s="0" t="n">
        <v>23.5</v>
      </c>
      <c r="N4" s="0" t="n">
        <v>188</v>
      </c>
      <c r="O4" s="0" t="n">
        <v>892.9</v>
      </c>
      <c r="P4" s="0" t="n">
        <v>3250.3</v>
      </c>
      <c r="Q4" s="0" t="n">
        <v>2357.4</v>
      </c>
      <c r="R4" s="0" t="n">
        <v>550</v>
      </c>
      <c r="S4" s="0" t="n">
        <v>205.9</v>
      </c>
      <c r="T4" s="0" t="n">
        <v>102.5</v>
      </c>
      <c r="U4" s="0" t="n">
        <v>9.9</v>
      </c>
      <c r="V4" s="0" t="n">
        <v>1.28</v>
      </c>
      <c r="AA4" s="0" t="s">
        <v>17</v>
      </c>
      <c r="AB4" s="0" t="s">
        <v>14</v>
      </c>
    </row>
    <row r="5" customFormat="false" ht="15" hidden="false" customHeight="false" outlineLevel="0" collapsed="false">
      <c r="A5" s="0" t="s">
        <v>66</v>
      </c>
      <c r="B5" s="0" t="n">
        <v>1864.2</v>
      </c>
      <c r="C5" s="0" t="n">
        <v>64</v>
      </c>
      <c r="I5" s="0" t="n">
        <v>174.1</v>
      </c>
      <c r="J5" s="0" t="n">
        <v>9.33912670314344</v>
      </c>
      <c r="K5" s="0" t="n">
        <v>1.66</v>
      </c>
      <c r="L5" s="0" t="n">
        <v>229.5</v>
      </c>
      <c r="M5" s="0" t="n">
        <v>25.1</v>
      </c>
      <c r="N5" s="0" t="n">
        <v>204.4</v>
      </c>
      <c r="O5" s="0" t="n">
        <v>1106.7</v>
      </c>
      <c r="P5" s="0" t="n">
        <v>3596</v>
      </c>
      <c r="Q5" s="0" t="n">
        <v>2489.3</v>
      </c>
      <c r="R5" s="0" t="n">
        <v>550</v>
      </c>
      <c r="S5" s="0" t="n">
        <v>249.8</v>
      </c>
      <c r="T5" s="0" t="n">
        <v>108.4</v>
      </c>
      <c r="U5" s="0" t="n">
        <v>9</v>
      </c>
      <c r="V5" s="0" t="n">
        <v>1.28</v>
      </c>
      <c r="AA5" s="0" t="s">
        <v>17</v>
      </c>
      <c r="AB5" s="0" t="s">
        <v>14</v>
      </c>
    </row>
    <row r="6" customFormat="false" ht="15" hidden="false" customHeight="false" outlineLevel="0" collapsed="false">
      <c r="A6" s="0" t="s">
        <v>67</v>
      </c>
      <c r="B6" s="0" t="n">
        <v>2134.7</v>
      </c>
      <c r="C6" s="0" t="n">
        <v>32</v>
      </c>
      <c r="I6" s="0" t="n">
        <v>144.1</v>
      </c>
      <c r="J6" s="0" t="n">
        <v>6.75036304867195</v>
      </c>
      <c r="K6" s="0" t="n">
        <v>1.28</v>
      </c>
      <c r="L6" s="0" t="n">
        <v>284</v>
      </c>
      <c r="M6" s="0" t="n">
        <v>45.9</v>
      </c>
      <c r="N6" s="0" t="n">
        <v>238.1</v>
      </c>
      <c r="O6" s="0" t="n">
        <v>1243.6</v>
      </c>
      <c r="P6" s="0" t="n">
        <v>4483.5</v>
      </c>
      <c r="Q6" s="0" t="n">
        <v>3239.9</v>
      </c>
      <c r="R6" s="0" t="n">
        <v>675</v>
      </c>
      <c r="S6" s="0" t="n">
        <v>291.2</v>
      </c>
      <c r="T6" s="0" t="n">
        <v>114.7</v>
      </c>
      <c r="U6" s="0" t="n">
        <v>14.3</v>
      </c>
      <c r="V6" s="0" t="n">
        <v>1.32</v>
      </c>
      <c r="AA6" s="0" t="s">
        <v>17</v>
      </c>
      <c r="AB6" s="0" t="s">
        <v>14</v>
      </c>
    </row>
    <row r="7" customFormat="false" ht="15" hidden="false" customHeight="false" outlineLevel="0" collapsed="false">
      <c r="A7" s="0" t="s">
        <v>68</v>
      </c>
      <c r="B7" s="0" t="n">
        <v>2520.3</v>
      </c>
      <c r="C7" s="0" t="n">
        <v>111.6</v>
      </c>
      <c r="I7" s="0" t="n">
        <v>195</v>
      </c>
      <c r="J7" s="0" t="n">
        <v>7.73717414593501</v>
      </c>
      <c r="K7" s="0" t="n">
        <v>1.59</v>
      </c>
      <c r="L7" s="0" t="n">
        <v>343</v>
      </c>
      <c r="M7" s="0" t="n">
        <v>51</v>
      </c>
      <c r="N7" s="0" t="n">
        <v>292</v>
      </c>
      <c r="O7" s="0" t="n">
        <v>1672.8</v>
      </c>
      <c r="P7" s="0" t="n">
        <v>5352.3</v>
      </c>
      <c r="Q7" s="0" t="n">
        <v>3693.7</v>
      </c>
      <c r="R7" s="0" t="n">
        <v>725</v>
      </c>
      <c r="S7" s="0" t="n">
        <v>302.1</v>
      </c>
      <c r="T7" s="0" t="n">
        <v>125.6</v>
      </c>
      <c r="U7" s="0" t="n">
        <v>7.5</v>
      </c>
      <c r="V7" s="0" t="n">
        <v>1.36</v>
      </c>
      <c r="AA7" s="0" t="s">
        <v>17</v>
      </c>
      <c r="AB7" s="0" t="s">
        <v>14</v>
      </c>
    </row>
    <row r="8" customFormat="false" ht="15" hidden="false" customHeight="false" outlineLevel="0" collapsed="false">
      <c r="A8" s="0" t="s">
        <v>69</v>
      </c>
      <c r="B8" s="0" t="n">
        <v>3179.6</v>
      </c>
      <c r="C8" s="0" t="n">
        <v>437.3</v>
      </c>
      <c r="I8" s="0" t="n">
        <v>268.6</v>
      </c>
      <c r="J8" s="0" t="n">
        <v>8.44760347213486</v>
      </c>
      <c r="K8" s="0" t="n">
        <v>2.06</v>
      </c>
      <c r="L8" s="0" t="n">
        <v>349.9</v>
      </c>
      <c r="M8" s="0" t="n">
        <v>93.6</v>
      </c>
      <c r="N8" s="0" t="n">
        <v>256.3</v>
      </c>
      <c r="O8" s="0" t="n">
        <v>2114.8</v>
      </c>
      <c r="P8" s="0" t="n">
        <v>6860.5</v>
      </c>
      <c r="Q8" s="0" t="n">
        <v>4775</v>
      </c>
      <c r="R8" s="0" t="n">
        <v>825</v>
      </c>
      <c r="S8" s="0" t="n">
        <v>298.1</v>
      </c>
      <c r="T8" s="0" t="n">
        <v>133.6</v>
      </c>
      <c r="U8" s="0" t="n">
        <v>7.7</v>
      </c>
      <c r="V8" s="0" t="n">
        <v>1.4</v>
      </c>
      <c r="AA8" s="0" t="s">
        <v>17</v>
      </c>
      <c r="AB8" s="0" t="s">
        <v>14</v>
      </c>
    </row>
    <row r="9" customFormat="false" ht="15" hidden="false" customHeight="false" outlineLevel="0" collapsed="false">
      <c r="A9" s="0" t="s">
        <v>70</v>
      </c>
      <c r="B9" s="0" t="n">
        <v>4626.5</v>
      </c>
      <c r="C9" s="0" t="n">
        <v>1058.9</v>
      </c>
      <c r="I9" s="0" t="n">
        <v>303.4</v>
      </c>
      <c r="J9" s="0" t="n">
        <v>6.55787312223063</v>
      </c>
      <c r="K9" s="0" t="n">
        <v>1.97</v>
      </c>
      <c r="M9" s="0" t="n">
        <v>81.5</v>
      </c>
      <c r="O9" s="0" t="n">
        <v>3305.1</v>
      </c>
      <c r="P9" s="0" t="n">
        <v>10010</v>
      </c>
      <c r="Q9" s="0" t="n">
        <v>6704.9</v>
      </c>
      <c r="R9" s="0" t="n">
        <v>2125</v>
      </c>
      <c r="S9" s="0" t="n">
        <v>314.4</v>
      </c>
      <c r="T9" s="0" t="n">
        <v>164.6</v>
      </c>
      <c r="U9" s="0" t="n">
        <v>10.6</v>
      </c>
      <c r="V9" s="0" t="n">
        <v>1.44</v>
      </c>
      <c r="AA9" s="0" t="s">
        <v>17</v>
      </c>
      <c r="AB9" s="0" t="s">
        <v>14</v>
      </c>
    </row>
    <row r="10" customFormat="false" ht="15" hidden="false" customHeight="false" outlineLevel="0" collapsed="false">
      <c r="A10" s="0" t="s">
        <v>71</v>
      </c>
      <c r="B10" s="0" t="n">
        <v>5392.4</v>
      </c>
      <c r="I10" s="0" t="n">
        <v>356.8</v>
      </c>
      <c r="J10" s="0" t="n">
        <v>6.61671982790594</v>
      </c>
      <c r="K10" s="0" t="n">
        <v>2.06</v>
      </c>
      <c r="M10" s="0" t="n">
        <v>99</v>
      </c>
      <c r="O10" s="0" t="n">
        <v>3688.2</v>
      </c>
      <c r="P10" s="0" t="n">
        <v>10913.8</v>
      </c>
      <c r="Q10" s="0" t="n">
        <v>7222.3</v>
      </c>
      <c r="R10" s="0" t="n">
        <v>2071.7</v>
      </c>
      <c r="S10" s="0" t="n">
        <v>480.4</v>
      </c>
      <c r="T10" s="0" t="n">
        <v>176.9</v>
      </c>
      <c r="U10" s="0" t="n">
        <v>11.2</v>
      </c>
      <c r="V10" s="0" t="n">
        <v>1.48</v>
      </c>
      <c r="AA10" s="0" t="s">
        <v>17</v>
      </c>
      <c r="AB10" s="0" t="s">
        <v>14</v>
      </c>
    </row>
    <row r="11" customFormat="false" ht="15" hidden="false" customHeight="false" outlineLevel="0" collapsed="false">
      <c r="A11" s="0" t="s">
        <v>72</v>
      </c>
      <c r="B11" s="0" t="n">
        <v>5680.5</v>
      </c>
      <c r="C11" s="0" t="n">
        <v>1408.6</v>
      </c>
      <c r="I11" s="0" t="n">
        <v>396.8</v>
      </c>
      <c r="J11" s="0" t="n">
        <v>6.98530058973682</v>
      </c>
      <c r="K11" s="0" t="n">
        <v>2.22</v>
      </c>
      <c r="L11" s="0" t="n">
        <v>649.6</v>
      </c>
      <c r="M11" s="0" t="n">
        <v>217.8</v>
      </c>
      <c r="N11" s="0" t="n">
        <v>431.8</v>
      </c>
      <c r="O11" s="0" t="n">
        <v>3775.5</v>
      </c>
      <c r="P11" s="0" t="n">
        <v>13528.2</v>
      </c>
      <c r="Q11" s="0" t="n">
        <v>7833.8</v>
      </c>
      <c r="R11" s="0" t="n">
        <v>2144.6</v>
      </c>
      <c r="S11" s="0" t="n">
        <v>545.5</v>
      </c>
      <c r="T11" s="0" t="n">
        <v>178.3</v>
      </c>
      <c r="U11" s="0" t="n">
        <v>14.7</v>
      </c>
      <c r="V11" s="0" t="n">
        <v>1.52</v>
      </c>
      <c r="AA11" s="0" t="s">
        <v>17</v>
      </c>
      <c r="AB11" s="0" t="s">
        <v>14</v>
      </c>
    </row>
    <row r="12" customFormat="false" ht="15" hidden="false" customHeight="false" outlineLevel="0" collapsed="false">
      <c r="A12" s="0" t="s">
        <v>73</v>
      </c>
      <c r="B12" s="0" t="n">
        <v>6249</v>
      </c>
      <c r="C12" s="0" t="n">
        <v>1635.9</v>
      </c>
      <c r="I12" s="0" t="n">
        <v>481.3</v>
      </c>
      <c r="J12" s="0" t="n">
        <v>7.70203232517203</v>
      </c>
      <c r="K12" s="0" t="n">
        <v>2.64</v>
      </c>
      <c r="L12" s="0" t="n">
        <v>854.2</v>
      </c>
      <c r="O12" s="0" t="n">
        <v>4299.7</v>
      </c>
      <c r="P12" s="0" t="n">
        <v>14909.7</v>
      </c>
      <c r="Q12" s="0" t="n">
        <v>10610</v>
      </c>
      <c r="R12" s="0" t="n">
        <v>2691.9</v>
      </c>
      <c r="S12" s="0" t="n">
        <v>681.2</v>
      </c>
      <c r="T12" s="0" t="n">
        <v>181</v>
      </c>
      <c r="U12" s="0" t="n">
        <v>17.3</v>
      </c>
      <c r="V12" s="0" t="n">
        <v>1.56</v>
      </c>
      <c r="AA12" s="0" t="s">
        <v>17</v>
      </c>
      <c r="AB12" s="0" t="s">
        <v>14</v>
      </c>
    </row>
    <row r="13" customFormat="false" ht="15" hidden="false" customHeight="false" outlineLevel="0" collapsed="false">
      <c r="A13" s="0" t="s">
        <v>74</v>
      </c>
      <c r="B13" s="0" t="n">
        <v>6934</v>
      </c>
      <c r="C13" s="0" t="n">
        <v>1816</v>
      </c>
      <c r="I13" s="0" t="n">
        <v>633.5</v>
      </c>
      <c r="J13" s="0" t="n">
        <v>9.13614075569657</v>
      </c>
      <c r="K13" s="0" t="n">
        <v>3.4</v>
      </c>
      <c r="L13" s="0" t="n">
        <v>765.1</v>
      </c>
      <c r="O13" s="0" t="n">
        <v>4569.7</v>
      </c>
      <c r="P13" s="0" t="n">
        <v>16334</v>
      </c>
      <c r="Q13" s="0" t="n">
        <v>11764.3</v>
      </c>
      <c r="R13" s="0" t="n">
        <v>3091.4</v>
      </c>
      <c r="S13" s="0" t="n">
        <v>607.2</v>
      </c>
      <c r="T13" s="0" t="n">
        <v>184</v>
      </c>
      <c r="U13" s="0" t="n">
        <v>13.7</v>
      </c>
      <c r="V13" s="0" t="n">
        <v>1.64</v>
      </c>
      <c r="AA13" s="0" t="s">
        <v>17</v>
      </c>
      <c r="AB13" s="0" t="s">
        <v>14</v>
      </c>
    </row>
    <row r="14" customFormat="false" ht="15" hidden="false" customHeight="false" outlineLevel="0" collapsed="false">
      <c r="A14" s="0" t="s">
        <v>75</v>
      </c>
      <c r="B14" s="0" t="n">
        <v>7195</v>
      </c>
      <c r="C14" s="0" t="n">
        <v>1352.8</v>
      </c>
      <c r="I14" s="0" t="n">
        <v>668.8</v>
      </c>
      <c r="J14" s="0" t="n">
        <v>9.29534398888117</v>
      </c>
      <c r="K14" s="0" t="n">
        <v>3.52</v>
      </c>
      <c r="L14" s="0" t="n">
        <v>1191.1</v>
      </c>
      <c r="O14" s="0" t="n">
        <v>5215.5</v>
      </c>
      <c r="P14" s="0" t="n">
        <v>19634.8</v>
      </c>
      <c r="Q14" s="0" t="n">
        <v>14419.3</v>
      </c>
      <c r="R14" s="0" t="n">
        <v>3816.1</v>
      </c>
      <c r="S14" s="0" t="n">
        <v>604.8</v>
      </c>
      <c r="T14" s="0" t="n">
        <v>188.1</v>
      </c>
      <c r="U14" s="0" t="n">
        <v>14</v>
      </c>
      <c r="V14" s="0" t="n">
        <v>1.72</v>
      </c>
      <c r="AA14" s="0" t="s">
        <v>17</v>
      </c>
      <c r="AB14" s="0" t="s">
        <v>14</v>
      </c>
    </row>
    <row r="15" customFormat="false" ht="15" hidden="false" customHeight="false" outlineLevel="0" collapsed="false">
      <c r="A15" s="0" t="s">
        <v>76</v>
      </c>
      <c r="B15" s="0" t="n">
        <v>7003.6</v>
      </c>
      <c r="C15" s="0" t="n">
        <v>882.1</v>
      </c>
      <c r="I15" s="0" t="n">
        <v>818.8</v>
      </c>
      <c r="J15" s="0" t="n">
        <v>11.6911302758581</v>
      </c>
      <c r="K15" s="0" t="n">
        <v>4.2</v>
      </c>
      <c r="L15" s="0" t="n">
        <v>1807.1</v>
      </c>
      <c r="O15" s="0" t="n">
        <v>6232.7</v>
      </c>
      <c r="P15" s="0" t="n">
        <v>22331.4</v>
      </c>
      <c r="Q15" s="0" t="n">
        <v>16098.7</v>
      </c>
      <c r="R15" s="0" t="n">
        <v>4266</v>
      </c>
      <c r="S15" s="0" t="n">
        <v>664.6</v>
      </c>
      <c r="T15" s="0" t="n">
        <v>193.7</v>
      </c>
      <c r="U15" s="0" t="n">
        <v>13.6</v>
      </c>
      <c r="V15" s="0" t="n">
        <v>1.8</v>
      </c>
      <c r="AA15" s="0" t="s">
        <v>17</v>
      </c>
      <c r="AB15" s="0" t="s">
        <v>14</v>
      </c>
    </row>
    <row r="16" customFormat="false" ht="15" hidden="false" customHeight="false" outlineLevel="0" collapsed="false">
      <c r="A16" s="0" t="s">
        <v>77</v>
      </c>
      <c r="B16" s="0" t="n">
        <v>8209.4</v>
      </c>
      <c r="C16" s="0" t="n">
        <v>1173.2</v>
      </c>
      <c r="I16" s="0" t="n">
        <v>906.8</v>
      </c>
      <c r="J16" s="0" t="n">
        <v>11.0458742417229</v>
      </c>
      <c r="K16" s="0" t="n">
        <v>4.37</v>
      </c>
      <c r="L16" s="0" t="n">
        <v>1392.4</v>
      </c>
      <c r="O16" s="0" t="n">
        <v>8560.1</v>
      </c>
      <c r="P16" s="0" t="n">
        <v>33236.1</v>
      </c>
      <c r="Q16" s="0" t="n">
        <v>24784.9</v>
      </c>
      <c r="R16" s="0" t="n">
        <v>5810.2</v>
      </c>
      <c r="S16" s="0" t="n">
        <v>402.6</v>
      </c>
      <c r="T16" s="0" t="n">
        <v>208.5</v>
      </c>
      <c r="U16" s="0" t="n">
        <v>13.4</v>
      </c>
      <c r="V16" s="0" t="n">
        <v>1.92</v>
      </c>
      <c r="AA16" s="0" t="s">
        <v>17</v>
      </c>
      <c r="AB16" s="0" t="s">
        <v>14</v>
      </c>
    </row>
    <row r="17" customFormat="false" ht="15" hidden="false" customHeight="false" outlineLevel="0" collapsed="false">
      <c r="A17" s="0" t="s">
        <v>78</v>
      </c>
      <c r="B17" s="0" t="n">
        <v>8550.6</v>
      </c>
      <c r="C17" s="0" t="n">
        <v>22.9</v>
      </c>
      <c r="I17" s="0" t="n">
        <v>1114.2</v>
      </c>
      <c r="J17" s="0" t="n">
        <v>13.0306645147709</v>
      </c>
      <c r="K17" s="0" t="n">
        <v>5.19</v>
      </c>
      <c r="L17" s="0" t="n">
        <v>1390</v>
      </c>
      <c r="O17" s="0" t="n">
        <v>9190</v>
      </c>
      <c r="P17" s="0" t="n">
        <v>38358.4</v>
      </c>
      <c r="Q17" s="0" t="n">
        <v>29168.2</v>
      </c>
      <c r="R17" s="0" t="n">
        <v>5562.8</v>
      </c>
      <c r="S17" s="0" t="n">
        <v>738.4</v>
      </c>
      <c r="T17" s="0" t="n">
        <v>211.9</v>
      </c>
      <c r="U17" s="0" t="n">
        <v>24.4</v>
      </c>
      <c r="V17" s="0" t="n">
        <v>2.04</v>
      </c>
      <c r="AA17" s="0" t="s">
        <v>17</v>
      </c>
      <c r="AB17" s="0" t="s">
        <v>14</v>
      </c>
    </row>
    <row r="18" customFormat="false" ht="15" hidden="false" customHeight="false" outlineLevel="0" collapsed="false">
      <c r="A18" s="0" t="s">
        <v>79</v>
      </c>
      <c r="B18" s="0" t="n">
        <v>10072</v>
      </c>
      <c r="I18" s="0" t="n">
        <v>970</v>
      </c>
      <c r="J18" s="0" t="n">
        <v>9.6306592533757</v>
      </c>
      <c r="K18" s="0" t="n">
        <v>4.42</v>
      </c>
      <c r="L18" s="0" t="n">
        <v>2032</v>
      </c>
      <c r="O18" s="0" t="n">
        <v>10815</v>
      </c>
      <c r="P18" s="0" t="n">
        <v>51616</v>
      </c>
      <c r="Q18" s="0" t="n">
        <v>40800.5</v>
      </c>
      <c r="R18" s="0" t="n">
        <v>7006</v>
      </c>
      <c r="T18" s="0" t="n">
        <v>216.7</v>
      </c>
      <c r="U18" s="0" t="n">
        <v>31</v>
      </c>
      <c r="V18" s="0" t="n">
        <v>2.2</v>
      </c>
      <c r="AA18" s="0" t="s">
        <v>17</v>
      </c>
      <c r="AB18" s="0" t="s">
        <v>14</v>
      </c>
    </row>
    <row r="19" customFormat="false" ht="15" hidden="false" customHeight="false" outlineLevel="0" collapsed="false">
      <c r="A19" s="0" t="s">
        <v>80</v>
      </c>
      <c r="B19" s="0" t="n">
        <v>11555</v>
      </c>
      <c r="I19" s="0" t="n">
        <v>1463</v>
      </c>
      <c r="J19" s="0" t="n">
        <v>12.6611856339247</v>
      </c>
      <c r="K19" s="0" t="n">
        <v>6.5</v>
      </c>
      <c r="L19" s="0" t="n">
        <v>2583</v>
      </c>
      <c r="O19" s="0" t="n">
        <v>20154</v>
      </c>
      <c r="P19" s="0" t="n">
        <v>64255</v>
      </c>
      <c r="Q19" s="0" t="n">
        <v>44075</v>
      </c>
      <c r="R19" s="0" t="n">
        <v>12732</v>
      </c>
      <c r="T19" s="0" t="n">
        <v>250</v>
      </c>
      <c r="U19" s="0" t="n">
        <v>42</v>
      </c>
      <c r="V19" s="0" t="n">
        <v>2.4</v>
      </c>
      <c r="AA19" s="0" t="s">
        <v>17</v>
      </c>
      <c r="AB19" s="0" t="s">
        <v>14</v>
      </c>
    </row>
    <row r="20" customFormat="false" ht="15" hidden="false" customHeight="false" outlineLevel="0" collapsed="false">
      <c r="A20" s="0" t="s">
        <v>81</v>
      </c>
      <c r="B20" s="0" t="n">
        <v>13942</v>
      </c>
      <c r="I20" s="0" t="n">
        <v>1494</v>
      </c>
      <c r="J20" s="0" t="n">
        <v>10.7158226940181</v>
      </c>
      <c r="K20" s="0" t="n">
        <v>5.74</v>
      </c>
      <c r="L20" s="0" t="n">
        <v>1930</v>
      </c>
      <c r="O20" s="0" t="n">
        <v>23321</v>
      </c>
      <c r="P20" s="0" t="n">
        <v>70665</v>
      </c>
      <c r="Q20" s="0" t="n">
        <v>47318</v>
      </c>
      <c r="R20" s="0" t="n">
        <v>12873</v>
      </c>
      <c r="T20" s="0" t="n">
        <v>257</v>
      </c>
      <c r="U20" s="0" t="n">
        <v>49</v>
      </c>
      <c r="V20" s="0" t="n">
        <v>2.6</v>
      </c>
      <c r="AA20" s="0" t="s">
        <v>17</v>
      </c>
      <c r="AB20" s="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</cols>
  <sheetData>
    <row r="1" customFormat="false" ht="15" hidden="false" customHeight="false" outlineLevel="0" collapsed="false">
      <c r="A1" s="2" t="s">
        <v>82</v>
      </c>
      <c r="B1" s="2" t="s">
        <v>83</v>
      </c>
    </row>
    <row r="2" customFormat="false" ht="15" hidden="false" customHeight="false" outlineLevel="0" collapsed="false">
      <c r="A2" s="0" t="s">
        <v>84</v>
      </c>
      <c r="B2" s="3" t="n">
        <v>227.13</v>
      </c>
    </row>
    <row r="3" customFormat="false" ht="15" hidden="false" customHeight="false" outlineLevel="0" collapsed="false">
      <c r="A3" s="0" t="s">
        <v>85</v>
      </c>
      <c r="B3" s="3" t="n">
        <v>259.3</v>
      </c>
    </row>
    <row r="4" customFormat="false" ht="15" hidden="false" customHeight="false" outlineLevel="0" collapsed="false">
      <c r="A4" s="0" t="s">
        <v>86</v>
      </c>
      <c r="B4" s="3" t="n">
        <v>12472</v>
      </c>
    </row>
    <row r="5" customFormat="false" ht="15" hidden="false" customHeight="false" outlineLevel="0" collapsed="false">
      <c r="A5" s="0" t="s">
        <v>87</v>
      </c>
      <c r="B5" s="3" t="n">
        <v>-100</v>
      </c>
    </row>
    <row r="6" customFormat="false" ht="15" hidden="false" customHeight="false" outlineLevel="0" collapsed="false">
      <c r="A6" s="0" t="s">
        <v>88</v>
      </c>
      <c r="B6" s="3" t="n">
        <v>15</v>
      </c>
    </row>
    <row r="7" customFormat="false" ht="15" hidden="false" customHeight="false" outlineLevel="0" collapsed="false">
      <c r="A7" s="0" t="s">
        <v>89</v>
      </c>
      <c r="B7" s="3" t="n">
        <v>13942</v>
      </c>
    </row>
    <row r="8" customFormat="false" ht="15" hidden="false" customHeight="false" outlineLevel="0" collapsed="false">
      <c r="A8" s="0" t="s">
        <v>90</v>
      </c>
      <c r="B8" s="3" t="s">
        <v>81</v>
      </c>
    </row>
    <row r="9" customFormat="false" ht="15" hidden="false" customHeight="false" outlineLevel="0" collapsed="false">
      <c r="A9" s="0" t="s">
        <v>91</v>
      </c>
      <c r="B9" s="3" t="s">
        <v>92</v>
      </c>
    </row>
    <row r="10" customFormat="false" ht="15" hidden="false" customHeight="false" outlineLevel="0" collapsed="false">
      <c r="A10" s="0" t="s">
        <v>93</v>
      </c>
      <c r="B10" s="3" t="n">
        <v>1</v>
      </c>
    </row>
    <row r="12" customFormat="false" ht="15" hidden="false" customHeight="false" outlineLevel="0" collapsed="false">
      <c r="A12" s="2" t="s">
        <v>94</v>
      </c>
      <c r="C12" s="2" t="s">
        <v>95</v>
      </c>
      <c r="D12" s="2" t="s">
        <v>96</v>
      </c>
      <c r="E12" s="2" t="s">
        <v>97</v>
      </c>
      <c r="F12" s="2" t="s">
        <v>98</v>
      </c>
      <c r="G12" s="2" t="s">
        <v>99</v>
      </c>
      <c r="H12" s="2" t="s">
        <v>100</v>
      </c>
      <c r="I12" s="2" t="s">
        <v>101</v>
      </c>
      <c r="J12" s="2" t="s">
        <v>102</v>
      </c>
      <c r="K12" s="2" t="s">
        <v>103</v>
      </c>
      <c r="L12" s="2" t="s">
        <v>104</v>
      </c>
    </row>
    <row r="13" customFormat="false" ht="15" hidden="false" customHeight="false" outlineLevel="0" collapsed="false">
      <c r="A13" s="0" t="s">
        <v>105</v>
      </c>
      <c r="C13" s="3" t="n">
        <v>18.5</v>
      </c>
      <c r="D13" s="3" t="n">
        <v>2.5</v>
      </c>
      <c r="E13" s="3" t="n">
        <v>3</v>
      </c>
      <c r="F13" s="3" t="n">
        <v>3.5</v>
      </c>
      <c r="G13" s="3" t="n">
        <v>3.5</v>
      </c>
      <c r="H13" s="3" t="n">
        <v>3.5</v>
      </c>
      <c r="I13" s="3" t="n">
        <v>3</v>
      </c>
      <c r="J13" s="3" t="n">
        <v>3</v>
      </c>
      <c r="K13" s="3" t="n">
        <v>3</v>
      </c>
      <c r="L13" s="3" t="n">
        <v>2.5</v>
      </c>
    </row>
    <row r="14" customFormat="false" ht="15" hidden="false" customHeight="false" outlineLevel="0" collapsed="false">
      <c r="A14" s="0" t="s">
        <v>106</v>
      </c>
      <c r="C14" s="3" t="n">
        <v>26</v>
      </c>
      <c r="D14" s="3" t="n">
        <v>26.5</v>
      </c>
      <c r="E14" s="3" t="n">
        <v>27</v>
      </c>
      <c r="F14" s="3" t="n">
        <v>27</v>
      </c>
      <c r="G14" s="3" t="n">
        <v>27</v>
      </c>
      <c r="H14" s="3" t="n">
        <v>27</v>
      </c>
      <c r="I14" s="3" t="n">
        <v>27</v>
      </c>
      <c r="J14" s="3" t="n">
        <v>27</v>
      </c>
      <c r="K14" s="3" t="n">
        <v>27</v>
      </c>
      <c r="L14" s="3" t="n">
        <v>27</v>
      </c>
    </row>
    <row r="15" customFormat="false" ht="15" hidden="false" customHeight="false" outlineLevel="0" collapsed="false">
      <c r="A15" s="0" t="s">
        <v>107</v>
      </c>
      <c r="C15" s="3" t="n">
        <v>0.5</v>
      </c>
      <c r="D15" s="3" t="n">
        <v>0.5</v>
      </c>
      <c r="E15" s="3" t="n">
        <v>0.5</v>
      </c>
      <c r="F15" s="3" t="n">
        <v>0.5</v>
      </c>
      <c r="G15" s="3" t="n">
        <v>0.5</v>
      </c>
      <c r="H15" s="3" t="n">
        <v>0.5</v>
      </c>
      <c r="I15" s="3" t="n">
        <v>0.5</v>
      </c>
      <c r="J15" s="3" t="n">
        <v>0.5</v>
      </c>
      <c r="K15" s="3" t="n">
        <v>0.5</v>
      </c>
      <c r="L15" s="3" t="n">
        <v>0.5</v>
      </c>
    </row>
    <row r="16" customFormat="false" ht="15" hidden="false" customHeight="false" outlineLevel="0" collapsed="false">
      <c r="A16" s="0" t="s">
        <v>108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customFormat="false" ht="15" hidden="false" customHeight="false" outlineLevel="0" collapsed="false">
      <c r="A17" s="0" t="s">
        <v>109</v>
      </c>
      <c r="C17" s="3" t="n">
        <v>8</v>
      </c>
      <c r="D17" s="3" t="n">
        <v>7.5</v>
      </c>
      <c r="E17" s="3" t="n">
        <v>7</v>
      </c>
      <c r="F17" s="3" t="n">
        <v>6.5</v>
      </c>
      <c r="G17" s="3" t="n">
        <v>6</v>
      </c>
      <c r="H17" s="3" t="n">
        <v>5</v>
      </c>
      <c r="I17" s="3" t="n">
        <v>4</v>
      </c>
      <c r="J17" s="3" t="n">
        <v>3</v>
      </c>
      <c r="K17" s="3" t="n">
        <v>2</v>
      </c>
      <c r="L17" s="3" t="n">
        <v>1.1</v>
      </c>
    </row>
    <row r="18" customFormat="false" ht="15" hidden="false" customHeight="false" outlineLevel="0" collapsed="false">
      <c r="A18" s="0" t="s">
        <v>110</v>
      </c>
      <c r="C18" s="3" t="n">
        <v>1.1</v>
      </c>
      <c r="D18" s="3" t="n">
        <v>1.1</v>
      </c>
      <c r="E18" s="3" t="n">
        <v>1.1</v>
      </c>
      <c r="F18" s="3" t="n">
        <v>1.1</v>
      </c>
      <c r="G18" s="3" t="n">
        <v>1.1</v>
      </c>
      <c r="H18" s="3" t="n">
        <v>1.1</v>
      </c>
      <c r="I18" s="3" t="n">
        <v>1.1</v>
      </c>
      <c r="J18" s="3" t="n">
        <v>1.1</v>
      </c>
      <c r="K18" s="3" t="n">
        <v>1.1</v>
      </c>
      <c r="L18" s="3" t="n">
        <v>1.1</v>
      </c>
    </row>
    <row r="19" customFormat="false" ht="15" hidden="false" customHeight="false" outlineLevel="0" collapsed="false">
      <c r="A19" s="0" t="s">
        <v>111</v>
      </c>
      <c r="C19" s="3" t="n">
        <v>24</v>
      </c>
      <c r="D19" s="3" t="n">
        <v>24</v>
      </c>
      <c r="E19" s="3" t="n">
        <v>24</v>
      </c>
      <c r="F19" s="3" t="n">
        <v>24</v>
      </c>
      <c r="G19" s="3" t="n">
        <v>24</v>
      </c>
      <c r="H19" s="3" t="n">
        <v>24</v>
      </c>
      <c r="I19" s="3" t="n">
        <v>24</v>
      </c>
      <c r="J19" s="3" t="n">
        <v>24</v>
      </c>
      <c r="K19" s="3" t="n">
        <v>24</v>
      </c>
      <c r="L19" s="3" t="n">
        <v>24</v>
      </c>
    </row>
    <row r="20" customFormat="false" ht="15" hidden="false" customHeight="false" outlineLevel="0" collapsed="false">
      <c r="A20" s="0" t="s">
        <v>112</v>
      </c>
      <c r="B20" s="3" t="n">
        <v>8</v>
      </c>
    </row>
    <row r="21" customFormat="false" ht="15" hidden="false" customHeight="false" outlineLevel="0" collapsed="false">
      <c r="A21" s="0" t="s">
        <v>113</v>
      </c>
      <c r="B21" s="3" t="n">
        <v>2.5</v>
      </c>
    </row>
    <row r="22" customFormat="false" ht="15" hidden="false" customHeight="false" outlineLevel="0" collapsed="false">
      <c r="A22" s="0" t="s">
        <v>114</v>
      </c>
      <c r="B22" s="3" t="n">
        <v>16</v>
      </c>
    </row>
    <row r="23" customFormat="false" ht="15" hidden="false" customHeight="false" outlineLevel="0" collapsed="false">
      <c r="A23" s="0" t="s">
        <v>115</v>
      </c>
      <c r="B23" s="3" t="n">
        <v>0</v>
      </c>
    </row>
    <row r="24" customFormat="false" ht="15" hidden="false" customHeight="false" outlineLevel="0" collapsed="false">
      <c r="A24" s="0" t="s">
        <v>116</v>
      </c>
      <c r="B24" s="3" t="n">
        <v>0.2</v>
      </c>
    </row>
    <row r="26" customFormat="false" ht="15" hidden="false" customHeight="false" outlineLevel="0" collapsed="false">
      <c r="A26" s="2" t="s">
        <v>117</v>
      </c>
      <c r="C26" s="2" t="s">
        <v>95</v>
      </c>
      <c r="D26" s="2" t="s">
        <v>96</v>
      </c>
      <c r="E26" s="2" t="s">
        <v>97</v>
      </c>
      <c r="F26" s="2" t="s">
        <v>98</v>
      </c>
      <c r="G26" s="2" t="s">
        <v>99</v>
      </c>
      <c r="H26" s="2" t="s">
        <v>100</v>
      </c>
      <c r="I26" s="2" t="s">
        <v>101</v>
      </c>
      <c r="J26" s="2" t="s">
        <v>102</v>
      </c>
      <c r="K26" s="2" t="s">
        <v>103</v>
      </c>
      <c r="L26" s="2" t="s">
        <v>104</v>
      </c>
    </row>
    <row r="27" customFormat="false" ht="15" hidden="false" customHeight="false" outlineLevel="0" collapsed="false">
      <c r="A27" s="0" t="s">
        <v>105</v>
      </c>
      <c r="C27" s="3" t="n">
        <v>19.4</v>
      </c>
      <c r="D27" s="3" t="n">
        <v>5</v>
      </c>
      <c r="E27" s="3" t="n">
        <v>5</v>
      </c>
      <c r="F27" s="3" t="n">
        <v>5</v>
      </c>
      <c r="G27" s="3" t="n">
        <v>4.5</v>
      </c>
      <c r="H27" s="3" t="n">
        <v>4.5</v>
      </c>
      <c r="I27" s="3" t="n">
        <v>4</v>
      </c>
      <c r="J27" s="3" t="n">
        <v>4</v>
      </c>
      <c r="K27" s="3" t="n">
        <v>3.5</v>
      </c>
      <c r="L27" s="3" t="n">
        <v>3.5</v>
      </c>
    </row>
    <row r="28" customFormat="false" ht="15" hidden="false" customHeight="false" outlineLevel="0" collapsed="false">
      <c r="A28" s="0" t="s">
        <v>106</v>
      </c>
      <c r="C28" s="3" t="n">
        <v>26.5</v>
      </c>
      <c r="D28" s="3" t="n">
        <v>27.5</v>
      </c>
      <c r="E28" s="3" t="n">
        <v>28.5</v>
      </c>
      <c r="F28" s="3" t="n">
        <v>29</v>
      </c>
      <c r="G28" s="3" t="n">
        <v>29.5</v>
      </c>
      <c r="H28" s="3" t="n">
        <v>30</v>
      </c>
      <c r="I28" s="3" t="n">
        <v>30</v>
      </c>
      <c r="J28" s="3" t="n">
        <v>30</v>
      </c>
      <c r="K28" s="3" t="n">
        <v>30</v>
      </c>
      <c r="L28" s="3" t="n">
        <v>30</v>
      </c>
    </row>
    <row r="29" customFormat="false" ht="15" hidden="false" customHeight="false" outlineLevel="0" collapsed="false">
      <c r="A29" s="0" t="s">
        <v>107</v>
      </c>
      <c r="C29" s="3" t="n">
        <v>0.45</v>
      </c>
      <c r="D29" s="3" t="n">
        <v>0.45</v>
      </c>
      <c r="E29" s="3" t="n">
        <v>0.45</v>
      </c>
      <c r="F29" s="3" t="n">
        <v>0.45</v>
      </c>
      <c r="G29" s="3" t="n">
        <v>0.45</v>
      </c>
      <c r="H29" s="3" t="n">
        <v>0.45</v>
      </c>
      <c r="I29" s="3" t="n">
        <v>0.45</v>
      </c>
      <c r="J29" s="3" t="n">
        <v>0.45</v>
      </c>
      <c r="K29" s="3" t="n">
        <v>0.45</v>
      </c>
      <c r="L29" s="3" t="n">
        <v>0.45</v>
      </c>
    </row>
    <row r="30" customFormat="false" ht="15" hidden="false" customHeight="false" outlineLevel="0" collapsed="false">
      <c r="A30" s="0" t="s">
        <v>108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customFormat="false" ht="15" hidden="false" customHeight="false" outlineLevel="0" collapsed="false">
      <c r="A31" s="0" t="s">
        <v>109</v>
      </c>
      <c r="C31" s="3" t="n">
        <v>8</v>
      </c>
      <c r="D31" s="3" t="n">
        <v>7.5</v>
      </c>
      <c r="E31" s="3" t="n">
        <v>7</v>
      </c>
      <c r="F31" s="3" t="n">
        <v>6.5</v>
      </c>
      <c r="G31" s="3" t="n">
        <v>6</v>
      </c>
      <c r="H31" s="3" t="n">
        <v>5</v>
      </c>
      <c r="I31" s="3" t="n">
        <v>4</v>
      </c>
      <c r="J31" s="3" t="n">
        <v>3</v>
      </c>
      <c r="K31" s="3" t="n">
        <v>2</v>
      </c>
      <c r="L31" s="3" t="n">
        <v>1.1</v>
      </c>
    </row>
    <row r="32" customFormat="false" ht="15" hidden="false" customHeight="false" outlineLevel="0" collapsed="false">
      <c r="A32" s="0" t="s">
        <v>110</v>
      </c>
      <c r="C32" s="3" t="n">
        <v>1.1</v>
      </c>
      <c r="D32" s="3" t="n">
        <v>1.1</v>
      </c>
      <c r="E32" s="3" t="n">
        <v>1.1</v>
      </c>
      <c r="F32" s="3" t="n">
        <v>1.1</v>
      </c>
      <c r="G32" s="3" t="n">
        <v>1.1</v>
      </c>
      <c r="H32" s="3" t="n">
        <v>1.1</v>
      </c>
      <c r="I32" s="3" t="n">
        <v>1.1</v>
      </c>
      <c r="J32" s="3" t="n">
        <v>1.1</v>
      </c>
      <c r="K32" s="3" t="n">
        <v>1.1</v>
      </c>
      <c r="L32" s="3" t="n">
        <v>1.1</v>
      </c>
    </row>
    <row r="33" customFormat="false" ht="15" hidden="false" customHeight="false" outlineLevel="0" collapsed="false">
      <c r="A33" s="0" t="s">
        <v>111</v>
      </c>
      <c r="C33" s="3" t="n">
        <v>24</v>
      </c>
      <c r="D33" s="3" t="n">
        <v>24</v>
      </c>
      <c r="E33" s="3" t="n">
        <v>24</v>
      </c>
      <c r="F33" s="3" t="n">
        <v>24</v>
      </c>
      <c r="G33" s="3" t="n">
        <v>24</v>
      </c>
      <c r="H33" s="3" t="n">
        <v>24</v>
      </c>
      <c r="I33" s="3" t="n">
        <v>24</v>
      </c>
      <c r="J33" s="3" t="n">
        <v>24</v>
      </c>
      <c r="K33" s="3" t="n">
        <v>24</v>
      </c>
      <c r="L33" s="3" t="n">
        <v>24</v>
      </c>
    </row>
    <row r="34" customFormat="false" ht="15" hidden="false" customHeight="false" outlineLevel="0" collapsed="false">
      <c r="A34" s="0" t="s">
        <v>112</v>
      </c>
      <c r="B34" s="3" t="n">
        <v>8</v>
      </c>
    </row>
    <row r="35" customFormat="false" ht="15" hidden="false" customHeight="false" outlineLevel="0" collapsed="false">
      <c r="A35" s="0" t="s">
        <v>113</v>
      </c>
      <c r="B35" s="3" t="n">
        <v>3</v>
      </c>
    </row>
    <row r="36" customFormat="false" ht="15" hidden="false" customHeight="false" outlineLevel="0" collapsed="false">
      <c r="A36" s="0" t="s">
        <v>114</v>
      </c>
      <c r="B36" s="3" t="n">
        <v>20</v>
      </c>
    </row>
    <row r="37" customFormat="false" ht="15" hidden="false" customHeight="false" outlineLevel="0" collapsed="false">
      <c r="A37" s="0" t="s">
        <v>115</v>
      </c>
      <c r="B37" s="3" t="n">
        <v>0</v>
      </c>
    </row>
    <row r="38" customFormat="false" ht="15" hidden="false" customHeight="false" outlineLevel="0" collapsed="false">
      <c r="A38" s="0" t="s">
        <v>116</v>
      </c>
      <c r="B38" s="3" t="n">
        <v>0.55</v>
      </c>
    </row>
    <row r="40" customFormat="false" ht="15" hidden="false" customHeight="false" outlineLevel="0" collapsed="false">
      <c r="A40" s="2" t="s">
        <v>118</v>
      </c>
      <c r="C40" s="2" t="s">
        <v>95</v>
      </c>
      <c r="D40" s="2" t="s">
        <v>96</v>
      </c>
      <c r="E40" s="2" t="s">
        <v>97</v>
      </c>
      <c r="F40" s="2" t="s">
        <v>98</v>
      </c>
      <c r="G40" s="2" t="s">
        <v>99</v>
      </c>
      <c r="H40" s="2" t="s">
        <v>100</v>
      </c>
      <c r="I40" s="2" t="s">
        <v>101</v>
      </c>
      <c r="J40" s="2" t="s">
        <v>102</v>
      </c>
      <c r="K40" s="2" t="s">
        <v>103</v>
      </c>
      <c r="L40" s="2" t="s">
        <v>104</v>
      </c>
    </row>
    <row r="41" customFormat="false" ht="15" hidden="false" customHeight="false" outlineLevel="0" collapsed="false">
      <c r="A41" s="0" t="s">
        <v>105</v>
      </c>
      <c r="C41" s="3" t="n">
        <v>20</v>
      </c>
      <c r="D41" s="3" t="n">
        <v>7</v>
      </c>
      <c r="E41" s="3" t="n">
        <v>7</v>
      </c>
      <c r="F41" s="3" t="n">
        <v>6.5</v>
      </c>
      <c r="G41" s="3" t="n">
        <v>6</v>
      </c>
      <c r="H41" s="3" t="n">
        <v>5.5</v>
      </c>
      <c r="I41" s="3" t="n">
        <v>5</v>
      </c>
      <c r="J41" s="3" t="n">
        <v>4.5</v>
      </c>
      <c r="K41" s="3" t="n">
        <v>4</v>
      </c>
      <c r="L41" s="3" t="n">
        <v>3.5</v>
      </c>
    </row>
    <row r="42" customFormat="false" ht="15" hidden="false" customHeight="false" outlineLevel="0" collapsed="false">
      <c r="A42" s="0" t="s">
        <v>106</v>
      </c>
      <c r="C42" s="3" t="n">
        <v>27</v>
      </c>
      <c r="D42" s="3" t="n">
        <v>28.5</v>
      </c>
      <c r="E42" s="3" t="n">
        <v>29.5</v>
      </c>
      <c r="F42" s="3" t="n">
        <v>30.5</v>
      </c>
      <c r="G42" s="3" t="n">
        <v>31</v>
      </c>
      <c r="H42" s="3" t="n">
        <v>31.5</v>
      </c>
      <c r="I42" s="3" t="n">
        <v>31.5</v>
      </c>
      <c r="J42" s="3" t="n">
        <v>31.5</v>
      </c>
      <c r="K42" s="3" t="n">
        <v>31.5</v>
      </c>
      <c r="L42" s="3" t="n">
        <v>31.5</v>
      </c>
    </row>
    <row r="43" customFormat="false" ht="15" hidden="false" customHeight="false" outlineLevel="0" collapsed="false">
      <c r="A43" s="0" t="s">
        <v>107</v>
      </c>
      <c r="C43" s="3" t="n">
        <v>0.45</v>
      </c>
      <c r="D43" s="3" t="n">
        <v>0.45</v>
      </c>
      <c r="E43" s="3" t="n">
        <v>0.45</v>
      </c>
      <c r="F43" s="3" t="n">
        <v>0.45</v>
      </c>
      <c r="G43" s="3" t="n">
        <v>0.45</v>
      </c>
      <c r="H43" s="3" t="n">
        <v>0.45</v>
      </c>
      <c r="I43" s="3" t="n">
        <v>0.45</v>
      </c>
      <c r="J43" s="3" t="n">
        <v>0.45</v>
      </c>
      <c r="K43" s="3" t="n">
        <v>0.45</v>
      </c>
      <c r="L43" s="3" t="n">
        <v>0.45</v>
      </c>
    </row>
    <row r="44" customFormat="false" ht="15" hidden="false" customHeight="false" outlineLevel="0" collapsed="false">
      <c r="A44" s="0" t="s">
        <v>108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customFormat="false" ht="15" hidden="false" customHeight="false" outlineLevel="0" collapsed="false">
      <c r="A45" s="0" t="s">
        <v>109</v>
      </c>
      <c r="C45" s="3" t="n">
        <v>8</v>
      </c>
      <c r="D45" s="3" t="n">
        <v>7.5</v>
      </c>
      <c r="E45" s="3" t="n">
        <v>7</v>
      </c>
      <c r="F45" s="3" t="n">
        <v>6.5</v>
      </c>
      <c r="G45" s="3" t="n">
        <v>6</v>
      </c>
      <c r="H45" s="3" t="n">
        <v>5</v>
      </c>
      <c r="I45" s="3" t="n">
        <v>4</v>
      </c>
      <c r="J45" s="3" t="n">
        <v>3</v>
      </c>
      <c r="K45" s="3" t="n">
        <v>2</v>
      </c>
      <c r="L45" s="3" t="n">
        <v>1.1</v>
      </c>
    </row>
    <row r="46" customFormat="false" ht="15" hidden="false" customHeight="false" outlineLevel="0" collapsed="false">
      <c r="A46" s="0" t="s">
        <v>110</v>
      </c>
      <c r="C46" s="3" t="n">
        <v>1.1</v>
      </c>
      <c r="D46" s="3" t="n">
        <v>1.1</v>
      </c>
      <c r="E46" s="3" t="n">
        <v>1.1</v>
      </c>
      <c r="F46" s="3" t="n">
        <v>1.1</v>
      </c>
      <c r="G46" s="3" t="n">
        <v>1.1</v>
      </c>
      <c r="H46" s="3" t="n">
        <v>1.1</v>
      </c>
      <c r="I46" s="3" t="n">
        <v>1.1</v>
      </c>
      <c r="J46" s="3" t="n">
        <v>1.1</v>
      </c>
      <c r="K46" s="3" t="n">
        <v>1.1</v>
      </c>
      <c r="L46" s="3" t="n">
        <v>1.1</v>
      </c>
    </row>
    <row r="47" customFormat="false" ht="15" hidden="false" customHeight="false" outlineLevel="0" collapsed="false">
      <c r="A47" s="0" t="s">
        <v>111</v>
      </c>
      <c r="C47" s="3" t="n">
        <v>24</v>
      </c>
      <c r="D47" s="3" t="n">
        <v>24</v>
      </c>
      <c r="E47" s="3" t="n">
        <v>24</v>
      </c>
      <c r="F47" s="3" t="n">
        <v>24</v>
      </c>
      <c r="G47" s="3" t="n">
        <v>24</v>
      </c>
      <c r="H47" s="3" t="n">
        <v>24</v>
      </c>
      <c r="I47" s="3" t="n">
        <v>24</v>
      </c>
      <c r="J47" s="3" t="n">
        <v>24</v>
      </c>
      <c r="K47" s="3" t="n">
        <v>24</v>
      </c>
      <c r="L47" s="3" t="n">
        <v>24</v>
      </c>
    </row>
    <row r="48" customFormat="false" ht="15" hidden="false" customHeight="false" outlineLevel="0" collapsed="false">
      <c r="A48" s="0" t="s">
        <v>112</v>
      </c>
      <c r="B48" s="3" t="n">
        <v>8</v>
      </c>
    </row>
    <row r="49" customFormat="false" ht="15" hidden="false" customHeight="false" outlineLevel="0" collapsed="false">
      <c r="A49" s="0" t="s">
        <v>113</v>
      </c>
      <c r="B49" s="3" t="n">
        <v>3</v>
      </c>
    </row>
    <row r="50" customFormat="false" ht="15" hidden="false" customHeight="false" outlineLevel="0" collapsed="false">
      <c r="A50" s="0" t="s">
        <v>114</v>
      </c>
      <c r="B50" s="3" t="n">
        <v>20</v>
      </c>
    </row>
    <row r="51" customFormat="false" ht="15" hidden="false" customHeight="false" outlineLevel="0" collapsed="false">
      <c r="A51" s="0" t="s">
        <v>115</v>
      </c>
      <c r="B51" s="3" t="n">
        <v>0</v>
      </c>
    </row>
    <row r="52" customFormat="false" ht="15" hidden="false" customHeight="false" outlineLevel="0" collapsed="false">
      <c r="A52" s="0" t="s">
        <v>116</v>
      </c>
      <c r="B52" s="3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119</v>
      </c>
    </row>
    <row r="3" customFormat="false" ht="15" hidden="false" customHeight="false" outlineLevel="0" collapsed="false">
      <c r="A3" s="0" t="s">
        <v>120</v>
      </c>
      <c r="B3" s="0" t="s">
        <v>81</v>
      </c>
      <c r="C3" s="2" t="s">
        <v>95</v>
      </c>
      <c r="D3" s="2" t="s">
        <v>96</v>
      </c>
      <c r="E3" s="2" t="s">
        <v>97</v>
      </c>
      <c r="F3" s="2" t="s">
        <v>98</v>
      </c>
      <c r="G3" s="2" t="s">
        <v>99</v>
      </c>
      <c r="H3" s="2" t="s">
        <v>100</v>
      </c>
      <c r="I3" s="2" t="s">
        <v>101</v>
      </c>
      <c r="J3" s="2" t="s">
        <v>102</v>
      </c>
      <c r="K3" s="2" t="s">
        <v>103</v>
      </c>
      <c r="L3" s="2" t="s">
        <v>104</v>
      </c>
    </row>
    <row r="4" customFormat="false" ht="15" hidden="false" customHeight="false" outlineLevel="0" collapsed="false">
      <c r="A4" s="0" t="s">
        <v>121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105</v>
      </c>
      <c r="C5" s="4" t="n">
        <f aca="false">Assumptions!C13</f>
        <v>18.5</v>
      </c>
      <c r="D5" s="4" t="n">
        <f aca="false">Assumptions!D13</f>
        <v>2.5</v>
      </c>
      <c r="E5" s="4" t="n">
        <f aca="false">Assumptions!E13</f>
        <v>3</v>
      </c>
      <c r="F5" s="4" t="n">
        <f aca="false">Assumptions!F13</f>
        <v>3.5</v>
      </c>
      <c r="G5" s="4" t="n">
        <f aca="false">Assumptions!G13</f>
        <v>3.5</v>
      </c>
      <c r="H5" s="4" t="n">
        <f aca="false">Assumptions!H13</f>
        <v>3.5</v>
      </c>
      <c r="I5" s="4" t="n">
        <f aca="false">Assumptions!I13</f>
        <v>3</v>
      </c>
      <c r="J5" s="4" t="n">
        <f aca="false">Assumptions!J13</f>
        <v>3</v>
      </c>
      <c r="K5" s="4" t="n">
        <f aca="false">Assumptions!K13</f>
        <v>3</v>
      </c>
      <c r="L5" s="4" t="n">
        <f aca="false">Assumptions!L13</f>
        <v>2.5</v>
      </c>
    </row>
    <row r="6" customFormat="false" ht="15" hidden="false" customHeight="false" outlineLevel="0" collapsed="false">
      <c r="A6" s="0" t="s">
        <v>37</v>
      </c>
      <c r="B6" s="3" t="n">
        <v>13942</v>
      </c>
      <c r="C6" s="0" t="n">
        <f aca="false">B6*(1+C5/100)</f>
        <v>16521.27</v>
      </c>
      <c r="D6" s="0" t="n">
        <f aca="false">C6*(1+D5/100)</f>
        <v>16934.30175</v>
      </c>
      <c r="E6" s="0" t="n">
        <f aca="false">D6*(1+E5/100)</f>
        <v>17442.3308025</v>
      </c>
      <c r="F6" s="0" t="n">
        <f aca="false">E6*(1+F5/100)</f>
        <v>18052.8123805875</v>
      </c>
      <c r="G6" s="0" t="n">
        <f aca="false">F6*(1+G5/100)</f>
        <v>18684.6608139081</v>
      </c>
      <c r="H6" s="0" t="n">
        <f aca="false">G6*(1+H5/100)</f>
        <v>19338.6239423948</v>
      </c>
      <c r="I6" s="0" t="n">
        <f aca="false">H6*(1+I5/100)</f>
        <v>19918.7826606667</v>
      </c>
      <c r="J6" s="0" t="n">
        <f aca="false">I6*(1+J5/100)</f>
        <v>20516.3461404867</v>
      </c>
      <c r="K6" s="0" t="n">
        <f aca="false">J6*(1+K5/100)</f>
        <v>21131.8365247013</v>
      </c>
      <c r="L6" s="0" t="n">
        <f aca="false">K6*(1+L5/100)</f>
        <v>21660.1324378188</v>
      </c>
    </row>
    <row r="7" customFormat="false" ht="15" hidden="false" customHeight="false" outlineLevel="0" collapsed="false">
      <c r="A7" s="0" t="s">
        <v>106</v>
      </c>
      <c r="C7" s="4" t="n">
        <f aca="false">Assumptions!C14</f>
        <v>26</v>
      </c>
      <c r="D7" s="4" t="n">
        <f aca="false">Assumptions!D14</f>
        <v>26.5</v>
      </c>
      <c r="E7" s="4" t="n">
        <f aca="false">Assumptions!E14</f>
        <v>27</v>
      </c>
      <c r="F7" s="4" t="n">
        <f aca="false">Assumptions!F14</f>
        <v>27</v>
      </c>
      <c r="G7" s="4" t="n">
        <f aca="false">Assumptions!G14</f>
        <v>27</v>
      </c>
      <c r="H7" s="4" t="n">
        <f aca="false">Assumptions!H14</f>
        <v>27</v>
      </c>
      <c r="I7" s="4" t="n">
        <f aca="false">Assumptions!I14</f>
        <v>27</v>
      </c>
      <c r="J7" s="4" t="n">
        <f aca="false">Assumptions!J14</f>
        <v>27</v>
      </c>
      <c r="K7" s="4" t="n">
        <f aca="false">Assumptions!K14</f>
        <v>27</v>
      </c>
      <c r="L7" s="4" t="n">
        <f aca="false">Assumptions!L14</f>
        <v>27</v>
      </c>
    </row>
    <row r="8" customFormat="false" ht="15" hidden="false" customHeight="false" outlineLevel="0" collapsed="false">
      <c r="A8" s="0" t="s">
        <v>43</v>
      </c>
      <c r="C8" s="0" t="n">
        <f aca="false">C6*C7/100</f>
        <v>4295.5302</v>
      </c>
      <c r="D8" s="0" t="n">
        <f aca="false">D6*D7/100</f>
        <v>4487.58996375</v>
      </c>
      <c r="E8" s="0" t="n">
        <f aca="false">E6*E7/100</f>
        <v>4709.429316675</v>
      </c>
      <c r="F8" s="0" t="n">
        <f aca="false">F6*F7/100</f>
        <v>4874.25934275863</v>
      </c>
      <c r="G8" s="0" t="n">
        <f aca="false">G6*G7/100</f>
        <v>5044.85841975518</v>
      </c>
      <c r="H8" s="0" t="n">
        <f aca="false">H6*H7/100</f>
        <v>5221.42846444661</v>
      </c>
      <c r="I8" s="0" t="n">
        <f aca="false">I6*I7/100</f>
        <v>5378.07131838001</v>
      </c>
      <c r="J8" s="0" t="n">
        <f aca="false">J6*J7/100</f>
        <v>5539.41345793141</v>
      </c>
      <c r="K8" s="0" t="n">
        <f aca="false">K6*K7/100</f>
        <v>5705.59586166935</v>
      </c>
      <c r="L8" s="0" t="n">
        <f aca="false">L6*L7/100</f>
        <v>5848.23575821108</v>
      </c>
    </row>
    <row r="9" customFormat="false" ht="15" hidden="false" customHeight="false" outlineLevel="0" collapsed="false">
      <c r="A9" s="0" t="s">
        <v>107</v>
      </c>
      <c r="C9" s="4" t="n">
        <f aca="false">Assumptions!C15</f>
        <v>0.5</v>
      </c>
      <c r="D9" s="4" t="n">
        <f aca="false">Assumptions!D15</f>
        <v>0.5</v>
      </c>
      <c r="E9" s="4" t="n">
        <f aca="false">Assumptions!E15</f>
        <v>0.5</v>
      </c>
      <c r="F9" s="4" t="n">
        <f aca="false">Assumptions!F15</f>
        <v>0.5</v>
      </c>
      <c r="G9" s="4" t="n">
        <f aca="false">Assumptions!G15</f>
        <v>0.5</v>
      </c>
      <c r="H9" s="4" t="n">
        <f aca="false">Assumptions!H15</f>
        <v>0.5</v>
      </c>
      <c r="I9" s="4" t="n">
        <f aca="false">Assumptions!I15</f>
        <v>0.5</v>
      </c>
      <c r="J9" s="4" t="n">
        <f aca="false">Assumptions!J15</f>
        <v>0.5</v>
      </c>
      <c r="K9" s="4" t="n">
        <f aca="false">Assumptions!K15</f>
        <v>0.5</v>
      </c>
      <c r="L9" s="4" t="n">
        <f aca="false">Assumptions!L15</f>
        <v>0.5</v>
      </c>
    </row>
    <row r="10" customFormat="false" ht="15" hidden="false" customHeight="false" outlineLevel="0" collapsed="false">
      <c r="A10" s="0" t="s">
        <v>122</v>
      </c>
      <c r="C10" s="0" t="n">
        <f aca="false">-C6*C9/100</f>
        <v>-82.60635</v>
      </c>
      <c r="D10" s="0" t="n">
        <f aca="false">-D6*D9/100</f>
        <v>-84.67150875</v>
      </c>
      <c r="E10" s="0" t="n">
        <f aca="false">-E6*E9/100</f>
        <v>-87.2116540125</v>
      </c>
      <c r="F10" s="0" t="n">
        <f aca="false">-F6*F9/100</f>
        <v>-90.2640619029375</v>
      </c>
      <c r="G10" s="0" t="n">
        <f aca="false">-G6*G9/100</f>
        <v>-93.4233040695403</v>
      </c>
      <c r="H10" s="0" t="n">
        <f aca="false">-H6*H9/100</f>
        <v>-96.6931197119742</v>
      </c>
      <c r="I10" s="0" t="n">
        <f aca="false">-I6*I9/100</f>
        <v>-99.5939133033334</v>
      </c>
      <c r="J10" s="0" t="n">
        <f aca="false">-J6*J9/100</f>
        <v>-102.581730702433</v>
      </c>
      <c r="K10" s="0" t="n">
        <f aca="false">-K6*K9/100</f>
        <v>-105.659182623506</v>
      </c>
      <c r="L10" s="0" t="n">
        <f aca="false">-L6*L9/100</f>
        <v>-108.300662189094</v>
      </c>
    </row>
    <row r="11" customFormat="false" ht="15" hidden="false" customHeight="false" outlineLevel="0" collapsed="false">
      <c r="A11" s="0" t="s">
        <v>123</v>
      </c>
      <c r="C11" s="0" t="n">
        <f aca="false">C8+C10+C24</f>
        <v>4212.92385</v>
      </c>
      <c r="D11" s="0" t="n">
        <f aca="false">D8+D10+D24</f>
        <v>4402.918455</v>
      </c>
      <c r="E11" s="0" t="n">
        <f aca="false">E8+E10+E24</f>
        <v>4622.2176626625</v>
      </c>
      <c r="F11" s="0" t="n">
        <f aca="false">F8+F10+F24</f>
        <v>4783.99528085569</v>
      </c>
      <c r="G11" s="0" t="n">
        <f aca="false">G8+G10+G24</f>
        <v>4951.43511568564</v>
      </c>
      <c r="H11" s="0" t="n">
        <f aca="false">H8+H10+H24</f>
        <v>5124.73534473463</v>
      </c>
      <c r="I11" s="0" t="n">
        <f aca="false">I8+I10+I24</f>
        <v>5278.47740507667</v>
      </c>
      <c r="J11" s="0" t="n">
        <f aca="false">J8+J10+J24</f>
        <v>5436.83172722897</v>
      </c>
      <c r="K11" s="0" t="n">
        <f aca="false">K8+K10+K24</f>
        <v>5599.93667904584</v>
      </c>
      <c r="L11" s="0" t="n">
        <f aca="false">L8+L10+L24</f>
        <v>5739.93509602199</v>
      </c>
    </row>
    <row r="12" customFormat="false" ht="15" hidden="false" customHeight="false" outlineLevel="0" collapsed="false">
      <c r="A12" s="0" t="s">
        <v>124</v>
      </c>
      <c r="C12" s="4" t="n">
        <f aca="false">-C6*Assumptions!C17/100</f>
        <v>-1321.7016</v>
      </c>
      <c r="D12" s="4" t="n">
        <f aca="false">-D6*Assumptions!D17/100</f>
        <v>-1270.07263125</v>
      </c>
      <c r="E12" s="4" t="n">
        <f aca="false">-E6*Assumptions!E17/100</f>
        <v>-1220.963156175</v>
      </c>
      <c r="F12" s="4" t="n">
        <f aca="false">-F6*Assumptions!F17/100</f>
        <v>-1173.43280473819</v>
      </c>
      <c r="G12" s="4" t="n">
        <f aca="false">-G6*Assumptions!G17/100</f>
        <v>-1121.07964883448</v>
      </c>
      <c r="H12" s="4" t="n">
        <f aca="false">-H6*Assumptions!H17/100</f>
        <v>-966.931197119742</v>
      </c>
      <c r="I12" s="4" t="n">
        <f aca="false">-I6*Assumptions!I17/100</f>
        <v>-796.751306426667</v>
      </c>
      <c r="J12" s="4" t="n">
        <f aca="false">-J6*Assumptions!J17/100</f>
        <v>-615.490384214601</v>
      </c>
      <c r="K12" s="4" t="n">
        <f aca="false">-K6*Assumptions!K17/100</f>
        <v>-422.636730494026</v>
      </c>
      <c r="L12" s="4" t="n">
        <f aca="false">-L6*Assumptions!L17/100</f>
        <v>-238.261456816007</v>
      </c>
    </row>
    <row r="13" customFormat="false" ht="15" hidden="false" customHeight="false" outlineLevel="0" collapsed="false">
      <c r="A13" s="0" t="s">
        <v>125</v>
      </c>
      <c r="C13" s="0" t="n">
        <f aca="false">C11+C12</f>
        <v>2891.22225</v>
      </c>
      <c r="D13" s="0" t="n">
        <f aca="false">D11+D12</f>
        <v>3132.84582375</v>
      </c>
      <c r="E13" s="0" t="n">
        <f aca="false">E11+E12</f>
        <v>3401.2545064875</v>
      </c>
      <c r="F13" s="0" t="n">
        <f aca="false">F11+F12</f>
        <v>3610.5624761175</v>
      </c>
      <c r="G13" s="0" t="n">
        <f aca="false">G11+G12</f>
        <v>3830.35546685115</v>
      </c>
      <c r="H13" s="0" t="n">
        <f aca="false">H11+H12</f>
        <v>4157.80414761489</v>
      </c>
      <c r="I13" s="0" t="n">
        <f aca="false">I11+I12</f>
        <v>4481.72609865</v>
      </c>
      <c r="J13" s="0" t="n">
        <f aca="false">J11+J12</f>
        <v>4821.34134301437</v>
      </c>
      <c r="K13" s="0" t="n">
        <f aca="false">K11+K12</f>
        <v>5177.29994855182</v>
      </c>
      <c r="L13" s="0" t="n">
        <f aca="false">L11+L12</f>
        <v>5501.67363920598</v>
      </c>
    </row>
    <row r="14" customFormat="false" ht="15" hidden="false" customHeight="false" outlineLevel="0" collapsed="false">
      <c r="A14" s="0" t="s">
        <v>111</v>
      </c>
      <c r="C14" s="4" t="n">
        <f aca="false">Assumptions!C19</f>
        <v>24</v>
      </c>
      <c r="D14" s="4" t="n">
        <f aca="false">Assumptions!D19</f>
        <v>24</v>
      </c>
      <c r="E14" s="4" t="n">
        <f aca="false">Assumptions!E19</f>
        <v>24</v>
      </c>
      <c r="F14" s="4" t="n">
        <f aca="false">Assumptions!F19</f>
        <v>24</v>
      </c>
      <c r="G14" s="4" t="n">
        <f aca="false">Assumptions!G19</f>
        <v>24</v>
      </c>
      <c r="H14" s="4" t="n">
        <f aca="false">Assumptions!H19</f>
        <v>24</v>
      </c>
      <c r="I14" s="4" t="n">
        <f aca="false">Assumptions!I19</f>
        <v>24</v>
      </c>
      <c r="J14" s="4" t="n">
        <f aca="false">Assumptions!J19</f>
        <v>24</v>
      </c>
      <c r="K14" s="4" t="n">
        <f aca="false">Assumptions!K19</f>
        <v>24</v>
      </c>
      <c r="L14" s="4" t="n">
        <f aca="false">Assumptions!L19</f>
        <v>24</v>
      </c>
    </row>
    <row r="15" customFormat="false" ht="15" hidden="false" customHeight="false" outlineLevel="0" collapsed="false">
      <c r="A15" s="0" t="s">
        <v>126</v>
      </c>
      <c r="C15" s="0" t="n">
        <f aca="false">C13-MAX(0,C13)*C14/100</f>
        <v>2197.32891</v>
      </c>
      <c r="D15" s="0" t="n">
        <f aca="false">D13-MAX(0,D13)*D14/100</f>
        <v>2380.96282605</v>
      </c>
      <c r="E15" s="0" t="n">
        <f aca="false">E13-MAX(0,E13)*E14/100</f>
        <v>2584.9534249305</v>
      </c>
      <c r="F15" s="0" t="n">
        <f aca="false">F13-MAX(0,F13)*F14/100</f>
        <v>2744.0274818493</v>
      </c>
      <c r="G15" s="0" t="n">
        <f aca="false">G13-MAX(0,G13)*G14/100</f>
        <v>2911.07015480688</v>
      </c>
      <c r="H15" s="0" t="n">
        <f aca="false">H13-MAX(0,H13)*H14/100</f>
        <v>3159.93115218732</v>
      </c>
      <c r="I15" s="0" t="n">
        <f aca="false">I13-MAX(0,I13)*I14/100</f>
        <v>3406.111834974</v>
      </c>
      <c r="J15" s="0" t="n">
        <f aca="false">J13-MAX(0,J13)*J14/100</f>
        <v>3664.21942069092</v>
      </c>
      <c r="K15" s="0" t="n">
        <f aca="false">K13-MAX(0,K13)*K14/100</f>
        <v>3934.74796089938</v>
      </c>
      <c r="L15" s="0" t="n">
        <f aca="false">L13-MAX(0,L13)*L14/100</f>
        <v>4181.27196579654</v>
      </c>
    </row>
    <row r="16" customFormat="false" ht="15" hidden="false" customHeight="false" outlineLevel="0" collapsed="false">
      <c r="A16" s="0" t="s">
        <v>127</v>
      </c>
      <c r="C16" s="0" t="n">
        <f aca="false">-C12</f>
        <v>1321.7016</v>
      </c>
      <c r="D16" s="0" t="n">
        <f aca="false">-D12</f>
        <v>1270.07263125</v>
      </c>
      <c r="E16" s="0" t="n">
        <f aca="false">-E12</f>
        <v>1220.963156175</v>
      </c>
      <c r="F16" s="0" t="n">
        <f aca="false">-F12</f>
        <v>1173.43280473819</v>
      </c>
      <c r="G16" s="0" t="n">
        <f aca="false">-G12</f>
        <v>1121.07964883448</v>
      </c>
      <c r="H16" s="0" t="n">
        <f aca="false">-H12</f>
        <v>966.931197119742</v>
      </c>
      <c r="I16" s="0" t="n">
        <f aca="false">-I12</f>
        <v>796.751306426667</v>
      </c>
      <c r="J16" s="0" t="n">
        <f aca="false">-J12</f>
        <v>615.490384214601</v>
      </c>
      <c r="K16" s="0" t="n">
        <f aca="false">-K12</f>
        <v>422.636730494026</v>
      </c>
      <c r="L16" s="0" t="n">
        <f aca="false">-L12</f>
        <v>238.261456816007</v>
      </c>
    </row>
    <row r="17" customFormat="false" ht="15" hidden="false" customHeight="false" outlineLevel="0" collapsed="false">
      <c r="A17" s="0" t="s">
        <v>128</v>
      </c>
      <c r="C17" s="4" t="n">
        <f aca="false">-C6*Assumptions!C18/100</f>
        <v>-181.73397</v>
      </c>
      <c r="D17" s="4" t="n">
        <f aca="false">-D6*Assumptions!D18/100</f>
        <v>-186.27731925</v>
      </c>
      <c r="E17" s="4" t="n">
        <f aca="false">-E6*Assumptions!E18/100</f>
        <v>-191.8656388275</v>
      </c>
      <c r="F17" s="4" t="n">
        <f aca="false">-F6*Assumptions!F18/100</f>
        <v>-198.580936186463</v>
      </c>
      <c r="G17" s="4" t="n">
        <f aca="false">-G6*Assumptions!G18/100</f>
        <v>-205.531268952989</v>
      </c>
      <c r="H17" s="4" t="n">
        <f aca="false">-H6*Assumptions!H18/100</f>
        <v>-212.724863366343</v>
      </c>
      <c r="I17" s="4" t="n">
        <f aca="false">-I6*Assumptions!I18/100</f>
        <v>-219.106609267334</v>
      </c>
      <c r="J17" s="4" t="n">
        <f aca="false">-J6*Assumptions!J18/100</f>
        <v>-225.679807545354</v>
      </c>
      <c r="K17" s="4" t="n">
        <f aca="false">-K6*Assumptions!K18/100</f>
        <v>-232.450201771714</v>
      </c>
      <c r="L17" s="4" t="n">
        <f aca="false">-L6*Assumptions!L18/100</f>
        <v>-238.261456816007</v>
      </c>
    </row>
    <row r="18" customFormat="false" ht="15" hidden="false" customHeight="false" outlineLevel="0" collapsed="false">
      <c r="A18" s="0" t="s">
        <v>129</v>
      </c>
      <c r="C18" s="4" t="n">
        <f aca="false">(C6-B6)*Assumptions!$B$23/100</f>
        <v>0</v>
      </c>
      <c r="D18" s="4" t="n">
        <f aca="false">(D6-C6)*Assumptions!$B$23/100</f>
        <v>0</v>
      </c>
      <c r="E18" s="4" t="n">
        <f aca="false">(E6-D6)*Assumptions!$B$23/100</f>
        <v>0</v>
      </c>
      <c r="F18" s="4" t="n">
        <f aca="false">(F6-E6)*Assumptions!$B$23/100</f>
        <v>0</v>
      </c>
      <c r="G18" s="4" t="n">
        <f aca="false">(G6-F6)*Assumptions!$B$23/100</f>
        <v>0</v>
      </c>
      <c r="H18" s="4" t="n">
        <f aca="false">(H6-G6)*Assumptions!$B$23/100</f>
        <v>0</v>
      </c>
      <c r="I18" s="4" t="n">
        <f aca="false">(I6-H6)*Assumptions!$B$23/100</f>
        <v>0</v>
      </c>
      <c r="J18" s="4" t="n">
        <f aca="false">(J6-I6)*Assumptions!$B$23/100</f>
        <v>0</v>
      </c>
      <c r="K18" s="4" t="n">
        <f aca="false">(K6-J6)*Assumptions!$B$23/100</f>
        <v>0</v>
      </c>
      <c r="L18" s="4" t="n">
        <f aca="false">(L6-K6)*Assumptions!$B$23/100</f>
        <v>0</v>
      </c>
    </row>
    <row r="19" customFormat="false" ht="15" hidden="false" customHeight="false" outlineLevel="0" collapsed="false">
      <c r="A19" s="0" t="s">
        <v>130</v>
      </c>
      <c r="C19" s="0" t="n">
        <f aca="false">C15+C16+C17+C18</f>
        <v>3337.29654</v>
      </c>
      <c r="D19" s="0" t="n">
        <f aca="false">D15+D16+D17+D18</f>
        <v>3464.75813805</v>
      </c>
      <c r="E19" s="0" t="n">
        <f aca="false">E15+E16+E17+E18</f>
        <v>3614.050942278</v>
      </c>
      <c r="F19" s="0" t="n">
        <f aca="false">F15+F16+F17+F18</f>
        <v>3718.87935040103</v>
      </c>
      <c r="G19" s="0" t="n">
        <f aca="false">G15+G16+G17+G18</f>
        <v>3826.61853468837</v>
      </c>
      <c r="H19" s="0" t="n">
        <f aca="false">H15+H16+H17+H18</f>
        <v>3914.13748594072</v>
      </c>
      <c r="I19" s="0" t="n">
        <f aca="false">I15+I16+I17+I18</f>
        <v>3983.75653213334</v>
      </c>
      <c r="J19" s="0" t="n">
        <f aca="false">J15+J16+J17+J18</f>
        <v>4054.02999736017</v>
      </c>
      <c r="K19" s="0" t="n">
        <f aca="false">K15+K16+K17+K18</f>
        <v>4124.93448962169</v>
      </c>
      <c r="L19" s="0" t="n">
        <f aca="false">L15+L16+L17+L18</f>
        <v>4181.27196579654</v>
      </c>
    </row>
    <row r="20" customFormat="false" ht="15" hidden="false" customHeight="false" outlineLevel="0" collapsed="false">
      <c r="A20" s="0" t="s">
        <v>131</v>
      </c>
      <c r="C20" s="0" t="n">
        <f aca="false">1/(1+$B$27/100)^C4</f>
        <v>0.925925925925926</v>
      </c>
      <c r="D20" s="0" t="n">
        <f aca="false">1/(1+$B$27/100)^D4</f>
        <v>0.857338820301783</v>
      </c>
      <c r="E20" s="0" t="n">
        <f aca="false">1/(1+$B$27/100)^E4</f>
        <v>0.79383224102017</v>
      </c>
      <c r="F20" s="0" t="n">
        <f aca="false">1/(1+$B$27/100)^F4</f>
        <v>0.735029852796453</v>
      </c>
      <c r="G20" s="0" t="n">
        <f aca="false">1/(1+$B$27/100)^G4</f>
        <v>0.680583197033753</v>
      </c>
      <c r="H20" s="0" t="n">
        <f aca="false">1/(1+$B$27/100)^H4</f>
        <v>0.630169626883105</v>
      </c>
      <c r="I20" s="0" t="n">
        <f aca="false">1/(1+$B$27/100)^I4</f>
        <v>0.583490395262134</v>
      </c>
      <c r="J20" s="0" t="n">
        <f aca="false">1/(1+$B$27/100)^J4</f>
        <v>0.540268884501976</v>
      </c>
      <c r="K20" s="0" t="n">
        <f aca="false">1/(1+$B$27/100)^K4</f>
        <v>0.500248967131459</v>
      </c>
      <c r="L20" s="0" t="n">
        <f aca="false">1/(1+$B$27/100)^L4</f>
        <v>0.463193488084684</v>
      </c>
    </row>
    <row r="21" customFormat="false" ht="15" hidden="false" customHeight="false" outlineLevel="0" collapsed="false">
      <c r="A21" s="0" t="s">
        <v>132</v>
      </c>
      <c r="C21" s="0" t="n">
        <f aca="false">C19*C20</f>
        <v>3090.08938888889</v>
      </c>
      <c r="D21" s="0" t="n">
        <f aca="false">D19*D20</f>
        <v>2970.47165470679</v>
      </c>
      <c r="E21" s="0" t="n">
        <f aca="false">E19*E20</f>
        <v>2868.9501586696</v>
      </c>
      <c r="F21" s="0" t="n">
        <f aca="false">F19*F20</f>
        <v>2733.48734149304</v>
      </c>
      <c r="G21" s="0" t="n">
        <f aca="false">G19*G20</f>
        <v>2604.33227616683</v>
      </c>
      <c r="H21" s="0" t="n">
        <f aca="false">H19*H20</f>
        <v>2466.57055908443</v>
      </c>
      <c r="I21" s="0" t="n">
        <f aca="false">I19*I20</f>
        <v>2324.48367356259</v>
      </c>
      <c r="J21" s="0" t="n">
        <f aca="false">J19*J20</f>
        <v>2190.26626441133</v>
      </c>
      <c r="K21" s="0" t="n">
        <f aca="false">K19*K20</f>
        <v>2063.49421791818</v>
      </c>
      <c r="L21" s="0" t="n">
        <f aca="false">L19*L20</f>
        <v>1936.73794646801</v>
      </c>
    </row>
    <row r="23" customFormat="false" ht="15" hidden="false" customHeight="false" outlineLevel="0" collapsed="false">
      <c r="A23" s="0" t="s">
        <v>108</v>
      </c>
      <c r="C23" s="4" t="n">
        <f aca="false">Assumptions!C16</f>
        <v>0</v>
      </c>
      <c r="D23" s="4" t="n">
        <f aca="false">Assumptions!D16</f>
        <v>0</v>
      </c>
      <c r="E23" s="4" t="n">
        <f aca="false">Assumptions!E16</f>
        <v>0</v>
      </c>
      <c r="F23" s="4" t="n">
        <f aca="false">Assumptions!F16</f>
        <v>0</v>
      </c>
      <c r="G23" s="4" t="n">
        <f aca="false">Assumptions!G16</f>
        <v>0</v>
      </c>
      <c r="H23" s="4" t="n">
        <f aca="false">Assumptions!H16</f>
        <v>0</v>
      </c>
      <c r="I23" s="4" t="n">
        <f aca="false">Assumptions!I16</f>
        <v>0</v>
      </c>
      <c r="J23" s="4" t="n">
        <f aca="false">Assumptions!J16</f>
        <v>0</v>
      </c>
      <c r="K23" s="4" t="n">
        <f aca="false">Assumptions!K16</f>
        <v>0</v>
      </c>
      <c r="L23" s="4" t="n">
        <f aca="false">Assumptions!L16</f>
        <v>0</v>
      </c>
    </row>
    <row r="24" customFormat="false" ht="15" hidden="false" customHeight="false" outlineLevel="0" collapsed="false">
      <c r="A24" s="0" t="s">
        <v>133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134</v>
      </c>
    </row>
    <row r="27" customFormat="false" ht="15" hidden="false" customHeight="false" outlineLevel="0" collapsed="false">
      <c r="A27" s="0" t="s">
        <v>112</v>
      </c>
      <c r="B27" s="4" t="n">
        <f aca="false">Assumptions!$B$20</f>
        <v>8</v>
      </c>
    </row>
    <row r="28" customFormat="false" ht="15" hidden="false" customHeight="false" outlineLevel="0" collapsed="false">
      <c r="A28" s="0" t="s">
        <v>113</v>
      </c>
      <c r="B28" s="4" t="n">
        <f aca="false">Assumptions!$B$21</f>
        <v>2.5</v>
      </c>
    </row>
    <row r="29" customFormat="false" ht="15" hidden="false" customHeight="false" outlineLevel="0" collapsed="false">
      <c r="A29" s="0" t="s">
        <v>114</v>
      </c>
      <c r="B29" s="4" t="n">
        <f aca="false">Assumptions!$B$22</f>
        <v>16</v>
      </c>
    </row>
    <row r="30" customFormat="false" ht="15" hidden="false" customHeight="false" outlineLevel="0" collapsed="false">
      <c r="A30" s="0" t="s">
        <v>135</v>
      </c>
      <c r="B30" s="0" t="n">
        <f aca="false">SUM(C21:L21)</f>
        <v>25248.8834813697</v>
      </c>
    </row>
    <row r="31" customFormat="false" ht="15" hidden="false" customHeight="false" outlineLevel="0" collapsed="false">
      <c r="A31" s="0" t="s">
        <v>136</v>
      </c>
      <c r="B31" s="0" t="n">
        <f aca="false">L19</f>
        <v>4181.27196579654</v>
      </c>
    </row>
    <row r="32" customFormat="false" ht="15" hidden="false" customHeight="false" outlineLevel="0" collapsed="false">
      <c r="A32" s="0" t="s">
        <v>137</v>
      </c>
      <c r="B32" s="0" t="n">
        <f aca="false">IF(B27&gt;B28,B31*(1+B28/100)/((B27-B28)/100),B31*B29)</f>
        <v>77923.7048171174</v>
      </c>
    </row>
    <row r="33" customFormat="false" ht="15" hidden="false" customHeight="false" outlineLevel="0" collapsed="false">
      <c r="A33" s="0" t="s">
        <v>138</v>
      </c>
      <c r="B33" s="0" t="n">
        <f aca="false">B31*B29</f>
        <v>66900.3514527447</v>
      </c>
    </row>
    <row r="34" customFormat="false" ht="15" hidden="false" customHeight="false" outlineLevel="0" collapsed="false">
      <c r="A34" s="0" t="s">
        <v>139</v>
      </c>
      <c r="B34" s="0" t="n">
        <f aca="false">MAX(0,MIN(B32,B33))</f>
        <v>66900.3514527447</v>
      </c>
    </row>
    <row r="35" customFormat="false" ht="15" hidden="false" customHeight="false" outlineLevel="0" collapsed="false">
      <c r="A35" s="0" t="s">
        <v>140</v>
      </c>
      <c r="B35" s="0" t="n">
        <f aca="false">B34/(1+B27/100)^L4</f>
        <v>30987.8071434881</v>
      </c>
    </row>
    <row r="36" customFormat="false" ht="15" hidden="false" customHeight="false" outlineLevel="0" collapsed="false">
      <c r="A36" s="0" t="s">
        <v>141</v>
      </c>
      <c r="B36" s="0" t="n">
        <f aca="false">B30+B35</f>
        <v>56236.6906248578</v>
      </c>
    </row>
    <row r="37" customFormat="false" ht="15" hidden="false" customHeight="false" outlineLevel="0" collapsed="false">
      <c r="A37" s="0" t="s">
        <v>142</v>
      </c>
      <c r="B37" s="0" t="n">
        <f aca="false">B36+Assumptions!$B$5-Assumptions!$B$4</f>
        <v>43664.6906248578</v>
      </c>
    </row>
    <row r="38" customFormat="false" ht="15" hidden="false" customHeight="false" outlineLevel="0" collapsed="false">
      <c r="A38" s="0" t="s">
        <v>143</v>
      </c>
      <c r="B38" s="0" t="n">
        <f aca="false">B37/Assumptions!$B$3*Assumptions!$B$10</f>
        <v>168.39448756212</v>
      </c>
    </row>
    <row r="39" customFormat="false" ht="15" hidden="false" customHeight="false" outlineLevel="0" collapsed="false">
      <c r="A39" s="0" t="s">
        <v>144</v>
      </c>
      <c r="B39" s="4" t="n">
        <f aca="false">B38/Assumptions!$B$2-1</f>
        <v>-0.258598654681811</v>
      </c>
    </row>
    <row r="41" customFormat="false" ht="15" hidden="false" customHeight="false" outlineLevel="0" collapsed="false">
      <c r="A41" s="0" t="s">
        <v>145</v>
      </c>
      <c r="B41" s="0" t="n">
        <f aca="false">SUMPRODUCT(-C10:L10/(1+$B$27/100)^C4:L4)</f>
        <v>625.727001061877</v>
      </c>
    </row>
    <row r="42" customFormat="false" ht="15" hidden="false" customHeight="false" outlineLevel="0" collapsed="false">
      <c r="A42" s="0" t="s">
        <v>146</v>
      </c>
      <c r="B42" s="0" t="n">
        <f aca="false">IF(B27&gt;B28,-L10*(1+B28/100)/((B27-B28)/100),-L10*20)/(1+B27/100)^L4</f>
        <v>934.877554877795</v>
      </c>
    </row>
    <row r="43" customFormat="false" ht="15" hidden="false" customHeight="false" outlineLevel="0" collapsed="false">
      <c r="A43" s="0" t="s">
        <v>147</v>
      </c>
      <c r="B43" s="0" t="n">
        <f aca="false">(B37+B41+B42)/Assumptions!$B$3*Assumptions!$B$10</f>
        <v>174.413016509053</v>
      </c>
    </row>
    <row r="45" customFormat="false" ht="15" hidden="false" customHeight="false" outlineLevel="0" collapsed="false">
      <c r="A45" s="0" t="s">
        <v>88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148</v>
      </c>
      <c r="B46" s="0" t="n">
        <f aca="false">MAX(0,MIN(IF(B45&gt;B28,B31*(1+B28/100)/((B45-B28)/100),B31*B29),B31*B29))</f>
        <v>34286.4301195317</v>
      </c>
    </row>
    <row r="47" customFormat="false" ht="15" hidden="false" customHeight="false" outlineLevel="0" collapsed="false">
      <c r="A47" s="0" t="s">
        <v>149</v>
      </c>
      <c r="B47" s="0" t="n">
        <f aca="false">(SUMPRODUCT(C19:L19/(1+B45/100)^C4:L4)+B46/(1+B45/100)^L4+Assumptions!$B$5-Assumptions!$B$4)/Assumptions!$B$3*Assumptions!$B$10</f>
        <v>56.1173485238053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150</v>
      </c>
    </row>
    <row r="3" customFormat="false" ht="15" hidden="false" customHeight="false" outlineLevel="0" collapsed="false">
      <c r="A3" s="0" t="s">
        <v>120</v>
      </c>
      <c r="B3" s="0" t="s">
        <v>81</v>
      </c>
      <c r="C3" s="2" t="s">
        <v>95</v>
      </c>
      <c r="D3" s="2" t="s">
        <v>96</v>
      </c>
      <c r="E3" s="2" t="s">
        <v>97</v>
      </c>
      <c r="F3" s="2" t="s">
        <v>98</v>
      </c>
      <c r="G3" s="2" t="s">
        <v>99</v>
      </c>
      <c r="H3" s="2" t="s">
        <v>100</v>
      </c>
      <c r="I3" s="2" t="s">
        <v>101</v>
      </c>
      <c r="J3" s="2" t="s">
        <v>102</v>
      </c>
      <c r="K3" s="2" t="s">
        <v>103</v>
      </c>
      <c r="L3" s="2" t="s">
        <v>104</v>
      </c>
    </row>
    <row r="4" customFormat="false" ht="15" hidden="false" customHeight="false" outlineLevel="0" collapsed="false">
      <c r="A4" s="0" t="s">
        <v>121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105</v>
      </c>
      <c r="C5" s="4" t="n">
        <f aca="false">Assumptions!C27</f>
        <v>19.4</v>
      </c>
      <c r="D5" s="4" t="n">
        <f aca="false">Assumptions!D27</f>
        <v>5</v>
      </c>
      <c r="E5" s="4" t="n">
        <f aca="false">Assumptions!E27</f>
        <v>5</v>
      </c>
      <c r="F5" s="4" t="n">
        <f aca="false">Assumptions!F27</f>
        <v>5</v>
      </c>
      <c r="G5" s="4" t="n">
        <f aca="false">Assumptions!G27</f>
        <v>4.5</v>
      </c>
      <c r="H5" s="4" t="n">
        <f aca="false">Assumptions!H27</f>
        <v>4.5</v>
      </c>
      <c r="I5" s="4" t="n">
        <f aca="false">Assumptions!I27</f>
        <v>4</v>
      </c>
      <c r="J5" s="4" t="n">
        <f aca="false">Assumptions!J27</f>
        <v>4</v>
      </c>
      <c r="K5" s="4" t="n">
        <f aca="false">Assumptions!K27</f>
        <v>3.5</v>
      </c>
      <c r="L5" s="4" t="n">
        <f aca="false">Assumptions!L27</f>
        <v>3.5</v>
      </c>
    </row>
    <row r="6" customFormat="false" ht="15" hidden="false" customHeight="false" outlineLevel="0" collapsed="false">
      <c r="A6" s="0" t="s">
        <v>37</v>
      </c>
      <c r="B6" s="3" t="n">
        <v>13942</v>
      </c>
      <c r="C6" s="0" t="n">
        <f aca="false">B6*(1+C5/100)</f>
        <v>16646.748</v>
      </c>
      <c r="D6" s="0" t="n">
        <f aca="false">C6*(1+D5/100)</f>
        <v>17479.0854</v>
      </c>
      <c r="E6" s="0" t="n">
        <f aca="false">D6*(1+E5/100)</f>
        <v>18353.03967</v>
      </c>
      <c r="F6" s="0" t="n">
        <f aca="false">E6*(1+F5/100)</f>
        <v>19270.6916535</v>
      </c>
      <c r="G6" s="0" t="n">
        <f aca="false">F6*(1+G5/100)</f>
        <v>20137.8727779075</v>
      </c>
      <c r="H6" s="0" t="n">
        <f aca="false">G6*(1+H5/100)</f>
        <v>21044.0770529133</v>
      </c>
      <c r="I6" s="0" t="n">
        <f aca="false">H6*(1+I5/100)</f>
        <v>21885.8401350299</v>
      </c>
      <c r="J6" s="0" t="n">
        <f aca="false">I6*(1+J5/100)</f>
        <v>22761.2737404311</v>
      </c>
      <c r="K6" s="0" t="n">
        <f aca="false">J6*(1+K5/100)</f>
        <v>23557.9183213462</v>
      </c>
      <c r="L6" s="0" t="n">
        <f aca="false">K6*(1+L5/100)</f>
        <v>24382.4454625933</v>
      </c>
    </row>
    <row r="7" customFormat="false" ht="15" hidden="false" customHeight="false" outlineLevel="0" collapsed="false">
      <c r="A7" s="0" t="s">
        <v>106</v>
      </c>
      <c r="C7" s="4" t="n">
        <f aca="false">Assumptions!C28</f>
        <v>26.5</v>
      </c>
      <c r="D7" s="4" t="n">
        <f aca="false">Assumptions!D28</f>
        <v>27.5</v>
      </c>
      <c r="E7" s="4" t="n">
        <f aca="false">Assumptions!E28</f>
        <v>28.5</v>
      </c>
      <c r="F7" s="4" t="n">
        <f aca="false">Assumptions!F28</f>
        <v>29</v>
      </c>
      <c r="G7" s="4" t="n">
        <f aca="false">Assumptions!G28</f>
        <v>29.5</v>
      </c>
      <c r="H7" s="4" t="n">
        <f aca="false">Assumptions!H28</f>
        <v>30</v>
      </c>
      <c r="I7" s="4" t="n">
        <f aca="false">Assumptions!I28</f>
        <v>30</v>
      </c>
      <c r="J7" s="4" t="n">
        <f aca="false">Assumptions!J28</f>
        <v>30</v>
      </c>
      <c r="K7" s="4" t="n">
        <f aca="false">Assumptions!K28</f>
        <v>30</v>
      </c>
      <c r="L7" s="4" t="n">
        <f aca="false">Assumptions!L28</f>
        <v>30</v>
      </c>
    </row>
    <row r="8" customFormat="false" ht="15" hidden="false" customHeight="false" outlineLevel="0" collapsed="false">
      <c r="A8" s="0" t="s">
        <v>43</v>
      </c>
      <c r="C8" s="0" t="n">
        <f aca="false">C6*C7/100</f>
        <v>4411.38822</v>
      </c>
      <c r="D8" s="0" t="n">
        <f aca="false">D6*D7/100</f>
        <v>4806.748485</v>
      </c>
      <c r="E8" s="0" t="n">
        <f aca="false">E6*E7/100</f>
        <v>5230.61630595</v>
      </c>
      <c r="F8" s="0" t="n">
        <f aca="false">F6*F7/100</f>
        <v>5588.500579515</v>
      </c>
      <c r="G8" s="0" t="n">
        <f aca="false">G6*G7/100</f>
        <v>5940.67246948271</v>
      </c>
      <c r="H8" s="0" t="n">
        <f aca="false">H6*H7/100</f>
        <v>6313.223115874</v>
      </c>
      <c r="I8" s="0" t="n">
        <f aca="false">I6*I7/100</f>
        <v>6565.75204050896</v>
      </c>
      <c r="J8" s="0" t="n">
        <f aca="false">J6*J7/100</f>
        <v>6828.38212212932</v>
      </c>
      <c r="K8" s="0" t="n">
        <f aca="false">K6*K7/100</f>
        <v>7067.37549640385</v>
      </c>
      <c r="L8" s="0" t="n">
        <f aca="false">L6*L7/100</f>
        <v>7314.73363877798</v>
      </c>
    </row>
    <row r="9" customFormat="false" ht="15" hidden="false" customHeight="false" outlineLevel="0" collapsed="false">
      <c r="A9" s="0" t="s">
        <v>107</v>
      </c>
      <c r="C9" s="4" t="n">
        <f aca="false">Assumptions!C29</f>
        <v>0.45</v>
      </c>
      <c r="D9" s="4" t="n">
        <f aca="false">Assumptions!D29</f>
        <v>0.45</v>
      </c>
      <c r="E9" s="4" t="n">
        <f aca="false">Assumptions!E29</f>
        <v>0.45</v>
      </c>
      <c r="F9" s="4" t="n">
        <f aca="false">Assumptions!F29</f>
        <v>0.45</v>
      </c>
      <c r="G9" s="4" t="n">
        <f aca="false">Assumptions!G29</f>
        <v>0.45</v>
      </c>
      <c r="H9" s="4" t="n">
        <f aca="false">Assumptions!H29</f>
        <v>0.45</v>
      </c>
      <c r="I9" s="4" t="n">
        <f aca="false">Assumptions!I29</f>
        <v>0.45</v>
      </c>
      <c r="J9" s="4" t="n">
        <f aca="false">Assumptions!J29</f>
        <v>0.45</v>
      </c>
      <c r="K9" s="4" t="n">
        <f aca="false">Assumptions!K29</f>
        <v>0.45</v>
      </c>
      <c r="L9" s="4" t="n">
        <f aca="false">Assumptions!L29</f>
        <v>0.45</v>
      </c>
    </row>
    <row r="10" customFormat="false" ht="15" hidden="false" customHeight="false" outlineLevel="0" collapsed="false">
      <c r="A10" s="0" t="s">
        <v>122</v>
      </c>
      <c r="C10" s="0" t="n">
        <f aca="false">-C6*C9/100</f>
        <v>-74.910366</v>
      </c>
      <c r="D10" s="0" t="n">
        <f aca="false">-D6*D9/100</f>
        <v>-78.6558843</v>
      </c>
      <c r="E10" s="0" t="n">
        <f aca="false">-E6*E9/100</f>
        <v>-82.588678515</v>
      </c>
      <c r="F10" s="0" t="n">
        <f aca="false">-F6*F9/100</f>
        <v>-86.71811244075</v>
      </c>
      <c r="G10" s="0" t="n">
        <f aca="false">-G6*G9/100</f>
        <v>-90.6204275005838</v>
      </c>
      <c r="H10" s="0" t="n">
        <f aca="false">-H6*H9/100</f>
        <v>-94.69834673811</v>
      </c>
      <c r="I10" s="0" t="n">
        <f aca="false">-I6*I9/100</f>
        <v>-98.4862806076344</v>
      </c>
      <c r="J10" s="0" t="n">
        <f aca="false">-J6*J9/100</f>
        <v>-102.42573183194</v>
      </c>
      <c r="K10" s="0" t="n">
        <f aca="false">-K6*K9/100</f>
        <v>-106.010632446058</v>
      </c>
      <c r="L10" s="0" t="n">
        <f aca="false">-L6*L9/100</f>
        <v>-109.72100458167</v>
      </c>
    </row>
    <row r="11" customFormat="false" ht="15" hidden="false" customHeight="false" outlineLevel="0" collapsed="false">
      <c r="A11" s="0" t="s">
        <v>123</v>
      </c>
      <c r="C11" s="0" t="n">
        <f aca="false">C8+C10+C24</f>
        <v>4336.477854</v>
      </c>
      <c r="D11" s="0" t="n">
        <f aca="false">D8+D10+D24</f>
        <v>4728.0926007</v>
      </c>
      <c r="E11" s="0" t="n">
        <f aca="false">E8+E10+E24</f>
        <v>5148.027627435</v>
      </c>
      <c r="F11" s="0" t="n">
        <f aca="false">F8+F10+F24</f>
        <v>5501.78246707425</v>
      </c>
      <c r="G11" s="0" t="n">
        <f aca="false">G8+G10+G24</f>
        <v>5850.05204198213</v>
      </c>
      <c r="H11" s="0" t="n">
        <f aca="false">H8+H10+H24</f>
        <v>6218.52476913589</v>
      </c>
      <c r="I11" s="0" t="n">
        <f aca="false">I8+I10+I24</f>
        <v>6467.26575990133</v>
      </c>
      <c r="J11" s="0" t="n">
        <f aca="false">J8+J10+J24</f>
        <v>6725.95639029738</v>
      </c>
      <c r="K11" s="0" t="n">
        <f aca="false">K8+K10+K24</f>
        <v>6961.36486395779</v>
      </c>
      <c r="L11" s="0" t="n">
        <f aca="false">L8+L10+L24</f>
        <v>7205.01263419631</v>
      </c>
    </row>
    <row r="12" customFormat="false" ht="15" hidden="false" customHeight="false" outlineLevel="0" collapsed="false">
      <c r="A12" s="0" t="s">
        <v>124</v>
      </c>
      <c r="C12" s="4" t="n">
        <f aca="false">-C6*Assumptions!C31/100</f>
        <v>-1331.73984</v>
      </c>
      <c r="D12" s="4" t="n">
        <f aca="false">-D6*Assumptions!D31/100</f>
        <v>-1310.931405</v>
      </c>
      <c r="E12" s="4" t="n">
        <f aca="false">-E6*Assumptions!E31/100</f>
        <v>-1284.7127769</v>
      </c>
      <c r="F12" s="4" t="n">
        <f aca="false">-F6*Assumptions!F31/100</f>
        <v>-1252.5949574775</v>
      </c>
      <c r="G12" s="4" t="n">
        <f aca="false">-G6*Assumptions!G31/100</f>
        <v>-1208.27236667445</v>
      </c>
      <c r="H12" s="4" t="n">
        <f aca="false">-H6*Assumptions!H31/100</f>
        <v>-1052.20385264567</v>
      </c>
      <c r="I12" s="4" t="n">
        <f aca="false">-I6*Assumptions!I31/100</f>
        <v>-875.433605401195</v>
      </c>
      <c r="J12" s="4" t="n">
        <f aca="false">-J6*Assumptions!J31/100</f>
        <v>-682.838212212932</v>
      </c>
      <c r="K12" s="4" t="n">
        <f aca="false">-K6*Assumptions!K31/100</f>
        <v>-471.158366426923</v>
      </c>
      <c r="L12" s="4" t="n">
        <f aca="false">-L6*Assumptions!L31/100</f>
        <v>-268.206900088526</v>
      </c>
    </row>
    <row r="13" customFormat="false" ht="15" hidden="false" customHeight="false" outlineLevel="0" collapsed="false">
      <c r="A13" s="0" t="s">
        <v>125</v>
      </c>
      <c r="C13" s="0" t="n">
        <f aca="false">C11+C12</f>
        <v>3004.738014</v>
      </c>
      <c r="D13" s="0" t="n">
        <f aca="false">D11+D12</f>
        <v>3417.1611957</v>
      </c>
      <c r="E13" s="0" t="n">
        <f aca="false">E11+E12</f>
        <v>3863.314850535</v>
      </c>
      <c r="F13" s="0" t="n">
        <f aca="false">F11+F12</f>
        <v>4249.18750959675</v>
      </c>
      <c r="G13" s="0" t="n">
        <f aca="false">G11+G12</f>
        <v>4641.77967530768</v>
      </c>
      <c r="H13" s="0" t="n">
        <f aca="false">H11+H12</f>
        <v>5166.32091649023</v>
      </c>
      <c r="I13" s="0" t="n">
        <f aca="false">I11+I12</f>
        <v>5591.83215450013</v>
      </c>
      <c r="J13" s="0" t="n">
        <f aca="false">J11+J12</f>
        <v>6043.11817808445</v>
      </c>
      <c r="K13" s="0" t="n">
        <f aca="false">K11+K12</f>
        <v>6490.20649753087</v>
      </c>
      <c r="L13" s="0" t="n">
        <f aca="false">L11+L12</f>
        <v>6936.80573410778</v>
      </c>
    </row>
    <row r="14" customFormat="false" ht="15" hidden="false" customHeight="false" outlineLevel="0" collapsed="false">
      <c r="A14" s="0" t="s">
        <v>111</v>
      </c>
      <c r="C14" s="4" t="n">
        <f aca="false">Assumptions!C33</f>
        <v>24</v>
      </c>
      <c r="D14" s="4" t="n">
        <f aca="false">Assumptions!D33</f>
        <v>24</v>
      </c>
      <c r="E14" s="4" t="n">
        <f aca="false">Assumptions!E33</f>
        <v>24</v>
      </c>
      <c r="F14" s="4" t="n">
        <f aca="false">Assumptions!F33</f>
        <v>24</v>
      </c>
      <c r="G14" s="4" t="n">
        <f aca="false">Assumptions!G33</f>
        <v>24</v>
      </c>
      <c r="H14" s="4" t="n">
        <f aca="false">Assumptions!H33</f>
        <v>24</v>
      </c>
      <c r="I14" s="4" t="n">
        <f aca="false">Assumptions!I33</f>
        <v>24</v>
      </c>
      <c r="J14" s="4" t="n">
        <f aca="false">Assumptions!J33</f>
        <v>24</v>
      </c>
      <c r="K14" s="4" t="n">
        <f aca="false">Assumptions!K33</f>
        <v>24</v>
      </c>
      <c r="L14" s="4" t="n">
        <f aca="false">Assumptions!L33</f>
        <v>24</v>
      </c>
    </row>
    <row r="15" customFormat="false" ht="15" hidden="false" customHeight="false" outlineLevel="0" collapsed="false">
      <c r="A15" s="0" t="s">
        <v>126</v>
      </c>
      <c r="C15" s="0" t="n">
        <f aca="false">C13-MAX(0,C13)*C14/100</f>
        <v>2283.60089064</v>
      </c>
      <c r="D15" s="0" t="n">
        <f aca="false">D13-MAX(0,D13)*D14/100</f>
        <v>2597.042508732</v>
      </c>
      <c r="E15" s="0" t="n">
        <f aca="false">E13-MAX(0,E13)*E14/100</f>
        <v>2936.1192864066</v>
      </c>
      <c r="F15" s="0" t="n">
        <f aca="false">F13-MAX(0,F13)*F14/100</f>
        <v>3229.38250729353</v>
      </c>
      <c r="G15" s="0" t="n">
        <f aca="false">G13-MAX(0,G13)*G14/100</f>
        <v>3527.75255323384</v>
      </c>
      <c r="H15" s="0" t="n">
        <f aca="false">H13-MAX(0,H13)*H14/100</f>
        <v>3926.40389653257</v>
      </c>
      <c r="I15" s="0" t="n">
        <f aca="false">I13-MAX(0,I13)*I14/100</f>
        <v>4249.7924374201</v>
      </c>
      <c r="J15" s="0" t="n">
        <f aca="false">J13-MAX(0,J13)*J14/100</f>
        <v>4592.76981534418</v>
      </c>
      <c r="K15" s="0" t="n">
        <f aca="false">K13-MAX(0,K13)*K14/100</f>
        <v>4932.55693812346</v>
      </c>
      <c r="L15" s="0" t="n">
        <f aca="false">L13-MAX(0,L13)*L14/100</f>
        <v>5271.97235792192</v>
      </c>
    </row>
    <row r="16" customFormat="false" ht="15" hidden="false" customHeight="false" outlineLevel="0" collapsed="false">
      <c r="A16" s="0" t="s">
        <v>127</v>
      </c>
      <c r="C16" s="0" t="n">
        <f aca="false">-C12</f>
        <v>1331.73984</v>
      </c>
      <c r="D16" s="0" t="n">
        <f aca="false">-D12</f>
        <v>1310.931405</v>
      </c>
      <c r="E16" s="0" t="n">
        <f aca="false">-E12</f>
        <v>1284.7127769</v>
      </c>
      <c r="F16" s="0" t="n">
        <f aca="false">-F12</f>
        <v>1252.5949574775</v>
      </c>
      <c r="G16" s="0" t="n">
        <f aca="false">-G12</f>
        <v>1208.27236667445</v>
      </c>
      <c r="H16" s="0" t="n">
        <f aca="false">-H12</f>
        <v>1052.20385264567</v>
      </c>
      <c r="I16" s="0" t="n">
        <f aca="false">-I12</f>
        <v>875.433605401195</v>
      </c>
      <c r="J16" s="0" t="n">
        <f aca="false">-J12</f>
        <v>682.838212212932</v>
      </c>
      <c r="K16" s="0" t="n">
        <f aca="false">-K12</f>
        <v>471.158366426923</v>
      </c>
      <c r="L16" s="0" t="n">
        <f aca="false">-L12</f>
        <v>268.206900088526</v>
      </c>
    </row>
    <row r="17" customFormat="false" ht="15" hidden="false" customHeight="false" outlineLevel="0" collapsed="false">
      <c r="A17" s="0" t="s">
        <v>128</v>
      </c>
      <c r="C17" s="4" t="n">
        <f aca="false">-C6*Assumptions!C32/100</f>
        <v>-183.114228</v>
      </c>
      <c r="D17" s="4" t="n">
        <f aca="false">-D6*Assumptions!D32/100</f>
        <v>-192.2699394</v>
      </c>
      <c r="E17" s="4" t="n">
        <f aca="false">-E6*Assumptions!E32/100</f>
        <v>-201.88343637</v>
      </c>
      <c r="F17" s="4" t="n">
        <f aca="false">-F6*Assumptions!F32/100</f>
        <v>-211.9776081885</v>
      </c>
      <c r="G17" s="4" t="n">
        <f aca="false">-G6*Assumptions!G32/100</f>
        <v>-221.516600556983</v>
      </c>
      <c r="H17" s="4" t="n">
        <f aca="false">-H6*Assumptions!H32/100</f>
        <v>-231.484847582047</v>
      </c>
      <c r="I17" s="4" t="n">
        <f aca="false">-I6*Assumptions!I32/100</f>
        <v>-240.744241485329</v>
      </c>
      <c r="J17" s="4" t="n">
        <f aca="false">-J6*Assumptions!J32/100</f>
        <v>-250.374011144742</v>
      </c>
      <c r="K17" s="4" t="n">
        <f aca="false">-K6*Assumptions!K32/100</f>
        <v>-259.137101534808</v>
      </c>
      <c r="L17" s="4" t="n">
        <f aca="false">-L6*Assumptions!L32/100</f>
        <v>-268.206900088526</v>
      </c>
    </row>
    <row r="18" customFormat="false" ht="15" hidden="false" customHeight="false" outlineLevel="0" collapsed="false">
      <c r="A18" s="0" t="s">
        <v>129</v>
      </c>
      <c r="C18" s="4" t="n">
        <f aca="false">(C6-B6)*Assumptions!$B$37/100</f>
        <v>0</v>
      </c>
      <c r="D18" s="4" t="n">
        <f aca="false">(D6-C6)*Assumptions!$B$37/100</f>
        <v>0</v>
      </c>
      <c r="E18" s="4" t="n">
        <f aca="false">(E6-D6)*Assumptions!$B$37/100</f>
        <v>0</v>
      </c>
      <c r="F18" s="4" t="n">
        <f aca="false">(F6-E6)*Assumptions!$B$37/100</f>
        <v>0</v>
      </c>
      <c r="G18" s="4" t="n">
        <f aca="false">(G6-F6)*Assumptions!$B$37/100</f>
        <v>0</v>
      </c>
      <c r="H18" s="4" t="n">
        <f aca="false">(H6-G6)*Assumptions!$B$37/100</f>
        <v>0</v>
      </c>
      <c r="I18" s="4" t="n">
        <f aca="false">(I6-H6)*Assumptions!$B$37/100</f>
        <v>0</v>
      </c>
      <c r="J18" s="4" t="n">
        <f aca="false">(J6-I6)*Assumptions!$B$37/100</f>
        <v>0</v>
      </c>
      <c r="K18" s="4" t="n">
        <f aca="false">(K6-J6)*Assumptions!$B$37/100</f>
        <v>0</v>
      </c>
      <c r="L18" s="4" t="n">
        <f aca="false">(L6-K6)*Assumptions!$B$37/100</f>
        <v>0</v>
      </c>
    </row>
    <row r="19" customFormat="false" ht="15" hidden="false" customHeight="false" outlineLevel="0" collapsed="false">
      <c r="A19" s="0" t="s">
        <v>130</v>
      </c>
      <c r="C19" s="0" t="n">
        <f aca="false">C15+C16+C17+C18</f>
        <v>3432.22650264</v>
      </c>
      <c r="D19" s="0" t="n">
        <f aca="false">D15+D16+D17+D18</f>
        <v>3715.703974332</v>
      </c>
      <c r="E19" s="0" t="n">
        <f aca="false">E15+E16+E17+E18</f>
        <v>4018.9486269366</v>
      </c>
      <c r="F19" s="0" t="n">
        <f aca="false">F15+F16+F17+F18</f>
        <v>4269.99985658253</v>
      </c>
      <c r="G19" s="0" t="n">
        <f aca="false">G15+G16+G17+G18</f>
        <v>4514.5083193513</v>
      </c>
      <c r="H19" s="0" t="n">
        <f aca="false">H15+H16+H17+H18</f>
        <v>4747.12290159619</v>
      </c>
      <c r="I19" s="0" t="n">
        <f aca="false">I15+I16+I17+I18</f>
        <v>4884.48180133597</v>
      </c>
      <c r="J19" s="0" t="n">
        <f aca="false">J15+J16+J17+J18</f>
        <v>5025.23401641237</v>
      </c>
      <c r="K19" s="0" t="n">
        <f aca="false">K15+K16+K17+K18</f>
        <v>5144.57820301557</v>
      </c>
      <c r="L19" s="0" t="n">
        <f aca="false">L15+L16+L17+L18</f>
        <v>5271.97235792192</v>
      </c>
    </row>
    <row r="20" customFormat="false" ht="15" hidden="false" customHeight="false" outlineLevel="0" collapsed="false">
      <c r="A20" s="0" t="s">
        <v>131</v>
      </c>
      <c r="C20" s="0" t="n">
        <f aca="false">1/(1+$B$27/100)^C4</f>
        <v>0.925925925925926</v>
      </c>
      <c r="D20" s="0" t="n">
        <f aca="false">1/(1+$B$27/100)^D4</f>
        <v>0.857338820301783</v>
      </c>
      <c r="E20" s="0" t="n">
        <f aca="false">1/(1+$B$27/100)^E4</f>
        <v>0.79383224102017</v>
      </c>
      <c r="F20" s="0" t="n">
        <f aca="false">1/(1+$B$27/100)^F4</f>
        <v>0.735029852796453</v>
      </c>
      <c r="G20" s="0" t="n">
        <f aca="false">1/(1+$B$27/100)^G4</f>
        <v>0.680583197033753</v>
      </c>
      <c r="H20" s="0" t="n">
        <f aca="false">1/(1+$B$27/100)^H4</f>
        <v>0.630169626883105</v>
      </c>
      <c r="I20" s="0" t="n">
        <f aca="false">1/(1+$B$27/100)^I4</f>
        <v>0.583490395262134</v>
      </c>
      <c r="J20" s="0" t="n">
        <f aca="false">1/(1+$B$27/100)^J4</f>
        <v>0.540268884501976</v>
      </c>
      <c r="K20" s="0" t="n">
        <f aca="false">1/(1+$B$27/100)^K4</f>
        <v>0.500248967131459</v>
      </c>
      <c r="L20" s="0" t="n">
        <f aca="false">1/(1+$B$27/100)^L4</f>
        <v>0.463193488084684</v>
      </c>
    </row>
    <row r="21" customFormat="false" ht="15" hidden="false" customHeight="false" outlineLevel="0" collapsed="false">
      <c r="A21" s="0" t="s">
        <v>132</v>
      </c>
      <c r="C21" s="0" t="n">
        <f aca="false">C19*C20</f>
        <v>3177.98750244444</v>
      </c>
      <c r="D21" s="0" t="n">
        <f aca="false">D19*D20</f>
        <v>3185.61726194444</v>
      </c>
      <c r="E21" s="0" t="n">
        <f aca="false">E19*E20</f>
        <v>3190.37099506602</v>
      </c>
      <c r="F21" s="0" t="n">
        <f aca="false">F19*F20</f>
        <v>3138.57736602473</v>
      </c>
      <c r="G21" s="0" t="n">
        <f aca="false">G19*G20</f>
        <v>3072.49850501958</v>
      </c>
      <c r="H21" s="0" t="n">
        <f aca="false">H19*H20</f>
        <v>2991.49266766711</v>
      </c>
      <c r="I21" s="0" t="n">
        <f aca="false">I19*I20</f>
        <v>2850.04821691222</v>
      </c>
      <c r="J21" s="0" t="n">
        <f aca="false">J19*J20</f>
        <v>2714.97757640849</v>
      </c>
      <c r="K21" s="0" t="n">
        <f aca="false">K19*K20</f>
        <v>2573.56993238556</v>
      </c>
      <c r="L21" s="0" t="n">
        <f aca="false">L19*L20</f>
        <v>2441.94326555189</v>
      </c>
    </row>
    <row r="23" customFormat="false" ht="15" hidden="false" customHeight="false" outlineLevel="0" collapsed="false">
      <c r="A23" s="0" t="s">
        <v>108</v>
      </c>
      <c r="C23" s="4" t="n">
        <f aca="false">Assumptions!C30</f>
        <v>0</v>
      </c>
      <c r="D23" s="4" t="n">
        <f aca="false">Assumptions!D30</f>
        <v>0</v>
      </c>
      <c r="E23" s="4" t="n">
        <f aca="false">Assumptions!E30</f>
        <v>0</v>
      </c>
      <c r="F23" s="4" t="n">
        <f aca="false">Assumptions!F30</f>
        <v>0</v>
      </c>
      <c r="G23" s="4" t="n">
        <f aca="false">Assumptions!G30</f>
        <v>0</v>
      </c>
      <c r="H23" s="4" t="n">
        <f aca="false">Assumptions!H30</f>
        <v>0</v>
      </c>
      <c r="I23" s="4" t="n">
        <f aca="false">Assumptions!I30</f>
        <v>0</v>
      </c>
      <c r="J23" s="4" t="n">
        <f aca="false">Assumptions!J30</f>
        <v>0</v>
      </c>
      <c r="K23" s="4" t="n">
        <f aca="false">Assumptions!K30</f>
        <v>0</v>
      </c>
      <c r="L23" s="4" t="n">
        <f aca="false">Assumptions!L30</f>
        <v>0</v>
      </c>
    </row>
    <row r="24" customFormat="false" ht="15" hidden="false" customHeight="false" outlineLevel="0" collapsed="false">
      <c r="A24" s="0" t="s">
        <v>133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134</v>
      </c>
    </row>
    <row r="27" customFormat="false" ht="15" hidden="false" customHeight="false" outlineLevel="0" collapsed="false">
      <c r="A27" s="0" t="s">
        <v>112</v>
      </c>
      <c r="B27" s="4" t="n">
        <f aca="false">Assumptions!$B$34</f>
        <v>8</v>
      </c>
    </row>
    <row r="28" customFormat="false" ht="15" hidden="false" customHeight="false" outlineLevel="0" collapsed="false">
      <c r="A28" s="0" t="s">
        <v>113</v>
      </c>
      <c r="B28" s="4" t="n">
        <f aca="false">Assumptions!$B$35</f>
        <v>3</v>
      </c>
    </row>
    <row r="29" customFormat="false" ht="15" hidden="false" customHeight="false" outlineLevel="0" collapsed="false">
      <c r="A29" s="0" t="s">
        <v>114</v>
      </c>
      <c r="B29" s="4" t="n">
        <f aca="false">Assumptions!$B$36</f>
        <v>20</v>
      </c>
    </row>
    <row r="30" customFormat="false" ht="15" hidden="false" customHeight="false" outlineLevel="0" collapsed="false">
      <c r="A30" s="0" t="s">
        <v>135</v>
      </c>
      <c r="B30" s="0" t="n">
        <f aca="false">SUM(C21:L21)</f>
        <v>29337.0832894245</v>
      </c>
    </row>
    <row r="31" customFormat="false" ht="15" hidden="false" customHeight="false" outlineLevel="0" collapsed="false">
      <c r="A31" s="0" t="s">
        <v>136</v>
      </c>
      <c r="B31" s="0" t="n">
        <f aca="false">L19</f>
        <v>5271.97235792192</v>
      </c>
    </row>
    <row r="32" customFormat="false" ht="15" hidden="false" customHeight="false" outlineLevel="0" collapsed="false">
      <c r="A32" s="0" t="s">
        <v>137</v>
      </c>
      <c r="B32" s="0" t="n">
        <f aca="false">IF(B27&gt;B28,B31*(1+B28/100)/((B27-B28)/100),B31*B29)</f>
        <v>108602.630573191</v>
      </c>
    </row>
    <row r="33" customFormat="false" ht="15" hidden="false" customHeight="false" outlineLevel="0" collapsed="false">
      <c r="A33" s="0" t="s">
        <v>138</v>
      </c>
      <c r="B33" s="0" t="n">
        <f aca="false">B31*B29</f>
        <v>105439.447158438</v>
      </c>
    </row>
    <row r="34" customFormat="false" ht="15" hidden="false" customHeight="false" outlineLevel="0" collapsed="false">
      <c r="A34" s="0" t="s">
        <v>139</v>
      </c>
      <c r="B34" s="0" t="n">
        <f aca="false">MAX(0,MIN(B32,B33))</f>
        <v>105439.447158438</v>
      </c>
    </row>
    <row r="35" customFormat="false" ht="15" hidden="false" customHeight="false" outlineLevel="0" collapsed="false">
      <c r="A35" s="0" t="s">
        <v>140</v>
      </c>
      <c r="B35" s="0" t="n">
        <f aca="false">B34/(1+B27/100)^L4</f>
        <v>48838.8653110378</v>
      </c>
    </row>
    <row r="36" customFormat="false" ht="15" hidden="false" customHeight="false" outlineLevel="0" collapsed="false">
      <c r="A36" s="0" t="s">
        <v>141</v>
      </c>
      <c r="B36" s="0" t="n">
        <f aca="false">B30+B35</f>
        <v>78175.9486004623</v>
      </c>
    </row>
    <row r="37" customFormat="false" ht="15" hidden="false" customHeight="false" outlineLevel="0" collapsed="false">
      <c r="A37" s="0" t="s">
        <v>142</v>
      </c>
      <c r="B37" s="0" t="n">
        <f aca="false">B36+Assumptions!$B$5-Assumptions!$B$4</f>
        <v>65603.9486004623</v>
      </c>
    </row>
    <row r="38" customFormat="false" ht="15" hidden="false" customHeight="false" outlineLevel="0" collapsed="false">
      <c r="A38" s="0" t="s">
        <v>143</v>
      </c>
      <c r="B38" s="0" t="n">
        <f aca="false">B37/Assumptions!$B$3*Assumptions!$B$10</f>
        <v>253.004043966303</v>
      </c>
    </row>
    <row r="39" customFormat="false" ht="15" hidden="false" customHeight="false" outlineLevel="0" collapsed="false">
      <c r="A39" s="0" t="s">
        <v>144</v>
      </c>
      <c r="B39" s="4" t="n">
        <f aca="false">B38/Assumptions!$B$2-1</f>
        <v>0.113917333537193</v>
      </c>
    </row>
    <row r="41" customFormat="false" ht="15" hidden="false" customHeight="false" outlineLevel="0" collapsed="false">
      <c r="A41" s="0" t="s">
        <v>145</v>
      </c>
      <c r="B41" s="0" t="n">
        <f aca="false">SUMPRODUCT(-C10:L10/(1+$B$27/100)^C4:L4)</f>
        <v>604.105911216656</v>
      </c>
    </row>
    <row r="42" customFormat="false" ht="15" hidden="false" customHeight="false" outlineLevel="0" collapsed="false">
      <c r="A42" s="0" t="s">
        <v>146</v>
      </c>
      <c r="B42" s="0" t="n">
        <f aca="false">IF(B27&gt;B28,-L10*(1+B28/100)/((B27-B28)/100),-L10*20)/(1+B27/100)^L4</f>
        <v>1046.93432946379</v>
      </c>
    </row>
    <row r="43" customFormat="false" ht="15" hidden="false" customHeight="false" outlineLevel="0" collapsed="false">
      <c r="A43" s="0" t="s">
        <v>147</v>
      </c>
      <c r="B43" s="0" t="n">
        <f aca="false">(B37+B41+B42)/Assumptions!$B$3*Assumptions!$B$10</f>
        <v>259.371341462178</v>
      </c>
    </row>
    <row r="45" customFormat="false" ht="15" hidden="false" customHeight="false" outlineLevel="0" collapsed="false">
      <c r="A45" s="0" t="s">
        <v>88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148</v>
      </c>
      <c r="B46" s="0" t="n">
        <f aca="false">MAX(0,MIN(IF(B45&gt;B28,B31*(1+B28/100)/((B45-B28)/100),B31*B29),B31*B29))</f>
        <v>45251.0960721631</v>
      </c>
    </row>
    <row r="47" customFormat="false" ht="15" hidden="false" customHeight="false" outlineLevel="0" collapsed="false">
      <c r="A47" s="0" t="s">
        <v>149</v>
      </c>
      <c r="B47" s="0" t="n">
        <f aca="false">(SUMPRODUCT(C19:L19/(1+B45/100)^C4:L4)+B46/(1+B45/100)^L4+Assumptions!$B$5-Assumptions!$B$4)/Assumptions!$B$3*Assumptions!$B$10</f>
        <v>77.2573751067425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151</v>
      </c>
    </row>
    <row r="3" customFormat="false" ht="15" hidden="false" customHeight="false" outlineLevel="0" collapsed="false">
      <c r="A3" s="0" t="s">
        <v>120</v>
      </c>
      <c r="B3" s="0" t="s">
        <v>81</v>
      </c>
      <c r="C3" s="2" t="s">
        <v>95</v>
      </c>
      <c r="D3" s="2" t="s">
        <v>96</v>
      </c>
      <c r="E3" s="2" t="s">
        <v>97</v>
      </c>
      <c r="F3" s="2" t="s">
        <v>98</v>
      </c>
      <c r="G3" s="2" t="s">
        <v>99</v>
      </c>
      <c r="H3" s="2" t="s">
        <v>100</v>
      </c>
      <c r="I3" s="2" t="s">
        <v>101</v>
      </c>
      <c r="J3" s="2" t="s">
        <v>102</v>
      </c>
      <c r="K3" s="2" t="s">
        <v>103</v>
      </c>
      <c r="L3" s="2" t="s">
        <v>104</v>
      </c>
    </row>
    <row r="4" customFormat="false" ht="15" hidden="false" customHeight="false" outlineLevel="0" collapsed="false">
      <c r="A4" s="0" t="s">
        <v>121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105</v>
      </c>
      <c r="C5" s="4" t="n">
        <f aca="false">Assumptions!C41</f>
        <v>20</v>
      </c>
      <c r="D5" s="4" t="n">
        <f aca="false">Assumptions!D41</f>
        <v>7</v>
      </c>
      <c r="E5" s="4" t="n">
        <f aca="false">Assumptions!E41</f>
        <v>7</v>
      </c>
      <c r="F5" s="4" t="n">
        <f aca="false">Assumptions!F41</f>
        <v>6.5</v>
      </c>
      <c r="G5" s="4" t="n">
        <f aca="false">Assumptions!G41</f>
        <v>6</v>
      </c>
      <c r="H5" s="4" t="n">
        <f aca="false">Assumptions!H41</f>
        <v>5.5</v>
      </c>
      <c r="I5" s="4" t="n">
        <f aca="false">Assumptions!I41</f>
        <v>5</v>
      </c>
      <c r="J5" s="4" t="n">
        <f aca="false">Assumptions!J41</f>
        <v>4.5</v>
      </c>
      <c r="K5" s="4" t="n">
        <f aca="false">Assumptions!K41</f>
        <v>4</v>
      </c>
      <c r="L5" s="4" t="n">
        <f aca="false">Assumptions!L41</f>
        <v>3.5</v>
      </c>
    </row>
    <row r="6" customFormat="false" ht="15" hidden="false" customHeight="false" outlineLevel="0" collapsed="false">
      <c r="A6" s="0" t="s">
        <v>37</v>
      </c>
      <c r="B6" s="3" t="n">
        <v>13942</v>
      </c>
      <c r="C6" s="0" t="n">
        <f aca="false">B6*(1+C5/100)</f>
        <v>16730.4</v>
      </c>
      <c r="D6" s="0" t="n">
        <f aca="false">C6*(1+D5/100)</f>
        <v>17901.528</v>
      </c>
      <c r="E6" s="0" t="n">
        <f aca="false">D6*(1+E5/100)</f>
        <v>19154.63496</v>
      </c>
      <c r="F6" s="0" t="n">
        <f aca="false">E6*(1+F5/100)</f>
        <v>20399.6862324</v>
      </c>
      <c r="G6" s="0" t="n">
        <f aca="false">F6*(1+G5/100)</f>
        <v>21623.667406344</v>
      </c>
      <c r="H6" s="0" t="n">
        <f aca="false">G6*(1+H5/100)</f>
        <v>22812.9691136929</v>
      </c>
      <c r="I6" s="0" t="n">
        <f aca="false">H6*(1+I5/100)</f>
        <v>23953.6175693776</v>
      </c>
      <c r="J6" s="0" t="n">
        <f aca="false">I6*(1+J5/100)</f>
        <v>25031.5303599996</v>
      </c>
      <c r="K6" s="0" t="n">
        <f aca="false">J6*(1+K5/100)</f>
        <v>26032.7915743995</v>
      </c>
      <c r="L6" s="0" t="n">
        <f aca="false">K6*(1+L5/100)</f>
        <v>26943.9392795035</v>
      </c>
    </row>
    <row r="7" customFormat="false" ht="15" hidden="false" customHeight="false" outlineLevel="0" collapsed="false">
      <c r="A7" s="0" t="s">
        <v>106</v>
      </c>
      <c r="C7" s="4" t="n">
        <f aca="false">Assumptions!C42</f>
        <v>27</v>
      </c>
      <c r="D7" s="4" t="n">
        <f aca="false">Assumptions!D42</f>
        <v>28.5</v>
      </c>
      <c r="E7" s="4" t="n">
        <f aca="false">Assumptions!E42</f>
        <v>29.5</v>
      </c>
      <c r="F7" s="4" t="n">
        <f aca="false">Assumptions!F42</f>
        <v>30.5</v>
      </c>
      <c r="G7" s="4" t="n">
        <f aca="false">Assumptions!G42</f>
        <v>31</v>
      </c>
      <c r="H7" s="4" t="n">
        <f aca="false">Assumptions!H42</f>
        <v>31.5</v>
      </c>
      <c r="I7" s="4" t="n">
        <f aca="false">Assumptions!I42</f>
        <v>31.5</v>
      </c>
      <c r="J7" s="4" t="n">
        <f aca="false">Assumptions!J42</f>
        <v>31.5</v>
      </c>
      <c r="K7" s="4" t="n">
        <f aca="false">Assumptions!K42</f>
        <v>31.5</v>
      </c>
      <c r="L7" s="4" t="n">
        <f aca="false">Assumptions!L42</f>
        <v>31.5</v>
      </c>
    </row>
    <row r="8" customFormat="false" ht="15" hidden="false" customHeight="false" outlineLevel="0" collapsed="false">
      <c r="A8" s="0" t="s">
        <v>43</v>
      </c>
      <c r="C8" s="0" t="n">
        <f aca="false">C6*C7/100</f>
        <v>4517.208</v>
      </c>
      <c r="D8" s="0" t="n">
        <f aca="false">D6*D7/100</f>
        <v>5101.93548</v>
      </c>
      <c r="E8" s="0" t="n">
        <f aca="false">E6*E7/100</f>
        <v>5650.6173132</v>
      </c>
      <c r="F8" s="0" t="n">
        <f aca="false">F6*F7/100</f>
        <v>6221.904300882</v>
      </c>
      <c r="G8" s="0" t="n">
        <f aca="false">G6*G7/100</f>
        <v>6703.33689596664</v>
      </c>
      <c r="H8" s="0" t="n">
        <f aca="false">H6*H7/100</f>
        <v>7186.08527081327</v>
      </c>
      <c r="I8" s="0" t="n">
        <f aca="false">I6*I7/100</f>
        <v>7545.38953435393</v>
      </c>
      <c r="J8" s="0" t="n">
        <f aca="false">J6*J7/100</f>
        <v>7884.93206339986</v>
      </c>
      <c r="K8" s="0" t="n">
        <f aca="false">K6*K7/100</f>
        <v>8200.32934593585</v>
      </c>
      <c r="L8" s="0" t="n">
        <f aca="false">L6*L7/100</f>
        <v>8487.34087304361</v>
      </c>
    </row>
    <row r="9" customFormat="false" ht="15" hidden="false" customHeight="false" outlineLevel="0" collapsed="false">
      <c r="A9" s="0" t="s">
        <v>107</v>
      </c>
      <c r="C9" s="4" t="n">
        <f aca="false">Assumptions!C43</f>
        <v>0.45</v>
      </c>
      <c r="D9" s="4" t="n">
        <f aca="false">Assumptions!D43</f>
        <v>0.45</v>
      </c>
      <c r="E9" s="4" t="n">
        <f aca="false">Assumptions!E43</f>
        <v>0.45</v>
      </c>
      <c r="F9" s="4" t="n">
        <f aca="false">Assumptions!F43</f>
        <v>0.45</v>
      </c>
      <c r="G9" s="4" t="n">
        <f aca="false">Assumptions!G43</f>
        <v>0.45</v>
      </c>
      <c r="H9" s="4" t="n">
        <f aca="false">Assumptions!H43</f>
        <v>0.45</v>
      </c>
      <c r="I9" s="4" t="n">
        <f aca="false">Assumptions!I43</f>
        <v>0.45</v>
      </c>
      <c r="J9" s="4" t="n">
        <f aca="false">Assumptions!J43</f>
        <v>0.45</v>
      </c>
      <c r="K9" s="4" t="n">
        <f aca="false">Assumptions!K43</f>
        <v>0.45</v>
      </c>
      <c r="L9" s="4" t="n">
        <f aca="false">Assumptions!L43</f>
        <v>0.45</v>
      </c>
    </row>
    <row r="10" customFormat="false" ht="15" hidden="false" customHeight="false" outlineLevel="0" collapsed="false">
      <c r="A10" s="0" t="s">
        <v>122</v>
      </c>
      <c r="C10" s="0" t="n">
        <f aca="false">-C6*C9/100</f>
        <v>-75.2868</v>
      </c>
      <c r="D10" s="0" t="n">
        <f aca="false">-D6*D9/100</f>
        <v>-80.556876</v>
      </c>
      <c r="E10" s="0" t="n">
        <f aca="false">-E6*E9/100</f>
        <v>-86.19585732</v>
      </c>
      <c r="F10" s="0" t="n">
        <f aca="false">-F6*F9/100</f>
        <v>-91.7985880458</v>
      </c>
      <c r="G10" s="0" t="n">
        <f aca="false">-G6*G9/100</f>
        <v>-97.306503328548</v>
      </c>
      <c r="H10" s="0" t="n">
        <f aca="false">-H6*H9/100</f>
        <v>-102.658361011618</v>
      </c>
      <c r="I10" s="0" t="n">
        <f aca="false">-I6*I9/100</f>
        <v>-107.791279062199</v>
      </c>
      <c r="J10" s="0" t="n">
        <f aca="false">-J6*J9/100</f>
        <v>-112.641886619998</v>
      </c>
      <c r="K10" s="0" t="n">
        <f aca="false">-K6*K9/100</f>
        <v>-117.147562084798</v>
      </c>
      <c r="L10" s="0" t="n">
        <f aca="false">-L6*L9/100</f>
        <v>-121.247726757766</v>
      </c>
    </row>
    <row r="11" customFormat="false" ht="15" hidden="false" customHeight="false" outlineLevel="0" collapsed="false">
      <c r="A11" s="0" t="s">
        <v>123</v>
      </c>
      <c r="C11" s="0" t="n">
        <f aca="false">C8+C10+C24</f>
        <v>4441.9212</v>
      </c>
      <c r="D11" s="0" t="n">
        <f aca="false">D8+D10+D24</f>
        <v>5021.378604</v>
      </c>
      <c r="E11" s="0" t="n">
        <f aca="false">E8+E10+E24</f>
        <v>5564.42145588</v>
      </c>
      <c r="F11" s="0" t="n">
        <f aca="false">F8+F10+F24</f>
        <v>6130.1057128362</v>
      </c>
      <c r="G11" s="0" t="n">
        <f aca="false">G8+G10+G24</f>
        <v>6606.03039263809</v>
      </c>
      <c r="H11" s="0" t="n">
        <f aca="false">H8+H10+H24</f>
        <v>7083.42690980165</v>
      </c>
      <c r="I11" s="0" t="n">
        <f aca="false">I8+I10+I24</f>
        <v>7437.59825529173</v>
      </c>
      <c r="J11" s="0" t="n">
        <f aca="false">J8+J10+J24</f>
        <v>7772.29017677986</v>
      </c>
      <c r="K11" s="0" t="n">
        <f aca="false">K8+K10+K24</f>
        <v>8083.18178385106</v>
      </c>
      <c r="L11" s="0" t="n">
        <f aca="false">L8+L10+L24</f>
        <v>8366.09314628584</v>
      </c>
    </row>
    <row r="12" customFormat="false" ht="15" hidden="false" customHeight="false" outlineLevel="0" collapsed="false">
      <c r="A12" s="0" t="s">
        <v>124</v>
      </c>
      <c r="C12" s="4" t="n">
        <f aca="false">-C6*Assumptions!C45/100</f>
        <v>-1338.432</v>
      </c>
      <c r="D12" s="4" t="n">
        <f aca="false">-D6*Assumptions!D45/100</f>
        <v>-1342.6146</v>
      </c>
      <c r="E12" s="4" t="n">
        <f aca="false">-E6*Assumptions!E45/100</f>
        <v>-1340.8244472</v>
      </c>
      <c r="F12" s="4" t="n">
        <f aca="false">-F6*Assumptions!F45/100</f>
        <v>-1325.979605106</v>
      </c>
      <c r="G12" s="4" t="n">
        <f aca="false">-G6*Assumptions!G45/100</f>
        <v>-1297.42004438064</v>
      </c>
      <c r="H12" s="4" t="n">
        <f aca="false">-H6*Assumptions!H45/100</f>
        <v>-1140.64845568465</v>
      </c>
      <c r="I12" s="4" t="n">
        <f aca="false">-I6*Assumptions!I45/100</f>
        <v>-958.144702775103</v>
      </c>
      <c r="J12" s="4" t="n">
        <f aca="false">-J6*Assumptions!J45/100</f>
        <v>-750.945910799987</v>
      </c>
      <c r="K12" s="4" t="n">
        <f aca="false">-K6*Assumptions!K45/100</f>
        <v>-520.655831487991</v>
      </c>
      <c r="L12" s="4" t="n">
        <f aca="false">-L6*Assumptions!L45/100</f>
        <v>-296.383332074539</v>
      </c>
    </row>
    <row r="13" customFormat="false" ht="15" hidden="false" customHeight="false" outlineLevel="0" collapsed="false">
      <c r="A13" s="0" t="s">
        <v>125</v>
      </c>
      <c r="C13" s="0" t="n">
        <f aca="false">C11+C12</f>
        <v>3103.4892</v>
      </c>
      <c r="D13" s="0" t="n">
        <f aca="false">D11+D12</f>
        <v>3678.764004</v>
      </c>
      <c r="E13" s="0" t="n">
        <f aca="false">E11+E12</f>
        <v>4223.59700868</v>
      </c>
      <c r="F13" s="0" t="n">
        <f aca="false">F11+F12</f>
        <v>4804.1261077302</v>
      </c>
      <c r="G13" s="0" t="n">
        <f aca="false">G11+G12</f>
        <v>5308.61034825745</v>
      </c>
      <c r="H13" s="0" t="n">
        <f aca="false">H11+H12</f>
        <v>5942.77845411701</v>
      </c>
      <c r="I13" s="0" t="n">
        <f aca="false">I11+I12</f>
        <v>6479.45355251663</v>
      </c>
      <c r="J13" s="0" t="n">
        <f aca="false">J11+J12</f>
        <v>7021.34426597988</v>
      </c>
      <c r="K13" s="0" t="n">
        <f aca="false">K11+K12</f>
        <v>7562.52595236307</v>
      </c>
      <c r="L13" s="0" t="n">
        <f aca="false">L11+L12</f>
        <v>8069.7098142113</v>
      </c>
    </row>
    <row r="14" customFormat="false" ht="15" hidden="false" customHeight="false" outlineLevel="0" collapsed="false">
      <c r="A14" s="0" t="s">
        <v>111</v>
      </c>
      <c r="C14" s="4" t="n">
        <f aca="false">Assumptions!C47</f>
        <v>24</v>
      </c>
      <c r="D14" s="4" t="n">
        <f aca="false">Assumptions!D47</f>
        <v>24</v>
      </c>
      <c r="E14" s="4" t="n">
        <f aca="false">Assumptions!E47</f>
        <v>24</v>
      </c>
      <c r="F14" s="4" t="n">
        <f aca="false">Assumptions!F47</f>
        <v>24</v>
      </c>
      <c r="G14" s="4" t="n">
        <f aca="false">Assumptions!G47</f>
        <v>24</v>
      </c>
      <c r="H14" s="4" t="n">
        <f aca="false">Assumptions!H47</f>
        <v>24</v>
      </c>
      <c r="I14" s="4" t="n">
        <f aca="false">Assumptions!I47</f>
        <v>24</v>
      </c>
      <c r="J14" s="4" t="n">
        <f aca="false">Assumptions!J47</f>
        <v>24</v>
      </c>
      <c r="K14" s="4" t="n">
        <f aca="false">Assumptions!K47</f>
        <v>24</v>
      </c>
      <c r="L14" s="4" t="n">
        <f aca="false">Assumptions!L47</f>
        <v>24</v>
      </c>
    </row>
    <row r="15" customFormat="false" ht="15" hidden="false" customHeight="false" outlineLevel="0" collapsed="false">
      <c r="A15" s="0" t="s">
        <v>126</v>
      </c>
      <c r="C15" s="0" t="n">
        <f aca="false">C13-MAX(0,C13)*C14/100</f>
        <v>2358.651792</v>
      </c>
      <c r="D15" s="0" t="n">
        <f aca="false">D13-MAX(0,D13)*D14/100</f>
        <v>2795.86064304</v>
      </c>
      <c r="E15" s="0" t="n">
        <f aca="false">E13-MAX(0,E13)*E14/100</f>
        <v>3209.9337265968</v>
      </c>
      <c r="F15" s="0" t="n">
        <f aca="false">F13-MAX(0,F13)*F14/100</f>
        <v>3651.13584187495</v>
      </c>
      <c r="G15" s="0" t="n">
        <f aca="false">G13-MAX(0,G13)*G14/100</f>
        <v>4034.54386467566</v>
      </c>
      <c r="H15" s="0" t="n">
        <f aca="false">H13-MAX(0,H13)*H14/100</f>
        <v>4516.51162512893</v>
      </c>
      <c r="I15" s="0" t="n">
        <f aca="false">I13-MAX(0,I13)*I14/100</f>
        <v>4924.38469991264</v>
      </c>
      <c r="J15" s="0" t="n">
        <f aca="false">J13-MAX(0,J13)*J14/100</f>
        <v>5336.22164214471</v>
      </c>
      <c r="K15" s="0" t="n">
        <f aca="false">K13-MAX(0,K13)*K14/100</f>
        <v>5747.51972379593</v>
      </c>
      <c r="L15" s="0" t="n">
        <f aca="false">L13-MAX(0,L13)*L14/100</f>
        <v>6132.97945880059</v>
      </c>
    </row>
    <row r="16" customFormat="false" ht="15" hidden="false" customHeight="false" outlineLevel="0" collapsed="false">
      <c r="A16" s="0" t="s">
        <v>127</v>
      </c>
      <c r="C16" s="0" t="n">
        <f aca="false">-C12</f>
        <v>1338.432</v>
      </c>
      <c r="D16" s="0" t="n">
        <f aca="false">-D12</f>
        <v>1342.6146</v>
      </c>
      <c r="E16" s="0" t="n">
        <f aca="false">-E12</f>
        <v>1340.8244472</v>
      </c>
      <c r="F16" s="0" t="n">
        <f aca="false">-F12</f>
        <v>1325.979605106</v>
      </c>
      <c r="G16" s="0" t="n">
        <f aca="false">-G12</f>
        <v>1297.42004438064</v>
      </c>
      <c r="H16" s="0" t="n">
        <f aca="false">-H12</f>
        <v>1140.64845568465</v>
      </c>
      <c r="I16" s="0" t="n">
        <f aca="false">-I12</f>
        <v>958.144702775103</v>
      </c>
      <c r="J16" s="0" t="n">
        <f aca="false">-J12</f>
        <v>750.945910799987</v>
      </c>
      <c r="K16" s="0" t="n">
        <f aca="false">-K12</f>
        <v>520.655831487991</v>
      </c>
      <c r="L16" s="0" t="n">
        <f aca="false">-L12</f>
        <v>296.383332074539</v>
      </c>
    </row>
    <row r="17" customFormat="false" ht="15" hidden="false" customHeight="false" outlineLevel="0" collapsed="false">
      <c r="A17" s="0" t="s">
        <v>128</v>
      </c>
      <c r="C17" s="4" t="n">
        <f aca="false">-C6*Assumptions!C46/100</f>
        <v>-184.0344</v>
      </c>
      <c r="D17" s="4" t="n">
        <f aca="false">-D6*Assumptions!D46/100</f>
        <v>-196.916808</v>
      </c>
      <c r="E17" s="4" t="n">
        <f aca="false">-E6*Assumptions!E46/100</f>
        <v>-210.70098456</v>
      </c>
      <c r="F17" s="4" t="n">
        <f aca="false">-F6*Assumptions!F46/100</f>
        <v>-224.3965485564</v>
      </c>
      <c r="G17" s="4" t="n">
        <f aca="false">-G6*Assumptions!G46/100</f>
        <v>-237.860341469784</v>
      </c>
      <c r="H17" s="4" t="n">
        <f aca="false">-H6*Assumptions!H46/100</f>
        <v>-250.942660250622</v>
      </c>
      <c r="I17" s="4" t="n">
        <f aca="false">-I6*Assumptions!I46/100</f>
        <v>-263.489793263153</v>
      </c>
      <c r="J17" s="4" t="n">
        <f aca="false">-J6*Assumptions!J46/100</f>
        <v>-275.346833959995</v>
      </c>
      <c r="K17" s="4" t="n">
        <f aca="false">-K6*Assumptions!K46/100</f>
        <v>-286.360707318395</v>
      </c>
      <c r="L17" s="4" t="n">
        <f aca="false">-L6*Assumptions!L46/100</f>
        <v>-296.383332074539</v>
      </c>
    </row>
    <row r="18" customFormat="false" ht="15" hidden="false" customHeight="false" outlineLevel="0" collapsed="false">
      <c r="A18" s="0" t="s">
        <v>129</v>
      </c>
      <c r="C18" s="4" t="n">
        <f aca="false">(C6-B6)*Assumptions!$B$51/100</f>
        <v>0</v>
      </c>
      <c r="D18" s="4" t="n">
        <f aca="false">(D6-C6)*Assumptions!$B$51/100</f>
        <v>0</v>
      </c>
      <c r="E18" s="4" t="n">
        <f aca="false">(E6-D6)*Assumptions!$B$51/100</f>
        <v>0</v>
      </c>
      <c r="F18" s="4" t="n">
        <f aca="false">(F6-E6)*Assumptions!$B$51/100</f>
        <v>0</v>
      </c>
      <c r="G18" s="4" t="n">
        <f aca="false">(G6-F6)*Assumptions!$B$51/100</f>
        <v>0</v>
      </c>
      <c r="H18" s="4" t="n">
        <f aca="false">(H6-G6)*Assumptions!$B$51/100</f>
        <v>0</v>
      </c>
      <c r="I18" s="4" t="n">
        <f aca="false">(I6-H6)*Assumptions!$B$51/100</f>
        <v>0</v>
      </c>
      <c r="J18" s="4" t="n">
        <f aca="false">(J6-I6)*Assumptions!$B$51/100</f>
        <v>0</v>
      </c>
      <c r="K18" s="4" t="n">
        <f aca="false">(K6-J6)*Assumptions!$B$51/100</f>
        <v>0</v>
      </c>
      <c r="L18" s="4" t="n">
        <f aca="false">(L6-K6)*Assumptions!$B$51/100</f>
        <v>0</v>
      </c>
    </row>
    <row r="19" customFormat="false" ht="15" hidden="false" customHeight="false" outlineLevel="0" collapsed="false">
      <c r="A19" s="0" t="s">
        <v>130</v>
      </c>
      <c r="C19" s="0" t="n">
        <f aca="false">C15+C16+C17+C18</f>
        <v>3513.049392</v>
      </c>
      <c r="D19" s="0" t="n">
        <f aca="false">D15+D16+D17+D18</f>
        <v>3941.55843504</v>
      </c>
      <c r="E19" s="0" t="n">
        <f aca="false">E15+E16+E17+E18</f>
        <v>4340.0571892368</v>
      </c>
      <c r="F19" s="0" t="n">
        <f aca="false">F15+F16+F17+F18</f>
        <v>4752.71889842455</v>
      </c>
      <c r="G19" s="0" t="n">
        <f aca="false">G15+G16+G17+G18</f>
        <v>5094.10356758652</v>
      </c>
      <c r="H19" s="0" t="n">
        <f aca="false">H15+H16+H17+H18</f>
        <v>5406.21742056295</v>
      </c>
      <c r="I19" s="0" t="n">
        <f aca="false">I15+I16+I17+I18</f>
        <v>5619.03960942459</v>
      </c>
      <c r="J19" s="0" t="n">
        <f aca="false">J15+J16+J17+J18</f>
        <v>5811.8207189847</v>
      </c>
      <c r="K19" s="0" t="n">
        <f aca="false">K15+K16+K17+K18</f>
        <v>5981.81484796553</v>
      </c>
      <c r="L19" s="0" t="n">
        <f aca="false">L15+L16+L17+L18</f>
        <v>6132.97945880059</v>
      </c>
    </row>
    <row r="20" customFormat="false" ht="15" hidden="false" customHeight="false" outlineLevel="0" collapsed="false">
      <c r="A20" s="0" t="s">
        <v>131</v>
      </c>
      <c r="C20" s="0" t="n">
        <f aca="false">1/(1+$B$27/100)^C4</f>
        <v>0.925925925925926</v>
      </c>
      <c r="D20" s="0" t="n">
        <f aca="false">1/(1+$B$27/100)^D4</f>
        <v>0.857338820301783</v>
      </c>
      <c r="E20" s="0" t="n">
        <f aca="false">1/(1+$B$27/100)^E4</f>
        <v>0.79383224102017</v>
      </c>
      <c r="F20" s="0" t="n">
        <f aca="false">1/(1+$B$27/100)^F4</f>
        <v>0.735029852796453</v>
      </c>
      <c r="G20" s="0" t="n">
        <f aca="false">1/(1+$B$27/100)^G4</f>
        <v>0.680583197033753</v>
      </c>
      <c r="H20" s="0" t="n">
        <f aca="false">1/(1+$B$27/100)^H4</f>
        <v>0.630169626883105</v>
      </c>
      <c r="I20" s="0" t="n">
        <f aca="false">1/(1+$B$27/100)^I4</f>
        <v>0.583490395262134</v>
      </c>
      <c r="J20" s="0" t="n">
        <f aca="false">1/(1+$B$27/100)^J4</f>
        <v>0.540268884501976</v>
      </c>
      <c r="K20" s="0" t="n">
        <f aca="false">1/(1+$B$27/100)^K4</f>
        <v>0.500248967131459</v>
      </c>
      <c r="L20" s="0" t="n">
        <f aca="false">1/(1+$B$27/100)^L4</f>
        <v>0.463193488084684</v>
      </c>
    </row>
    <row r="21" customFormat="false" ht="15" hidden="false" customHeight="false" outlineLevel="0" collapsed="false">
      <c r="A21" s="0" t="s">
        <v>132</v>
      </c>
      <c r="C21" s="0" t="n">
        <f aca="false">C19*C20</f>
        <v>3252.82351111111</v>
      </c>
      <c r="D21" s="0" t="n">
        <f aca="false">D19*D20</f>
        <v>3379.25105884774</v>
      </c>
      <c r="E21" s="0" t="n">
        <f aca="false">E19*E20</f>
        <v>3445.27732468755</v>
      </c>
      <c r="F21" s="0" t="n">
        <f aca="false">F19*F20</f>
        <v>3493.39027229192</v>
      </c>
      <c r="G21" s="0" t="n">
        <f aca="false">G19*G20</f>
        <v>3466.96129204908</v>
      </c>
      <c r="H21" s="0" t="n">
        <f aca="false">H19*H20</f>
        <v>3406.83401476509</v>
      </c>
      <c r="I21" s="0" t="n">
        <f aca="false">I19*I20</f>
        <v>3278.65564269674</v>
      </c>
      <c r="J21" s="0" t="n">
        <f aca="false">J19*J20</f>
        <v>3139.94589677133</v>
      </c>
      <c r="K21" s="0" t="n">
        <f aca="false">K19*K20</f>
        <v>2992.39669926638</v>
      </c>
      <c r="L21" s="0" t="n">
        <f aca="false">L19*L20</f>
        <v>2840.75614787356</v>
      </c>
    </row>
    <row r="23" customFormat="false" ht="15" hidden="false" customHeight="false" outlineLevel="0" collapsed="false">
      <c r="A23" s="0" t="s">
        <v>108</v>
      </c>
      <c r="C23" s="4" t="n">
        <f aca="false">Assumptions!C44</f>
        <v>0</v>
      </c>
      <c r="D23" s="4" t="n">
        <f aca="false">Assumptions!D44</f>
        <v>0</v>
      </c>
      <c r="E23" s="4" t="n">
        <f aca="false">Assumptions!E44</f>
        <v>0</v>
      </c>
      <c r="F23" s="4" t="n">
        <f aca="false">Assumptions!F44</f>
        <v>0</v>
      </c>
      <c r="G23" s="4" t="n">
        <f aca="false">Assumptions!G44</f>
        <v>0</v>
      </c>
      <c r="H23" s="4" t="n">
        <f aca="false">Assumptions!H44</f>
        <v>0</v>
      </c>
      <c r="I23" s="4" t="n">
        <f aca="false">Assumptions!I44</f>
        <v>0</v>
      </c>
      <c r="J23" s="4" t="n">
        <f aca="false">Assumptions!J44</f>
        <v>0</v>
      </c>
      <c r="K23" s="4" t="n">
        <f aca="false">Assumptions!K44</f>
        <v>0</v>
      </c>
      <c r="L23" s="4" t="n">
        <f aca="false">Assumptions!L44</f>
        <v>0</v>
      </c>
    </row>
    <row r="24" customFormat="false" ht="15" hidden="false" customHeight="false" outlineLevel="0" collapsed="false">
      <c r="A24" s="0" t="s">
        <v>133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134</v>
      </c>
    </row>
    <row r="27" customFormat="false" ht="15" hidden="false" customHeight="false" outlineLevel="0" collapsed="false">
      <c r="A27" s="0" t="s">
        <v>112</v>
      </c>
      <c r="B27" s="4" t="n">
        <f aca="false">Assumptions!$B$48</f>
        <v>8</v>
      </c>
    </row>
    <row r="28" customFormat="false" ht="15" hidden="false" customHeight="false" outlineLevel="0" collapsed="false">
      <c r="A28" s="0" t="s">
        <v>113</v>
      </c>
      <c r="B28" s="4" t="n">
        <f aca="false">Assumptions!$B$49</f>
        <v>3</v>
      </c>
    </row>
    <row r="29" customFormat="false" ht="15" hidden="false" customHeight="false" outlineLevel="0" collapsed="false">
      <c r="A29" s="0" t="s">
        <v>114</v>
      </c>
      <c r="B29" s="4" t="n">
        <f aca="false">Assumptions!$B$50</f>
        <v>20</v>
      </c>
    </row>
    <row r="30" customFormat="false" ht="15" hidden="false" customHeight="false" outlineLevel="0" collapsed="false">
      <c r="A30" s="0" t="s">
        <v>135</v>
      </c>
      <c r="B30" s="0" t="n">
        <f aca="false">SUM(C21:L21)</f>
        <v>32696.2918603605</v>
      </c>
    </row>
    <row r="31" customFormat="false" ht="15" hidden="false" customHeight="false" outlineLevel="0" collapsed="false">
      <c r="A31" s="0" t="s">
        <v>136</v>
      </c>
      <c r="B31" s="0" t="n">
        <f aca="false">L19</f>
        <v>6132.97945880059</v>
      </c>
    </row>
    <row r="32" customFormat="false" ht="15" hidden="false" customHeight="false" outlineLevel="0" collapsed="false">
      <c r="A32" s="0" t="s">
        <v>137</v>
      </c>
      <c r="B32" s="0" t="n">
        <f aca="false">IF(B27&gt;B28,B31*(1+B28/100)/((B27-B28)/100),B31*B29)</f>
        <v>126339.376851292</v>
      </c>
    </row>
    <row r="33" customFormat="false" ht="15" hidden="false" customHeight="false" outlineLevel="0" collapsed="false">
      <c r="A33" s="0" t="s">
        <v>138</v>
      </c>
      <c r="B33" s="0" t="n">
        <f aca="false">B31*B29</f>
        <v>122659.589176012</v>
      </c>
    </row>
    <row r="34" customFormat="false" ht="15" hidden="false" customHeight="false" outlineLevel="0" collapsed="false">
      <c r="A34" s="0" t="s">
        <v>139</v>
      </c>
      <c r="B34" s="0" t="n">
        <f aca="false">MAX(0,MIN(B32,B33))</f>
        <v>122659.589176012</v>
      </c>
    </row>
    <row r="35" customFormat="false" ht="15" hidden="false" customHeight="false" outlineLevel="0" collapsed="false">
      <c r="A35" s="0" t="s">
        <v>140</v>
      </c>
      <c r="B35" s="0" t="n">
        <f aca="false">B34/(1+B27/100)^L4</f>
        <v>56815.1229574713</v>
      </c>
    </row>
    <row r="36" customFormat="false" ht="15" hidden="false" customHeight="false" outlineLevel="0" collapsed="false">
      <c r="A36" s="0" t="s">
        <v>141</v>
      </c>
      <c r="B36" s="0" t="n">
        <f aca="false">B30+B35</f>
        <v>89511.4148178318</v>
      </c>
    </row>
    <row r="37" customFormat="false" ht="15" hidden="false" customHeight="false" outlineLevel="0" collapsed="false">
      <c r="A37" s="0" t="s">
        <v>142</v>
      </c>
      <c r="B37" s="0" t="n">
        <f aca="false">B36+Assumptions!$B$5-Assumptions!$B$4</f>
        <v>76939.4148178318</v>
      </c>
    </row>
    <row r="38" customFormat="false" ht="15" hidden="false" customHeight="false" outlineLevel="0" collapsed="false">
      <c r="A38" s="0" t="s">
        <v>143</v>
      </c>
      <c r="B38" s="0" t="n">
        <f aca="false">B37/Assumptions!$B$3*Assumptions!$B$10</f>
        <v>296.719686917978</v>
      </c>
    </row>
    <row r="39" customFormat="false" ht="15" hidden="false" customHeight="false" outlineLevel="0" collapsed="false">
      <c r="A39" s="0" t="s">
        <v>144</v>
      </c>
      <c r="B39" s="4" t="n">
        <f aca="false">B38/Assumptions!$B$2-1</f>
        <v>0.30638703349614</v>
      </c>
    </row>
    <row r="41" customFormat="false" ht="15" hidden="false" customHeight="false" outlineLevel="0" collapsed="false">
      <c r="A41" s="0" t="s">
        <v>145</v>
      </c>
      <c r="B41" s="0" t="n">
        <f aca="false">SUMPRODUCT(-C10:L10/(1+$B$27/100)^C4:L4)</f>
        <v>644.10782933325</v>
      </c>
    </row>
    <row r="42" customFormat="false" ht="15" hidden="false" customHeight="false" outlineLevel="0" collapsed="false">
      <c r="A42" s="0" t="s">
        <v>146</v>
      </c>
      <c r="B42" s="0" t="n">
        <f aca="false">IF(B27&gt;B28,-L10*(1+B28/100)/((B27-B28)/100),-L10*20)/(1+B27/100)^L4</f>
        <v>1156.91984407293</v>
      </c>
    </row>
    <row r="43" customFormat="false" ht="15" hidden="false" customHeight="false" outlineLevel="0" collapsed="false">
      <c r="A43" s="0" t="s">
        <v>147</v>
      </c>
      <c r="B43" s="0" t="n">
        <f aca="false">(B37+B41+B42)/Assumptions!$B$3*Assumptions!$B$10</f>
        <v>303.665416472187</v>
      </c>
    </row>
    <row r="45" customFormat="false" ht="15" hidden="false" customHeight="false" outlineLevel="0" collapsed="false">
      <c r="A45" s="0" t="s">
        <v>88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148</v>
      </c>
      <c r="B46" s="0" t="n">
        <f aca="false">MAX(0,MIN(IF(B45&gt;B28,B31*(1+B28/100)/((B45-B28)/100),B31*B29),B31*B29))</f>
        <v>52641.4070213717</v>
      </c>
    </row>
    <row r="47" customFormat="false" ht="15" hidden="false" customHeight="false" outlineLevel="0" collapsed="false">
      <c r="A47" s="0" t="s">
        <v>149</v>
      </c>
      <c r="B47" s="0" t="n">
        <f aca="false">(SUMPRODUCT(C19:L19/(1+B45/100)^C4:L4)+B46/(1+B45/100)^L4+Assumptions!$B$5-Assumptions!$B$4)/Assumptions!$B$3*Assumptions!$B$10</f>
        <v>93.1161259688547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2" t="s">
        <v>152</v>
      </c>
    </row>
    <row r="3" customFormat="false" ht="15" hidden="false" customHeight="false" outlineLevel="0" collapsed="false">
      <c r="A3" s="2" t="s">
        <v>153</v>
      </c>
      <c r="B3" s="2" t="s">
        <v>154</v>
      </c>
      <c r="C3" s="2" t="s">
        <v>144</v>
      </c>
      <c r="D3" s="2" t="s">
        <v>155</v>
      </c>
      <c r="E3" s="2" t="s">
        <v>147</v>
      </c>
      <c r="F3" s="2" t="s">
        <v>156</v>
      </c>
    </row>
    <row r="4" customFormat="false" ht="15" hidden="false" customHeight="false" outlineLevel="0" collapsed="false">
      <c r="A4" s="0" t="s">
        <v>157</v>
      </c>
      <c r="B4" s="4" t="n">
        <f aca="false">DCF_Bear!$B$38</f>
        <v>168.39448756212</v>
      </c>
      <c r="C4" s="0" t="n">
        <f aca="false">B4/Assumptions!$B$2-1</f>
        <v>-0.258598654681811</v>
      </c>
      <c r="D4" s="4" t="n">
        <f aca="false">Assumptions!$B$24</f>
        <v>0.2</v>
      </c>
      <c r="E4" s="4" t="n">
        <f aca="false">DCF_Bear!$B$43</f>
        <v>174.413016509053</v>
      </c>
      <c r="F4" s="4" t="n">
        <f aca="false">DCF_Bear!$B$47</f>
        <v>56.1173485238053</v>
      </c>
    </row>
    <row r="5" customFormat="false" ht="15" hidden="false" customHeight="false" outlineLevel="0" collapsed="false">
      <c r="A5" s="0" t="s">
        <v>158</v>
      </c>
      <c r="B5" s="4" t="n">
        <f aca="false">DCF_Base!$B$38</f>
        <v>253.004043966303</v>
      </c>
      <c r="C5" s="0" t="n">
        <f aca="false">B5/Assumptions!$B$2-1</f>
        <v>0.113917333537193</v>
      </c>
      <c r="D5" s="4" t="n">
        <f aca="false">Assumptions!$B$38</f>
        <v>0.55</v>
      </c>
      <c r="E5" s="4" t="n">
        <f aca="false">DCF_Base!$B$43</f>
        <v>259.371341462178</v>
      </c>
      <c r="F5" s="4" t="n">
        <f aca="false">DCF_Base!$B$47</f>
        <v>77.2573751067425</v>
      </c>
    </row>
    <row r="6" customFormat="false" ht="15" hidden="false" customHeight="false" outlineLevel="0" collapsed="false">
      <c r="A6" s="0" t="s">
        <v>159</v>
      </c>
      <c r="B6" s="4" t="n">
        <f aca="false">DCF_Bull!$B$38</f>
        <v>296.719686917978</v>
      </c>
      <c r="C6" s="0" t="n">
        <f aca="false">B6/Assumptions!$B$2-1</f>
        <v>0.30638703349614</v>
      </c>
      <c r="D6" s="4" t="n">
        <f aca="false">Assumptions!$B$52</f>
        <v>0.25</v>
      </c>
      <c r="E6" s="4" t="n">
        <f aca="false">DCF_Bull!$B$43</f>
        <v>303.665416472187</v>
      </c>
      <c r="F6" s="4" t="n">
        <f aca="false">DCF_Bull!$B$47</f>
        <v>93.1161259688547</v>
      </c>
    </row>
    <row r="8" customFormat="false" ht="15" hidden="false" customHeight="false" outlineLevel="0" collapsed="false">
      <c r="A8" s="0" t="s">
        <v>160</v>
      </c>
      <c r="B8" s="0" t="n">
        <f aca="false">SUMPRODUCT(B4:B6,D4:D6)</f>
        <v>247.011043423385</v>
      </c>
    </row>
    <row r="9" customFormat="false" ht="15" hidden="false" customHeight="false" outlineLevel="0" collapsed="false">
      <c r="A9" s="0" t="s">
        <v>161</v>
      </c>
      <c r="B9" s="0" t="n">
        <f aca="false">SUMPRODUCT(E4:E6,D4:D6)</f>
        <v>253.453195224055</v>
      </c>
    </row>
    <row r="10" customFormat="false" ht="15" hidden="false" customHeight="false" outlineLevel="0" collapsed="false">
      <c r="A10" s="0" t="s">
        <v>162</v>
      </c>
      <c r="B10" s="0" t="n">
        <f aca="false">1-Assumptions!$B$2/B8</f>
        <v>0.0804864557788547</v>
      </c>
    </row>
    <row r="11" customFormat="false" ht="15" hidden="false" customHeight="false" outlineLevel="0" collapsed="false">
      <c r="A11" s="0" t="s">
        <v>163</v>
      </c>
      <c r="B11" s="0" t="n">
        <f aca="false">IF(ABS(B9-B8)&gt;0.01*ABS(B8),(Assumptions!$B$2-B8)/(B9-B8)*100,"n/a")</f>
        <v>-308.60873879621</v>
      </c>
    </row>
    <row r="12" customFormat="false" ht="15" hidden="false" customHeight="false" outlineLevel="0" collapsed="false">
      <c r="A12" s="0" t="s">
        <v>164</v>
      </c>
      <c r="B12" s="0" t="n">
        <f aca="false">SUMPRODUCT(F4:F6,D4:D6)</f>
        <v>76.9940575056831</v>
      </c>
    </row>
    <row r="14" customFormat="false" ht="15" hidden="false" customHeight="false" outlineLevel="0" collapsed="false">
      <c r="A14" s="2" t="s">
        <v>165</v>
      </c>
      <c r="C14" s="0" t="s">
        <v>166</v>
      </c>
    </row>
    <row r="15" customFormat="false" ht="15" hidden="false" customHeight="false" outlineLevel="0" collapsed="false">
      <c r="A15" s="0" t="s">
        <v>167</v>
      </c>
      <c r="B15" s="0" t="n">
        <f aca="false">(SUMPRODUCT(DCF_Base!$C$19:$L$19/(1+$C$15/100)^DCF_Base!$C$4:$L$4)+MAX(0,MIN(IF($C$15&gt;DCF_Base!$B$28,DCF_Base!$L$19*(1+DCF_Base!$B$28/100)/(($C$15-DCF_Base!$B$28)/100),DCF_Base!$L$19*DCF_Base!$B$29),DCF_Base!$L$19*DCF_Base!$B$29))/(1+$C$15/100)^DCF_Base!$L$4+Assumptions!$B$5-Assumptions!$B$4)/Assumptions!$B$3*Assumptions!$B$10</f>
        <v>253.004043966303</v>
      </c>
      <c r="C15" s="3" t="n">
        <v>8</v>
      </c>
    </row>
    <row r="16" customFormat="false" ht="15" hidden="false" customHeight="false" outlineLevel="0" collapsed="false">
      <c r="A16" s="0" t="s">
        <v>168</v>
      </c>
      <c r="B16" s="0" t="n">
        <f aca="false">(SUMPRODUCT(DCF_Base!$C$19:$L$19/(1+$C$16/100)^DCF_Base!$C$4:$L$4)+MAX(0,MIN(IF($C$16&gt;DCF_Base!$B$28,DCF_Base!$L$19*(1+DCF_Base!$B$28/100)/(($C$16-DCF_Base!$B$28)/100),DCF_Base!$L$19*DCF_Base!$B$29),DCF_Base!$L$19*DCF_Base!$B$29))/(1+$C$16/100)^DCF_Base!$L$4+Assumptions!$B$5-Assumptions!$B$4)/Assumptions!$B$3*Assumptions!$B$10</f>
        <v>206.772096835689</v>
      </c>
      <c r="C16" s="3" t="n">
        <v>9</v>
      </c>
    </row>
    <row r="17" customFormat="false" ht="15" hidden="false" customHeight="false" outlineLevel="0" collapsed="false">
      <c r="A17" s="0" t="s">
        <v>169</v>
      </c>
      <c r="B17" s="0" t="n">
        <f aca="false">(SUMPRODUCT(DCF_Base!$C$19:$L$19/(1+$C$17/100)^DCF_Base!$C$4:$L$4)+MAX(0,MIN(IF($C$17&gt;DCF_Base!$B$28,DCF_Base!$L$19*(1+DCF_Base!$B$28/100)/(($C$17-DCF_Base!$B$28)/100),DCF_Base!$L$19*DCF_Base!$B$29),DCF_Base!$L$19*DCF_Base!$B$29))/(1+$C$17/100)^DCF_Base!$L$4+Assumptions!$B$5-Assumptions!$B$4)/Assumptions!$B$3*Assumptions!$B$10</f>
        <v>169.729446683243</v>
      </c>
      <c r="C17" s="3" t="n">
        <v>10</v>
      </c>
    </row>
    <row r="18" customFormat="false" ht="15" hidden="false" customHeight="false" outlineLevel="0" collapsed="false">
      <c r="A18" s="0" t="s">
        <v>170</v>
      </c>
      <c r="B18" s="0" t="n">
        <f aca="false">(SUMPRODUCT(DCF_Base!$C$19:$L$19/(1+$C$18/100)^DCF_Base!$C$4:$L$4)+MAX(0,MIN(IF($C$18&gt;DCF_Base!$B$28,DCF_Base!$L$19*(1+DCF_Base!$B$28/100)/(($C$18-DCF_Base!$B$28)/100),DCF_Base!$L$19*DCF_Base!$B$29),DCF_Base!$L$19*DCF_Base!$B$29))/(1+$C$18/100)^DCF_Base!$L$4+Assumptions!$B$5-Assumptions!$B$4)/Assumptions!$B$3*Assumptions!$B$10</f>
        <v>141.961347784994</v>
      </c>
      <c r="C18" s="3" t="n">
        <v>11</v>
      </c>
    </row>
    <row r="19" customFormat="false" ht="15" hidden="false" customHeight="false" outlineLevel="0" collapsed="false">
      <c r="A19" s="0" t="s">
        <v>171</v>
      </c>
      <c r="B19" s="0" t="n">
        <f aca="false">(SUMPRODUCT(DCF_Base!$C$19:$L$19/(1+$C$19/100)^DCF_Base!$C$4:$L$4)+MAX(0,MIN(IF($C$19&gt;DCF_Base!$B$28,DCF_Base!$L$19*(1+DCF_Base!$B$28/100)/(($C$19-DCF_Base!$B$28)/100),DCF_Base!$L$19*DCF_Base!$B$29),DCF_Base!$L$19*DCF_Base!$B$29))/(1+$C$19/100)^DCF_Base!$L$4+Assumptions!$B$5-Assumptions!$B$4)/Assumptions!$B$3*Assumptions!$B$10</f>
        <v>120.376001127906</v>
      </c>
      <c r="C19" s="3" t="n">
        <v>12</v>
      </c>
    </row>
    <row r="20" customFormat="false" ht="15" hidden="false" customHeight="false" outlineLevel="0" collapsed="false">
      <c r="A20" s="0" t="s">
        <v>172</v>
      </c>
      <c r="B20" s="0" t="n">
        <f aca="false">(SUMPRODUCT(DCF_Base!$C$19:$L$19/(1+$C$20/100)^DCF_Base!$C$4:$L$4)+MAX(0,MIN(IF($C$20&gt;DCF_Base!$B$28,DCF_Base!$L$19*(1+DCF_Base!$B$28/100)/(($C$20-DCF_Base!$B$28)/100),DCF_Base!$L$19*DCF_Base!$B$29),DCF_Base!$L$19*DCF_Base!$B$29))/(1+$C$20/100)^DCF_Base!$L$4+Assumptions!$B$5-Assumptions!$B$4)/Assumptions!$B$3*Assumptions!$B$10</f>
        <v>77.2573751067425</v>
      </c>
      <c r="C20" s="3" t="n">
        <v>15</v>
      </c>
    </row>
    <row r="22" customFormat="false" ht="15" hidden="false" customHeight="false" outlineLevel="0" collapsed="false">
      <c r="A22" s="2" t="s">
        <v>173</v>
      </c>
    </row>
    <row r="23" customFormat="false" ht="15" hidden="false" customHeight="false" outlineLevel="0" collapsed="false">
      <c r="B23" s="3" t="n">
        <v>2</v>
      </c>
      <c r="C23" s="3" t="n">
        <v>2.5</v>
      </c>
      <c r="D23" s="3" t="n">
        <v>3</v>
      </c>
      <c r="E23" s="3" t="n">
        <v>3.5</v>
      </c>
      <c r="F23" s="3" t="n">
        <v>4</v>
      </c>
    </row>
    <row r="24" customFormat="false" ht="15" hidden="false" customHeight="false" outlineLevel="0" collapsed="false">
      <c r="A24" s="3" t="n">
        <v>6</v>
      </c>
      <c r="B24" s="0" t="n">
        <f aca="false">(SUMPRODUCT(DCF_Base!$C$19:$L$19/(1+$A$24/100)^DCF_Base!$C$4:$L$4)+MAX(0,MIN(IF($A$24&gt;$B$23,DCF_Base!$L$19*(1+$B$23/100)/(($A$24-$B$23)/100),DCF_Base!$L$19*DCF_Base!$B$29),DCF_Base!$L$19*DCF_Base!$B$29))/(1+$A$24/100)^DCF_Base!$L$4+Assumptions!$B$5-Assumptions!$B$4)/Assumptions!$B$3*Assumptions!$B$10</f>
        <v>303.573762797355</v>
      </c>
      <c r="C24" s="0" t="n">
        <f aca="false">(SUMPRODUCT(DCF_Base!$C$19:$L$19/(1+$A$24/100)^DCF_Base!$C$4:$L$4)+MAX(0,MIN(IF($A$24&gt;$C$23,DCF_Base!$L$19*(1+$C$23/100)/(($A$24-$C$23)/100),DCF_Base!$L$19*DCF_Base!$B$29),DCF_Base!$L$19*DCF_Base!$B$29))/(1+$A$24/100)^DCF_Base!$L$4+Assumptions!$B$5-Assumptions!$B$4)/Assumptions!$B$3*Assumptions!$B$10</f>
        <v>303.573762797355</v>
      </c>
      <c r="D24" s="0" t="n">
        <f aca="false">(SUMPRODUCT(DCF_Base!$C$19:$L$19/(1+$A$24/100)^DCF_Base!$C$4:$L$4)+MAX(0,MIN(IF($A$24&gt;$D$23,DCF_Base!$L$19*(1+$D$23/100)/(($A$24-$D$23)/100),DCF_Base!$L$19*DCF_Base!$B$29),DCF_Base!$L$19*DCF_Base!$B$29))/(1+$A$24/100)^DCF_Base!$L$4+Assumptions!$B$5-Assumptions!$B$4)/Assumptions!$B$3*Assumptions!$B$10</f>
        <v>303.573762797355</v>
      </c>
      <c r="E24" s="0" t="n">
        <f aca="false">(SUMPRODUCT(DCF_Base!$C$19:$L$19/(1+$A$24/100)^DCF_Base!$C$4:$L$4)+MAX(0,MIN(IF($A$24&gt;$E$23,DCF_Base!$L$19*(1+$E$23/100)/(($A$24-$E$23)/100),DCF_Base!$L$19*DCF_Base!$B$29),DCF_Base!$L$19*DCF_Base!$B$29))/(1+$A$24/100)^DCF_Base!$L$4+Assumptions!$B$5-Assumptions!$B$4)/Assumptions!$B$3*Assumptions!$B$10</f>
        <v>303.573762797355</v>
      </c>
      <c r="F24" s="0" t="n">
        <f aca="false">(SUMPRODUCT(DCF_Base!$C$19:$L$19/(1+$A$24/100)^DCF_Base!$C$4:$L$4)+MAX(0,MIN(IF($A$24&gt;$F$23,DCF_Base!$L$19*(1+$F$23/100)/(($A$24-$F$23)/100),DCF_Base!$L$19*DCF_Base!$B$29),DCF_Base!$L$19*DCF_Base!$B$29))/(1+$A$24/100)^DCF_Base!$L$4+Assumptions!$B$5-Assumptions!$B$4)/Assumptions!$B$3*Assumptions!$B$10</f>
        <v>303.573762797355</v>
      </c>
    </row>
    <row r="25" customFormat="false" ht="15" hidden="false" customHeight="false" outlineLevel="0" collapsed="false">
      <c r="A25" s="3" t="n">
        <v>7</v>
      </c>
      <c r="B25" s="0" t="n">
        <f aca="false">(SUMPRODUCT(DCF_Base!$C$19:$L$19/(1+$A$25/100)^DCF_Base!$C$4:$L$4)+MAX(0,MIN(IF($A$25&gt;$B$23,DCF_Base!$L$19*(1+$B$23/100)/(($A$25-$B$23)/100),DCF_Base!$L$19*DCF_Base!$B$29),DCF_Base!$L$19*DCF_Base!$B$29))/(1+$A$25/100)^DCF_Base!$L$4+Assumptions!$B$5-Assumptions!$B$4)/Assumptions!$B$3*Assumptions!$B$10</f>
        <v>277.077760783172</v>
      </c>
      <c r="C25" s="0" t="n">
        <f aca="false">(SUMPRODUCT(DCF_Base!$C$19:$L$19/(1+$A$25/100)^DCF_Base!$C$4:$L$4)+MAX(0,MIN(IF($A$25&gt;$C$23,DCF_Base!$L$19*(1+$C$23/100)/(($A$25-$C$23)/100),DCF_Base!$L$19*DCF_Base!$B$29),DCF_Base!$L$19*DCF_Base!$B$29))/(1+$A$25/100)^DCF_Base!$L$4+Assumptions!$B$5-Assumptions!$B$4)/Assumptions!$B$3*Assumptions!$B$10</f>
        <v>277.077760783172</v>
      </c>
      <c r="D25" s="0" t="n">
        <f aca="false">(SUMPRODUCT(DCF_Base!$C$19:$L$19/(1+$A$25/100)^DCF_Base!$C$4:$L$4)+MAX(0,MIN(IF($A$25&gt;$D$23,DCF_Base!$L$19*(1+$D$23/100)/(($A$25-$D$23)/100),DCF_Base!$L$19*DCF_Base!$B$29),DCF_Base!$L$19*DCF_Base!$B$29))/(1+$A$25/100)^DCF_Base!$L$4+Assumptions!$B$5-Assumptions!$B$4)/Assumptions!$B$3*Assumptions!$B$10</f>
        <v>277.077760783172</v>
      </c>
      <c r="E25" s="0" t="n">
        <f aca="false">(SUMPRODUCT(DCF_Base!$C$19:$L$19/(1+$A$25/100)^DCF_Base!$C$4:$L$4)+MAX(0,MIN(IF($A$25&gt;$E$23,DCF_Base!$L$19*(1+$E$23/100)/(($A$25-$E$23)/100),DCF_Base!$L$19*DCF_Base!$B$29),DCF_Base!$L$19*DCF_Base!$B$29))/(1+$A$25/100)^DCF_Base!$L$4+Assumptions!$B$5-Assumptions!$B$4)/Assumptions!$B$3*Assumptions!$B$10</f>
        <v>277.077760783172</v>
      </c>
      <c r="F25" s="0" t="n">
        <f aca="false">(SUMPRODUCT(DCF_Base!$C$19:$L$19/(1+$A$25/100)^DCF_Base!$C$4:$L$4)+MAX(0,MIN(IF($A$25&gt;$F$23,DCF_Base!$L$19*(1+$F$23/100)/(($A$25-$F$23)/100),DCF_Base!$L$19*DCF_Base!$B$29),DCF_Base!$L$19*DCF_Base!$B$29))/(1+$A$25/100)^DCF_Base!$L$4+Assumptions!$B$5-Assumptions!$B$4)/Assumptions!$B$3*Assumptions!$B$10</f>
        <v>277.077760783172</v>
      </c>
    </row>
    <row r="26" customFormat="false" ht="15" hidden="false" customHeight="false" outlineLevel="0" collapsed="false">
      <c r="A26" s="3" t="n">
        <v>8</v>
      </c>
      <c r="B26" s="0" t="n">
        <f aca="false">(SUMPRODUCT(DCF_Base!$C$19:$L$19/(1+$A$26/100)^DCF_Base!$C$4:$L$4)+MAX(0,MIN(IF($A$26&gt;$B$23,DCF_Base!$L$19*(1+$B$23/100)/(($A$26-$B$23)/100),DCF_Base!$L$19*DCF_Base!$B$29),DCF_Base!$L$19*DCF_Base!$B$29))/(1+$A$26/100)^DCF_Base!$L$4+Assumptions!$B$5-Assumptions!$B$4)/Assumptions!$B$3*Assumptions!$B$10</f>
        <v>224.751711545725</v>
      </c>
      <c r="C26" s="0" t="n">
        <f aca="false">(SUMPRODUCT(DCF_Base!$C$19:$L$19/(1+$A$26/100)^DCF_Base!$C$4:$L$4)+MAX(0,MIN(IF($A$26&gt;$C$23,DCF_Base!$L$19*(1+$C$23/100)/(($A$26-$C$23)/100),DCF_Base!$L$19*DCF_Base!$B$29),DCF_Base!$L$19*DCF_Base!$B$29))/(1+$A$26/100)^DCF_Base!$L$4+Assumptions!$B$5-Assumptions!$B$4)/Assumptions!$B$3*Assumptions!$B$10</f>
        <v>240.162074684222</v>
      </c>
      <c r="D26" s="0" t="n">
        <f aca="false">(SUMPRODUCT(DCF_Base!$C$19:$L$19/(1+$A$26/100)^DCF_Base!$C$4:$L$4)+MAX(0,MIN(IF($A$26&gt;$D$23,DCF_Base!$L$19*(1+$D$23/100)/(($A$26-$D$23)/100),DCF_Base!$L$19*DCF_Base!$B$29),DCF_Base!$L$19*DCF_Base!$B$29))/(1+$A$26/100)^DCF_Base!$L$4+Assumptions!$B$5-Assumptions!$B$4)/Assumptions!$B$3*Assumptions!$B$10</f>
        <v>253.004043966303</v>
      </c>
      <c r="E26" s="0" t="n">
        <f aca="false">(SUMPRODUCT(DCF_Base!$C$19:$L$19/(1+$A$26/100)^DCF_Base!$C$4:$L$4)+MAX(0,MIN(IF($A$26&gt;$E$23,DCF_Base!$L$19*(1+$E$23/100)/(($A$26-$E$23)/100),DCF_Base!$L$19*DCF_Base!$B$29),DCF_Base!$L$19*DCF_Base!$B$29))/(1+$A$26/100)^DCF_Base!$L$4+Assumptions!$B$5-Assumptions!$B$4)/Assumptions!$B$3*Assumptions!$B$10</f>
        <v>253.004043966303</v>
      </c>
      <c r="F26" s="0" t="n">
        <f aca="false">(SUMPRODUCT(DCF_Base!$C$19:$L$19/(1+$A$26/100)^DCF_Base!$C$4:$L$4)+MAX(0,MIN(IF($A$26&gt;$F$23,DCF_Base!$L$19*(1+$F$23/100)/(($A$26-$F$23)/100),DCF_Base!$L$19*DCF_Base!$B$29),DCF_Base!$L$19*DCF_Base!$B$29))/(1+$A$26/100)^DCF_Base!$L$4+Assumptions!$B$5-Assumptions!$B$4)/Assumptions!$B$3*Assumptions!$B$10</f>
        <v>253.004043966303</v>
      </c>
    </row>
    <row r="27" customFormat="false" ht="15" hidden="false" customHeight="false" outlineLevel="0" collapsed="false">
      <c r="A27" s="3" t="n">
        <v>9</v>
      </c>
      <c r="B27" s="0" t="n">
        <f aca="false">(SUMPRODUCT(DCF_Base!$C$19:$L$19/(1+$A$27/100)^DCF_Base!$C$4:$L$4)+MAX(0,MIN(IF($A$27&gt;$B$23,DCF_Base!$L$19*(1+$B$23/100)/(($A$27-$B$23)/100),DCF_Base!$L$19*DCF_Base!$B$29),DCF_Base!$L$19*DCF_Base!$B$29))/(1+$A$27/100)^DCF_Base!$L$4+Assumptions!$B$5-Assumptions!$B$4)/Assumptions!$B$3*Assumptions!$B$10</f>
        <v>184.483494495788</v>
      </c>
      <c r="C27" s="0" t="n">
        <f aca="false">(SUMPRODUCT(DCF_Base!$C$19:$L$19/(1+$A$27/100)^DCF_Base!$C$4:$L$4)+MAX(0,MIN(IF($A$27&gt;$C$23,DCF_Base!$L$19*(1+$C$23/100)/(($A$27-$C$23)/100),DCF_Base!$L$19*DCF_Base!$B$29),DCF_Base!$L$19*DCF_Base!$B$29))/(1+$A$27/100)^DCF_Base!$L$4+Assumptions!$B$5-Assumptions!$B$4)/Assumptions!$B$3*Assumptions!$B$10</f>
        <v>194.770541729589</v>
      </c>
      <c r="D27" s="0" t="n">
        <f aca="false">(SUMPRODUCT(DCF_Base!$C$19:$L$19/(1+$A$27/100)^DCF_Base!$C$4:$L$4)+MAX(0,MIN(IF($A$27&gt;$D$23,DCF_Base!$L$19*(1+$D$23/100)/(($A$27-$D$23)/100),DCF_Base!$L$19*DCF_Base!$B$29),DCF_Base!$L$19*DCF_Base!$B$29))/(1+$A$27/100)^DCF_Base!$L$4+Assumptions!$B$5-Assumptions!$B$4)/Assumptions!$B$3*Assumptions!$B$10</f>
        <v>206.772096835689</v>
      </c>
      <c r="E27" s="0" t="n">
        <f aca="false">(SUMPRODUCT(DCF_Base!$C$19:$L$19/(1+$A$27/100)^DCF_Base!$C$4:$L$4)+MAX(0,MIN(IF($A$27&gt;$E$23,DCF_Base!$L$19*(1+$E$23/100)/(($A$27-$E$23)/100),DCF_Base!$L$19*DCF_Base!$B$29),DCF_Base!$L$19*DCF_Base!$B$29))/(1+$A$27/100)^DCF_Base!$L$4+Assumptions!$B$5-Assumptions!$B$4)/Assumptions!$B$3*Assumptions!$B$10</f>
        <v>220.955752870172</v>
      </c>
      <c r="F27" s="0" t="n">
        <f aca="false">(SUMPRODUCT(DCF_Base!$C$19:$L$19/(1+$A$27/100)^DCF_Base!$C$4:$L$4)+MAX(0,MIN(IF($A$27&gt;$F$23,DCF_Base!$L$19*(1+$F$23/100)/(($A$27-$F$23)/100),DCF_Base!$L$19*DCF_Base!$B$29),DCF_Base!$L$19*DCF_Base!$B$29))/(1+$A$27/100)^DCF_Base!$L$4+Assumptions!$B$5-Assumptions!$B$4)/Assumptions!$B$3*Assumptions!$B$10</f>
        <v>231.105525078334</v>
      </c>
    </row>
    <row r="28" customFormat="false" ht="15" hidden="false" customHeight="false" outlineLevel="0" collapsed="false">
      <c r="A28" s="3" t="n">
        <v>10</v>
      </c>
      <c r="B28" s="0" t="n">
        <f aca="false">(SUMPRODUCT(DCF_Base!$C$19:$L$19/(1+$A$28/100)^DCF_Base!$C$4:$L$4)+MAX(0,MIN(IF($A$28&gt;$B$23,DCF_Base!$L$19*(1+$B$23/100)/(($A$28-$B$23)/100),DCF_Base!$L$19*DCF_Base!$B$29),DCF_Base!$L$19*DCF_Base!$B$29))/(1+$A$28/100)^DCF_Base!$L$4+Assumptions!$B$5-Assumptions!$B$4)/Assumptions!$B$3*Assumptions!$B$10</f>
        <v>154.332010446119</v>
      </c>
      <c r="C28" s="0" t="n">
        <f aca="false">(SUMPRODUCT(DCF_Base!$C$19:$L$19/(1+$A$28/100)^DCF_Base!$C$4:$L$4)+MAX(0,MIN(IF($A$28&gt;$C$23,DCF_Base!$L$19*(1+$C$23/100)/(($A$28-$C$23)/100),DCF_Base!$L$19*DCF_Base!$B$29),DCF_Base!$L$19*DCF_Base!$B$29))/(1+$A$28/100)^DCF_Base!$L$4+Assumptions!$B$5-Assumptions!$B$4)/Assumptions!$B$3*Assumptions!$B$10</f>
        <v>161.51748069011</v>
      </c>
      <c r="D28" s="0" t="n">
        <f aca="false">(SUMPRODUCT(DCF_Base!$C$19:$L$19/(1+$A$28/100)^DCF_Base!$C$4:$L$4)+MAX(0,MIN(IF($A$28&gt;$D$23,DCF_Base!$L$19*(1+$D$23/100)/(($A$28-$D$23)/100),DCF_Base!$L$19*DCF_Base!$B$29),DCF_Base!$L$19*DCF_Base!$B$29))/(1+$A$28/100)^DCF_Base!$L$4+Assumptions!$B$5-Assumptions!$B$4)/Assumptions!$B$3*Assumptions!$B$10</f>
        <v>169.729446683243</v>
      </c>
      <c r="E28" s="0" t="n">
        <f aca="false">(SUMPRODUCT(DCF_Base!$C$19:$L$19/(1+$A$28/100)^DCF_Base!$C$4:$L$4)+MAX(0,MIN(IF($A$28&gt;$E$23,DCF_Base!$L$19*(1+$E$23/100)/(($A$28-$E$23)/100),DCF_Base!$L$19*DCF_Base!$B$29),DCF_Base!$L$19*DCF_Base!$B$29))/(1+$A$28/100)^DCF_Base!$L$4+Assumptions!$B$5-Assumptions!$B$4)/Assumptions!$B$3*Assumptions!$B$10</f>
        <v>179.204792059935</v>
      </c>
      <c r="F28" s="0" t="n">
        <f aca="false">(SUMPRODUCT(DCF_Base!$C$19:$L$19/(1+$A$28/100)^DCF_Base!$C$4:$L$4)+MAX(0,MIN(IF($A$28&gt;$F$23,DCF_Base!$L$19*(1+$F$23/100)/(($A$28-$F$23)/100),DCF_Base!$L$19*DCF_Base!$B$29),DCF_Base!$L$19*DCF_Base!$B$29))/(1+$A$28/100)^DCF_Base!$L$4+Assumptions!$B$5-Assumptions!$B$4)/Assumptions!$B$3*Assumptions!$B$10</f>
        <v>190.259361666075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2026-09-25T09:53:48Z</dcterms:created>
  <dc:creator>openpyxl</dc:creator>
  <dc:description/>
  <dc:language>en-NZ</dc:language>
  <cp:lastModifiedBy/>
  <dcterms:modified xsi:type="dcterms:W3CDTF">2026-09-25T09:53:48Z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