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<sst xmlns="http://schemas.openxmlformats.org/spreadsheetml/2006/main" count="354" uniqueCount="164">
  <si>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</si>
  <si>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0914.HK</t>
  </si>
  <si>
    <t xml:space="preserve">Company</t>
  </si>
  <si>
    <t xml:space="preserve">Anhui Conch Cement Company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</si>
  <si>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</si>
  <si>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</si>
  <si>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</si>
  <si>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</si>
  <si>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HKEX close (Friday); valuation written Sunday 2026-10-11, no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</si>
  <si>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</si>
  <si>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</si>
  <si>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</si>
  <si>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</si>
  <si>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</si>
  <si>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</si>
  <si>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</si>
  <si>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</si>
  <si>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</si>
  <si>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</si>
  <si>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</si>
  <si>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</si>
  <si>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</si>
  <si>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2026-10-11T10:30:22Z</t>
  </si>
  <si>
    <t xml:space="preserve">Drivers file</t>
  </si>
  <si>
    <t xml:space="preserve">0914.HK_Drivers.json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</si>
  <si>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</si>
  <si>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</si>
  <si>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</si>
  <si>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Conch as a through-cycle owner-FCF stream plus a very large, separately itemised net cash and investment portfolio. The operating margin path is normalised to a mid-cycle level derived from the post-2021 era rather than the peak years, cyclicality is priced in the scenario flows and a 30% bear weight rather than by stacking WACC premia, and the terminal multiple is capped at 10-14x because cement is a structurally declining end-market in China. The H-share price currently sits near the bear-case value, i.e. the market is paying for the balance sheet and crediting the cement business with roughly nothing.
key_risks_to_valuation: Net cash and wealth-management products (RMB81bn gross) are ~74% of the H-share market cap; the valuation depends on this capital being returned or reinvested at a reasonable return rather than trapped in low-yield deposits or spent on marginal M&amp;A. A 20% haircut to the cash pile is ~HK$3.6/share.; Mid-cycle margin of 20% may be too high if Chinese cement demand keeps falling toward 1.3bn t and capacity controls are not enforced; each 1pp of terminal margin is ~RMB0.75bn of EBITDA, ~HK$1/share of value.; Coal and power are 52-57% of unit cost; a coal price spike compresses margins faster than cement prices adjust (H1 2026 pattern).; Carbon ETS inclusion and dual-carbon mandates add a structural cost not separately modelled beyond the margin path.; Related-party asset roll-ups from Conch Holdings (RMB619-691m in 2026) and NCI-funded overseas JVs are capital allocation decisions outside minority control.; FX: value computed in CNY and translated at a single spot CNYHKD rate; a 5% RMB move is ~HK$1/share.</t>
  </si>
  <si>
    <t xml:space="preserve">Data sources</t>
  </si>
  <si>
    <t xml:space="preserve">price: Yahoo Finance chart API for 0914.HK at inputs.price_as_of; 52-week range 15.45-27.14 HKD. CNYHKD=X and 600585.SS from the same endpoint for the fx_note.
financials: 0914.HK_Metrics.csv (FY2018-FY2025 annual, H1 2024-H1 2026 interim; CNY millions) derived from core_metrics; balance-sheet, cash-flow and other-income detail read directly from 0914.HK_Annual_FY2025.txt (IFRS statements, other income note 6, cash flow statement) and 0914.HK_HalfYear_H1-2026.txt (statement of financial position at 30 June 2026, note 13 FVPL assets, treasury share disclosure, EPS note, MD&amp;A sales-by-industry paragraphs).
qualitative: 0914.HK_Analysis.json (business model, competitive position, FY2026 guidance: 260mt volume, RMB11,820m capex, RMB600m-1,000m buyback, bull/bear cases).</t>
  </si>
  <si>
    <t xml:space="preserve">Scenario narrative: bear</t>
  </si>
  <si>
    <t xml:space="preserve">The property adjustment runs for years and infrastructure stimulus fades; cement output falls toward 1.3-1.4bn t by 2028 with ~30% overcapacity unresolved. Price competition persists, coal rebounds, carbon costs rise. Margin settles at 15-15.5%, revenue shrinks to ~RMB60bn, owner FCF of ~RMB1.5-2bn a year is mostly absorbed by diversification capex. Equity value is close to the net cash plus associates; the operating business is worth little more than its terminal cap of 10x a thin FCF.</t>
  </si>
  <si>
    <t xml:space="preserve">Scenario narrative: base</t>
  </si>
  <si>
    <t xml:space="preserve">A cyclical trough in FY2026-27 inside a structurally shrinking Chinese cement market. Revenue bottoms around RMB72bn in FY2027 and grows ~2% a year thereafter as aggregates, commodity concrete, overseas plants and consumer building materials grow faster than domestic cement declines. Operating EBITDA margin (ex interest and investment income) troughs at 17.5% and normalises to 20% mid-cycle by FY2030, the FY2022-25 average on a self-produced basis, never the 28-30% of 2018-21. Capex stays modestly above D&amp;A. Terminal value capped at 12x owner FCF. Roughly three-quarters of the per-share value is the RMB53bn net cash and investment portfolio, so the base case is a judgment about capital allocation (dividends, buybacks, counter-cyclical M&amp;A) as much as cement economics.</t>
  </si>
  <si>
    <t xml:space="preserve">Scenario narrative: bull</t>
  </si>
  <si>
    <t xml:space="preserve">Policy-driven consolidation works: the MIIT 2025-26 work plan retires misaligned capacity, off-peak production holds, and the 15th Five-Year Plan infrastructure push plus urban renewal stabilise demand near 1.6bn t. Conch, as the lowest-cost producer (unit cost ~RMB165/t), regains pricing and rebuilds a 23% operating margin by FY2029 while overseas revenue compounds at 20%+ and share buybacks continue. Terminal cap 14x.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</si>
  <si>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</si>
  <si>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</si>
  <si>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</si>
  <si>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</si>
  <si>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</si>
  <si>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</si>
  <si>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</si>
  <si>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</si>
  <si>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</si>
  <si>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</si>
  <si>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</si>
  <si>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</si>
  <si>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</si>
  <si>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</si>
  <si>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</si>
  <si>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</si>
  <si>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</si>
  <si>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</si>
  <si>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</si>
  <si>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</si>
  <si>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</si>
  <si>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</si>
  <si>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</si>
  <si>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</si>
  <si>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</si>
  <si>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</si>
  <si>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</si>
  <si>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</si>
  <si>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</si>
  <si>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</si>
  <si>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</si>
  <si>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</si>
  <si>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</si>
  <si>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</si>
  <si>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</si>
  <si>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</si>
  <si>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</si>
  <si>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</si>
  <si>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</si>
  <si>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</si>
  <si>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</si>
  <si>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</si>
  <si>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</si>
  <si>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</si>
  <si>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</si>
  <si>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</si>
  <si>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</si>
  <si>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</si>
  <si>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</si>
  <si>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</si>
  <si>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</si>
  <si>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</si>
  <si>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</si>
  <si>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</si>
  <si>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</si>
  <si>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</si>
  <si>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</si>
  <si>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</si>
  <si>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</si>
  <si>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</si>
  <si>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</si>
  <si>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</si>
  <si>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</si>
  <si>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</si>
  <si>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</si>
  <si>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</si>
  <si>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</si>
  <si>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</si>
  <si>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</si>
  <si>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</si>
  <si>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</si>
  <si>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</si>
  <si>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0914.HK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</si>
  <si>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</si>
  <si>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</si>
  <si>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</si>
  <si>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</si>
  <si>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</si>
  <si>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</si>
  <si>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</si>
  <si>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</si>
  <si>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</si>
  <si>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</si>
  <si>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</si>
  <si>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</si>
  <si>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</si>
  <si>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</si>
  <si>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</si>
  <si>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</si>
  <si>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</si>
  <si>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</si>
  <si>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</si>
  <si>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</si>
  <si>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</si>
  <si>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</si>
  <si>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</si>
  <si>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</si>
  <si>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</si>
  <si>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</si>
  <si>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</si>
  <si>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</si>
  <si>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</si>
  <si>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</si>
  <si>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0914.HK owner-FCF component DCF: base case (millions, CNY)</t>
  </si>
  <si>
    <t xml:space="preserve">0914.HK owner-FCF component DCF: bull case (millions, CNY)</t>
  </si>
  <si>
    <t xml:space="preserve">0914.HK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</si>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</sst>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15.99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128402.626</v>
      </c>
      <c r="C2" s="0" t="n">
        <v>82641.576</v>
      </c>
      <c r="D2" s="0" t="n">
        <v>45761.05</v>
      </c>
      <c r="E2" s="0" t="n">
        <v>35.6</v>
      </c>
      <c r="F2" s="0" t="n">
        <v>39698.32</v>
      </c>
      <c r="G2" s="0" t="n">
        <v>30.9</v>
      </c>
      <c r="H2" s="0" t="n">
        <v>44651.733</v>
      </c>
      <c r="I2" s="0" t="n">
        <v>29858.303</v>
      </c>
      <c r="J2" s="0" t="n">
        <v>23.3</v>
      </c>
      <c r="K2" s="0" t="n">
        <v>5.63</v>
      </c>
      <c r="L2" s="0" t="n">
        <v>35502.74</v>
      </c>
      <c r="M2" s="0" t="n">
        <v>4748.521</v>
      </c>
      <c r="N2" s="0" t="n">
        <v>30754.219</v>
      </c>
      <c r="O2" s="0" t="n">
        <v>112476.588</v>
      </c>
      <c r="P2" s="0" t="n">
        <v>149547.352</v>
      </c>
      <c r="Q2" s="0" t="n">
        <v>33358.169</v>
      </c>
      <c r="R2" s="0" t="n">
        <v>10233.502</v>
      </c>
      <c r="S2" s="0" t="n">
        <v>9857.672</v>
      </c>
      <c r="T2" s="0" t="n">
        <v>5299.303</v>
      </c>
      <c r="U2" s="0" t="n">
        <v>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157030.328</v>
      </c>
      <c r="C3" s="0" t="n">
        <v>106124.123</v>
      </c>
      <c r="D3" s="0" t="n">
        <v>50906.205</v>
      </c>
      <c r="E3" s="0" t="n">
        <v>32.4</v>
      </c>
      <c r="F3" s="0" t="n">
        <v>44188.246</v>
      </c>
      <c r="G3" s="0" t="n">
        <v>28.1</v>
      </c>
      <c r="H3" s="0" t="n">
        <v>49459.209</v>
      </c>
      <c r="I3" s="0" t="n">
        <v>33629.803</v>
      </c>
      <c r="J3" s="0" t="n">
        <v>21.4</v>
      </c>
      <c r="K3" s="0" t="n">
        <v>6.35</v>
      </c>
      <c r="L3" s="0" t="n">
        <v>40309.221</v>
      </c>
      <c r="M3" s="0" t="n">
        <v>8874.119</v>
      </c>
      <c r="N3" s="0" t="n">
        <v>31435.102</v>
      </c>
      <c r="O3" s="0" t="n">
        <v>137186.402</v>
      </c>
      <c r="P3" s="0" t="n">
        <v>178777</v>
      </c>
      <c r="Q3" s="0" t="n">
        <v>36646.226</v>
      </c>
      <c r="R3" s="0" t="n">
        <v>11342.269</v>
      </c>
      <c r="S3" s="0" t="n">
        <v>22014.145</v>
      </c>
      <c r="T3" s="0" t="n">
        <v>5299.303</v>
      </c>
      <c r="U3" s="0" t="n">
        <v>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176242.682</v>
      </c>
      <c r="C4" s="0" t="n">
        <v>126100.5</v>
      </c>
      <c r="D4" s="0" t="n">
        <v>50142.182</v>
      </c>
      <c r="E4" s="0" t="n">
        <v>28.5</v>
      </c>
      <c r="F4" s="0" t="n">
        <v>46785.971</v>
      </c>
      <c r="G4" s="0" t="n">
        <v>26.5</v>
      </c>
      <c r="H4" s="0" t="n">
        <v>52215.534</v>
      </c>
      <c r="I4" s="0" t="n">
        <v>35163.538</v>
      </c>
      <c r="J4" s="0" t="n">
        <v>20</v>
      </c>
      <c r="K4" s="0" t="n">
        <v>6.64</v>
      </c>
      <c r="L4" s="0" t="n">
        <v>34391.555</v>
      </c>
      <c r="M4" s="0" t="n">
        <v>9970.188</v>
      </c>
      <c r="N4" s="0" t="n">
        <v>24421.367</v>
      </c>
      <c r="O4" s="0" t="n">
        <v>161680.795</v>
      </c>
      <c r="P4" s="0" t="n">
        <v>200973</v>
      </c>
      <c r="Q4" s="0" t="n">
        <v>32910.091</v>
      </c>
      <c r="R4" s="0" t="n">
        <v>10874.607</v>
      </c>
      <c r="S4" s="0" t="n">
        <v>16676.384</v>
      </c>
      <c r="T4" s="0" t="n">
        <v>5299.303</v>
      </c>
      <c r="U4" s="0" t="n">
        <v>0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167952.664</v>
      </c>
      <c r="C5" s="0" t="n">
        <v>119388.987</v>
      </c>
      <c r="D5" s="0" t="n">
        <v>48563.677</v>
      </c>
      <c r="E5" s="0" t="n">
        <v>28.9</v>
      </c>
      <c r="F5" s="0" t="n">
        <v>43827.434</v>
      </c>
      <c r="G5" s="0" t="n">
        <v>26.1</v>
      </c>
      <c r="H5" s="0" t="n">
        <v>49784.189</v>
      </c>
      <c r="I5" s="0" t="n">
        <v>33300.694</v>
      </c>
      <c r="J5" s="0" t="n">
        <v>19.8</v>
      </c>
      <c r="K5" s="0" t="n">
        <v>6.28</v>
      </c>
      <c r="L5" s="0" t="n">
        <v>33597.712</v>
      </c>
      <c r="M5" s="0" t="n">
        <v>15202.309</v>
      </c>
      <c r="N5" s="0" t="n">
        <v>18395.403</v>
      </c>
      <c r="O5" s="0" t="n">
        <v>183577.459</v>
      </c>
      <c r="P5" s="0" t="n">
        <v>230515</v>
      </c>
      <c r="Q5" s="0" t="n">
        <v>38807.164</v>
      </c>
      <c r="R5" s="0" t="n">
        <v>12257.529</v>
      </c>
      <c r="S5" s="0" t="n">
        <v>17377.514</v>
      </c>
      <c r="T5" s="0" t="n">
        <v>5299.303</v>
      </c>
      <c r="U5" s="0" t="n">
        <v>0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132021.554</v>
      </c>
      <c r="C6" s="0" t="n">
        <v>104830.6</v>
      </c>
      <c r="D6" s="0" t="n">
        <v>27190.954</v>
      </c>
      <c r="E6" s="0" t="n">
        <v>20.6</v>
      </c>
      <c r="F6" s="0" t="n">
        <v>20091.734</v>
      </c>
      <c r="G6" s="0" t="n">
        <v>15.2</v>
      </c>
      <c r="H6" s="0" t="n">
        <v>26880.681</v>
      </c>
      <c r="I6" s="0" t="n">
        <v>15860.553</v>
      </c>
      <c r="J6" s="0" t="n">
        <v>12</v>
      </c>
      <c r="K6" s="0" t="n">
        <v>2.99</v>
      </c>
      <c r="L6" s="0" t="n">
        <v>9139.426</v>
      </c>
      <c r="M6" s="0" t="n">
        <v>26646.296</v>
      </c>
      <c r="N6" s="0" t="n">
        <v>-17506.87</v>
      </c>
      <c r="O6" s="0" t="n">
        <v>183562.632</v>
      </c>
      <c r="P6" s="0" t="n">
        <v>243976</v>
      </c>
      <c r="Q6" s="0" t="n">
        <v>48067.5</v>
      </c>
      <c r="R6" s="0" t="n">
        <v>22446.156</v>
      </c>
      <c r="S6" s="0" t="n">
        <v>16158.423</v>
      </c>
      <c r="T6" s="0" t="n">
        <v>5299.303</v>
      </c>
      <c r="U6" s="0" t="n">
        <v>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140999.428</v>
      </c>
      <c r="C7" s="0" t="n">
        <v>118634.454</v>
      </c>
      <c r="D7" s="0" t="n">
        <v>22364.974</v>
      </c>
      <c r="E7" s="0" t="n">
        <v>15.9</v>
      </c>
      <c r="F7" s="0" t="n">
        <v>14499.317</v>
      </c>
      <c r="G7" s="0" t="n">
        <v>10.3</v>
      </c>
      <c r="H7" s="0" t="n">
        <v>21944.573</v>
      </c>
      <c r="I7" s="0" t="n">
        <v>10689.181</v>
      </c>
      <c r="J7" s="0" t="n">
        <v>7.6</v>
      </c>
      <c r="K7" s="0" t="n">
        <v>2.02</v>
      </c>
      <c r="L7" s="0" t="n">
        <v>19077.288</v>
      </c>
      <c r="M7" s="0" t="n">
        <v>14167.451</v>
      </c>
      <c r="N7" s="0" t="n">
        <v>4909.837</v>
      </c>
      <c r="O7" s="0" t="n">
        <v>185269.537</v>
      </c>
      <c r="P7" s="0" t="n">
        <v>246189</v>
      </c>
      <c r="Q7" s="0" t="n">
        <v>48278.635</v>
      </c>
      <c r="R7" s="0" t="n">
        <v>23421.085</v>
      </c>
      <c r="S7" s="0" t="n">
        <v>11551.409</v>
      </c>
      <c r="T7" s="0" t="n">
        <v>5284.238</v>
      </c>
      <c r="U7" s="0" t="n">
        <v>0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91029.615</v>
      </c>
      <c r="C8" s="0" t="n">
        <v>72217.019</v>
      </c>
      <c r="D8" s="0" t="n">
        <v>18812.596</v>
      </c>
      <c r="E8" s="0" t="n">
        <v>20.7</v>
      </c>
      <c r="F8" s="0" t="n">
        <v>10870.102</v>
      </c>
      <c r="G8" s="0" t="n">
        <v>11.9</v>
      </c>
      <c r="H8" s="0" t="n">
        <v>19375.812</v>
      </c>
      <c r="I8" s="0" t="n">
        <v>8051.954</v>
      </c>
      <c r="J8" s="0" t="n">
        <v>8.8</v>
      </c>
      <c r="K8" s="0" t="n">
        <v>1.53</v>
      </c>
      <c r="L8" s="0" t="n">
        <v>17592.662</v>
      </c>
      <c r="M8" s="0" t="n">
        <v>11314.258</v>
      </c>
      <c r="N8" s="0" t="n">
        <v>6278.404</v>
      </c>
      <c r="O8" s="0" t="n">
        <v>187905.327</v>
      </c>
      <c r="P8" s="0" t="n">
        <v>254635</v>
      </c>
      <c r="Q8" s="0" t="n">
        <v>54298.4</v>
      </c>
      <c r="R8" s="0" t="n">
        <v>30243.102</v>
      </c>
      <c r="S8" s="0" t="n">
        <v>16337.147</v>
      </c>
      <c r="T8" s="0" t="n">
        <v>5277.06</v>
      </c>
      <c r="U8" s="0" t="n">
        <v>0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82532.051</v>
      </c>
      <c r="C9" s="0" t="n">
        <v>63558.094</v>
      </c>
      <c r="D9" s="0" t="n">
        <v>18973.957</v>
      </c>
      <c r="E9" s="0" t="n">
        <v>23</v>
      </c>
      <c r="F9" s="0" t="n">
        <v>10776.608</v>
      </c>
      <c r="G9" s="0" t="n">
        <v>13.1</v>
      </c>
      <c r="H9" s="0" t="n">
        <v>19240.103</v>
      </c>
      <c r="I9" s="0" t="n">
        <v>8464.457</v>
      </c>
      <c r="J9" s="0" t="n">
        <v>10.3</v>
      </c>
      <c r="K9" s="0" t="n">
        <v>1.6</v>
      </c>
      <c r="L9" s="0" t="n">
        <v>15870.959</v>
      </c>
      <c r="M9" s="0" t="n">
        <v>9636.321</v>
      </c>
      <c r="N9" s="0" t="n">
        <v>6234.638</v>
      </c>
      <c r="O9" s="0" t="n">
        <v>192405</v>
      </c>
      <c r="P9" s="0" t="n">
        <v>256000.73</v>
      </c>
      <c r="Q9" s="0" t="n">
        <v>52312.787</v>
      </c>
      <c r="R9" s="0" t="n">
        <v>27845.185</v>
      </c>
      <c r="S9" s="0" t="n">
        <v>10676.117</v>
      </c>
      <c r="T9" s="0" t="n">
        <v>5277.06</v>
      </c>
      <c r="U9" s="0" t="n">
        <v>0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15.99</v>
      </c>
    </row>
    <row r="3" customFormat="false" ht="15" hidden="false" customHeight="false" outlineLevel="0" collapsed="false">
      <c r="A3" s="0" t="s">
        <v>75</v>
      </c>
      <c r="B3" s="3" t="n">
        <v>5272.23</v>
      </c>
    </row>
    <row r="4" customFormat="false" ht="15" hidden="false" customHeight="false" outlineLevel="0" collapsed="false">
      <c r="A4" s="0" t="s">
        <v>76</v>
      </c>
      <c r="B4" s="3" t="n">
        <v>-53361</v>
      </c>
    </row>
    <row r="5" customFormat="false" ht="15" hidden="false" customHeight="false" outlineLevel="0" collapsed="false">
      <c r="A5" s="0" t="s">
        <v>77</v>
      </c>
      <c r="B5" s="3" t="n">
        <v>-522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82532.051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-12</v>
      </c>
      <c r="D13" s="3" t="n">
        <v>-8</v>
      </c>
      <c r="E13" s="3" t="n">
        <v>-5</v>
      </c>
      <c r="F13" s="3" t="n">
        <v>-3</v>
      </c>
      <c r="G13" s="3" t="n">
        <v>-1</v>
      </c>
      <c r="H13" s="3" t="n">
        <v>0</v>
      </c>
      <c r="I13" s="3" t="n">
        <v>0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96</v>
      </c>
      <c r="C14" s="3" t="n">
        <v>16.5</v>
      </c>
      <c r="D14" s="3" t="n">
        <v>15</v>
      </c>
      <c r="E14" s="3" t="n">
        <v>15</v>
      </c>
      <c r="F14" s="3" t="n">
        <v>15</v>
      </c>
      <c r="G14" s="3" t="n">
        <v>15.5</v>
      </c>
      <c r="H14" s="3" t="n">
        <v>15.5</v>
      </c>
      <c r="I14" s="3" t="n">
        <v>15.5</v>
      </c>
      <c r="J14" s="3" t="n">
        <v>15.5</v>
      </c>
      <c r="K14" s="3" t="n">
        <v>15.5</v>
      </c>
      <c r="L14" s="3" t="n">
        <v>15.5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11.3</v>
      </c>
      <c r="D17" s="3" t="n">
        <v>11.8</v>
      </c>
      <c r="E17" s="3" t="n">
        <v>12</v>
      </c>
      <c r="F17" s="3" t="n">
        <v>12</v>
      </c>
      <c r="G17" s="3" t="n">
        <v>12</v>
      </c>
      <c r="H17" s="3" t="n">
        <v>12</v>
      </c>
      <c r="I17" s="3" t="n">
        <v>12</v>
      </c>
      <c r="J17" s="3" t="n">
        <v>12</v>
      </c>
      <c r="K17" s="3" t="n">
        <v>12</v>
      </c>
      <c r="L17" s="3" t="n">
        <v>12</v>
      </c>
    </row>
    <row r="18" customFormat="false" ht="15" hidden="false" customHeight="false" outlineLevel="0" collapsed="false">
      <c r="A18" s="0" t="s">
        <v>100</v>
      </c>
      <c r="C18" s="3" t="n">
        <v>13</v>
      </c>
      <c r="D18" s="3" t="n">
        <v>12.5</v>
      </c>
      <c r="E18" s="3" t="n">
        <v>12</v>
      </c>
      <c r="F18" s="3" t="n">
        <v>12</v>
      </c>
      <c r="G18" s="3" t="n">
        <v>12</v>
      </c>
      <c r="H18" s="3" t="n">
        <v>12</v>
      </c>
      <c r="I18" s="3" t="n">
        <v>12</v>
      </c>
      <c r="J18" s="3" t="n">
        <v>12</v>
      </c>
      <c r="K18" s="3" t="n">
        <v>12</v>
      </c>
      <c r="L18" s="3" t="n">
        <v>12</v>
      </c>
    </row>
    <row r="19" customFormat="false" ht="15" hidden="false" customHeight="false" outlineLevel="0" collapsed="false">
      <c r="A19" s="0" t="s">
        <v>101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0.5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-9.5</v>
      </c>
      <c r="D27" s="3" t="n">
        <v>-3</v>
      </c>
      <c r="E27" s="3" t="n">
        <v>0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96</v>
      </c>
      <c r="C28" s="3" t="n">
        <v>17.5</v>
      </c>
      <c r="D28" s="3" t="n">
        <v>18</v>
      </c>
      <c r="E28" s="3" t="n">
        <v>19</v>
      </c>
      <c r="F28" s="3" t="n">
        <v>19.5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11.3</v>
      </c>
      <c r="D31" s="3" t="n">
        <v>11.3</v>
      </c>
      <c r="E31" s="3" t="n">
        <v>11.3</v>
      </c>
      <c r="F31" s="3" t="n">
        <v>11.2</v>
      </c>
      <c r="G31" s="3" t="n">
        <v>11</v>
      </c>
      <c r="H31" s="3" t="n">
        <v>11</v>
      </c>
      <c r="I31" s="3" t="n">
        <v>11</v>
      </c>
      <c r="J31" s="3" t="n">
        <v>11</v>
      </c>
      <c r="K31" s="3" t="n">
        <v>11</v>
      </c>
      <c r="L31" s="3" t="n">
        <v>11</v>
      </c>
    </row>
    <row r="32" customFormat="false" ht="15" hidden="false" customHeight="false" outlineLevel="0" collapsed="false">
      <c r="A32" s="0" t="s">
        <v>100</v>
      </c>
      <c r="C32" s="3" t="n">
        <v>13</v>
      </c>
      <c r="D32" s="3" t="n">
        <v>12.5</v>
      </c>
      <c r="E32" s="3" t="n">
        <v>12</v>
      </c>
      <c r="F32" s="3" t="n">
        <v>11.5</v>
      </c>
      <c r="G32" s="3" t="n">
        <v>11.5</v>
      </c>
      <c r="H32" s="3" t="n">
        <v>11.5</v>
      </c>
      <c r="I32" s="3" t="n">
        <v>11.5</v>
      </c>
      <c r="J32" s="3" t="n">
        <v>11.5</v>
      </c>
      <c r="K32" s="3" t="n">
        <v>11.5</v>
      </c>
      <c r="L32" s="3" t="n">
        <v>11.5</v>
      </c>
    </row>
    <row r="33" customFormat="false" ht="15" hidden="false" customHeight="false" outlineLevel="0" collapsed="false">
      <c r="A33" s="0" t="s">
        <v>101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1.5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-8</v>
      </c>
      <c r="D41" s="3" t="n">
        <v>2</v>
      </c>
      <c r="E41" s="3" t="n">
        <v>5</v>
      </c>
      <c r="F41" s="3" t="n">
        <v>4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96</v>
      </c>
      <c r="C42" s="3" t="n">
        <v>18</v>
      </c>
      <c r="D42" s="3" t="n">
        <v>20</v>
      </c>
      <c r="E42" s="3" t="n">
        <v>22</v>
      </c>
      <c r="F42" s="3" t="n">
        <v>23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11.3</v>
      </c>
      <c r="D45" s="3" t="n">
        <v>11.2</v>
      </c>
      <c r="E45" s="3" t="n">
        <v>11</v>
      </c>
      <c r="F45" s="3" t="n">
        <v>11</v>
      </c>
      <c r="G45" s="3" t="n">
        <v>11</v>
      </c>
      <c r="H45" s="3" t="n">
        <v>11</v>
      </c>
      <c r="I45" s="3" t="n">
        <v>11</v>
      </c>
      <c r="J45" s="3" t="n">
        <v>11</v>
      </c>
      <c r="K45" s="3" t="n">
        <v>11</v>
      </c>
      <c r="L45" s="3" t="n">
        <v>11</v>
      </c>
    </row>
    <row r="46" customFormat="false" ht="15" hidden="false" customHeight="false" outlineLevel="0" collapsed="false">
      <c r="A46" s="0" t="s">
        <v>100</v>
      </c>
      <c r="C46" s="3" t="n">
        <v>13</v>
      </c>
      <c r="D46" s="3" t="n">
        <v>12.5</v>
      </c>
      <c r="E46" s="3" t="n">
        <v>12</v>
      </c>
      <c r="F46" s="3" t="n">
        <v>12</v>
      </c>
      <c r="G46" s="3" t="n">
        <v>12</v>
      </c>
      <c r="H46" s="3" t="n">
        <v>11.5</v>
      </c>
      <c r="I46" s="3" t="n">
        <v>11.5</v>
      </c>
      <c r="J46" s="3" t="n">
        <v>11.5</v>
      </c>
      <c r="K46" s="3" t="n">
        <v>11.5</v>
      </c>
      <c r="L46" s="3" t="n">
        <v>11.5</v>
      </c>
    </row>
    <row r="47" customFormat="false" ht="15" hidden="false" customHeight="false" outlineLevel="0" collapsed="false">
      <c r="A47" s="0" t="s">
        <v>101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</v>
      </c>
    </row>
    <row r="50" customFormat="false" ht="15" hidden="false" customHeight="false" outlineLevel="0" collapsed="false">
      <c r="A50" s="0" t="s">
        <v>104</v>
      </c>
      <c r="B50" s="3" t="n">
        <v>14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-12</v>
      </c>
      <c r="D5" s="4" t="n">
        <f aca="false">Assumptions!D13</f>
        <v>-8</v>
      </c>
      <c r="E5" s="4" t="n">
        <f aca="false">Assumptions!E13</f>
        <v>-5</v>
      </c>
      <c r="F5" s="4" t="n">
        <f aca="false">Assumptions!F13</f>
        <v>-3</v>
      </c>
      <c r="G5" s="4" t="n">
        <f aca="false">Assumptions!G13</f>
        <v>-1</v>
      </c>
      <c r="H5" s="4" t="n">
        <f aca="false">Assumptions!H13</f>
        <v>0</v>
      </c>
      <c r="I5" s="4" t="n">
        <f aca="false">Assumptions!I13</f>
        <v>0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38</v>
      </c>
      <c r="B6" s="3" t="n">
        <v>82532.051</v>
      </c>
      <c r="C6" s="0" t="n">
        <f aca="false">B6*(1+C5/100)</f>
        <v>72628.20488</v>
      </c>
      <c r="D6" s="0" t="n">
        <f aca="false">C6*(1+D5/100)</f>
        <v>66817.9484896</v>
      </c>
      <c r="E6" s="0" t="n">
        <f aca="false">D6*(1+E5/100)</f>
        <v>63477.05106512</v>
      </c>
      <c r="F6" s="0" t="n">
        <f aca="false">E6*(1+F5/100)</f>
        <v>61572.7395331664</v>
      </c>
      <c r="G6" s="0" t="n">
        <f aca="false">F6*(1+G5/100)</f>
        <v>60957.0121378347</v>
      </c>
      <c r="H6" s="0" t="n">
        <f aca="false">G6*(1+H5/100)</f>
        <v>60957.0121378347</v>
      </c>
      <c r="I6" s="0" t="n">
        <f aca="false">H6*(1+I5/100)</f>
        <v>60957.0121378347</v>
      </c>
      <c r="J6" s="0" t="n">
        <f aca="false">I6*(1+J5/100)</f>
        <v>61261.7971985239</v>
      </c>
      <c r="K6" s="0" t="n">
        <f aca="false">J6*(1+K5/100)</f>
        <v>61568.1061845165</v>
      </c>
      <c r="L6" s="0" t="n">
        <f aca="false">K6*(1+L5/100)</f>
        <v>61875.9467154391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16.5</v>
      </c>
      <c r="D7" s="4" t="n">
        <f aca="false">Assumptions!D14</f>
        <v>15</v>
      </c>
      <c r="E7" s="4" t="n">
        <f aca="false">Assumptions!E14</f>
        <v>15</v>
      </c>
      <c r="F7" s="4" t="n">
        <f aca="false">Assumptions!F14</f>
        <v>15</v>
      </c>
      <c r="G7" s="4" t="n">
        <f aca="false">Assumptions!G14</f>
        <v>15.5</v>
      </c>
      <c r="H7" s="4" t="n">
        <f aca="false">Assumptions!H14</f>
        <v>15.5</v>
      </c>
      <c r="I7" s="4" t="n">
        <f aca="false">Assumptions!I14</f>
        <v>15.5</v>
      </c>
      <c r="J7" s="4" t="n">
        <f aca="false">Assumptions!J14</f>
        <v>15.5</v>
      </c>
      <c r="K7" s="4" t="n">
        <f aca="false">Assumptions!K14</f>
        <v>15.5</v>
      </c>
      <c r="L7" s="4" t="n">
        <f aca="false">Assumptions!L14</f>
        <v>15.5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11983.6538052</v>
      </c>
      <c r="D8" s="0" t="n">
        <f aca="false">D6*D7/100</f>
        <v>10022.69227344</v>
      </c>
      <c r="E8" s="0" t="n">
        <f aca="false">E6*E7/100</f>
        <v>9521.557659768</v>
      </c>
      <c r="F8" s="0" t="n">
        <f aca="false">F6*F7/100</f>
        <v>9235.91092997496</v>
      </c>
      <c r="G8" s="0" t="n">
        <f aca="false">G6*G7/100</f>
        <v>9448.33688136439</v>
      </c>
      <c r="H8" s="0" t="n">
        <f aca="false">H6*H7/100</f>
        <v>9448.33688136439</v>
      </c>
      <c r="I8" s="0" t="n">
        <f aca="false">I6*I7/100</f>
        <v>9448.33688136439</v>
      </c>
      <c r="J8" s="0" t="n">
        <f aca="false">J6*J7/100</f>
        <v>9495.5785657712</v>
      </c>
      <c r="K8" s="0" t="n">
        <f aca="false">K6*K7/100</f>
        <v>9543.05645860006</v>
      </c>
      <c r="L8" s="0" t="n">
        <f aca="false">L6*L7/100</f>
        <v>9590.77174089306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11983.6538052</v>
      </c>
      <c r="D11" s="0" t="n">
        <f aca="false">D8+D10+D24</f>
        <v>10022.69227344</v>
      </c>
      <c r="E11" s="0" t="n">
        <f aca="false">E8+E10+E24</f>
        <v>9521.557659768</v>
      </c>
      <c r="F11" s="0" t="n">
        <f aca="false">F8+F10+F24</f>
        <v>9235.91092997496</v>
      </c>
      <c r="G11" s="0" t="n">
        <f aca="false">G8+G10+G24</f>
        <v>9448.33688136439</v>
      </c>
      <c r="H11" s="0" t="n">
        <f aca="false">H8+H10+H24</f>
        <v>9448.33688136439</v>
      </c>
      <c r="I11" s="0" t="n">
        <f aca="false">I8+I10+I24</f>
        <v>9448.33688136439</v>
      </c>
      <c r="J11" s="0" t="n">
        <f aca="false">J8+J10+J24</f>
        <v>9495.5785657712</v>
      </c>
      <c r="K11" s="0" t="n">
        <f aca="false">K8+K10+K24</f>
        <v>9543.05645860006</v>
      </c>
      <c r="L11" s="0" t="n">
        <f aca="false">L8+L10+L24</f>
        <v>9590.77174089306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-8206.98715144</v>
      </c>
      <c r="D12" s="4" t="n">
        <f aca="false">-D6*Assumptions!D17/100</f>
        <v>-7884.5179217728</v>
      </c>
      <c r="E12" s="4" t="n">
        <f aca="false">-E6*Assumptions!E17/100</f>
        <v>-7617.2461278144</v>
      </c>
      <c r="F12" s="4" t="n">
        <f aca="false">-F6*Assumptions!F17/100</f>
        <v>-7388.72874397997</v>
      </c>
      <c r="G12" s="4" t="n">
        <f aca="false">-G6*Assumptions!G17/100</f>
        <v>-7314.84145654017</v>
      </c>
      <c r="H12" s="4" t="n">
        <f aca="false">-H6*Assumptions!H17/100</f>
        <v>-7314.84145654017</v>
      </c>
      <c r="I12" s="4" t="n">
        <f aca="false">-I6*Assumptions!I17/100</f>
        <v>-7314.84145654017</v>
      </c>
      <c r="J12" s="4" t="n">
        <f aca="false">-J6*Assumptions!J17/100</f>
        <v>-7351.41566382287</v>
      </c>
      <c r="K12" s="4" t="n">
        <f aca="false">-K6*Assumptions!K17/100</f>
        <v>-7388.17274214198</v>
      </c>
      <c r="L12" s="4" t="n">
        <f aca="false">-L6*Assumptions!L17/100</f>
        <v>-7425.11360585269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3776.66665376</v>
      </c>
      <c r="D13" s="0" t="n">
        <f aca="false">D11+D12</f>
        <v>2138.1743516672</v>
      </c>
      <c r="E13" s="0" t="n">
        <f aca="false">E11+E12</f>
        <v>1904.3115319536</v>
      </c>
      <c r="F13" s="0" t="n">
        <f aca="false">F11+F12</f>
        <v>1847.18218599499</v>
      </c>
      <c r="G13" s="0" t="n">
        <f aca="false">G11+G12</f>
        <v>2133.49542482422</v>
      </c>
      <c r="H13" s="0" t="n">
        <f aca="false">H11+H12</f>
        <v>2133.49542482422</v>
      </c>
      <c r="I13" s="0" t="n">
        <f aca="false">I11+I12</f>
        <v>2133.49542482422</v>
      </c>
      <c r="J13" s="0" t="n">
        <f aca="false">J11+J12</f>
        <v>2144.16290194834</v>
      </c>
      <c r="K13" s="0" t="n">
        <f aca="false">K11+K12</f>
        <v>2154.88371645808</v>
      </c>
      <c r="L13" s="0" t="n">
        <f aca="false">L11+L12</f>
        <v>2165.65813504037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2870.2666568576</v>
      </c>
      <c r="D15" s="0" t="n">
        <f aca="false">D13-MAX(0,D13)*D14/100</f>
        <v>1625.01250726707</v>
      </c>
      <c r="E15" s="0" t="n">
        <f aca="false">E13-MAX(0,E13)*E14/100</f>
        <v>1447.27676428474</v>
      </c>
      <c r="F15" s="0" t="n">
        <f aca="false">F13-MAX(0,F13)*F14/100</f>
        <v>1403.85846135619</v>
      </c>
      <c r="G15" s="0" t="n">
        <f aca="false">G13-MAX(0,G13)*G14/100</f>
        <v>1621.4565228664</v>
      </c>
      <c r="H15" s="0" t="n">
        <f aca="false">H13-MAX(0,H13)*H14/100</f>
        <v>1621.4565228664</v>
      </c>
      <c r="I15" s="0" t="n">
        <f aca="false">I13-MAX(0,I13)*I14/100</f>
        <v>1621.4565228664</v>
      </c>
      <c r="J15" s="0" t="n">
        <f aca="false">J13-MAX(0,J13)*J14/100</f>
        <v>1629.56380548073</v>
      </c>
      <c r="K15" s="0" t="n">
        <f aca="false">K13-MAX(0,K13)*K14/100</f>
        <v>1637.71162450814</v>
      </c>
      <c r="L15" s="0" t="n">
        <f aca="false">L13-MAX(0,L13)*L14/100</f>
        <v>1645.90018263068</v>
      </c>
    </row>
    <row r="16" customFormat="false" ht="15" hidden="false" customHeight="false" outlineLevel="0" collapsed="false">
      <c r="A16" s="0" t="s">
        <v>117</v>
      </c>
      <c r="C16" s="0" t="n">
        <f aca="false">-C12</f>
        <v>8206.98715144</v>
      </c>
      <c r="D16" s="0" t="n">
        <f aca="false">-D12</f>
        <v>7884.5179217728</v>
      </c>
      <c r="E16" s="0" t="n">
        <f aca="false">-E12</f>
        <v>7617.2461278144</v>
      </c>
      <c r="F16" s="0" t="n">
        <f aca="false">-F12</f>
        <v>7388.72874397997</v>
      </c>
      <c r="G16" s="0" t="n">
        <f aca="false">-G12</f>
        <v>7314.84145654017</v>
      </c>
      <c r="H16" s="0" t="n">
        <f aca="false">-H12</f>
        <v>7314.84145654017</v>
      </c>
      <c r="I16" s="0" t="n">
        <f aca="false">-I12</f>
        <v>7314.84145654017</v>
      </c>
      <c r="J16" s="0" t="n">
        <f aca="false">-J12</f>
        <v>7351.41566382287</v>
      </c>
      <c r="K16" s="0" t="n">
        <f aca="false">-K12</f>
        <v>7388.17274214198</v>
      </c>
      <c r="L16" s="0" t="n">
        <f aca="false">-L12</f>
        <v>7425.11360585269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-9441.6666344</v>
      </c>
      <c r="D17" s="4" t="n">
        <f aca="false">-D6*Assumptions!D18/100</f>
        <v>-8352.2435612</v>
      </c>
      <c r="E17" s="4" t="n">
        <f aca="false">-E6*Assumptions!E18/100</f>
        <v>-7617.2461278144</v>
      </c>
      <c r="F17" s="4" t="n">
        <f aca="false">-F6*Assumptions!F18/100</f>
        <v>-7388.72874397997</v>
      </c>
      <c r="G17" s="4" t="n">
        <f aca="false">-G6*Assumptions!G18/100</f>
        <v>-7314.84145654017</v>
      </c>
      <c r="H17" s="4" t="n">
        <f aca="false">-H6*Assumptions!H18/100</f>
        <v>-7314.84145654017</v>
      </c>
      <c r="I17" s="4" t="n">
        <f aca="false">-I6*Assumptions!I18/100</f>
        <v>-7314.84145654017</v>
      </c>
      <c r="J17" s="4" t="n">
        <f aca="false">-J6*Assumptions!J18/100</f>
        <v>-7351.41566382287</v>
      </c>
      <c r="K17" s="4" t="n">
        <f aca="false">-K6*Assumptions!K18/100</f>
        <v>-7388.17274214198</v>
      </c>
      <c r="L17" s="4" t="n">
        <f aca="false">-L6*Assumptions!L18/100</f>
        <v>-7425.11360585269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990.384612</v>
      </c>
      <c r="D18" s="4" t="n">
        <f aca="false">(D6-C6)*Assumptions!$B$23/100</f>
        <v>581.02563904</v>
      </c>
      <c r="E18" s="4" t="n">
        <f aca="false">(E6-D6)*Assumptions!$B$23/100</f>
        <v>334.089742448001</v>
      </c>
      <c r="F18" s="4" t="n">
        <f aca="false">(F6-E6)*Assumptions!$B$23/100</f>
        <v>190.43115319536</v>
      </c>
      <c r="G18" s="4" t="n">
        <f aca="false">(G6-F6)*Assumptions!$B$23/100</f>
        <v>61.5727395331662</v>
      </c>
      <c r="H18" s="4" t="n">
        <f aca="false">(H6-G6)*Assumptions!$B$23/100</f>
        <v>-0</v>
      </c>
      <c r="I18" s="4" t="n">
        <f aca="false">(I6-H6)*Assumptions!$B$23/100</f>
        <v>-0</v>
      </c>
      <c r="J18" s="4" t="n">
        <f aca="false">(J6-I6)*Assumptions!$B$23/100</f>
        <v>-30.4785060689166</v>
      </c>
      <c r="K18" s="4" t="n">
        <f aca="false">(K6-J6)*Assumptions!$B$23/100</f>
        <v>-30.6308985992611</v>
      </c>
      <c r="L18" s="4" t="n">
        <f aca="false">(L6-K6)*Assumptions!$B$23/100</f>
        <v>-30.7840530922578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2625.9717858976</v>
      </c>
      <c r="D19" s="0" t="n">
        <f aca="false">D15+D16+D17+D18</f>
        <v>1738.31250687987</v>
      </c>
      <c r="E19" s="0" t="n">
        <f aca="false">E15+E16+E17+E18</f>
        <v>1781.36650673274</v>
      </c>
      <c r="F19" s="0" t="n">
        <f aca="false">F15+F16+F17+F18</f>
        <v>1594.28961455155</v>
      </c>
      <c r="G19" s="0" t="n">
        <f aca="false">G15+G16+G17+G18</f>
        <v>1683.02926239957</v>
      </c>
      <c r="H19" s="0" t="n">
        <f aca="false">H15+H16+H17+H18</f>
        <v>1621.4565228664</v>
      </c>
      <c r="I19" s="0" t="n">
        <f aca="false">I15+I16+I17+I18</f>
        <v>1621.4565228664</v>
      </c>
      <c r="J19" s="0" t="n">
        <f aca="false">J15+J16+J17+J18</f>
        <v>1599.08529941182</v>
      </c>
      <c r="K19" s="0" t="n">
        <f aca="false">K15+K16+K17+K18</f>
        <v>1607.08072590888</v>
      </c>
      <c r="L19" s="0" t="n">
        <f aca="false">L15+L16+L17+L18</f>
        <v>1615.11612953842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2398.14774967818</v>
      </c>
      <c r="D21" s="0" t="n">
        <f aca="false">D19*D20</f>
        <v>1449.77169523561</v>
      </c>
      <c r="E21" s="0" t="n">
        <f aca="false">E19*E20</f>
        <v>1356.78466054486</v>
      </c>
      <c r="F21" s="0" t="n">
        <f aca="false">F19*F20</f>
        <v>1108.94687225</v>
      </c>
      <c r="G21" s="0" t="n">
        <f aca="false">G19*G20</f>
        <v>1069.10674895513</v>
      </c>
      <c r="H21" s="0" t="n">
        <f aca="false">H19*H20</f>
        <v>940.633827741069</v>
      </c>
      <c r="I21" s="0" t="n">
        <f aca="false">I19*I20</f>
        <v>859.026326704173</v>
      </c>
      <c r="J21" s="0" t="n">
        <f aca="false">J19*J20</f>
        <v>773.675202678977</v>
      </c>
      <c r="K21" s="0" t="n">
        <f aca="false">K19*K20</f>
        <v>710.085459993034</v>
      </c>
      <c r="L21" s="0" t="n">
        <f aca="false">L19*L20</f>
        <v>651.722271500456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11317.9008152815</v>
      </c>
    </row>
    <row r="31" customFormat="false" ht="15" hidden="false" customHeight="false" outlineLevel="0" collapsed="false">
      <c r="A31" s="0" t="s">
        <v>126</v>
      </c>
      <c r="B31" s="0" t="n">
        <f aca="false">L19</f>
        <v>1615.11612953842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18035.4634465124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16151.1612953842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16151.1612953842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6517.22271500456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17835.123530286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70674.123530286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15.7119739066483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-0.0173874980207454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15.7119739066483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11194.4255874904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14.4089343669067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-9.5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82532.051</v>
      </c>
      <c r="C6" s="0" t="n">
        <f aca="false">B6*(1+C5/100)</f>
        <v>74691.506155</v>
      </c>
      <c r="D6" s="0" t="n">
        <f aca="false">C6*(1+D5/100)</f>
        <v>72450.76097035</v>
      </c>
      <c r="E6" s="0" t="n">
        <f aca="false">D6*(1+E5/100)</f>
        <v>72450.76097035</v>
      </c>
      <c r="F6" s="0" t="n">
        <f aca="false">E6*(1+F5/100)</f>
        <v>73899.776189757</v>
      </c>
      <c r="G6" s="0" t="n">
        <f aca="false">F6*(1+G5/100)</f>
        <v>75377.7717135521</v>
      </c>
      <c r="H6" s="0" t="n">
        <f aca="false">G6*(1+H5/100)</f>
        <v>76885.3271478232</v>
      </c>
      <c r="I6" s="0" t="n">
        <f aca="false">H6*(1+I5/100)</f>
        <v>78423.0336907796</v>
      </c>
      <c r="J6" s="0" t="n">
        <f aca="false">I6*(1+J5/100)</f>
        <v>79991.4943645952</v>
      </c>
      <c r="K6" s="0" t="n">
        <f aca="false">J6*(1+K5/100)</f>
        <v>81191.3667800642</v>
      </c>
      <c r="L6" s="0" t="n">
        <f aca="false">K6*(1+L5/100)</f>
        <v>82409.2372817651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17.5</v>
      </c>
      <c r="D7" s="4" t="n">
        <f aca="false">Assumptions!D28</f>
        <v>18</v>
      </c>
      <c r="E7" s="4" t="n">
        <f aca="false">Assumptions!E28</f>
        <v>19</v>
      </c>
      <c r="F7" s="4" t="n">
        <f aca="false">Assumptions!F28</f>
        <v>19.5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13071.013577125</v>
      </c>
      <c r="D8" s="0" t="n">
        <f aca="false">D6*D7/100</f>
        <v>13041.136974663</v>
      </c>
      <c r="E8" s="0" t="n">
        <f aca="false">E6*E7/100</f>
        <v>13765.6445843665</v>
      </c>
      <c r="F8" s="0" t="n">
        <f aca="false">F6*F7/100</f>
        <v>14410.4563570026</v>
      </c>
      <c r="G8" s="0" t="n">
        <f aca="false">G6*G7/100</f>
        <v>15075.5543427104</v>
      </c>
      <c r="H8" s="0" t="n">
        <f aca="false">H6*H7/100</f>
        <v>15377.0654295646</v>
      </c>
      <c r="I8" s="0" t="n">
        <f aca="false">I6*I7/100</f>
        <v>15684.6067381559</v>
      </c>
      <c r="J8" s="0" t="n">
        <f aca="false">J6*J7/100</f>
        <v>15998.2988729191</v>
      </c>
      <c r="K8" s="0" t="n">
        <f aca="false">K6*K7/100</f>
        <v>16238.2733560128</v>
      </c>
      <c r="L8" s="0" t="n">
        <f aca="false">L6*L7/100</f>
        <v>16481.847456353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13071.013577125</v>
      </c>
      <c r="D11" s="0" t="n">
        <f aca="false">D8+D10+D24</f>
        <v>13041.136974663</v>
      </c>
      <c r="E11" s="0" t="n">
        <f aca="false">E8+E10+E24</f>
        <v>13765.6445843665</v>
      </c>
      <c r="F11" s="0" t="n">
        <f aca="false">F8+F10+F24</f>
        <v>14410.4563570026</v>
      </c>
      <c r="G11" s="0" t="n">
        <f aca="false">G8+G10+G24</f>
        <v>15075.5543427104</v>
      </c>
      <c r="H11" s="0" t="n">
        <f aca="false">H8+H10+H24</f>
        <v>15377.0654295646</v>
      </c>
      <c r="I11" s="0" t="n">
        <f aca="false">I8+I10+I24</f>
        <v>15684.6067381559</v>
      </c>
      <c r="J11" s="0" t="n">
        <f aca="false">J8+J10+J24</f>
        <v>15998.2988729191</v>
      </c>
      <c r="K11" s="0" t="n">
        <f aca="false">K8+K10+K24</f>
        <v>16238.2733560128</v>
      </c>
      <c r="L11" s="0" t="n">
        <f aca="false">L8+L10+L24</f>
        <v>16481.847456353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-8440.140195515</v>
      </c>
      <c r="D12" s="4" t="n">
        <f aca="false">-D6*Assumptions!D31/100</f>
        <v>-8186.93598964955</v>
      </c>
      <c r="E12" s="4" t="n">
        <f aca="false">-E6*Assumptions!E31/100</f>
        <v>-8186.93598964955</v>
      </c>
      <c r="F12" s="4" t="n">
        <f aca="false">-F6*Assumptions!F31/100</f>
        <v>-8276.77493325278</v>
      </c>
      <c r="G12" s="4" t="n">
        <f aca="false">-G6*Assumptions!G31/100</f>
        <v>-8291.55488849074</v>
      </c>
      <c r="H12" s="4" t="n">
        <f aca="false">-H6*Assumptions!H31/100</f>
        <v>-8457.38598626055</v>
      </c>
      <c r="I12" s="4" t="n">
        <f aca="false">-I6*Assumptions!I31/100</f>
        <v>-8626.53370598576</v>
      </c>
      <c r="J12" s="4" t="n">
        <f aca="false">-J6*Assumptions!J31/100</f>
        <v>-8799.06438010548</v>
      </c>
      <c r="K12" s="4" t="n">
        <f aca="false">-K6*Assumptions!K31/100</f>
        <v>-8931.05034580706</v>
      </c>
      <c r="L12" s="4" t="n">
        <f aca="false">-L6*Assumptions!L31/100</f>
        <v>-9065.01610099416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4630.87338161</v>
      </c>
      <c r="D13" s="0" t="n">
        <f aca="false">D11+D12</f>
        <v>4854.20098501345</v>
      </c>
      <c r="E13" s="0" t="n">
        <f aca="false">E11+E12</f>
        <v>5578.70859471695</v>
      </c>
      <c r="F13" s="0" t="n">
        <f aca="false">F11+F12</f>
        <v>6133.68142374983</v>
      </c>
      <c r="G13" s="0" t="n">
        <f aca="false">G11+G12</f>
        <v>6783.99945421969</v>
      </c>
      <c r="H13" s="0" t="n">
        <f aca="false">H11+H12</f>
        <v>6919.67944330409</v>
      </c>
      <c r="I13" s="0" t="n">
        <f aca="false">I11+I12</f>
        <v>7058.07303217017</v>
      </c>
      <c r="J13" s="0" t="n">
        <f aca="false">J11+J12</f>
        <v>7199.23449281357</v>
      </c>
      <c r="K13" s="0" t="n">
        <f aca="false">K11+K12</f>
        <v>7307.22301020578</v>
      </c>
      <c r="L13" s="0" t="n">
        <f aca="false">L11+L12</f>
        <v>7416.83135535886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3519.4637700236</v>
      </c>
      <c r="D15" s="0" t="n">
        <f aca="false">D13-MAX(0,D13)*D14/100</f>
        <v>3689.19274861022</v>
      </c>
      <c r="E15" s="0" t="n">
        <f aca="false">E13-MAX(0,E13)*E14/100</f>
        <v>4239.81853198488</v>
      </c>
      <c r="F15" s="0" t="n">
        <f aca="false">F13-MAX(0,F13)*F14/100</f>
        <v>4661.59788204987</v>
      </c>
      <c r="G15" s="0" t="n">
        <f aca="false">G13-MAX(0,G13)*G14/100</f>
        <v>5155.83958520697</v>
      </c>
      <c r="H15" s="0" t="n">
        <f aca="false">H13-MAX(0,H13)*H14/100</f>
        <v>5258.95637691111</v>
      </c>
      <c r="I15" s="0" t="n">
        <f aca="false">I13-MAX(0,I13)*I14/100</f>
        <v>5364.13550444933</v>
      </c>
      <c r="J15" s="0" t="n">
        <f aca="false">J13-MAX(0,J13)*J14/100</f>
        <v>5471.41821453832</v>
      </c>
      <c r="K15" s="0" t="n">
        <f aca="false">K13-MAX(0,K13)*K14/100</f>
        <v>5553.48948775639</v>
      </c>
      <c r="L15" s="0" t="n">
        <f aca="false">L13-MAX(0,L13)*L14/100</f>
        <v>5636.79183007273</v>
      </c>
    </row>
    <row r="16" customFormat="false" ht="15" hidden="false" customHeight="false" outlineLevel="0" collapsed="false">
      <c r="A16" s="0" t="s">
        <v>117</v>
      </c>
      <c r="C16" s="0" t="n">
        <f aca="false">-C12</f>
        <v>8440.140195515</v>
      </c>
      <c r="D16" s="0" t="n">
        <f aca="false">-D12</f>
        <v>8186.93598964955</v>
      </c>
      <c r="E16" s="0" t="n">
        <f aca="false">-E12</f>
        <v>8186.93598964955</v>
      </c>
      <c r="F16" s="0" t="n">
        <f aca="false">-F12</f>
        <v>8276.77493325278</v>
      </c>
      <c r="G16" s="0" t="n">
        <f aca="false">-G12</f>
        <v>8291.55488849074</v>
      </c>
      <c r="H16" s="0" t="n">
        <f aca="false">-H12</f>
        <v>8457.38598626055</v>
      </c>
      <c r="I16" s="0" t="n">
        <f aca="false">-I12</f>
        <v>8626.53370598576</v>
      </c>
      <c r="J16" s="0" t="n">
        <f aca="false">-J12</f>
        <v>8799.06438010548</v>
      </c>
      <c r="K16" s="0" t="n">
        <f aca="false">-K12</f>
        <v>8931.05034580706</v>
      </c>
      <c r="L16" s="0" t="n">
        <f aca="false">-L12</f>
        <v>9065.01610099416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-9709.89580015</v>
      </c>
      <c r="D17" s="4" t="n">
        <f aca="false">-D6*Assumptions!D32/100</f>
        <v>-9056.34512129375</v>
      </c>
      <c r="E17" s="4" t="n">
        <f aca="false">-E6*Assumptions!E32/100</f>
        <v>-8694.091316442</v>
      </c>
      <c r="F17" s="4" t="n">
        <f aca="false">-F6*Assumptions!F32/100</f>
        <v>-8498.47426182206</v>
      </c>
      <c r="G17" s="4" t="n">
        <f aca="false">-G6*Assumptions!G32/100</f>
        <v>-8668.4437470585</v>
      </c>
      <c r="H17" s="4" t="n">
        <f aca="false">-H6*Assumptions!H32/100</f>
        <v>-8841.81262199967</v>
      </c>
      <c r="I17" s="4" t="n">
        <f aca="false">-I6*Assumptions!I32/100</f>
        <v>-9018.64887443966</v>
      </c>
      <c r="J17" s="4" t="n">
        <f aca="false">-J6*Assumptions!J32/100</f>
        <v>-9199.02185192845</v>
      </c>
      <c r="K17" s="4" t="n">
        <f aca="false">-K6*Assumptions!K32/100</f>
        <v>-9337.00717970738</v>
      </c>
      <c r="L17" s="4" t="n">
        <f aca="false">-L6*Assumptions!L32/100</f>
        <v>-9477.06228740299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784.0544845</v>
      </c>
      <c r="D18" s="4" t="n">
        <f aca="false">(D6-C6)*Assumptions!$B$37/100</f>
        <v>224.074518465</v>
      </c>
      <c r="E18" s="4" t="n">
        <f aca="false">(E6-D6)*Assumptions!$B$37/100</f>
        <v>-0</v>
      </c>
      <c r="F18" s="4" t="n">
        <f aca="false">(F6-E6)*Assumptions!$B$37/100</f>
        <v>-144.9015219407</v>
      </c>
      <c r="G18" s="4" t="n">
        <f aca="false">(G6-F6)*Assumptions!$B$37/100</f>
        <v>-147.799552379514</v>
      </c>
      <c r="H18" s="4" t="n">
        <f aca="false">(H6-G6)*Assumptions!$B$37/100</f>
        <v>-150.755543427104</v>
      </c>
      <c r="I18" s="4" t="n">
        <f aca="false">(I6-H6)*Assumptions!$B$37/100</f>
        <v>-153.770654295647</v>
      </c>
      <c r="J18" s="4" t="n">
        <f aca="false">(J6-I6)*Assumptions!$B$37/100</f>
        <v>-156.84606738156</v>
      </c>
      <c r="K18" s="4" t="n">
        <f aca="false">(K6-J6)*Assumptions!$B$37/100</f>
        <v>-119.987241546893</v>
      </c>
      <c r="L18" s="4" t="n">
        <f aca="false">(L6-K6)*Assumptions!$B$37/100</f>
        <v>-121.787050170095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3033.7626498886</v>
      </c>
      <c r="D19" s="0" t="n">
        <f aca="false">D15+D16+D17+D18</f>
        <v>3043.85813543102</v>
      </c>
      <c r="E19" s="0" t="n">
        <f aca="false">E15+E16+E17+E18</f>
        <v>3732.66320519243</v>
      </c>
      <c r="F19" s="0" t="n">
        <f aca="false">F15+F16+F17+F18</f>
        <v>4294.9970315399</v>
      </c>
      <c r="G19" s="0" t="n">
        <f aca="false">G15+G16+G17+G18</f>
        <v>4631.15117425969</v>
      </c>
      <c r="H19" s="0" t="n">
        <f aca="false">H15+H16+H17+H18</f>
        <v>4723.77419774489</v>
      </c>
      <c r="I19" s="0" t="n">
        <f aca="false">I15+I16+I17+I18</f>
        <v>4818.24968169978</v>
      </c>
      <c r="J19" s="0" t="n">
        <f aca="false">J15+J16+J17+J18</f>
        <v>4914.61467533378</v>
      </c>
      <c r="K19" s="0" t="n">
        <f aca="false">K15+K16+K17+K18</f>
        <v>5027.54541230918</v>
      </c>
      <c r="L19" s="0" t="n">
        <f aca="false">L15+L16+L17+L18</f>
        <v>5102.95859349381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2770.55949761516</v>
      </c>
      <c r="D21" s="0" t="n">
        <f aca="false">D19*D20</f>
        <v>2538.61106768501</v>
      </c>
      <c r="E21" s="0" t="n">
        <f aca="false">E19*E20</f>
        <v>2842.99730608169</v>
      </c>
      <c r="F21" s="0" t="n">
        <f aca="false">F19*F20</f>
        <v>2987.48952572769</v>
      </c>
      <c r="G21" s="0" t="n">
        <f aca="false">G19*G20</f>
        <v>2941.83534799234</v>
      </c>
      <c r="H21" s="0" t="n">
        <f aca="false">H19*H20</f>
        <v>2740.33977621204</v>
      </c>
      <c r="I21" s="0" t="n">
        <f aca="false">I19*I20</f>
        <v>2552.64527099204</v>
      </c>
      <c r="J21" s="0" t="n">
        <f aca="false">J19*J20</f>
        <v>2377.8065538008</v>
      </c>
      <c r="K21" s="0" t="n">
        <f aca="false">K19*K20</f>
        <v>2221.4110586862</v>
      </c>
      <c r="L21" s="0" t="n">
        <f aca="false">L19*L20</f>
        <v>2059.11618681872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26032.8115916117</v>
      </c>
    </row>
    <row r="31" customFormat="false" ht="15" hidden="false" customHeight="false" outlineLevel="0" collapsed="false">
      <c r="A31" s="0" t="s">
        <v>126</v>
      </c>
      <c r="B31" s="0" t="n">
        <f aca="false">L19</f>
        <v>5102.95859349381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64743.7871549528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61235.5031219258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61235.5031219258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24709.3942418246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50742.2058334363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103581.205833436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23.0277380458308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0.440133711434073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23.0277380458308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38366.6886844164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18.3689450303135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-8</v>
      </c>
      <c r="D5" s="4" t="n">
        <f aca="false">Assumptions!D41</f>
        <v>2</v>
      </c>
      <c r="E5" s="4" t="n">
        <f aca="false">Assumptions!E41</f>
        <v>5</v>
      </c>
      <c r="F5" s="4" t="n">
        <f aca="false">Assumptions!F41</f>
        <v>4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82532.051</v>
      </c>
      <c r="C6" s="0" t="n">
        <f aca="false">B6*(1+C5/100)</f>
        <v>75929.48692</v>
      </c>
      <c r="D6" s="0" t="n">
        <f aca="false">C6*(1+D5/100)</f>
        <v>77448.0766584</v>
      </c>
      <c r="E6" s="0" t="n">
        <f aca="false">D6*(1+E5/100)</f>
        <v>81320.48049132</v>
      </c>
      <c r="F6" s="0" t="n">
        <f aca="false">E6*(1+F5/100)</f>
        <v>84573.2997109728</v>
      </c>
      <c r="G6" s="0" t="n">
        <f aca="false">F6*(1+G5/100)</f>
        <v>87110.498702302</v>
      </c>
      <c r="H6" s="0" t="n">
        <f aca="false">G6*(1+H5/100)</f>
        <v>89723.8136633711</v>
      </c>
      <c r="I6" s="0" t="n">
        <f aca="false">H6*(1+I5/100)</f>
        <v>92415.5280732722</v>
      </c>
      <c r="J6" s="0" t="n">
        <f aca="false">I6*(1+J5/100)</f>
        <v>94725.916275104</v>
      </c>
      <c r="K6" s="0" t="n">
        <f aca="false">J6*(1+K5/100)</f>
        <v>97094.0641819816</v>
      </c>
      <c r="L6" s="0" t="n">
        <f aca="false">K6*(1+L5/100)</f>
        <v>99521.4157865311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18</v>
      </c>
      <c r="D7" s="4" t="n">
        <f aca="false">Assumptions!D42</f>
        <v>20</v>
      </c>
      <c r="E7" s="4" t="n">
        <f aca="false">Assumptions!E42</f>
        <v>22</v>
      </c>
      <c r="F7" s="4" t="n">
        <f aca="false">Assumptions!F42</f>
        <v>23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13667.3076456</v>
      </c>
      <c r="D8" s="0" t="n">
        <f aca="false">D6*D7/100</f>
        <v>15489.61533168</v>
      </c>
      <c r="E8" s="0" t="n">
        <f aca="false">E6*E7/100</f>
        <v>17890.5057080904</v>
      </c>
      <c r="F8" s="0" t="n">
        <f aca="false">F6*F7/100</f>
        <v>19451.8589335237</v>
      </c>
      <c r="G8" s="0" t="n">
        <f aca="false">G6*G7/100</f>
        <v>20035.4147015295</v>
      </c>
      <c r="H8" s="0" t="n">
        <f aca="false">H6*H7/100</f>
        <v>20636.4771425753</v>
      </c>
      <c r="I8" s="0" t="n">
        <f aca="false">I6*I7/100</f>
        <v>21255.5714568526</v>
      </c>
      <c r="J8" s="0" t="n">
        <f aca="false">J6*J7/100</f>
        <v>21786.9607432739</v>
      </c>
      <c r="K8" s="0" t="n">
        <f aca="false">K6*K7/100</f>
        <v>22331.6347618558</v>
      </c>
      <c r="L8" s="0" t="n">
        <f aca="false">L6*L7/100</f>
        <v>22889.9256309022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13667.3076456</v>
      </c>
      <c r="D11" s="0" t="n">
        <f aca="false">D8+D10+D24</f>
        <v>15489.61533168</v>
      </c>
      <c r="E11" s="0" t="n">
        <f aca="false">E8+E10+E24</f>
        <v>17890.5057080904</v>
      </c>
      <c r="F11" s="0" t="n">
        <f aca="false">F8+F10+F24</f>
        <v>19451.8589335237</v>
      </c>
      <c r="G11" s="0" t="n">
        <f aca="false">G8+G10+G24</f>
        <v>20035.4147015295</v>
      </c>
      <c r="H11" s="0" t="n">
        <f aca="false">H8+H10+H24</f>
        <v>20636.4771425753</v>
      </c>
      <c r="I11" s="0" t="n">
        <f aca="false">I8+I10+I24</f>
        <v>21255.5714568526</v>
      </c>
      <c r="J11" s="0" t="n">
        <f aca="false">J8+J10+J24</f>
        <v>21786.9607432739</v>
      </c>
      <c r="K11" s="0" t="n">
        <f aca="false">K8+K10+K24</f>
        <v>22331.6347618558</v>
      </c>
      <c r="L11" s="0" t="n">
        <f aca="false">L8+L10+L24</f>
        <v>22889.9256309022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-8580.03202196</v>
      </c>
      <c r="D12" s="4" t="n">
        <f aca="false">-D6*Assumptions!D45/100</f>
        <v>-8674.1845857408</v>
      </c>
      <c r="E12" s="4" t="n">
        <f aca="false">-E6*Assumptions!E45/100</f>
        <v>-8945.2528540452</v>
      </c>
      <c r="F12" s="4" t="n">
        <f aca="false">-F6*Assumptions!F45/100</f>
        <v>-9303.06296820701</v>
      </c>
      <c r="G12" s="4" t="n">
        <f aca="false">-G6*Assumptions!G45/100</f>
        <v>-9582.15485725322</v>
      </c>
      <c r="H12" s="4" t="n">
        <f aca="false">-H6*Assumptions!H45/100</f>
        <v>-9869.61950297082</v>
      </c>
      <c r="I12" s="4" t="n">
        <f aca="false">-I6*Assumptions!I45/100</f>
        <v>-10165.7080880599</v>
      </c>
      <c r="J12" s="4" t="n">
        <f aca="false">-J6*Assumptions!J45/100</f>
        <v>-10419.8507902614</v>
      </c>
      <c r="K12" s="4" t="n">
        <f aca="false">-K6*Assumptions!K45/100</f>
        <v>-10680.347060018</v>
      </c>
      <c r="L12" s="4" t="n">
        <f aca="false">-L6*Assumptions!L45/100</f>
        <v>-10947.3557365184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5087.27562364</v>
      </c>
      <c r="D13" s="0" t="n">
        <f aca="false">D11+D12</f>
        <v>6815.4307459392</v>
      </c>
      <c r="E13" s="0" t="n">
        <f aca="false">E11+E12</f>
        <v>8945.2528540452</v>
      </c>
      <c r="F13" s="0" t="n">
        <f aca="false">F11+F12</f>
        <v>10148.7959653167</v>
      </c>
      <c r="G13" s="0" t="n">
        <f aca="false">G11+G12</f>
        <v>10453.2598442762</v>
      </c>
      <c r="H13" s="0" t="n">
        <f aca="false">H11+H12</f>
        <v>10766.8576396045</v>
      </c>
      <c r="I13" s="0" t="n">
        <f aca="false">I11+I12</f>
        <v>11089.8633687927</v>
      </c>
      <c r="J13" s="0" t="n">
        <f aca="false">J11+J12</f>
        <v>11367.1099530125</v>
      </c>
      <c r="K13" s="0" t="n">
        <f aca="false">K11+K12</f>
        <v>11651.2877018378</v>
      </c>
      <c r="L13" s="0" t="n">
        <f aca="false">L11+L12</f>
        <v>11942.5698943837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3866.3294739664</v>
      </c>
      <c r="D15" s="0" t="n">
        <f aca="false">D13-MAX(0,D13)*D14/100</f>
        <v>5179.72736691379</v>
      </c>
      <c r="E15" s="0" t="n">
        <f aca="false">E13-MAX(0,E13)*E14/100</f>
        <v>6798.39216907435</v>
      </c>
      <c r="F15" s="0" t="n">
        <f aca="false">F13-MAX(0,F13)*F14/100</f>
        <v>7713.08493364072</v>
      </c>
      <c r="G15" s="0" t="n">
        <f aca="false">G13-MAX(0,G13)*G14/100</f>
        <v>7944.47748164994</v>
      </c>
      <c r="H15" s="0" t="n">
        <f aca="false">H13-MAX(0,H13)*H14/100</f>
        <v>8182.81180609944</v>
      </c>
      <c r="I15" s="0" t="n">
        <f aca="false">I13-MAX(0,I13)*I14/100</f>
        <v>8428.29616028242</v>
      </c>
      <c r="J15" s="0" t="n">
        <f aca="false">J13-MAX(0,J13)*J14/100</f>
        <v>8639.00356428948</v>
      </c>
      <c r="K15" s="0" t="n">
        <f aca="false">K13-MAX(0,K13)*K14/100</f>
        <v>8854.97865339672</v>
      </c>
      <c r="L15" s="0" t="n">
        <f aca="false">L13-MAX(0,L13)*L14/100</f>
        <v>9076.35311973164</v>
      </c>
    </row>
    <row r="16" customFormat="false" ht="15" hidden="false" customHeight="false" outlineLevel="0" collapsed="false">
      <c r="A16" s="0" t="s">
        <v>117</v>
      </c>
      <c r="C16" s="0" t="n">
        <f aca="false">-C12</f>
        <v>8580.03202196</v>
      </c>
      <c r="D16" s="0" t="n">
        <f aca="false">-D12</f>
        <v>8674.1845857408</v>
      </c>
      <c r="E16" s="0" t="n">
        <f aca="false">-E12</f>
        <v>8945.2528540452</v>
      </c>
      <c r="F16" s="0" t="n">
        <f aca="false">-F12</f>
        <v>9303.06296820701</v>
      </c>
      <c r="G16" s="0" t="n">
        <f aca="false">-G12</f>
        <v>9582.15485725322</v>
      </c>
      <c r="H16" s="0" t="n">
        <f aca="false">-H12</f>
        <v>9869.61950297082</v>
      </c>
      <c r="I16" s="0" t="n">
        <f aca="false">-I12</f>
        <v>10165.7080880599</v>
      </c>
      <c r="J16" s="0" t="n">
        <f aca="false">-J12</f>
        <v>10419.8507902614</v>
      </c>
      <c r="K16" s="0" t="n">
        <f aca="false">-K12</f>
        <v>10680.347060018</v>
      </c>
      <c r="L16" s="0" t="n">
        <f aca="false">-L12</f>
        <v>10947.3557365184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-9870.8332996</v>
      </c>
      <c r="D17" s="4" t="n">
        <f aca="false">-D6*Assumptions!D46/100</f>
        <v>-9681.0095823</v>
      </c>
      <c r="E17" s="4" t="n">
        <f aca="false">-E6*Assumptions!E46/100</f>
        <v>-9758.4576589584</v>
      </c>
      <c r="F17" s="4" t="n">
        <f aca="false">-F6*Assumptions!F46/100</f>
        <v>-10148.7959653167</v>
      </c>
      <c r="G17" s="4" t="n">
        <f aca="false">-G6*Assumptions!G46/100</f>
        <v>-10453.2598442762</v>
      </c>
      <c r="H17" s="4" t="n">
        <f aca="false">-H6*Assumptions!H46/100</f>
        <v>-10318.2385712877</v>
      </c>
      <c r="I17" s="4" t="n">
        <f aca="false">-I6*Assumptions!I46/100</f>
        <v>-10627.7857284263</v>
      </c>
      <c r="J17" s="4" t="n">
        <f aca="false">-J6*Assumptions!J46/100</f>
        <v>-10893.480371637</v>
      </c>
      <c r="K17" s="4" t="n">
        <f aca="false">-K6*Assumptions!K46/100</f>
        <v>-11165.8173809279</v>
      </c>
      <c r="L17" s="4" t="n">
        <f aca="false">-L6*Assumptions!L46/100</f>
        <v>-11444.9628154511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660.256408</v>
      </c>
      <c r="D18" s="4" t="n">
        <f aca="false">(D6-C6)*Assumptions!$B$51/100</f>
        <v>-151.85897384</v>
      </c>
      <c r="E18" s="4" t="n">
        <f aca="false">(E6-D6)*Assumptions!$B$51/100</f>
        <v>-387.240383292</v>
      </c>
      <c r="F18" s="4" t="n">
        <f aca="false">(F6-E6)*Assumptions!$B$51/100</f>
        <v>-325.28192196528</v>
      </c>
      <c r="G18" s="4" t="n">
        <f aca="false">(G6-F6)*Assumptions!$B$51/100</f>
        <v>-253.719899132919</v>
      </c>
      <c r="H18" s="4" t="n">
        <f aca="false">(H6-G6)*Assumptions!$B$51/100</f>
        <v>-261.331496106906</v>
      </c>
      <c r="I18" s="4" t="n">
        <f aca="false">(I6-H6)*Assumptions!$B$51/100</f>
        <v>-269.171440990113</v>
      </c>
      <c r="J18" s="4" t="n">
        <f aca="false">(J6-I6)*Assumptions!$B$51/100</f>
        <v>-231.03882018318</v>
      </c>
      <c r="K18" s="4" t="n">
        <f aca="false">(K6-J6)*Assumptions!$B$51/100</f>
        <v>-236.81479068776</v>
      </c>
      <c r="L18" s="4" t="n">
        <f aca="false">(L6-K6)*Assumptions!$B$51/100</f>
        <v>-242.735160454953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3235.7846043264</v>
      </c>
      <c r="D19" s="0" t="n">
        <f aca="false">D15+D16+D17+D18</f>
        <v>4021.04339651459</v>
      </c>
      <c r="E19" s="0" t="n">
        <f aca="false">E15+E16+E17+E18</f>
        <v>5597.94698086915</v>
      </c>
      <c r="F19" s="0" t="n">
        <f aca="false">F15+F16+F17+F18</f>
        <v>6542.07001456571</v>
      </c>
      <c r="G19" s="0" t="n">
        <f aca="false">G15+G16+G17+G18</f>
        <v>6819.652595494</v>
      </c>
      <c r="H19" s="0" t="n">
        <f aca="false">H15+H16+H17+H18</f>
        <v>7472.86124167568</v>
      </c>
      <c r="I19" s="0" t="n">
        <f aca="false">I15+I16+I17+I18</f>
        <v>7697.04707892595</v>
      </c>
      <c r="J19" s="0" t="n">
        <f aca="false">J15+J16+J17+J18</f>
        <v>7934.33516273078</v>
      </c>
      <c r="K19" s="0" t="n">
        <f aca="false">K15+K16+K17+K18</f>
        <v>8132.69354179906</v>
      </c>
      <c r="L19" s="0" t="n">
        <f aca="false">L15+L16+L17+L18</f>
        <v>8336.01088034403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2955.0544331748</v>
      </c>
      <c r="D21" s="0" t="n">
        <f aca="false">D19*D20</f>
        <v>3353.59429245812</v>
      </c>
      <c r="E21" s="0" t="n">
        <f aca="false">E19*E20</f>
        <v>4263.69787771374</v>
      </c>
      <c r="F21" s="0" t="n">
        <f aca="false">F19*F20</f>
        <v>4550.49572830204</v>
      </c>
      <c r="G21" s="0" t="n">
        <f aca="false">G19*G20</f>
        <v>4332.03199626904</v>
      </c>
      <c r="H21" s="0" t="n">
        <f aca="false">H19*H20</f>
        <v>4335.13077582188</v>
      </c>
      <c r="I21" s="0" t="n">
        <f aca="false">I19*I20</f>
        <v>4077.79424575026</v>
      </c>
      <c r="J21" s="0" t="n">
        <f aca="false">J19*J20</f>
        <v>3838.81858422849</v>
      </c>
      <c r="K21" s="0" t="n">
        <f aca="false">K19*K20</f>
        <v>3593.4146564696</v>
      </c>
      <c r="L21" s="0" t="n">
        <f aca="false">L19*L20</f>
        <v>3363.69865103318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38663.7312412211</v>
      </c>
    </row>
    <row r="31" customFormat="false" ht="15" hidden="false" customHeight="false" outlineLevel="0" collapsed="false">
      <c r="A31" s="0" t="s">
        <v>126</v>
      </c>
      <c r="B31" s="0" t="n">
        <f aca="false">L19</f>
        <v>8336.01088034403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113369.747972679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116704.152324816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113369.747972679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45746.3016540513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84410.0328952724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137249.032895272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30.5126277602739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0.908231879942081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30.5126277602739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65405.6238303916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21.9565028665429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15.7119739066483</v>
      </c>
      <c r="C4" s="0" t="n">
        <f aca="false">B4/Assumptions!$B$2-1</f>
        <v>-0.0173874980207454</v>
      </c>
      <c r="D4" s="4" t="n">
        <f aca="false">Assumptions!$B$24</f>
        <v>0.3</v>
      </c>
      <c r="E4" s="4" t="n">
        <f aca="false">DCF_Bear!$B$43</f>
        <v>15.7119739066483</v>
      </c>
      <c r="F4" s="4" t="n">
        <f aca="false">DCF_Bear!$B$47</f>
        <v>14.4089343669067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23.0277380458308</v>
      </c>
      <c r="C5" s="0" t="n">
        <f aca="false">B5/Assumptions!$B$2-1</f>
        <v>0.440133711434073</v>
      </c>
      <c r="D5" s="4" t="n">
        <f aca="false">Assumptions!$B$38</f>
        <v>0.5</v>
      </c>
      <c r="E5" s="4" t="n">
        <f aca="false">DCF_Base!$B$43</f>
        <v>23.0277380458308</v>
      </c>
      <c r="F5" s="4" t="n">
        <f aca="false">DCF_Base!$B$47</f>
        <v>18.3689450303135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30.5126277602739</v>
      </c>
      <c r="C6" s="0" t="n">
        <f aca="false">B6/Assumptions!$B$2-1</f>
        <v>0.908231879942081</v>
      </c>
      <c r="D6" s="4" t="n">
        <f aca="false">Assumptions!$B$52</f>
        <v>0.2</v>
      </c>
      <c r="E6" s="4" t="n">
        <f aca="false">DCF_Bull!$B$43</f>
        <v>30.5126277602739</v>
      </c>
      <c r="F6" s="4" t="n">
        <f aca="false">DCF_Bull!$B$47</f>
        <v>21.9565028665429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22.3299867469647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22.3299867469647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0.283922548580396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17.8984533985374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23.4265051251709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23.0277380458308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22.6207524973944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21.4073199612364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20.4274082068508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18.3689450303135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0.5</v>
      </c>
      <c r="C23" s="3" t="n">
        <v>1</v>
      </c>
      <c r="D23" s="3" t="n">
        <v>1.5</v>
      </c>
      <c r="E23" s="3" t="n">
        <v>2</v>
      </c>
      <c r="F23" s="3" t="n">
        <v>2.5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24.7374456829684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24.7374456829684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24.7374456829684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24.7374456829684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24.7374456829684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23.8437123245031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23.8437123245031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23.8437123245031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23.8437123245031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23.8437123245031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22.6462596703663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22.973882275177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23.0277380458308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23.0277380458308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23.0277380458308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21.4667686690056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21.7098649188403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21.9799718631012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22.2818560949222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22.2818560949222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20.5053691406834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20.6897460692258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20.8925606906224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21.1167242195344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21.3657948072144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2026-10-11T10:30:22Z</dcterms:created>
  <dc:creator>openpyxl</dc:creator>
  <dc:description/>
  <dc:language>en-NZ</dc:language>
  <cp:lastModifiedBy/>
  <dcterms:modified xsi:type="dcterms:W3CDTF">2026-10-11T10:30:22Z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