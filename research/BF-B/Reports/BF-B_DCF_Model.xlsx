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<sst xmlns="http://schemas.openxmlformats.org/spreadsheetml/2006/main" count="387" uniqueCount="174">
  <si>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</si>
  <si>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BF-B</t>
  </si>
  <si>
    <t xml:space="preserve">Company</t>
  </si>
  <si>
    <t xml:space="preserve">Brown-Forman Corporation (Class B)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</si>
  <si>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</si>
  <si>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</si>
  <si>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</si>
  <si>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</si>
  <si>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2026-09-25T20:00:03Z regular close (NYQ)</t>
  </si>
  <si>
    <t xml:space="preserve">Balance sheet date</t>
  </si>
  <si>
    <t xml:space="preserve">2026-04-30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</si>
  <si>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</si>
  <si>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</si>
  <si>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</si>
  <si>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</si>
  <si>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</si>
  <si>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</si>
  <si>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</si>
  <si>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</si>
  <si>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</si>
  <si>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</si>
  <si>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2026-09-25T23:23:02Z</t>
  </si>
  <si>
    <t xml:space="preserve">Drivers file</t>
  </si>
  <si>
    <t xml:space="preserve">BF-B_Drivers.json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</si>
  <si>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</si>
  <si>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</si>
  <si>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</si>
  <si>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Brown-Forman is a mature, moderately-levered branded spirits company (Jack Daniel's, Woodford Reserve, Herradura) trading at a genuine cyclical/structural trough: two straight years of EPS decline (-29% FY2024-FY2026), guided to a third (FY2027 organic operating income -3% to -5%), against unresolved tariff risk, an active CEO search, and a US distributor-network overhaul. The valuation deliberately does NOT extrapolate the FY2026 reported FCF spike (a working-capital/inventory-drawdown artifact) or the FY2024 margin peak; it builds forward from guided near-term trough margins and a moderate, partial recovery as restructuring savings and the distributor transition land, capped well below the historical peak to reflect a structurally softer US spirits category. The 2026 Pernod Ricard and Sazerac approaches are read as evidence of scarcity value, not modelled as a takeout scenario, since the Brown family's voting control makes any transaction entirely discretionary to them.
key_risks_to_valuation: Tariff exposure is explicitly unquantifiable by management; a severe scenario (e.g., a reinstated/expanded EU tariff) could cut EBIT materially beyond what the bear case assumes; Jack Daniel's brand concentration -- a large majority of profit rests on one flagship franchise now seeing US volume declines; Dual-class structure means public BF-B holders cannot force any value-realizing transaction regardless of how undervalued the stock becomes; CEO transition risk during a simultaneous distributor-network overhaul; The capex_pct_path used here embeds a judgment call (structural aging-inventory investment folded into capex rather than modelled as a separate line) that a reader should sanity-check against future 10-Ks as explicit inventory-investment disclosure becomes available</t>
  </si>
  <si>
    <t xml:space="preserve">Data sources</t>
  </si>
  <si>
    <t xml:space="preserve">price: Yahoo Finance chart API at inputs.price_as_of (see DCF JSON); 52-week range $22.61-$31.92
financials: research/BF-B/Reports/BF-B_Metrics.csv (SEC XBRL-derived, FY2008-FY2026) and BF-B.duckdb core_metrics/kpis
qualitative: research/BF-B/Reports/BF-B_Analysis.json (2026-09-26), including FY2027 guidance from the Q1 FY2027 earnings release (2026-09-02) and FY2026 year-end release (2026-06-04)</t>
  </si>
  <si>
    <t xml:space="preserve">Scenario narrative: bear</t>
  </si>
  <si>
    <t xml:space="preserve">US whiskey/RTD softness proves structural, a major export tariff bites, the Canadian boycott persists, and the distributor transition disrupts execution into FY2028 -- a multi-year margin-compression scenario, not a solvency one.</t>
  </si>
  <si>
    <t xml:space="preserve">Scenario narrative: base</t>
  </si>
  <si>
    <t xml:space="preserve">FY2027 guidance (flat organic sales, -3% to -5% organic operating income) plays out roughly as stated; margin bottoms in FY2027-28 and recovers gradually as restructuring savings and the distributor transition land, but the mature margin settles below the FY2024 cyclical peak because US category softness and Gen-Z moderation are treated as a partial structural change, not a one-year dip.</t>
  </si>
  <si>
    <t xml:space="preserve">Scenario narrative: bull</t>
  </si>
  <si>
    <t xml:space="preserve">Restructuring and distributor realignment execute cleanly, tariffs resolve favorably, and emerging-market/RTD growth outpaces US decline enough to drive margin back close to (but still below) the FY2024 peak.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</si>
  <si>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</si>
  <si>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</si>
  <si>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</si>
  <si>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</si>
  <si>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</si>
  <si>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</si>
  <si>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</si>
  <si>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</si>
  <si>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</si>
  <si>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</si>
  <si>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</si>
  <si>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</si>
  <si>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</si>
  <si>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</si>
  <si>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</si>
  <si>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</si>
  <si>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</si>
  <si>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</si>
  <si>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</si>
  <si>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</si>
  <si>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</si>
  <si>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</si>
  <si>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</si>
  <si>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</si>
  <si>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</si>
  <si>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</si>
  <si>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</si>
  <si>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</si>
  <si>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</si>
  <si>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</si>
  <si>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</si>
  <si>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</si>
  <si>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</si>
  <si>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</si>
  <si>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</si>
  <si>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</si>
  <si>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</si>
  <si>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</si>
  <si>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</si>
  <si>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</si>
  <si>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</si>
  <si>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</si>
  <si>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</si>
  <si>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</si>
  <si>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</si>
  <si>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</si>
  <si>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</si>
  <si>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</si>
  <si>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</si>
  <si>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</si>
  <si>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</si>
  <si>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</si>
  <si>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</si>
  <si>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</si>
  <si>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</si>
  <si>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</si>
  <si>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</si>
  <si>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</si>
  <si>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</si>
  <si>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</si>
  <si>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</si>
  <si>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</si>
  <si>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</si>
  <si>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</si>
  <si>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</si>
  <si>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</si>
  <si>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</si>
  <si>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</si>
  <si>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</si>
  <si>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</si>
  <si>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</si>
  <si>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</si>
  <si>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</si>
  <si>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</si>
  <si>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</si>
  <si>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</si>
  <si>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</si>
  <si>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</si>
  <si>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</si>
  <si>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</si>
  <si>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</si>
  <si>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</si>
  <si>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</si>
  <si>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BF-B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</si>
  <si>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</si>
  <si>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</si>
  <si>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</si>
  <si>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</si>
  <si>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</si>
  <si>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</si>
  <si>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</si>
  <si>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</si>
  <si>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</si>
  <si>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</si>
  <si>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</si>
  <si>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</si>
  <si>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</si>
  <si>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</si>
  <si>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</si>
  <si>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</si>
  <si>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</si>
  <si>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</si>
  <si>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</si>
  <si>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</si>
  <si>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</si>
  <si>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</si>
  <si>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</si>
  <si>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</si>
  <si>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</si>
  <si>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</si>
  <si>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</si>
  <si>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</si>
  <si>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</si>
  <si>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</si>
  <si>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BF-B owner-FCF component DCF: base case (millions, USD)</t>
  </si>
  <si>
    <t xml:space="preserve">BF-B owner-FCF component DCF: bull case (millions, USD)</t>
  </si>
  <si>
    <t xml:space="preserve">BF-B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</si>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</sst>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26.16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119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D3" s="0" t="n">
        <v>1577</v>
      </c>
      <c r="F3" s="0" t="n">
        <v>661</v>
      </c>
      <c r="H3" s="0" t="n">
        <v>716</v>
      </c>
      <c r="I3" s="0" t="n">
        <v>435</v>
      </c>
      <c r="K3" s="0" t="n">
        <v>2.88</v>
      </c>
      <c r="L3" s="0" t="n">
        <v>491</v>
      </c>
      <c r="M3" s="0" t="n">
        <v>49</v>
      </c>
      <c r="N3" s="0" t="n">
        <v>442</v>
      </c>
      <c r="O3" s="0" t="n">
        <v>1816</v>
      </c>
      <c r="S3" s="0" t="n">
        <v>340</v>
      </c>
      <c r="T3" s="0" t="n">
        <v>151.379</v>
      </c>
      <c r="U3" s="0" t="n">
        <v>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D4" s="0" t="n">
        <v>1611</v>
      </c>
      <c r="F4" s="0" t="n">
        <v>710</v>
      </c>
      <c r="H4" s="0" t="n">
        <v>769</v>
      </c>
      <c r="I4" s="0" t="n">
        <v>449</v>
      </c>
      <c r="K4" s="0" t="n">
        <v>3.03</v>
      </c>
      <c r="L4" s="0" t="n">
        <v>545</v>
      </c>
      <c r="M4" s="0" t="n">
        <v>34</v>
      </c>
      <c r="N4" s="0" t="n">
        <v>511</v>
      </c>
      <c r="O4" s="0" t="n">
        <v>1895</v>
      </c>
      <c r="P4" s="0" t="n">
        <v>3383</v>
      </c>
      <c r="Q4" s="0" t="n">
        <v>1488</v>
      </c>
      <c r="R4" s="0" t="n">
        <v>514</v>
      </c>
      <c r="S4" s="0" t="n">
        <v>232</v>
      </c>
      <c r="T4" s="0" t="n">
        <v>148.575</v>
      </c>
      <c r="U4" s="0" t="n">
        <v>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D5" s="0" t="n">
        <v>1724</v>
      </c>
      <c r="F5" s="0" t="n">
        <v>855</v>
      </c>
      <c r="H5" s="0" t="n">
        <v>911</v>
      </c>
      <c r="I5" s="0" t="n">
        <v>572</v>
      </c>
      <c r="K5" s="0" t="n">
        <v>2.61</v>
      </c>
      <c r="L5" s="0" t="n">
        <v>527</v>
      </c>
      <c r="M5" s="0" t="n">
        <v>39</v>
      </c>
      <c r="N5" s="0" t="n">
        <v>488</v>
      </c>
      <c r="O5" s="0" t="n">
        <v>2060</v>
      </c>
      <c r="P5" s="0" t="n">
        <v>3712</v>
      </c>
      <c r="Q5" s="0" t="n">
        <v>1652</v>
      </c>
      <c r="R5" s="0" t="n">
        <v>1014</v>
      </c>
      <c r="S5" s="0" t="n">
        <v>567</v>
      </c>
      <c r="T5" s="0" t="n">
        <v>219.77</v>
      </c>
      <c r="U5" s="0" t="n">
        <v>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D6" s="0" t="n">
        <v>1795</v>
      </c>
      <c r="F6" s="0" t="n">
        <v>788</v>
      </c>
      <c r="H6" s="0" t="n">
        <v>837</v>
      </c>
      <c r="I6" s="0" t="n">
        <v>513</v>
      </c>
      <c r="K6" s="0" t="n">
        <v>2.39</v>
      </c>
      <c r="M6" s="0" t="n">
        <v>58</v>
      </c>
      <c r="O6" s="0" t="n">
        <v>2069</v>
      </c>
      <c r="P6" s="0" t="n">
        <v>3477</v>
      </c>
      <c r="Q6" s="0" t="n">
        <v>1408</v>
      </c>
      <c r="R6" s="0" t="n">
        <v>509</v>
      </c>
      <c r="S6" s="0" t="n">
        <v>338</v>
      </c>
      <c r="T6" s="0" t="n">
        <v>216.083</v>
      </c>
      <c r="U6" s="0" t="n">
        <v>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D7" s="0" t="n">
        <v>1955</v>
      </c>
      <c r="F7" s="0" t="n">
        <v>898</v>
      </c>
      <c r="H7" s="0" t="n">
        <v>949</v>
      </c>
      <c r="I7" s="0" t="n">
        <v>591</v>
      </c>
      <c r="K7" s="0" t="n">
        <v>2.77</v>
      </c>
      <c r="M7" s="0" t="n">
        <v>95</v>
      </c>
      <c r="O7" s="0" t="n">
        <v>1628</v>
      </c>
      <c r="P7" s="0" t="n">
        <v>3626</v>
      </c>
      <c r="Q7" s="0" t="n">
        <v>1998</v>
      </c>
      <c r="R7" s="0" t="n">
        <v>1001</v>
      </c>
      <c r="S7" s="0" t="n">
        <v>204</v>
      </c>
      <c r="T7" s="0" t="n">
        <v>214.986</v>
      </c>
      <c r="U7" s="0" t="n">
        <v>11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D8" s="0" t="n">
        <v>2078</v>
      </c>
      <c r="F8" s="0" t="n">
        <v>971</v>
      </c>
      <c r="H8" s="0" t="n">
        <v>1021</v>
      </c>
      <c r="I8" s="0" t="n">
        <v>659</v>
      </c>
      <c r="K8" s="0" t="n">
        <v>3.08</v>
      </c>
      <c r="M8" s="0" t="n">
        <v>126</v>
      </c>
      <c r="O8" s="0" t="n">
        <v>2032</v>
      </c>
      <c r="P8" s="0" t="n">
        <v>4103</v>
      </c>
      <c r="Q8" s="0" t="n">
        <v>2071</v>
      </c>
      <c r="R8" s="0" t="n">
        <v>997</v>
      </c>
      <c r="S8" s="0" t="n">
        <v>437</v>
      </c>
      <c r="T8" s="0" t="n">
        <v>426.91</v>
      </c>
      <c r="U8" s="0" t="n">
        <v>13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D9" s="0" t="n">
        <v>2183</v>
      </c>
      <c r="F9" s="0" t="n">
        <v>1027</v>
      </c>
      <c r="H9" s="0" t="n">
        <v>1078</v>
      </c>
      <c r="I9" s="0" t="n">
        <v>684</v>
      </c>
      <c r="K9" s="0" t="n">
        <v>1.62</v>
      </c>
      <c r="M9" s="0" t="n">
        <v>120</v>
      </c>
      <c r="O9" s="0" t="n">
        <v>1905</v>
      </c>
      <c r="P9" s="0" t="n">
        <v>4188</v>
      </c>
      <c r="Q9" s="0" t="n">
        <v>2283</v>
      </c>
      <c r="R9" s="0" t="n">
        <v>1243</v>
      </c>
      <c r="S9" s="0" t="n">
        <v>370</v>
      </c>
      <c r="T9" s="0" t="n">
        <v>521.749</v>
      </c>
      <c r="U9" s="0" t="n">
        <v>15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D10" s="0" t="n">
        <v>2144</v>
      </c>
      <c r="F10" s="0" t="n">
        <v>1533</v>
      </c>
      <c r="H10" s="0" t="n">
        <v>1589</v>
      </c>
      <c r="I10" s="0" t="n">
        <v>1067</v>
      </c>
      <c r="K10" s="0" t="n">
        <v>2.1</v>
      </c>
      <c r="L10" s="0" t="n">
        <v>524</v>
      </c>
      <c r="M10" s="0" t="n">
        <v>108</v>
      </c>
      <c r="N10" s="0" t="n">
        <v>416</v>
      </c>
      <c r="O10" s="0" t="n">
        <v>1562</v>
      </c>
      <c r="P10" s="0" t="n">
        <v>4183</v>
      </c>
      <c r="Q10" s="0" t="n">
        <v>2621</v>
      </c>
      <c r="R10" s="0" t="n">
        <v>1230</v>
      </c>
      <c r="S10" s="0" t="n">
        <v>263</v>
      </c>
      <c r="T10" s="0" t="n">
        <v>494.353</v>
      </c>
      <c r="U10" s="0" t="n">
        <v>15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2994</v>
      </c>
      <c r="C11" s="0" t="n">
        <v>973</v>
      </c>
      <c r="D11" s="0" t="n">
        <v>2021</v>
      </c>
      <c r="E11" s="0" t="n">
        <v>67.50167000668</v>
      </c>
      <c r="F11" s="0" t="n">
        <v>1010</v>
      </c>
      <c r="G11" s="0" t="n">
        <v>33.7341349365398</v>
      </c>
      <c r="H11" s="0" t="n">
        <v>1068</v>
      </c>
      <c r="I11" s="0" t="n">
        <v>669</v>
      </c>
      <c r="J11" s="0" t="n">
        <v>22.3446893787575</v>
      </c>
      <c r="K11" s="0" t="n">
        <v>1.38</v>
      </c>
      <c r="L11" s="0" t="n">
        <v>656</v>
      </c>
      <c r="M11" s="0" t="n">
        <v>112</v>
      </c>
      <c r="N11" s="0" t="n">
        <v>544</v>
      </c>
      <c r="O11" s="0" t="n">
        <v>1370</v>
      </c>
      <c r="P11" s="0" t="n">
        <v>4625</v>
      </c>
      <c r="Q11" s="0" t="n">
        <v>3255</v>
      </c>
      <c r="R11" s="0" t="n">
        <v>2187</v>
      </c>
      <c r="S11" s="0" t="n">
        <v>182</v>
      </c>
      <c r="T11" s="0" t="n">
        <v>480.106</v>
      </c>
      <c r="U11" s="0" t="n">
        <v>14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3248</v>
      </c>
      <c r="C12" s="0" t="n">
        <v>1046</v>
      </c>
      <c r="D12" s="0" t="n">
        <v>2202</v>
      </c>
      <c r="E12" s="0" t="n">
        <v>67.7955665024631</v>
      </c>
      <c r="F12" s="0" t="n">
        <v>1048</v>
      </c>
      <c r="G12" s="0" t="n">
        <v>32.2660098522168</v>
      </c>
      <c r="H12" s="0" t="n">
        <v>1112</v>
      </c>
      <c r="I12" s="0" t="n">
        <v>717</v>
      </c>
      <c r="J12" s="0" t="n">
        <v>22.0751231527094</v>
      </c>
      <c r="K12" s="0" t="n">
        <v>1.49</v>
      </c>
      <c r="L12" s="0" t="n">
        <v>653</v>
      </c>
      <c r="M12" s="0" t="n">
        <v>127</v>
      </c>
      <c r="N12" s="0" t="n">
        <v>526</v>
      </c>
      <c r="O12" s="0" t="n">
        <v>1316</v>
      </c>
      <c r="P12" s="0" t="n">
        <v>4976</v>
      </c>
      <c r="Q12" s="0" t="n">
        <v>3660</v>
      </c>
      <c r="R12" s="0" t="n">
        <v>2341</v>
      </c>
      <c r="S12" s="0" t="n">
        <v>239</v>
      </c>
      <c r="T12" s="0" t="n">
        <v>481.001</v>
      </c>
      <c r="U12" s="0" t="n">
        <v>19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3324</v>
      </c>
      <c r="C13" s="0" t="n">
        <v>1158</v>
      </c>
      <c r="D13" s="0" t="n">
        <v>2166</v>
      </c>
      <c r="E13" s="0" t="n">
        <v>65.1624548736462</v>
      </c>
      <c r="F13" s="0" t="n">
        <v>1144</v>
      </c>
      <c r="G13" s="0" t="n">
        <v>34.4163658243081</v>
      </c>
      <c r="H13" s="0" t="n">
        <v>1216</v>
      </c>
      <c r="I13" s="0" t="n">
        <v>835</v>
      </c>
      <c r="J13" s="0" t="n">
        <v>25.1203369434416</v>
      </c>
      <c r="K13" s="0" t="n">
        <v>1.74</v>
      </c>
      <c r="L13" s="0" t="n">
        <v>800</v>
      </c>
      <c r="M13" s="0" t="n">
        <v>119</v>
      </c>
      <c r="N13" s="0" t="n">
        <v>681</v>
      </c>
      <c r="O13" s="0" t="n">
        <v>1647</v>
      </c>
      <c r="P13" s="0" t="n">
        <v>5139</v>
      </c>
      <c r="Q13" s="0" t="n">
        <v>3492</v>
      </c>
      <c r="R13" s="0" t="n">
        <v>2290</v>
      </c>
      <c r="S13" s="0" t="n">
        <v>307</v>
      </c>
      <c r="T13" s="0" t="n">
        <v>477.172</v>
      </c>
      <c r="U13" s="0" t="n">
        <v>14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3363</v>
      </c>
      <c r="C14" s="0" t="n">
        <v>1236</v>
      </c>
      <c r="D14" s="0" t="n">
        <v>2127</v>
      </c>
      <c r="E14" s="0" t="n">
        <v>63.2471008028546</v>
      </c>
      <c r="F14" s="0" t="n">
        <v>1091</v>
      </c>
      <c r="G14" s="0" t="n">
        <v>32.4412726732085</v>
      </c>
      <c r="H14" s="0" t="n">
        <v>1165</v>
      </c>
      <c r="I14" s="0" t="n">
        <v>827</v>
      </c>
      <c r="J14" s="0" t="n">
        <v>24.5911388641094</v>
      </c>
      <c r="K14" s="0" t="n">
        <v>1.73</v>
      </c>
      <c r="L14" s="0" t="n">
        <v>724</v>
      </c>
      <c r="M14" s="0" t="n">
        <v>113</v>
      </c>
      <c r="N14" s="0" t="n">
        <v>611</v>
      </c>
      <c r="O14" s="0" t="n">
        <v>1975</v>
      </c>
      <c r="P14" s="0" t="n">
        <v>5766</v>
      </c>
      <c r="Q14" s="0" t="n">
        <v>3791</v>
      </c>
      <c r="R14" s="0" t="n">
        <v>2269</v>
      </c>
      <c r="S14" s="0" t="n">
        <v>675</v>
      </c>
      <c r="T14" s="0" t="n">
        <v>478.209</v>
      </c>
      <c r="U14" s="0" t="n">
        <v>11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3461</v>
      </c>
      <c r="C15" s="0" t="n">
        <v>1367</v>
      </c>
      <c r="D15" s="0" t="n">
        <v>2094</v>
      </c>
      <c r="E15" s="0" t="n">
        <v>60.5027448714244</v>
      </c>
      <c r="F15" s="0" t="n">
        <v>1166</v>
      </c>
      <c r="G15" s="0" t="n">
        <v>33.6896850621208</v>
      </c>
      <c r="H15" s="0" t="n">
        <v>1243</v>
      </c>
      <c r="I15" s="0" t="n">
        <v>903</v>
      </c>
      <c r="J15" s="0" t="n">
        <v>26.0907252239237</v>
      </c>
      <c r="K15" s="0" t="n">
        <v>1.89</v>
      </c>
      <c r="L15" s="0" t="n">
        <v>817</v>
      </c>
      <c r="M15" s="0" t="n">
        <v>62</v>
      </c>
      <c r="N15" s="0" t="n">
        <v>755</v>
      </c>
      <c r="O15" s="0" t="n">
        <v>2656</v>
      </c>
      <c r="P15" s="0" t="n">
        <v>6522</v>
      </c>
      <c r="Q15" s="0" t="n">
        <v>3866</v>
      </c>
      <c r="R15" s="0" t="n">
        <v>2354</v>
      </c>
      <c r="S15" s="0" t="n">
        <v>1150</v>
      </c>
      <c r="T15" s="0" t="n">
        <v>478.729</v>
      </c>
      <c r="U15" s="0" t="n">
        <v>12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3933</v>
      </c>
      <c r="C16" s="0" t="n">
        <v>1542</v>
      </c>
      <c r="D16" s="0" t="n">
        <v>2391</v>
      </c>
      <c r="E16" s="0" t="n">
        <v>60.793287566743</v>
      </c>
      <c r="F16" s="0" t="n">
        <v>1204</v>
      </c>
      <c r="G16" s="0" t="n">
        <v>30.6127637935418</v>
      </c>
      <c r="H16" s="0" t="n">
        <v>1283</v>
      </c>
      <c r="I16" s="0" t="n">
        <v>838</v>
      </c>
      <c r="J16" s="0" t="n">
        <v>21.3068904144419</v>
      </c>
      <c r="K16" s="0" t="n">
        <v>1.75</v>
      </c>
      <c r="L16" s="0" t="n">
        <v>936</v>
      </c>
      <c r="M16" s="0" t="n">
        <v>138</v>
      </c>
      <c r="N16" s="0" t="n">
        <v>798</v>
      </c>
      <c r="O16" s="0" t="n">
        <v>2737</v>
      </c>
      <c r="P16" s="0" t="n">
        <v>6373</v>
      </c>
      <c r="Q16" s="0" t="n">
        <v>3636</v>
      </c>
      <c r="R16" s="0" t="n">
        <v>2519</v>
      </c>
      <c r="S16" s="0" t="n">
        <v>868</v>
      </c>
      <c r="T16" s="0" t="n">
        <v>479.02</v>
      </c>
      <c r="U16" s="0" t="n">
        <v>15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4228</v>
      </c>
      <c r="C17" s="0" t="n">
        <v>1734</v>
      </c>
      <c r="D17" s="0" t="n">
        <v>2494</v>
      </c>
      <c r="E17" s="0" t="n">
        <v>58.9877010406812</v>
      </c>
      <c r="F17" s="0" t="n">
        <v>1127</v>
      </c>
      <c r="G17" s="0" t="n">
        <v>26.6556291390728</v>
      </c>
      <c r="H17" s="0" t="n">
        <v>1207</v>
      </c>
      <c r="I17" s="0" t="n">
        <v>783</v>
      </c>
      <c r="J17" s="0" t="n">
        <v>18.519394512772</v>
      </c>
      <c r="K17" s="0" t="n">
        <v>1.63</v>
      </c>
      <c r="L17" s="0" t="n">
        <v>640</v>
      </c>
      <c r="M17" s="0" t="n">
        <v>183</v>
      </c>
      <c r="N17" s="0" t="n">
        <v>457</v>
      </c>
      <c r="O17" s="0" t="n">
        <v>3268</v>
      </c>
      <c r="P17" s="0" t="n">
        <v>7777</v>
      </c>
      <c r="Q17" s="0" t="n">
        <v>4509</v>
      </c>
      <c r="R17" s="0" t="n">
        <v>2678</v>
      </c>
      <c r="S17" s="0" t="n">
        <v>374</v>
      </c>
      <c r="T17" s="0" t="n">
        <v>480.465</v>
      </c>
      <c r="U17" s="0" t="n">
        <v>18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4178</v>
      </c>
      <c r="C18" s="0" t="n">
        <v>1652</v>
      </c>
      <c r="D18" s="0" t="n">
        <v>2526</v>
      </c>
      <c r="E18" s="0" t="n">
        <v>60.4595500239349</v>
      </c>
      <c r="F18" s="0" t="n">
        <v>1414</v>
      </c>
      <c r="G18" s="0" t="n">
        <v>33.8439444710388</v>
      </c>
      <c r="H18" s="0" t="n">
        <v>1501</v>
      </c>
      <c r="I18" s="0" t="n">
        <v>1024</v>
      </c>
      <c r="J18" s="0" t="n">
        <v>24.5093346098612</v>
      </c>
      <c r="K18" s="0" t="n">
        <v>2.15</v>
      </c>
      <c r="L18" s="0" t="n">
        <v>647</v>
      </c>
      <c r="M18" s="0" t="n">
        <v>228</v>
      </c>
      <c r="N18" s="0" t="n">
        <v>419</v>
      </c>
      <c r="O18" s="0" t="n">
        <v>3517</v>
      </c>
      <c r="P18" s="0" t="n">
        <v>8166</v>
      </c>
      <c r="Q18" s="0" t="n">
        <v>4649</v>
      </c>
      <c r="R18" s="0" t="n">
        <v>2972</v>
      </c>
      <c r="S18" s="0" t="n">
        <v>446</v>
      </c>
      <c r="T18" s="0" t="n">
        <v>477.22</v>
      </c>
      <c r="U18" s="0" t="n">
        <v>25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3975</v>
      </c>
      <c r="C19" s="0" t="n">
        <v>1632</v>
      </c>
      <c r="D19" s="0" t="n">
        <v>2343</v>
      </c>
      <c r="E19" s="0" t="n">
        <v>58.9433962264151</v>
      </c>
      <c r="F19" s="0" t="n">
        <v>1107</v>
      </c>
      <c r="G19" s="0" t="n">
        <v>27.8490566037736</v>
      </c>
      <c r="H19" s="0" t="n">
        <v>1194</v>
      </c>
      <c r="I19" s="0" t="n">
        <v>869</v>
      </c>
      <c r="J19" s="0" t="n">
        <v>21.8616352201258</v>
      </c>
      <c r="K19" s="0" t="n">
        <v>1.84</v>
      </c>
      <c r="L19" s="0" t="n">
        <v>598</v>
      </c>
      <c r="M19" s="0" t="n">
        <v>167</v>
      </c>
      <c r="N19" s="0" t="n">
        <v>431</v>
      </c>
      <c r="O19" s="0" t="n">
        <v>3993</v>
      </c>
      <c r="P19" s="0" t="n">
        <v>8086</v>
      </c>
      <c r="Q19" s="0" t="n">
        <v>4093</v>
      </c>
      <c r="R19" s="0" t="n">
        <v>2421</v>
      </c>
      <c r="S19" s="0" t="n">
        <v>444</v>
      </c>
      <c r="T19" s="0" t="n">
        <v>472.95</v>
      </c>
      <c r="U19" s="0" t="n">
        <v>28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3928</v>
      </c>
      <c r="C20" s="0" t="n">
        <v>1550</v>
      </c>
      <c r="D20" s="0" t="n">
        <v>2378</v>
      </c>
      <c r="E20" s="0" t="n">
        <v>60.5397148676171</v>
      </c>
      <c r="F20" s="0" t="n">
        <v>1001</v>
      </c>
      <c r="G20" s="0" t="n">
        <v>25.4837067209776</v>
      </c>
      <c r="H20" s="0" t="n">
        <v>1093</v>
      </c>
      <c r="I20" s="0" t="n">
        <v>715</v>
      </c>
      <c r="J20" s="0" t="n">
        <v>18.2026476578411</v>
      </c>
      <c r="K20" s="0" t="n">
        <v>1.53</v>
      </c>
      <c r="L20" s="0" t="n">
        <v>1000</v>
      </c>
      <c r="M20" s="0" t="n">
        <v>107</v>
      </c>
      <c r="N20" s="0" t="n">
        <v>893</v>
      </c>
      <c r="O20" s="0" t="n">
        <v>4020</v>
      </c>
      <c r="P20" s="0" t="n">
        <v>7894</v>
      </c>
      <c r="Q20" s="0" t="n">
        <v>3874</v>
      </c>
      <c r="R20" s="0" t="n">
        <v>2785</v>
      </c>
      <c r="S20" s="0" t="n">
        <v>308</v>
      </c>
      <c r="T20" s="0" t="n">
        <v>466.733</v>
      </c>
      <c r="U20" s="0" t="n">
        <v>32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26.16</v>
      </c>
    </row>
    <row r="3" customFormat="false" ht="15" hidden="false" customHeight="false" outlineLevel="0" collapsed="false">
      <c r="A3" s="0" t="s">
        <v>85</v>
      </c>
      <c r="B3" s="3" t="n">
        <v>466.733</v>
      </c>
    </row>
    <row r="4" customFormat="false" ht="15" hidden="false" customHeight="false" outlineLevel="0" collapsed="false">
      <c r="A4" s="0" t="s">
        <v>86</v>
      </c>
      <c r="B4" s="3" t="n">
        <v>2477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3928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-2</v>
      </c>
      <c r="D13" s="3" t="n">
        <v>-1</v>
      </c>
      <c r="E13" s="3" t="n">
        <v>0</v>
      </c>
      <c r="F13" s="3" t="n">
        <v>0.5</v>
      </c>
      <c r="G13" s="3" t="n">
        <v>1</v>
      </c>
      <c r="H13" s="3" t="n">
        <v>1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106</v>
      </c>
      <c r="C14" s="3" t="n">
        <v>24</v>
      </c>
      <c r="D14" s="3" t="n">
        <v>23</v>
      </c>
      <c r="E14" s="3" t="n">
        <v>23.5</v>
      </c>
      <c r="F14" s="3" t="n">
        <v>24</v>
      </c>
      <c r="G14" s="3" t="n">
        <v>24.5</v>
      </c>
      <c r="H14" s="3" t="n">
        <v>25</v>
      </c>
      <c r="I14" s="3" t="n">
        <v>25.5</v>
      </c>
      <c r="J14" s="3" t="n">
        <v>26</v>
      </c>
      <c r="K14" s="3" t="n">
        <v>26</v>
      </c>
      <c r="L14" s="3" t="n">
        <v>26</v>
      </c>
    </row>
    <row r="15" customFormat="false" ht="15" hidden="false" customHeight="false" outlineLevel="0" collapsed="false">
      <c r="A15" s="0" t="s">
        <v>107</v>
      </c>
      <c r="C15" s="3" t="n">
        <v>0.9</v>
      </c>
      <c r="D15" s="3" t="n">
        <v>0.9</v>
      </c>
      <c r="E15" s="3" t="n">
        <v>0.9</v>
      </c>
      <c r="F15" s="3" t="n">
        <v>0.9</v>
      </c>
      <c r="G15" s="3" t="n">
        <v>0.9</v>
      </c>
      <c r="H15" s="3" t="n">
        <v>0.9</v>
      </c>
      <c r="I15" s="3" t="n">
        <v>0.9</v>
      </c>
      <c r="J15" s="3" t="n">
        <v>0.9</v>
      </c>
      <c r="K15" s="3" t="n">
        <v>0.9</v>
      </c>
      <c r="L15" s="3" t="n">
        <v>0.9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2.5</v>
      </c>
      <c r="D17" s="3" t="n">
        <v>2.5</v>
      </c>
      <c r="E17" s="3" t="n">
        <v>2.5</v>
      </c>
      <c r="F17" s="3" t="n">
        <v>2.5</v>
      </c>
      <c r="G17" s="3" t="n">
        <v>2.5</v>
      </c>
      <c r="H17" s="3" t="n">
        <v>2.5</v>
      </c>
      <c r="I17" s="3" t="n">
        <v>2.5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110</v>
      </c>
      <c r="C18" s="3" t="n">
        <v>13</v>
      </c>
      <c r="D18" s="3" t="n">
        <v>13</v>
      </c>
      <c r="E18" s="3" t="n">
        <v>12.7</v>
      </c>
      <c r="F18" s="3" t="n">
        <v>12.4</v>
      </c>
      <c r="G18" s="3" t="n">
        <v>12.1</v>
      </c>
      <c r="H18" s="3" t="n">
        <v>11.9</v>
      </c>
      <c r="I18" s="3" t="n">
        <v>11.7</v>
      </c>
      <c r="J18" s="3" t="n">
        <v>11.5</v>
      </c>
      <c r="K18" s="3" t="n">
        <v>11.4</v>
      </c>
      <c r="L18" s="3" t="n">
        <v>11.3</v>
      </c>
    </row>
    <row r="19" customFormat="false" ht="15" hidden="false" customHeight="false" outlineLevel="0" collapsed="false">
      <c r="A19" s="0" t="s">
        <v>111</v>
      </c>
      <c r="C19" s="3" t="n">
        <v>23.5</v>
      </c>
      <c r="D19" s="3" t="n">
        <v>23.5</v>
      </c>
      <c r="E19" s="3" t="n">
        <v>23.5</v>
      </c>
      <c r="F19" s="3" t="n">
        <v>23.5</v>
      </c>
      <c r="G19" s="3" t="n">
        <v>23.5</v>
      </c>
      <c r="H19" s="3" t="n">
        <v>23.5</v>
      </c>
      <c r="I19" s="3" t="n">
        <v>23.5</v>
      </c>
      <c r="J19" s="3" t="n">
        <v>23.5</v>
      </c>
      <c r="K19" s="3" t="n">
        <v>23.5</v>
      </c>
      <c r="L19" s="3" t="n">
        <v>23.5</v>
      </c>
    </row>
    <row r="20" customFormat="false" ht="15" hidden="false" customHeight="false" outlineLevel="0" collapsed="false">
      <c r="A20" s="0" t="s">
        <v>112</v>
      </c>
      <c r="B20" s="3" t="n">
        <v>8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-4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0</v>
      </c>
      <c r="D27" s="3" t="n">
        <v>1</v>
      </c>
      <c r="E27" s="3" t="n">
        <v>2</v>
      </c>
      <c r="F27" s="3" t="n">
        <v>2.5</v>
      </c>
      <c r="G27" s="3" t="n">
        <v>2.5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27.5</v>
      </c>
      <c r="D28" s="3" t="n">
        <v>27.8</v>
      </c>
      <c r="E28" s="3" t="n">
        <v>28.5</v>
      </c>
      <c r="F28" s="3" t="n">
        <v>29.2</v>
      </c>
      <c r="G28" s="3" t="n">
        <v>29.8</v>
      </c>
      <c r="H28" s="3" t="n">
        <v>30.2</v>
      </c>
      <c r="I28" s="3" t="n">
        <v>30.5</v>
      </c>
      <c r="J28" s="3" t="n">
        <v>30.7</v>
      </c>
      <c r="K28" s="3" t="n">
        <v>30.8</v>
      </c>
      <c r="L28" s="3" t="n">
        <v>30.8</v>
      </c>
    </row>
    <row r="29" customFormat="false" ht="15" hidden="false" customHeight="false" outlineLevel="0" collapsed="false">
      <c r="A29" s="0" t="s">
        <v>107</v>
      </c>
      <c r="C29" s="3" t="n">
        <v>0.85</v>
      </c>
      <c r="D29" s="3" t="n">
        <v>0.85</v>
      </c>
      <c r="E29" s="3" t="n">
        <v>0.83</v>
      </c>
      <c r="F29" s="3" t="n">
        <v>0.82</v>
      </c>
      <c r="G29" s="3" t="n">
        <v>0.8</v>
      </c>
      <c r="H29" s="3" t="n">
        <v>0.8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2.4</v>
      </c>
      <c r="D31" s="3" t="n">
        <v>2.4</v>
      </c>
      <c r="E31" s="3" t="n">
        <v>2.4</v>
      </c>
      <c r="F31" s="3" t="n">
        <v>2.4</v>
      </c>
      <c r="G31" s="3" t="n">
        <v>2.4</v>
      </c>
      <c r="H31" s="3" t="n">
        <v>2.4</v>
      </c>
      <c r="I31" s="3" t="n">
        <v>2.4</v>
      </c>
      <c r="J31" s="3" t="n">
        <v>2.4</v>
      </c>
      <c r="K31" s="3" t="n">
        <v>2.4</v>
      </c>
      <c r="L31" s="3" t="n">
        <v>2.4</v>
      </c>
    </row>
    <row r="32" customFormat="false" ht="15" hidden="false" customHeight="false" outlineLevel="0" collapsed="false">
      <c r="A32" s="0" t="s">
        <v>110</v>
      </c>
      <c r="C32" s="3" t="n">
        <v>12</v>
      </c>
      <c r="D32" s="3" t="n">
        <v>11.7</v>
      </c>
      <c r="E32" s="3" t="n">
        <v>11.4</v>
      </c>
      <c r="F32" s="3" t="n">
        <v>11.1</v>
      </c>
      <c r="G32" s="3" t="n">
        <v>10.8</v>
      </c>
      <c r="H32" s="3" t="n">
        <v>10.6</v>
      </c>
      <c r="I32" s="3" t="n">
        <v>10.4</v>
      </c>
      <c r="J32" s="3" t="n">
        <v>10.2</v>
      </c>
      <c r="K32" s="3" t="n">
        <v>10.1</v>
      </c>
      <c r="L32" s="3" t="n">
        <v>10</v>
      </c>
    </row>
    <row r="33" customFormat="false" ht="15" hidden="false" customHeight="false" outlineLevel="0" collapsed="false">
      <c r="A33" s="0" t="s">
        <v>111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112</v>
      </c>
      <c r="B34" s="3" t="n">
        <v>8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-3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1.5</v>
      </c>
      <c r="D41" s="3" t="n">
        <v>3</v>
      </c>
      <c r="E41" s="3" t="n">
        <v>4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28.5</v>
      </c>
      <c r="D42" s="3" t="n">
        <v>30</v>
      </c>
      <c r="E42" s="3" t="n">
        <v>31.5</v>
      </c>
      <c r="F42" s="3" t="n">
        <v>32.5</v>
      </c>
      <c r="G42" s="3" t="n">
        <v>33.5</v>
      </c>
      <c r="H42" s="3" t="n">
        <v>34</v>
      </c>
      <c r="I42" s="3" t="n">
        <v>34.5</v>
      </c>
      <c r="J42" s="3" t="n">
        <v>34.5</v>
      </c>
      <c r="K42" s="3" t="n">
        <v>34.5</v>
      </c>
      <c r="L42" s="3" t="n">
        <v>34.5</v>
      </c>
    </row>
    <row r="43" customFormat="false" ht="15" hidden="false" customHeight="false" outlineLevel="0" collapsed="false">
      <c r="A43" s="0" t="s">
        <v>107</v>
      </c>
      <c r="C43" s="3" t="n">
        <v>0.8</v>
      </c>
      <c r="D43" s="3" t="n">
        <v>0.8</v>
      </c>
      <c r="E43" s="3" t="n">
        <v>0.8</v>
      </c>
      <c r="F43" s="3" t="n">
        <v>0.8</v>
      </c>
      <c r="G43" s="3" t="n">
        <v>0.8</v>
      </c>
      <c r="H43" s="3" t="n">
        <v>0.8</v>
      </c>
      <c r="I43" s="3" t="n">
        <v>0.8</v>
      </c>
      <c r="J43" s="3" t="n">
        <v>0.8</v>
      </c>
      <c r="K43" s="3" t="n">
        <v>0.8</v>
      </c>
      <c r="L43" s="3" t="n">
        <v>0.8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2.3</v>
      </c>
      <c r="D45" s="3" t="n">
        <v>2.3</v>
      </c>
      <c r="E45" s="3" t="n">
        <v>2.3</v>
      </c>
      <c r="F45" s="3" t="n">
        <v>2.3</v>
      </c>
      <c r="G45" s="3" t="n">
        <v>2.3</v>
      </c>
      <c r="H45" s="3" t="n">
        <v>2.3</v>
      </c>
      <c r="I45" s="3" t="n">
        <v>2.3</v>
      </c>
      <c r="J45" s="3" t="n">
        <v>2.3</v>
      </c>
      <c r="K45" s="3" t="n">
        <v>2.3</v>
      </c>
      <c r="L45" s="3" t="n">
        <v>2.3</v>
      </c>
    </row>
    <row r="46" customFormat="false" ht="15" hidden="false" customHeight="false" outlineLevel="0" collapsed="false">
      <c r="A46" s="0" t="s">
        <v>110</v>
      </c>
      <c r="C46" s="3" t="n">
        <v>11</v>
      </c>
      <c r="D46" s="3" t="n">
        <v>10.5</v>
      </c>
      <c r="E46" s="3" t="n">
        <v>10</v>
      </c>
      <c r="F46" s="3" t="n">
        <v>9.7</v>
      </c>
      <c r="G46" s="3" t="n">
        <v>9.4</v>
      </c>
      <c r="H46" s="3" t="n">
        <v>9.2</v>
      </c>
      <c r="I46" s="3" t="n">
        <v>9</v>
      </c>
      <c r="J46" s="3" t="n">
        <v>8.9</v>
      </c>
      <c r="K46" s="3" t="n">
        <v>8.8</v>
      </c>
      <c r="L46" s="3" t="n">
        <v>8.8</v>
      </c>
    </row>
    <row r="47" customFormat="false" ht="15" hidden="false" customHeight="false" outlineLevel="0" collapsed="false">
      <c r="A47" s="0" t="s">
        <v>111</v>
      </c>
      <c r="C47" s="3" t="n">
        <v>22.5</v>
      </c>
      <c r="D47" s="3" t="n">
        <v>22.5</v>
      </c>
      <c r="E47" s="3" t="n">
        <v>22.5</v>
      </c>
      <c r="F47" s="3" t="n">
        <v>22.5</v>
      </c>
      <c r="G47" s="3" t="n">
        <v>22.5</v>
      </c>
      <c r="H47" s="3" t="n">
        <v>22.5</v>
      </c>
      <c r="I47" s="3" t="n">
        <v>22.5</v>
      </c>
      <c r="J47" s="3" t="n">
        <v>22.5</v>
      </c>
      <c r="K47" s="3" t="n">
        <v>22.5</v>
      </c>
      <c r="L47" s="3" t="n">
        <v>22.5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17</v>
      </c>
    </row>
    <row r="51" customFormat="false" ht="15" hidden="false" customHeight="false" outlineLevel="0" collapsed="false">
      <c r="A51" s="0" t="s">
        <v>115</v>
      </c>
      <c r="B51" s="3" t="n">
        <v>-2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-2</v>
      </c>
      <c r="D5" s="4" t="n">
        <f aca="false">Assumptions!D13</f>
        <v>-1</v>
      </c>
      <c r="E5" s="4" t="n">
        <f aca="false">Assumptions!E13</f>
        <v>0</v>
      </c>
      <c r="F5" s="4" t="n">
        <f aca="false">Assumptions!F13</f>
        <v>0.5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3928</v>
      </c>
      <c r="C6" s="0" t="n">
        <f aca="false">B6*(1+C5/100)</f>
        <v>3849.44</v>
      </c>
      <c r="D6" s="0" t="n">
        <f aca="false">C6*(1+D5/100)</f>
        <v>3810.9456</v>
      </c>
      <c r="E6" s="0" t="n">
        <f aca="false">D6*(1+E5/100)</f>
        <v>3810.9456</v>
      </c>
      <c r="F6" s="0" t="n">
        <f aca="false">E6*(1+F5/100)</f>
        <v>3830.000328</v>
      </c>
      <c r="G6" s="0" t="n">
        <f aca="false">F6*(1+G5/100)</f>
        <v>3868.30033128</v>
      </c>
      <c r="H6" s="0" t="n">
        <f aca="false">G6*(1+H5/100)</f>
        <v>3906.9833345928</v>
      </c>
      <c r="I6" s="0" t="n">
        <f aca="false">H6*(1+I5/100)</f>
        <v>3965.58808461169</v>
      </c>
      <c r="J6" s="0" t="n">
        <f aca="false">I6*(1+J5/100)</f>
        <v>4025.07190588087</v>
      </c>
      <c r="K6" s="0" t="n">
        <f aca="false">J6*(1+K5/100)</f>
        <v>4085.44798446908</v>
      </c>
      <c r="L6" s="0" t="n">
        <f aca="false">K6*(1+L5/100)</f>
        <v>4146.72970423611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24</v>
      </c>
      <c r="D7" s="4" t="n">
        <f aca="false">Assumptions!D14</f>
        <v>23</v>
      </c>
      <c r="E7" s="4" t="n">
        <f aca="false">Assumptions!E14</f>
        <v>23.5</v>
      </c>
      <c r="F7" s="4" t="n">
        <f aca="false">Assumptions!F14</f>
        <v>24</v>
      </c>
      <c r="G7" s="4" t="n">
        <f aca="false">Assumptions!G14</f>
        <v>24.5</v>
      </c>
      <c r="H7" s="4" t="n">
        <f aca="false">Assumptions!H14</f>
        <v>25</v>
      </c>
      <c r="I7" s="4" t="n">
        <f aca="false">Assumptions!I14</f>
        <v>25.5</v>
      </c>
      <c r="J7" s="4" t="n">
        <f aca="false">Assumptions!J14</f>
        <v>26</v>
      </c>
      <c r="K7" s="4" t="n">
        <f aca="false">Assumptions!K14</f>
        <v>26</v>
      </c>
      <c r="L7" s="4" t="n">
        <f aca="false">Assumptions!L14</f>
        <v>26</v>
      </c>
    </row>
    <row r="8" customFormat="false" ht="15" hidden="false" customHeight="false" outlineLevel="0" collapsed="false">
      <c r="A8" s="0" t="s">
        <v>43</v>
      </c>
      <c r="C8" s="0" t="n">
        <f aca="false">C6*C7/100</f>
        <v>923.8656</v>
      </c>
      <c r="D8" s="0" t="n">
        <f aca="false">D6*D7/100</f>
        <v>876.517488</v>
      </c>
      <c r="E8" s="0" t="n">
        <f aca="false">E6*E7/100</f>
        <v>895.572216</v>
      </c>
      <c r="F8" s="0" t="n">
        <f aca="false">F6*F7/100</f>
        <v>919.20007872</v>
      </c>
      <c r="G8" s="0" t="n">
        <f aca="false">G6*G7/100</f>
        <v>947.7335811636</v>
      </c>
      <c r="H8" s="0" t="n">
        <f aca="false">H6*H7/100</f>
        <v>976.7458336482</v>
      </c>
      <c r="I8" s="0" t="n">
        <f aca="false">I6*I7/100</f>
        <v>1011.22496157598</v>
      </c>
      <c r="J8" s="0" t="n">
        <f aca="false">J6*J7/100</f>
        <v>1046.51869552903</v>
      </c>
      <c r="K8" s="0" t="n">
        <f aca="false">K6*K7/100</f>
        <v>1062.21647596196</v>
      </c>
      <c r="L8" s="0" t="n">
        <f aca="false">L6*L7/100</f>
        <v>1078.14972310139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0.9</v>
      </c>
      <c r="D9" s="4" t="n">
        <f aca="false">Assumptions!D15</f>
        <v>0.9</v>
      </c>
      <c r="E9" s="4" t="n">
        <f aca="false">Assumptions!E15</f>
        <v>0.9</v>
      </c>
      <c r="F9" s="4" t="n">
        <f aca="false">Assumptions!F15</f>
        <v>0.9</v>
      </c>
      <c r="G9" s="4" t="n">
        <f aca="false">Assumptions!G15</f>
        <v>0.9</v>
      </c>
      <c r="H9" s="4" t="n">
        <f aca="false">Assumptions!H15</f>
        <v>0.9</v>
      </c>
      <c r="I9" s="4" t="n">
        <f aca="false">Assumptions!I15</f>
        <v>0.9</v>
      </c>
      <c r="J9" s="4" t="n">
        <f aca="false">Assumptions!J15</f>
        <v>0.9</v>
      </c>
      <c r="K9" s="4" t="n">
        <f aca="false">Assumptions!K15</f>
        <v>0.9</v>
      </c>
      <c r="L9" s="4" t="n">
        <f aca="false">Assumptions!L15</f>
        <v>0.9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-34.64496</v>
      </c>
      <c r="D10" s="0" t="n">
        <f aca="false">-D6*D9/100</f>
        <v>-34.2985104</v>
      </c>
      <c r="E10" s="0" t="n">
        <f aca="false">-E6*E9/100</f>
        <v>-34.2985104</v>
      </c>
      <c r="F10" s="0" t="n">
        <f aca="false">-F6*F9/100</f>
        <v>-34.470002952</v>
      </c>
      <c r="G10" s="0" t="n">
        <f aca="false">-G6*G9/100</f>
        <v>-34.81470298152</v>
      </c>
      <c r="H10" s="0" t="n">
        <f aca="false">-H6*H9/100</f>
        <v>-35.1628500113352</v>
      </c>
      <c r="I10" s="0" t="n">
        <f aca="false">-I6*I9/100</f>
        <v>-35.6902927615052</v>
      </c>
      <c r="J10" s="0" t="n">
        <f aca="false">-J6*J9/100</f>
        <v>-36.2256471529278</v>
      </c>
      <c r="K10" s="0" t="n">
        <f aca="false">-K6*K9/100</f>
        <v>-36.7690318602217</v>
      </c>
      <c r="L10" s="0" t="n">
        <f aca="false">-L6*L9/100</f>
        <v>-37.320567338125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889.22064</v>
      </c>
      <c r="D11" s="0" t="n">
        <f aca="false">D8+D10+D24</f>
        <v>842.2189776</v>
      </c>
      <c r="E11" s="0" t="n">
        <f aca="false">E8+E10+E24</f>
        <v>861.2737056</v>
      </c>
      <c r="F11" s="0" t="n">
        <f aca="false">F8+F10+F24</f>
        <v>884.730075768</v>
      </c>
      <c r="G11" s="0" t="n">
        <f aca="false">G8+G10+G24</f>
        <v>912.91887818208</v>
      </c>
      <c r="H11" s="0" t="n">
        <f aca="false">H8+H10+H24</f>
        <v>941.582983636865</v>
      </c>
      <c r="I11" s="0" t="n">
        <f aca="false">I8+I10+I24</f>
        <v>975.534668814476</v>
      </c>
      <c r="J11" s="0" t="n">
        <f aca="false">J8+J10+J24</f>
        <v>1010.2930483761</v>
      </c>
      <c r="K11" s="0" t="n">
        <f aca="false">K8+K10+K24</f>
        <v>1025.44744410174</v>
      </c>
      <c r="L11" s="0" t="n">
        <f aca="false">L8+L10+L24</f>
        <v>1040.82915576326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-96.236</v>
      </c>
      <c r="D12" s="4" t="n">
        <f aca="false">-D6*Assumptions!D17/100</f>
        <v>-95.27364</v>
      </c>
      <c r="E12" s="4" t="n">
        <f aca="false">-E6*Assumptions!E17/100</f>
        <v>-95.27364</v>
      </c>
      <c r="F12" s="4" t="n">
        <f aca="false">-F6*Assumptions!F17/100</f>
        <v>-95.7500082</v>
      </c>
      <c r="G12" s="4" t="n">
        <f aca="false">-G6*Assumptions!G17/100</f>
        <v>-96.707508282</v>
      </c>
      <c r="H12" s="4" t="n">
        <f aca="false">-H6*Assumptions!H17/100</f>
        <v>-97.67458336482</v>
      </c>
      <c r="I12" s="4" t="n">
        <f aca="false">-I6*Assumptions!I17/100</f>
        <v>-99.1397021152923</v>
      </c>
      <c r="J12" s="4" t="n">
        <f aca="false">-J6*Assumptions!J17/100</f>
        <v>-100.626797647022</v>
      </c>
      <c r="K12" s="4" t="n">
        <f aca="false">-K6*Assumptions!K17/100</f>
        <v>-102.136199611727</v>
      </c>
      <c r="L12" s="4" t="n">
        <f aca="false">-L6*Assumptions!L17/100</f>
        <v>-103.668242605903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792.98464</v>
      </c>
      <c r="D13" s="0" t="n">
        <f aca="false">D11+D12</f>
        <v>746.9453376</v>
      </c>
      <c r="E13" s="0" t="n">
        <f aca="false">E11+E12</f>
        <v>766.0000656</v>
      </c>
      <c r="F13" s="0" t="n">
        <f aca="false">F11+F12</f>
        <v>788.980067568</v>
      </c>
      <c r="G13" s="0" t="n">
        <f aca="false">G11+G12</f>
        <v>816.21136990008</v>
      </c>
      <c r="H13" s="0" t="n">
        <f aca="false">H11+H12</f>
        <v>843.908400272045</v>
      </c>
      <c r="I13" s="0" t="n">
        <f aca="false">I11+I12</f>
        <v>876.394966699184</v>
      </c>
      <c r="J13" s="0" t="n">
        <f aca="false">J11+J12</f>
        <v>909.666250729076</v>
      </c>
      <c r="K13" s="0" t="n">
        <f aca="false">K11+K12</f>
        <v>923.311244490012</v>
      </c>
      <c r="L13" s="0" t="n">
        <f aca="false">L11+L12</f>
        <v>937.160913157362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23.5</v>
      </c>
      <c r="D14" s="4" t="n">
        <f aca="false">Assumptions!D19</f>
        <v>23.5</v>
      </c>
      <c r="E14" s="4" t="n">
        <f aca="false">Assumptions!E19</f>
        <v>23.5</v>
      </c>
      <c r="F14" s="4" t="n">
        <f aca="false">Assumptions!F19</f>
        <v>23.5</v>
      </c>
      <c r="G14" s="4" t="n">
        <f aca="false">Assumptions!G19</f>
        <v>23.5</v>
      </c>
      <c r="H14" s="4" t="n">
        <f aca="false">Assumptions!H19</f>
        <v>23.5</v>
      </c>
      <c r="I14" s="4" t="n">
        <f aca="false">Assumptions!I19</f>
        <v>23.5</v>
      </c>
      <c r="J14" s="4" t="n">
        <f aca="false">Assumptions!J19</f>
        <v>23.5</v>
      </c>
      <c r="K14" s="4" t="n">
        <f aca="false">Assumptions!K19</f>
        <v>23.5</v>
      </c>
      <c r="L14" s="4" t="n">
        <f aca="false">Assumptions!L19</f>
        <v>23.5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606.6332496</v>
      </c>
      <c r="D15" s="0" t="n">
        <f aca="false">D13-MAX(0,D13)*D14/100</f>
        <v>571.413183264</v>
      </c>
      <c r="E15" s="0" t="n">
        <f aca="false">E13-MAX(0,E13)*E14/100</f>
        <v>585.990050184</v>
      </c>
      <c r="F15" s="0" t="n">
        <f aca="false">F13-MAX(0,F13)*F14/100</f>
        <v>603.56975168952</v>
      </c>
      <c r="G15" s="0" t="n">
        <f aca="false">G13-MAX(0,G13)*G14/100</f>
        <v>624.401697973561</v>
      </c>
      <c r="H15" s="0" t="n">
        <f aca="false">H13-MAX(0,H13)*H14/100</f>
        <v>645.589926208114</v>
      </c>
      <c r="I15" s="0" t="n">
        <f aca="false">I13-MAX(0,I13)*I14/100</f>
        <v>670.442149524876</v>
      </c>
      <c r="J15" s="0" t="n">
        <f aca="false">J13-MAX(0,J13)*J14/100</f>
        <v>695.894681807743</v>
      </c>
      <c r="K15" s="0" t="n">
        <f aca="false">K13-MAX(0,K13)*K14/100</f>
        <v>706.333102034859</v>
      </c>
      <c r="L15" s="0" t="n">
        <f aca="false">L13-MAX(0,L13)*L14/100</f>
        <v>716.928098565382</v>
      </c>
    </row>
    <row r="16" customFormat="false" ht="15" hidden="false" customHeight="false" outlineLevel="0" collapsed="false">
      <c r="A16" s="0" t="s">
        <v>127</v>
      </c>
      <c r="C16" s="0" t="n">
        <f aca="false">-C12</f>
        <v>96.236</v>
      </c>
      <c r="D16" s="0" t="n">
        <f aca="false">-D12</f>
        <v>95.27364</v>
      </c>
      <c r="E16" s="0" t="n">
        <f aca="false">-E12</f>
        <v>95.27364</v>
      </c>
      <c r="F16" s="0" t="n">
        <f aca="false">-F12</f>
        <v>95.7500082</v>
      </c>
      <c r="G16" s="0" t="n">
        <f aca="false">-G12</f>
        <v>96.707508282</v>
      </c>
      <c r="H16" s="0" t="n">
        <f aca="false">-H12</f>
        <v>97.67458336482</v>
      </c>
      <c r="I16" s="0" t="n">
        <f aca="false">-I12</f>
        <v>99.1397021152923</v>
      </c>
      <c r="J16" s="0" t="n">
        <f aca="false">-J12</f>
        <v>100.626797647022</v>
      </c>
      <c r="K16" s="0" t="n">
        <f aca="false">-K12</f>
        <v>102.136199611727</v>
      </c>
      <c r="L16" s="0" t="n">
        <f aca="false">-L12</f>
        <v>103.668242605903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-500.4272</v>
      </c>
      <c r="D17" s="4" t="n">
        <f aca="false">-D6*Assumptions!D18/100</f>
        <v>-495.422928</v>
      </c>
      <c r="E17" s="4" t="n">
        <f aca="false">-E6*Assumptions!E18/100</f>
        <v>-483.9900912</v>
      </c>
      <c r="F17" s="4" t="n">
        <f aca="false">-F6*Assumptions!F18/100</f>
        <v>-474.920040672</v>
      </c>
      <c r="G17" s="4" t="n">
        <f aca="false">-G6*Assumptions!G18/100</f>
        <v>-468.06434008488</v>
      </c>
      <c r="H17" s="4" t="n">
        <f aca="false">-H6*Assumptions!H18/100</f>
        <v>-464.931016816543</v>
      </c>
      <c r="I17" s="4" t="n">
        <f aca="false">-I6*Assumptions!I18/100</f>
        <v>-463.973805899568</v>
      </c>
      <c r="J17" s="4" t="n">
        <f aca="false">-J6*Assumptions!J18/100</f>
        <v>-462.8832691763</v>
      </c>
      <c r="K17" s="4" t="n">
        <f aca="false">-K6*Assumptions!K18/100</f>
        <v>-465.741070229475</v>
      </c>
      <c r="L17" s="4" t="n">
        <f aca="false">-L6*Assumptions!L18/100</f>
        <v>-468.580456578681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3.1424</v>
      </c>
      <c r="D18" s="4" t="n">
        <f aca="false">(D6-C6)*Assumptions!$B$23/100</f>
        <v>1.539776</v>
      </c>
      <c r="E18" s="4" t="n">
        <f aca="false">(E6-D6)*Assumptions!$B$23/100</f>
        <v>-0</v>
      </c>
      <c r="F18" s="4" t="n">
        <f aca="false">(F6-E6)*Assumptions!$B$23/100</f>
        <v>-0.762189119999985</v>
      </c>
      <c r="G18" s="4" t="n">
        <f aca="false">(G6-F6)*Assumptions!$B$23/100</f>
        <v>-1.5320001312</v>
      </c>
      <c r="H18" s="4" t="n">
        <f aca="false">(H6-G6)*Assumptions!$B$23/100</f>
        <v>-1.547320132512</v>
      </c>
      <c r="I18" s="4" t="n">
        <f aca="false">(I6-H6)*Assumptions!$B$23/100</f>
        <v>-2.34419000075566</v>
      </c>
      <c r="J18" s="4" t="n">
        <f aca="false">(J6-I6)*Assumptions!$B$23/100</f>
        <v>-2.37935285076699</v>
      </c>
      <c r="K18" s="4" t="n">
        <f aca="false">(K6-J6)*Assumptions!$B$23/100</f>
        <v>-2.41504314352851</v>
      </c>
      <c r="L18" s="4" t="n">
        <f aca="false">(L6-K6)*Assumptions!$B$23/100</f>
        <v>-2.45126879068142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205.5844496</v>
      </c>
      <c r="D19" s="0" t="n">
        <f aca="false">D15+D16+D17+D18</f>
        <v>172.803671264</v>
      </c>
      <c r="E19" s="0" t="n">
        <f aca="false">E15+E16+E17+E18</f>
        <v>197.273598984</v>
      </c>
      <c r="F19" s="0" t="n">
        <f aca="false">F15+F16+F17+F18</f>
        <v>223.63753009752</v>
      </c>
      <c r="G19" s="0" t="n">
        <f aca="false">G15+G16+G17+G18</f>
        <v>251.512866039481</v>
      </c>
      <c r="H19" s="0" t="n">
        <f aca="false">H15+H16+H17+H18</f>
        <v>276.786172623879</v>
      </c>
      <c r="I19" s="0" t="n">
        <f aca="false">I15+I16+I17+I18</f>
        <v>303.263855739844</v>
      </c>
      <c r="J19" s="0" t="n">
        <f aca="false">J15+J16+J17+J18</f>
        <v>331.258857427698</v>
      </c>
      <c r="K19" s="0" t="n">
        <f aca="false">K15+K16+K17+K18</f>
        <v>340.313188273582</v>
      </c>
      <c r="L19" s="0" t="n">
        <f aca="false">L15+L16+L17+L18</f>
        <v>349.564615801922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190.355971851852</v>
      </c>
      <c r="D21" s="0" t="n">
        <f aca="false">D19*D20</f>
        <v>148.151295665295</v>
      </c>
      <c r="E21" s="0" t="n">
        <f aca="false">E19*E20</f>
        <v>156.602143175583</v>
      </c>
      <c r="F21" s="0" t="n">
        <f aca="false">F19*F20</f>
        <v>164.380260827342</v>
      </c>
      <c r="G21" s="0" t="n">
        <f aca="false">G19*G20</f>
        <v>171.175430464272</v>
      </c>
      <c r="H21" s="0" t="n">
        <f aca="false">H19*H20</f>
        <v>174.422239128792</v>
      </c>
      <c r="I21" s="0" t="n">
        <f aca="false">I19*I20</f>
        <v>176.951547054361</v>
      </c>
      <c r="J21" s="0" t="n">
        <f aca="false">J19*J20</f>
        <v>178.968853383861</v>
      </c>
      <c r="K21" s="0" t="n">
        <f aca="false">K19*K20</f>
        <v>170.241320935073</v>
      </c>
      <c r="L21" s="0" t="n">
        <f aca="false">L19*L20</f>
        <v>161.916053704275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1693.16511619071</v>
      </c>
    </row>
    <row r="31" customFormat="false" ht="15" hidden="false" customHeight="false" outlineLevel="0" collapsed="false">
      <c r="A31" s="0" t="s">
        <v>136</v>
      </c>
      <c r="B31" s="0" t="n">
        <f aca="false">L19</f>
        <v>349.564615801922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5942.59846863268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4194.77538962307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4194.77538962307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1942.9926444513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3636.15776064201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1159.15776064201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2.48355646727788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-0.905062826174393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235.977564593283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293.872943964973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3.61878904898574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2742.73775475354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-1.24670092631356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0</v>
      </c>
      <c r="D5" s="4" t="n">
        <f aca="false">Assumptions!D27</f>
        <v>1</v>
      </c>
      <c r="E5" s="4" t="n">
        <f aca="false">Assumptions!E27</f>
        <v>2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3928</v>
      </c>
      <c r="C6" s="0" t="n">
        <f aca="false">B6*(1+C5/100)</f>
        <v>3928</v>
      </c>
      <c r="D6" s="0" t="n">
        <f aca="false">C6*(1+D5/100)</f>
        <v>3967.28</v>
      </c>
      <c r="E6" s="0" t="n">
        <f aca="false">D6*(1+E5/100)</f>
        <v>4046.6256</v>
      </c>
      <c r="F6" s="0" t="n">
        <f aca="false">E6*(1+F5/100)</f>
        <v>4147.79124</v>
      </c>
      <c r="G6" s="0" t="n">
        <f aca="false">F6*(1+G5/100)</f>
        <v>4251.486021</v>
      </c>
      <c r="H6" s="0" t="n">
        <f aca="false">G6*(1+H5/100)</f>
        <v>4357.773171525</v>
      </c>
      <c r="I6" s="0" t="n">
        <f aca="false">H6*(1+I5/100)</f>
        <v>4466.71750081312</v>
      </c>
      <c r="J6" s="0" t="n">
        <f aca="false">I6*(1+J5/100)</f>
        <v>4578.38543833345</v>
      </c>
      <c r="K6" s="0" t="n">
        <f aca="false">J6*(1+K5/100)</f>
        <v>4692.84507429179</v>
      </c>
      <c r="L6" s="0" t="n">
        <f aca="false">K6*(1+L5/100)</f>
        <v>4810.16620114908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27.5</v>
      </c>
      <c r="D7" s="4" t="n">
        <f aca="false">Assumptions!D28</f>
        <v>27.8</v>
      </c>
      <c r="E7" s="4" t="n">
        <f aca="false">Assumptions!E28</f>
        <v>28.5</v>
      </c>
      <c r="F7" s="4" t="n">
        <f aca="false">Assumptions!F28</f>
        <v>29.2</v>
      </c>
      <c r="G7" s="4" t="n">
        <f aca="false">Assumptions!G28</f>
        <v>29.8</v>
      </c>
      <c r="H7" s="4" t="n">
        <f aca="false">Assumptions!H28</f>
        <v>30.2</v>
      </c>
      <c r="I7" s="4" t="n">
        <f aca="false">Assumptions!I28</f>
        <v>30.5</v>
      </c>
      <c r="J7" s="4" t="n">
        <f aca="false">Assumptions!J28</f>
        <v>30.7</v>
      </c>
      <c r="K7" s="4" t="n">
        <f aca="false">Assumptions!K28</f>
        <v>30.8</v>
      </c>
      <c r="L7" s="4" t="n">
        <f aca="false">Assumptions!L28</f>
        <v>30.8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1080.2</v>
      </c>
      <c r="D8" s="0" t="n">
        <f aca="false">D6*D7/100</f>
        <v>1102.90384</v>
      </c>
      <c r="E8" s="0" t="n">
        <f aca="false">E6*E7/100</f>
        <v>1153.288296</v>
      </c>
      <c r="F8" s="0" t="n">
        <f aca="false">F6*F7/100</f>
        <v>1211.15504208</v>
      </c>
      <c r="G8" s="0" t="n">
        <f aca="false">G6*G7/100</f>
        <v>1266.942834258</v>
      </c>
      <c r="H8" s="0" t="n">
        <f aca="false">H6*H7/100</f>
        <v>1316.04749780055</v>
      </c>
      <c r="I8" s="0" t="n">
        <f aca="false">I6*I7/100</f>
        <v>1362.348837748</v>
      </c>
      <c r="J8" s="0" t="n">
        <f aca="false">J6*J7/100</f>
        <v>1405.56432956837</v>
      </c>
      <c r="K8" s="0" t="n">
        <f aca="false">K6*K7/100</f>
        <v>1445.39628288187</v>
      </c>
      <c r="L8" s="0" t="n">
        <f aca="false">L6*L7/100</f>
        <v>1481.53118995392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0.85</v>
      </c>
      <c r="D9" s="4" t="n">
        <f aca="false">Assumptions!D29</f>
        <v>0.85</v>
      </c>
      <c r="E9" s="4" t="n">
        <f aca="false">Assumptions!E29</f>
        <v>0.83</v>
      </c>
      <c r="F9" s="4" t="n">
        <f aca="false">Assumptions!F29</f>
        <v>0.82</v>
      </c>
      <c r="G9" s="4" t="n">
        <f aca="false">Assumptions!G29</f>
        <v>0.8</v>
      </c>
      <c r="H9" s="4" t="n">
        <f aca="false">Assumptions!H29</f>
        <v>0.8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-33.388</v>
      </c>
      <c r="D10" s="0" t="n">
        <f aca="false">-D6*D9/100</f>
        <v>-33.72188</v>
      </c>
      <c r="E10" s="0" t="n">
        <f aca="false">-E6*E9/100</f>
        <v>-33.58699248</v>
      </c>
      <c r="F10" s="0" t="n">
        <f aca="false">-F6*F9/100</f>
        <v>-34.011888168</v>
      </c>
      <c r="G10" s="0" t="n">
        <f aca="false">-G6*G9/100</f>
        <v>-34.011888168</v>
      </c>
      <c r="H10" s="0" t="n">
        <f aca="false">-H6*H9/100</f>
        <v>-34.8621853722</v>
      </c>
      <c r="I10" s="0" t="n">
        <f aca="false">-I6*I9/100</f>
        <v>-35.733740006505</v>
      </c>
      <c r="J10" s="0" t="n">
        <f aca="false">-J6*J9/100</f>
        <v>-36.6270835066676</v>
      </c>
      <c r="K10" s="0" t="n">
        <f aca="false">-K6*K9/100</f>
        <v>-37.5427605943343</v>
      </c>
      <c r="L10" s="0" t="n">
        <f aca="false">-L6*L9/100</f>
        <v>-38.4813296091926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1046.812</v>
      </c>
      <c r="D11" s="0" t="n">
        <f aca="false">D8+D10+D24</f>
        <v>1069.18196</v>
      </c>
      <c r="E11" s="0" t="n">
        <f aca="false">E8+E10+E24</f>
        <v>1119.70130352</v>
      </c>
      <c r="F11" s="0" t="n">
        <f aca="false">F8+F10+F24</f>
        <v>1177.143153912</v>
      </c>
      <c r="G11" s="0" t="n">
        <f aca="false">G8+G10+G24</f>
        <v>1232.93094609</v>
      </c>
      <c r="H11" s="0" t="n">
        <f aca="false">H8+H10+H24</f>
        <v>1281.18531242835</v>
      </c>
      <c r="I11" s="0" t="n">
        <f aca="false">I8+I10+I24</f>
        <v>1326.6150977415</v>
      </c>
      <c r="J11" s="0" t="n">
        <f aca="false">J8+J10+J24</f>
        <v>1368.9372460617</v>
      </c>
      <c r="K11" s="0" t="n">
        <f aca="false">K8+K10+K24</f>
        <v>1407.85352228754</v>
      </c>
      <c r="L11" s="0" t="n">
        <f aca="false">L8+L10+L24</f>
        <v>1443.04986034472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-94.272</v>
      </c>
      <c r="D12" s="4" t="n">
        <f aca="false">-D6*Assumptions!D31/100</f>
        <v>-95.21472</v>
      </c>
      <c r="E12" s="4" t="n">
        <f aca="false">-E6*Assumptions!E31/100</f>
        <v>-97.1190144</v>
      </c>
      <c r="F12" s="4" t="n">
        <f aca="false">-F6*Assumptions!F31/100</f>
        <v>-99.54698976</v>
      </c>
      <c r="G12" s="4" t="n">
        <f aca="false">-G6*Assumptions!G31/100</f>
        <v>-102.035664504</v>
      </c>
      <c r="H12" s="4" t="n">
        <f aca="false">-H6*Assumptions!H31/100</f>
        <v>-104.5865561166</v>
      </c>
      <c r="I12" s="4" t="n">
        <f aca="false">-I6*Assumptions!I31/100</f>
        <v>-107.201220019515</v>
      </c>
      <c r="J12" s="4" t="n">
        <f aca="false">-J6*Assumptions!J31/100</f>
        <v>-109.881250520003</v>
      </c>
      <c r="K12" s="4" t="n">
        <f aca="false">-K6*Assumptions!K31/100</f>
        <v>-112.628281783003</v>
      </c>
      <c r="L12" s="4" t="n">
        <f aca="false">-L6*Assumptions!L31/100</f>
        <v>-115.443988827578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952.54</v>
      </c>
      <c r="D13" s="0" t="n">
        <f aca="false">D11+D12</f>
        <v>973.96724</v>
      </c>
      <c r="E13" s="0" t="n">
        <f aca="false">E11+E12</f>
        <v>1022.58228912</v>
      </c>
      <c r="F13" s="0" t="n">
        <f aca="false">F11+F12</f>
        <v>1077.596164152</v>
      </c>
      <c r="G13" s="0" t="n">
        <f aca="false">G11+G12</f>
        <v>1130.895281586</v>
      </c>
      <c r="H13" s="0" t="n">
        <f aca="false">H11+H12</f>
        <v>1176.59875631175</v>
      </c>
      <c r="I13" s="0" t="n">
        <f aca="false">I11+I12</f>
        <v>1219.41387772198</v>
      </c>
      <c r="J13" s="0" t="n">
        <f aca="false">J11+J12</f>
        <v>1259.0559955417</v>
      </c>
      <c r="K13" s="0" t="n">
        <f aca="false">K11+K12</f>
        <v>1295.22524050453</v>
      </c>
      <c r="L13" s="0" t="n">
        <f aca="false">L11+L12</f>
        <v>1327.60587151715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733.4558</v>
      </c>
      <c r="D15" s="0" t="n">
        <f aca="false">D13-MAX(0,D13)*D14/100</f>
        <v>749.9547748</v>
      </c>
      <c r="E15" s="0" t="n">
        <f aca="false">E13-MAX(0,E13)*E14/100</f>
        <v>787.3883626224</v>
      </c>
      <c r="F15" s="0" t="n">
        <f aca="false">F13-MAX(0,F13)*F14/100</f>
        <v>829.74904639704</v>
      </c>
      <c r="G15" s="0" t="n">
        <f aca="false">G13-MAX(0,G13)*G14/100</f>
        <v>870.78936682122</v>
      </c>
      <c r="H15" s="0" t="n">
        <f aca="false">H13-MAX(0,H13)*H14/100</f>
        <v>905.981042360047</v>
      </c>
      <c r="I15" s="0" t="n">
        <f aca="false">I13-MAX(0,I13)*I14/100</f>
        <v>938.948685845926</v>
      </c>
      <c r="J15" s="0" t="n">
        <f aca="false">J13-MAX(0,J13)*J14/100</f>
        <v>969.473116567108</v>
      </c>
      <c r="K15" s="0" t="n">
        <f aca="false">K13-MAX(0,K13)*K14/100</f>
        <v>997.32343518849</v>
      </c>
      <c r="L15" s="0" t="n">
        <f aca="false">L13-MAX(0,L13)*L14/100</f>
        <v>1022.2565210682</v>
      </c>
    </row>
    <row r="16" customFormat="false" ht="15" hidden="false" customHeight="false" outlineLevel="0" collapsed="false">
      <c r="A16" s="0" t="s">
        <v>127</v>
      </c>
      <c r="C16" s="0" t="n">
        <f aca="false">-C12</f>
        <v>94.272</v>
      </c>
      <c r="D16" s="0" t="n">
        <f aca="false">-D12</f>
        <v>95.21472</v>
      </c>
      <c r="E16" s="0" t="n">
        <f aca="false">-E12</f>
        <v>97.1190144</v>
      </c>
      <c r="F16" s="0" t="n">
        <f aca="false">-F12</f>
        <v>99.54698976</v>
      </c>
      <c r="G16" s="0" t="n">
        <f aca="false">-G12</f>
        <v>102.035664504</v>
      </c>
      <c r="H16" s="0" t="n">
        <f aca="false">-H12</f>
        <v>104.5865561166</v>
      </c>
      <c r="I16" s="0" t="n">
        <f aca="false">-I12</f>
        <v>107.201220019515</v>
      </c>
      <c r="J16" s="0" t="n">
        <f aca="false">-J12</f>
        <v>109.881250520003</v>
      </c>
      <c r="K16" s="0" t="n">
        <f aca="false">-K12</f>
        <v>112.628281783003</v>
      </c>
      <c r="L16" s="0" t="n">
        <f aca="false">-L12</f>
        <v>115.443988827578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-471.36</v>
      </c>
      <c r="D17" s="4" t="n">
        <f aca="false">-D6*Assumptions!D32/100</f>
        <v>-464.17176</v>
      </c>
      <c r="E17" s="4" t="n">
        <f aca="false">-E6*Assumptions!E32/100</f>
        <v>-461.3153184</v>
      </c>
      <c r="F17" s="4" t="n">
        <f aca="false">-F6*Assumptions!F32/100</f>
        <v>-460.40482764</v>
      </c>
      <c r="G17" s="4" t="n">
        <f aca="false">-G6*Assumptions!G32/100</f>
        <v>-459.160490268</v>
      </c>
      <c r="H17" s="4" t="n">
        <f aca="false">-H6*Assumptions!H32/100</f>
        <v>-461.92395618165</v>
      </c>
      <c r="I17" s="4" t="n">
        <f aca="false">-I6*Assumptions!I32/100</f>
        <v>-464.538620084565</v>
      </c>
      <c r="J17" s="4" t="n">
        <f aca="false">-J6*Assumptions!J32/100</f>
        <v>-466.995314710012</v>
      </c>
      <c r="K17" s="4" t="n">
        <f aca="false">-K6*Assumptions!K32/100</f>
        <v>-473.97735250347</v>
      </c>
      <c r="L17" s="4" t="n">
        <f aca="false">-L6*Assumptions!L32/100</f>
        <v>-481.016620114908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-0</v>
      </c>
      <c r="D18" s="4" t="n">
        <f aca="false">(D6-C6)*Assumptions!$B$37/100</f>
        <v>-1.17840000000001</v>
      </c>
      <c r="E18" s="4" t="n">
        <f aca="false">(E6-D6)*Assumptions!$B$37/100</f>
        <v>-2.380368</v>
      </c>
      <c r="F18" s="4" t="n">
        <f aca="false">(F6-E6)*Assumptions!$B$37/100</f>
        <v>-3.03496919999998</v>
      </c>
      <c r="G18" s="4" t="n">
        <f aca="false">(G6-F6)*Assumptions!$B$37/100</f>
        <v>-3.11084342999998</v>
      </c>
      <c r="H18" s="4" t="n">
        <f aca="false">(H6-G6)*Assumptions!$B$37/100</f>
        <v>-3.18861451574999</v>
      </c>
      <c r="I18" s="4" t="n">
        <f aca="false">(I6-H6)*Assumptions!$B$37/100</f>
        <v>-3.26832987864373</v>
      </c>
      <c r="J18" s="4" t="n">
        <f aca="false">(J6-I6)*Assumptions!$B$37/100</f>
        <v>-3.35003812560983</v>
      </c>
      <c r="K18" s="4" t="n">
        <f aca="false">(K6-J6)*Assumptions!$B$37/100</f>
        <v>-3.43378907875007</v>
      </c>
      <c r="L18" s="4" t="n">
        <f aca="false">(L6-K6)*Assumptions!$B$37/100</f>
        <v>-3.51963380571882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356.3678</v>
      </c>
      <c r="D19" s="0" t="n">
        <f aca="false">D15+D16+D17+D18</f>
        <v>379.8193348</v>
      </c>
      <c r="E19" s="0" t="n">
        <f aca="false">E15+E16+E17+E18</f>
        <v>420.8116906224</v>
      </c>
      <c r="F19" s="0" t="n">
        <f aca="false">F15+F16+F17+F18</f>
        <v>465.85623931704</v>
      </c>
      <c r="G19" s="0" t="n">
        <f aca="false">G15+G16+G17+G18</f>
        <v>510.55369762722</v>
      </c>
      <c r="H19" s="0" t="n">
        <f aca="false">H15+H16+H17+H18</f>
        <v>545.455027779247</v>
      </c>
      <c r="I19" s="0" t="n">
        <f aca="false">I15+I16+I17+I18</f>
        <v>578.342955902233</v>
      </c>
      <c r="J19" s="0" t="n">
        <f aca="false">J15+J16+J17+J18</f>
        <v>609.009014251489</v>
      </c>
      <c r="K19" s="0" t="n">
        <f aca="false">K15+K16+K17+K18</f>
        <v>632.540575389273</v>
      </c>
      <c r="L19" s="0" t="n">
        <f aca="false">L15+L16+L17+L18</f>
        <v>653.164255975154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329.970185185185</v>
      </c>
      <c r="D21" s="0" t="n">
        <f aca="false">D19*D20</f>
        <v>325.63386042524</v>
      </c>
      <c r="E21" s="0" t="n">
        <f aca="false">E19*E20</f>
        <v>334.053887414266</v>
      </c>
      <c r="F21" s="0" t="n">
        <f aca="false">F19*F20</f>
        <v>342.418243009513</v>
      </c>
      <c r="G21" s="0" t="n">
        <f aca="false">G19*G20</f>
        <v>347.474267788537</v>
      </c>
      <c r="H21" s="0" t="n">
        <f aca="false">H19*H20</f>
        <v>343.729191337162</v>
      </c>
      <c r="I21" s="0" t="n">
        <f aca="false">I19*I20</f>
        <v>337.457559936465</v>
      </c>
      <c r="J21" s="0" t="n">
        <f aca="false">J19*J20</f>
        <v>329.0286207813</v>
      </c>
      <c r="K21" s="0" t="n">
        <f aca="false">K19*K20</f>
        <v>316.427769507222</v>
      </c>
      <c r="L21" s="0" t="n">
        <f aca="false">L19*L20</f>
        <v>302.541430017369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3308.73501540226</v>
      </c>
    </row>
    <row r="31" customFormat="false" ht="15" hidden="false" customHeight="false" outlineLevel="0" collapsed="false">
      <c r="A31" s="0" t="s">
        <v>136</v>
      </c>
      <c r="B31" s="0" t="n">
        <f aca="false">L19</f>
        <v>653.164255975154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12172.6065886279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9797.4638396273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9797.4638396273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4538.12145026053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7846.85646566279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5369.85646566279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11.5051999015771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-0.560198780520752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233.84888835791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332.180160363888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12.7179469083707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5355.94689899626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2.64488175108957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1.5</v>
      </c>
      <c r="D5" s="4" t="n">
        <f aca="false">Assumptions!D41</f>
        <v>3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3928</v>
      </c>
      <c r="C6" s="0" t="n">
        <f aca="false">B6*(1+C5/100)</f>
        <v>3986.92</v>
      </c>
      <c r="D6" s="0" t="n">
        <f aca="false">C6*(1+D5/100)</f>
        <v>4106.5276</v>
      </c>
      <c r="E6" s="0" t="n">
        <f aca="false">D6*(1+E5/100)</f>
        <v>4270.788704</v>
      </c>
      <c r="F6" s="0" t="n">
        <f aca="false">E6*(1+F5/100)</f>
        <v>4441.62025216</v>
      </c>
      <c r="G6" s="0" t="n">
        <f aca="false">F6*(1+G5/100)</f>
        <v>4597.0769609856</v>
      </c>
      <c r="H6" s="0" t="n">
        <f aca="false">G6*(1+H5/100)</f>
        <v>4734.98926981517</v>
      </c>
      <c r="I6" s="0" t="n">
        <f aca="false">H6*(1+I5/100)</f>
        <v>4877.03894790962</v>
      </c>
      <c r="J6" s="0" t="n">
        <f aca="false">I6*(1+J5/100)</f>
        <v>5023.35011634691</v>
      </c>
      <c r="K6" s="0" t="n">
        <f aca="false">J6*(1+K5/100)</f>
        <v>5174.05061983732</v>
      </c>
      <c r="L6" s="0" t="n">
        <f aca="false">K6*(1+L5/100)</f>
        <v>5329.27213843244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28.5</v>
      </c>
      <c r="D7" s="4" t="n">
        <f aca="false">Assumptions!D42</f>
        <v>30</v>
      </c>
      <c r="E7" s="4" t="n">
        <f aca="false">Assumptions!E42</f>
        <v>31.5</v>
      </c>
      <c r="F7" s="4" t="n">
        <f aca="false">Assumptions!F42</f>
        <v>32.5</v>
      </c>
      <c r="G7" s="4" t="n">
        <f aca="false">Assumptions!G42</f>
        <v>33.5</v>
      </c>
      <c r="H7" s="4" t="n">
        <f aca="false">Assumptions!H42</f>
        <v>34</v>
      </c>
      <c r="I7" s="4" t="n">
        <f aca="false">Assumptions!I42</f>
        <v>34.5</v>
      </c>
      <c r="J7" s="4" t="n">
        <f aca="false">Assumptions!J42</f>
        <v>34.5</v>
      </c>
      <c r="K7" s="4" t="n">
        <f aca="false">Assumptions!K42</f>
        <v>34.5</v>
      </c>
      <c r="L7" s="4" t="n">
        <f aca="false">Assumptions!L42</f>
        <v>34.5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1136.2722</v>
      </c>
      <c r="D8" s="0" t="n">
        <f aca="false">D6*D7/100</f>
        <v>1231.95828</v>
      </c>
      <c r="E8" s="0" t="n">
        <f aca="false">E6*E7/100</f>
        <v>1345.29844176</v>
      </c>
      <c r="F8" s="0" t="n">
        <f aca="false">F6*F7/100</f>
        <v>1443.526581952</v>
      </c>
      <c r="G8" s="0" t="n">
        <f aca="false">G6*G7/100</f>
        <v>1540.02078193018</v>
      </c>
      <c r="H8" s="0" t="n">
        <f aca="false">H6*H7/100</f>
        <v>1609.89635173716</v>
      </c>
      <c r="I8" s="0" t="n">
        <f aca="false">I6*I7/100</f>
        <v>1682.57843702882</v>
      </c>
      <c r="J8" s="0" t="n">
        <f aca="false">J6*J7/100</f>
        <v>1733.05579013968</v>
      </c>
      <c r="K8" s="0" t="n">
        <f aca="false">K6*K7/100</f>
        <v>1785.04746384388</v>
      </c>
      <c r="L8" s="0" t="n">
        <f aca="false">L6*L7/100</f>
        <v>1838.59888775919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0.8</v>
      </c>
      <c r="D9" s="4" t="n">
        <f aca="false">Assumptions!D43</f>
        <v>0.8</v>
      </c>
      <c r="E9" s="4" t="n">
        <f aca="false">Assumptions!E43</f>
        <v>0.8</v>
      </c>
      <c r="F9" s="4" t="n">
        <f aca="false">Assumptions!F43</f>
        <v>0.8</v>
      </c>
      <c r="G9" s="4" t="n">
        <f aca="false">Assumptions!G43</f>
        <v>0.8</v>
      </c>
      <c r="H9" s="4" t="n">
        <f aca="false">Assumptions!H43</f>
        <v>0.8</v>
      </c>
      <c r="I9" s="4" t="n">
        <f aca="false">Assumptions!I43</f>
        <v>0.8</v>
      </c>
      <c r="J9" s="4" t="n">
        <f aca="false">Assumptions!J43</f>
        <v>0.8</v>
      </c>
      <c r="K9" s="4" t="n">
        <f aca="false">Assumptions!K43</f>
        <v>0.8</v>
      </c>
      <c r="L9" s="4" t="n">
        <f aca="false">Assumptions!L43</f>
        <v>0.8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-31.89536</v>
      </c>
      <c r="D10" s="0" t="n">
        <f aca="false">-D6*D9/100</f>
        <v>-32.8522208</v>
      </c>
      <c r="E10" s="0" t="n">
        <f aca="false">-E6*E9/100</f>
        <v>-34.166309632</v>
      </c>
      <c r="F10" s="0" t="n">
        <f aca="false">-F6*F9/100</f>
        <v>-35.53296201728</v>
      </c>
      <c r="G10" s="0" t="n">
        <f aca="false">-G6*G9/100</f>
        <v>-36.7766156878848</v>
      </c>
      <c r="H10" s="0" t="n">
        <f aca="false">-H6*H9/100</f>
        <v>-37.8799141585213</v>
      </c>
      <c r="I10" s="0" t="n">
        <f aca="false">-I6*I9/100</f>
        <v>-39.016311583277</v>
      </c>
      <c r="J10" s="0" t="n">
        <f aca="false">-J6*J9/100</f>
        <v>-40.1868009307753</v>
      </c>
      <c r="K10" s="0" t="n">
        <f aca="false">-K6*K9/100</f>
        <v>-41.3924049586986</v>
      </c>
      <c r="L10" s="0" t="n">
        <f aca="false">-L6*L9/100</f>
        <v>-42.6341771074595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1104.37684</v>
      </c>
      <c r="D11" s="0" t="n">
        <f aca="false">D8+D10+D24</f>
        <v>1199.1060592</v>
      </c>
      <c r="E11" s="0" t="n">
        <f aca="false">E8+E10+E24</f>
        <v>1311.132132128</v>
      </c>
      <c r="F11" s="0" t="n">
        <f aca="false">F8+F10+F24</f>
        <v>1407.99361993472</v>
      </c>
      <c r="G11" s="0" t="n">
        <f aca="false">G8+G10+G24</f>
        <v>1503.24416624229</v>
      </c>
      <c r="H11" s="0" t="n">
        <f aca="false">H8+H10+H24</f>
        <v>1572.01643757864</v>
      </c>
      <c r="I11" s="0" t="n">
        <f aca="false">I8+I10+I24</f>
        <v>1643.56212544554</v>
      </c>
      <c r="J11" s="0" t="n">
        <f aca="false">J8+J10+J24</f>
        <v>1692.86898920891</v>
      </c>
      <c r="K11" s="0" t="n">
        <f aca="false">K8+K10+K24</f>
        <v>1743.65505888518</v>
      </c>
      <c r="L11" s="0" t="n">
        <f aca="false">L8+L10+L24</f>
        <v>1795.96471065173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-91.69916</v>
      </c>
      <c r="D12" s="4" t="n">
        <f aca="false">-D6*Assumptions!D45/100</f>
        <v>-94.4501348</v>
      </c>
      <c r="E12" s="4" t="n">
        <f aca="false">-E6*Assumptions!E45/100</f>
        <v>-98.228140192</v>
      </c>
      <c r="F12" s="4" t="n">
        <f aca="false">-F6*Assumptions!F45/100</f>
        <v>-102.15726579968</v>
      </c>
      <c r="G12" s="4" t="n">
        <f aca="false">-G6*Assumptions!G45/100</f>
        <v>-105.732770102669</v>
      </c>
      <c r="H12" s="4" t="n">
        <f aca="false">-H6*Assumptions!H45/100</f>
        <v>-108.904753205749</v>
      </c>
      <c r="I12" s="4" t="n">
        <f aca="false">-I6*Assumptions!I45/100</f>
        <v>-112.171895801921</v>
      </c>
      <c r="J12" s="4" t="n">
        <f aca="false">-J6*Assumptions!J45/100</f>
        <v>-115.537052675979</v>
      </c>
      <c r="K12" s="4" t="n">
        <f aca="false">-K6*Assumptions!K45/100</f>
        <v>-119.003164256258</v>
      </c>
      <c r="L12" s="4" t="n">
        <f aca="false">-L6*Assumptions!L45/100</f>
        <v>-122.573259183946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1012.67768</v>
      </c>
      <c r="D13" s="0" t="n">
        <f aca="false">D11+D12</f>
        <v>1104.6559244</v>
      </c>
      <c r="E13" s="0" t="n">
        <f aca="false">E11+E12</f>
        <v>1212.903991936</v>
      </c>
      <c r="F13" s="0" t="n">
        <f aca="false">F11+F12</f>
        <v>1305.83635413504</v>
      </c>
      <c r="G13" s="0" t="n">
        <f aca="false">G11+G12</f>
        <v>1397.51139613962</v>
      </c>
      <c r="H13" s="0" t="n">
        <f aca="false">H11+H12</f>
        <v>1463.11168437289</v>
      </c>
      <c r="I13" s="0" t="n">
        <f aca="false">I11+I12</f>
        <v>1531.39022964362</v>
      </c>
      <c r="J13" s="0" t="n">
        <f aca="false">J11+J12</f>
        <v>1577.33193653293</v>
      </c>
      <c r="K13" s="0" t="n">
        <f aca="false">K11+K12</f>
        <v>1624.65189462892</v>
      </c>
      <c r="L13" s="0" t="n">
        <f aca="false">L11+L12</f>
        <v>1673.39145146779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22.5</v>
      </c>
      <c r="D14" s="4" t="n">
        <f aca="false">Assumptions!D47</f>
        <v>22.5</v>
      </c>
      <c r="E14" s="4" t="n">
        <f aca="false">Assumptions!E47</f>
        <v>22.5</v>
      </c>
      <c r="F14" s="4" t="n">
        <f aca="false">Assumptions!F47</f>
        <v>22.5</v>
      </c>
      <c r="G14" s="4" t="n">
        <f aca="false">Assumptions!G47</f>
        <v>22.5</v>
      </c>
      <c r="H14" s="4" t="n">
        <f aca="false">Assumptions!H47</f>
        <v>22.5</v>
      </c>
      <c r="I14" s="4" t="n">
        <f aca="false">Assumptions!I47</f>
        <v>22.5</v>
      </c>
      <c r="J14" s="4" t="n">
        <f aca="false">Assumptions!J47</f>
        <v>22.5</v>
      </c>
      <c r="K14" s="4" t="n">
        <f aca="false">Assumptions!K47</f>
        <v>22.5</v>
      </c>
      <c r="L14" s="4" t="n">
        <f aca="false">Assumptions!L47</f>
        <v>22.5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784.825202</v>
      </c>
      <c r="D15" s="0" t="n">
        <f aca="false">D13-MAX(0,D13)*D14/100</f>
        <v>856.10834141</v>
      </c>
      <c r="E15" s="0" t="n">
        <f aca="false">E13-MAX(0,E13)*E14/100</f>
        <v>940.0005937504</v>
      </c>
      <c r="F15" s="0" t="n">
        <f aca="false">F13-MAX(0,F13)*F14/100</f>
        <v>1012.02317445466</v>
      </c>
      <c r="G15" s="0" t="n">
        <f aca="false">G13-MAX(0,G13)*G14/100</f>
        <v>1083.07133200821</v>
      </c>
      <c r="H15" s="0" t="n">
        <f aca="false">H13-MAX(0,H13)*H14/100</f>
        <v>1133.91155538899</v>
      </c>
      <c r="I15" s="0" t="n">
        <f aca="false">I13-MAX(0,I13)*I14/100</f>
        <v>1186.82742797381</v>
      </c>
      <c r="J15" s="0" t="n">
        <f aca="false">J13-MAX(0,J13)*J14/100</f>
        <v>1222.43225081302</v>
      </c>
      <c r="K15" s="0" t="n">
        <f aca="false">K13-MAX(0,K13)*K14/100</f>
        <v>1259.10521833741</v>
      </c>
      <c r="L15" s="0" t="n">
        <f aca="false">L13-MAX(0,L13)*L14/100</f>
        <v>1296.87837488753</v>
      </c>
    </row>
    <row r="16" customFormat="false" ht="15" hidden="false" customHeight="false" outlineLevel="0" collapsed="false">
      <c r="A16" s="0" t="s">
        <v>127</v>
      </c>
      <c r="C16" s="0" t="n">
        <f aca="false">-C12</f>
        <v>91.69916</v>
      </c>
      <c r="D16" s="0" t="n">
        <f aca="false">-D12</f>
        <v>94.4501348</v>
      </c>
      <c r="E16" s="0" t="n">
        <f aca="false">-E12</f>
        <v>98.228140192</v>
      </c>
      <c r="F16" s="0" t="n">
        <f aca="false">-F12</f>
        <v>102.15726579968</v>
      </c>
      <c r="G16" s="0" t="n">
        <f aca="false">-G12</f>
        <v>105.732770102669</v>
      </c>
      <c r="H16" s="0" t="n">
        <f aca="false">-H12</f>
        <v>108.904753205749</v>
      </c>
      <c r="I16" s="0" t="n">
        <f aca="false">-I12</f>
        <v>112.171895801921</v>
      </c>
      <c r="J16" s="0" t="n">
        <f aca="false">-J12</f>
        <v>115.537052675979</v>
      </c>
      <c r="K16" s="0" t="n">
        <f aca="false">-K12</f>
        <v>119.003164256258</v>
      </c>
      <c r="L16" s="0" t="n">
        <f aca="false">-L12</f>
        <v>122.573259183946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-438.5612</v>
      </c>
      <c r="D17" s="4" t="n">
        <f aca="false">-D6*Assumptions!D46/100</f>
        <v>-431.185398</v>
      </c>
      <c r="E17" s="4" t="n">
        <f aca="false">-E6*Assumptions!E46/100</f>
        <v>-427.0788704</v>
      </c>
      <c r="F17" s="4" t="n">
        <f aca="false">-F6*Assumptions!F46/100</f>
        <v>-430.83716445952</v>
      </c>
      <c r="G17" s="4" t="n">
        <f aca="false">-G6*Assumptions!G46/100</f>
        <v>-432.125234332646</v>
      </c>
      <c r="H17" s="4" t="n">
        <f aca="false">-H6*Assumptions!H46/100</f>
        <v>-435.619012822995</v>
      </c>
      <c r="I17" s="4" t="n">
        <f aca="false">-I6*Assumptions!I46/100</f>
        <v>-438.933505311866</v>
      </c>
      <c r="J17" s="4" t="n">
        <f aca="false">-J6*Assumptions!J46/100</f>
        <v>-447.078160354875</v>
      </c>
      <c r="K17" s="4" t="n">
        <f aca="false">-K6*Assumptions!K46/100</f>
        <v>-455.316454545684</v>
      </c>
      <c r="L17" s="4" t="n">
        <f aca="false">-L6*Assumptions!L46/100</f>
        <v>-468.975948182055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-1.17839999999999</v>
      </c>
      <c r="D18" s="4" t="n">
        <f aca="false">(D6-C6)*Assumptions!$B$51/100</f>
        <v>-2.392152</v>
      </c>
      <c r="E18" s="4" t="n">
        <f aca="false">(E6-D6)*Assumptions!$B$51/100</f>
        <v>-3.28522208</v>
      </c>
      <c r="F18" s="4" t="n">
        <f aca="false">(F6-E6)*Assumptions!$B$51/100</f>
        <v>-3.4166309632</v>
      </c>
      <c r="G18" s="4" t="n">
        <f aca="false">(G6-F6)*Assumptions!$B$51/100</f>
        <v>-3.109134176512</v>
      </c>
      <c r="H18" s="4" t="n">
        <f aca="false">(H6-G6)*Assumptions!$B$51/100</f>
        <v>-2.75824617659137</v>
      </c>
      <c r="I18" s="4" t="n">
        <f aca="false">(I6-H6)*Assumptions!$B$51/100</f>
        <v>-2.8409935618891</v>
      </c>
      <c r="J18" s="4" t="n">
        <f aca="false">(J6-I6)*Assumptions!$B$51/100</f>
        <v>-2.92622336874578</v>
      </c>
      <c r="K18" s="4" t="n">
        <f aca="false">(K6-J6)*Assumptions!$B$51/100</f>
        <v>-3.01401006980816</v>
      </c>
      <c r="L18" s="4" t="n">
        <f aca="false">(L6-K6)*Assumptions!$B$51/100</f>
        <v>-3.1044303719024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436.784762</v>
      </c>
      <c r="D19" s="0" t="n">
        <f aca="false">D15+D16+D17+D18</f>
        <v>516.98092621</v>
      </c>
      <c r="E19" s="0" t="n">
        <f aca="false">E15+E16+E17+E18</f>
        <v>607.8646414624</v>
      </c>
      <c r="F19" s="0" t="n">
        <f aca="false">F15+F16+F17+F18</f>
        <v>679.926644831616</v>
      </c>
      <c r="G19" s="0" t="n">
        <f aca="false">G15+G16+G17+G18</f>
        <v>753.569733601718</v>
      </c>
      <c r="H19" s="0" t="n">
        <f aca="false">H15+H16+H17+H18</f>
        <v>804.439049595149</v>
      </c>
      <c r="I19" s="0" t="n">
        <f aca="false">I15+I16+I17+I18</f>
        <v>857.224824901973</v>
      </c>
      <c r="J19" s="0" t="n">
        <f aca="false">J15+J16+J17+J18</f>
        <v>887.964919765379</v>
      </c>
      <c r="K19" s="0" t="n">
        <f aca="false">K15+K16+K17+K18</f>
        <v>919.777917978178</v>
      </c>
      <c r="L19" s="0" t="n">
        <f aca="false">L15+L16+L17+L18</f>
        <v>947.371255517523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404.430335185185</v>
      </c>
      <c r="D21" s="0" t="n">
        <f aca="false">D19*D20</f>
        <v>443.227817395405</v>
      </c>
      <c r="E21" s="0" t="n">
        <f aca="false">E19*E20</f>
        <v>482.542550569019</v>
      </c>
      <c r="F21" s="0" t="n">
        <f aca="false">F19*F20</f>
        <v>499.766381662969</v>
      </c>
      <c r="G21" s="0" t="n">
        <f aca="false">G19*G20</f>
        <v>512.866898482531</v>
      </c>
      <c r="H21" s="0" t="n">
        <f aca="false">H19*H20</f>
        <v>506.933055733575</v>
      </c>
      <c r="I21" s="0" t="n">
        <f aca="false">I19*I20</f>
        <v>500.182451910566</v>
      </c>
      <c r="J21" s="0" t="n">
        <f aca="false">J19*J20</f>
        <v>479.739816678528</v>
      </c>
      <c r="K21" s="0" t="n">
        <f aca="false">K19*K20</f>
        <v>460.117953458907</v>
      </c>
      <c r="L21" s="0" t="n">
        <f aca="false">L19*L20</f>
        <v>438.816196354328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4728.62345743101</v>
      </c>
    </row>
    <row r="31" customFormat="false" ht="15" hidden="false" customHeight="false" outlineLevel="0" collapsed="false">
      <c r="A31" s="0" t="s">
        <v>136</v>
      </c>
      <c r="B31" s="0" t="n">
        <f aca="false">L19</f>
        <v>947.371255517523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19515.847863661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16105.3113437979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16105.3113437979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7459.87533802358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12188.4987954546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9711.49879545459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20.8073969388378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-0.204610208760023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244.770351213501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406.806188044102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22.2034339434156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8131.60327652541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6.26220168032523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2.48355646727788</v>
      </c>
      <c r="C4" s="0" t="n">
        <f aca="false">B4/Assumptions!$B$2-1</f>
        <v>-0.905062826174393</v>
      </c>
      <c r="D4" s="4" t="n">
        <f aca="false">Assumptions!$B$24</f>
        <v>0.25</v>
      </c>
      <c r="E4" s="4" t="n">
        <f aca="false">DCF_Bear!$B$43</f>
        <v>3.61878904898574</v>
      </c>
      <c r="F4" s="4" t="n">
        <f aca="false">DCF_Bear!$B$47</f>
        <v>-1.24670092631356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11.5051999015771</v>
      </c>
      <c r="C5" s="0" t="n">
        <f aca="false">B5/Assumptions!$B$2-1</f>
        <v>-0.560198780520752</v>
      </c>
      <c r="D5" s="4" t="n">
        <f aca="false">Assumptions!$B$38</f>
        <v>0.5</v>
      </c>
      <c r="E5" s="4" t="n">
        <f aca="false">DCF_Base!$B$43</f>
        <v>12.7179469083707</v>
      </c>
      <c r="F5" s="4" t="n">
        <f aca="false">DCF_Base!$B$47</f>
        <v>2.64488175108957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20.8073969388378</v>
      </c>
      <c r="C6" s="0" t="n">
        <f aca="false">B6/Assumptions!$B$2-1</f>
        <v>-0.204610208760023</v>
      </c>
      <c r="D6" s="4" t="n">
        <f aca="false">Assumptions!$B$52</f>
        <v>0.25</v>
      </c>
      <c r="E6" s="4" t="n">
        <f aca="false">DCF_Bull!$B$43</f>
        <v>22.2034339434156</v>
      </c>
      <c r="F6" s="4" t="n">
        <f aca="false">DCF_Bull!$B$47</f>
        <v>6.26220168032523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11.5753383023175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12.8145292022857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-1.2599771442328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1176.95035511128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2.5763160640477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11.5051999015771</v>
      </c>
      <c r="C15" s="3" t="n">
        <v>8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10.3043309227421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8.49025223197146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6.76100309797612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5.40058659209718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2.64488175108957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14.2743362877178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14.2743362877178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14.2743362877178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14.2743362877178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14.2743362877178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12.8240960910992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12.8240960910992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12.8240960910992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12.8240960910992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12.8240960910992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11.5051999015771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11.5051999015771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11.5051999015771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11.5051999015771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11.5051999015771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9.43732843397565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10.050986039661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10.3043309227421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10.3043309227421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10.3043309227421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7.55927395761408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7.9956700237191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8.49025223197146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9.05548904140273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9.20964453488399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2026-09-25T23:23:02Z</dcterms:created>
  <dc:creator>openpyxl</dc:creator>
  <dc:description/>
  <dc:language>en-NZ</dc:language>
  <cp:lastModifiedBy/>
  <dcterms:modified xsi:type="dcterms:W3CDTF">2026-09-25T23:23:02Z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