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<sst xmlns="http://schemas.openxmlformats.org/spreadsheetml/2006/main" count="367" uniqueCount="170">
  <si>
    <t xml:space="preserve">Ticker</t>
  </si>
  <si>
    <t xml:space="preserve">VCX.AX</t>
  </si>
  <si>
    <t xml:space="preserve">Company</t>
  </si>
  <si>
    <t xml:space="preserve">Vicinity Centres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</si>
  <si>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</si>
  <si>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</si>
  <si>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</si>
  <si>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</si>
  <si>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2026-09-25T04:50:40Z (intraday ASX session, before the 06:00Z close; replace with the regular close at the next refresh)</t>
  </si>
  <si>
    <t xml:space="preserve">Balance sheet date</t>
  </si>
  <si>
    <t xml:space="preserve">2026-06-30</t>
  </si>
  <si>
    <t xml:space="preserve">Model</t>
  </si>
  <si>
    <t xml:space="preserve">REIT AFFO capitalisation at cost of equity (engine route)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</si>
  <si>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</si>
  <si>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</si>
  <si>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</si>
  <si>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</si>
  <si>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</si>
  <si>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</si>
  <si>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</si>
  <si>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</si>
  <si>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2026-09-25T05:14:12Z</t>
  </si>
  <si>
    <t xml:space="preserve">Drivers file</t>
  </si>
  <si>
    <t xml:space="preserve">VCX.AX_Drivers.json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</si>
  <si>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</si>
  <si>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</si>
  <si>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</si>
  <si>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what the securityholder is paid from: AFFO (FFO less maintenance capex and incentives), capitalised at the cost of equity with no further debt deduction, per security after DRP dilution. NTA ($2.59) is a cross-check, not the anchor: it moves with cap rates (5.47% WACR) that the market re-prices independently.
key_risks_to_valuation: FY27 guidance is sourced from Analysis.json (results release not in Extracted/); a miss moves year 1 and the whole path; Debt repricing: net interest A$200m on A$4.5bn; each +100bp on the unhedged share costs ~1pp of FFO margin; DRP dilution larger or longer than modelled (FY26 +1.7%) if the development pipeline expands; Cap-rate expansion hits NTA and the exit multiple the market will pay, even if AFFO holds; Department-store and discretionary-retail weakness under household financial stress</t>
  </si>
  <si>
    <t xml:space="preserve">Data sources</t>
  </si>
  <si>
    <t xml:space="preserve">price: Yahoo Finance chart API at inputs.price_as_of; 52-week range 2.22-2.73
financials: VCX.AX_Metrics.csv / VCX.AX.duckdb core_metrics and kpis (FFO, AFFO, NTA, DPS FY17-FY26); FY2026 Annual Report (FFO/AFFO table lines 1115-1135, Note 2(b) line 5395, balance sheet lines 5111-5120, securities on issue line 6542)
qualitative: VCX.AX_Analysis.json (FY27 guidance, Sept-2026 DRP issuance, Uptown/DFO Eastern Creek/Taigum transactions)</t>
  </si>
  <si>
    <t xml:space="preserve">Scenario narrative: bear</t>
  </si>
  <si>
    <t xml:space="preserve">Consumer slowdown plus debt repricing: FFO margin compresses ~2.5pp, NPI growth ~2%, the 10-year pattern of flat-to-falling FFO/security resumes; 14x terminal AFFO.</t>
  </si>
  <si>
    <t xml:space="preserve">Scenario narrative: base</t>
  </si>
  <si>
    <t xml:space="preserve">Guidance delivered (AFFO ~14.0c FY27), then AFFO/security compounding ~2-3% as developments stabilise and the DRP winds down; 16x terminal AFFO.</t>
  </si>
  <si>
    <t xml:space="preserve">Scenario narrative: bull</t>
  </si>
  <si>
    <t xml:space="preserve">Earnings inflection proves durable: top-of-guidance FY27, second-leg growth from Uptown and mixed-use densification, rate relief lifts margins; 17x terminal AFFO at 3% growth.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</si>
  <si>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</si>
  <si>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</si>
  <si>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</si>
  <si>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</si>
  <si>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</si>
  <si>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</si>
  <si>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</si>
  <si>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</si>
  <si>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</si>
  <si>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</si>
  <si>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</si>
  <si>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</si>
  <si>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</si>
  <si>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</si>
  <si>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</si>
  <si>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</si>
  <si>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</si>
  <si>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</si>
  <si>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</si>
  <si>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</si>
  <si>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</si>
  <si>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</si>
  <si>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</si>
  <si>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</si>
  <si>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</si>
  <si>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</si>
  <si>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</si>
  <si>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AFFO</t>
  </si>
  <si>
    <t xml:space="preserve">AFFOPerShare</t>
  </si>
  <si>
    <t xml:space="preserve">DistributionPerSecurity</t>
  </si>
  <si>
    <t xml:space="preserve">NetTangibleAssetsPerSecurity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</si>
  <si>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</si>
  <si>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</si>
  <si>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</si>
  <si>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</si>
  <si>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</si>
  <si>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</si>
  <si>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</si>
  <si>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</si>
  <si>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</si>
  <si>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</si>
  <si>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</si>
  <si>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</si>
  <si>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</si>
  <si>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</si>
  <si>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</si>
  <si>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</si>
  <si>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</si>
  <si>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</si>
  <si>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</si>
  <si>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</si>
  <si>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</si>
  <si>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</si>
  <si>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</si>
  <si>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</si>
  <si>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</si>
  <si>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</si>
  <si>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</si>
  <si>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</si>
  <si>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</si>
  <si>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</si>
  <si>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</si>
  <si>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</si>
  <si>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</si>
  <si>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</si>
  <si>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</si>
  <si>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</si>
  <si>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</si>
  <si>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</si>
  <si>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</si>
  <si>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</si>
  <si>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</si>
  <si>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</si>
  <si>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</si>
  <si>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</si>
  <si>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</si>
  <si>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</si>
  <si>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</si>
  <si>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</si>
  <si>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VCX.AX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</si>
  <si>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</si>
  <si>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</si>
  <si>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</si>
  <si>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</si>
  <si>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</si>
  <si>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</si>
  <si>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</si>
  <si>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</si>
  <si>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</si>
  <si>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</si>
  <si>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</si>
  <si>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</si>
  <si>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</si>
  <si>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</si>
  <si>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</si>
  <si>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</si>
  <si>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</si>
  <si>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</si>
  <si>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</si>
  <si>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</si>
  <si>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</si>
  <si>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</si>
  <si>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</si>
  <si>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</si>
  <si>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</si>
  <si>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</si>
  <si>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</si>
  <si>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</si>
  <si>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</si>
  <si>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</si>
  <si>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VCX.AX owner-FCF component DCF: base case (millions, AUD)</t>
  </si>
  <si>
    <t xml:space="preserve">VCX.AX owner-FCF component DCF: bull case (millions, AUD)</t>
  </si>
  <si>
    <t xml:space="preserve">VCX.AX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</si>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</sst>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2.265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</row>
    <row r="2" customFormat="false" ht="15" hidden="false" customHeight="false" outlineLevel="0" collapsed="false">
      <c r="A2" s="0" t="s">
        <v>67</v>
      </c>
      <c r="B2" s="0" t="n">
        <v>1341.8</v>
      </c>
      <c r="I2" s="0" t="n">
        <v>960.9</v>
      </c>
      <c r="J2" s="0" t="n">
        <v>71.6</v>
      </c>
      <c r="K2" s="0" t="n">
        <v>0.2425</v>
      </c>
      <c r="L2" s="0" t="n">
        <v>741.8</v>
      </c>
      <c r="M2" s="0" t="n">
        <v>425.6</v>
      </c>
      <c r="N2" s="0" t="n">
        <v>316.2</v>
      </c>
      <c r="O2" s="0" t="n">
        <v>10849</v>
      </c>
      <c r="P2" s="0" t="n">
        <v>15849.5</v>
      </c>
      <c r="Q2" s="0" t="n">
        <v>5000.5</v>
      </c>
      <c r="R2" s="0" t="n">
        <v>3942.2</v>
      </c>
      <c r="S2" s="0" t="n">
        <v>52.8</v>
      </c>
      <c r="T2" s="0" t="n">
        <v>3962.5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68</v>
      </c>
      <c r="B3" s="0" t="n">
        <v>1311.5</v>
      </c>
      <c r="I3" s="0" t="n">
        <v>1583.6</v>
      </c>
      <c r="J3" s="0" t="n">
        <v>120.7</v>
      </c>
      <c r="K3" s="0" t="n">
        <v>0.3995</v>
      </c>
      <c r="L3" s="0" t="n">
        <v>731.2</v>
      </c>
      <c r="M3" s="0" t="n">
        <v>405.5</v>
      </c>
      <c r="N3" s="0" t="n">
        <v>325.7</v>
      </c>
      <c r="O3" s="0" t="n">
        <v>11747.7</v>
      </c>
      <c r="P3" s="0" t="n">
        <v>16658.8</v>
      </c>
      <c r="Q3" s="0" t="n">
        <v>4911.1</v>
      </c>
      <c r="R3" s="0" t="n">
        <v>3893.7</v>
      </c>
      <c r="S3" s="0" t="n">
        <v>42.2</v>
      </c>
      <c r="T3" s="0" t="n">
        <v>3964</v>
      </c>
      <c r="V3" s="0" t="n">
        <v>0.173</v>
      </c>
      <c r="AA3" s="0" t="s">
        <v>17</v>
      </c>
      <c r="AB3" s="0" t="s">
        <v>14</v>
      </c>
      <c r="AE3" s="0" t="n">
        <v>0.173</v>
      </c>
      <c r="AF3" s="0" t="n">
        <v>2.82</v>
      </c>
    </row>
    <row r="4" customFormat="false" ht="15" hidden="false" customHeight="false" outlineLevel="0" collapsed="false">
      <c r="A4" s="0" t="s">
        <v>69</v>
      </c>
      <c r="B4" s="0" t="n">
        <v>1335.3</v>
      </c>
      <c r="I4" s="0" t="n">
        <v>1218.7</v>
      </c>
      <c r="J4" s="0" t="n">
        <v>91.3</v>
      </c>
      <c r="K4" s="0" t="n">
        <v>0.3125</v>
      </c>
      <c r="L4" s="0" t="n">
        <v>706.1</v>
      </c>
      <c r="M4" s="0" t="n">
        <v>405.1</v>
      </c>
      <c r="N4" s="0" t="n">
        <v>301</v>
      </c>
      <c r="O4" s="0" t="n">
        <v>12107.5</v>
      </c>
      <c r="P4" s="0" t="n">
        <v>17481.6</v>
      </c>
      <c r="Q4" s="0" t="n">
        <v>5374.1</v>
      </c>
      <c r="R4" s="0" t="n">
        <v>4437.6</v>
      </c>
      <c r="S4" s="0" t="n">
        <v>42.1</v>
      </c>
      <c r="T4" s="0" t="n">
        <v>3899.8</v>
      </c>
      <c r="V4" s="0" t="n">
        <v>0.163</v>
      </c>
      <c r="AA4" s="0" t="s">
        <v>17</v>
      </c>
      <c r="AB4" s="0" t="s">
        <v>14</v>
      </c>
      <c r="AE4" s="0" t="n">
        <v>0.163</v>
      </c>
      <c r="AF4" s="0" t="n">
        <v>2.97</v>
      </c>
    </row>
    <row r="5" customFormat="false" ht="15" hidden="false" customHeight="false" outlineLevel="0" collapsed="false">
      <c r="A5" s="0" t="s">
        <v>70</v>
      </c>
      <c r="B5" s="0" t="n">
        <v>1286.5</v>
      </c>
      <c r="I5" s="0" t="n">
        <v>346.1</v>
      </c>
      <c r="J5" s="0" t="n">
        <v>26.9</v>
      </c>
      <c r="K5" s="0" t="n">
        <v>0.0902</v>
      </c>
      <c r="L5" s="0" t="n">
        <v>662.1</v>
      </c>
      <c r="M5" s="0" t="n">
        <v>414.5</v>
      </c>
      <c r="N5" s="0" t="n">
        <v>247.6</v>
      </c>
      <c r="O5" s="0" t="n">
        <v>11589.1</v>
      </c>
      <c r="P5" s="0" t="n">
        <v>16993.6</v>
      </c>
      <c r="Q5" s="0" t="n">
        <v>5404.5</v>
      </c>
      <c r="R5" s="0" t="n">
        <v>4436.1</v>
      </c>
      <c r="S5" s="0" t="n">
        <v>34.9</v>
      </c>
      <c r="T5" s="0" t="n">
        <v>3837</v>
      </c>
      <c r="V5" s="0" t="n">
        <v>0.159</v>
      </c>
      <c r="AA5" s="0" t="s">
        <v>17</v>
      </c>
      <c r="AB5" s="0" t="s">
        <v>14</v>
      </c>
      <c r="AE5" s="0" t="n">
        <v>0.159</v>
      </c>
      <c r="AF5" s="0" t="n">
        <v>2.92</v>
      </c>
    </row>
    <row r="6" customFormat="false" ht="15" hidden="false" customHeight="false" outlineLevel="0" collapsed="false">
      <c r="A6" s="0" t="s">
        <v>71</v>
      </c>
      <c r="B6" s="0" t="n">
        <v>1216.3</v>
      </c>
      <c r="I6" s="0" t="n">
        <v>-1801</v>
      </c>
      <c r="J6" s="0" t="n">
        <v>-148.1</v>
      </c>
      <c r="K6" s="0" t="n">
        <v>-0.473</v>
      </c>
      <c r="L6" s="0" t="n">
        <v>472</v>
      </c>
      <c r="M6" s="0" t="n">
        <v>333.3</v>
      </c>
      <c r="N6" s="0" t="n">
        <v>138.7</v>
      </c>
      <c r="O6" s="0" t="n">
        <v>10559.6</v>
      </c>
      <c r="P6" s="0" t="n">
        <v>15239.4</v>
      </c>
      <c r="Q6" s="0" t="n">
        <v>4679.8</v>
      </c>
      <c r="R6" s="0" t="n">
        <v>3929.8</v>
      </c>
      <c r="S6" s="0" t="n">
        <v>227.4</v>
      </c>
      <c r="T6" s="0" t="n">
        <v>3807.6</v>
      </c>
      <c r="V6" s="0" t="n">
        <v>0.077</v>
      </c>
      <c r="AA6" s="0" t="s">
        <v>17</v>
      </c>
      <c r="AB6" s="0" t="s">
        <v>14</v>
      </c>
      <c r="AE6" s="0" t="n">
        <v>0.077</v>
      </c>
      <c r="AF6" s="0" t="n">
        <v>2.29</v>
      </c>
    </row>
    <row r="7" customFormat="false" ht="15" hidden="false" customHeight="false" outlineLevel="0" collapsed="false">
      <c r="A7" s="0" t="s">
        <v>72</v>
      </c>
      <c r="B7" s="0" t="n">
        <v>1169.2</v>
      </c>
      <c r="I7" s="0" t="n">
        <v>-258</v>
      </c>
      <c r="J7" s="0" t="n">
        <v>-22.1</v>
      </c>
      <c r="K7" s="0" t="n">
        <v>-0.0567</v>
      </c>
      <c r="L7" s="0" t="n">
        <v>646.8</v>
      </c>
      <c r="M7" s="0" t="n">
        <v>161.6</v>
      </c>
      <c r="N7" s="0" t="n">
        <v>485.2</v>
      </c>
      <c r="O7" s="0" t="n">
        <v>9881.3</v>
      </c>
      <c r="P7" s="0" t="n">
        <v>14297.8</v>
      </c>
      <c r="Q7" s="0" t="n">
        <v>4416.5</v>
      </c>
      <c r="R7" s="0" t="n">
        <v>3281.9</v>
      </c>
      <c r="S7" s="0" t="n">
        <v>47.2</v>
      </c>
      <c r="T7" s="0" t="n">
        <v>4550.3</v>
      </c>
      <c r="V7" s="0" t="n">
        <v>0.1</v>
      </c>
      <c r="AA7" s="0" t="s">
        <v>17</v>
      </c>
      <c r="AB7" s="0" t="s">
        <v>14</v>
      </c>
      <c r="AE7" s="0" t="n">
        <v>0.1</v>
      </c>
      <c r="AF7" s="0" t="n">
        <v>2.13</v>
      </c>
    </row>
    <row r="8" customFormat="false" ht="15" hidden="false" customHeight="false" outlineLevel="0" collapsed="false">
      <c r="A8" s="0" t="s">
        <v>73</v>
      </c>
      <c r="B8" s="0" t="n">
        <v>1182.4</v>
      </c>
      <c r="I8" s="0" t="n">
        <v>1215.2</v>
      </c>
      <c r="J8" s="0" t="n">
        <v>102.8</v>
      </c>
      <c r="K8" s="0" t="n">
        <v>0.2664</v>
      </c>
      <c r="L8" s="0" t="n">
        <v>589.5</v>
      </c>
      <c r="M8" s="0" t="n">
        <v>254.6</v>
      </c>
      <c r="N8" s="0" t="n">
        <v>334.9</v>
      </c>
      <c r="O8" s="0" t="n">
        <v>10885.1</v>
      </c>
      <c r="P8" s="0" t="n">
        <v>15552.6</v>
      </c>
      <c r="Q8" s="0" t="n">
        <v>4667.5</v>
      </c>
      <c r="R8" s="0" t="n">
        <v>3752.5</v>
      </c>
      <c r="S8" s="0" t="n">
        <v>55.6</v>
      </c>
      <c r="T8" s="0" t="n">
        <v>4561.6</v>
      </c>
      <c r="V8" s="0" t="n">
        <v>0.104</v>
      </c>
      <c r="AA8" s="0" t="s">
        <v>17</v>
      </c>
      <c r="AB8" s="0" t="s">
        <v>14</v>
      </c>
      <c r="AE8" s="0" t="n">
        <v>0.104</v>
      </c>
      <c r="AF8" s="0" t="n">
        <v>2.36</v>
      </c>
    </row>
    <row r="9" customFormat="false" ht="15" hidden="false" customHeight="false" outlineLevel="0" collapsed="false">
      <c r="A9" s="0" t="s">
        <v>74</v>
      </c>
      <c r="B9" s="0" t="n">
        <v>1281.4</v>
      </c>
      <c r="I9" s="0" t="n">
        <v>271.5</v>
      </c>
      <c r="J9" s="0" t="n">
        <v>21.2</v>
      </c>
      <c r="K9" s="0" t="n">
        <v>0.0595</v>
      </c>
      <c r="L9" s="0" t="n">
        <v>702.2</v>
      </c>
      <c r="M9" s="0" t="n">
        <v>334.7</v>
      </c>
      <c r="N9" s="0" t="n">
        <v>367.5</v>
      </c>
      <c r="O9" s="0" t="n">
        <v>10638.1</v>
      </c>
      <c r="P9" s="0" t="n">
        <v>15584.6</v>
      </c>
      <c r="Q9" s="0" t="n">
        <v>4946.5</v>
      </c>
      <c r="R9" s="0" t="n">
        <v>4073.5</v>
      </c>
      <c r="S9" s="0" t="n">
        <v>192.9</v>
      </c>
      <c r="T9" s="0" t="n">
        <v>4563</v>
      </c>
      <c r="V9" s="0" t="n">
        <v>0.12</v>
      </c>
      <c r="AA9" s="0" t="s">
        <v>17</v>
      </c>
      <c r="AB9" s="0" t="s">
        <v>14</v>
      </c>
      <c r="AE9" s="0" t="n">
        <v>0.12</v>
      </c>
      <c r="AF9" s="0" t="n">
        <v>2.3</v>
      </c>
    </row>
    <row r="10" customFormat="false" ht="15" hidden="false" customHeight="false" outlineLevel="0" collapsed="false">
      <c r="A10" s="0" t="s">
        <v>75</v>
      </c>
      <c r="B10" s="0" t="n">
        <v>1326.3</v>
      </c>
      <c r="I10" s="0" t="n">
        <v>547.1</v>
      </c>
      <c r="J10" s="0" t="n">
        <v>41.3</v>
      </c>
      <c r="K10" s="0" t="n">
        <v>0.1199</v>
      </c>
      <c r="L10" s="0" t="n">
        <v>690.1</v>
      </c>
      <c r="M10" s="0" t="n">
        <v>337</v>
      </c>
      <c r="N10" s="0" t="n">
        <v>353.1</v>
      </c>
      <c r="O10" s="0" t="n">
        <v>10638.9</v>
      </c>
      <c r="P10" s="0" t="n">
        <v>15725.8</v>
      </c>
      <c r="Q10" s="0" t="n">
        <v>5086.9</v>
      </c>
      <c r="R10" s="0" t="n">
        <v>4230.2</v>
      </c>
      <c r="S10" s="0" t="n">
        <v>49.6</v>
      </c>
      <c r="T10" s="0" t="n">
        <v>4563</v>
      </c>
      <c r="V10" s="0" t="n">
        <v>0.1175</v>
      </c>
      <c r="AA10" s="0" t="s">
        <v>17</v>
      </c>
      <c r="AB10" s="0" t="s">
        <v>14</v>
      </c>
      <c r="AE10" s="0" t="n">
        <v>0.1175</v>
      </c>
      <c r="AF10" s="0" t="n">
        <v>2.3</v>
      </c>
    </row>
    <row r="11" customFormat="false" ht="15" hidden="false" customHeight="false" outlineLevel="0" collapsed="false">
      <c r="A11" s="0" t="s">
        <v>76</v>
      </c>
      <c r="B11" s="0" t="n">
        <v>1330.1</v>
      </c>
      <c r="I11" s="0" t="n">
        <v>1004.6</v>
      </c>
      <c r="J11" s="0" t="n">
        <v>75.5</v>
      </c>
      <c r="K11" s="0" t="n">
        <v>0.2199</v>
      </c>
      <c r="L11" s="0" t="n">
        <v>651</v>
      </c>
      <c r="M11" s="0" t="n">
        <v>435.1</v>
      </c>
      <c r="N11" s="0" t="n">
        <v>215.9</v>
      </c>
      <c r="O11" s="0" t="n">
        <v>11127.9</v>
      </c>
      <c r="P11" s="0" t="n">
        <v>16342.5</v>
      </c>
      <c r="Q11" s="0" t="n">
        <v>5214.6</v>
      </c>
      <c r="R11" s="0" t="n">
        <v>4458.1</v>
      </c>
      <c r="S11" s="0" t="n">
        <v>80.7</v>
      </c>
      <c r="T11" s="0" t="n">
        <v>4568.4</v>
      </c>
      <c r="V11" s="0" t="n">
        <v>0.12</v>
      </c>
      <c r="AA11" s="0" t="s">
        <v>17</v>
      </c>
      <c r="AB11" s="0" t="s">
        <v>14</v>
      </c>
      <c r="AC11" s="0" t="n">
        <v>573.4</v>
      </c>
      <c r="AD11" s="0" t="n">
        <v>0.1259</v>
      </c>
      <c r="AE11" s="0" t="n">
        <v>0.12</v>
      </c>
      <c r="AF11" s="0" t="n">
        <v>2.4</v>
      </c>
    </row>
    <row r="12" customFormat="false" ht="15" hidden="false" customHeight="false" outlineLevel="0" collapsed="false">
      <c r="A12" s="0" t="s">
        <v>77</v>
      </c>
      <c r="B12" s="0" t="n">
        <v>1365.3</v>
      </c>
      <c r="I12" s="0" t="n">
        <v>1391.2</v>
      </c>
      <c r="J12" s="0" t="n">
        <v>101.9</v>
      </c>
      <c r="K12" s="0" t="n">
        <v>0.3014</v>
      </c>
      <c r="L12" s="0" t="n">
        <v>672</v>
      </c>
      <c r="M12" s="0" t="n">
        <v>429.7</v>
      </c>
      <c r="N12" s="0" t="n">
        <v>242.3</v>
      </c>
      <c r="O12" s="0" t="n">
        <v>12145.2</v>
      </c>
      <c r="P12" s="0" t="n">
        <v>17485</v>
      </c>
      <c r="Q12" s="0" t="n">
        <v>5339.8</v>
      </c>
      <c r="R12" s="0" t="n">
        <v>4504.2</v>
      </c>
      <c r="S12" s="0" t="n">
        <v>79.6</v>
      </c>
      <c r="T12" s="0" t="n">
        <v>4615.8</v>
      </c>
      <c r="V12" s="0" t="n">
        <v>0.124</v>
      </c>
      <c r="AA12" s="0" t="s">
        <v>17</v>
      </c>
      <c r="AB12" s="0" t="s">
        <v>14</v>
      </c>
      <c r="AC12" s="0" t="n">
        <v>600.2</v>
      </c>
      <c r="AD12" s="0" t="n">
        <v>0.1304</v>
      </c>
      <c r="AE12" s="0" t="n">
        <v>0.124</v>
      </c>
      <c r="AF12" s="0" t="n">
        <v>2.59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2.265</v>
      </c>
    </row>
    <row r="3" customFormat="false" ht="15" hidden="false" customHeight="false" outlineLevel="0" collapsed="false">
      <c r="A3" s="0" t="s">
        <v>81</v>
      </c>
      <c r="B3" s="3" t="n">
        <v>4822.4</v>
      </c>
    </row>
    <row r="4" customFormat="false" ht="15" hidden="false" customHeight="false" outlineLevel="0" collapsed="false">
      <c r="A4" s="0" t="s">
        <v>82</v>
      </c>
      <c r="B4" s="3" t="n">
        <v>0</v>
      </c>
    </row>
    <row r="5" customFormat="false" ht="15" hidden="false" customHeight="false" outlineLevel="0" collapsed="false">
      <c r="A5" s="0" t="s">
        <v>83</v>
      </c>
      <c r="B5" s="3" t="n">
        <v>0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1365.3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4</v>
      </c>
      <c r="D13" s="3" t="n">
        <v>2.5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102</v>
      </c>
      <c r="C14" s="3" t="n">
        <v>52</v>
      </c>
      <c r="D14" s="3" t="n">
        <v>51.5</v>
      </c>
      <c r="E14" s="3" t="n">
        <v>51</v>
      </c>
      <c r="F14" s="3" t="n">
        <v>50.5</v>
      </c>
      <c r="G14" s="3" t="n">
        <v>50</v>
      </c>
      <c r="H14" s="3" t="n">
        <v>50</v>
      </c>
      <c r="I14" s="3" t="n">
        <v>50</v>
      </c>
      <c r="J14" s="3" t="n">
        <v>50</v>
      </c>
      <c r="K14" s="3" t="n">
        <v>50</v>
      </c>
      <c r="L14" s="3" t="n">
        <v>50</v>
      </c>
    </row>
    <row r="15" customFormat="false" ht="15" hidden="false" customHeight="false" outlineLevel="0" collapsed="false">
      <c r="A15" s="0" t="s">
        <v>103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105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106</v>
      </c>
      <c r="C18" s="3" t="n">
        <v>7</v>
      </c>
      <c r="D18" s="3" t="n">
        <v>7.5</v>
      </c>
      <c r="E18" s="3" t="n">
        <v>7.5</v>
      </c>
      <c r="F18" s="3" t="n">
        <v>7.5</v>
      </c>
      <c r="G18" s="3" t="n">
        <v>7.5</v>
      </c>
      <c r="H18" s="3" t="n">
        <v>7.5</v>
      </c>
      <c r="I18" s="3" t="n">
        <v>7.5</v>
      </c>
      <c r="J18" s="3" t="n">
        <v>7.5</v>
      </c>
      <c r="K18" s="3" t="n">
        <v>7.5</v>
      </c>
      <c r="L18" s="3" t="n">
        <v>7.5</v>
      </c>
    </row>
    <row r="19" customFormat="false" ht="15" hidden="false" customHeight="false" outlineLevel="0" collapsed="false">
      <c r="A19" s="0" t="s">
        <v>107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108</v>
      </c>
      <c r="B20" s="3" t="n">
        <v>8.5</v>
      </c>
    </row>
    <row r="21" customFormat="false" ht="15" hidden="false" customHeight="false" outlineLevel="0" collapsed="false">
      <c r="A21" s="0" t="s">
        <v>109</v>
      </c>
      <c r="B21" s="3" t="n">
        <v>2</v>
      </c>
    </row>
    <row r="22" customFormat="false" ht="15" hidden="false" customHeight="false" outlineLevel="0" collapsed="false">
      <c r="A22" s="0" t="s">
        <v>110</v>
      </c>
      <c r="B22" s="3" t="n">
        <v>14</v>
      </c>
    </row>
    <row r="23" customFormat="false" ht="15" hidden="false" customHeight="false" outlineLevel="0" collapsed="false">
      <c r="A23" s="0" t="s">
        <v>111</v>
      </c>
      <c r="B23" s="3" t="n">
        <v>0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5</v>
      </c>
      <c r="D27" s="3" t="n">
        <v>4.5</v>
      </c>
      <c r="E27" s="3" t="n">
        <v>4</v>
      </c>
      <c r="F27" s="3" t="n">
        <v>3.5</v>
      </c>
      <c r="G27" s="3" t="n">
        <v>3</v>
      </c>
      <c r="H27" s="3" t="n">
        <v>2.75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102</v>
      </c>
      <c r="C28" s="3" t="n">
        <v>52.5</v>
      </c>
      <c r="D28" s="3" t="n">
        <v>52.5</v>
      </c>
      <c r="E28" s="3" t="n">
        <v>52.5</v>
      </c>
      <c r="F28" s="3" t="n">
        <v>52.5</v>
      </c>
      <c r="G28" s="3" t="n">
        <v>52.5</v>
      </c>
      <c r="H28" s="3" t="n">
        <v>52.5</v>
      </c>
      <c r="I28" s="3" t="n">
        <v>52.5</v>
      </c>
      <c r="J28" s="3" t="n">
        <v>52.5</v>
      </c>
      <c r="K28" s="3" t="n">
        <v>52.5</v>
      </c>
      <c r="L28" s="3" t="n">
        <v>52.5</v>
      </c>
    </row>
    <row r="29" customFormat="false" ht="15" hidden="false" customHeight="false" outlineLevel="0" collapsed="false">
      <c r="A29" s="0" t="s">
        <v>103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105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106</v>
      </c>
      <c r="C32" s="3" t="n">
        <v>6.85</v>
      </c>
      <c r="D32" s="3" t="n">
        <v>7</v>
      </c>
      <c r="E32" s="3" t="n">
        <v>7</v>
      </c>
      <c r="F32" s="3" t="n">
        <v>7</v>
      </c>
      <c r="G32" s="3" t="n">
        <v>7</v>
      </c>
      <c r="H32" s="3" t="n">
        <v>7</v>
      </c>
      <c r="I32" s="3" t="n">
        <v>7</v>
      </c>
      <c r="J32" s="3" t="n">
        <v>7</v>
      </c>
      <c r="K32" s="3" t="n">
        <v>7</v>
      </c>
      <c r="L32" s="3" t="n">
        <v>7</v>
      </c>
    </row>
    <row r="33" customFormat="false" ht="15" hidden="false" customHeight="false" outlineLevel="0" collapsed="false">
      <c r="A33" s="0" t="s">
        <v>107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108</v>
      </c>
      <c r="B34" s="3" t="n">
        <v>8.5</v>
      </c>
    </row>
    <row r="35" customFormat="false" ht="15" hidden="false" customHeight="false" outlineLevel="0" collapsed="false">
      <c r="A35" s="0" t="s">
        <v>109</v>
      </c>
      <c r="B35" s="3" t="n">
        <v>2.5</v>
      </c>
    </row>
    <row r="36" customFormat="false" ht="15" hidden="false" customHeight="false" outlineLevel="0" collapsed="false">
      <c r="A36" s="0" t="s">
        <v>110</v>
      </c>
      <c r="B36" s="3" t="n">
        <v>16</v>
      </c>
    </row>
    <row r="37" customFormat="false" ht="15" hidden="false" customHeight="false" outlineLevel="0" collapsed="false">
      <c r="A37" s="0" t="s">
        <v>111</v>
      </c>
      <c r="B37" s="3" t="n">
        <v>0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5.5</v>
      </c>
      <c r="D41" s="3" t="n">
        <v>5.5</v>
      </c>
      <c r="E41" s="3" t="n">
        <v>5</v>
      </c>
      <c r="F41" s="3" t="n">
        <v>4.5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102</v>
      </c>
      <c r="C42" s="3" t="n">
        <v>52.8</v>
      </c>
      <c r="D42" s="3" t="n">
        <v>53</v>
      </c>
      <c r="E42" s="3" t="n">
        <v>53.2</v>
      </c>
      <c r="F42" s="3" t="n">
        <v>53.4</v>
      </c>
      <c r="G42" s="3" t="n">
        <v>53.5</v>
      </c>
      <c r="H42" s="3" t="n">
        <v>53.5</v>
      </c>
      <c r="I42" s="3" t="n">
        <v>53.5</v>
      </c>
      <c r="J42" s="3" t="n">
        <v>53.5</v>
      </c>
      <c r="K42" s="3" t="n">
        <v>53.5</v>
      </c>
      <c r="L42" s="3" t="n">
        <v>53.5</v>
      </c>
    </row>
    <row r="43" customFormat="false" ht="15" hidden="false" customHeight="false" outlineLevel="0" collapsed="false">
      <c r="A43" s="0" t="s">
        <v>103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105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106</v>
      </c>
      <c r="C46" s="3" t="n">
        <v>6.8</v>
      </c>
      <c r="D46" s="3" t="n">
        <v>6.8</v>
      </c>
      <c r="E46" s="3" t="n">
        <v>6.8</v>
      </c>
      <c r="F46" s="3" t="n">
        <v>6.8</v>
      </c>
      <c r="G46" s="3" t="n">
        <v>6.8</v>
      </c>
      <c r="H46" s="3" t="n">
        <v>6.8</v>
      </c>
      <c r="I46" s="3" t="n">
        <v>6.8</v>
      </c>
      <c r="J46" s="3" t="n">
        <v>6.8</v>
      </c>
      <c r="K46" s="3" t="n">
        <v>6.8</v>
      </c>
      <c r="L46" s="3" t="n">
        <v>6.8</v>
      </c>
    </row>
    <row r="47" customFormat="false" ht="15" hidden="false" customHeight="false" outlineLevel="0" collapsed="false">
      <c r="A47" s="0" t="s">
        <v>107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108</v>
      </c>
      <c r="B48" s="3" t="n">
        <v>8.5</v>
      </c>
    </row>
    <row r="49" customFormat="false" ht="15" hidden="false" customHeight="false" outlineLevel="0" collapsed="false">
      <c r="A49" s="0" t="s">
        <v>109</v>
      </c>
      <c r="B49" s="3" t="n">
        <v>3</v>
      </c>
    </row>
    <row r="50" customFormat="false" ht="15" hidden="false" customHeight="false" outlineLevel="0" collapsed="false">
      <c r="A50" s="0" t="s">
        <v>110</v>
      </c>
      <c r="B50" s="3" t="n">
        <v>17</v>
      </c>
    </row>
    <row r="51" customFormat="false" ht="15" hidden="false" customHeight="false" outlineLevel="0" collapsed="false">
      <c r="A51" s="0" t="s">
        <v>111</v>
      </c>
      <c r="B51" s="3" t="n">
        <v>0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4</v>
      </c>
      <c r="D5" s="4" t="n">
        <f aca="false">Assumptions!D13</f>
        <v>2.5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1365.3</v>
      </c>
      <c r="C6" s="0" t="n">
        <f aca="false">B6*(1+C5/100)</f>
        <v>1419.912</v>
      </c>
      <c r="D6" s="0" t="n">
        <f aca="false">C6*(1+D5/100)</f>
        <v>1455.4098</v>
      </c>
      <c r="E6" s="0" t="n">
        <f aca="false">D6*(1+E5/100)</f>
        <v>1484.517996</v>
      </c>
      <c r="F6" s="0" t="n">
        <f aca="false">E6*(1+F5/100)</f>
        <v>1514.20835592</v>
      </c>
      <c r="G6" s="0" t="n">
        <f aca="false">F6*(1+G5/100)</f>
        <v>1544.4925230384</v>
      </c>
      <c r="H6" s="0" t="n">
        <f aca="false">G6*(1+H5/100)</f>
        <v>1575.38237349917</v>
      </c>
      <c r="I6" s="0" t="n">
        <f aca="false">H6*(1+I5/100)</f>
        <v>1606.89002096915</v>
      </c>
      <c r="J6" s="0" t="n">
        <f aca="false">I6*(1+J5/100)</f>
        <v>1639.02782138853</v>
      </c>
      <c r="K6" s="0" t="n">
        <f aca="false">J6*(1+K5/100)</f>
        <v>1671.80837781631</v>
      </c>
      <c r="L6" s="0" t="n">
        <f aca="false">K6*(1+L5/100)</f>
        <v>1705.24454537263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52</v>
      </c>
      <c r="D7" s="4" t="n">
        <f aca="false">Assumptions!D14</f>
        <v>51.5</v>
      </c>
      <c r="E7" s="4" t="n">
        <f aca="false">Assumptions!E14</f>
        <v>51</v>
      </c>
      <c r="F7" s="4" t="n">
        <f aca="false">Assumptions!F14</f>
        <v>50.5</v>
      </c>
      <c r="G7" s="4" t="n">
        <f aca="false">Assumptions!G14</f>
        <v>50</v>
      </c>
      <c r="H7" s="4" t="n">
        <f aca="false">Assumptions!H14</f>
        <v>50</v>
      </c>
      <c r="I7" s="4" t="n">
        <f aca="false">Assumptions!I14</f>
        <v>50</v>
      </c>
      <c r="J7" s="4" t="n">
        <f aca="false">Assumptions!J14</f>
        <v>50</v>
      </c>
      <c r="K7" s="4" t="n">
        <f aca="false">Assumptions!K14</f>
        <v>50</v>
      </c>
      <c r="L7" s="4" t="n">
        <f aca="false">Assumptions!L14</f>
        <v>50</v>
      </c>
    </row>
    <row r="8" customFormat="false" ht="15" hidden="false" customHeight="false" outlineLevel="0" collapsed="false">
      <c r="A8" s="0" t="s">
        <v>43</v>
      </c>
      <c r="C8" s="0" t="n">
        <f aca="false">C6*C7/100</f>
        <v>738.35424</v>
      </c>
      <c r="D8" s="0" t="n">
        <f aca="false">D6*D7/100</f>
        <v>749.536047</v>
      </c>
      <c r="E8" s="0" t="n">
        <f aca="false">E6*E7/100</f>
        <v>757.10417796</v>
      </c>
      <c r="F8" s="0" t="n">
        <f aca="false">F6*F7/100</f>
        <v>764.6752197396</v>
      </c>
      <c r="G8" s="0" t="n">
        <f aca="false">G6*G7/100</f>
        <v>772.2462615192</v>
      </c>
      <c r="H8" s="0" t="n">
        <f aca="false">H6*H7/100</f>
        <v>787.691186749584</v>
      </c>
      <c r="I8" s="0" t="n">
        <f aca="false">I6*I7/100</f>
        <v>803.445010484576</v>
      </c>
      <c r="J8" s="0" t="n">
        <f aca="false">J6*J7/100</f>
        <v>819.513910694267</v>
      </c>
      <c r="K8" s="0" t="n">
        <f aca="false">K6*K7/100</f>
        <v>835.904188908153</v>
      </c>
      <c r="L8" s="0" t="n">
        <f aca="false">L6*L7/100</f>
        <v>852.622272686316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738.35424</v>
      </c>
      <c r="D11" s="0" t="n">
        <f aca="false">D8+D10+D24</f>
        <v>749.536047</v>
      </c>
      <c r="E11" s="0" t="n">
        <f aca="false">E8+E10+E24</f>
        <v>757.10417796</v>
      </c>
      <c r="F11" s="0" t="n">
        <f aca="false">F8+F10+F24</f>
        <v>764.6752197396</v>
      </c>
      <c r="G11" s="0" t="n">
        <f aca="false">G8+G10+G24</f>
        <v>772.2462615192</v>
      </c>
      <c r="H11" s="0" t="n">
        <f aca="false">H8+H10+H24</f>
        <v>787.691186749584</v>
      </c>
      <c r="I11" s="0" t="n">
        <f aca="false">I8+I10+I24</f>
        <v>803.445010484576</v>
      </c>
      <c r="J11" s="0" t="n">
        <f aca="false">J8+J10+J24</f>
        <v>819.513910694267</v>
      </c>
      <c r="K11" s="0" t="n">
        <f aca="false">K8+K10+K24</f>
        <v>835.904188908153</v>
      </c>
      <c r="L11" s="0" t="n">
        <f aca="false">L8+L10+L24</f>
        <v>852.622272686316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738.35424</v>
      </c>
      <c r="D13" s="0" t="n">
        <f aca="false">D11+D12</f>
        <v>749.536047</v>
      </c>
      <c r="E13" s="0" t="n">
        <f aca="false">E11+E12</f>
        <v>757.10417796</v>
      </c>
      <c r="F13" s="0" t="n">
        <f aca="false">F11+F12</f>
        <v>764.6752197396</v>
      </c>
      <c r="G13" s="0" t="n">
        <f aca="false">G11+G12</f>
        <v>772.2462615192</v>
      </c>
      <c r="H13" s="0" t="n">
        <f aca="false">H11+H12</f>
        <v>787.691186749584</v>
      </c>
      <c r="I13" s="0" t="n">
        <f aca="false">I11+I12</f>
        <v>803.445010484576</v>
      </c>
      <c r="J13" s="0" t="n">
        <f aca="false">J11+J12</f>
        <v>819.513910694267</v>
      </c>
      <c r="K13" s="0" t="n">
        <f aca="false">K11+K12</f>
        <v>835.904188908153</v>
      </c>
      <c r="L13" s="0" t="n">
        <f aca="false">L11+L12</f>
        <v>852.622272686316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738.35424</v>
      </c>
      <c r="D15" s="0" t="n">
        <f aca="false">D13-MAX(0,D13)*D14/100</f>
        <v>749.536047</v>
      </c>
      <c r="E15" s="0" t="n">
        <f aca="false">E13-MAX(0,E13)*E14/100</f>
        <v>757.10417796</v>
      </c>
      <c r="F15" s="0" t="n">
        <f aca="false">F13-MAX(0,F13)*F14/100</f>
        <v>764.6752197396</v>
      </c>
      <c r="G15" s="0" t="n">
        <f aca="false">G13-MAX(0,G13)*G14/100</f>
        <v>772.2462615192</v>
      </c>
      <c r="H15" s="0" t="n">
        <f aca="false">H13-MAX(0,H13)*H14/100</f>
        <v>787.691186749584</v>
      </c>
      <c r="I15" s="0" t="n">
        <f aca="false">I13-MAX(0,I13)*I14/100</f>
        <v>803.445010484576</v>
      </c>
      <c r="J15" s="0" t="n">
        <f aca="false">J13-MAX(0,J13)*J14/100</f>
        <v>819.513910694267</v>
      </c>
      <c r="K15" s="0" t="n">
        <f aca="false">K13-MAX(0,K13)*K14/100</f>
        <v>835.904188908153</v>
      </c>
      <c r="L15" s="0" t="n">
        <f aca="false">L13-MAX(0,L13)*L14/100</f>
        <v>852.622272686316</v>
      </c>
    </row>
    <row r="16" customFormat="false" ht="15" hidden="false" customHeight="false" outlineLevel="0" collapsed="false">
      <c r="A16" s="0" t="s">
        <v>123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-99.39384</v>
      </c>
      <c r="D17" s="4" t="n">
        <f aca="false">-D6*Assumptions!D18/100</f>
        <v>-109.155735</v>
      </c>
      <c r="E17" s="4" t="n">
        <f aca="false">-E6*Assumptions!E18/100</f>
        <v>-111.3388497</v>
      </c>
      <c r="F17" s="4" t="n">
        <f aca="false">-F6*Assumptions!F18/100</f>
        <v>-113.565626694</v>
      </c>
      <c r="G17" s="4" t="n">
        <f aca="false">-G6*Assumptions!G18/100</f>
        <v>-115.83693922788</v>
      </c>
      <c r="H17" s="4" t="n">
        <f aca="false">-H6*Assumptions!H18/100</f>
        <v>-118.153678012438</v>
      </c>
      <c r="I17" s="4" t="n">
        <f aca="false">-I6*Assumptions!I18/100</f>
        <v>-120.516751572686</v>
      </c>
      <c r="J17" s="4" t="n">
        <f aca="false">-J6*Assumptions!J18/100</f>
        <v>-122.92708660414</v>
      </c>
      <c r="K17" s="4" t="n">
        <f aca="false">-K6*Assumptions!K18/100</f>
        <v>-125.385628336223</v>
      </c>
      <c r="L17" s="4" t="n">
        <f aca="false">-L6*Assumptions!L18/100</f>
        <v>-127.893340902947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638.9604</v>
      </c>
      <c r="D19" s="0" t="n">
        <f aca="false">D15+D16+D17+D18</f>
        <v>640.380312</v>
      </c>
      <c r="E19" s="0" t="n">
        <f aca="false">E15+E16+E17+E18</f>
        <v>645.76532826</v>
      </c>
      <c r="F19" s="0" t="n">
        <f aca="false">F15+F16+F17+F18</f>
        <v>651.1095930456</v>
      </c>
      <c r="G19" s="0" t="n">
        <f aca="false">G15+G16+G17+G18</f>
        <v>656.40932229132</v>
      </c>
      <c r="H19" s="0" t="n">
        <f aca="false">H15+H16+H17+H18</f>
        <v>669.537508737147</v>
      </c>
      <c r="I19" s="0" t="n">
        <f aca="false">I15+I16+I17+I18</f>
        <v>682.928258911889</v>
      </c>
      <c r="J19" s="0" t="n">
        <f aca="false">J15+J16+J17+J18</f>
        <v>696.586824090127</v>
      </c>
      <c r="K19" s="0" t="n">
        <f aca="false">K15+K16+K17+K18</f>
        <v>710.51856057193</v>
      </c>
      <c r="L19" s="0" t="n">
        <f aca="false">L15+L16+L17+L18</f>
        <v>724.728931783368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588.903594470046</v>
      </c>
      <c r="D21" s="0" t="n">
        <f aca="false">D19*D20</f>
        <v>543.974441589331</v>
      </c>
      <c r="E21" s="0" t="n">
        <f aca="false">E19*E20</f>
        <v>505.574905180533</v>
      </c>
      <c r="F21" s="0" t="n">
        <f aca="false">F19*F20</f>
        <v>469.823938581877</v>
      </c>
      <c r="G21" s="0" t="n">
        <f aca="false">G19*G20</f>
        <v>436.542015593706</v>
      </c>
      <c r="H21" s="0" t="n">
        <f aca="false">H19*H20</f>
        <v>410.389728945236</v>
      </c>
      <c r="I21" s="0" t="n">
        <f aca="false">I19*I20</f>
        <v>385.804169146673</v>
      </c>
      <c r="J21" s="0" t="n">
        <f aca="false">J19*J20</f>
        <v>362.691476985812</v>
      </c>
      <c r="K21" s="0" t="n">
        <f aca="false">K19*K20</f>
        <v>340.963416152561</v>
      </c>
      <c r="L21" s="0" t="n">
        <f aca="false">L19*L20</f>
        <v>320.537036383053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4365.20472302883</v>
      </c>
    </row>
    <row r="31" customFormat="false" ht="15" hidden="false" customHeight="false" outlineLevel="0" collapsed="false">
      <c r="A31" s="0" t="s">
        <v>132</v>
      </c>
      <c r="B31" s="0" t="n">
        <f aca="false">L19</f>
        <v>724.728931783368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11372.6693910621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10146.2050449672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10146.2050449672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4487.51850936274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8852.72323239157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8852.72323239157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1.8357505043944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-0.189514126095186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1.8357505043944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5686.33469553104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0.979526282740346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5</v>
      </c>
      <c r="D5" s="4" t="n">
        <f aca="false">Assumptions!D27</f>
        <v>4.5</v>
      </c>
      <c r="E5" s="4" t="n">
        <f aca="false">Assumptions!E27</f>
        <v>4</v>
      </c>
      <c r="F5" s="4" t="n">
        <f aca="false">Assumptions!F27</f>
        <v>3.5</v>
      </c>
      <c r="G5" s="4" t="n">
        <f aca="false">Assumptions!G27</f>
        <v>3</v>
      </c>
      <c r="H5" s="4" t="n">
        <f aca="false">Assumptions!H27</f>
        <v>2.75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1365.3</v>
      </c>
      <c r="C6" s="0" t="n">
        <f aca="false">B6*(1+C5/100)</f>
        <v>1433.565</v>
      </c>
      <c r="D6" s="0" t="n">
        <f aca="false">C6*(1+D5/100)</f>
        <v>1498.075425</v>
      </c>
      <c r="E6" s="0" t="n">
        <f aca="false">D6*(1+E5/100)</f>
        <v>1557.998442</v>
      </c>
      <c r="F6" s="0" t="n">
        <f aca="false">E6*(1+F5/100)</f>
        <v>1612.52838747</v>
      </c>
      <c r="G6" s="0" t="n">
        <f aca="false">F6*(1+G5/100)</f>
        <v>1660.9042390941</v>
      </c>
      <c r="H6" s="0" t="n">
        <f aca="false">G6*(1+H5/100)</f>
        <v>1706.57910566919</v>
      </c>
      <c r="I6" s="0" t="n">
        <f aca="false">H6*(1+I5/100)</f>
        <v>1749.24358331092</v>
      </c>
      <c r="J6" s="0" t="n">
        <f aca="false">I6*(1+J5/100)</f>
        <v>1792.97467289369</v>
      </c>
      <c r="K6" s="0" t="n">
        <f aca="false">J6*(1+K5/100)</f>
        <v>1837.79903971603</v>
      </c>
      <c r="L6" s="0" t="n">
        <f aca="false">K6*(1+L5/100)</f>
        <v>1883.74401570893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52.5</v>
      </c>
      <c r="D7" s="4" t="n">
        <f aca="false">Assumptions!D28</f>
        <v>52.5</v>
      </c>
      <c r="E7" s="4" t="n">
        <f aca="false">Assumptions!E28</f>
        <v>52.5</v>
      </c>
      <c r="F7" s="4" t="n">
        <f aca="false">Assumptions!F28</f>
        <v>52.5</v>
      </c>
      <c r="G7" s="4" t="n">
        <f aca="false">Assumptions!G28</f>
        <v>52.5</v>
      </c>
      <c r="H7" s="4" t="n">
        <f aca="false">Assumptions!H28</f>
        <v>52.5</v>
      </c>
      <c r="I7" s="4" t="n">
        <f aca="false">Assumptions!I28</f>
        <v>52.5</v>
      </c>
      <c r="J7" s="4" t="n">
        <f aca="false">Assumptions!J28</f>
        <v>52.5</v>
      </c>
      <c r="K7" s="4" t="n">
        <f aca="false">Assumptions!K28</f>
        <v>52.5</v>
      </c>
      <c r="L7" s="4" t="n">
        <f aca="false">Assumptions!L28</f>
        <v>52.5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752.621625</v>
      </c>
      <c r="D8" s="0" t="n">
        <f aca="false">D6*D7/100</f>
        <v>786.489598125</v>
      </c>
      <c r="E8" s="0" t="n">
        <f aca="false">E6*E7/100</f>
        <v>817.94918205</v>
      </c>
      <c r="F8" s="0" t="n">
        <f aca="false">F6*F7/100</f>
        <v>846.57740342175</v>
      </c>
      <c r="G8" s="0" t="n">
        <f aca="false">G6*G7/100</f>
        <v>871.974725524402</v>
      </c>
      <c r="H8" s="0" t="n">
        <f aca="false">H6*H7/100</f>
        <v>895.954030476324</v>
      </c>
      <c r="I8" s="0" t="n">
        <f aca="false">I6*I7/100</f>
        <v>918.352881238232</v>
      </c>
      <c r="J8" s="0" t="n">
        <f aca="false">J6*J7/100</f>
        <v>941.311703269187</v>
      </c>
      <c r="K8" s="0" t="n">
        <f aca="false">K6*K7/100</f>
        <v>964.844495850917</v>
      </c>
      <c r="L8" s="0" t="n">
        <f aca="false">L6*L7/100</f>
        <v>988.96560824719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752.621625</v>
      </c>
      <c r="D11" s="0" t="n">
        <f aca="false">D8+D10+D24</f>
        <v>786.489598125</v>
      </c>
      <c r="E11" s="0" t="n">
        <f aca="false">E8+E10+E24</f>
        <v>817.94918205</v>
      </c>
      <c r="F11" s="0" t="n">
        <f aca="false">F8+F10+F24</f>
        <v>846.57740342175</v>
      </c>
      <c r="G11" s="0" t="n">
        <f aca="false">G8+G10+G24</f>
        <v>871.974725524402</v>
      </c>
      <c r="H11" s="0" t="n">
        <f aca="false">H8+H10+H24</f>
        <v>895.954030476324</v>
      </c>
      <c r="I11" s="0" t="n">
        <f aca="false">I8+I10+I24</f>
        <v>918.352881238232</v>
      </c>
      <c r="J11" s="0" t="n">
        <f aca="false">J8+J10+J24</f>
        <v>941.311703269187</v>
      </c>
      <c r="K11" s="0" t="n">
        <f aca="false">K8+K10+K24</f>
        <v>964.844495850917</v>
      </c>
      <c r="L11" s="0" t="n">
        <f aca="false">L8+L10+L24</f>
        <v>988.96560824719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752.621625</v>
      </c>
      <c r="D13" s="0" t="n">
        <f aca="false">D11+D12</f>
        <v>786.489598125</v>
      </c>
      <c r="E13" s="0" t="n">
        <f aca="false">E11+E12</f>
        <v>817.94918205</v>
      </c>
      <c r="F13" s="0" t="n">
        <f aca="false">F11+F12</f>
        <v>846.57740342175</v>
      </c>
      <c r="G13" s="0" t="n">
        <f aca="false">G11+G12</f>
        <v>871.974725524402</v>
      </c>
      <c r="H13" s="0" t="n">
        <f aca="false">H11+H12</f>
        <v>895.954030476324</v>
      </c>
      <c r="I13" s="0" t="n">
        <f aca="false">I11+I12</f>
        <v>918.352881238232</v>
      </c>
      <c r="J13" s="0" t="n">
        <f aca="false">J11+J12</f>
        <v>941.311703269187</v>
      </c>
      <c r="K13" s="0" t="n">
        <f aca="false">K11+K12</f>
        <v>964.844495850917</v>
      </c>
      <c r="L13" s="0" t="n">
        <f aca="false">L11+L12</f>
        <v>988.96560824719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752.621625</v>
      </c>
      <c r="D15" s="0" t="n">
        <f aca="false">D13-MAX(0,D13)*D14/100</f>
        <v>786.489598125</v>
      </c>
      <c r="E15" s="0" t="n">
        <f aca="false">E13-MAX(0,E13)*E14/100</f>
        <v>817.94918205</v>
      </c>
      <c r="F15" s="0" t="n">
        <f aca="false">F13-MAX(0,F13)*F14/100</f>
        <v>846.57740342175</v>
      </c>
      <c r="G15" s="0" t="n">
        <f aca="false">G13-MAX(0,G13)*G14/100</f>
        <v>871.974725524402</v>
      </c>
      <c r="H15" s="0" t="n">
        <f aca="false">H13-MAX(0,H13)*H14/100</f>
        <v>895.954030476324</v>
      </c>
      <c r="I15" s="0" t="n">
        <f aca="false">I13-MAX(0,I13)*I14/100</f>
        <v>918.352881238232</v>
      </c>
      <c r="J15" s="0" t="n">
        <f aca="false">J13-MAX(0,J13)*J14/100</f>
        <v>941.311703269187</v>
      </c>
      <c r="K15" s="0" t="n">
        <f aca="false">K13-MAX(0,K13)*K14/100</f>
        <v>964.844495850917</v>
      </c>
      <c r="L15" s="0" t="n">
        <f aca="false">L13-MAX(0,L13)*L14/100</f>
        <v>988.96560824719</v>
      </c>
    </row>
    <row r="16" customFormat="false" ht="15" hidden="false" customHeight="false" outlineLevel="0" collapsed="false">
      <c r="A16" s="0" t="s">
        <v>123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-98.1992025</v>
      </c>
      <c r="D17" s="4" t="n">
        <f aca="false">-D6*Assumptions!D32/100</f>
        <v>-104.86527975</v>
      </c>
      <c r="E17" s="4" t="n">
        <f aca="false">-E6*Assumptions!E32/100</f>
        <v>-109.05989094</v>
      </c>
      <c r="F17" s="4" t="n">
        <f aca="false">-F6*Assumptions!F32/100</f>
        <v>-112.8769871229</v>
      </c>
      <c r="G17" s="4" t="n">
        <f aca="false">-G6*Assumptions!G32/100</f>
        <v>-116.263296736587</v>
      </c>
      <c r="H17" s="4" t="n">
        <f aca="false">-H6*Assumptions!H32/100</f>
        <v>-119.460537396843</v>
      </c>
      <c r="I17" s="4" t="n">
        <f aca="false">-I6*Assumptions!I32/100</f>
        <v>-122.447050831764</v>
      </c>
      <c r="J17" s="4" t="n">
        <f aca="false">-J6*Assumptions!J32/100</f>
        <v>-125.508227102558</v>
      </c>
      <c r="K17" s="4" t="n">
        <f aca="false">-K6*Assumptions!K32/100</f>
        <v>-128.645932780122</v>
      </c>
      <c r="L17" s="4" t="n">
        <f aca="false">-L6*Assumptions!L32/100</f>
        <v>-131.862081099625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654.4224225</v>
      </c>
      <c r="D19" s="0" t="n">
        <f aca="false">D15+D16+D17+D18</f>
        <v>681.624318375</v>
      </c>
      <c r="E19" s="0" t="n">
        <f aca="false">E15+E16+E17+E18</f>
        <v>708.88929111</v>
      </c>
      <c r="F19" s="0" t="n">
        <f aca="false">F15+F16+F17+F18</f>
        <v>733.70041629885</v>
      </c>
      <c r="G19" s="0" t="n">
        <f aca="false">G15+G16+G17+G18</f>
        <v>755.711428787815</v>
      </c>
      <c r="H19" s="0" t="n">
        <f aca="false">H15+H16+H17+H18</f>
        <v>776.49349307948</v>
      </c>
      <c r="I19" s="0" t="n">
        <f aca="false">I15+I16+I17+I18</f>
        <v>795.905830406467</v>
      </c>
      <c r="J19" s="0" t="n">
        <f aca="false">J15+J16+J17+J18</f>
        <v>815.803476166629</v>
      </c>
      <c r="K19" s="0" t="n">
        <f aca="false">K15+K16+K17+K18</f>
        <v>836.198563070795</v>
      </c>
      <c r="L19" s="0" t="n">
        <f aca="false">L15+L16+L17+L18</f>
        <v>857.103527147565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603.154306451613</v>
      </c>
      <c r="D21" s="0" t="n">
        <f aca="false">D19*D20</f>
        <v>579.009380853278</v>
      </c>
      <c r="E21" s="0" t="n">
        <f aca="false">E19*E20</f>
        <v>554.995166900838</v>
      </c>
      <c r="F21" s="0" t="n">
        <f aca="false">F19*F20</f>
        <v>529.419352757942</v>
      </c>
      <c r="G21" s="0" t="n">
        <f aca="false">G19*G20</f>
        <v>502.582427042102</v>
      </c>
      <c r="H21" s="0" t="n">
        <f aca="false">H19*H20</f>
        <v>475.947874456921</v>
      </c>
      <c r="I21" s="0" t="n">
        <f aca="false">I19*I20</f>
        <v>449.628176330271</v>
      </c>
      <c r="J21" s="0" t="n">
        <f aca="false">J19*J20</f>
        <v>424.763945381132</v>
      </c>
      <c r="K21" s="0" t="n">
        <f aca="false">K19*K20</f>
        <v>401.274694945309</v>
      </c>
      <c r="L21" s="0" t="n">
        <f aca="false">L19*L20</f>
        <v>379.084389234048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4899.85971435345</v>
      </c>
    </row>
    <row r="31" customFormat="false" ht="15" hidden="false" customHeight="false" outlineLevel="0" collapsed="false">
      <c r="A31" s="0" t="s">
        <v>132</v>
      </c>
      <c r="B31" s="0" t="n">
        <f aca="false">L19</f>
        <v>857.103527147565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14642.1852554376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13713.656434361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13713.656434361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6065.35022774476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10965.2099420982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10965.2099420982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2.27380763563749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0.00388858085540211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2.27380763563749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7028.24892261003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1.12687227066707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5.5</v>
      </c>
      <c r="D5" s="4" t="n">
        <f aca="false">Assumptions!D41</f>
        <v>5.5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1365.3</v>
      </c>
      <c r="C6" s="0" t="n">
        <f aca="false">B6*(1+C5/100)</f>
        <v>1440.3915</v>
      </c>
      <c r="D6" s="0" t="n">
        <f aca="false">C6*(1+D5/100)</f>
        <v>1519.6130325</v>
      </c>
      <c r="E6" s="0" t="n">
        <f aca="false">D6*(1+E5/100)</f>
        <v>1595.593684125</v>
      </c>
      <c r="F6" s="0" t="n">
        <f aca="false">E6*(1+F5/100)</f>
        <v>1667.39539991063</v>
      </c>
      <c r="G6" s="0" t="n">
        <f aca="false">F6*(1+G5/100)</f>
        <v>1734.09121590705</v>
      </c>
      <c r="H6" s="0" t="n">
        <f aca="false">G6*(1+H5/100)</f>
        <v>1794.7844084638</v>
      </c>
      <c r="I6" s="0" t="n">
        <f aca="false">H6*(1+I5/100)</f>
        <v>1848.62794071771</v>
      </c>
      <c r="J6" s="0" t="n">
        <f aca="false">I6*(1+J5/100)</f>
        <v>1904.08677893924</v>
      </c>
      <c r="K6" s="0" t="n">
        <f aca="false">J6*(1+K5/100)</f>
        <v>1961.20938230742</v>
      </c>
      <c r="L6" s="0" t="n">
        <f aca="false">K6*(1+L5/100)</f>
        <v>2020.04566377664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52.8</v>
      </c>
      <c r="D7" s="4" t="n">
        <f aca="false">Assumptions!D42</f>
        <v>53</v>
      </c>
      <c r="E7" s="4" t="n">
        <f aca="false">Assumptions!E42</f>
        <v>53.2</v>
      </c>
      <c r="F7" s="4" t="n">
        <f aca="false">Assumptions!F42</f>
        <v>53.4</v>
      </c>
      <c r="G7" s="4" t="n">
        <f aca="false">Assumptions!G42</f>
        <v>53.5</v>
      </c>
      <c r="H7" s="4" t="n">
        <f aca="false">Assumptions!H42</f>
        <v>53.5</v>
      </c>
      <c r="I7" s="4" t="n">
        <f aca="false">Assumptions!I42</f>
        <v>53.5</v>
      </c>
      <c r="J7" s="4" t="n">
        <f aca="false">Assumptions!J42</f>
        <v>53.5</v>
      </c>
      <c r="K7" s="4" t="n">
        <f aca="false">Assumptions!K42</f>
        <v>53.5</v>
      </c>
      <c r="L7" s="4" t="n">
        <f aca="false">Assumptions!L42</f>
        <v>53.5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760.526712</v>
      </c>
      <c r="D8" s="0" t="n">
        <f aca="false">D6*D7/100</f>
        <v>805.394907225</v>
      </c>
      <c r="E8" s="0" t="n">
        <f aca="false">E6*E7/100</f>
        <v>848.8558399545</v>
      </c>
      <c r="F8" s="0" t="n">
        <f aca="false">F6*F7/100</f>
        <v>890.389143552274</v>
      </c>
      <c r="G8" s="0" t="n">
        <f aca="false">G6*G7/100</f>
        <v>927.738800510272</v>
      </c>
      <c r="H8" s="0" t="n">
        <f aca="false">H6*H7/100</f>
        <v>960.209658528131</v>
      </c>
      <c r="I8" s="0" t="n">
        <f aca="false">I6*I7/100</f>
        <v>989.015948283975</v>
      </c>
      <c r="J8" s="0" t="n">
        <f aca="false">J6*J7/100</f>
        <v>1018.68642673249</v>
      </c>
      <c r="K8" s="0" t="n">
        <f aca="false">K6*K7/100</f>
        <v>1049.24701953447</v>
      </c>
      <c r="L8" s="0" t="n">
        <f aca="false">L6*L7/100</f>
        <v>1080.7244301205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760.526712</v>
      </c>
      <c r="D11" s="0" t="n">
        <f aca="false">D8+D10+D24</f>
        <v>805.394907225</v>
      </c>
      <c r="E11" s="0" t="n">
        <f aca="false">E8+E10+E24</f>
        <v>848.8558399545</v>
      </c>
      <c r="F11" s="0" t="n">
        <f aca="false">F8+F10+F24</f>
        <v>890.389143552274</v>
      </c>
      <c r="G11" s="0" t="n">
        <f aca="false">G8+G10+G24</f>
        <v>927.738800510272</v>
      </c>
      <c r="H11" s="0" t="n">
        <f aca="false">H8+H10+H24</f>
        <v>960.209658528131</v>
      </c>
      <c r="I11" s="0" t="n">
        <f aca="false">I8+I10+I24</f>
        <v>989.015948283975</v>
      </c>
      <c r="J11" s="0" t="n">
        <f aca="false">J8+J10+J24</f>
        <v>1018.68642673249</v>
      </c>
      <c r="K11" s="0" t="n">
        <f aca="false">K8+K10+K24</f>
        <v>1049.24701953447</v>
      </c>
      <c r="L11" s="0" t="n">
        <f aca="false">L8+L10+L24</f>
        <v>1080.7244301205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760.526712</v>
      </c>
      <c r="D13" s="0" t="n">
        <f aca="false">D11+D12</f>
        <v>805.394907225</v>
      </c>
      <c r="E13" s="0" t="n">
        <f aca="false">E11+E12</f>
        <v>848.8558399545</v>
      </c>
      <c r="F13" s="0" t="n">
        <f aca="false">F11+F12</f>
        <v>890.389143552274</v>
      </c>
      <c r="G13" s="0" t="n">
        <f aca="false">G11+G12</f>
        <v>927.738800510272</v>
      </c>
      <c r="H13" s="0" t="n">
        <f aca="false">H11+H12</f>
        <v>960.209658528131</v>
      </c>
      <c r="I13" s="0" t="n">
        <f aca="false">I11+I12</f>
        <v>989.015948283975</v>
      </c>
      <c r="J13" s="0" t="n">
        <f aca="false">J11+J12</f>
        <v>1018.68642673249</v>
      </c>
      <c r="K13" s="0" t="n">
        <f aca="false">K11+K12</f>
        <v>1049.24701953447</v>
      </c>
      <c r="L13" s="0" t="n">
        <f aca="false">L11+L12</f>
        <v>1080.7244301205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760.526712</v>
      </c>
      <c r="D15" s="0" t="n">
        <f aca="false">D13-MAX(0,D13)*D14/100</f>
        <v>805.394907225</v>
      </c>
      <c r="E15" s="0" t="n">
        <f aca="false">E13-MAX(0,E13)*E14/100</f>
        <v>848.8558399545</v>
      </c>
      <c r="F15" s="0" t="n">
        <f aca="false">F13-MAX(0,F13)*F14/100</f>
        <v>890.389143552274</v>
      </c>
      <c r="G15" s="0" t="n">
        <f aca="false">G13-MAX(0,G13)*G14/100</f>
        <v>927.738800510272</v>
      </c>
      <c r="H15" s="0" t="n">
        <f aca="false">H13-MAX(0,H13)*H14/100</f>
        <v>960.209658528131</v>
      </c>
      <c r="I15" s="0" t="n">
        <f aca="false">I13-MAX(0,I13)*I14/100</f>
        <v>989.015948283975</v>
      </c>
      <c r="J15" s="0" t="n">
        <f aca="false">J13-MAX(0,J13)*J14/100</f>
        <v>1018.68642673249</v>
      </c>
      <c r="K15" s="0" t="n">
        <f aca="false">K13-MAX(0,K13)*K14/100</f>
        <v>1049.24701953447</v>
      </c>
      <c r="L15" s="0" t="n">
        <f aca="false">L13-MAX(0,L13)*L14/100</f>
        <v>1080.7244301205</v>
      </c>
    </row>
    <row r="16" customFormat="false" ht="15" hidden="false" customHeight="false" outlineLevel="0" collapsed="false">
      <c r="A16" s="0" t="s">
        <v>123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-97.946622</v>
      </c>
      <c r="D17" s="4" t="n">
        <f aca="false">-D6*Assumptions!D46/100</f>
        <v>-103.33368621</v>
      </c>
      <c r="E17" s="4" t="n">
        <f aca="false">-E6*Assumptions!E46/100</f>
        <v>-108.5003705205</v>
      </c>
      <c r="F17" s="4" t="n">
        <f aca="false">-F6*Assumptions!F46/100</f>
        <v>-113.382887193922</v>
      </c>
      <c r="G17" s="4" t="n">
        <f aca="false">-G6*Assumptions!G46/100</f>
        <v>-117.918202681679</v>
      </c>
      <c r="H17" s="4" t="n">
        <f aca="false">-H6*Assumptions!H46/100</f>
        <v>-122.045339775538</v>
      </c>
      <c r="I17" s="4" t="n">
        <f aca="false">-I6*Assumptions!I46/100</f>
        <v>-125.706699968804</v>
      </c>
      <c r="J17" s="4" t="n">
        <f aca="false">-J6*Assumptions!J46/100</f>
        <v>-129.477900967868</v>
      </c>
      <c r="K17" s="4" t="n">
        <f aca="false">-K6*Assumptions!K46/100</f>
        <v>-133.362237996905</v>
      </c>
      <c r="L17" s="4" t="n">
        <f aca="false">-L6*Assumptions!L46/100</f>
        <v>-137.363105136812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662.58009</v>
      </c>
      <c r="D19" s="0" t="n">
        <f aca="false">D15+D16+D17+D18</f>
        <v>702.061221015</v>
      </c>
      <c r="E19" s="0" t="n">
        <f aca="false">E15+E16+E17+E18</f>
        <v>740.355469434</v>
      </c>
      <c r="F19" s="0" t="n">
        <f aca="false">F15+F16+F17+F18</f>
        <v>777.006256358351</v>
      </c>
      <c r="G19" s="0" t="n">
        <f aca="false">G15+G16+G17+G18</f>
        <v>809.820597828592</v>
      </c>
      <c r="H19" s="0" t="n">
        <f aca="false">H15+H16+H17+H18</f>
        <v>838.164318752593</v>
      </c>
      <c r="I19" s="0" t="n">
        <f aca="false">I15+I16+I17+I18</f>
        <v>863.309248315171</v>
      </c>
      <c r="J19" s="0" t="n">
        <f aca="false">J15+J16+J17+J18</f>
        <v>889.208525764626</v>
      </c>
      <c r="K19" s="0" t="n">
        <f aca="false">K15+K16+K17+K18</f>
        <v>915.884781537565</v>
      </c>
      <c r="L19" s="0" t="n">
        <f aca="false">L15+L16+L17+L18</f>
        <v>943.361324983692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610.672894009217</v>
      </c>
      <c r="D21" s="0" t="n">
        <f aca="false">D19*D20</f>
        <v>596.369615846588</v>
      </c>
      <c r="E21" s="0" t="n">
        <f aca="false">E19*E20</f>
        <v>579.630292737363</v>
      </c>
      <c r="F21" s="0" t="n">
        <f aca="false">F19*F20</f>
        <v>560.667733303499</v>
      </c>
      <c r="G21" s="0" t="n">
        <f aca="false">G19*G20</f>
        <v>538.567482270611</v>
      </c>
      <c r="H21" s="0" t="n">
        <f aca="false">H19*H20</f>
        <v>513.74870428579</v>
      </c>
      <c r="I21" s="0" t="n">
        <f aca="false">I19*I20</f>
        <v>487.706143239045</v>
      </c>
      <c r="J21" s="0" t="n">
        <f aca="false">J19*J20</f>
        <v>462.983712014946</v>
      </c>
      <c r="K21" s="0" t="n">
        <f aca="false">K19*K20</f>
        <v>439.514491590225</v>
      </c>
      <c r="L21" s="0" t="n">
        <f aca="false">L19*L20</f>
        <v>417.234955150168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5207.09602444745</v>
      </c>
    </row>
    <row r="31" customFormat="false" ht="15" hidden="false" customHeight="false" outlineLevel="0" collapsed="false">
      <c r="A31" s="0" t="s">
        <v>132</v>
      </c>
      <c r="B31" s="0" t="n">
        <f aca="false">L19</f>
        <v>943.361324983692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17666.584813331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16037.1425247228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16037.1425247228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7092.99423755285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12300.0902620003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12300.0902620003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2.55061593024227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0.126099748451332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2.55061593024227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8097.18470611002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1.22621992345034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1.8357505043944</v>
      </c>
      <c r="C4" s="0" t="n">
        <f aca="false">B4/Assumptions!$B$2-1</f>
        <v>-0.189514126095186</v>
      </c>
      <c r="D4" s="4" t="n">
        <f aca="false">Assumptions!$B$24</f>
        <v>0.25</v>
      </c>
      <c r="E4" s="4" t="n">
        <f aca="false">DCF_Bear!$B$43</f>
        <v>1.8357505043944</v>
      </c>
      <c r="F4" s="4" t="n">
        <f aca="false">DCF_Bear!$B$47</f>
        <v>0.979526282740346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2.27380763563749</v>
      </c>
      <c r="C5" s="0" t="n">
        <f aca="false">B5/Assumptions!$B$2-1</f>
        <v>0.00388858085540211</v>
      </c>
      <c r="D5" s="4" t="n">
        <f aca="false">Assumptions!$B$38</f>
        <v>0.5</v>
      </c>
      <c r="E5" s="4" t="n">
        <f aca="false">DCF_Base!$B$43</f>
        <v>2.27380763563749</v>
      </c>
      <c r="F5" s="4" t="n">
        <f aca="false">DCF_Base!$B$47</f>
        <v>1.12687227066707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2.55061593024227</v>
      </c>
      <c r="C6" s="0" t="n">
        <f aca="false">B6/Assumptions!$B$2-1</f>
        <v>0.126099748451332</v>
      </c>
      <c r="D6" s="4" t="n">
        <f aca="false">Assumptions!$B$52</f>
        <v>0.25</v>
      </c>
      <c r="E6" s="4" t="n">
        <f aca="false">DCF_Bull!$B$43</f>
        <v>2.55061593024227</v>
      </c>
      <c r="F6" s="4" t="n">
        <f aca="false">DCF_Bull!$B$47</f>
        <v>1.22621992345034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2.23349542647791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2.23349542647791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-0.0141055016941631</v>
      </c>
    </row>
    <row r="11" customFormat="false" ht="15" hidden="false" customHeight="false" outlineLevel="0" collapsed="false">
      <c r="A11" s="0" t="s">
        <v>159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1.11487268688121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2.27380763563749</v>
      </c>
      <c r="C15" s="3" t="n">
        <v>8.5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2.17662106248378</v>
      </c>
      <c r="C16" s="3" t="n">
        <v>9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1.88490596637542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1.66187400780313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1.48583397635369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1.12687227066707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2.63314975005506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2.63314975005506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2.63314975005506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2.63314975005506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2.63314975005506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2.44507004642605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2.44507004642605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2.44507004642605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2.44507004642605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2.44507004642605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2.15589402750646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2.24962022884138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2.27380763563749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2.27380763563749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2.27380763563749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1.88010371078995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1.94554648976856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2.02033823717269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2.10663640725438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2.11766996324656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1.66591194879818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1.71320726339897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1.76641449232487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1.82671601844088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1.89563204828776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2026-09-25T05:14:12Z</dcterms:created>
  <dc:creator>openpyxl</dc:creator>
  <dc:description/>
  <dc:language>en-NZ</dc:language>
  <cp:lastModifiedBy/>
  <dcterms:modified xsi:type="dcterms:W3CDTF">2026-09-25T05:14:12Z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