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ear" sheetId="4" state="visible" r:id="rId4"/>
    <sheet xmlns:r="http://schemas.openxmlformats.org/officeDocument/2006/relationships" name="DCF_Base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FCF_Quality" sheetId="7" state="visible" r:id="rId7"/>
    <sheet xmlns:r="http://schemas.openxmlformats.org/officeDocument/2006/relationships" name="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/>
    <font>
      <color rgb="000000CC"/>
    </font>
    <font>
      <color rgb="00007700"/>
    </font>
  </fonts>
  <fills count="4">
    <fill>
      <patternFill/>
    </fill>
    <fill>
      <patternFill patternType="gray125"/>
    </fill>
    <fill>
      <patternFill patternType="solid">
        <fgColor rgb="00FFF2A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1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150" customWidth="1" min="2" max="2"/>
  </cols>
  <sheetData>
    <row r="1">
      <c r="A1" s="1" t="inlineStr">
        <is>
          <t>NZK.NZ DCF Model — New Zealand King Salmon Investments Ltd</t>
        </is>
      </c>
    </row>
    <row r="2">
      <c r="A2" s="1" t="inlineStr">
        <is>
          <t>Version</t>
        </is>
      </c>
      <c r="B2" t="inlineStr">
        <is>
          <t>v1.0, fresh build 2026-08-23. Supersedes: nothing (first DCF for this ticker).</t>
        </is>
      </c>
    </row>
    <row r="3">
      <c r="A3" s="1" t="inlineStr">
        <is>
          <t>Built by</t>
        </is>
      </c>
      <c r="B3" t="inlineStr">
        <is>
          <t>dcf-analyst agent (Claude, model claude-fable-5), 2026-08-23, at the user's request via the research workflow.</t>
        </is>
      </c>
    </row>
    <row r="4">
      <c r="A4" s="1" t="inlineStr">
        <is>
          <t>Model</t>
        </is>
      </c>
      <c r="B4" t="inlineStr">
        <is>
          <t>Owner-FCF DCF, 10-year component build, three probability-weighted scenarios (bear 30 / base 50 / bull 20). Routed via dcf-methods SKILL.md: cyclical operating company.</t>
        </is>
      </c>
    </row>
    <row r="5">
      <c r="A5" s="1" t="inlineStr">
        <is>
          <t>Data vintage — price</t>
        </is>
      </c>
      <c r="B5" t="inlineStr">
        <is>
          <t>NZ$0.24, Yahoo regular close Fri 2026-08-21 (04:59:51 UTC). Latest close as of valuation date Sun 2026-08-23. Figures go stale; refresh at next close.</t>
        </is>
      </c>
    </row>
    <row r="6">
      <c r="A6" s="1" t="inlineStr">
        <is>
          <t>Data vintage — balance sheet</t>
        </is>
      </c>
      <c r="B6" t="inlineStr">
        <is>
          <t>31 Mar 2026 (H1 FY2026 interims): cash $40.155m, borrowings $1.934m, lease liabilities $9.225m, equity $211.256m.</t>
        </is>
      </c>
    </row>
    <row r="7">
      <c r="A7" s="1" t="inlineStr">
        <is>
          <t>Data vintage — shares</t>
        </is>
      </c>
      <c r="B7" t="inlineStr">
        <is>
          <t>538,182,273 ordinary shares (FY25(Sept) annual report + H1 FY2026 interims). Held flat; SBC (~0.07% of revenue) fully expensed.</t>
        </is>
      </c>
    </row>
    <row r="8">
      <c r="A8" s="1" t="inlineStr">
        <is>
          <t>Data vintage — guidance</t>
        </is>
      </c>
      <c r="B8" t="inlineStr">
        <is>
          <t>Aug-2026 upgrade: FY26 Pro-Forma EBITDA $30-34m, PF EBIT $21-25m, harvest 5,950-6,050t, capex $18-25m; FY27 harvest 7,200-7,600t, FY28 8,500-9,100t.</t>
        </is>
      </c>
    </row>
    <row r="9">
      <c r="A9" s="1" t="inlineStr">
        <is>
          <t>Fiscal calendar</t>
        </is>
      </c>
      <c r="B9" t="inlineStr">
        <is>
          <t>Balance date changed TWICE. FY2016-20 = years to 30 Jun; FY2021-7mo = stub; FY2022-FY2025(Jan) = years to 31 Jan; FY2025-8mo = stub to 30 Sep 2025; now years to 30 Sep. FY0 here = FY2026E (12mo to 30 Sep 2026). Stubs never annualized.</t>
        </is>
      </c>
    </row>
    <row r="10">
      <c r="A10" s="1" t="inlineStr">
        <is>
          <t>Choice — leases</t>
        </is>
      </c>
      <c r="B10" t="inlineStr">
        <is>
          <t>IFRS 16 treatment B: lease principal (~$1.9m/yr, ~1% of revenue) expensed inside the EBITDA margin path; lease liabilities EXCLUDED from net debt. Net debt = borrowings - cash = -$38.221m.</t>
        </is>
      </c>
    </row>
    <row r="11">
      <c r="A11" s="1" t="inlineStr">
        <is>
          <t>Choice — interest income</t>
        </is>
      </c>
      <c r="B11" t="inlineStr">
        <is>
          <t>Stripped (~$0.9m/yr): net cash far exceeds the FCF base; leaving it in would double-count the cash pile.</t>
        </is>
      </c>
    </row>
    <row r="12">
      <c r="A12" s="1" t="inlineStr">
        <is>
          <t>Choice — GAAP vs Pro-Forma</t>
        </is>
      </c>
      <c r="B12" t="inlineStr">
        <is>
          <t>Management guides Pro-Forma EBITDA (strips IAS 41 biological fair-value swings); it diverges materially from GAAP (H1 FY26: GAAP $24.0m vs PF $17.2m). Model uses PF level as cash anchor, mid-cycle GAAP-consistent margins thereafter.</t>
        </is>
      </c>
    </row>
    <row r="13">
      <c r="A13" s="1" t="inlineStr">
        <is>
          <t>Choice — WACC 17.5%</t>
        </is>
      </c>
      <c r="B13" t="inlineStr">
        <is>
          <t>NZD-built: NZ small-cap base ~11.5% + biological/climate fat-tail 1.75% + illiquidity 2.0% + single-species/region 1.25% + consent dependence 1.0%. Single WACC for all scenarios; discrete mortality-recurrence risk lives in the 30% bear WEIGHT instead.</t>
        </is>
      </c>
    </row>
    <row r="14">
      <c r="A14" s="1" t="inlineStr">
        <is>
          <t>Choice — terminal</t>
        </is>
      </c>
      <c r="B14" t="inlineStr">
        <is>
          <t>Growth 2.0% (capacity-constrained biological producer); TV = MAX(0, MIN(Gordon, 12x FCF)). Gordon binds (~6.6x) in all scenarios.</t>
        </is>
      </c>
    </row>
    <row r="15">
      <c r="A15" s="1" t="inlineStr">
        <is>
          <t>Choice — Blue Endeavour</t>
        </is>
      </c>
      <c r="B15" t="inlineStr">
        <is>
          <t>Treated as an option. Base: haircut inshore ramp only. Bull: partial phased scale-up. Full ~10,000t/~$350m ambition in NO scenario (unbuilt, capital-hungry, already ~1yr late; full build likely needs new equity/debt not modelled).</t>
        </is>
      </c>
    </row>
    <row r="16">
      <c r="A16" s="1" t="inlineStr">
        <is>
          <t>Judgment</t>
        </is>
      </c>
      <c r="B16" t="inlineStr">
        <is>
          <t>Scenario drivers are the dcf-analyst agent's judgment, set 2026-08-23 from Aug-2026 guidance and the FY2022 crisis history.</t>
        </is>
      </c>
    </row>
    <row r="17">
      <c r="A17" s="1" t="inlineStr">
        <is>
          <t>Refresh after next print</t>
        </is>
      </c>
      <c r="B17" t="inlineStr">
        <is>
          <t>FY26 full-year results + maiden FY27 guidance, Nov-2026: refresh price, net cash, share count, Y1 drivers; re-judge bear weight if a second clean biological year lands.</t>
        </is>
      </c>
    </row>
    <row r="18">
      <c r="A18" s="1" t="inlineStr">
        <is>
          <t>Driver rows</t>
        </is>
      </c>
      <c r="B18" t="inlineStr">
        <is>
          <t>DCF tabs: rows 5 (growth), 7 (EBITDA margin), 9 (SBC%), 14 (cash tax), 17 (capex%) are the only hardcoded drivers. Capex% is per-year per-scenario here (deviation from the standard 4-driver map, documented).</t>
        </is>
      </c>
    </row>
    <row r="19">
      <c r="A19" s="1" t="inlineStr">
        <is>
          <t>Cell legend</t>
        </is>
      </c>
      <c r="B19" t="inlineStr">
        <is>
          <t>BLUE font = hardcoded input. YELLOW fill = key lever (driver rows). Black = formula. GREEN font = cross-sheet link.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Reported history (NZ$m, per Metrics.csv / filings; stubs marked). Hardcoded.</t>
        </is>
      </c>
    </row>
    <row r="3">
      <c r="A3" s="1" t="inlineStr">
        <is>
          <t>Period</t>
        </is>
      </c>
      <c r="B3" s="1" t="inlineStr">
        <is>
          <t>Basis</t>
        </is>
      </c>
      <c r="C3" s="1" t="inlineStr">
        <is>
          <t>Revenue</t>
        </is>
      </c>
      <c r="D3" s="1" t="inlineStr">
        <is>
          <t>EBITDA (GAAP)</t>
        </is>
      </c>
      <c r="E3" s="1" t="inlineStr">
        <is>
          <t>NPAT</t>
        </is>
      </c>
      <c r="F3" s="1" t="inlineStr">
        <is>
          <t>Op CF</t>
        </is>
      </c>
      <c r="G3" s="1" t="inlineStr">
        <is>
          <t>Capex</t>
        </is>
      </c>
      <c r="H3" s="1" t="inlineStr">
        <is>
          <t>Reported FCF</t>
        </is>
      </c>
      <c r="I3" s="1" t="inlineStr">
        <is>
          <t>Equity</t>
        </is>
      </c>
      <c r="J3" s="1" t="inlineStr">
        <is>
          <t>Cash</t>
        </is>
      </c>
      <c r="K3" s="1" t="inlineStr">
        <is>
          <t>Borrowings</t>
        </is>
      </c>
      <c r="L3" s="1" t="inlineStr">
        <is>
          <t>Shares (m)</t>
        </is>
      </c>
    </row>
    <row r="4">
      <c r="A4" s="2" t="inlineStr">
        <is>
          <t>FY2016</t>
        </is>
      </c>
      <c r="B4" s="2" t="inlineStr">
        <is>
          <t>12mo to Jun-16</t>
        </is>
      </c>
      <c r="C4" s="3" t="n">
        <v>114.06</v>
      </c>
      <c r="D4" s="3" t="n">
        <v>13.816</v>
      </c>
      <c r="E4" s="3" t="n">
        <v>2.593</v>
      </c>
      <c r="F4" s="3" t="n">
        <v>4.05</v>
      </c>
      <c r="G4" s="3" t="n">
        <v>-6.972</v>
      </c>
      <c r="H4" s="3" t="n">
        <v>-2.922</v>
      </c>
      <c r="I4" s="3" t="n">
        <v>37.014</v>
      </c>
      <c r="J4" s="3" t="n">
        <v>2.419</v>
      </c>
      <c r="K4" s="3" t="n">
        <v>19</v>
      </c>
      <c r="L4" s="3" t="n"/>
    </row>
    <row r="5">
      <c r="A5" s="2" t="inlineStr">
        <is>
          <t>FY2017</t>
        </is>
      </c>
      <c r="B5" s="2" t="inlineStr">
        <is>
          <t>12mo to Jun-17</t>
        </is>
      </c>
      <c r="C5" s="3" t="n">
        <v>136.351</v>
      </c>
      <c r="D5" s="3" t="n">
        <v>38.533</v>
      </c>
      <c r="E5" s="3" t="n">
        <v>22.764</v>
      </c>
      <c r="F5" s="3" t="n">
        <v>5.33</v>
      </c>
      <c r="G5" s="3" t="n">
        <v>-7.449</v>
      </c>
      <c r="H5" s="3" t="n">
        <v>-2.119</v>
      </c>
      <c r="I5" s="3" t="n">
        <v>158.675</v>
      </c>
      <c r="J5" s="3" t="n">
        <v>10.647</v>
      </c>
      <c r="K5" s="3" t="n">
        <v>0.414</v>
      </c>
      <c r="L5" s="3" t="n">
        <v>138.32</v>
      </c>
    </row>
    <row r="6">
      <c r="A6" s="2" t="inlineStr">
        <is>
          <t>FY2018</t>
        </is>
      </c>
      <c r="B6" s="2" t="inlineStr">
        <is>
          <t>12mo to Jun-18</t>
        </is>
      </c>
      <c r="C6" s="3" t="n">
        <v>160.271</v>
      </c>
      <c r="D6" s="3" t="n">
        <v>28.482</v>
      </c>
      <c r="E6" s="3" t="n">
        <v>16.125</v>
      </c>
      <c r="F6" s="3" t="n">
        <v>24.838</v>
      </c>
      <c r="G6" s="3" t="n">
        <v>-14.022</v>
      </c>
      <c r="H6" s="3" t="n">
        <v>10.816</v>
      </c>
      <c r="I6" s="3" t="n">
        <v>166.301</v>
      </c>
      <c r="J6" s="3" t="n">
        <v>14.428</v>
      </c>
      <c r="K6" s="3" t="n">
        <v>0.461</v>
      </c>
      <c r="L6" s="3" t="n">
        <v>138.32</v>
      </c>
    </row>
    <row r="7">
      <c r="A7" s="2" t="inlineStr">
        <is>
          <t>FY2019</t>
        </is>
      </c>
      <c r="B7" s="2" t="inlineStr">
        <is>
          <t>12mo to Jun-19</t>
        </is>
      </c>
      <c r="C7" s="3" t="n">
        <v>172.609</v>
      </c>
      <c r="D7" s="3" t="n">
        <v>23.063</v>
      </c>
      <c r="E7" s="3" t="n">
        <v>11.35</v>
      </c>
      <c r="F7" s="3" t="n">
        <v>10.841</v>
      </c>
      <c r="G7" s="3" t="n">
        <v>-14.191</v>
      </c>
      <c r="H7" s="3" t="n">
        <v>-3.35</v>
      </c>
      <c r="I7" s="3" t="n">
        <v>168.752</v>
      </c>
      <c r="J7" s="3" t="n">
        <v>6.231</v>
      </c>
      <c r="K7" s="3" t="n">
        <v>0.416</v>
      </c>
      <c r="L7" s="3" t="n">
        <v>138.32</v>
      </c>
    </row>
    <row r="8">
      <c r="A8" s="2" t="inlineStr">
        <is>
          <t>FY2020</t>
        </is>
      </c>
      <c r="B8" s="2" t="inlineStr">
        <is>
          <t>12mo to Jun-20</t>
        </is>
      </c>
      <c r="C8" s="3" t="n">
        <v>155.344</v>
      </c>
      <c r="D8" s="3" t="n">
        <v>36.074</v>
      </c>
      <c r="E8" s="3" t="n">
        <v>18.004</v>
      </c>
      <c r="F8" s="3" t="n">
        <v>4.224</v>
      </c>
      <c r="G8" s="3" t="n">
        <v>-16.148</v>
      </c>
      <c r="H8" s="3" t="n">
        <v>-11.924</v>
      </c>
      <c r="I8" s="3" t="n">
        <v>184.314</v>
      </c>
      <c r="J8" s="3" t="n">
        <v>7.115</v>
      </c>
      <c r="K8" s="3" t="n">
        <v>1.132</v>
      </c>
      <c r="L8" s="3" t="n">
        <v>138.99</v>
      </c>
    </row>
    <row r="9">
      <c r="A9" s="2" t="inlineStr">
        <is>
          <t>FY2021-7mo</t>
        </is>
      </c>
      <c r="B9" s="2" t="inlineStr">
        <is>
          <t>STUB 7mo to Jan-21</t>
        </is>
      </c>
      <c r="C9" s="3" t="n">
        <v>95.239</v>
      </c>
      <c r="D9" s="3" t="n">
        <v>9.964</v>
      </c>
      <c r="E9" s="3" t="n">
        <v>-7.079</v>
      </c>
      <c r="F9" s="3" t="n">
        <v>-0.881</v>
      </c>
      <c r="G9" s="3" t="n">
        <v>-4.837</v>
      </c>
      <c r="H9" s="3" t="n">
        <v>-5.718</v>
      </c>
      <c r="I9" s="3" t="n">
        <v>192.543</v>
      </c>
      <c r="J9" s="3" t="n">
        <v>3.479</v>
      </c>
      <c r="K9" s="3" t="n">
        <v>3.024</v>
      </c>
      <c r="L9" s="3" t="n">
        <v>138.986</v>
      </c>
    </row>
    <row r="10">
      <c r="A10" s="2" t="inlineStr">
        <is>
          <t>FY2022</t>
        </is>
      </c>
      <c r="B10" s="2" t="inlineStr">
        <is>
          <t>12mo to Jan-22 CRISIS</t>
        </is>
      </c>
      <c r="C10" s="3" t="n">
        <v>174.53</v>
      </c>
      <c r="D10" s="3" t="n">
        <v>-15.593</v>
      </c>
      <c r="E10" s="3" t="n">
        <v>-73.202</v>
      </c>
      <c r="F10" s="3" t="n">
        <v>7.008</v>
      </c>
      <c r="G10" s="3" t="n">
        <v>-10.295</v>
      </c>
      <c r="H10" s="3" t="n">
        <v>-3.287</v>
      </c>
      <c r="I10" s="3" t="n">
        <v>111.229</v>
      </c>
      <c r="J10" s="3" t="n">
        <v>2.913</v>
      </c>
      <c r="K10" s="3" t="n">
        <v>0</v>
      </c>
      <c r="L10" s="3" t="n">
        <v>139.004</v>
      </c>
    </row>
    <row r="11">
      <c r="A11" s="2" t="inlineStr">
        <is>
          <t>FY2023</t>
        </is>
      </c>
      <c r="B11" s="2" t="inlineStr">
        <is>
          <t>12mo to Jan-23</t>
        </is>
      </c>
      <c r="C11" s="3" t="n">
        <v>167.131</v>
      </c>
      <c r="D11" s="3" t="n">
        <v>11.698</v>
      </c>
      <c r="E11" s="3" t="n">
        <v>1.891</v>
      </c>
      <c r="F11" s="3" t="n">
        <v>10.475</v>
      </c>
      <c r="G11" s="3" t="n">
        <v>-4.557</v>
      </c>
      <c r="H11" s="3" t="n">
        <v>5.918</v>
      </c>
      <c r="I11" s="3" t="n">
        <v>167.906</v>
      </c>
      <c r="J11" s="3" t="n">
        <v>19.221</v>
      </c>
      <c r="K11" s="3" t="n">
        <v>0.75</v>
      </c>
      <c r="L11" s="3" t="n">
        <v>541.455</v>
      </c>
    </row>
    <row r="12">
      <c r="A12" s="2" t="inlineStr">
        <is>
          <t>FY2024</t>
        </is>
      </c>
      <c r="B12" s="2" t="inlineStr">
        <is>
          <t>12mo to Jan-24</t>
        </is>
      </c>
      <c r="C12" s="3" t="n">
        <v>187.106</v>
      </c>
      <c r="D12" s="3" t="n">
        <v>46.99</v>
      </c>
      <c r="E12" s="3" t="n">
        <v>28.452</v>
      </c>
      <c r="F12" s="3" t="n">
        <v>13.213</v>
      </c>
      <c r="G12" s="3" t="n">
        <v>-6.049</v>
      </c>
      <c r="H12" s="3" t="n">
        <v>7.164</v>
      </c>
      <c r="I12" s="3" t="n">
        <v>190.295</v>
      </c>
      <c r="J12" s="3" t="n">
        <v>20.908</v>
      </c>
      <c r="K12" s="3" t="n">
        <v>3.417</v>
      </c>
      <c r="L12" s="3" t="n">
        <v>541.455</v>
      </c>
    </row>
    <row r="13">
      <c r="A13" s="2" t="inlineStr">
        <is>
          <t>FY2025-Jan</t>
        </is>
      </c>
      <c r="B13" s="2" t="inlineStr">
        <is>
          <t>12mo to Jan-25</t>
        </is>
      </c>
      <c r="C13" s="3" t="n">
        <v>210.993</v>
      </c>
      <c r="D13" s="3" t="n">
        <v>26.384</v>
      </c>
      <c r="E13" s="3" t="n">
        <v>13.359</v>
      </c>
      <c r="F13" s="3" t="n">
        <v>38.458</v>
      </c>
      <c r="G13" s="3" t="n">
        <v>-10.743</v>
      </c>
      <c r="H13" s="3" t="n">
        <v>27.715</v>
      </c>
      <c r="I13" s="3" t="n">
        <v>197.031</v>
      </c>
      <c r="J13" s="3" t="n">
        <v>49.738</v>
      </c>
      <c r="K13" s="3" t="n">
        <v>4.505</v>
      </c>
      <c r="L13" s="3" t="n">
        <v>538.433</v>
      </c>
    </row>
    <row r="14">
      <c r="A14" s="2" t="inlineStr">
        <is>
          <t>FY2025-8mo</t>
        </is>
      </c>
      <c r="B14" s="2" t="inlineStr">
        <is>
          <t>STUB 8mo to Sep-25</t>
        </is>
      </c>
      <c r="C14" s="3" t="n">
        <v>117.719</v>
      </c>
      <c r="D14" s="3" t="n">
        <v>-3.709</v>
      </c>
      <c r="E14" s="3" t="n">
        <v>-6.327</v>
      </c>
      <c r="F14" s="3" t="n">
        <v>10.63</v>
      </c>
      <c r="G14" s="3" t="n">
        <v>-12.864</v>
      </c>
      <c r="H14" s="3" t="n">
        <v>-2.234</v>
      </c>
      <c r="I14" s="3" t="n">
        <v>197.338</v>
      </c>
      <c r="J14" s="3" t="n">
        <v>45.629</v>
      </c>
      <c r="K14" s="3" t="n">
        <v>2</v>
      </c>
      <c r="L14" s="3" t="n">
        <v>538.182</v>
      </c>
    </row>
    <row r="15">
      <c r="A15" s="2" t="inlineStr">
        <is>
          <t>H1 FY2026-Jul</t>
        </is>
      </c>
      <c r="B15" s="2" t="inlineStr">
        <is>
          <t>6mo to Jul-25 (orphaned half)</t>
        </is>
      </c>
      <c r="C15" s="3" t="n">
        <v>94.471</v>
      </c>
      <c r="D15" s="3" t="n">
        <v>-25.065</v>
      </c>
      <c r="E15" s="3" t="n">
        <v>-20.845</v>
      </c>
      <c r="F15" s="3" t="n">
        <v>19.645</v>
      </c>
      <c r="G15" s="3" t="n">
        <v>-8.500999999999999</v>
      </c>
      <c r="H15" s="3" t="n">
        <v>11.144</v>
      </c>
      <c r="I15" s="3" t="n">
        <v>183.565</v>
      </c>
      <c r="J15" s="3" t="n">
        <v>57.354</v>
      </c>
      <c r="K15" s="3" t="n">
        <v>2.358</v>
      </c>
      <c r="L15" s="3" t="n">
        <v>538.182</v>
      </c>
    </row>
    <row r="16">
      <c r="A16" s="2" t="inlineStr">
        <is>
          <t>H1 FY2026-Mar</t>
        </is>
      </c>
      <c r="B16" s="2" t="inlineStr">
        <is>
          <t>6mo to Mar-26 (current basis)</t>
        </is>
      </c>
      <c r="C16" s="3" t="n">
        <v>100.253</v>
      </c>
      <c r="D16" s="3" t="n">
        <v>23.954</v>
      </c>
      <c r="E16" s="3" t="n">
        <v>13.808</v>
      </c>
      <c r="F16" s="3" t="n">
        <v>7.306</v>
      </c>
      <c r="G16" s="3" t="n">
        <v>-12.304</v>
      </c>
      <c r="H16" s="3" t="n">
        <v>-4.998</v>
      </c>
      <c r="I16" s="3" t="n">
        <v>211.256</v>
      </c>
      <c r="J16" s="3" t="n">
        <v>40.155</v>
      </c>
      <c r="K16" s="3" t="n">
        <v>1.934</v>
      </c>
      <c r="L16" s="3" t="n">
        <v>538.182</v>
      </c>
    </row>
    <row r="19">
      <c r="A19" t="inlineStr">
        <is>
          <t>FY2026 guidance (Aug-2026 upgrade): Pro-Forma EBITDA $30-34m; PF EBIT $21-25m; harvest 5,950-6,050t; capex $18-25m. FY27 harvest 7,200-7,600t; FY28 8,500-9,100t. Source: NZX announcement Aug-2026.</t>
        </is>
      </c>
    </row>
    <row r="20">
      <c r="A20" t="inlineStr">
        <is>
          <t>Balance sheet snapshot 31-Mar-2026: cash 40.155, borrowings 1.934, lease liabilities 9.225 (excluded from net debt, treatment B), equity 211.256. No dividend paid. No buybacks (buyback_cash = 0).</t>
        </is>
      </c>
    </row>
    <row r="21">
      <c r="A21" t="inlineStr">
        <is>
          <t>Recapitalization: 2022 rights issue at NZ$0.20 took shares 139m to 541m. Yahoo price history pre-Apr-2022 carries a ~0.50 TERP adjustment factor.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0" customWidth="1" min="3" max="3"/>
  </cols>
  <sheetData>
    <row r="1">
      <c r="A1" s="1" t="inlineStr">
        <is>
          <t>Global assumptions (BLUE = input)</t>
        </is>
      </c>
    </row>
    <row r="3">
      <c r="A3" t="inlineStr">
        <is>
          <t>WACC</t>
        </is>
      </c>
      <c r="B3" s="3" t="n">
        <v>0.175</v>
      </c>
      <c r="C3" t="inlineStr">
        <is>
          <t>NZD-built: 11.5% NZ small-cap base + 1.75% biological fat-tail + 2.0% illiquidity + 1.25% concentration + 1.0% consent dependence. One WACC for all scenarios.</t>
        </is>
      </c>
    </row>
    <row r="4">
      <c r="A4" t="inlineStr">
        <is>
          <t>Terminal growth</t>
        </is>
      </c>
      <c r="B4" s="3" t="n">
        <v>0.02</v>
      </c>
      <c r="C4" t="inlineStr">
        <is>
          <t>Capacity-constrained biological producer</t>
        </is>
      </c>
    </row>
    <row r="5">
      <c r="A5" t="inlineStr">
        <is>
          <t>TV cap multiple (x FCF)</t>
        </is>
      </c>
      <c r="B5" s="3" t="n">
        <v>12</v>
      </c>
      <c r="C5" t="inlineStr">
        <is>
          <t>Low end of cyclical 12-15x band; Gordon (~6.6x) binds anyway</t>
        </is>
      </c>
    </row>
    <row r="6">
      <c r="A6" t="inlineStr">
        <is>
          <t>D&amp;A % of revenue</t>
        </is>
      </c>
      <c r="B6" s="3" t="n">
        <v>0.05</v>
      </c>
      <c r="C6" t="inlineStr">
        <is>
          <t>FY26E D&amp;A ~ $9m (PF EBITDA minus PF EBIT) on $191m revenue</t>
        </is>
      </c>
    </row>
    <row r="7">
      <c r="A7" t="inlineStr">
        <is>
          <t>WC capture on d(revenue)</t>
        </is>
      </c>
      <c r="B7" s="3" t="n">
        <v>-0.2</v>
      </c>
      <c r="C7" t="inlineStr">
        <is>
          <t>Biomass build consumes ~20% of each revenue increment; destocking returns cash when revenue falls (observed FY2025-Jan)</t>
        </is>
      </c>
    </row>
    <row r="8">
      <c r="A8" t="inlineStr">
        <is>
          <t>Net debt (NZ$m)</t>
        </is>
      </c>
      <c r="B8" s="3" t="n">
        <v>-38.221</v>
      </c>
      <c r="C8" t="inlineStr">
        <is>
          <t>Borrowings 1.934 - cash 40.155, Mar-2026. Lease liabilities excluded (treatment B). Negative = net cash</t>
        </is>
      </c>
    </row>
    <row r="9">
      <c r="A9" t="inlineStr">
        <is>
          <t>Diluted shares (m)</t>
        </is>
      </c>
      <c r="B9" s="3" t="n">
        <v>538.182273</v>
      </c>
      <c r="C9" t="inlineStr">
        <is>
          <t>FY25(Sept) AR + H1 FY2026 interims; held flat</t>
        </is>
      </c>
    </row>
    <row r="10">
      <c r="A10" t="inlineStr">
        <is>
          <t>Current price (NZ$)</t>
        </is>
      </c>
      <c r="B10" s="3" t="n">
        <v>0.24</v>
      </c>
      <c r="C10" t="inlineStr">
        <is>
          <t>Yahoo close Fri 2026-08-21</t>
        </is>
      </c>
    </row>
    <row r="11">
      <c r="A11" t="inlineStr">
        <is>
          <t>Hurdle rate (entry price)</t>
        </is>
      </c>
      <c r="B11" s="3" t="n">
        <v>0.15</v>
      </c>
      <c r="C11" t="inlineStr">
        <is>
          <t>NOTE: below the 17.5% WACC, so hurdle entry prices sit ABOVE IV; the binding buy price is weighted IV</t>
        </is>
      </c>
    </row>
    <row r="13">
      <c r="A13" s="1" t="inlineStr">
        <is>
          <t>Scenario probability weights</t>
        </is>
      </c>
    </row>
    <row r="14">
      <c r="A14" t="inlineStr">
        <is>
          <t>Bear</t>
        </is>
      </c>
      <c r="B14" s="4" t="n">
        <v>0.3</v>
      </c>
    </row>
    <row r="15">
      <c r="A15" t="inlineStr">
        <is>
          <t>Base</t>
        </is>
      </c>
      <c r="B15" s="4" t="n">
        <v>0.5</v>
      </c>
    </row>
    <row r="16">
      <c r="A16" t="inlineStr">
        <is>
          <t>Bull</t>
        </is>
      </c>
      <c r="B16" s="4" t="n">
        <v>0.2</v>
      </c>
    </row>
    <row r="17">
      <c r="A17" t="inlineStr">
        <is>
          <t>Sum (must be 1.0)</t>
        </is>
      </c>
      <c r="B17" s="1">
        <f>SUM(B14:B16)</f>
        <v/>
      </c>
    </row>
    <row r="19">
      <c r="A19" s="1" t="inlineStr">
        <is>
          <t>Bear (30%)</t>
        </is>
      </c>
      <c r="B19" t="inlineStr">
        <is>
          <t>Warm-summer mortality event recurs FY2028 (observed outcome: FY2022 lost $73.2m NPAT at up to ~42% site mortality). Revenue -18% in the event year, margin ~1%, recovery to a 14% mid-cycle only; Blue Endeavour shelved; tax losses suppress cash tax; survives on net cash without a raise — a crisis-terms raise is the residual risk BELOW this case. Weight doubled from the 15% default: recurrence is real, recent and structural.</t>
        </is>
      </c>
    </row>
    <row r="20">
      <c r="A20" s="1" t="inlineStr">
        <is>
          <t>Base (50%)</t>
        </is>
      </c>
      <c r="B20" t="inlineStr">
        <is>
          <t>Guided inshore ramp mostly delivers with a haircut for NZK's record of missed biological forecasts: +15% then +12% revenue (vs guided FY27/FY28 harvest ramp), margins recover to a 17% post-lease mid-cycle (below FY2024's 25% peak), capex elevated through the pilot phase then fading to 5%, tax ramping to 28% statutory. No catastrophe, no full Blue Endeavour.</t>
        </is>
      </c>
    </row>
    <row r="21">
      <c r="A21" s="1" t="inlineStr">
        <is>
          <t>Bull (20%)</t>
        </is>
      </c>
      <c r="B21" t="inlineStr">
        <is>
          <t>Recovery is structural (thermotolerant breeding, wellboat, summer diet); ramp delivers in full and the Blue Endeavour pilot succeeds, supporting a phased PARTIAL scale-up (~half-scale by year 10, not the $350m ambition). Margins reach 19%; capex 10% of revenue for five years. Weight cut from 35%: needs several independent things to go right.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L4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3">
      <c r="A3" t="inlineStr">
        <is>
          <t>Year</t>
        </is>
      </c>
      <c r="B3" s="1" t="inlineStr">
        <is>
          <t>FY2026E (FY0)</t>
        </is>
      </c>
      <c r="C3" s="1" t="inlineStr">
        <is>
          <t>FY2027E</t>
        </is>
      </c>
      <c r="D3" s="1" t="inlineStr">
        <is>
          <t>FY2028E</t>
        </is>
      </c>
      <c r="E3" s="1" t="inlineStr">
        <is>
          <t>FY2029E</t>
        </is>
      </c>
      <c r="F3" s="1" t="inlineStr">
        <is>
          <t>FY2030E</t>
        </is>
      </c>
      <c r="G3" s="1" t="inlineStr">
        <is>
          <t>FY2031E</t>
        </is>
      </c>
      <c r="H3" s="1" t="inlineStr">
        <is>
          <t>FY2032E</t>
        </is>
      </c>
      <c r="I3" s="1" t="inlineStr">
        <is>
          <t>FY2033E</t>
        </is>
      </c>
      <c r="J3" s="1" t="inlineStr">
        <is>
          <t>FY2034E</t>
        </is>
      </c>
      <c r="K3" s="1" t="inlineStr">
        <is>
          <t>FY2035E</t>
        </is>
      </c>
      <c r="L3" s="1" t="inlineStr">
        <is>
          <t>FY2036E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4" t="n">
        <v>0.1</v>
      </c>
      <c r="D5" s="4" t="n">
        <v>-0.18</v>
      </c>
      <c r="E5" s="4" t="n">
        <v>0.02</v>
      </c>
      <c r="F5" s="4" t="n">
        <v>0.12</v>
      </c>
      <c r="G5" s="4" t="n">
        <v>0.08</v>
      </c>
      <c r="H5" s="4" t="n">
        <v>0.04</v>
      </c>
      <c r="I5" s="4" t="n">
        <v>0.03</v>
      </c>
      <c r="J5" s="4" t="n">
        <v>0.02</v>
      </c>
      <c r="K5" s="4" t="n">
        <v>0.02</v>
      </c>
      <c r="L5" s="4" t="n">
        <v>0.02</v>
      </c>
    </row>
    <row r="6">
      <c r="A6" t="inlineStr">
        <is>
          <t>Revenue</t>
        </is>
      </c>
      <c r="B6" s="3" t="n">
        <v>191</v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t="inlineStr">
        <is>
          <t>Adj EBITDA margin (post-lease)</t>
        </is>
      </c>
      <c r="B7" s="3" t="n">
        <v>0.1575</v>
      </c>
      <c r="C7" s="4" t="n">
        <v>0.14</v>
      </c>
      <c r="D7" s="4" t="n">
        <v>0.01</v>
      </c>
      <c r="E7" s="4" t="n">
        <v>0.06</v>
      </c>
      <c r="F7" s="4" t="n">
        <v>0.11</v>
      </c>
      <c r="G7" s="4" t="n">
        <v>0.13</v>
      </c>
      <c r="H7" s="4" t="n">
        <v>0.135</v>
      </c>
      <c r="I7" s="4" t="n">
        <v>0.14</v>
      </c>
      <c r="J7" s="4" t="n">
        <v>0.14</v>
      </c>
      <c r="K7" s="4" t="n">
        <v>0.14</v>
      </c>
      <c r="L7" s="4" t="n">
        <v>0.14</v>
      </c>
    </row>
    <row r="8">
      <c r="A8" t="inlineStr">
        <is>
          <t>Adjusted EBITDA</t>
        </is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t="inlineStr">
        <is>
          <t>SBC % of revenue</t>
        </is>
      </c>
      <c r="C9" s="4" t="n">
        <v>0.0007</v>
      </c>
      <c r="D9" s="4" t="n">
        <v>0.0007</v>
      </c>
      <c r="E9" s="4" t="n">
        <v>0.0007</v>
      </c>
      <c r="F9" s="4" t="n">
        <v>0.0007</v>
      </c>
      <c r="G9" s="4" t="n">
        <v>0.0007</v>
      </c>
      <c r="H9" s="4" t="n">
        <v>0.0007</v>
      </c>
      <c r="I9" s="4" t="n">
        <v>0.0007</v>
      </c>
      <c r="J9" s="4" t="n">
        <v>0.0007</v>
      </c>
      <c r="K9" s="4" t="n">
        <v>0.0007</v>
      </c>
      <c r="L9" s="4" t="n">
        <v>0.0007</v>
      </c>
    </row>
    <row r="10">
      <c r="A10" t="inlineStr">
        <is>
          <t>SBC $</t>
        </is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t="inlineStr">
        <is>
          <t>Owner EBITDA</t>
        </is>
      </c>
      <c r="C11">
        <f>C8+C10</f>
        <v/>
      </c>
      <c r="D11">
        <f>D8+D10</f>
        <v/>
      </c>
      <c r="E11">
        <f>E8+E10</f>
        <v/>
      </c>
      <c r="F11">
        <f>F8+F10</f>
        <v/>
      </c>
      <c r="G11">
        <f>G8+G10</f>
        <v/>
      </c>
      <c r="H11">
        <f>H8+H10</f>
        <v/>
      </c>
      <c r="I11">
        <f>I8+I10</f>
        <v/>
      </c>
      <c r="J11">
        <f>J8+J10</f>
        <v/>
      </c>
      <c r="K11">
        <f>K8+K10</f>
        <v/>
      </c>
      <c r="L11">
        <f>L8+L10</f>
        <v/>
      </c>
    </row>
    <row r="12">
      <c r="A12" t="inlineStr">
        <is>
          <t>D&amp;A</t>
        </is>
      </c>
      <c r="C12" s="5">
        <f>-C6*Assumptions!$B$6</f>
        <v/>
      </c>
      <c r="D12" s="5">
        <f>-D6*Assumptions!$B$6</f>
        <v/>
      </c>
      <c r="E12" s="5">
        <f>-E6*Assumptions!$B$6</f>
        <v/>
      </c>
      <c r="F12" s="5">
        <f>-F6*Assumptions!$B$6</f>
        <v/>
      </c>
      <c r="G12" s="5">
        <f>-G6*Assumptions!$B$6</f>
        <v/>
      </c>
      <c r="H12" s="5">
        <f>-H6*Assumptions!$B$6</f>
        <v/>
      </c>
      <c r="I12" s="5">
        <f>-I6*Assumptions!$B$6</f>
        <v/>
      </c>
      <c r="J12" s="5">
        <f>-J6*Assumptions!$B$6</f>
        <v/>
      </c>
      <c r="K12" s="5">
        <f>-K6*Assumptions!$B$6</f>
        <v/>
      </c>
      <c r="L12" s="5">
        <f>-L6*Assumptions!$B$6</f>
        <v/>
      </c>
    </row>
    <row r="13">
      <c r="A13" t="inlineStr">
        <is>
          <t>EBIT (SBC expensed)</t>
        </is>
      </c>
      <c r="C13">
        <f>C11+C12</f>
        <v/>
      </c>
      <c r="D13">
        <f>D11+D12</f>
        <v/>
      </c>
      <c r="E13">
        <f>E11+E12</f>
        <v/>
      </c>
      <c r="F13">
        <f>F11+F12</f>
        <v/>
      </c>
      <c r="G13">
        <f>G11+G12</f>
        <v/>
      </c>
      <c r="H13">
        <f>H11+H12</f>
        <v/>
      </c>
      <c r="I13">
        <f>I11+I12</f>
        <v/>
      </c>
      <c r="J13">
        <f>J11+J12</f>
        <v/>
      </c>
      <c r="K13">
        <f>K11+K12</f>
        <v/>
      </c>
      <c r="L13">
        <f>L11+L12</f>
        <v/>
      </c>
    </row>
    <row r="14">
      <c r="A14" t="inlineStr">
        <is>
          <t>Cash tax rate</t>
        </is>
      </c>
      <c r="C14" s="4" t="n">
        <v>0.18</v>
      </c>
      <c r="D14" s="4" t="n">
        <v>0</v>
      </c>
      <c r="E14" s="4" t="n">
        <v>0.05</v>
      </c>
      <c r="F14" s="4" t="n">
        <v>0.15</v>
      </c>
      <c r="G14" s="4" t="n">
        <v>0.24</v>
      </c>
      <c r="H14" s="4" t="n">
        <v>0.28</v>
      </c>
      <c r="I14" s="4" t="n">
        <v>0.28</v>
      </c>
      <c r="J14" s="4" t="n">
        <v>0.28</v>
      </c>
      <c r="K14" s="4" t="n">
        <v>0.28</v>
      </c>
      <c r="L14" s="4" t="n">
        <v>0.28</v>
      </c>
    </row>
    <row r="15">
      <c r="A15" t="inlineStr">
        <is>
          <t>NOPAT</t>
        </is>
      </c>
      <c r="C15">
        <f>C13*(1-C14)</f>
        <v/>
      </c>
      <c r="D15">
        <f>D13*(1-D14)</f>
        <v/>
      </c>
      <c r="E15">
        <f>E13*(1-E14)</f>
        <v/>
      </c>
      <c r="F15">
        <f>F13*(1-F14)</f>
        <v/>
      </c>
      <c r="G15">
        <f>G13*(1-G14)</f>
        <v/>
      </c>
      <c r="H15">
        <f>H13*(1-H14)</f>
        <v/>
      </c>
      <c r="I15">
        <f>I13*(1-I14)</f>
        <v/>
      </c>
      <c r="J15">
        <f>J13*(1-J14)</f>
        <v/>
      </c>
      <c r="K15">
        <f>K13*(1-K14)</f>
        <v/>
      </c>
      <c r="L15">
        <f>L13*(1-L14)</f>
        <v/>
      </c>
    </row>
    <row r="16">
      <c r="A16" t="inlineStr">
        <is>
          <t>add back D&amp;A</t>
        </is>
      </c>
      <c r="C16">
        <f>-C12</f>
        <v/>
      </c>
      <c r="D16">
        <f>-D12</f>
        <v/>
      </c>
      <c r="E16">
        <f>-E12</f>
        <v/>
      </c>
      <c r="F16">
        <f>-F12</f>
        <v/>
      </c>
      <c r="G16">
        <f>-G12</f>
        <v/>
      </c>
      <c r="H16">
        <f>-H12</f>
        <v/>
      </c>
      <c r="I16">
        <f>-I12</f>
        <v/>
      </c>
      <c r="J16">
        <f>-J12</f>
        <v/>
      </c>
      <c r="K16">
        <f>-K12</f>
        <v/>
      </c>
      <c r="L16">
        <f>-L12</f>
        <v/>
      </c>
    </row>
    <row r="17">
      <c r="A17" t="inlineStr">
        <is>
          <t>Capex % of revenue</t>
        </is>
      </c>
      <c r="C17" s="4" t="n">
        <v>0.095</v>
      </c>
      <c r="D17" s="4" t="n">
        <v>0.08</v>
      </c>
      <c r="E17" s="4" t="n">
        <v>0.06</v>
      </c>
      <c r="F17" s="4" t="n">
        <v>0.055</v>
      </c>
      <c r="G17" s="4" t="n">
        <v>0.055</v>
      </c>
      <c r="H17" s="4" t="n">
        <v>0.055</v>
      </c>
      <c r="I17" s="4" t="n">
        <v>0.05</v>
      </c>
      <c r="J17" s="4" t="n">
        <v>0.05</v>
      </c>
      <c r="K17" s="4" t="n">
        <v>0.05</v>
      </c>
      <c r="L17" s="4" t="n">
        <v>0.05</v>
      </c>
    </row>
    <row r="18">
      <c r="A18" t="inlineStr">
        <is>
          <t>Capex $</t>
        </is>
      </c>
      <c r="C18">
        <f>-C6*C17</f>
        <v/>
      </c>
      <c r="D18">
        <f>-D6*D17</f>
        <v/>
      </c>
      <c r="E18">
        <f>-E6*E17</f>
        <v/>
      </c>
      <c r="F18">
        <f>-F6*F17</f>
        <v/>
      </c>
      <c r="G18">
        <f>-G6*G17</f>
        <v/>
      </c>
      <c r="H18">
        <f>-H6*H17</f>
        <v/>
      </c>
      <c r="I18">
        <f>-I6*I17</f>
        <v/>
      </c>
      <c r="J18">
        <f>-J6*J17</f>
        <v/>
      </c>
      <c r="K18">
        <f>-K6*K17</f>
        <v/>
      </c>
      <c r="L18">
        <f>-L6*L17</f>
        <v/>
      </c>
    </row>
    <row r="19">
      <c r="A19" t="inlineStr">
        <is>
          <t>Working capital (on d rev)</t>
        </is>
      </c>
      <c r="C19" s="5">
        <f>Assumptions!$B$7*(C6-B6)</f>
        <v/>
      </c>
      <c r="D19" s="5">
        <f>Assumptions!$B$7*(D6-C6)</f>
        <v/>
      </c>
      <c r="E19" s="5">
        <f>Assumptions!$B$7*(E6-D6)</f>
        <v/>
      </c>
      <c r="F19" s="5">
        <f>Assumptions!$B$7*(F6-E6)</f>
        <v/>
      </c>
      <c r="G19" s="5">
        <f>Assumptions!$B$7*(G6-F6)</f>
        <v/>
      </c>
      <c r="H19" s="5">
        <f>Assumptions!$B$7*(H6-G6)</f>
        <v/>
      </c>
      <c r="I19" s="5">
        <f>Assumptions!$B$7*(I6-H6)</f>
        <v/>
      </c>
      <c r="J19" s="5">
        <f>Assumptions!$B$7*(J6-I6)</f>
        <v/>
      </c>
      <c r="K19" s="5">
        <f>Assumptions!$B$7*(K6-J6)</f>
        <v/>
      </c>
      <c r="L19" s="5">
        <f>Assumptions!$B$7*(L6-K6)</f>
        <v/>
      </c>
    </row>
    <row r="20">
      <c r="A20" t="inlineStr">
        <is>
          <t>Unlevered owner FCF</t>
        </is>
      </c>
      <c r="C20">
        <f>C15+C16+C18+C19</f>
        <v/>
      </c>
      <c r="D20">
        <f>D15+D16+D18+D19</f>
        <v/>
      </c>
      <c r="E20">
        <f>E15+E16+E18+E19</f>
        <v/>
      </c>
      <c r="F20">
        <f>F15+F16+F18+F19</f>
        <v/>
      </c>
      <c r="G20">
        <f>G15+G16+G18+G19</f>
        <v/>
      </c>
      <c r="H20">
        <f>H15+H16+H18+H19</f>
        <v/>
      </c>
      <c r="I20">
        <f>I15+I16+I18+I19</f>
        <v/>
      </c>
      <c r="J20">
        <f>J15+J16+J18+J19</f>
        <v/>
      </c>
      <c r="K20">
        <f>K15+K16+K18+K19</f>
        <v/>
      </c>
      <c r="L20">
        <f>L15+L16+L18+L19</f>
        <v/>
      </c>
    </row>
    <row r="21">
      <c r="A21" t="inlineStr">
        <is>
          <t>Discount factor</t>
        </is>
      </c>
      <c r="C21" s="5">
        <f>1/(1+Assumptions!$B$3)^C4</f>
        <v/>
      </c>
      <c r="D21" s="5">
        <f>1/(1+Assumptions!$B$3)^D4</f>
        <v/>
      </c>
      <c r="E21" s="5">
        <f>1/(1+Assumptions!$B$3)^E4</f>
        <v/>
      </c>
      <c r="F21" s="5">
        <f>1/(1+Assumptions!$B$3)^F4</f>
        <v/>
      </c>
      <c r="G21" s="5">
        <f>1/(1+Assumptions!$B$3)^G4</f>
        <v/>
      </c>
      <c r="H21" s="5">
        <f>1/(1+Assumptions!$B$3)^H4</f>
        <v/>
      </c>
      <c r="I21" s="5">
        <f>1/(1+Assumptions!$B$3)^I4</f>
        <v/>
      </c>
      <c r="J21" s="5">
        <f>1/(1+Assumptions!$B$3)^J4</f>
        <v/>
      </c>
      <c r="K21" s="5">
        <f>1/(1+Assumptions!$B$3)^K4</f>
        <v/>
      </c>
      <c r="L21" s="5">
        <f>1/(1+Assumptions!$B$3)^L4</f>
        <v/>
      </c>
    </row>
    <row r="22">
      <c r="A22" t="inlineStr">
        <is>
          <t>PV of FCF</t>
        </is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  <c r="L22">
        <f>L20*L21</f>
        <v/>
      </c>
    </row>
    <row r="24">
      <c r="A24" t="inlineStr">
        <is>
          <t>Memo: FCF before SBC</t>
        </is>
      </c>
      <c r="C24">
        <f>C20-C10</f>
        <v/>
      </c>
      <c r="D24">
        <f>D20-D10</f>
        <v/>
      </c>
      <c r="E24">
        <f>E20-E10</f>
        <v/>
      </c>
      <c r="F24">
        <f>F20-F10</f>
        <v/>
      </c>
      <c r="G24">
        <f>G20-G10</f>
        <v/>
      </c>
      <c r="H24">
        <f>H20-H10</f>
        <v/>
      </c>
      <c r="I24">
        <f>I20-I10</f>
        <v/>
      </c>
      <c r="J24">
        <f>J20-J10</f>
        <v/>
      </c>
      <c r="K24">
        <f>K20-K10</f>
        <v/>
      </c>
      <c r="L24">
        <f>L20-L10</f>
        <v/>
      </c>
    </row>
    <row r="25">
      <c r="A25" t="inlineStr">
        <is>
          <t>Memo: owner FCF margin</t>
        </is>
      </c>
      <c r="C25">
        <f>C20/C6</f>
        <v/>
      </c>
      <c r="D25">
        <f>D20/D6</f>
        <v/>
      </c>
      <c r="E25">
        <f>E20/E6</f>
        <v/>
      </c>
      <c r="F25">
        <f>F20/F6</f>
        <v/>
      </c>
      <c r="G25">
        <f>G20/G6</f>
        <v/>
      </c>
      <c r="H25">
        <f>H20/H6</f>
        <v/>
      </c>
      <c r="I25">
        <f>I20/I6</f>
        <v/>
      </c>
      <c r="J25">
        <f>J20/J6</f>
        <v/>
      </c>
      <c r="K25">
        <f>K20/K6</f>
        <v/>
      </c>
      <c r="L25">
        <f>L20/L6</f>
        <v/>
      </c>
    </row>
    <row r="27">
      <c r="A27" t="inlineStr">
        <is>
          <t>Sum of PV (explicit)</t>
        </is>
      </c>
      <c r="B27">
        <f>SUM(C22:L22)</f>
        <v/>
      </c>
    </row>
    <row r="28">
      <c r="A28" t="inlineStr">
        <is>
          <t>Terminal growth</t>
        </is>
      </c>
      <c r="B28" s="5">
        <f>Assumptions!$B$4</f>
        <v/>
      </c>
    </row>
    <row r="29">
      <c r="A29" t="inlineStr">
        <is>
          <t>Terminal FCF</t>
        </is>
      </c>
      <c r="B29">
        <f>L20*(1+B28)</f>
        <v/>
      </c>
    </row>
    <row r="30">
      <c r="A30" t="inlineStr">
        <is>
          <t>Gordon TV</t>
        </is>
      </c>
      <c r="B30">
        <f>B29/(Assumptions!$B$3-B28)</f>
        <v/>
      </c>
    </row>
    <row r="31">
      <c r="A31" t="inlineStr">
        <is>
          <t>Cap TV (12x)</t>
        </is>
      </c>
      <c r="B31">
        <f>Assumptions!$B$5*L20</f>
        <v/>
      </c>
    </row>
    <row r="32">
      <c r="A32" t="inlineStr">
        <is>
          <t>TV used = MAX(0,MIN(Gordon,Cap))</t>
        </is>
      </c>
      <c r="B32">
        <f>MAX(0,MIN(B30,B31))</f>
        <v/>
      </c>
    </row>
    <row r="33">
      <c r="A33" t="inlineStr">
        <is>
          <t>Implied exit multiple</t>
        </is>
      </c>
      <c r="B33">
        <f>IF(L20&gt;0,B32/L20,"n/a")</f>
        <v/>
      </c>
    </row>
    <row r="34">
      <c r="A34" t="inlineStr">
        <is>
          <t>PV of TV</t>
        </is>
      </c>
      <c r="B34">
        <f>B32*L21</f>
        <v/>
      </c>
    </row>
    <row r="35">
      <c r="A35" t="inlineStr">
        <is>
          <t>Enterprise value</t>
        </is>
      </c>
      <c r="B35">
        <f>B27+B34</f>
        <v/>
      </c>
    </row>
    <row r="36">
      <c r="A36" t="inlineStr">
        <is>
          <t>add net cash</t>
        </is>
      </c>
      <c r="B36" s="5">
        <f>-Assumptions!$B$8</f>
        <v/>
      </c>
    </row>
    <row r="37">
      <c r="A37" t="inlineStr">
        <is>
          <t>Equity value</t>
        </is>
      </c>
      <c r="B37">
        <f>B35+B36</f>
        <v/>
      </c>
    </row>
    <row r="38">
      <c r="A38" t="inlineStr">
        <is>
          <t>Diluted shares (m)</t>
        </is>
      </c>
      <c r="B38" s="5">
        <f>Assumptions!$B$9</f>
        <v/>
      </c>
    </row>
    <row r="39">
      <c r="A39" s="1" t="inlineStr">
        <is>
          <t>VALUE PER SHARE (NZ$)</t>
        </is>
      </c>
      <c r="B39" s="6">
        <f>B37/B38</f>
        <v/>
      </c>
    </row>
    <row r="40">
      <c r="A40" t="inlineStr">
        <is>
          <t>Upside vs price</t>
        </is>
      </c>
      <c r="B40">
        <f>B39/Assumptions!$B$10-1</f>
        <v/>
      </c>
    </row>
    <row r="42">
      <c r="A42" t="inlineStr">
        <is>
          <t>Street memo: PV explicit SBC</t>
        </is>
      </c>
      <c r="B42">
        <f>SUMPRODUCT(-C10:L10/(1+Assumptions!$B$3)^C4:L4)</f>
        <v/>
      </c>
    </row>
    <row r="43">
      <c r="A43" t="inlineStr">
        <is>
          <t>Street memo: PV terminal SBC</t>
        </is>
      </c>
      <c r="B43">
        <f>(-L10*(1+B28)/(Assumptions!$B$3-B28))*L21</f>
        <v/>
      </c>
    </row>
    <row r="44">
      <c r="A44" t="inlineStr">
        <is>
          <t>Street value per share</t>
        </is>
      </c>
      <c r="B44">
        <f>(B37+B42+B43)/B38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L4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3">
      <c r="A3" t="inlineStr">
        <is>
          <t>Year</t>
        </is>
      </c>
      <c r="B3" s="1" t="inlineStr">
        <is>
          <t>FY2026E (FY0)</t>
        </is>
      </c>
      <c r="C3" s="1" t="inlineStr">
        <is>
          <t>FY2027E</t>
        </is>
      </c>
      <c r="D3" s="1" t="inlineStr">
        <is>
          <t>FY2028E</t>
        </is>
      </c>
      <c r="E3" s="1" t="inlineStr">
        <is>
          <t>FY2029E</t>
        </is>
      </c>
      <c r="F3" s="1" t="inlineStr">
        <is>
          <t>FY2030E</t>
        </is>
      </c>
      <c r="G3" s="1" t="inlineStr">
        <is>
          <t>FY2031E</t>
        </is>
      </c>
      <c r="H3" s="1" t="inlineStr">
        <is>
          <t>FY2032E</t>
        </is>
      </c>
      <c r="I3" s="1" t="inlineStr">
        <is>
          <t>FY2033E</t>
        </is>
      </c>
      <c r="J3" s="1" t="inlineStr">
        <is>
          <t>FY2034E</t>
        </is>
      </c>
      <c r="K3" s="1" t="inlineStr">
        <is>
          <t>FY2035E</t>
        </is>
      </c>
      <c r="L3" s="1" t="inlineStr">
        <is>
          <t>FY2036E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4" t="n">
        <v>0.15</v>
      </c>
      <c r="D5" s="4" t="n">
        <v>0.12</v>
      </c>
      <c r="E5" s="4" t="n">
        <v>0.08</v>
      </c>
      <c r="F5" s="4" t="n">
        <v>0.06</v>
      </c>
      <c r="G5" s="4" t="n">
        <v>0.05</v>
      </c>
      <c r="H5" s="4" t="n">
        <v>0.04</v>
      </c>
      <c r="I5" s="4" t="n">
        <v>0.03</v>
      </c>
      <c r="J5" s="4" t="n">
        <v>0.025</v>
      </c>
      <c r="K5" s="4" t="n">
        <v>0.025</v>
      </c>
      <c r="L5" s="4" t="n">
        <v>0.02</v>
      </c>
    </row>
    <row r="6">
      <c r="A6" t="inlineStr">
        <is>
          <t>Revenue</t>
        </is>
      </c>
      <c r="B6" s="3" t="n">
        <v>191</v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t="inlineStr">
        <is>
          <t>Adj EBITDA margin (post-lease)</t>
        </is>
      </c>
      <c r="B7" s="3" t="n">
        <v>0.1575</v>
      </c>
      <c r="C7" s="4" t="n">
        <v>0.15</v>
      </c>
      <c r="D7" s="4" t="n">
        <v>0.155</v>
      </c>
      <c r="E7" s="4" t="n">
        <v>0.16</v>
      </c>
      <c r="F7" s="4" t="n">
        <v>0.165</v>
      </c>
      <c r="G7" s="4" t="n">
        <v>0.17</v>
      </c>
      <c r="H7" s="4" t="n">
        <v>0.17</v>
      </c>
      <c r="I7" s="4" t="n">
        <v>0.17</v>
      </c>
      <c r="J7" s="4" t="n">
        <v>0.17</v>
      </c>
      <c r="K7" s="4" t="n">
        <v>0.17</v>
      </c>
      <c r="L7" s="4" t="n">
        <v>0.17</v>
      </c>
    </row>
    <row r="8">
      <c r="A8" t="inlineStr">
        <is>
          <t>Adjusted EBITDA</t>
        </is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t="inlineStr">
        <is>
          <t>SBC % of revenue</t>
        </is>
      </c>
      <c r="C9" s="4" t="n">
        <v>0.0007</v>
      </c>
      <c r="D9" s="4" t="n">
        <v>0.0007</v>
      </c>
      <c r="E9" s="4" t="n">
        <v>0.0007</v>
      </c>
      <c r="F9" s="4" t="n">
        <v>0.0007</v>
      </c>
      <c r="G9" s="4" t="n">
        <v>0.0007</v>
      </c>
      <c r="H9" s="4" t="n">
        <v>0.0007</v>
      </c>
      <c r="I9" s="4" t="n">
        <v>0.0007</v>
      </c>
      <c r="J9" s="4" t="n">
        <v>0.0007</v>
      </c>
      <c r="K9" s="4" t="n">
        <v>0.0007</v>
      </c>
      <c r="L9" s="4" t="n">
        <v>0.0007</v>
      </c>
    </row>
    <row r="10">
      <c r="A10" t="inlineStr">
        <is>
          <t>SBC $</t>
        </is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t="inlineStr">
        <is>
          <t>Owner EBITDA</t>
        </is>
      </c>
      <c r="C11">
        <f>C8+C10</f>
        <v/>
      </c>
      <c r="D11">
        <f>D8+D10</f>
        <v/>
      </c>
      <c r="E11">
        <f>E8+E10</f>
        <v/>
      </c>
      <c r="F11">
        <f>F8+F10</f>
        <v/>
      </c>
      <c r="G11">
        <f>G8+G10</f>
        <v/>
      </c>
      <c r="H11">
        <f>H8+H10</f>
        <v/>
      </c>
      <c r="I11">
        <f>I8+I10</f>
        <v/>
      </c>
      <c r="J11">
        <f>J8+J10</f>
        <v/>
      </c>
      <c r="K11">
        <f>K8+K10</f>
        <v/>
      </c>
      <c r="L11">
        <f>L8+L10</f>
        <v/>
      </c>
    </row>
    <row r="12">
      <c r="A12" t="inlineStr">
        <is>
          <t>D&amp;A</t>
        </is>
      </c>
      <c r="C12" s="5">
        <f>-C6*Assumptions!$B$6</f>
        <v/>
      </c>
      <c r="D12" s="5">
        <f>-D6*Assumptions!$B$6</f>
        <v/>
      </c>
      <c r="E12" s="5">
        <f>-E6*Assumptions!$B$6</f>
        <v/>
      </c>
      <c r="F12" s="5">
        <f>-F6*Assumptions!$B$6</f>
        <v/>
      </c>
      <c r="G12" s="5">
        <f>-G6*Assumptions!$B$6</f>
        <v/>
      </c>
      <c r="H12" s="5">
        <f>-H6*Assumptions!$B$6</f>
        <v/>
      </c>
      <c r="I12" s="5">
        <f>-I6*Assumptions!$B$6</f>
        <v/>
      </c>
      <c r="J12" s="5">
        <f>-J6*Assumptions!$B$6</f>
        <v/>
      </c>
      <c r="K12" s="5">
        <f>-K6*Assumptions!$B$6</f>
        <v/>
      </c>
      <c r="L12" s="5">
        <f>-L6*Assumptions!$B$6</f>
        <v/>
      </c>
    </row>
    <row r="13">
      <c r="A13" t="inlineStr">
        <is>
          <t>EBIT (SBC expensed)</t>
        </is>
      </c>
      <c r="C13">
        <f>C11+C12</f>
        <v/>
      </c>
      <c r="D13">
        <f>D11+D12</f>
        <v/>
      </c>
      <c r="E13">
        <f>E11+E12</f>
        <v/>
      </c>
      <c r="F13">
        <f>F11+F12</f>
        <v/>
      </c>
      <c r="G13">
        <f>G11+G12</f>
        <v/>
      </c>
      <c r="H13">
        <f>H11+H12</f>
        <v/>
      </c>
      <c r="I13">
        <f>I11+I12</f>
        <v/>
      </c>
      <c r="J13">
        <f>J11+J12</f>
        <v/>
      </c>
      <c r="K13">
        <f>K11+K12</f>
        <v/>
      </c>
      <c r="L13">
        <f>L11+L12</f>
        <v/>
      </c>
    </row>
    <row r="14">
      <c r="A14" t="inlineStr">
        <is>
          <t>Cash tax rate</t>
        </is>
      </c>
      <c r="C14" s="4" t="n">
        <v>0.18</v>
      </c>
      <c r="D14" s="4" t="n">
        <v>0.24</v>
      </c>
      <c r="E14" s="4" t="n">
        <v>0.28</v>
      </c>
      <c r="F14" s="4" t="n">
        <v>0.28</v>
      </c>
      <c r="G14" s="4" t="n">
        <v>0.28</v>
      </c>
      <c r="H14" s="4" t="n">
        <v>0.28</v>
      </c>
      <c r="I14" s="4" t="n">
        <v>0.28</v>
      </c>
      <c r="J14" s="4" t="n">
        <v>0.28</v>
      </c>
      <c r="K14" s="4" t="n">
        <v>0.28</v>
      </c>
      <c r="L14" s="4" t="n">
        <v>0.28</v>
      </c>
    </row>
    <row r="15">
      <c r="A15" t="inlineStr">
        <is>
          <t>NOPAT</t>
        </is>
      </c>
      <c r="C15">
        <f>C13*(1-C14)</f>
        <v/>
      </c>
      <c r="D15">
        <f>D13*(1-D14)</f>
        <v/>
      </c>
      <c r="E15">
        <f>E13*(1-E14)</f>
        <v/>
      </c>
      <c r="F15">
        <f>F13*(1-F14)</f>
        <v/>
      </c>
      <c r="G15">
        <f>G13*(1-G14)</f>
        <v/>
      </c>
      <c r="H15">
        <f>H13*(1-H14)</f>
        <v/>
      </c>
      <c r="I15">
        <f>I13*(1-I14)</f>
        <v/>
      </c>
      <c r="J15">
        <f>J13*(1-J14)</f>
        <v/>
      </c>
      <c r="K15">
        <f>K13*(1-K14)</f>
        <v/>
      </c>
      <c r="L15">
        <f>L13*(1-L14)</f>
        <v/>
      </c>
    </row>
    <row r="16">
      <c r="A16" t="inlineStr">
        <is>
          <t>add back D&amp;A</t>
        </is>
      </c>
      <c r="C16">
        <f>-C12</f>
        <v/>
      </c>
      <c r="D16">
        <f>-D12</f>
        <v/>
      </c>
      <c r="E16">
        <f>-E12</f>
        <v/>
      </c>
      <c r="F16">
        <f>-F12</f>
        <v/>
      </c>
      <c r="G16">
        <f>-G12</f>
        <v/>
      </c>
      <c r="H16">
        <f>-H12</f>
        <v/>
      </c>
      <c r="I16">
        <f>-I12</f>
        <v/>
      </c>
      <c r="J16">
        <f>-J12</f>
        <v/>
      </c>
      <c r="K16">
        <f>-K12</f>
        <v/>
      </c>
      <c r="L16">
        <f>-L12</f>
        <v/>
      </c>
    </row>
    <row r="17">
      <c r="A17" t="inlineStr">
        <is>
          <t>Capex % of revenue</t>
        </is>
      </c>
      <c r="C17" s="4" t="n">
        <v>0.095</v>
      </c>
      <c r="D17" s="4" t="n">
        <v>0.09</v>
      </c>
      <c r="E17" s="4" t="n">
        <v>0.08</v>
      </c>
      <c r="F17" s="4" t="n">
        <v>0.07000000000000001</v>
      </c>
      <c r="G17" s="4" t="n">
        <v>0.065</v>
      </c>
      <c r="H17" s="4" t="n">
        <v>0.06</v>
      </c>
      <c r="I17" s="4" t="n">
        <v>0.055</v>
      </c>
      <c r="J17" s="4" t="n">
        <v>0.055</v>
      </c>
      <c r="K17" s="4" t="n">
        <v>0.05</v>
      </c>
      <c r="L17" s="4" t="n">
        <v>0.05</v>
      </c>
    </row>
    <row r="18">
      <c r="A18" t="inlineStr">
        <is>
          <t>Capex $</t>
        </is>
      </c>
      <c r="C18">
        <f>-C6*C17</f>
        <v/>
      </c>
      <c r="D18">
        <f>-D6*D17</f>
        <v/>
      </c>
      <c r="E18">
        <f>-E6*E17</f>
        <v/>
      </c>
      <c r="F18">
        <f>-F6*F17</f>
        <v/>
      </c>
      <c r="G18">
        <f>-G6*G17</f>
        <v/>
      </c>
      <c r="H18">
        <f>-H6*H17</f>
        <v/>
      </c>
      <c r="I18">
        <f>-I6*I17</f>
        <v/>
      </c>
      <c r="J18">
        <f>-J6*J17</f>
        <v/>
      </c>
      <c r="K18">
        <f>-K6*K17</f>
        <v/>
      </c>
      <c r="L18">
        <f>-L6*L17</f>
        <v/>
      </c>
    </row>
    <row r="19">
      <c r="A19" t="inlineStr">
        <is>
          <t>Working capital (on d rev)</t>
        </is>
      </c>
      <c r="C19" s="5">
        <f>Assumptions!$B$7*(C6-B6)</f>
        <v/>
      </c>
      <c r="D19" s="5">
        <f>Assumptions!$B$7*(D6-C6)</f>
        <v/>
      </c>
      <c r="E19" s="5">
        <f>Assumptions!$B$7*(E6-D6)</f>
        <v/>
      </c>
      <c r="F19" s="5">
        <f>Assumptions!$B$7*(F6-E6)</f>
        <v/>
      </c>
      <c r="G19" s="5">
        <f>Assumptions!$B$7*(G6-F6)</f>
        <v/>
      </c>
      <c r="H19" s="5">
        <f>Assumptions!$B$7*(H6-G6)</f>
        <v/>
      </c>
      <c r="I19" s="5">
        <f>Assumptions!$B$7*(I6-H6)</f>
        <v/>
      </c>
      <c r="J19" s="5">
        <f>Assumptions!$B$7*(J6-I6)</f>
        <v/>
      </c>
      <c r="K19" s="5">
        <f>Assumptions!$B$7*(K6-J6)</f>
        <v/>
      </c>
      <c r="L19" s="5">
        <f>Assumptions!$B$7*(L6-K6)</f>
        <v/>
      </c>
    </row>
    <row r="20">
      <c r="A20" t="inlineStr">
        <is>
          <t>Unlevered owner FCF</t>
        </is>
      </c>
      <c r="C20">
        <f>C15+C16+C18+C19</f>
        <v/>
      </c>
      <c r="D20">
        <f>D15+D16+D18+D19</f>
        <v/>
      </c>
      <c r="E20">
        <f>E15+E16+E18+E19</f>
        <v/>
      </c>
      <c r="F20">
        <f>F15+F16+F18+F19</f>
        <v/>
      </c>
      <c r="G20">
        <f>G15+G16+G18+G19</f>
        <v/>
      </c>
      <c r="H20">
        <f>H15+H16+H18+H19</f>
        <v/>
      </c>
      <c r="I20">
        <f>I15+I16+I18+I19</f>
        <v/>
      </c>
      <c r="J20">
        <f>J15+J16+J18+J19</f>
        <v/>
      </c>
      <c r="K20">
        <f>K15+K16+K18+K19</f>
        <v/>
      </c>
      <c r="L20">
        <f>L15+L16+L18+L19</f>
        <v/>
      </c>
    </row>
    <row r="21">
      <c r="A21" t="inlineStr">
        <is>
          <t>Discount factor</t>
        </is>
      </c>
      <c r="C21" s="5">
        <f>1/(1+Assumptions!$B$3)^C4</f>
        <v/>
      </c>
      <c r="D21" s="5">
        <f>1/(1+Assumptions!$B$3)^D4</f>
        <v/>
      </c>
      <c r="E21" s="5">
        <f>1/(1+Assumptions!$B$3)^E4</f>
        <v/>
      </c>
      <c r="F21" s="5">
        <f>1/(1+Assumptions!$B$3)^F4</f>
        <v/>
      </c>
      <c r="G21" s="5">
        <f>1/(1+Assumptions!$B$3)^G4</f>
        <v/>
      </c>
      <c r="H21" s="5">
        <f>1/(1+Assumptions!$B$3)^H4</f>
        <v/>
      </c>
      <c r="I21" s="5">
        <f>1/(1+Assumptions!$B$3)^I4</f>
        <v/>
      </c>
      <c r="J21" s="5">
        <f>1/(1+Assumptions!$B$3)^J4</f>
        <v/>
      </c>
      <c r="K21" s="5">
        <f>1/(1+Assumptions!$B$3)^K4</f>
        <v/>
      </c>
      <c r="L21" s="5">
        <f>1/(1+Assumptions!$B$3)^L4</f>
        <v/>
      </c>
    </row>
    <row r="22">
      <c r="A22" t="inlineStr">
        <is>
          <t>PV of FCF</t>
        </is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  <c r="L22">
        <f>L20*L21</f>
        <v/>
      </c>
    </row>
    <row r="24">
      <c r="A24" t="inlineStr">
        <is>
          <t>Memo: FCF before SBC</t>
        </is>
      </c>
      <c r="C24">
        <f>C20-C10</f>
        <v/>
      </c>
      <c r="D24">
        <f>D20-D10</f>
        <v/>
      </c>
      <c r="E24">
        <f>E20-E10</f>
        <v/>
      </c>
      <c r="F24">
        <f>F20-F10</f>
        <v/>
      </c>
      <c r="G24">
        <f>G20-G10</f>
        <v/>
      </c>
      <c r="H24">
        <f>H20-H10</f>
        <v/>
      </c>
      <c r="I24">
        <f>I20-I10</f>
        <v/>
      </c>
      <c r="J24">
        <f>J20-J10</f>
        <v/>
      </c>
      <c r="K24">
        <f>K20-K10</f>
        <v/>
      </c>
      <c r="L24">
        <f>L20-L10</f>
        <v/>
      </c>
    </row>
    <row r="25">
      <c r="A25" t="inlineStr">
        <is>
          <t>Memo: owner FCF margin</t>
        </is>
      </c>
      <c r="C25">
        <f>C20/C6</f>
        <v/>
      </c>
      <c r="D25">
        <f>D20/D6</f>
        <v/>
      </c>
      <c r="E25">
        <f>E20/E6</f>
        <v/>
      </c>
      <c r="F25">
        <f>F20/F6</f>
        <v/>
      </c>
      <c r="G25">
        <f>G20/G6</f>
        <v/>
      </c>
      <c r="H25">
        <f>H20/H6</f>
        <v/>
      </c>
      <c r="I25">
        <f>I20/I6</f>
        <v/>
      </c>
      <c r="J25">
        <f>J20/J6</f>
        <v/>
      </c>
      <c r="K25">
        <f>K20/K6</f>
        <v/>
      </c>
      <c r="L25">
        <f>L20/L6</f>
        <v/>
      </c>
    </row>
    <row r="27">
      <c r="A27" t="inlineStr">
        <is>
          <t>Sum of PV (explicit)</t>
        </is>
      </c>
      <c r="B27">
        <f>SUM(C22:L22)</f>
        <v/>
      </c>
    </row>
    <row r="28">
      <c r="A28" t="inlineStr">
        <is>
          <t>Terminal growth</t>
        </is>
      </c>
      <c r="B28" s="5">
        <f>Assumptions!$B$4</f>
        <v/>
      </c>
    </row>
    <row r="29">
      <c r="A29" t="inlineStr">
        <is>
          <t>Terminal FCF</t>
        </is>
      </c>
      <c r="B29">
        <f>L20*(1+B28)</f>
        <v/>
      </c>
    </row>
    <row r="30">
      <c r="A30" t="inlineStr">
        <is>
          <t>Gordon TV</t>
        </is>
      </c>
      <c r="B30">
        <f>B29/(Assumptions!$B$3-B28)</f>
        <v/>
      </c>
    </row>
    <row r="31">
      <c r="A31" t="inlineStr">
        <is>
          <t>Cap TV (12x)</t>
        </is>
      </c>
      <c r="B31">
        <f>Assumptions!$B$5*L20</f>
        <v/>
      </c>
    </row>
    <row r="32">
      <c r="A32" t="inlineStr">
        <is>
          <t>TV used = MAX(0,MIN(Gordon,Cap))</t>
        </is>
      </c>
      <c r="B32">
        <f>MAX(0,MIN(B30,B31))</f>
        <v/>
      </c>
    </row>
    <row r="33">
      <c r="A33" t="inlineStr">
        <is>
          <t>Implied exit multiple</t>
        </is>
      </c>
      <c r="B33">
        <f>IF(L20&gt;0,B32/L20,"n/a")</f>
        <v/>
      </c>
    </row>
    <row r="34">
      <c r="A34" t="inlineStr">
        <is>
          <t>PV of TV</t>
        </is>
      </c>
      <c r="B34">
        <f>B32*L21</f>
        <v/>
      </c>
    </row>
    <row r="35">
      <c r="A35" t="inlineStr">
        <is>
          <t>Enterprise value</t>
        </is>
      </c>
      <c r="B35">
        <f>B27+B34</f>
        <v/>
      </c>
    </row>
    <row r="36">
      <c r="A36" t="inlineStr">
        <is>
          <t>add net cash</t>
        </is>
      </c>
      <c r="B36" s="5">
        <f>-Assumptions!$B$8</f>
        <v/>
      </c>
    </row>
    <row r="37">
      <c r="A37" t="inlineStr">
        <is>
          <t>Equity value</t>
        </is>
      </c>
      <c r="B37">
        <f>B35+B36</f>
        <v/>
      </c>
    </row>
    <row r="38">
      <c r="A38" t="inlineStr">
        <is>
          <t>Diluted shares (m)</t>
        </is>
      </c>
      <c r="B38" s="5">
        <f>Assumptions!$B$9</f>
        <v/>
      </c>
    </row>
    <row r="39">
      <c r="A39" s="1" t="inlineStr">
        <is>
          <t>VALUE PER SHARE (NZ$)</t>
        </is>
      </c>
      <c r="B39" s="6">
        <f>B37/B38</f>
        <v/>
      </c>
    </row>
    <row r="40">
      <c r="A40" t="inlineStr">
        <is>
          <t>Upside vs price</t>
        </is>
      </c>
      <c r="B40">
        <f>B39/Assumptions!$B$10-1</f>
        <v/>
      </c>
    </row>
    <row r="42">
      <c r="A42" t="inlineStr">
        <is>
          <t>Street memo: PV explicit SBC</t>
        </is>
      </c>
      <c r="B42">
        <f>SUMPRODUCT(-C10:L10/(1+Assumptions!$B$3)^C4:L4)</f>
        <v/>
      </c>
    </row>
    <row r="43">
      <c r="A43" t="inlineStr">
        <is>
          <t>Street memo: PV terminal SBC</t>
        </is>
      </c>
      <c r="B43">
        <f>(-L10*(1+B28)/(Assumptions!$B$3-B28))*L21</f>
        <v/>
      </c>
    </row>
    <row r="44">
      <c r="A44" t="inlineStr">
        <is>
          <t>Street value per share</t>
        </is>
      </c>
      <c r="B44">
        <f>(B37+B42+B43)/B38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L4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3">
      <c r="A3" t="inlineStr">
        <is>
          <t>Year</t>
        </is>
      </c>
      <c r="B3" s="1" t="inlineStr">
        <is>
          <t>FY2026E (FY0)</t>
        </is>
      </c>
      <c r="C3" s="1" t="inlineStr">
        <is>
          <t>FY2027E</t>
        </is>
      </c>
      <c r="D3" s="1" t="inlineStr">
        <is>
          <t>FY2028E</t>
        </is>
      </c>
      <c r="E3" s="1" t="inlineStr">
        <is>
          <t>FY2029E</t>
        </is>
      </c>
      <c r="F3" s="1" t="inlineStr">
        <is>
          <t>FY2030E</t>
        </is>
      </c>
      <c r="G3" s="1" t="inlineStr">
        <is>
          <t>FY2031E</t>
        </is>
      </c>
      <c r="H3" s="1" t="inlineStr">
        <is>
          <t>FY2032E</t>
        </is>
      </c>
      <c r="I3" s="1" t="inlineStr">
        <is>
          <t>FY2033E</t>
        </is>
      </c>
      <c r="J3" s="1" t="inlineStr">
        <is>
          <t>FY2034E</t>
        </is>
      </c>
      <c r="K3" s="1" t="inlineStr">
        <is>
          <t>FY2035E</t>
        </is>
      </c>
      <c r="L3" s="1" t="inlineStr">
        <is>
          <t>FY2036E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4" t="n">
        <v>0.17</v>
      </c>
      <c r="D5" s="4" t="n">
        <v>0.16</v>
      </c>
      <c r="E5" s="4" t="n">
        <v>0.14</v>
      </c>
      <c r="F5" s="4" t="n">
        <v>0.13</v>
      </c>
      <c r="G5" s="4" t="n">
        <v>0.12</v>
      </c>
      <c r="H5" s="4" t="n">
        <v>0.1</v>
      </c>
      <c r="I5" s="4" t="n">
        <v>0.08</v>
      </c>
      <c r="J5" s="4" t="n">
        <v>0.06</v>
      </c>
      <c r="K5" s="4" t="n">
        <v>0.05</v>
      </c>
      <c r="L5" s="4" t="n">
        <v>0.04</v>
      </c>
    </row>
    <row r="6">
      <c r="A6" t="inlineStr">
        <is>
          <t>Revenue</t>
        </is>
      </c>
      <c r="B6" s="3" t="n">
        <v>191</v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t="inlineStr">
        <is>
          <t>Adj EBITDA margin (post-lease)</t>
        </is>
      </c>
      <c r="B7" s="3" t="n">
        <v>0.1575</v>
      </c>
      <c r="C7" s="4" t="n">
        <v>0.155</v>
      </c>
      <c r="D7" s="4" t="n">
        <v>0.165</v>
      </c>
      <c r="E7" s="4" t="n">
        <v>0.175</v>
      </c>
      <c r="F7" s="4" t="n">
        <v>0.18</v>
      </c>
      <c r="G7" s="4" t="n">
        <v>0.185</v>
      </c>
      <c r="H7" s="4" t="n">
        <v>0.19</v>
      </c>
      <c r="I7" s="4" t="n">
        <v>0.19</v>
      </c>
      <c r="J7" s="4" t="n">
        <v>0.19</v>
      </c>
      <c r="K7" s="4" t="n">
        <v>0.19</v>
      </c>
      <c r="L7" s="4" t="n">
        <v>0.19</v>
      </c>
    </row>
    <row r="8">
      <c r="A8" t="inlineStr">
        <is>
          <t>Adjusted EBITDA</t>
        </is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t="inlineStr">
        <is>
          <t>SBC % of revenue</t>
        </is>
      </c>
      <c r="C9" s="4" t="n">
        <v>0.0007</v>
      </c>
      <c r="D9" s="4" t="n">
        <v>0.0007</v>
      </c>
      <c r="E9" s="4" t="n">
        <v>0.0007</v>
      </c>
      <c r="F9" s="4" t="n">
        <v>0.0007</v>
      </c>
      <c r="G9" s="4" t="n">
        <v>0.0007</v>
      </c>
      <c r="H9" s="4" t="n">
        <v>0.0007</v>
      </c>
      <c r="I9" s="4" t="n">
        <v>0.0007</v>
      </c>
      <c r="J9" s="4" t="n">
        <v>0.0007</v>
      </c>
      <c r="K9" s="4" t="n">
        <v>0.0007</v>
      </c>
      <c r="L9" s="4" t="n">
        <v>0.0007</v>
      </c>
    </row>
    <row r="10">
      <c r="A10" t="inlineStr">
        <is>
          <t>SBC $</t>
        </is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t="inlineStr">
        <is>
          <t>Owner EBITDA</t>
        </is>
      </c>
      <c r="C11">
        <f>C8+C10</f>
        <v/>
      </c>
      <c r="D11">
        <f>D8+D10</f>
        <v/>
      </c>
      <c r="E11">
        <f>E8+E10</f>
        <v/>
      </c>
      <c r="F11">
        <f>F8+F10</f>
        <v/>
      </c>
      <c r="G11">
        <f>G8+G10</f>
        <v/>
      </c>
      <c r="H11">
        <f>H8+H10</f>
        <v/>
      </c>
      <c r="I11">
        <f>I8+I10</f>
        <v/>
      </c>
      <c r="J11">
        <f>J8+J10</f>
        <v/>
      </c>
      <c r="K11">
        <f>K8+K10</f>
        <v/>
      </c>
      <c r="L11">
        <f>L8+L10</f>
        <v/>
      </c>
    </row>
    <row r="12">
      <c r="A12" t="inlineStr">
        <is>
          <t>D&amp;A</t>
        </is>
      </c>
      <c r="C12" s="5">
        <f>-C6*Assumptions!$B$6</f>
        <v/>
      </c>
      <c r="D12" s="5">
        <f>-D6*Assumptions!$B$6</f>
        <v/>
      </c>
      <c r="E12" s="5">
        <f>-E6*Assumptions!$B$6</f>
        <v/>
      </c>
      <c r="F12" s="5">
        <f>-F6*Assumptions!$B$6</f>
        <v/>
      </c>
      <c r="G12" s="5">
        <f>-G6*Assumptions!$B$6</f>
        <v/>
      </c>
      <c r="H12" s="5">
        <f>-H6*Assumptions!$B$6</f>
        <v/>
      </c>
      <c r="I12" s="5">
        <f>-I6*Assumptions!$B$6</f>
        <v/>
      </c>
      <c r="J12" s="5">
        <f>-J6*Assumptions!$B$6</f>
        <v/>
      </c>
      <c r="K12" s="5">
        <f>-K6*Assumptions!$B$6</f>
        <v/>
      </c>
      <c r="L12" s="5">
        <f>-L6*Assumptions!$B$6</f>
        <v/>
      </c>
    </row>
    <row r="13">
      <c r="A13" t="inlineStr">
        <is>
          <t>EBIT (SBC expensed)</t>
        </is>
      </c>
      <c r="C13">
        <f>C11+C12</f>
        <v/>
      </c>
      <c r="D13">
        <f>D11+D12</f>
        <v/>
      </c>
      <c r="E13">
        <f>E11+E12</f>
        <v/>
      </c>
      <c r="F13">
        <f>F11+F12</f>
        <v/>
      </c>
      <c r="G13">
        <f>G11+G12</f>
        <v/>
      </c>
      <c r="H13">
        <f>H11+H12</f>
        <v/>
      </c>
      <c r="I13">
        <f>I11+I12</f>
        <v/>
      </c>
      <c r="J13">
        <f>J11+J12</f>
        <v/>
      </c>
      <c r="K13">
        <f>K11+K12</f>
        <v/>
      </c>
      <c r="L13">
        <f>L11+L12</f>
        <v/>
      </c>
    </row>
    <row r="14">
      <c r="A14" t="inlineStr">
        <is>
          <t>Cash tax rate</t>
        </is>
      </c>
      <c r="C14" s="4" t="n">
        <v>0.18</v>
      </c>
      <c r="D14" s="4" t="n">
        <v>0.24</v>
      </c>
      <c r="E14" s="4" t="n">
        <v>0.28</v>
      </c>
      <c r="F14" s="4" t="n">
        <v>0.28</v>
      </c>
      <c r="G14" s="4" t="n">
        <v>0.28</v>
      </c>
      <c r="H14" s="4" t="n">
        <v>0.28</v>
      </c>
      <c r="I14" s="4" t="n">
        <v>0.28</v>
      </c>
      <c r="J14" s="4" t="n">
        <v>0.28</v>
      </c>
      <c r="K14" s="4" t="n">
        <v>0.28</v>
      </c>
      <c r="L14" s="4" t="n">
        <v>0.28</v>
      </c>
    </row>
    <row r="15">
      <c r="A15" t="inlineStr">
        <is>
          <t>NOPAT</t>
        </is>
      </c>
      <c r="C15">
        <f>C13*(1-C14)</f>
        <v/>
      </c>
      <c r="D15">
        <f>D13*(1-D14)</f>
        <v/>
      </c>
      <c r="E15">
        <f>E13*(1-E14)</f>
        <v/>
      </c>
      <c r="F15">
        <f>F13*(1-F14)</f>
        <v/>
      </c>
      <c r="G15">
        <f>G13*(1-G14)</f>
        <v/>
      </c>
      <c r="H15">
        <f>H13*(1-H14)</f>
        <v/>
      </c>
      <c r="I15">
        <f>I13*(1-I14)</f>
        <v/>
      </c>
      <c r="J15">
        <f>J13*(1-J14)</f>
        <v/>
      </c>
      <c r="K15">
        <f>K13*(1-K14)</f>
        <v/>
      </c>
      <c r="L15">
        <f>L13*(1-L14)</f>
        <v/>
      </c>
    </row>
    <row r="16">
      <c r="A16" t="inlineStr">
        <is>
          <t>add back D&amp;A</t>
        </is>
      </c>
      <c r="C16">
        <f>-C12</f>
        <v/>
      </c>
      <c r="D16">
        <f>-D12</f>
        <v/>
      </c>
      <c r="E16">
        <f>-E12</f>
        <v/>
      </c>
      <c r="F16">
        <f>-F12</f>
        <v/>
      </c>
      <c r="G16">
        <f>-G12</f>
        <v/>
      </c>
      <c r="H16">
        <f>-H12</f>
        <v/>
      </c>
      <c r="I16">
        <f>-I12</f>
        <v/>
      </c>
      <c r="J16">
        <f>-J12</f>
        <v/>
      </c>
      <c r="K16">
        <f>-K12</f>
        <v/>
      </c>
      <c r="L16">
        <f>-L12</f>
        <v/>
      </c>
    </row>
    <row r="17">
      <c r="A17" t="inlineStr">
        <is>
          <t>Capex % of revenue</t>
        </is>
      </c>
      <c r="C17" s="4" t="n">
        <v>0.1</v>
      </c>
      <c r="D17" s="4" t="n">
        <v>0.1</v>
      </c>
      <c r="E17" s="4" t="n">
        <v>0.1</v>
      </c>
      <c r="F17" s="4" t="n">
        <v>0.09</v>
      </c>
      <c r="G17" s="4" t="n">
        <v>0.08</v>
      </c>
      <c r="H17" s="4" t="n">
        <v>0.07000000000000001</v>
      </c>
      <c r="I17" s="4" t="n">
        <v>0.06</v>
      </c>
      <c r="J17" s="4" t="n">
        <v>0.055</v>
      </c>
      <c r="K17" s="4" t="n">
        <v>0.05</v>
      </c>
      <c r="L17" s="4" t="n">
        <v>0.05</v>
      </c>
    </row>
    <row r="18">
      <c r="A18" t="inlineStr">
        <is>
          <t>Capex $</t>
        </is>
      </c>
      <c r="C18">
        <f>-C6*C17</f>
        <v/>
      </c>
      <c r="D18">
        <f>-D6*D17</f>
        <v/>
      </c>
      <c r="E18">
        <f>-E6*E17</f>
        <v/>
      </c>
      <c r="F18">
        <f>-F6*F17</f>
        <v/>
      </c>
      <c r="G18">
        <f>-G6*G17</f>
        <v/>
      </c>
      <c r="H18">
        <f>-H6*H17</f>
        <v/>
      </c>
      <c r="I18">
        <f>-I6*I17</f>
        <v/>
      </c>
      <c r="J18">
        <f>-J6*J17</f>
        <v/>
      </c>
      <c r="K18">
        <f>-K6*K17</f>
        <v/>
      </c>
      <c r="L18">
        <f>-L6*L17</f>
        <v/>
      </c>
    </row>
    <row r="19">
      <c r="A19" t="inlineStr">
        <is>
          <t>Working capital (on d rev)</t>
        </is>
      </c>
      <c r="C19" s="5">
        <f>Assumptions!$B$7*(C6-B6)</f>
        <v/>
      </c>
      <c r="D19" s="5">
        <f>Assumptions!$B$7*(D6-C6)</f>
        <v/>
      </c>
      <c r="E19" s="5">
        <f>Assumptions!$B$7*(E6-D6)</f>
        <v/>
      </c>
      <c r="F19" s="5">
        <f>Assumptions!$B$7*(F6-E6)</f>
        <v/>
      </c>
      <c r="G19" s="5">
        <f>Assumptions!$B$7*(G6-F6)</f>
        <v/>
      </c>
      <c r="H19" s="5">
        <f>Assumptions!$B$7*(H6-G6)</f>
        <v/>
      </c>
      <c r="I19" s="5">
        <f>Assumptions!$B$7*(I6-H6)</f>
        <v/>
      </c>
      <c r="J19" s="5">
        <f>Assumptions!$B$7*(J6-I6)</f>
        <v/>
      </c>
      <c r="K19" s="5">
        <f>Assumptions!$B$7*(K6-J6)</f>
        <v/>
      </c>
      <c r="L19" s="5">
        <f>Assumptions!$B$7*(L6-K6)</f>
        <v/>
      </c>
    </row>
    <row r="20">
      <c r="A20" t="inlineStr">
        <is>
          <t>Unlevered owner FCF</t>
        </is>
      </c>
      <c r="C20">
        <f>C15+C16+C18+C19</f>
        <v/>
      </c>
      <c r="D20">
        <f>D15+D16+D18+D19</f>
        <v/>
      </c>
      <c r="E20">
        <f>E15+E16+E18+E19</f>
        <v/>
      </c>
      <c r="F20">
        <f>F15+F16+F18+F19</f>
        <v/>
      </c>
      <c r="G20">
        <f>G15+G16+G18+G19</f>
        <v/>
      </c>
      <c r="H20">
        <f>H15+H16+H18+H19</f>
        <v/>
      </c>
      <c r="I20">
        <f>I15+I16+I18+I19</f>
        <v/>
      </c>
      <c r="J20">
        <f>J15+J16+J18+J19</f>
        <v/>
      </c>
      <c r="K20">
        <f>K15+K16+K18+K19</f>
        <v/>
      </c>
      <c r="L20">
        <f>L15+L16+L18+L19</f>
        <v/>
      </c>
    </row>
    <row r="21">
      <c r="A21" t="inlineStr">
        <is>
          <t>Discount factor</t>
        </is>
      </c>
      <c r="C21" s="5">
        <f>1/(1+Assumptions!$B$3)^C4</f>
        <v/>
      </c>
      <c r="D21" s="5">
        <f>1/(1+Assumptions!$B$3)^D4</f>
        <v/>
      </c>
      <c r="E21" s="5">
        <f>1/(1+Assumptions!$B$3)^E4</f>
        <v/>
      </c>
      <c r="F21" s="5">
        <f>1/(1+Assumptions!$B$3)^F4</f>
        <v/>
      </c>
      <c r="G21" s="5">
        <f>1/(1+Assumptions!$B$3)^G4</f>
        <v/>
      </c>
      <c r="H21" s="5">
        <f>1/(1+Assumptions!$B$3)^H4</f>
        <v/>
      </c>
      <c r="I21" s="5">
        <f>1/(1+Assumptions!$B$3)^I4</f>
        <v/>
      </c>
      <c r="J21" s="5">
        <f>1/(1+Assumptions!$B$3)^J4</f>
        <v/>
      </c>
      <c r="K21" s="5">
        <f>1/(1+Assumptions!$B$3)^K4</f>
        <v/>
      </c>
      <c r="L21" s="5">
        <f>1/(1+Assumptions!$B$3)^L4</f>
        <v/>
      </c>
    </row>
    <row r="22">
      <c r="A22" t="inlineStr">
        <is>
          <t>PV of FCF</t>
        </is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  <c r="L22">
        <f>L20*L21</f>
        <v/>
      </c>
    </row>
    <row r="24">
      <c r="A24" t="inlineStr">
        <is>
          <t>Memo: FCF before SBC</t>
        </is>
      </c>
      <c r="C24">
        <f>C20-C10</f>
        <v/>
      </c>
      <c r="D24">
        <f>D20-D10</f>
        <v/>
      </c>
      <c r="E24">
        <f>E20-E10</f>
        <v/>
      </c>
      <c r="F24">
        <f>F20-F10</f>
        <v/>
      </c>
      <c r="G24">
        <f>G20-G10</f>
        <v/>
      </c>
      <c r="H24">
        <f>H20-H10</f>
        <v/>
      </c>
      <c r="I24">
        <f>I20-I10</f>
        <v/>
      </c>
      <c r="J24">
        <f>J20-J10</f>
        <v/>
      </c>
      <c r="K24">
        <f>K20-K10</f>
        <v/>
      </c>
      <c r="L24">
        <f>L20-L10</f>
        <v/>
      </c>
    </row>
    <row r="25">
      <c r="A25" t="inlineStr">
        <is>
          <t>Memo: owner FCF margin</t>
        </is>
      </c>
      <c r="C25">
        <f>C20/C6</f>
        <v/>
      </c>
      <c r="D25">
        <f>D20/D6</f>
        <v/>
      </c>
      <c r="E25">
        <f>E20/E6</f>
        <v/>
      </c>
      <c r="F25">
        <f>F20/F6</f>
        <v/>
      </c>
      <c r="G25">
        <f>G20/G6</f>
        <v/>
      </c>
      <c r="H25">
        <f>H20/H6</f>
        <v/>
      </c>
      <c r="I25">
        <f>I20/I6</f>
        <v/>
      </c>
      <c r="J25">
        <f>J20/J6</f>
        <v/>
      </c>
      <c r="K25">
        <f>K20/K6</f>
        <v/>
      </c>
      <c r="L25">
        <f>L20/L6</f>
        <v/>
      </c>
    </row>
    <row r="27">
      <c r="A27" t="inlineStr">
        <is>
          <t>Sum of PV (explicit)</t>
        </is>
      </c>
      <c r="B27">
        <f>SUM(C22:L22)</f>
        <v/>
      </c>
    </row>
    <row r="28">
      <c r="A28" t="inlineStr">
        <is>
          <t>Terminal growth</t>
        </is>
      </c>
      <c r="B28" s="5">
        <f>Assumptions!$B$4</f>
        <v/>
      </c>
    </row>
    <row r="29">
      <c r="A29" t="inlineStr">
        <is>
          <t>Terminal FCF</t>
        </is>
      </c>
      <c r="B29">
        <f>L20*(1+B28)</f>
        <v/>
      </c>
    </row>
    <row r="30">
      <c r="A30" t="inlineStr">
        <is>
          <t>Gordon TV</t>
        </is>
      </c>
      <c r="B30">
        <f>B29/(Assumptions!$B$3-B28)</f>
        <v/>
      </c>
    </row>
    <row r="31">
      <c r="A31" t="inlineStr">
        <is>
          <t>Cap TV (12x)</t>
        </is>
      </c>
      <c r="B31">
        <f>Assumptions!$B$5*L20</f>
        <v/>
      </c>
    </row>
    <row r="32">
      <c r="A32" t="inlineStr">
        <is>
          <t>TV used = MAX(0,MIN(Gordon,Cap))</t>
        </is>
      </c>
      <c r="B32">
        <f>MAX(0,MIN(B30,B31))</f>
        <v/>
      </c>
    </row>
    <row r="33">
      <c r="A33" t="inlineStr">
        <is>
          <t>Implied exit multiple</t>
        </is>
      </c>
      <c r="B33">
        <f>IF(L20&gt;0,B32/L20,"n/a")</f>
        <v/>
      </c>
    </row>
    <row r="34">
      <c r="A34" t="inlineStr">
        <is>
          <t>PV of TV</t>
        </is>
      </c>
      <c r="B34">
        <f>B32*L21</f>
        <v/>
      </c>
    </row>
    <row r="35">
      <c r="A35" t="inlineStr">
        <is>
          <t>Enterprise value</t>
        </is>
      </c>
      <c r="B35">
        <f>B27+B34</f>
        <v/>
      </c>
    </row>
    <row r="36">
      <c r="A36" t="inlineStr">
        <is>
          <t>add net cash</t>
        </is>
      </c>
      <c r="B36" s="5">
        <f>-Assumptions!$B$8</f>
        <v/>
      </c>
    </row>
    <row r="37">
      <c r="A37" t="inlineStr">
        <is>
          <t>Equity value</t>
        </is>
      </c>
      <c r="B37">
        <f>B35+B36</f>
        <v/>
      </c>
    </row>
    <row r="38">
      <c r="A38" t="inlineStr">
        <is>
          <t>Diluted shares (m)</t>
        </is>
      </c>
      <c r="B38" s="5">
        <f>Assumptions!$B$9</f>
        <v/>
      </c>
    </row>
    <row r="39">
      <c r="A39" s="1" t="inlineStr">
        <is>
          <t>VALUE PER SHARE (NZ$)</t>
        </is>
      </c>
      <c r="B39" s="6">
        <f>B37/B38</f>
        <v/>
      </c>
    </row>
    <row r="40">
      <c r="A40" t="inlineStr">
        <is>
          <t>Upside vs price</t>
        </is>
      </c>
      <c r="B40">
        <f>B39/Assumptions!$B$10-1</f>
        <v/>
      </c>
    </row>
    <row r="42">
      <c r="A42" t="inlineStr">
        <is>
          <t>Street memo: PV explicit SBC</t>
        </is>
      </c>
      <c r="B42">
        <f>SUMPRODUCT(-C10:L10/(1+Assumptions!$B$3)^C4:L4)</f>
        <v/>
      </c>
    </row>
    <row r="43">
      <c r="A43" t="inlineStr">
        <is>
          <t>Street memo: PV terminal SBC</t>
        </is>
      </c>
      <c r="B43">
        <f>(-L10*(1+B28)/(Assumptions!$B$3-B28))*L21</f>
        <v/>
      </c>
    </row>
    <row r="44">
      <c r="A44" t="inlineStr">
        <is>
          <t>Street value per share</t>
        </is>
      </c>
      <c r="B44">
        <f>(B37+B42+B43)/B38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Reported FCF reconciled to owner FCF (NZ$m). Treatment B: lease principal also deducted. Stubs/halves marked — never annualized.</t>
        </is>
      </c>
    </row>
    <row r="3">
      <c r="A3" s="1" t="inlineStr">
        <is>
          <t>Period</t>
        </is>
      </c>
      <c r="B3" s="1" t="inlineStr">
        <is>
          <t>FY2023 (12mo Jan)</t>
        </is>
      </c>
      <c r="C3" s="1" t="inlineStr">
        <is>
          <t>FY2024 (12mo Jan)</t>
        </is>
      </c>
      <c r="D3" s="1" t="inlineStr">
        <is>
          <t>FY2025-Jan (12mo)</t>
        </is>
      </c>
      <c r="E3" s="1" t="inlineStr">
        <is>
          <t>FY2025-8mo STUB</t>
        </is>
      </c>
      <c r="F3" s="1" t="inlineStr">
        <is>
          <t>H1 FY2026-Mar (6mo)</t>
        </is>
      </c>
      <c r="G3" s="1" t="inlineStr">
        <is>
          <t>FY2026E (12mo Sep)</t>
        </is>
      </c>
    </row>
    <row r="4">
      <c r="A4" s="2" t="inlineStr">
        <is>
          <t>Revenue</t>
        </is>
      </c>
      <c r="B4" s="3" t="n">
        <v>167.131</v>
      </c>
      <c r="C4" s="3" t="n">
        <v>187.106</v>
      </c>
      <c r="D4" s="3" t="n">
        <v>210.993</v>
      </c>
      <c r="E4" s="3" t="n">
        <v>117.719</v>
      </c>
      <c r="F4" s="3" t="n">
        <v>100.253</v>
      </c>
      <c r="G4" s="3" t="n">
        <v>191</v>
      </c>
    </row>
    <row r="5">
      <c r="A5" s="2" t="inlineStr">
        <is>
          <t>Free cash flow (company definition)</t>
        </is>
      </c>
      <c r="B5" s="3" t="n">
        <v>5.918</v>
      </c>
      <c r="C5" s="3" t="n">
        <v>7.164</v>
      </c>
      <c r="D5" s="3" t="n">
        <v>27.715</v>
      </c>
      <c r="E5" s="3" t="n">
        <v>-2.234</v>
      </c>
      <c r="F5" s="3" t="n">
        <v>-4.998</v>
      </c>
      <c r="G5" s="3" t="n">
        <v>5.4</v>
      </c>
    </row>
    <row r="6">
      <c r="A6" s="2" t="inlineStr">
        <is>
          <t>less: SBC</t>
        </is>
      </c>
      <c r="B6" s="3" t="n">
        <v>0</v>
      </c>
      <c r="C6" s="3" t="n">
        <v>0.026</v>
      </c>
      <c r="D6" s="3" t="n">
        <v>0.14</v>
      </c>
      <c r="E6" s="3" t="n">
        <v>0.06900000000000001</v>
      </c>
      <c r="F6" s="3" t="n">
        <v>0.06900000000000001</v>
      </c>
      <c r="G6" s="3" t="n">
        <v>0.14</v>
      </c>
    </row>
    <row r="7">
      <c r="A7" s="2" t="inlineStr">
        <is>
          <t>less: interest income</t>
        </is>
      </c>
      <c r="B7" s="3" t="n">
        <v>0.337</v>
      </c>
      <c r="C7" s="3" t="n">
        <v>1.051</v>
      </c>
      <c r="D7" s="3" t="n">
        <v>1.466</v>
      </c>
      <c r="E7" s="3" t="n">
        <v>1.042</v>
      </c>
      <c r="F7" s="3" t="n">
        <v>0.432</v>
      </c>
      <c r="G7" s="3" t="n">
        <v>0.87</v>
      </c>
    </row>
    <row r="8">
      <c r="A8" s="2" t="inlineStr">
        <is>
          <t>less: lease principal (IFRS 16)</t>
        </is>
      </c>
      <c r="B8" s="3" t="n">
        <v>1.573</v>
      </c>
      <c r="C8" s="3" t="n">
        <v>1.264</v>
      </c>
      <c r="D8" s="3" t="n">
        <v>1.58</v>
      </c>
      <c r="E8" s="3" t="n">
        <v>1.268</v>
      </c>
      <c r="F8" s="3" t="n">
        <v>0.919</v>
      </c>
      <c r="G8" s="3" t="n">
        <v>1.9</v>
      </c>
    </row>
    <row r="9">
      <c r="A9" s="1" t="inlineStr">
        <is>
          <t>Owner FCF (FCF less SBC, interest, lease principal)</t>
        </is>
      </c>
      <c r="B9">
        <f>B5-B6-B7-B8</f>
        <v/>
      </c>
      <c r="C9">
        <f>C5-C6-C7-C8</f>
        <v/>
      </c>
      <c r="D9">
        <f>D5-D6-D7-D8</f>
        <v/>
      </c>
      <c r="E9">
        <f>E5-E6-E7-E8</f>
        <v/>
      </c>
      <c r="F9">
        <f>F5-F6-F7-F8</f>
        <v/>
      </c>
      <c r="G9">
        <f>G5-G6-G7-G8</f>
        <v/>
      </c>
    </row>
    <row r="10">
      <c r="A10" s="2" t="inlineStr">
        <is>
          <t>Reported FCF margin</t>
        </is>
      </c>
      <c r="B10">
        <f>B5/B4</f>
        <v/>
      </c>
      <c r="C10">
        <f>C5/C4</f>
        <v/>
      </c>
      <c r="D10">
        <f>D5/D4</f>
        <v/>
      </c>
      <c r="E10">
        <f>E5/E4</f>
        <v/>
      </c>
      <c r="F10">
        <f>F5/F4</f>
        <v/>
      </c>
      <c r="G10">
        <f>G5/G4</f>
        <v/>
      </c>
    </row>
    <row r="11">
      <c r="A11" s="2" t="inlineStr">
        <is>
          <t>Owner FCF margin</t>
        </is>
      </c>
      <c r="B11">
        <f>B9/B4</f>
        <v/>
      </c>
      <c r="C11">
        <f>C9/C4</f>
        <v/>
      </c>
      <c r="D11">
        <f>D9/D4</f>
        <v/>
      </c>
      <c r="E11">
        <f>E9/E4</f>
        <v/>
      </c>
      <c r="F11">
        <f>F9/F4</f>
        <v/>
      </c>
      <c r="G11">
        <f>G9/G4</f>
        <v/>
      </c>
    </row>
    <row r="13">
      <c r="A13" t="inlineStr">
        <is>
          <t>Memo: FY2025-Jan owner FCF (+$24.5m) was destocking-inflated (biomass rundown after reduced feed-outs) — NOT a repeatable base. FY2025-8mo and H1 FY2026 owner FCF are negative on growth capex (Blue Endeavour pilot, RAS, wellboat).</t>
        </is>
      </c>
    </row>
    <row r="14">
      <c r="A14" t="inlineStr">
        <is>
          <t>Memo: cash tax currently below the 28% NZ statutory rate (FY2025-8mo held a $2.66m tax credit); model ramps 18% -&gt; 28% by year 3.</t>
        </is>
      </c>
    </row>
    <row r="15">
      <c r="A15" t="inlineStr">
        <is>
          <t>Sources: FY2023/FY2024/FY2025(Jan)/FY25(Sept) annual reports and H1 FY2026 interims — cash flow statements (interest received, payment of lease liabilities) and SBP notes.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Valuation summary — NZK.NZ (NZ$)</t>
        </is>
      </c>
    </row>
    <row r="3">
      <c r="A3" s="1" t="inlineStr">
        <is>
          <t>Scenario</t>
        </is>
      </c>
      <c r="B3" s="1" t="inlineStr">
        <is>
          <t>Value/share</t>
        </is>
      </c>
      <c r="C3" s="1" t="inlineStr">
        <is>
          <t>Upside vs price</t>
        </is>
      </c>
      <c r="D3" s="1" t="inlineStr">
        <is>
          <t>Weight</t>
        </is>
      </c>
      <c r="E3" s="1" t="inlineStr">
        <is>
          <t>Street value/share</t>
        </is>
      </c>
    </row>
    <row r="4">
      <c r="A4" t="inlineStr">
        <is>
          <t>Bear</t>
        </is>
      </c>
      <c r="B4" s="5">
        <f>DCF_Bear!$B$39</f>
        <v/>
      </c>
      <c r="C4">
        <f>B4/Assumptions!$B$10-1</f>
        <v/>
      </c>
      <c r="D4" s="5">
        <f>Assumptions!$B$14</f>
        <v/>
      </c>
      <c r="E4" s="5">
        <f>DCF_Bear!$B$44</f>
        <v/>
      </c>
    </row>
    <row r="5">
      <c r="A5" t="inlineStr">
        <is>
          <t>Base</t>
        </is>
      </c>
      <c r="B5" s="5">
        <f>DCF_Base!$B$39</f>
        <v/>
      </c>
      <c r="C5">
        <f>B5/Assumptions!$B$10-1</f>
        <v/>
      </c>
      <c r="D5" s="5">
        <f>Assumptions!$B$15</f>
        <v/>
      </c>
      <c r="E5" s="5">
        <f>DCF_Base!$B$44</f>
        <v/>
      </c>
    </row>
    <row r="6">
      <c r="A6" t="inlineStr">
        <is>
          <t>Bull</t>
        </is>
      </c>
      <c r="B6" s="5">
        <f>DCF_Bull!$B$39</f>
        <v/>
      </c>
      <c r="C6">
        <f>B6/Assumptions!$B$10-1</f>
        <v/>
      </c>
      <c r="D6" s="5">
        <f>Assumptions!$B$16</f>
        <v/>
      </c>
      <c r="E6" s="5">
        <f>DCF_Bull!$B$44</f>
        <v/>
      </c>
    </row>
    <row r="8">
      <c r="A8" t="inlineStr">
        <is>
          <t>Probability-weighted IV</t>
        </is>
      </c>
      <c r="B8" s="6">
        <f>SUMPRODUCT(B4:B6,D4:D6)</f>
        <v/>
      </c>
    </row>
    <row r="9">
      <c r="A9" t="inlineStr">
        <is>
          <t>Margin of safety vs price</t>
        </is>
      </c>
      <c r="B9">
        <f>1-Assumptions!$B$10/B8</f>
        <v/>
      </c>
    </row>
    <row r="10">
      <c r="A10" t="inlineStr">
        <is>
          <t>Street weighted IV</t>
        </is>
      </c>
      <c r="B10">
        <f>SUMPRODUCT(E4:E6,D4:D6)</f>
        <v/>
      </c>
    </row>
    <row r="11">
      <c r="A11" t="inlineStr">
        <is>
          <t>Band position</t>
        </is>
      </c>
      <c r="B11" t="inlineStr">
        <is>
          <t>n/a — SBC ~0.07% of revenue; house and street coincide (spread ~NZ$0.002)</t>
        </is>
      </c>
    </row>
    <row r="14">
      <c r="A14" s="1" t="inlineStr">
        <is>
          <t>Required-return table (base case): value per share at required return r</t>
        </is>
      </c>
    </row>
    <row r="15">
      <c r="A15" t="inlineStr">
        <is>
          <t>r =</t>
        </is>
      </c>
      <c r="B15" s="1" t="n">
        <v>0.09</v>
      </c>
      <c r="C15" s="1" t="n">
        <v>0.1</v>
      </c>
      <c r="D15" s="1" t="n">
        <v>0.11</v>
      </c>
      <c r="E15" s="1" t="n">
        <v>0.12</v>
      </c>
      <c r="F15" s="1" t="n">
        <v>0.15</v>
      </c>
      <c r="G15" s="1" t="n">
        <v>0.175</v>
      </c>
    </row>
    <row r="16">
      <c r="A16" t="inlineStr">
        <is>
          <t>Value/share</t>
        </is>
      </c>
      <c r="B16">
        <f>(SUMPRODUCT(DCF_Base!$C$20:$L$20/(1+0.09)^DCF_Base!$C$4:$L$4)+MAX(0,MIN(DCF_Base!$L$20*(1+Assumptions!$B$4)/(Assumptions!$B$3-Assumptions!$B$4),Assumptions!$B$5*DCF_Base!$L$20))/(1+0.09)^10-Assumptions!$B$8)/Assumptions!$B$9</f>
        <v/>
      </c>
      <c r="C16">
        <f>(SUMPRODUCT(DCF_Base!$C$20:$L$20/(1+0.1)^DCF_Base!$C$4:$L$4)+MAX(0,MIN(DCF_Base!$L$20*(1+Assumptions!$B$4)/(Assumptions!$B$3-Assumptions!$B$4),Assumptions!$B$5*DCF_Base!$L$20))/(1+0.1)^10-Assumptions!$B$8)/Assumptions!$B$9</f>
        <v/>
      </c>
      <c r="D16">
        <f>(SUMPRODUCT(DCF_Base!$C$20:$L$20/(1+0.11)^DCF_Base!$C$4:$L$4)+MAX(0,MIN(DCF_Base!$L$20*(1+Assumptions!$B$4)/(Assumptions!$B$3-Assumptions!$B$4),Assumptions!$B$5*DCF_Base!$L$20))/(1+0.11)^10-Assumptions!$B$8)/Assumptions!$B$9</f>
        <v/>
      </c>
      <c r="E16">
        <f>(SUMPRODUCT(DCF_Base!$C$20:$L$20/(1+0.12)^DCF_Base!$C$4:$L$4)+MAX(0,MIN(DCF_Base!$L$20*(1+Assumptions!$B$4)/(Assumptions!$B$3-Assumptions!$B$4),Assumptions!$B$5*DCF_Base!$L$20))/(1+0.12)^10-Assumptions!$B$8)/Assumptions!$B$9</f>
        <v/>
      </c>
      <c r="F16">
        <f>(SUMPRODUCT(DCF_Base!$C$20:$L$20/(1+0.15)^DCF_Base!$C$4:$L$4)+MAX(0,MIN(DCF_Base!$L$20*(1+Assumptions!$B$4)/(Assumptions!$B$3-Assumptions!$B$4),Assumptions!$B$5*DCF_Base!$L$20))/(1+0.15)^10-Assumptions!$B$8)/Assumptions!$B$9</f>
        <v/>
      </c>
      <c r="G16">
        <f>(SUMPRODUCT(DCF_Base!$C$20:$L$20/(1+0.175)^DCF_Base!$C$4:$L$4)+MAX(0,MIN(DCF_Base!$L$20*(1+Assumptions!$B$4)/(Assumptions!$B$3-Assumptions!$B$4),Assumptions!$B$5*DCF_Base!$L$20))/(1+0.175)^10-Assumptions!$B$8)/Assumptions!$B$9</f>
        <v/>
      </c>
    </row>
    <row r="17">
      <c r="A17" t="inlineStr">
        <is>
          <t>Read: today's NZ$0.24 implies ~18.5% required return on the base path — above the model's 17.5% WACC.</t>
        </is>
      </c>
    </row>
    <row r="20">
      <c r="A20" s="1" t="inlineStr">
        <is>
          <t>15%-hurdle entry prices (interim FCF + TV at WACC, discounted at hurdle; minus net debt)</t>
        </is>
      </c>
    </row>
    <row r="21">
      <c r="A21" t="inlineStr">
        <is>
          <t>Bear</t>
        </is>
      </c>
      <c r="B21">
        <f>(SUMPRODUCT(DCF_Bear!$C$20:$L$20/(1+Assumptions!$B$11)^DCF_Bear!$C$4:$L$4)+MAX(0,MIN(DCF_Bear!$L$20*(1+Assumptions!$B$4)/(Assumptions!$B$3-Assumptions!$B$4),Assumptions!$B$5*DCF_Bear!$L$20))/(1+Assumptions!$B$11)^10-Assumptions!$B$8)/Assumptions!$B$9</f>
        <v/>
      </c>
    </row>
    <row r="22">
      <c r="A22" t="inlineStr">
        <is>
          <t>Base</t>
        </is>
      </c>
      <c r="B22">
        <f>(SUMPRODUCT(DCF_Base!$C$20:$L$20/(1+Assumptions!$B$11)^DCF_Base!$C$4:$L$4)+MAX(0,MIN(DCF_Base!$L$20*(1+Assumptions!$B$4)/(Assumptions!$B$3-Assumptions!$B$4),Assumptions!$B$5*DCF_Base!$L$20))/(1+Assumptions!$B$11)^10-Assumptions!$B$8)/Assumptions!$B$9</f>
        <v/>
      </c>
    </row>
    <row r="23">
      <c r="A23" t="inlineStr">
        <is>
          <t>Bull</t>
        </is>
      </c>
      <c r="B23">
        <f>(SUMPRODUCT(DCF_Bull!$C$20:$L$20/(1+Assumptions!$B$11)^DCF_Bull!$C$4:$L$4)+MAX(0,MIN(DCF_Bull!$L$20*(1+Assumptions!$B$4)/(Assumptions!$B$3-Assumptions!$B$4),Assumptions!$B$5*DCF_Bull!$L$20))/(1+Assumptions!$B$11)^10-Assumptions!$B$8)/Assumptions!$B$9</f>
        <v/>
      </c>
    </row>
    <row r="24">
      <c r="A24" t="inlineStr">
        <is>
          <t>Weighted entry price</t>
        </is>
      </c>
      <c r="B24" s="1">
        <f>SUMPRODUCT(B21:B23,D4:D6)</f>
        <v/>
      </c>
    </row>
    <row r="25">
      <c r="A25" t="inlineStr">
        <is>
          <t>NOTE: hurdle 15% &lt; WACC 17.5%, so entry prices sit ABOVE IV. The binding buy-below price is the weighted IV (B8), not B24.</t>
        </is>
      </c>
    </row>
    <row r="28">
      <c r="A28" s="1" t="inlineStr">
        <is>
          <t>Sensitivity: value per share, WACC (rows) x terminal growth (cols), base case</t>
        </is>
      </c>
    </row>
    <row r="29">
      <c r="B29" s="1" t="n">
        <v>0.01</v>
      </c>
      <c r="C29" s="1" t="n">
        <v>0.015</v>
      </c>
      <c r="D29" s="1" t="n">
        <v>0.02</v>
      </c>
      <c r="E29" s="1" t="n">
        <v>0.025</v>
      </c>
      <c r="F29" s="1" t="n">
        <v>0.03</v>
      </c>
    </row>
    <row r="30">
      <c r="A30" s="1" t="n">
        <v>0.155</v>
      </c>
      <c r="B30">
        <f>IF($A30&gt;B$29,(SUMPRODUCT(DCF_Base!$C$20:$L$20/(1+$A30)^DCF_Base!$C$4:$L$4)+MAX(0,MIN(DCF_Base!$L$20*(1+B$29)/($A30-B$29),Assumptions!$B$5*DCF_Base!$L$20))/(1+$A30)^10-Assumptions!$B$8)/Assumptions!$B$9,"n/a")</f>
        <v/>
      </c>
      <c r="C30">
        <f>IF($A30&gt;C$29,(SUMPRODUCT(DCF_Base!$C$20:$L$20/(1+$A30)^DCF_Base!$C$4:$L$4)+MAX(0,MIN(DCF_Base!$L$20*(1+C$29)/($A30-C$29),Assumptions!$B$5*DCF_Base!$L$20))/(1+$A30)^10-Assumptions!$B$8)/Assumptions!$B$9,"n/a")</f>
        <v/>
      </c>
      <c r="D30">
        <f>IF($A30&gt;D$29,(SUMPRODUCT(DCF_Base!$C$20:$L$20/(1+$A30)^DCF_Base!$C$4:$L$4)+MAX(0,MIN(DCF_Base!$L$20*(1+D$29)/($A30-D$29),Assumptions!$B$5*DCF_Base!$L$20))/(1+$A30)^10-Assumptions!$B$8)/Assumptions!$B$9,"n/a")</f>
        <v/>
      </c>
      <c r="E30">
        <f>IF($A30&gt;E$29,(SUMPRODUCT(DCF_Base!$C$20:$L$20/(1+$A30)^DCF_Base!$C$4:$L$4)+MAX(0,MIN(DCF_Base!$L$20*(1+E$29)/($A30-E$29),Assumptions!$B$5*DCF_Base!$L$20))/(1+$A30)^10-Assumptions!$B$8)/Assumptions!$B$9,"n/a")</f>
        <v/>
      </c>
      <c r="F30">
        <f>IF($A30&gt;F$29,(SUMPRODUCT(DCF_Base!$C$20:$L$20/(1+$A30)^DCF_Base!$C$4:$L$4)+MAX(0,MIN(DCF_Base!$L$20*(1+F$29)/($A30-F$29),Assumptions!$B$5*DCF_Base!$L$20))/(1+$A30)^10-Assumptions!$B$8)/Assumptions!$B$9,"n/a")</f>
        <v/>
      </c>
    </row>
    <row r="31">
      <c r="A31" s="1" t="n">
        <v>0.165</v>
      </c>
      <c r="B31">
        <f>IF($A31&gt;B$29,(SUMPRODUCT(DCF_Base!$C$20:$L$20/(1+$A31)^DCF_Base!$C$4:$L$4)+MAX(0,MIN(DCF_Base!$L$20*(1+B$29)/($A31-B$29),Assumptions!$B$5*DCF_Base!$L$20))/(1+$A31)^10-Assumptions!$B$8)/Assumptions!$B$9,"n/a")</f>
        <v/>
      </c>
      <c r="C31">
        <f>IF($A31&gt;C$29,(SUMPRODUCT(DCF_Base!$C$20:$L$20/(1+$A31)^DCF_Base!$C$4:$L$4)+MAX(0,MIN(DCF_Base!$L$20*(1+C$29)/($A31-C$29),Assumptions!$B$5*DCF_Base!$L$20))/(1+$A31)^10-Assumptions!$B$8)/Assumptions!$B$9,"n/a")</f>
        <v/>
      </c>
      <c r="D31">
        <f>IF($A31&gt;D$29,(SUMPRODUCT(DCF_Base!$C$20:$L$20/(1+$A31)^DCF_Base!$C$4:$L$4)+MAX(0,MIN(DCF_Base!$L$20*(1+D$29)/($A31-D$29),Assumptions!$B$5*DCF_Base!$L$20))/(1+$A31)^10-Assumptions!$B$8)/Assumptions!$B$9,"n/a")</f>
        <v/>
      </c>
      <c r="E31">
        <f>IF($A31&gt;E$29,(SUMPRODUCT(DCF_Base!$C$20:$L$20/(1+$A31)^DCF_Base!$C$4:$L$4)+MAX(0,MIN(DCF_Base!$L$20*(1+E$29)/($A31-E$29),Assumptions!$B$5*DCF_Base!$L$20))/(1+$A31)^10-Assumptions!$B$8)/Assumptions!$B$9,"n/a")</f>
        <v/>
      </c>
      <c r="F31">
        <f>IF($A31&gt;F$29,(SUMPRODUCT(DCF_Base!$C$20:$L$20/(1+$A31)^DCF_Base!$C$4:$L$4)+MAX(0,MIN(DCF_Base!$L$20*(1+F$29)/($A31-F$29),Assumptions!$B$5*DCF_Base!$L$20))/(1+$A31)^10-Assumptions!$B$8)/Assumptions!$B$9,"n/a")</f>
        <v/>
      </c>
    </row>
    <row r="32">
      <c r="A32" s="1" t="n">
        <v>0.175</v>
      </c>
      <c r="B32">
        <f>IF($A32&gt;B$29,(SUMPRODUCT(DCF_Base!$C$20:$L$20/(1+$A32)^DCF_Base!$C$4:$L$4)+MAX(0,MIN(DCF_Base!$L$20*(1+B$29)/($A32-B$29),Assumptions!$B$5*DCF_Base!$L$20))/(1+$A32)^10-Assumptions!$B$8)/Assumptions!$B$9,"n/a")</f>
        <v/>
      </c>
      <c r="C32">
        <f>IF($A32&gt;C$29,(SUMPRODUCT(DCF_Base!$C$20:$L$20/(1+$A32)^DCF_Base!$C$4:$L$4)+MAX(0,MIN(DCF_Base!$L$20*(1+C$29)/($A32-C$29),Assumptions!$B$5*DCF_Base!$L$20))/(1+$A32)^10-Assumptions!$B$8)/Assumptions!$B$9,"n/a")</f>
        <v/>
      </c>
      <c r="D32" s="7">
        <f>IF($A32&gt;D$29,(SUMPRODUCT(DCF_Base!$C$20:$L$20/(1+$A32)^DCF_Base!$C$4:$L$4)+MAX(0,MIN(DCF_Base!$L$20*(1+D$29)/($A32-D$29),Assumptions!$B$5*DCF_Base!$L$20))/(1+$A32)^10-Assumptions!$B$8)/Assumptions!$B$9,"n/a")</f>
        <v/>
      </c>
      <c r="E32">
        <f>IF($A32&gt;E$29,(SUMPRODUCT(DCF_Base!$C$20:$L$20/(1+$A32)^DCF_Base!$C$4:$L$4)+MAX(0,MIN(DCF_Base!$L$20*(1+E$29)/($A32-E$29),Assumptions!$B$5*DCF_Base!$L$20))/(1+$A32)^10-Assumptions!$B$8)/Assumptions!$B$9,"n/a")</f>
        <v/>
      </c>
      <c r="F32">
        <f>IF($A32&gt;F$29,(SUMPRODUCT(DCF_Base!$C$20:$L$20/(1+$A32)^DCF_Base!$C$4:$L$4)+MAX(0,MIN(DCF_Base!$L$20*(1+F$29)/($A32-F$29),Assumptions!$B$5*DCF_Base!$L$20))/(1+$A32)^10-Assumptions!$B$8)/Assumptions!$B$9,"n/a")</f>
        <v/>
      </c>
    </row>
    <row r="33">
      <c r="A33" s="1" t="n">
        <v>0.185</v>
      </c>
      <c r="B33">
        <f>IF($A33&gt;B$29,(SUMPRODUCT(DCF_Base!$C$20:$L$20/(1+$A33)^DCF_Base!$C$4:$L$4)+MAX(0,MIN(DCF_Base!$L$20*(1+B$29)/($A33-B$29),Assumptions!$B$5*DCF_Base!$L$20))/(1+$A33)^10-Assumptions!$B$8)/Assumptions!$B$9,"n/a")</f>
        <v/>
      </c>
      <c r="C33">
        <f>IF($A33&gt;C$29,(SUMPRODUCT(DCF_Base!$C$20:$L$20/(1+$A33)^DCF_Base!$C$4:$L$4)+MAX(0,MIN(DCF_Base!$L$20*(1+C$29)/($A33-C$29),Assumptions!$B$5*DCF_Base!$L$20))/(1+$A33)^10-Assumptions!$B$8)/Assumptions!$B$9,"n/a")</f>
        <v/>
      </c>
      <c r="D33">
        <f>IF($A33&gt;D$29,(SUMPRODUCT(DCF_Base!$C$20:$L$20/(1+$A33)^DCF_Base!$C$4:$L$4)+MAX(0,MIN(DCF_Base!$L$20*(1+D$29)/($A33-D$29),Assumptions!$B$5*DCF_Base!$L$20))/(1+$A33)^10-Assumptions!$B$8)/Assumptions!$B$9,"n/a")</f>
        <v/>
      </c>
      <c r="E33">
        <f>IF($A33&gt;E$29,(SUMPRODUCT(DCF_Base!$C$20:$L$20/(1+$A33)^DCF_Base!$C$4:$L$4)+MAX(0,MIN(DCF_Base!$L$20*(1+E$29)/($A33-E$29),Assumptions!$B$5*DCF_Base!$L$20))/(1+$A33)^10-Assumptions!$B$8)/Assumptions!$B$9,"n/a")</f>
        <v/>
      </c>
      <c r="F33">
        <f>IF($A33&gt;F$29,(SUMPRODUCT(DCF_Base!$C$20:$L$20/(1+$A33)^DCF_Base!$C$4:$L$4)+MAX(0,MIN(DCF_Base!$L$20*(1+F$29)/($A33-F$29),Assumptions!$B$5*DCF_Base!$L$20))/(1+$A33)^10-Assumptions!$B$8)/Assumptions!$B$9,"n/a")</f>
        <v/>
      </c>
    </row>
    <row r="34">
      <c r="A34" s="1" t="n">
        <v>0.195</v>
      </c>
      <c r="B34">
        <f>IF($A34&gt;B$29,(SUMPRODUCT(DCF_Base!$C$20:$L$20/(1+$A34)^DCF_Base!$C$4:$L$4)+MAX(0,MIN(DCF_Base!$L$20*(1+B$29)/($A34-B$29),Assumptions!$B$5*DCF_Base!$L$20))/(1+$A34)^10-Assumptions!$B$8)/Assumptions!$B$9,"n/a")</f>
        <v/>
      </c>
      <c r="C34">
        <f>IF($A34&gt;C$29,(SUMPRODUCT(DCF_Base!$C$20:$L$20/(1+$A34)^DCF_Base!$C$4:$L$4)+MAX(0,MIN(DCF_Base!$L$20*(1+C$29)/($A34-C$29),Assumptions!$B$5*DCF_Base!$L$20))/(1+$A34)^10-Assumptions!$B$8)/Assumptions!$B$9,"n/a")</f>
        <v/>
      </c>
      <c r="D34">
        <f>IF($A34&gt;D$29,(SUMPRODUCT(DCF_Base!$C$20:$L$20/(1+$A34)^DCF_Base!$C$4:$L$4)+MAX(0,MIN(DCF_Base!$L$20*(1+D$29)/($A34-D$29),Assumptions!$B$5*DCF_Base!$L$20))/(1+$A34)^10-Assumptions!$B$8)/Assumptions!$B$9,"n/a")</f>
        <v/>
      </c>
      <c r="E34">
        <f>IF($A34&gt;E$29,(SUMPRODUCT(DCF_Base!$C$20:$L$20/(1+$A34)^DCF_Base!$C$4:$L$4)+MAX(0,MIN(DCF_Base!$L$20*(1+E$29)/($A34-E$29),Assumptions!$B$5*DCF_Base!$L$20))/(1+$A34)^10-Assumptions!$B$8)/Assumptions!$B$9,"n/a")</f>
        <v/>
      </c>
      <c r="F34">
        <f>IF($A34&gt;F$29,(SUMPRODUCT(DCF_Base!$C$20:$L$20/(1+$A34)^DCF_Base!$C$4:$L$4)+MAX(0,MIN(DCF_Base!$L$20*(1+F$29)/($A34-F$29),Assumptions!$B$5*DCF_Base!$L$20))/(1+$A34)^10-Assumptions!$B$8)/Assumptions!$B$9,"n/a")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2026-08-23T04:45:27Z</dcterms:created>
  <dcterms:modified xsi:type="dcterms:W3CDTF">2026-08-23T04:46:02Z</dcterms:modified>
</cp:coreProperties>
</file>