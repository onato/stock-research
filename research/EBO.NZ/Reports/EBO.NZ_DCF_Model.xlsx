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_Bear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FCF_Quality" sheetId="6" state="visible" r:id="rId6"/>
    <sheet xmlns:r="http://schemas.openxmlformats.org/officeDocument/2006/relationships" name="Actual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Valu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EBOS Group Limited (EBO.NZ / EBO.AX) -- owner-FCF DCF workbook, version 2026-09-08</t>
        </is>
      </c>
    </row>
    <row r="2">
      <c r="A2" t="inlineStr">
        <is>
          <t>Supersedes: EBO.NZ_DCF_Model.xlsx of 2026-06-27 (5-yr growth on reported levered FCF, Gordon-only TV, per-scenario WACC).</t>
        </is>
      </c>
    </row>
    <row r="3">
      <c r="A3" t="inlineStr">
        <is>
          <t>Built by: dcf-analyst agent (Claude, model claude-fable-5-1) on 2026-09-08 at the request of the research orchestrator (tier-2 refresh after the 19-Aug-2026 FY2026 result).</t>
        </is>
      </c>
    </row>
    <row r="4">
      <c r="A4" t="inlineStr">
        <is>
          <t>Figures go stale. Price, FX, net debt and share count are dated below; refresh them before relying on any output.</t>
        </is>
      </c>
    </row>
    <row r="5">
      <c r="A5" t="inlineStr"/>
    </row>
    <row r="6">
      <c r="A6" s="1" t="inlineStr">
        <is>
          <t>DATA VINTAGE</t>
        </is>
      </c>
    </row>
    <row r="7">
      <c r="A7" t="inlineStr">
        <is>
          <t>Price: NZ$20.48, Yahoo EBO.NZ regular close 2026-09-08T04:59:55Z. Parity: EBO.AX A$16.67 x AUD/NZD 1.231 = NZ$20.52 (0.2%).</t>
        </is>
      </c>
    </row>
    <row r="8">
      <c r="A8" t="inlineStr">
        <is>
          <t>FX: AUD/NZD 1.231, Yahoo AUDNZD=X 2026-09-08T05:56:07Z (52wk 1.108-1.233).</t>
        </is>
      </c>
    </row>
    <row r="9">
      <c r="A9" t="inlineStr">
        <is>
          <t>Balance sheet: 31-Dec-2025 (H1 FY2026 interim, unaudited) -- bank loans A$1,371.2m, cash A$250.3m, NCI put liability A$57.9m, lease liabilities A$473.9m (excluded, see leases).</t>
        </is>
      </c>
    </row>
    <row r="10">
      <c r="A10" t="inlineStr">
        <is>
          <t>Shares: 204.993m on issue 31-Dec-2025 + ~1.3m dilutive rights = 206.3m fully diluted; DRP issuance since Dec-2025 (~2-4m) NOT yet counted.</t>
        </is>
      </c>
    </row>
    <row r="11">
      <c r="A11" t="inlineStr">
        <is>
          <t>FY2026 actuals (19-Aug-2026 result, via EBO.NZ_Analysis.json): revenue A$13,481m, underlying EBITDA A$614m, underlying FCF A$241m, reported FCF A$204m, leverage 2.1x. Annual report not yet extracted.</t>
        </is>
      </c>
    </row>
    <row r="12">
      <c r="A12" t="inlineStr">
        <is>
          <t>Guidance (19-Aug-2026): FY2027 underlying EBITDA A$635-655m, capex ~A$100m, no M&amp;A assumed.</t>
        </is>
      </c>
    </row>
    <row r="13">
      <c r="A13" t="inlineStr"/>
    </row>
    <row r="14">
      <c r="A14" s="1" t="inlineStr">
        <is>
          <t>METHODOLOGY</t>
        </is>
      </c>
    </row>
    <row r="15">
      <c r="A15" t="inlineStr">
        <is>
          <t>Unlevered owner FCF built from components: EBITDA margin - SBC - lease cash - D&amp;A ex-ROU = EBIT; tax on EBIT at 28.5%; + D&amp;A - capex - working-capital build (capture on the CHANGE in revenue).</t>
        </is>
      </c>
    </row>
    <row r="16">
      <c r="A16" t="inlineStr">
        <is>
          <t>Leases: treatment B -- lease principal AND interest charged in the flows (0.65% of revenue); lease liabilities excluded from net debt. Do not also deduct lease liabilities.</t>
        </is>
      </c>
    </row>
    <row r="17">
      <c r="A17" t="inlineStr">
        <is>
          <t>Interest on borrowings is NOT deducted (unlevered); net bank debt + NCI put liability are subtracted once in the bridge.</t>
        </is>
      </c>
    </row>
    <row r="18">
      <c r="A18" t="inlineStr">
        <is>
          <t>SBC expensed at 0.05% of revenue and the share count held flat (charge once). Street memo adds the PV of SBC back.</t>
        </is>
      </c>
    </row>
    <row r="19">
      <c r="A19" t="inlineStr">
        <is>
          <t>Terminal value = MAX(0, MIN(Gordon, 15x FCF_10)) at whichever rate is discounting (WACC for IV, 15% hurdle for entry price). 10-year horizon because the margin is still ramping.</t>
        </is>
      </c>
    </row>
    <row r="20">
      <c r="A20" t="inlineStr">
        <is>
          <t>Single 8.5% AUD WACC across scenarios (risk is charged in the flows and weights, not in per-scenario rates).</t>
        </is>
      </c>
    </row>
    <row r="21">
      <c r="A21" t="inlineStr">
        <is>
          <t>All model cells are AUD millions; per-share values are shown in AUD and NZD (x AUD/NZD).</t>
        </is>
      </c>
    </row>
    <row r="22">
      <c r="A22" t="inlineStr"/>
    </row>
    <row r="23">
      <c r="A23" t="inlineStr">
        <is>
          <t>SCENARIO DRIVERS are the dcf-analyst's judgment set on 2026-09-08 (weights 25/50/25 carried from the 2026-06-27 file). Narratives on the Assumptions sheet.</t>
        </is>
      </c>
    </row>
    <row r="24">
      <c r="A24" t="inlineStr">
        <is>
          <t>Refresh after the next print: FY2026 annual report balance sheet (net debt, share count incl. DRP), then H1 FY2027 (Feb-2027) for the FY2027 margin/capex tracking.</t>
        </is>
      </c>
    </row>
    <row r="25">
      <c r="A25" t="inlineStr"/>
    </row>
    <row r="26">
      <c r="A26" t="inlineStr">
        <is>
          <t>ROW MAP (each DCF tab): rows 5, 7, 9, 16, 19 are the only hardcoded drivers (growth, EBITDA margin, SBC %, tax rate, capex %); lease % and D&amp;A % link to Assumptions. Everything else is a formula.</t>
        </is>
      </c>
    </row>
    <row r="27">
      <c r="A27" t="inlineStr">
        <is>
          <t>CELL COLOURS: blue = hardcoded input; yellow fill = key lever; black = formula; green = cross-sheet link; green fill = headline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1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Global assumptions (AUD millions unless stated)</t>
        </is>
      </c>
    </row>
    <row r="4">
      <c r="A4" t="inlineStr">
        <is>
          <t>WACC (%)</t>
        </is>
      </c>
      <c r="B4" s="2" t="n">
        <v>8.5</v>
      </c>
      <c r="C4" t="inlineStr">
        <is>
          <t>AUD-built: 9.3% CoE (4.3% rf + 5.0% ERP x beta 1.0), 5.8% after-tax Kd, 74/26 -&gt; 8.4%, rounded</t>
        </is>
      </c>
    </row>
    <row r="5">
      <c r="A5" t="inlineStr">
        <is>
          <t>D&amp;A ex-ROU (% revenue)</t>
        </is>
      </c>
      <c r="B5" s="3" t="n">
        <v>0.68</v>
      </c>
      <c r="C5" t="inlineStr">
        <is>
          <t>FY2025 PPE dep ~33 + amortisation 46.7 = 0.65%; H1 FY26 annualised 0.65%; DCs commissioned -&gt; 0.68%</t>
        </is>
      </c>
    </row>
    <row r="6">
      <c r="A6" t="inlineStr">
        <is>
          <t>Lease cash (% revenue)</t>
        </is>
      </c>
      <c r="B6" s="3" t="n">
        <v>0.65</v>
      </c>
      <c r="C6" t="inlineStr">
        <is>
          <t>principal + interest: FY2025 80.7 (0.66%), H1 FY2026 44.1 (0.65%)</t>
        </is>
      </c>
    </row>
    <row r="7">
      <c r="A7" t="inlineStr">
        <is>
          <t>SBC (% revenue)</t>
        </is>
      </c>
      <c r="B7" s="3" t="n">
        <v>0.05</v>
      </c>
      <c r="C7" t="inlineStr">
        <is>
          <t>FY2023-24 run-rate ~A$7m; FY2025/H1 FY26 were reversals</t>
        </is>
      </c>
    </row>
    <row r="8">
      <c r="A8" t="inlineStr">
        <is>
          <t>Cash tax rate on EBIT (%)</t>
        </is>
      </c>
      <c r="B8" s="3" t="n">
        <v>28.5</v>
      </c>
      <c r="C8" t="inlineStr">
        <is>
          <t>guided ETR ~28% + non-deductible PPA amortisation</t>
        </is>
      </c>
    </row>
    <row r="9">
      <c r="A9" t="inlineStr">
        <is>
          <t>Net debt (bank loans - cash + NCI put), 31-Dec-2025</t>
        </is>
      </c>
      <c r="B9" s="3" t="n">
        <v>1178.8</v>
      </c>
      <c r="C9" t="inlineStr">
        <is>
          <t>1,371.2 - 250.3 + 57.9; leases excluded (treatment B)</t>
        </is>
      </c>
    </row>
    <row r="10">
      <c r="A10" t="inlineStr">
        <is>
          <t>Diluted shares (m)</t>
        </is>
      </c>
      <c r="B10" s="3" t="n">
        <v>206.3</v>
      </c>
      <c r="C10" t="inlineStr">
        <is>
          <t>204.993 on issue + ~1.3 dilutive rights; flat</t>
        </is>
      </c>
    </row>
    <row r="11">
      <c r="A11" t="inlineStr">
        <is>
          <t>Price (NZD), 2026-09-08 close</t>
        </is>
      </c>
      <c r="B11" s="3" t="n">
        <v>20.48</v>
      </c>
      <c r="C11" t="inlineStr">
        <is>
          <t>Yahoo EBO.NZ regularMarketPrice</t>
        </is>
      </c>
    </row>
    <row r="12">
      <c r="A12" t="inlineStr">
        <is>
          <t>AUD/NZD</t>
        </is>
      </c>
      <c r="B12" s="3" t="n">
        <v>1.231</v>
      </c>
      <c r="C12" t="inlineStr">
        <is>
          <t>Yahoo AUDNZD=X 2026-09-08; parity vs EBO.AX 0.2%</t>
        </is>
      </c>
    </row>
    <row r="13">
      <c r="A13" t="inlineStr">
        <is>
          <t>Terminal value cap (x owner FCF_10)</t>
        </is>
      </c>
      <c r="B13" s="2" t="n">
        <v>15</v>
      </c>
      <c r="C13" t="inlineStr">
        <is>
          <t>slow-growing distributor; Gordon at 8.5%/2.5% = 17.1x so the cap binds</t>
        </is>
      </c>
    </row>
    <row r="14">
      <c r="A14" t="inlineStr">
        <is>
          <t>Hurdle rate for entry price</t>
        </is>
      </c>
      <c r="B14" s="3" t="n">
        <v>0.15</v>
      </c>
      <c r="C14" t="inlineStr">
        <is>
          <t>15% IRR, TV rebuilt at the hurdle</t>
        </is>
      </c>
    </row>
    <row r="15">
      <c r="A15" t="inlineStr">
        <is>
          <t>FY2026 revenue (A$m, actual)</t>
        </is>
      </c>
      <c r="B15" s="3" t="n">
        <v>13481</v>
      </c>
      <c r="C15" t="inlineStr">
        <is>
          <t>19-Aug-2026 result, +9.9%</t>
        </is>
      </c>
    </row>
    <row r="16">
      <c r="A16" t="inlineStr">
        <is>
          <t>FY2026 underlying EBITDA (A$m, actual)</t>
        </is>
      </c>
      <c r="B16" s="3" t="n">
        <v>614</v>
      </c>
      <c r="C16" t="inlineStr">
        <is>
          <t>inside the downgraded 610-620 guide</t>
        </is>
      </c>
    </row>
    <row r="17">
      <c r="A17" t="inlineStr">
        <is>
          <t>FY2026 capex (A$m, approx)</t>
        </is>
      </c>
      <c r="B17" s="3" t="n">
        <v>145</v>
      </c>
      <c r="C17" t="inlineStr">
        <is>
          <t>final DC renewal year</t>
        </is>
      </c>
    </row>
    <row r="20">
      <c r="A20" s="1" t="inlineStr">
        <is>
          <t>Per-scenario</t>
        </is>
      </c>
      <c r="B20" s="1" t="inlineStr">
        <is>
          <t>Bear</t>
        </is>
      </c>
      <c r="C20" s="1" t="inlineStr">
        <is>
          <t>Base</t>
        </is>
      </c>
      <c r="D20" s="1" t="inlineStr">
        <is>
          <t>Bull</t>
        </is>
      </c>
    </row>
    <row r="21">
      <c r="A21" t="inlineStr">
        <is>
          <t>Terminal growth (%)</t>
        </is>
      </c>
      <c r="B21" s="2" t="n">
        <v>2</v>
      </c>
      <c r="C21" s="2" t="n">
        <v>2.5</v>
      </c>
      <c r="D21" s="2" t="n">
        <v>3</v>
      </c>
    </row>
    <row r="22">
      <c r="A22" t="inlineStr">
        <is>
          <t>Probability weight</t>
        </is>
      </c>
      <c r="B22" s="3" t="n">
        <v>0.25</v>
      </c>
      <c r="C22" s="3" t="n">
        <v>0.5</v>
      </c>
      <c r="D22" s="3" t="n">
        <v>0.25</v>
      </c>
    </row>
    <row r="23">
      <c r="A23" t="inlineStr">
        <is>
          <t>Working-capital capture (% of revenue change; negative = outflow)</t>
        </is>
      </c>
      <c r="B23" s="3" t="n">
        <v>-4</v>
      </c>
      <c r="C23" s="3" t="n">
        <v>-3</v>
      </c>
      <c r="D23" s="3" t="n">
        <v>-2.5</v>
      </c>
    </row>
    <row r="24">
      <c r="A24" t="inlineStr">
        <is>
          <t>Weights check (must be 1.00)</t>
        </is>
      </c>
      <c r="B24">
        <f>SUM(B22:D22)</f>
        <v/>
      </c>
    </row>
    <row r="26">
      <c r="A26" s="1" t="inlineStr">
        <is>
          <t>Scenario narratives</t>
        </is>
      </c>
    </row>
    <row r="27" ht="120" customHeight="1">
      <c r="A27" t="inlineStr">
        <is>
          <t>Bear</t>
        </is>
      </c>
      <c r="B27" s="4" t="inlineStr">
        <is>
          <t>The FY2027 productivity inflection slips: FY2027 EBITDA misses the guide (modelled A$604m, a repeat of the April-2026 fuel-driven downgrade), the New Zealand Chemist Warehouse wholesale contract rolls off at end-CY2026 (management-sized at ~1% of group EBITDA, ~A$6-8m, ~2% of revenue at wholesale margins -- charged as -1.5% revenue growth and -0.15pp of margin in FY2028), and GOR margin compression from 1PWA caps and GLP-1 mix does not reverse, leaving the margin at 4.2-4.3% through the horizon. Post-commissioning IT/optimisation spend keeps capex at 0.75% of revenue and working capital absorbs 4% of revenue growth. Revenue growth 1.5-3%. Terminal growth 2.0%. Leverage stays near the top of the 1.7-2.3x range but there is no going-concern or covenant path here -- the bear is a low-return, no-re-rating distributor, not a solvency case.</t>
        </is>
      </c>
    </row>
    <row r="28" ht="120" customHeight="1">
      <c r="A28" t="inlineStr">
        <is>
          <t>Base</t>
        </is>
      </c>
      <c r="B28" s="4" t="inlineStr">
        <is>
          <t>FY2027 lands inside the A$635-655m guide (modelled A$647m on +5.5% revenue and a 4.55% margin). The DC program is complete, so capex steps down to the guided ~A$100m (0.71% of revenue) and stays near 0.7% -- roughly equal to ex-ROU D&amp;A -- while Kemps Creek productivity, the July-2026 expanded CSO regime, and faster-growing Retail Pharmacy Brands / MedTech / Animal Care lift the group EBITDA margin from 4.55% to a 4.9% plateau by FY2032 (still below the ~5.0% of FY2021-22, because 1PWA caps and GLP-1/high-value-medicine mix keep compressing GOR margin). Revenue growth decays from 5.5% to 3% as GLP-1 volume growth normalises. Working capital absorbs 3% of each year's revenue increase (~20 cash-conversion days). Terminal value hits the 15x owner-FCF cap; Gordon at 8.5%/2.5% would have paid 17.1x.</t>
        </is>
      </c>
    </row>
    <row r="29" ht="120" customHeight="1">
      <c r="A29" t="inlineStr">
        <is>
          <t>Bull</t>
        </is>
      </c>
      <c r="B29" s="4" t="inlineStr">
        <is>
          <t>GLP-1 and &gt;A$1,000/dose medicines keep compounding at double digits, Retail Pharmacy Brands (780+ stores, retail media, CareClinics) and MedTech/aesthetics (K-Talyst, Origin Biologics) grow well ahead of group, and Paringa/SVS lift Animal Care -- revenue +7% in FY2027 tapering to 3.5%. FY2027 EBITDA beats the top of the guide (modelled A$666m) and the DC automation payback (30% Kemps Creek uplift) plus mix shift carries the margin to 5.4% by FY2034. Working-capital drag is lighter (2.5% capture) as cash-conversion days keep improving. Terminal growth 3.0%. This needs BOTH the growth and the margin legs to come through; ~A$150m/yr of self-funded bolt-ons are NOT in the numbers and are upside to this case.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Bear scenario -- unlevered owner FCF, AUD millions</t>
        </is>
      </c>
    </row>
    <row r="3">
      <c r="A3" s="1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(%)  [driver]</t>
        </is>
      </c>
      <c r="C5" s="2" t="n">
        <v>3</v>
      </c>
      <c r="D5" s="2" t="n">
        <v>1.5</v>
      </c>
      <c r="E5" s="2" t="n">
        <v>2.5</v>
      </c>
      <c r="F5" s="2" t="n">
        <v>3</v>
      </c>
      <c r="G5" s="2" t="n">
        <v>3</v>
      </c>
      <c r="H5" s="2" t="n">
        <v>3</v>
      </c>
      <c r="I5" s="2" t="n">
        <v>2.5</v>
      </c>
      <c r="J5" s="2" t="n">
        <v>2.5</v>
      </c>
      <c r="K5" s="2" t="n">
        <v>2.5</v>
      </c>
      <c r="L5" s="2" t="n">
        <v>2.5</v>
      </c>
    </row>
    <row r="6">
      <c r="A6" t="inlineStr">
        <is>
          <t>Revenue</t>
        </is>
      </c>
      <c r="B6" s="5">
        <f>Assumptions!$B$15</f>
        <v/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Underlying EBITDA margin (%)  [driver]</t>
        </is>
      </c>
      <c r="B7" s="3" t="n">
        <v>4.55</v>
      </c>
      <c r="C7" s="2" t="n">
        <v>4.35</v>
      </c>
      <c r="D7" s="2" t="n">
        <v>4.2</v>
      </c>
      <c r="E7" s="2" t="n">
        <v>4.2</v>
      </c>
      <c r="F7" s="2" t="n">
        <v>4.25</v>
      </c>
      <c r="G7" s="2" t="n">
        <v>4.3</v>
      </c>
      <c r="H7" s="2" t="n">
        <v>4.3</v>
      </c>
      <c r="I7" s="2" t="n">
        <v>4.3</v>
      </c>
      <c r="J7" s="2" t="n">
        <v>4.3</v>
      </c>
      <c r="K7" s="2" t="n">
        <v>4.3</v>
      </c>
      <c r="L7" s="2" t="n">
        <v>4.3</v>
      </c>
    </row>
    <row r="8">
      <c r="A8" t="inlineStr">
        <is>
          <t>Underlying EBITDA</t>
        </is>
      </c>
      <c r="B8">
        <f>B6*B7/100</f>
        <v/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revenue)  [driver]</t>
        </is>
      </c>
      <c r="B9" s="5">
        <f>Assumptions!$B$7</f>
        <v/>
      </c>
      <c r="C9" s="3" t="n">
        <v>0.05</v>
      </c>
      <c r="D9" s="3" t="n">
        <v>0.05</v>
      </c>
      <c r="E9" s="3" t="n">
        <v>0.05</v>
      </c>
      <c r="F9" s="3" t="n">
        <v>0.05</v>
      </c>
      <c r="G9" s="3" t="n">
        <v>0.05</v>
      </c>
      <c r="H9" s="3" t="n">
        <v>0.05</v>
      </c>
      <c r="I9" s="3" t="n">
        <v>0.05</v>
      </c>
      <c r="J9" s="3" t="n">
        <v>0.05</v>
      </c>
      <c r="K9" s="3" t="n">
        <v>0.05</v>
      </c>
      <c r="L9" s="3" t="n">
        <v>0.05</v>
      </c>
    </row>
    <row r="10">
      <c r="A10" t="inlineStr">
        <is>
          <t>SBC</t>
        </is>
      </c>
      <c r="B10">
        <f>-B6*B9/100</f>
        <v/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(% revenue)</t>
        </is>
      </c>
      <c r="B11" s="5">
        <f>Assumptions!$B$6</f>
        <v/>
      </c>
      <c r="C11" s="5">
        <f>Assumptions!$B$6</f>
        <v/>
      </c>
      <c r="D11" s="5">
        <f>Assumptions!$B$6</f>
        <v/>
      </c>
      <c r="E11" s="5">
        <f>Assumptions!$B$6</f>
        <v/>
      </c>
      <c r="F11" s="5">
        <f>Assumptions!$B$6</f>
        <v/>
      </c>
      <c r="G11" s="5">
        <f>Assumptions!$B$6</f>
        <v/>
      </c>
      <c r="H11" s="5">
        <f>Assumptions!$B$6</f>
        <v/>
      </c>
      <c r="I11" s="5">
        <f>Assumptions!$B$6</f>
        <v/>
      </c>
      <c r="J11" s="5">
        <f>Assumptions!$B$6</f>
        <v/>
      </c>
      <c r="K11" s="5">
        <f>Assumptions!$B$6</f>
        <v/>
      </c>
      <c r="L11" s="5">
        <f>Assumptions!$B$6</f>
        <v/>
      </c>
    </row>
    <row r="12">
      <c r="A12" t="inlineStr">
        <is>
          <t>Lease cash (principal + interest)</t>
        </is>
      </c>
      <c r="B12">
        <f>-B6*B11/100</f>
        <v/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Owner EBITDA (after SBC and leases)</t>
        </is>
      </c>
      <c r="B13">
        <f>B8+B10+B12</f>
        <v/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</t>
        </is>
      </c>
      <c r="B14">
        <f>-B6*Assumptions!$B$5/100</f>
        <v/>
      </c>
      <c r="C14" s="5">
        <f>-C6*Assumptions!$B$5/100</f>
        <v/>
      </c>
      <c r="D14" s="5">
        <f>-D6*Assumptions!$B$5/100</f>
        <v/>
      </c>
      <c r="E14" s="5">
        <f>-E6*Assumptions!$B$5/100</f>
        <v/>
      </c>
      <c r="F14" s="5">
        <f>-F6*Assumptions!$B$5/100</f>
        <v/>
      </c>
      <c r="G14" s="5">
        <f>-G6*Assumptions!$B$5/100</f>
        <v/>
      </c>
      <c r="H14" s="5">
        <f>-H6*Assumptions!$B$5/100</f>
        <v/>
      </c>
      <c r="I14" s="5">
        <f>-I6*Assumptions!$B$5/100</f>
        <v/>
      </c>
      <c r="J14" s="5">
        <f>-J6*Assumptions!$B$5/100</f>
        <v/>
      </c>
      <c r="K14" s="5">
        <f>-K6*Assumptions!$B$5/100</f>
        <v/>
      </c>
      <c r="L14" s="5">
        <f>-L6*Assumptions!$B$5/100</f>
        <v/>
      </c>
    </row>
    <row r="15">
      <c r="A15" t="inlineStr">
        <is>
          <t>EBIT</t>
        </is>
      </c>
      <c r="B15">
        <f>B13+B14</f>
        <v/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G13+G14</f>
        <v/>
      </c>
      <c r="H15">
        <f>H13+H14</f>
        <v/>
      </c>
      <c r="I15">
        <f>I13+I14</f>
        <v/>
      </c>
      <c r="J15">
        <f>J13+J14</f>
        <v/>
      </c>
      <c r="K15">
        <f>K13+K14</f>
        <v/>
      </c>
      <c r="L15">
        <f>L13+L14</f>
        <v/>
      </c>
    </row>
    <row r="16">
      <c r="A16" t="inlineStr">
        <is>
          <t>Cash tax rate on EBIT (%)  [driver]</t>
        </is>
      </c>
      <c r="B16" s="5">
        <f>Assumptions!$B$8</f>
        <v/>
      </c>
      <c r="C16" s="3" t="n">
        <v>28.5</v>
      </c>
      <c r="D16" s="3" t="n">
        <v>28.5</v>
      </c>
      <c r="E16" s="3" t="n">
        <v>28.5</v>
      </c>
      <c r="F16" s="3" t="n">
        <v>28.5</v>
      </c>
      <c r="G16" s="3" t="n">
        <v>28.5</v>
      </c>
      <c r="H16" s="3" t="n">
        <v>28.5</v>
      </c>
      <c r="I16" s="3" t="n">
        <v>28.5</v>
      </c>
      <c r="J16" s="3" t="n">
        <v>28.5</v>
      </c>
      <c r="K16" s="3" t="n">
        <v>28.5</v>
      </c>
      <c r="L16" s="3" t="n">
        <v>28.5</v>
      </c>
    </row>
    <row r="17">
      <c r="A17" t="inlineStr">
        <is>
          <t>NOPAT</t>
        </is>
      </c>
      <c r="B17">
        <f>B15-MAX(0,B15)*B16/100</f>
        <v/>
      </c>
      <c r="C17">
        <f>C15-MAX(0,C15)*C16/100</f>
        <v/>
      </c>
      <c r="D17">
        <f>D15-MAX(0,D15)*D16/100</f>
        <v/>
      </c>
      <c r="E17">
        <f>E15-MAX(0,E15)*E16/100</f>
        <v/>
      </c>
      <c r="F17">
        <f>F15-MAX(0,F15)*F16/100</f>
        <v/>
      </c>
      <c r="G17">
        <f>G15-MAX(0,G15)*G16/100</f>
        <v/>
      </c>
      <c r="H17">
        <f>H15-MAX(0,H15)*H16/100</f>
        <v/>
      </c>
      <c r="I17">
        <f>I15-MAX(0,I15)*I16/100</f>
        <v/>
      </c>
      <c r="J17">
        <f>J15-MAX(0,J15)*J16/100</f>
        <v/>
      </c>
      <c r="K17">
        <f>K15-MAX(0,K15)*K16/100</f>
        <v/>
      </c>
      <c r="L17">
        <f>L15-MAX(0,L15)*L16/100</f>
        <v/>
      </c>
    </row>
    <row r="18">
      <c r="A18" t="inlineStr">
        <is>
          <t>add back D&amp;A</t>
        </is>
      </c>
      <c r="B18">
        <f>-B14</f>
        <v/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Capex (% revenue)  [driver]</t>
        </is>
      </c>
      <c r="B19" s="5">
        <f>Assumptions!$B$17/B6*100</f>
        <v/>
      </c>
      <c r="C19" s="3" t="n">
        <v>0.75</v>
      </c>
      <c r="D19" s="3" t="n">
        <v>0.75</v>
      </c>
      <c r="E19" s="3" t="n">
        <v>0.75</v>
      </c>
      <c r="F19" s="3" t="n">
        <v>0.75</v>
      </c>
      <c r="G19" s="3" t="n">
        <v>0.75</v>
      </c>
      <c r="H19" s="3" t="n">
        <v>0.75</v>
      </c>
      <c r="I19" s="3" t="n">
        <v>0.75</v>
      </c>
      <c r="J19" s="3" t="n">
        <v>0.75</v>
      </c>
      <c r="K19" s="3" t="n">
        <v>0.75</v>
      </c>
      <c r="L19" s="3" t="n">
        <v>0.75</v>
      </c>
    </row>
    <row r="20">
      <c r="A20" t="inlineStr">
        <is>
          <t>Capex</t>
        </is>
      </c>
      <c r="B20">
        <f>-B6*B19/100</f>
        <v/>
      </c>
      <c r="C20">
        <f>-C6*C19/100</f>
        <v/>
      </c>
      <c r="D20">
        <f>-D6*D19/100</f>
        <v/>
      </c>
      <c r="E20">
        <f>-E6*E19/100</f>
        <v/>
      </c>
      <c r="F20">
        <f>-F6*F19/100</f>
        <v/>
      </c>
      <c r="G20">
        <f>-G6*G19/100</f>
        <v/>
      </c>
      <c r="H20">
        <f>-H6*H19/100</f>
        <v/>
      </c>
      <c r="I20">
        <f>-I6*I19/100</f>
        <v/>
      </c>
      <c r="J20">
        <f>-J6*J19/100</f>
        <v/>
      </c>
      <c r="K20">
        <f>-K6*K19/100</f>
        <v/>
      </c>
      <c r="L20">
        <f>-L6*L19/100</f>
        <v/>
      </c>
    </row>
    <row r="21">
      <c r="A21" t="inlineStr">
        <is>
          <t>Working-capital build (capture x revenue change)</t>
        </is>
      </c>
      <c r="B21" s="3" t="n">
        <v>-7</v>
      </c>
      <c r="C21" s="5">
        <f>Assumptions!$B$23/100*(C6-B6)</f>
        <v/>
      </c>
      <c r="D21" s="5">
        <f>Assumptions!$B$23/100*(D6-C6)</f>
        <v/>
      </c>
      <c r="E21" s="5">
        <f>Assumptions!$B$23/100*(E6-D6)</f>
        <v/>
      </c>
      <c r="F21" s="5">
        <f>Assumptions!$B$23/100*(F6-E6)</f>
        <v/>
      </c>
      <c r="G21" s="5">
        <f>Assumptions!$B$23/100*(G6-F6)</f>
        <v/>
      </c>
      <c r="H21" s="5">
        <f>Assumptions!$B$23/100*(H6-G6)</f>
        <v/>
      </c>
      <c r="I21" s="5">
        <f>Assumptions!$B$23/100*(I6-H6)</f>
        <v/>
      </c>
      <c r="J21" s="5">
        <f>Assumptions!$B$23/100*(J6-I6)</f>
        <v/>
      </c>
      <c r="K21" s="5">
        <f>Assumptions!$B$23/100*(K6-J6)</f>
        <v/>
      </c>
      <c r="L21" s="5">
        <f>Assumptions!$B$23/100*(L6-K6)</f>
        <v/>
      </c>
    </row>
    <row r="22">
      <c r="A22" s="1" t="inlineStr">
        <is>
          <t>Unlevered owner FCF</t>
        </is>
      </c>
      <c r="B22">
        <f>B17+B18+B20+B21</f>
        <v/>
      </c>
      <c r="C22" s="1">
        <f>C17+C18+C20+C21</f>
        <v/>
      </c>
      <c r="D22" s="1">
        <f>D17+D18+D20+D21</f>
        <v/>
      </c>
      <c r="E22" s="1">
        <f>E17+E18+E20+E21</f>
        <v/>
      </c>
      <c r="F22" s="1">
        <f>F17+F18+F20+F21</f>
        <v/>
      </c>
      <c r="G22" s="1">
        <f>G17+G18+G20+G21</f>
        <v/>
      </c>
      <c r="H22" s="1">
        <f>H17+H18+H20+H21</f>
        <v/>
      </c>
      <c r="I22" s="1">
        <f>I17+I18+I20+I21</f>
        <v/>
      </c>
      <c r="J22" s="1">
        <f>J17+J18+J20+J21</f>
        <v/>
      </c>
      <c r="K22" s="1">
        <f>K17+K18+K20+K21</f>
        <v/>
      </c>
      <c r="L22" s="1">
        <f>L17+L18+L20+L21</f>
        <v/>
      </c>
    </row>
    <row r="23">
      <c r="A23" t="inlineStr">
        <is>
          <t>Discount factor</t>
        </is>
      </c>
      <c r="C23" s="5">
        <f>1/(1+Assumptions!$B$4/100)^C4</f>
        <v/>
      </c>
      <c r="D23" s="5">
        <f>1/(1+Assumptions!$B$4/100)^D4</f>
        <v/>
      </c>
      <c r="E23" s="5">
        <f>1/(1+Assumptions!$B$4/100)^E4</f>
        <v/>
      </c>
      <c r="F23" s="5">
        <f>1/(1+Assumptions!$B$4/100)^F4</f>
        <v/>
      </c>
      <c r="G23" s="5">
        <f>1/(1+Assumptions!$B$4/100)^G4</f>
        <v/>
      </c>
      <c r="H23" s="5">
        <f>1/(1+Assumptions!$B$4/100)^H4</f>
        <v/>
      </c>
      <c r="I23" s="5">
        <f>1/(1+Assumptions!$B$4/100)^I4</f>
        <v/>
      </c>
      <c r="J23" s="5">
        <f>1/(1+Assumptions!$B$4/100)^J4</f>
        <v/>
      </c>
      <c r="K23" s="5">
        <f>1/(1+Assumptions!$B$4/100)^K4</f>
        <v/>
      </c>
      <c r="L23" s="5">
        <f>1/(1+Assumptions!$B$4/100)^L4</f>
        <v/>
      </c>
    </row>
    <row r="24">
      <c r="A24" t="inlineStr">
        <is>
          <t>PV of owner FCF</t>
        </is>
      </c>
      <c r="C24">
        <f>C22*C23</f>
        <v/>
      </c>
      <c r="D24">
        <f>D22*D23</f>
        <v/>
      </c>
      <c r="E24">
        <f>E22*E23</f>
        <v/>
      </c>
      <c r="F24">
        <f>F22*F23</f>
        <v/>
      </c>
      <c r="G24">
        <f>G22*G23</f>
        <v/>
      </c>
      <c r="H24">
        <f>H22*H23</f>
        <v/>
      </c>
      <c r="I24">
        <f>I22*I23</f>
        <v/>
      </c>
      <c r="J24">
        <f>J22*J23</f>
        <v/>
      </c>
      <c r="K24">
        <f>K22*K23</f>
        <v/>
      </c>
      <c r="L24">
        <f>L22*L23</f>
        <v/>
      </c>
    </row>
    <row r="26">
      <c r="A26" t="inlineStr">
        <is>
          <t>Memo: FCF before SBC (street style)</t>
        </is>
      </c>
      <c r="B26">
        <f>B22-B10</f>
        <v/>
      </c>
      <c r="C26">
        <f>C22-C10</f>
        <v/>
      </c>
      <c r="D26">
        <f>D22-D10</f>
        <v/>
      </c>
      <c r="E26">
        <f>E22-E10</f>
        <v/>
      </c>
      <c r="F26">
        <f>F22-F10</f>
        <v/>
      </c>
      <c r="G26">
        <f>G22-G10</f>
        <v/>
      </c>
      <c r="H26">
        <f>H22-H10</f>
        <v/>
      </c>
      <c r="I26">
        <f>I22-I10</f>
        <v/>
      </c>
      <c r="J26">
        <f>J22-J10</f>
        <v/>
      </c>
      <c r="K26">
        <f>K22-K10</f>
        <v/>
      </c>
      <c r="L26">
        <f>L22-L10</f>
        <v/>
      </c>
    </row>
    <row r="27">
      <c r="A27" t="inlineStr">
        <is>
          <t>Memo: owner FCF margin (%)</t>
        </is>
      </c>
      <c r="B27">
        <f>B22/B6*100</f>
        <v/>
      </c>
      <c r="C27">
        <f>C22/C6*100</f>
        <v/>
      </c>
      <c r="D27">
        <f>D22/D6*100</f>
        <v/>
      </c>
      <c r="E27">
        <f>E22/E6*100</f>
        <v/>
      </c>
      <c r="F27">
        <f>F22/F6*100</f>
        <v/>
      </c>
      <c r="G27">
        <f>G22/G6*100</f>
        <v/>
      </c>
      <c r="H27">
        <f>H22/H6*100</f>
        <v/>
      </c>
      <c r="I27">
        <f>I22/I6*100</f>
        <v/>
      </c>
      <c r="J27">
        <f>J22/J6*100</f>
        <v/>
      </c>
      <c r="K27">
        <f>K22/K6*100</f>
        <v/>
      </c>
      <c r="L27">
        <f>L22/L6*100</f>
        <v/>
      </c>
    </row>
    <row r="29">
      <c r="A29" t="inlineStr">
        <is>
          <t>Sum of PV (explicit years)</t>
        </is>
      </c>
      <c r="B29">
        <f>SUM(C24:L24)</f>
        <v/>
      </c>
    </row>
    <row r="30">
      <c r="A30" t="inlineStr">
        <is>
          <t>Terminal growth (%)</t>
        </is>
      </c>
      <c r="B30" s="5">
        <f>Assumptions!$B$21</f>
        <v/>
      </c>
    </row>
    <row r="31">
      <c r="A31" t="inlineStr">
        <is>
          <t>Terminal-year FCF x (1+g)</t>
        </is>
      </c>
      <c r="B31">
        <f>L22*(1+B30/100)</f>
        <v/>
      </c>
    </row>
    <row r="32">
      <c r="A32" t="inlineStr">
        <is>
          <t>Gordon TV</t>
        </is>
      </c>
      <c r="B32">
        <f>IF(Assumptions!$B$4&gt;B30,B31/((Assumptions!$B$4-B30)/100),"n/a")</f>
        <v/>
      </c>
    </row>
    <row r="33">
      <c r="A33" t="inlineStr">
        <is>
          <t>Cap TV (cap x FCF_10)</t>
        </is>
      </c>
      <c r="B33" s="5">
        <f>Assumptions!$B$13*L22</f>
        <v/>
      </c>
    </row>
    <row r="34">
      <c r="A34" t="inlineStr">
        <is>
          <t>Terminal value used = MAX(0,MIN(Gordon,cap))</t>
        </is>
      </c>
      <c r="B34">
        <f>MAX(0,MIN(B32,B33))</f>
        <v/>
      </c>
    </row>
    <row r="35">
      <c r="A35" t="inlineStr">
        <is>
          <t>Implied exit multiple (TV / FCF_10)</t>
        </is>
      </c>
      <c r="B35">
        <f>B34/L22</f>
        <v/>
      </c>
    </row>
    <row r="36">
      <c r="A36" t="inlineStr">
        <is>
          <t>PV of terminal value</t>
        </is>
      </c>
      <c r="B36">
        <f>B34*L23</f>
        <v/>
      </c>
    </row>
    <row r="37">
      <c r="A37" t="inlineStr">
        <is>
          <t>Enterprise value</t>
        </is>
      </c>
      <c r="B37">
        <f>B29+B36</f>
        <v/>
      </c>
    </row>
    <row r="38">
      <c r="A38" t="inlineStr">
        <is>
          <t>less net debt (bank + NCI put; leases excluded)</t>
        </is>
      </c>
      <c r="B38">
        <f>-Assumptions!$B$9</f>
        <v/>
      </c>
    </row>
    <row r="39">
      <c r="A39" t="inlineStr">
        <is>
          <t>Equity value</t>
        </is>
      </c>
      <c r="B39">
        <f>B37+B38</f>
        <v/>
      </c>
    </row>
    <row r="40">
      <c r="A40" t="inlineStr">
        <is>
          <t>Diluted shares (m)</t>
        </is>
      </c>
      <c r="B40" s="5">
        <f>Assumptions!$B$10</f>
        <v/>
      </c>
    </row>
    <row r="41">
      <c r="A41" t="inlineStr">
        <is>
          <t>Value per share (AUD)</t>
        </is>
      </c>
      <c r="B41" s="6">
        <f>B39/B40</f>
        <v/>
      </c>
    </row>
    <row r="42">
      <c r="A42" t="inlineStr">
        <is>
          <t>Value per share (NZD)</t>
        </is>
      </c>
      <c r="B42" s="6">
        <f>B41*Assumptions!$B$12</f>
        <v/>
      </c>
    </row>
    <row r="43">
      <c r="A43" t="inlineStr">
        <is>
          <t>Upside vs price (%)</t>
        </is>
      </c>
      <c r="B43">
        <f>(B42/Assumptions!$B$11-1)*100</f>
        <v/>
      </c>
    </row>
    <row r="44">
      <c r="A44" t="inlineStr">
        <is>
          <t>Terminal % of EV</t>
        </is>
      </c>
      <c r="B44">
        <f>B36/B37*100</f>
        <v/>
      </c>
    </row>
    <row r="46">
      <c r="A46" s="1" t="inlineStr">
        <is>
          <t>Street memo (SBC as non-cash)</t>
        </is>
      </c>
    </row>
    <row r="47">
      <c r="A47" t="inlineStr">
        <is>
          <t>PV of explicit-period SBC</t>
        </is>
      </c>
      <c r="B47">
        <f>SUMPRODUCT(-C10:L10/(1+Assumptions!$B$4/100)^C4:L4)</f>
        <v/>
      </c>
    </row>
    <row r="48">
      <c r="A48" t="inlineStr">
        <is>
          <t>PV of terminal SBC (Gordon)</t>
        </is>
      </c>
      <c r="B48">
        <f>IF(Assumptions!$B$4&gt;B30,(-L10*(1+B30/100)/((Assumptions!$B$4-B30)/100))*L23,0)</f>
        <v/>
      </c>
    </row>
    <row r="49">
      <c r="A49" t="inlineStr">
        <is>
          <t>Street value per share (AUD)</t>
        </is>
      </c>
      <c r="B49">
        <f>(B39+B47+B48)/B40</f>
        <v/>
      </c>
    </row>
    <row r="50">
      <c r="A50" t="inlineStr">
        <is>
          <t>Street value per share (NZD)</t>
        </is>
      </c>
      <c r="B50">
        <f>B49*Assumptions!$B$12</f>
        <v/>
      </c>
    </row>
    <row r="52">
      <c r="A52" s="1" t="inlineStr">
        <is>
          <t>Entry price at the hurdle (TV rebuilt at the hurdle)</t>
        </is>
      </c>
    </row>
    <row r="53">
      <c r="A53" t="inlineStr">
        <is>
          <t>PV of interim FCF at hurdle</t>
        </is>
      </c>
      <c r="B53">
        <f>SUMPRODUCT(C22:L22/(1+Assumptions!$B$14)^C4:L4)</f>
        <v/>
      </c>
    </row>
    <row r="54">
      <c r="A54" t="inlineStr">
        <is>
          <t>TV at hurdle = MAX(0,MIN(Gordon@h, cap x FCF_10))</t>
        </is>
      </c>
      <c r="B54">
        <f>MAX(0,MIN(L22*(1+B30/100)/(Assumptions!$B$14-B30/100),Assumptions!$B$13*L22))</f>
        <v/>
      </c>
    </row>
    <row r="55">
      <c r="A55" t="inlineStr">
        <is>
          <t>PV of TV at hurdle</t>
        </is>
      </c>
      <c r="B55">
        <f>B54/(1+Assumptions!$B$14)^10</f>
        <v/>
      </c>
    </row>
    <row r="56">
      <c r="A56" t="inlineStr">
        <is>
          <t>Entry price (AUD)</t>
        </is>
      </c>
      <c r="B56">
        <f>(B53+B55-Assumptions!$B$9)/B40</f>
        <v/>
      </c>
    </row>
    <row r="57">
      <c r="A57" t="inlineStr">
        <is>
          <t>Entry price (NZD)</t>
        </is>
      </c>
      <c r="B57" s="6">
        <f>B56*Assumptions!$B$12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Base scenario -- unlevered owner FCF, AUD millions</t>
        </is>
      </c>
    </row>
    <row r="3">
      <c r="A3" s="1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(%)  [driver]</t>
        </is>
      </c>
      <c r="C5" s="2" t="n">
        <v>5.5</v>
      </c>
      <c r="D5" s="2" t="n">
        <v>5</v>
      </c>
      <c r="E5" s="2" t="n">
        <v>4.5</v>
      </c>
      <c r="F5" s="2" t="n">
        <v>4.5</v>
      </c>
      <c r="G5" s="2" t="n">
        <v>4</v>
      </c>
      <c r="H5" s="2" t="n">
        <v>4</v>
      </c>
      <c r="I5" s="2" t="n">
        <v>3.5</v>
      </c>
      <c r="J5" s="2" t="n">
        <v>3.5</v>
      </c>
      <c r="K5" s="2" t="n">
        <v>3</v>
      </c>
      <c r="L5" s="2" t="n">
        <v>3</v>
      </c>
    </row>
    <row r="6">
      <c r="A6" t="inlineStr">
        <is>
          <t>Revenue</t>
        </is>
      </c>
      <c r="B6" s="5">
        <f>Assumptions!$B$15</f>
        <v/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Underlying EBITDA margin (%)  [driver]</t>
        </is>
      </c>
      <c r="B7" s="3" t="n">
        <v>4.55</v>
      </c>
      <c r="C7" s="2" t="n">
        <v>4.55</v>
      </c>
      <c r="D7" s="2" t="n">
        <v>4.65</v>
      </c>
      <c r="E7" s="2" t="n">
        <v>4.75</v>
      </c>
      <c r="F7" s="2" t="n">
        <v>4.8</v>
      </c>
      <c r="G7" s="2" t="n">
        <v>4.85</v>
      </c>
      <c r="H7" s="2" t="n">
        <v>4.9</v>
      </c>
      <c r="I7" s="2" t="n">
        <v>4.9</v>
      </c>
      <c r="J7" s="2" t="n">
        <v>4.9</v>
      </c>
      <c r="K7" s="2" t="n">
        <v>4.9</v>
      </c>
      <c r="L7" s="2" t="n">
        <v>4.9</v>
      </c>
    </row>
    <row r="8">
      <c r="A8" t="inlineStr">
        <is>
          <t>Underlying EBITDA</t>
        </is>
      </c>
      <c r="B8">
        <f>B6*B7/100</f>
        <v/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revenue)  [driver]</t>
        </is>
      </c>
      <c r="B9" s="5">
        <f>Assumptions!$B$7</f>
        <v/>
      </c>
      <c r="C9" s="3" t="n">
        <v>0.05</v>
      </c>
      <c r="D9" s="3" t="n">
        <v>0.05</v>
      </c>
      <c r="E9" s="3" t="n">
        <v>0.05</v>
      </c>
      <c r="F9" s="3" t="n">
        <v>0.05</v>
      </c>
      <c r="G9" s="3" t="n">
        <v>0.05</v>
      </c>
      <c r="H9" s="3" t="n">
        <v>0.05</v>
      </c>
      <c r="I9" s="3" t="n">
        <v>0.05</v>
      </c>
      <c r="J9" s="3" t="n">
        <v>0.05</v>
      </c>
      <c r="K9" s="3" t="n">
        <v>0.05</v>
      </c>
      <c r="L9" s="3" t="n">
        <v>0.05</v>
      </c>
    </row>
    <row r="10">
      <c r="A10" t="inlineStr">
        <is>
          <t>SBC</t>
        </is>
      </c>
      <c r="B10">
        <f>-B6*B9/100</f>
        <v/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(% revenue)</t>
        </is>
      </c>
      <c r="B11" s="5">
        <f>Assumptions!$B$6</f>
        <v/>
      </c>
      <c r="C11" s="5">
        <f>Assumptions!$B$6</f>
        <v/>
      </c>
      <c r="D11" s="5">
        <f>Assumptions!$B$6</f>
        <v/>
      </c>
      <c r="E11" s="5">
        <f>Assumptions!$B$6</f>
        <v/>
      </c>
      <c r="F11" s="5">
        <f>Assumptions!$B$6</f>
        <v/>
      </c>
      <c r="G11" s="5">
        <f>Assumptions!$B$6</f>
        <v/>
      </c>
      <c r="H11" s="5">
        <f>Assumptions!$B$6</f>
        <v/>
      </c>
      <c r="I11" s="5">
        <f>Assumptions!$B$6</f>
        <v/>
      </c>
      <c r="J11" s="5">
        <f>Assumptions!$B$6</f>
        <v/>
      </c>
      <c r="K11" s="5">
        <f>Assumptions!$B$6</f>
        <v/>
      </c>
      <c r="L11" s="5">
        <f>Assumptions!$B$6</f>
        <v/>
      </c>
    </row>
    <row r="12">
      <c r="A12" t="inlineStr">
        <is>
          <t>Lease cash (principal + interest)</t>
        </is>
      </c>
      <c r="B12">
        <f>-B6*B11/100</f>
        <v/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Owner EBITDA (after SBC and leases)</t>
        </is>
      </c>
      <c r="B13">
        <f>B8+B10+B12</f>
        <v/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</t>
        </is>
      </c>
      <c r="B14">
        <f>-B6*Assumptions!$B$5/100</f>
        <v/>
      </c>
      <c r="C14" s="5">
        <f>-C6*Assumptions!$B$5/100</f>
        <v/>
      </c>
      <c r="D14" s="5">
        <f>-D6*Assumptions!$B$5/100</f>
        <v/>
      </c>
      <c r="E14" s="5">
        <f>-E6*Assumptions!$B$5/100</f>
        <v/>
      </c>
      <c r="F14" s="5">
        <f>-F6*Assumptions!$B$5/100</f>
        <v/>
      </c>
      <c r="G14" s="5">
        <f>-G6*Assumptions!$B$5/100</f>
        <v/>
      </c>
      <c r="H14" s="5">
        <f>-H6*Assumptions!$B$5/100</f>
        <v/>
      </c>
      <c r="I14" s="5">
        <f>-I6*Assumptions!$B$5/100</f>
        <v/>
      </c>
      <c r="J14" s="5">
        <f>-J6*Assumptions!$B$5/100</f>
        <v/>
      </c>
      <c r="K14" s="5">
        <f>-K6*Assumptions!$B$5/100</f>
        <v/>
      </c>
      <c r="L14" s="5">
        <f>-L6*Assumptions!$B$5/100</f>
        <v/>
      </c>
    </row>
    <row r="15">
      <c r="A15" t="inlineStr">
        <is>
          <t>EBIT</t>
        </is>
      </c>
      <c r="B15">
        <f>B13+B14</f>
        <v/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G13+G14</f>
        <v/>
      </c>
      <c r="H15">
        <f>H13+H14</f>
        <v/>
      </c>
      <c r="I15">
        <f>I13+I14</f>
        <v/>
      </c>
      <c r="J15">
        <f>J13+J14</f>
        <v/>
      </c>
      <c r="K15">
        <f>K13+K14</f>
        <v/>
      </c>
      <c r="L15">
        <f>L13+L14</f>
        <v/>
      </c>
    </row>
    <row r="16">
      <c r="A16" t="inlineStr">
        <is>
          <t>Cash tax rate on EBIT (%)  [driver]</t>
        </is>
      </c>
      <c r="B16" s="5">
        <f>Assumptions!$B$8</f>
        <v/>
      </c>
      <c r="C16" s="3" t="n">
        <v>28.5</v>
      </c>
      <c r="D16" s="3" t="n">
        <v>28.5</v>
      </c>
      <c r="E16" s="3" t="n">
        <v>28.5</v>
      </c>
      <c r="F16" s="3" t="n">
        <v>28.5</v>
      </c>
      <c r="G16" s="3" t="n">
        <v>28.5</v>
      </c>
      <c r="H16" s="3" t="n">
        <v>28.5</v>
      </c>
      <c r="I16" s="3" t="n">
        <v>28.5</v>
      </c>
      <c r="J16" s="3" t="n">
        <v>28.5</v>
      </c>
      <c r="K16" s="3" t="n">
        <v>28.5</v>
      </c>
      <c r="L16" s="3" t="n">
        <v>28.5</v>
      </c>
    </row>
    <row r="17">
      <c r="A17" t="inlineStr">
        <is>
          <t>NOPAT</t>
        </is>
      </c>
      <c r="B17">
        <f>B15-MAX(0,B15)*B16/100</f>
        <v/>
      </c>
      <c r="C17">
        <f>C15-MAX(0,C15)*C16/100</f>
        <v/>
      </c>
      <c r="D17">
        <f>D15-MAX(0,D15)*D16/100</f>
        <v/>
      </c>
      <c r="E17">
        <f>E15-MAX(0,E15)*E16/100</f>
        <v/>
      </c>
      <c r="F17">
        <f>F15-MAX(0,F15)*F16/100</f>
        <v/>
      </c>
      <c r="G17">
        <f>G15-MAX(0,G15)*G16/100</f>
        <v/>
      </c>
      <c r="H17">
        <f>H15-MAX(0,H15)*H16/100</f>
        <v/>
      </c>
      <c r="I17">
        <f>I15-MAX(0,I15)*I16/100</f>
        <v/>
      </c>
      <c r="J17">
        <f>J15-MAX(0,J15)*J16/100</f>
        <v/>
      </c>
      <c r="K17">
        <f>K15-MAX(0,K15)*K16/100</f>
        <v/>
      </c>
      <c r="L17">
        <f>L15-MAX(0,L15)*L16/100</f>
        <v/>
      </c>
    </row>
    <row r="18">
      <c r="A18" t="inlineStr">
        <is>
          <t>add back D&amp;A</t>
        </is>
      </c>
      <c r="B18">
        <f>-B14</f>
        <v/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Capex (% revenue)  [driver]</t>
        </is>
      </c>
      <c r="B19" s="5">
        <f>Assumptions!$B$17/B6*100</f>
        <v/>
      </c>
      <c r="C19" s="3" t="n">
        <v>0.71</v>
      </c>
      <c r="D19" s="3" t="n">
        <v>0.7</v>
      </c>
      <c r="E19" s="3" t="n">
        <v>0.7</v>
      </c>
      <c r="F19" s="3" t="n">
        <v>0.7</v>
      </c>
      <c r="G19" s="3" t="n">
        <v>0.7</v>
      </c>
      <c r="H19" s="3" t="n">
        <v>0.7</v>
      </c>
      <c r="I19" s="3" t="n">
        <v>0.7</v>
      </c>
      <c r="J19" s="3" t="n">
        <v>0.7</v>
      </c>
      <c r="K19" s="3" t="n">
        <v>0.7</v>
      </c>
      <c r="L19" s="3" t="n">
        <v>0.7</v>
      </c>
    </row>
    <row r="20">
      <c r="A20" t="inlineStr">
        <is>
          <t>Capex</t>
        </is>
      </c>
      <c r="B20">
        <f>-B6*B19/100</f>
        <v/>
      </c>
      <c r="C20">
        <f>-C6*C19/100</f>
        <v/>
      </c>
      <c r="D20">
        <f>-D6*D19/100</f>
        <v/>
      </c>
      <c r="E20">
        <f>-E6*E19/100</f>
        <v/>
      </c>
      <c r="F20">
        <f>-F6*F19/100</f>
        <v/>
      </c>
      <c r="G20">
        <f>-G6*G19/100</f>
        <v/>
      </c>
      <c r="H20">
        <f>-H6*H19/100</f>
        <v/>
      </c>
      <c r="I20">
        <f>-I6*I19/100</f>
        <v/>
      </c>
      <c r="J20">
        <f>-J6*J19/100</f>
        <v/>
      </c>
      <c r="K20">
        <f>-K6*K19/100</f>
        <v/>
      </c>
      <c r="L20">
        <f>-L6*L19/100</f>
        <v/>
      </c>
    </row>
    <row r="21">
      <c r="A21" t="inlineStr">
        <is>
          <t>Working-capital build (capture x revenue change)</t>
        </is>
      </c>
      <c r="B21" s="3" t="n">
        <v>-7</v>
      </c>
      <c r="C21" s="5">
        <f>Assumptions!$C$23/100*(C6-B6)</f>
        <v/>
      </c>
      <c r="D21" s="5">
        <f>Assumptions!$C$23/100*(D6-C6)</f>
        <v/>
      </c>
      <c r="E21" s="5">
        <f>Assumptions!$C$23/100*(E6-D6)</f>
        <v/>
      </c>
      <c r="F21" s="5">
        <f>Assumptions!$C$23/100*(F6-E6)</f>
        <v/>
      </c>
      <c r="G21" s="5">
        <f>Assumptions!$C$23/100*(G6-F6)</f>
        <v/>
      </c>
      <c r="H21" s="5">
        <f>Assumptions!$C$23/100*(H6-G6)</f>
        <v/>
      </c>
      <c r="I21" s="5">
        <f>Assumptions!$C$23/100*(I6-H6)</f>
        <v/>
      </c>
      <c r="J21" s="5">
        <f>Assumptions!$C$23/100*(J6-I6)</f>
        <v/>
      </c>
      <c r="K21" s="5">
        <f>Assumptions!$C$23/100*(K6-J6)</f>
        <v/>
      </c>
      <c r="L21" s="5">
        <f>Assumptions!$C$23/100*(L6-K6)</f>
        <v/>
      </c>
    </row>
    <row r="22">
      <c r="A22" s="1" t="inlineStr">
        <is>
          <t>Unlevered owner FCF</t>
        </is>
      </c>
      <c r="B22">
        <f>B17+B18+B20+B21</f>
        <v/>
      </c>
      <c r="C22" s="1">
        <f>C17+C18+C20+C21</f>
        <v/>
      </c>
      <c r="D22" s="1">
        <f>D17+D18+D20+D21</f>
        <v/>
      </c>
      <c r="E22" s="1">
        <f>E17+E18+E20+E21</f>
        <v/>
      </c>
      <c r="F22" s="1">
        <f>F17+F18+F20+F21</f>
        <v/>
      </c>
      <c r="G22" s="1">
        <f>G17+G18+G20+G21</f>
        <v/>
      </c>
      <c r="H22" s="1">
        <f>H17+H18+H20+H21</f>
        <v/>
      </c>
      <c r="I22" s="1">
        <f>I17+I18+I20+I21</f>
        <v/>
      </c>
      <c r="J22" s="1">
        <f>J17+J18+J20+J21</f>
        <v/>
      </c>
      <c r="K22" s="1">
        <f>K17+K18+K20+K21</f>
        <v/>
      </c>
      <c r="L22" s="1">
        <f>L17+L18+L20+L21</f>
        <v/>
      </c>
    </row>
    <row r="23">
      <c r="A23" t="inlineStr">
        <is>
          <t>Discount factor</t>
        </is>
      </c>
      <c r="C23" s="5">
        <f>1/(1+Assumptions!$B$4/100)^C4</f>
        <v/>
      </c>
      <c r="D23" s="5">
        <f>1/(1+Assumptions!$B$4/100)^D4</f>
        <v/>
      </c>
      <c r="E23" s="5">
        <f>1/(1+Assumptions!$B$4/100)^E4</f>
        <v/>
      </c>
      <c r="F23" s="5">
        <f>1/(1+Assumptions!$B$4/100)^F4</f>
        <v/>
      </c>
      <c r="G23" s="5">
        <f>1/(1+Assumptions!$B$4/100)^G4</f>
        <v/>
      </c>
      <c r="H23" s="5">
        <f>1/(1+Assumptions!$B$4/100)^H4</f>
        <v/>
      </c>
      <c r="I23" s="5">
        <f>1/(1+Assumptions!$B$4/100)^I4</f>
        <v/>
      </c>
      <c r="J23" s="5">
        <f>1/(1+Assumptions!$B$4/100)^J4</f>
        <v/>
      </c>
      <c r="K23" s="5">
        <f>1/(1+Assumptions!$B$4/100)^K4</f>
        <v/>
      </c>
      <c r="L23" s="5">
        <f>1/(1+Assumptions!$B$4/100)^L4</f>
        <v/>
      </c>
    </row>
    <row r="24">
      <c r="A24" t="inlineStr">
        <is>
          <t>PV of owner FCF</t>
        </is>
      </c>
      <c r="C24">
        <f>C22*C23</f>
        <v/>
      </c>
      <c r="D24">
        <f>D22*D23</f>
        <v/>
      </c>
      <c r="E24">
        <f>E22*E23</f>
        <v/>
      </c>
      <c r="F24">
        <f>F22*F23</f>
        <v/>
      </c>
      <c r="G24">
        <f>G22*G23</f>
        <v/>
      </c>
      <c r="H24">
        <f>H22*H23</f>
        <v/>
      </c>
      <c r="I24">
        <f>I22*I23</f>
        <v/>
      </c>
      <c r="J24">
        <f>J22*J23</f>
        <v/>
      </c>
      <c r="K24">
        <f>K22*K23</f>
        <v/>
      </c>
      <c r="L24">
        <f>L22*L23</f>
        <v/>
      </c>
    </row>
    <row r="26">
      <c r="A26" t="inlineStr">
        <is>
          <t>Memo: FCF before SBC (street style)</t>
        </is>
      </c>
      <c r="B26">
        <f>B22-B10</f>
        <v/>
      </c>
      <c r="C26">
        <f>C22-C10</f>
        <v/>
      </c>
      <c r="D26">
        <f>D22-D10</f>
        <v/>
      </c>
      <c r="E26">
        <f>E22-E10</f>
        <v/>
      </c>
      <c r="F26">
        <f>F22-F10</f>
        <v/>
      </c>
      <c r="G26">
        <f>G22-G10</f>
        <v/>
      </c>
      <c r="H26">
        <f>H22-H10</f>
        <v/>
      </c>
      <c r="I26">
        <f>I22-I10</f>
        <v/>
      </c>
      <c r="J26">
        <f>J22-J10</f>
        <v/>
      </c>
      <c r="K26">
        <f>K22-K10</f>
        <v/>
      </c>
      <c r="L26">
        <f>L22-L10</f>
        <v/>
      </c>
    </row>
    <row r="27">
      <c r="A27" t="inlineStr">
        <is>
          <t>Memo: owner FCF margin (%)</t>
        </is>
      </c>
      <c r="B27">
        <f>B22/B6*100</f>
        <v/>
      </c>
      <c r="C27">
        <f>C22/C6*100</f>
        <v/>
      </c>
      <c r="D27">
        <f>D22/D6*100</f>
        <v/>
      </c>
      <c r="E27">
        <f>E22/E6*100</f>
        <v/>
      </c>
      <c r="F27">
        <f>F22/F6*100</f>
        <v/>
      </c>
      <c r="G27">
        <f>G22/G6*100</f>
        <v/>
      </c>
      <c r="H27">
        <f>H22/H6*100</f>
        <v/>
      </c>
      <c r="I27">
        <f>I22/I6*100</f>
        <v/>
      </c>
      <c r="J27">
        <f>J22/J6*100</f>
        <v/>
      </c>
      <c r="K27">
        <f>K22/K6*100</f>
        <v/>
      </c>
      <c r="L27">
        <f>L22/L6*100</f>
        <v/>
      </c>
    </row>
    <row r="29">
      <c r="A29" t="inlineStr">
        <is>
          <t>Sum of PV (explicit years)</t>
        </is>
      </c>
      <c r="B29">
        <f>SUM(C24:L24)</f>
        <v/>
      </c>
    </row>
    <row r="30">
      <c r="A30" t="inlineStr">
        <is>
          <t>Terminal growth (%)</t>
        </is>
      </c>
      <c r="B30" s="5">
        <f>Assumptions!$C$21</f>
        <v/>
      </c>
    </row>
    <row r="31">
      <c r="A31" t="inlineStr">
        <is>
          <t>Terminal-year FCF x (1+g)</t>
        </is>
      </c>
      <c r="B31">
        <f>L22*(1+B30/100)</f>
        <v/>
      </c>
    </row>
    <row r="32">
      <c r="A32" t="inlineStr">
        <is>
          <t>Gordon TV</t>
        </is>
      </c>
      <c r="B32">
        <f>IF(Assumptions!$B$4&gt;B30,B31/((Assumptions!$B$4-B30)/100),"n/a")</f>
        <v/>
      </c>
    </row>
    <row r="33">
      <c r="A33" t="inlineStr">
        <is>
          <t>Cap TV (cap x FCF_10)</t>
        </is>
      </c>
      <c r="B33" s="5">
        <f>Assumptions!$B$13*L22</f>
        <v/>
      </c>
    </row>
    <row r="34">
      <c r="A34" t="inlineStr">
        <is>
          <t>Terminal value used = MAX(0,MIN(Gordon,cap))</t>
        </is>
      </c>
      <c r="B34">
        <f>MAX(0,MIN(B32,B33))</f>
        <v/>
      </c>
    </row>
    <row r="35">
      <c r="A35" t="inlineStr">
        <is>
          <t>Implied exit multiple (TV / FCF_10)</t>
        </is>
      </c>
      <c r="B35">
        <f>B34/L22</f>
        <v/>
      </c>
    </row>
    <row r="36">
      <c r="A36" t="inlineStr">
        <is>
          <t>PV of terminal value</t>
        </is>
      </c>
      <c r="B36">
        <f>B34*L23</f>
        <v/>
      </c>
    </row>
    <row r="37">
      <c r="A37" t="inlineStr">
        <is>
          <t>Enterprise value</t>
        </is>
      </c>
      <c r="B37">
        <f>B29+B36</f>
        <v/>
      </c>
    </row>
    <row r="38">
      <c r="A38" t="inlineStr">
        <is>
          <t>less net debt (bank + NCI put; leases excluded)</t>
        </is>
      </c>
      <c r="B38">
        <f>-Assumptions!$B$9</f>
        <v/>
      </c>
    </row>
    <row r="39">
      <c r="A39" t="inlineStr">
        <is>
          <t>Equity value</t>
        </is>
      </c>
      <c r="B39">
        <f>B37+B38</f>
        <v/>
      </c>
    </row>
    <row r="40">
      <c r="A40" t="inlineStr">
        <is>
          <t>Diluted shares (m)</t>
        </is>
      </c>
      <c r="B40" s="5">
        <f>Assumptions!$B$10</f>
        <v/>
      </c>
    </row>
    <row r="41">
      <c r="A41" t="inlineStr">
        <is>
          <t>Value per share (AUD)</t>
        </is>
      </c>
      <c r="B41" s="6">
        <f>B39/B40</f>
        <v/>
      </c>
    </row>
    <row r="42">
      <c r="A42" t="inlineStr">
        <is>
          <t>Value per share (NZD)</t>
        </is>
      </c>
      <c r="B42" s="6">
        <f>B41*Assumptions!$B$12</f>
        <v/>
      </c>
    </row>
    <row r="43">
      <c r="A43" t="inlineStr">
        <is>
          <t>Upside vs price (%)</t>
        </is>
      </c>
      <c r="B43">
        <f>(B42/Assumptions!$B$11-1)*100</f>
        <v/>
      </c>
    </row>
    <row r="44">
      <c r="A44" t="inlineStr">
        <is>
          <t>Terminal % of EV</t>
        </is>
      </c>
      <c r="B44">
        <f>B36/B37*100</f>
        <v/>
      </c>
    </row>
    <row r="46">
      <c r="A46" s="1" t="inlineStr">
        <is>
          <t>Street memo (SBC as non-cash)</t>
        </is>
      </c>
    </row>
    <row r="47">
      <c r="A47" t="inlineStr">
        <is>
          <t>PV of explicit-period SBC</t>
        </is>
      </c>
      <c r="B47">
        <f>SUMPRODUCT(-C10:L10/(1+Assumptions!$B$4/100)^C4:L4)</f>
        <v/>
      </c>
    </row>
    <row r="48">
      <c r="A48" t="inlineStr">
        <is>
          <t>PV of terminal SBC (Gordon)</t>
        </is>
      </c>
      <c r="B48">
        <f>IF(Assumptions!$B$4&gt;B30,(-L10*(1+B30/100)/((Assumptions!$B$4-B30)/100))*L23,0)</f>
        <v/>
      </c>
    </row>
    <row r="49">
      <c r="A49" t="inlineStr">
        <is>
          <t>Street value per share (AUD)</t>
        </is>
      </c>
      <c r="B49">
        <f>(B39+B47+B48)/B40</f>
        <v/>
      </c>
    </row>
    <row r="50">
      <c r="A50" t="inlineStr">
        <is>
          <t>Street value per share (NZD)</t>
        </is>
      </c>
      <c r="B50">
        <f>B49*Assumptions!$B$12</f>
        <v/>
      </c>
    </row>
    <row r="52">
      <c r="A52" s="1" t="inlineStr">
        <is>
          <t>Entry price at the hurdle (TV rebuilt at the hurdle)</t>
        </is>
      </c>
    </row>
    <row r="53">
      <c r="A53" t="inlineStr">
        <is>
          <t>PV of interim FCF at hurdle</t>
        </is>
      </c>
      <c r="B53">
        <f>SUMPRODUCT(C22:L22/(1+Assumptions!$B$14)^C4:L4)</f>
        <v/>
      </c>
    </row>
    <row r="54">
      <c r="A54" t="inlineStr">
        <is>
          <t>TV at hurdle = MAX(0,MIN(Gordon@h, cap x FCF_10))</t>
        </is>
      </c>
      <c r="B54">
        <f>MAX(0,MIN(L22*(1+B30/100)/(Assumptions!$B$14-B30/100),Assumptions!$B$13*L22))</f>
        <v/>
      </c>
    </row>
    <row r="55">
      <c r="A55" t="inlineStr">
        <is>
          <t>PV of TV at hurdle</t>
        </is>
      </c>
      <c r="B55">
        <f>B54/(1+Assumptions!$B$14)^10</f>
        <v/>
      </c>
    </row>
    <row r="56">
      <c r="A56" t="inlineStr">
        <is>
          <t>Entry price (AUD)</t>
        </is>
      </c>
      <c r="B56">
        <f>(B53+B55-Assumptions!$B$9)/B40</f>
        <v/>
      </c>
    </row>
    <row r="57">
      <c r="A57" t="inlineStr">
        <is>
          <t>Entry price (NZD)</t>
        </is>
      </c>
      <c r="B57" s="6">
        <f>B56*Assumptions!$B$12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Bull scenario -- unlevered owner FCF, AUD millions</t>
        </is>
      </c>
    </row>
    <row r="3">
      <c r="A3" s="1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  <c r="H3" s="1" t="inlineStr">
        <is>
          <t>FY2032E</t>
        </is>
      </c>
      <c r="I3" s="1" t="inlineStr">
        <is>
          <t>FY2033E</t>
        </is>
      </c>
      <c r="J3" s="1" t="inlineStr">
        <is>
          <t>FY2034E</t>
        </is>
      </c>
      <c r="K3" s="1" t="inlineStr">
        <is>
          <t>FY2035E</t>
        </is>
      </c>
      <c r="L3" s="1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(%)  [driver]</t>
        </is>
      </c>
      <c r="C5" s="2" t="n">
        <v>7</v>
      </c>
      <c r="D5" s="2" t="n">
        <v>6.5</v>
      </c>
      <c r="E5" s="2" t="n">
        <v>6</v>
      </c>
      <c r="F5" s="2" t="n">
        <v>5.5</v>
      </c>
      <c r="G5" s="2" t="n">
        <v>5</v>
      </c>
      <c r="H5" s="2" t="n">
        <v>4.5</v>
      </c>
      <c r="I5" s="2" t="n">
        <v>4</v>
      </c>
      <c r="J5" s="2" t="n">
        <v>4</v>
      </c>
      <c r="K5" s="2" t="n">
        <v>3.5</v>
      </c>
      <c r="L5" s="2" t="n">
        <v>3.5</v>
      </c>
    </row>
    <row r="6">
      <c r="A6" t="inlineStr">
        <is>
          <t>Revenue</t>
        </is>
      </c>
      <c r="B6" s="5">
        <f>Assumptions!$B$15</f>
        <v/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Underlying EBITDA margin (%)  [driver]</t>
        </is>
      </c>
      <c r="B7" s="3" t="n">
        <v>4.55</v>
      </c>
      <c r="C7" s="2" t="n">
        <v>4.62</v>
      </c>
      <c r="D7" s="2" t="n">
        <v>4.8</v>
      </c>
      <c r="E7" s="2" t="n">
        <v>4.95</v>
      </c>
      <c r="F7" s="2" t="n">
        <v>5.1</v>
      </c>
      <c r="G7" s="2" t="n">
        <v>5.2</v>
      </c>
      <c r="H7" s="2" t="n">
        <v>5.3</v>
      </c>
      <c r="I7" s="2" t="n">
        <v>5.35</v>
      </c>
      <c r="J7" s="2" t="n">
        <v>5.4</v>
      </c>
      <c r="K7" s="2" t="n">
        <v>5.4</v>
      </c>
      <c r="L7" s="2" t="n">
        <v>5.4</v>
      </c>
    </row>
    <row r="8">
      <c r="A8" t="inlineStr">
        <is>
          <t>Underlying EBITDA</t>
        </is>
      </c>
      <c r="B8">
        <f>B6*B7/100</f>
        <v/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revenue)  [driver]</t>
        </is>
      </c>
      <c r="B9" s="5">
        <f>Assumptions!$B$7</f>
        <v/>
      </c>
      <c r="C9" s="3" t="n">
        <v>0.05</v>
      </c>
      <c r="D9" s="3" t="n">
        <v>0.05</v>
      </c>
      <c r="E9" s="3" t="n">
        <v>0.05</v>
      </c>
      <c r="F9" s="3" t="n">
        <v>0.05</v>
      </c>
      <c r="G9" s="3" t="n">
        <v>0.05</v>
      </c>
      <c r="H9" s="3" t="n">
        <v>0.05</v>
      </c>
      <c r="I9" s="3" t="n">
        <v>0.05</v>
      </c>
      <c r="J9" s="3" t="n">
        <v>0.05</v>
      </c>
      <c r="K9" s="3" t="n">
        <v>0.05</v>
      </c>
      <c r="L9" s="3" t="n">
        <v>0.05</v>
      </c>
    </row>
    <row r="10">
      <c r="A10" t="inlineStr">
        <is>
          <t>SBC</t>
        </is>
      </c>
      <c r="B10">
        <f>-B6*B9/100</f>
        <v/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(% revenue)</t>
        </is>
      </c>
      <c r="B11" s="5">
        <f>Assumptions!$B$6</f>
        <v/>
      </c>
      <c r="C11" s="5">
        <f>Assumptions!$B$6</f>
        <v/>
      </c>
      <c r="D11" s="5">
        <f>Assumptions!$B$6</f>
        <v/>
      </c>
      <c r="E11" s="5">
        <f>Assumptions!$B$6</f>
        <v/>
      </c>
      <c r="F11" s="5">
        <f>Assumptions!$B$6</f>
        <v/>
      </c>
      <c r="G11" s="5">
        <f>Assumptions!$B$6</f>
        <v/>
      </c>
      <c r="H11" s="5">
        <f>Assumptions!$B$6</f>
        <v/>
      </c>
      <c r="I11" s="5">
        <f>Assumptions!$B$6</f>
        <v/>
      </c>
      <c r="J11" s="5">
        <f>Assumptions!$B$6</f>
        <v/>
      </c>
      <c r="K11" s="5">
        <f>Assumptions!$B$6</f>
        <v/>
      </c>
      <c r="L11" s="5">
        <f>Assumptions!$B$6</f>
        <v/>
      </c>
    </row>
    <row r="12">
      <c r="A12" t="inlineStr">
        <is>
          <t>Lease cash (principal + interest)</t>
        </is>
      </c>
      <c r="B12">
        <f>-B6*B11/100</f>
        <v/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Owner EBITDA (after SBC and leases)</t>
        </is>
      </c>
      <c r="B13">
        <f>B8+B10+B12</f>
        <v/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</t>
        </is>
      </c>
      <c r="B14">
        <f>-B6*Assumptions!$B$5/100</f>
        <v/>
      </c>
      <c r="C14" s="5">
        <f>-C6*Assumptions!$B$5/100</f>
        <v/>
      </c>
      <c r="D14" s="5">
        <f>-D6*Assumptions!$B$5/100</f>
        <v/>
      </c>
      <c r="E14" s="5">
        <f>-E6*Assumptions!$B$5/100</f>
        <v/>
      </c>
      <c r="F14" s="5">
        <f>-F6*Assumptions!$B$5/100</f>
        <v/>
      </c>
      <c r="G14" s="5">
        <f>-G6*Assumptions!$B$5/100</f>
        <v/>
      </c>
      <c r="H14" s="5">
        <f>-H6*Assumptions!$B$5/100</f>
        <v/>
      </c>
      <c r="I14" s="5">
        <f>-I6*Assumptions!$B$5/100</f>
        <v/>
      </c>
      <c r="J14" s="5">
        <f>-J6*Assumptions!$B$5/100</f>
        <v/>
      </c>
      <c r="K14" s="5">
        <f>-K6*Assumptions!$B$5/100</f>
        <v/>
      </c>
      <c r="L14" s="5">
        <f>-L6*Assumptions!$B$5/100</f>
        <v/>
      </c>
    </row>
    <row r="15">
      <c r="A15" t="inlineStr">
        <is>
          <t>EBIT</t>
        </is>
      </c>
      <c r="B15">
        <f>B13+B14</f>
        <v/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G13+G14</f>
        <v/>
      </c>
      <c r="H15">
        <f>H13+H14</f>
        <v/>
      </c>
      <c r="I15">
        <f>I13+I14</f>
        <v/>
      </c>
      <c r="J15">
        <f>J13+J14</f>
        <v/>
      </c>
      <c r="K15">
        <f>K13+K14</f>
        <v/>
      </c>
      <c r="L15">
        <f>L13+L14</f>
        <v/>
      </c>
    </row>
    <row r="16">
      <c r="A16" t="inlineStr">
        <is>
          <t>Cash tax rate on EBIT (%)  [driver]</t>
        </is>
      </c>
      <c r="B16" s="5">
        <f>Assumptions!$B$8</f>
        <v/>
      </c>
      <c r="C16" s="3" t="n">
        <v>28.5</v>
      </c>
      <c r="D16" s="3" t="n">
        <v>28.5</v>
      </c>
      <c r="E16" s="3" t="n">
        <v>28.5</v>
      </c>
      <c r="F16" s="3" t="n">
        <v>28.5</v>
      </c>
      <c r="G16" s="3" t="n">
        <v>28.5</v>
      </c>
      <c r="H16" s="3" t="n">
        <v>28.5</v>
      </c>
      <c r="I16" s="3" t="n">
        <v>28.5</v>
      </c>
      <c r="J16" s="3" t="n">
        <v>28.5</v>
      </c>
      <c r="K16" s="3" t="n">
        <v>28.5</v>
      </c>
      <c r="L16" s="3" t="n">
        <v>28.5</v>
      </c>
    </row>
    <row r="17">
      <c r="A17" t="inlineStr">
        <is>
          <t>NOPAT</t>
        </is>
      </c>
      <c r="B17">
        <f>B15-MAX(0,B15)*B16/100</f>
        <v/>
      </c>
      <c r="C17">
        <f>C15-MAX(0,C15)*C16/100</f>
        <v/>
      </c>
      <c r="D17">
        <f>D15-MAX(0,D15)*D16/100</f>
        <v/>
      </c>
      <c r="E17">
        <f>E15-MAX(0,E15)*E16/100</f>
        <v/>
      </c>
      <c r="F17">
        <f>F15-MAX(0,F15)*F16/100</f>
        <v/>
      </c>
      <c r="G17">
        <f>G15-MAX(0,G15)*G16/100</f>
        <v/>
      </c>
      <c r="H17">
        <f>H15-MAX(0,H15)*H16/100</f>
        <v/>
      </c>
      <c r="I17">
        <f>I15-MAX(0,I15)*I16/100</f>
        <v/>
      </c>
      <c r="J17">
        <f>J15-MAX(0,J15)*J16/100</f>
        <v/>
      </c>
      <c r="K17">
        <f>K15-MAX(0,K15)*K16/100</f>
        <v/>
      </c>
      <c r="L17">
        <f>L15-MAX(0,L15)*L16/100</f>
        <v/>
      </c>
    </row>
    <row r="18">
      <c r="A18" t="inlineStr">
        <is>
          <t>add back D&amp;A</t>
        </is>
      </c>
      <c r="B18">
        <f>-B14</f>
        <v/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Capex (% revenue)  [driver]</t>
        </is>
      </c>
      <c r="B19" s="5">
        <f>Assumptions!$B$17/B6*100</f>
        <v/>
      </c>
      <c r="C19" s="3" t="n">
        <v>0.71</v>
      </c>
      <c r="D19" s="3" t="n">
        <v>0.7</v>
      </c>
      <c r="E19" s="3" t="n">
        <v>0.7</v>
      </c>
      <c r="F19" s="3" t="n">
        <v>0.7</v>
      </c>
      <c r="G19" s="3" t="n">
        <v>0.7</v>
      </c>
      <c r="H19" s="3" t="n">
        <v>0.7</v>
      </c>
      <c r="I19" s="3" t="n">
        <v>0.7</v>
      </c>
      <c r="J19" s="3" t="n">
        <v>0.7</v>
      </c>
      <c r="K19" s="3" t="n">
        <v>0.7</v>
      </c>
      <c r="L19" s="3" t="n">
        <v>0.7</v>
      </c>
    </row>
    <row r="20">
      <c r="A20" t="inlineStr">
        <is>
          <t>Capex</t>
        </is>
      </c>
      <c r="B20">
        <f>-B6*B19/100</f>
        <v/>
      </c>
      <c r="C20">
        <f>-C6*C19/100</f>
        <v/>
      </c>
      <c r="D20">
        <f>-D6*D19/100</f>
        <v/>
      </c>
      <c r="E20">
        <f>-E6*E19/100</f>
        <v/>
      </c>
      <c r="F20">
        <f>-F6*F19/100</f>
        <v/>
      </c>
      <c r="G20">
        <f>-G6*G19/100</f>
        <v/>
      </c>
      <c r="H20">
        <f>-H6*H19/100</f>
        <v/>
      </c>
      <c r="I20">
        <f>-I6*I19/100</f>
        <v/>
      </c>
      <c r="J20">
        <f>-J6*J19/100</f>
        <v/>
      </c>
      <c r="K20">
        <f>-K6*K19/100</f>
        <v/>
      </c>
      <c r="L20">
        <f>-L6*L19/100</f>
        <v/>
      </c>
    </row>
    <row r="21">
      <c r="A21" t="inlineStr">
        <is>
          <t>Working-capital build (capture x revenue change)</t>
        </is>
      </c>
      <c r="B21" s="3" t="n">
        <v>-7</v>
      </c>
      <c r="C21" s="5">
        <f>Assumptions!$D$23/100*(C6-B6)</f>
        <v/>
      </c>
      <c r="D21" s="5">
        <f>Assumptions!$D$23/100*(D6-C6)</f>
        <v/>
      </c>
      <c r="E21" s="5">
        <f>Assumptions!$D$23/100*(E6-D6)</f>
        <v/>
      </c>
      <c r="F21" s="5">
        <f>Assumptions!$D$23/100*(F6-E6)</f>
        <v/>
      </c>
      <c r="G21" s="5">
        <f>Assumptions!$D$23/100*(G6-F6)</f>
        <v/>
      </c>
      <c r="H21" s="5">
        <f>Assumptions!$D$23/100*(H6-G6)</f>
        <v/>
      </c>
      <c r="I21" s="5">
        <f>Assumptions!$D$23/100*(I6-H6)</f>
        <v/>
      </c>
      <c r="J21" s="5">
        <f>Assumptions!$D$23/100*(J6-I6)</f>
        <v/>
      </c>
      <c r="K21" s="5">
        <f>Assumptions!$D$23/100*(K6-J6)</f>
        <v/>
      </c>
      <c r="L21" s="5">
        <f>Assumptions!$D$23/100*(L6-K6)</f>
        <v/>
      </c>
    </row>
    <row r="22">
      <c r="A22" s="1" t="inlineStr">
        <is>
          <t>Unlevered owner FCF</t>
        </is>
      </c>
      <c r="B22">
        <f>B17+B18+B20+B21</f>
        <v/>
      </c>
      <c r="C22" s="1">
        <f>C17+C18+C20+C21</f>
        <v/>
      </c>
      <c r="D22" s="1">
        <f>D17+D18+D20+D21</f>
        <v/>
      </c>
      <c r="E22" s="1">
        <f>E17+E18+E20+E21</f>
        <v/>
      </c>
      <c r="F22" s="1">
        <f>F17+F18+F20+F21</f>
        <v/>
      </c>
      <c r="G22" s="1">
        <f>G17+G18+G20+G21</f>
        <v/>
      </c>
      <c r="H22" s="1">
        <f>H17+H18+H20+H21</f>
        <v/>
      </c>
      <c r="I22" s="1">
        <f>I17+I18+I20+I21</f>
        <v/>
      </c>
      <c r="J22" s="1">
        <f>J17+J18+J20+J21</f>
        <v/>
      </c>
      <c r="K22" s="1">
        <f>K17+K18+K20+K21</f>
        <v/>
      </c>
      <c r="L22" s="1">
        <f>L17+L18+L20+L21</f>
        <v/>
      </c>
    </row>
    <row r="23">
      <c r="A23" t="inlineStr">
        <is>
          <t>Discount factor</t>
        </is>
      </c>
      <c r="C23" s="5">
        <f>1/(1+Assumptions!$B$4/100)^C4</f>
        <v/>
      </c>
      <c r="D23" s="5">
        <f>1/(1+Assumptions!$B$4/100)^D4</f>
        <v/>
      </c>
      <c r="E23" s="5">
        <f>1/(1+Assumptions!$B$4/100)^E4</f>
        <v/>
      </c>
      <c r="F23" s="5">
        <f>1/(1+Assumptions!$B$4/100)^F4</f>
        <v/>
      </c>
      <c r="G23" s="5">
        <f>1/(1+Assumptions!$B$4/100)^G4</f>
        <v/>
      </c>
      <c r="H23" s="5">
        <f>1/(1+Assumptions!$B$4/100)^H4</f>
        <v/>
      </c>
      <c r="I23" s="5">
        <f>1/(1+Assumptions!$B$4/100)^I4</f>
        <v/>
      </c>
      <c r="J23" s="5">
        <f>1/(1+Assumptions!$B$4/100)^J4</f>
        <v/>
      </c>
      <c r="K23" s="5">
        <f>1/(1+Assumptions!$B$4/100)^K4</f>
        <v/>
      </c>
      <c r="L23" s="5">
        <f>1/(1+Assumptions!$B$4/100)^L4</f>
        <v/>
      </c>
    </row>
    <row r="24">
      <c r="A24" t="inlineStr">
        <is>
          <t>PV of owner FCF</t>
        </is>
      </c>
      <c r="C24">
        <f>C22*C23</f>
        <v/>
      </c>
      <c r="D24">
        <f>D22*D23</f>
        <v/>
      </c>
      <c r="E24">
        <f>E22*E23</f>
        <v/>
      </c>
      <c r="F24">
        <f>F22*F23</f>
        <v/>
      </c>
      <c r="G24">
        <f>G22*G23</f>
        <v/>
      </c>
      <c r="H24">
        <f>H22*H23</f>
        <v/>
      </c>
      <c r="I24">
        <f>I22*I23</f>
        <v/>
      </c>
      <c r="J24">
        <f>J22*J23</f>
        <v/>
      </c>
      <c r="K24">
        <f>K22*K23</f>
        <v/>
      </c>
      <c r="L24">
        <f>L22*L23</f>
        <v/>
      </c>
    </row>
    <row r="26">
      <c r="A26" t="inlineStr">
        <is>
          <t>Memo: FCF before SBC (street style)</t>
        </is>
      </c>
      <c r="B26">
        <f>B22-B10</f>
        <v/>
      </c>
      <c r="C26">
        <f>C22-C10</f>
        <v/>
      </c>
      <c r="D26">
        <f>D22-D10</f>
        <v/>
      </c>
      <c r="E26">
        <f>E22-E10</f>
        <v/>
      </c>
      <c r="F26">
        <f>F22-F10</f>
        <v/>
      </c>
      <c r="G26">
        <f>G22-G10</f>
        <v/>
      </c>
      <c r="H26">
        <f>H22-H10</f>
        <v/>
      </c>
      <c r="I26">
        <f>I22-I10</f>
        <v/>
      </c>
      <c r="J26">
        <f>J22-J10</f>
        <v/>
      </c>
      <c r="K26">
        <f>K22-K10</f>
        <v/>
      </c>
      <c r="L26">
        <f>L22-L10</f>
        <v/>
      </c>
    </row>
    <row r="27">
      <c r="A27" t="inlineStr">
        <is>
          <t>Memo: owner FCF margin (%)</t>
        </is>
      </c>
      <c r="B27">
        <f>B22/B6*100</f>
        <v/>
      </c>
      <c r="C27">
        <f>C22/C6*100</f>
        <v/>
      </c>
      <c r="D27">
        <f>D22/D6*100</f>
        <v/>
      </c>
      <c r="E27">
        <f>E22/E6*100</f>
        <v/>
      </c>
      <c r="F27">
        <f>F22/F6*100</f>
        <v/>
      </c>
      <c r="G27">
        <f>G22/G6*100</f>
        <v/>
      </c>
      <c r="H27">
        <f>H22/H6*100</f>
        <v/>
      </c>
      <c r="I27">
        <f>I22/I6*100</f>
        <v/>
      </c>
      <c r="J27">
        <f>J22/J6*100</f>
        <v/>
      </c>
      <c r="K27">
        <f>K22/K6*100</f>
        <v/>
      </c>
      <c r="L27">
        <f>L22/L6*100</f>
        <v/>
      </c>
    </row>
    <row r="29">
      <c r="A29" t="inlineStr">
        <is>
          <t>Sum of PV (explicit years)</t>
        </is>
      </c>
      <c r="B29">
        <f>SUM(C24:L24)</f>
        <v/>
      </c>
    </row>
    <row r="30">
      <c r="A30" t="inlineStr">
        <is>
          <t>Terminal growth (%)</t>
        </is>
      </c>
      <c r="B30" s="5">
        <f>Assumptions!$D$21</f>
        <v/>
      </c>
    </row>
    <row r="31">
      <c r="A31" t="inlineStr">
        <is>
          <t>Terminal-year FCF x (1+g)</t>
        </is>
      </c>
      <c r="B31">
        <f>L22*(1+B30/100)</f>
        <v/>
      </c>
    </row>
    <row r="32">
      <c r="A32" t="inlineStr">
        <is>
          <t>Gordon TV</t>
        </is>
      </c>
      <c r="B32">
        <f>IF(Assumptions!$B$4&gt;B30,B31/((Assumptions!$B$4-B30)/100),"n/a")</f>
        <v/>
      </c>
    </row>
    <row r="33">
      <c r="A33" t="inlineStr">
        <is>
          <t>Cap TV (cap x FCF_10)</t>
        </is>
      </c>
      <c r="B33" s="5">
        <f>Assumptions!$B$13*L22</f>
        <v/>
      </c>
    </row>
    <row r="34">
      <c r="A34" t="inlineStr">
        <is>
          <t>Terminal value used = MAX(0,MIN(Gordon,cap))</t>
        </is>
      </c>
      <c r="B34">
        <f>MAX(0,MIN(B32,B33))</f>
        <v/>
      </c>
    </row>
    <row r="35">
      <c r="A35" t="inlineStr">
        <is>
          <t>Implied exit multiple (TV / FCF_10)</t>
        </is>
      </c>
      <c r="B35">
        <f>B34/L22</f>
        <v/>
      </c>
    </row>
    <row r="36">
      <c r="A36" t="inlineStr">
        <is>
          <t>PV of terminal value</t>
        </is>
      </c>
      <c r="B36">
        <f>B34*L23</f>
        <v/>
      </c>
    </row>
    <row r="37">
      <c r="A37" t="inlineStr">
        <is>
          <t>Enterprise value</t>
        </is>
      </c>
      <c r="B37">
        <f>B29+B36</f>
        <v/>
      </c>
    </row>
    <row r="38">
      <c r="A38" t="inlineStr">
        <is>
          <t>less net debt (bank + NCI put; leases excluded)</t>
        </is>
      </c>
      <c r="B38">
        <f>-Assumptions!$B$9</f>
        <v/>
      </c>
    </row>
    <row r="39">
      <c r="A39" t="inlineStr">
        <is>
          <t>Equity value</t>
        </is>
      </c>
      <c r="B39">
        <f>B37+B38</f>
        <v/>
      </c>
    </row>
    <row r="40">
      <c r="A40" t="inlineStr">
        <is>
          <t>Diluted shares (m)</t>
        </is>
      </c>
      <c r="B40" s="5">
        <f>Assumptions!$B$10</f>
        <v/>
      </c>
    </row>
    <row r="41">
      <c r="A41" t="inlineStr">
        <is>
          <t>Value per share (AUD)</t>
        </is>
      </c>
      <c r="B41" s="6">
        <f>B39/B40</f>
        <v/>
      </c>
    </row>
    <row r="42">
      <c r="A42" t="inlineStr">
        <is>
          <t>Value per share (NZD)</t>
        </is>
      </c>
      <c r="B42" s="6">
        <f>B41*Assumptions!$B$12</f>
        <v/>
      </c>
    </row>
    <row r="43">
      <c r="A43" t="inlineStr">
        <is>
          <t>Upside vs price (%)</t>
        </is>
      </c>
      <c r="B43">
        <f>(B42/Assumptions!$B$11-1)*100</f>
        <v/>
      </c>
    </row>
    <row r="44">
      <c r="A44" t="inlineStr">
        <is>
          <t>Terminal % of EV</t>
        </is>
      </c>
      <c r="B44">
        <f>B36/B37*100</f>
        <v/>
      </c>
    </row>
    <row r="46">
      <c r="A46" s="1" t="inlineStr">
        <is>
          <t>Street memo (SBC as non-cash)</t>
        </is>
      </c>
    </row>
    <row r="47">
      <c r="A47" t="inlineStr">
        <is>
          <t>PV of explicit-period SBC</t>
        </is>
      </c>
      <c r="B47">
        <f>SUMPRODUCT(-C10:L10/(1+Assumptions!$B$4/100)^C4:L4)</f>
        <v/>
      </c>
    </row>
    <row r="48">
      <c r="A48" t="inlineStr">
        <is>
          <t>PV of terminal SBC (Gordon)</t>
        </is>
      </c>
      <c r="B48">
        <f>IF(Assumptions!$B$4&gt;B30,(-L10*(1+B30/100)/((Assumptions!$B$4-B30)/100))*L23,0)</f>
        <v/>
      </c>
    </row>
    <row r="49">
      <c r="A49" t="inlineStr">
        <is>
          <t>Street value per share (AUD)</t>
        </is>
      </c>
      <c r="B49">
        <f>(B39+B47+B48)/B40</f>
        <v/>
      </c>
    </row>
    <row r="50">
      <c r="A50" t="inlineStr">
        <is>
          <t>Street value per share (NZD)</t>
        </is>
      </c>
      <c r="B50">
        <f>B49*Assumptions!$B$12</f>
        <v/>
      </c>
    </row>
    <row r="52">
      <c r="A52" s="1" t="inlineStr">
        <is>
          <t>Entry price at the hurdle (TV rebuilt at the hurdle)</t>
        </is>
      </c>
    </row>
    <row r="53">
      <c r="A53" t="inlineStr">
        <is>
          <t>PV of interim FCF at hurdle</t>
        </is>
      </c>
      <c r="B53">
        <f>SUMPRODUCT(C22:L22/(1+Assumptions!$B$14)^C4:L4)</f>
        <v/>
      </c>
    </row>
    <row r="54">
      <c r="A54" t="inlineStr">
        <is>
          <t>TV at hurdle = MAX(0,MIN(Gordon@h, cap x FCF_10))</t>
        </is>
      </c>
      <c r="B54">
        <f>MAX(0,MIN(L22*(1+B30/100)/(Assumptions!$B$14-B30/100),Assumptions!$B$13*L22))</f>
        <v/>
      </c>
    </row>
    <row r="55">
      <c r="A55" t="inlineStr">
        <is>
          <t>PV of TV at hurdle</t>
        </is>
      </c>
      <c r="B55">
        <f>B54/(1+Assumptions!$B$14)^10</f>
        <v/>
      </c>
    </row>
    <row r="56">
      <c r="A56" t="inlineStr">
        <is>
          <t>Entry price (AUD)</t>
        </is>
      </c>
      <c r="B56">
        <f>(B53+B55-Assumptions!$B$9)/B40</f>
        <v/>
      </c>
    </row>
    <row r="57">
      <c r="A57" t="inlineStr">
        <is>
          <t>Entry price (NZD)</t>
        </is>
      </c>
      <c r="B57" s="6">
        <f>B56*Assumptions!$B$12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Reported FCF reconciled to owner FCF (levered, company basis), AUD millions</t>
        </is>
      </c>
    </row>
    <row r="3">
      <c r="B3" s="1" t="inlineStr">
        <is>
          <t>FY2020</t>
        </is>
      </c>
      <c r="C3" s="1" t="inlineStr">
        <is>
          <t>FY2021</t>
        </is>
      </c>
      <c r="D3" s="1" t="inlineStr">
        <is>
          <t>FY2022</t>
        </is>
      </c>
      <c r="E3" s="1" t="inlineStr">
        <is>
          <t>FY2023</t>
        </is>
      </c>
      <c r="F3" s="1" t="inlineStr">
        <is>
          <t>FY2024</t>
        </is>
      </c>
      <c r="G3" s="1" t="inlineStr">
        <is>
          <t>FY2025</t>
        </is>
      </c>
      <c r="H3" s="1" t="inlineStr">
        <is>
          <t>FY2026</t>
        </is>
      </c>
    </row>
    <row r="4">
      <c r="A4" t="inlineStr">
        <is>
          <t>Revenue</t>
        </is>
      </c>
      <c r="B4" s="3" t="n">
        <v>8765.5</v>
      </c>
      <c r="C4" s="3" t="n">
        <v>9202.9</v>
      </c>
      <c r="D4" s="3" t="n">
        <v>10734.1</v>
      </c>
      <c r="E4" s="3" t="n">
        <v>12237.4</v>
      </c>
      <c r="F4" s="3" t="n">
        <v>13189.1</v>
      </c>
      <c r="G4" s="3" t="n">
        <v>12266.9</v>
      </c>
      <c r="H4" s="3" t="n">
        <v>13481</v>
      </c>
    </row>
    <row r="5">
      <c r="A5" t="inlineStr">
        <is>
          <t>Free cash flow (company: OCF - capex)</t>
        </is>
      </c>
      <c r="B5" s="3" t="n">
        <v>205</v>
      </c>
      <c r="C5" s="3" t="n">
        <v>221.2</v>
      </c>
      <c r="D5" s="3" t="n">
        <v>167</v>
      </c>
      <c r="E5" s="3" t="n">
        <v>297.4</v>
      </c>
      <c r="F5" s="3" t="n">
        <v>252.3</v>
      </c>
      <c r="G5" s="3" t="n">
        <v>293.4</v>
      </c>
      <c r="H5" s="3" t="n">
        <v>204</v>
      </c>
    </row>
    <row r="6">
      <c r="A6" t="inlineStr">
        <is>
          <t>less: IFRS-16 lease principal (financing)</t>
        </is>
      </c>
      <c r="B6" s="3" t="n">
        <v>32</v>
      </c>
      <c r="C6" s="3" t="n">
        <v>35.3</v>
      </c>
      <c r="D6" s="3" t="n">
        <v>40.9</v>
      </c>
      <c r="E6" s="3" t="n">
        <v>49</v>
      </c>
      <c r="F6" s="3" t="n">
        <v>68.59999999999999</v>
      </c>
      <c r="G6" s="3" t="n">
        <v>56.6</v>
      </c>
      <c r="H6" s="3" t="n">
        <v>61</v>
      </c>
    </row>
    <row r="7">
      <c r="A7" t="inlineStr">
        <is>
          <t>less: SBC (equity-settled; negative = reversal)</t>
        </is>
      </c>
      <c r="B7" s="3" t="n">
        <v>2.7</v>
      </c>
      <c r="C7" s="3" t="n">
        <v>3.7</v>
      </c>
      <c r="D7" s="3" t="n">
        <v>0.9</v>
      </c>
      <c r="E7" s="3" t="n">
        <v>5</v>
      </c>
      <c r="F7" s="3" t="n">
        <v>9.1</v>
      </c>
      <c r="G7" s="3" t="n">
        <v>-0.9</v>
      </c>
      <c r="H7" s="3" t="n">
        <v>0</v>
      </c>
    </row>
    <row r="8">
      <c r="A8" s="1" t="inlineStr">
        <is>
          <t>Owner FCF (levered)</t>
        </is>
      </c>
      <c r="B8">
        <f>B5-B6-B7</f>
        <v/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  <c r="H8">
        <f>H5-H6-H7</f>
        <v/>
      </c>
    </row>
    <row r="9">
      <c r="A9" t="inlineStr">
        <is>
          <t>Reported FCF margin (%)</t>
        </is>
      </c>
      <c r="B9">
        <f>B5/B4*100</f>
        <v/>
      </c>
      <c r="C9">
        <f>C5/C4*100</f>
        <v/>
      </c>
      <c r="D9">
        <f>D5/D4*100</f>
        <v/>
      </c>
      <c r="E9">
        <f>E5/E4*100</f>
        <v/>
      </c>
      <c r="F9">
        <f>F5/F4*100</f>
        <v/>
      </c>
      <c r="G9">
        <f>G5/G4*100</f>
        <v/>
      </c>
      <c r="H9">
        <f>H5/H4*100</f>
        <v/>
      </c>
    </row>
    <row r="10">
      <c r="A10" t="inlineStr">
        <is>
          <t>Owner FCF margin (%)</t>
        </is>
      </c>
      <c r="B10">
        <f>B8/B4*100</f>
        <v/>
      </c>
      <c r="C10">
        <f>C8/C4*100</f>
        <v/>
      </c>
      <c r="D10">
        <f>D8/D4*100</f>
        <v/>
      </c>
      <c r="E10">
        <f>E8/E4*100</f>
        <v/>
      </c>
      <c r="F10">
        <f>F8/F4*100</f>
        <v/>
      </c>
      <c r="G10">
        <f>G8/G4*100</f>
        <v/>
      </c>
      <c r="H10">
        <f>H8/H4*100</f>
        <v/>
      </c>
    </row>
    <row r="11">
      <c r="A11" t="inlineStr">
        <is>
          <t>Memo: interest paid (inside OCF) -- the forward model is UNLEVERED and does not deduct this</t>
        </is>
      </c>
      <c r="F11" s="3" t="n">
        <v>100.9</v>
      </c>
      <c r="G11" s="3" t="n">
        <v>113.5</v>
      </c>
      <c r="H11" s="3" t="n">
        <v>120</v>
      </c>
    </row>
    <row r="12">
      <c r="A12" t="inlineStr">
        <is>
          <t>Memo: notes</t>
        </is>
      </c>
      <c r="B12" t="inlineStr">
        <is>
          <t>FY2025 includes a ~A$75m one-off Chemist Warehouse working-capital release; FY2026 reported FCF A$204m vs underlying A$241m (one-off DC transition cash costs); FY2026 lease principal estimated as H1 x2; FY2026 SBC set to 0 (H1 was a A$3.6m benefit).</t>
        </is>
      </c>
    </row>
    <row r="14">
      <c r="A14" t="inlineStr">
        <is>
          <t>Sources: cash-flow statements EBO.NZ_Annual_FY2021-FY2025.txt (repayment of lease liabilities, share-based payments), H1 FY2026 interim; FY2026 from the 19-Aug-2026 result.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Reported history (EBO.NZ_Metrics.csv, AUD millions from FY2019; EPS in AUD) and FY2026 result / guidance</t>
        </is>
      </c>
    </row>
    <row r="3">
      <c r="B3" s="1" t="inlineStr">
        <is>
          <t>FY2019</t>
        </is>
      </c>
      <c r="C3" s="1" t="inlineStr">
        <is>
          <t>FY2020</t>
        </is>
      </c>
      <c r="D3" s="1" t="inlineStr">
        <is>
          <t>FY2021</t>
        </is>
      </c>
      <c r="E3" s="1" t="inlineStr">
        <is>
          <t>FY2022</t>
        </is>
      </c>
      <c r="F3" s="1" t="inlineStr">
        <is>
          <t>FY2023</t>
        </is>
      </c>
      <c r="G3" s="1" t="inlineStr">
        <is>
          <t>FY2024</t>
        </is>
      </c>
      <c r="H3" s="1" t="inlineStr">
        <is>
          <t>H1 FY2025</t>
        </is>
      </c>
      <c r="I3" s="1" t="inlineStr">
        <is>
          <t>FY2025</t>
        </is>
      </c>
      <c r="J3" s="1" t="inlineStr">
        <is>
          <t>H1 FY2026</t>
        </is>
      </c>
      <c r="K3" s="1" t="inlineStr">
        <is>
          <t>FY2026 (result)</t>
        </is>
      </c>
    </row>
    <row r="4">
      <c r="A4" t="inlineStr">
        <is>
          <t>Revenue</t>
        </is>
      </c>
      <c r="B4" s="3" t="n">
        <v>6930.4</v>
      </c>
      <c r="C4" s="3" t="n">
        <v>8765.5</v>
      </c>
      <c r="D4" s="3" t="n">
        <v>9202.9</v>
      </c>
      <c r="E4" s="3" t="n">
        <v>10734.1</v>
      </c>
      <c r="F4" s="3" t="n">
        <v>12237.4</v>
      </c>
      <c r="G4" s="3" t="n">
        <v>13189.1</v>
      </c>
      <c r="H4" s="3" t="n">
        <v>5991.4</v>
      </c>
      <c r="I4" s="3" t="n">
        <v>12266.9</v>
      </c>
      <c r="J4" s="3" t="n">
        <v>6767.7</v>
      </c>
      <c r="K4" s="3" t="n">
        <v>13481</v>
      </c>
    </row>
    <row r="5">
      <c r="A5" t="inlineStr">
        <is>
          <t>EBITDA (statutory; FY2026 = underlying)</t>
        </is>
      </c>
      <c r="B5" s="3" t="n">
        <v>250.4</v>
      </c>
      <c r="C5" s="3" t="n">
        <v>333.6</v>
      </c>
      <c r="D5" s="3" t="n">
        <v>363.3</v>
      </c>
      <c r="E5" s="3" t="n">
        <v>405.8</v>
      </c>
      <c r="F5" s="3" t="n">
        <v>568.8</v>
      </c>
      <c r="G5" s="3" t="n">
        <v>605.6</v>
      </c>
      <c r="H5" s="3" t="n">
        <v>275.8</v>
      </c>
      <c r="I5" s="3" t="n">
        <v>555.6</v>
      </c>
      <c r="J5" s="3" t="n">
        <v>302.7</v>
      </c>
      <c r="K5" s="3" t="n">
        <v>614</v>
      </c>
    </row>
    <row r="6">
      <c r="A6" t="inlineStr">
        <is>
          <t>Net income (attributable; FY2026 statutory)</t>
        </is>
      </c>
      <c r="B6" s="3" t="n">
        <v>136.7</v>
      </c>
      <c r="C6" s="3" t="n">
        <v>161.5</v>
      </c>
      <c r="D6" s="3" t="n">
        <v>184</v>
      </c>
      <c r="E6" s="3" t="n">
        <v>202</v>
      </c>
      <c r="F6" s="3" t="n">
        <v>263.4</v>
      </c>
      <c r="G6" s="3" t="n">
        <v>271.5</v>
      </c>
      <c r="H6" s="3" t="n">
        <v>110.5</v>
      </c>
      <c r="I6" s="3" t="n">
        <v>215.1</v>
      </c>
      <c r="J6" s="3" t="n">
        <v>124.8</v>
      </c>
      <c r="K6" s="3" t="n">
        <v>225</v>
      </c>
    </row>
    <row r="7">
      <c r="A7" t="inlineStr">
        <is>
          <t>Operating cash flow</t>
        </is>
      </c>
      <c r="B7" s="3" t="n">
        <v>118.5</v>
      </c>
      <c r="C7" s="3" t="n">
        <v>229.2</v>
      </c>
      <c r="D7" s="3" t="n">
        <v>298.3</v>
      </c>
      <c r="E7" s="3" t="n">
        <v>248.7</v>
      </c>
      <c r="F7" s="3" t="n">
        <v>391.4</v>
      </c>
      <c r="G7" s="3" t="n">
        <v>348.2</v>
      </c>
      <c r="H7" s="3" t="n">
        <v>189.8</v>
      </c>
      <c r="I7" s="3" t="n">
        <v>418.5</v>
      </c>
      <c r="J7" s="3" t="n">
        <v>46.6</v>
      </c>
    </row>
    <row r="8">
      <c r="A8" t="inlineStr">
        <is>
          <t>Free cash flow (reported)</t>
        </is>
      </c>
      <c r="B8" s="3" t="n">
        <v>85.5</v>
      </c>
      <c r="C8" s="3" t="n">
        <v>205</v>
      </c>
      <c r="D8" s="3" t="n">
        <v>221.2</v>
      </c>
      <c r="E8" s="3" t="n">
        <v>167</v>
      </c>
      <c r="F8" s="3" t="n">
        <v>297.4</v>
      </c>
      <c r="G8" s="3" t="n">
        <v>252.3</v>
      </c>
      <c r="H8" s="3" t="n">
        <v>126</v>
      </c>
      <c r="I8" s="3" t="n">
        <v>293.4</v>
      </c>
      <c r="J8" s="3" t="n">
        <v>-24</v>
      </c>
      <c r="K8" s="3" t="n">
        <v>204</v>
      </c>
    </row>
    <row r="9">
      <c r="A9" t="inlineStr">
        <is>
          <t>Shareholders' equity</t>
        </is>
      </c>
      <c r="B9" s="3" t="n">
        <v>1239.3</v>
      </c>
      <c r="C9" s="3" t="n">
        <v>1310.9</v>
      </c>
      <c r="D9" s="3" t="n">
        <v>1659.3</v>
      </c>
      <c r="E9" s="3" t="n">
        <v>1918.8</v>
      </c>
      <c r="F9" s="3" t="n">
        <v>2303.4</v>
      </c>
      <c r="G9" s="3" t="n">
        <v>2451</v>
      </c>
      <c r="H9" s="3" t="n">
        <v>2481.1</v>
      </c>
      <c r="I9" s="3" t="n">
        <v>2739.6</v>
      </c>
      <c r="J9" s="3" t="n">
        <v>2751.4</v>
      </c>
    </row>
    <row r="10">
      <c r="A10" t="inlineStr">
        <is>
          <t>Bank debt (ex leases)</t>
        </is>
      </c>
      <c r="B10" s="3" t="n">
        <v>521.6</v>
      </c>
      <c r="C10" s="3" t="n">
        <v>875.1</v>
      </c>
      <c r="D10" s="3" t="n">
        <v>1146.9</v>
      </c>
      <c r="E10" s="3" t="n">
        <v>1432</v>
      </c>
      <c r="F10" s="3" t="n">
        <v>1646</v>
      </c>
      <c r="G10" s="3" t="n">
        <v>1235.8</v>
      </c>
      <c r="H10" s="3" t="n">
        <v>1302.6</v>
      </c>
      <c r="I10" s="3" t="n">
        <v>1102.5</v>
      </c>
      <c r="J10" s="3" t="n">
        <v>1371.2</v>
      </c>
    </row>
    <row r="11">
      <c r="A11" t="inlineStr">
        <is>
          <t>Cash</t>
        </is>
      </c>
      <c r="B11" s="3" t="n">
        <v>130.8</v>
      </c>
      <c r="C11" s="3" t="n">
        <v>183.5</v>
      </c>
      <c r="D11" s="3" t="n">
        <v>264.3</v>
      </c>
      <c r="E11" s="3" t="n">
        <v>342.5</v>
      </c>
      <c r="F11" s="3" t="n">
        <v>211.9</v>
      </c>
      <c r="G11" s="3" t="n">
        <v>216.9</v>
      </c>
      <c r="H11" s="3" t="n">
        <v>237.9</v>
      </c>
      <c r="I11" s="3" t="n">
        <v>184.3</v>
      </c>
      <c r="J11" s="3" t="n">
        <v>250.3</v>
      </c>
    </row>
    <row r="12">
      <c r="A12" t="inlineStr">
        <is>
          <t>Shares outstanding (m)</t>
        </is>
      </c>
      <c r="B12" s="3" t="n">
        <v>152.2</v>
      </c>
      <c r="C12" s="3" t="n">
        <v>160.6</v>
      </c>
      <c r="D12" s="3" t="n">
        <v>162.6</v>
      </c>
      <c r="E12" s="3" t="n">
        <v>176.4</v>
      </c>
      <c r="F12" s="3" t="n">
        <v>198.2</v>
      </c>
      <c r="G12" s="3" t="n">
        <v>192.2</v>
      </c>
      <c r="H12" s="3" t="n">
        <v>194.7</v>
      </c>
      <c r="I12" s="3" t="n">
        <v>196.1</v>
      </c>
      <c r="J12" s="3" t="n">
        <v>205</v>
      </c>
    </row>
    <row r="13">
      <c r="A13" t="inlineStr">
        <is>
          <t>EPS (AUD)</t>
        </is>
      </c>
      <c r="B13" s="3" t="n">
        <v>0.898</v>
      </c>
      <c r="C13" s="3" t="n">
        <v>1.006</v>
      </c>
      <c r="D13" s="3" t="n">
        <v>1.132</v>
      </c>
      <c r="E13" s="3" t="n">
        <v>1.145</v>
      </c>
      <c r="F13" s="3" t="n">
        <v>1.329</v>
      </c>
      <c r="G13" s="3" t="n">
        <v>1.413</v>
      </c>
      <c r="H13" s="3" t="n">
        <v>0.569</v>
      </c>
      <c r="I13" s="3" t="n">
        <v>1.097</v>
      </c>
      <c r="J13" s="3" t="n">
        <v>0.611</v>
      </c>
    </row>
    <row r="16">
      <c r="A16" s="1" t="inlineStr">
        <is>
          <t>Balance-sheet snapshot 31-Dec-2025 (H1 FY2026 interim)</t>
        </is>
      </c>
    </row>
    <row r="17">
      <c r="A17" t="inlineStr">
        <is>
          <t>Bank loans (current + non-current)</t>
        </is>
      </c>
      <c r="B17" s="3" t="n">
        <v>1371.2</v>
      </c>
    </row>
    <row r="18">
      <c r="A18" t="inlineStr">
        <is>
          <t>Cash and cash equivalents</t>
        </is>
      </c>
      <c r="B18" s="3" t="n">
        <v>250.3</v>
      </c>
    </row>
    <row r="19">
      <c r="A19" t="inlineStr">
        <is>
          <t>Lease liabilities (current + non-current) -- EXCLUDED from net debt</t>
        </is>
      </c>
      <c r="B19" s="3" t="n">
        <v>473.9</v>
      </c>
    </row>
    <row r="20">
      <c r="A20" t="inlineStr">
        <is>
          <t>Other financial liabilities: put options over NCI</t>
        </is>
      </c>
      <c r="B20" s="3" t="n">
        <v>57.9</v>
      </c>
    </row>
    <row r="21">
      <c r="A21" t="inlineStr">
        <is>
          <t>Non-controlling interests (equity, negative under put accounting)</t>
        </is>
      </c>
      <c r="B21" s="3" t="n">
        <v>-48.1</v>
      </c>
    </row>
    <row r="22">
      <c r="A22" t="inlineStr">
        <is>
          <t>Shares on issue (m)</t>
        </is>
      </c>
      <c r="B22" s="3" t="n">
        <v>204.993</v>
      </c>
    </row>
    <row r="23">
      <c r="A23" t="inlineStr">
        <is>
          <t>Dilutive rights est. (m)</t>
        </is>
      </c>
      <c r="B23" s="3" t="n">
        <v>1.3</v>
      </c>
    </row>
    <row r="24">
      <c r="A24" t="inlineStr">
        <is>
          <t>FY2026 leverage (company, pre-IFRS16)</t>
        </is>
      </c>
      <c r="B24" s="3" t="inlineStr">
        <is>
          <t>2.1x</t>
        </is>
      </c>
    </row>
    <row r="26">
      <c r="A26" s="1" t="inlineStr">
        <is>
          <t>Guidance (19-Aug-2026)</t>
        </is>
      </c>
    </row>
    <row r="27">
      <c r="A27" t="inlineStr">
        <is>
          <t>FY2027 underlying EBITDA (A$m)</t>
        </is>
      </c>
      <c r="B27" s="3" t="inlineStr">
        <is>
          <t>635-655</t>
        </is>
      </c>
    </row>
    <row r="28">
      <c r="A28" t="inlineStr">
        <is>
          <t>FY2027 capex (A$m)</t>
        </is>
      </c>
      <c r="B28" s="3" t="inlineStr">
        <is>
          <t>~100</t>
        </is>
      </c>
    </row>
    <row r="29">
      <c r="A29" t="inlineStr">
        <is>
          <t>FY2027 M&amp;A in guidance</t>
        </is>
      </c>
      <c r="B29" s="3" t="inlineStr">
        <is>
          <t>none; ~A$150m capacity</t>
        </is>
      </c>
    </row>
    <row r="30">
      <c r="A30" t="inlineStr">
        <is>
          <t>Dividend</t>
        </is>
      </c>
      <c r="B30" s="3" t="inlineStr">
        <is>
          <t>60-80% of underlying NPAT; FY2026 total NZ$1.185</t>
        </is>
      </c>
    </row>
    <row r="31">
      <c r="A31" t="inlineStr">
        <is>
          <t>NZ Chemist Warehouse wholesale contract</t>
        </is>
      </c>
      <c r="B31" s="3" t="inlineStr">
        <is>
          <t>rolls off end-CY2026; ~1% of group EBITDA</t>
        </is>
      </c>
    </row>
    <row r="33">
      <c r="A33" t="inlineStr">
        <is>
          <t>Buybacks: none. Share issuance: DRP each dividend (~40% participation), FY2025 A$254m placement + retail offer.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Reconciliation to the 2026-06-27 DCF (NZD per share; AUD in column C)</t>
        </is>
      </c>
    </row>
    <row r="3">
      <c r="A3" s="1" t="inlineStr">
        <is>
          <t>Prior version (2026-06-27, price NZ$20.65, AUD/NZD 1.10)</t>
        </is>
      </c>
      <c r="B3" s="1" t="inlineStr">
        <is>
          <t>NZD</t>
        </is>
      </c>
      <c r="C3" s="1" t="inlineStr">
        <is>
          <t>AUD</t>
        </is>
      </c>
    </row>
    <row r="4">
      <c r="A4" t="inlineStr">
        <is>
          <t>Bear</t>
        </is>
      </c>
      <c r="B4" s="3" t="n">
        <v>11.07</v>
      </c>
      <c r="C4" s="3" t="n">
        <v>10.06</v>
      </c>
    </row>
    <row r="5">
      <c r="A5" t="inlineStr">
        <is>
          <t>Base</t>
        </is>
      </c>
      <c r="B5" s="3" t="n">
        <v>24.43</v>
      </c>
      <c r="C5" s="3" t="n">
        <v>22.21</v>
      </c>
    </row>
    <row r="6">
      <c r="A6" t="inlineStr">
        <is>
          <t>Bull</t>
        </is>
      </c>
      <c r="B6" s="3" t="n">
        <v>36.59</v>
      </c>
      <c r="C6" s="3" t="n">
        <v>33.26</v>
      </c>
    </row>
    <row r="7">
      <c r="A7" t="inlineStr">
        <is>
          <t>Weighted</t>
        </is>
      </c>
      <c r="B7" s="3" t="n">
        <v>24.13</v>
      </c>
      <c r="C7" s="3" t="n">
        <v>21.94</v>
      </c>
    </row>
    <row r="9">
      <c r="A9" s="1" t="inlineStr">
        <is>
          <t>Current version (live links)</t>
        </is>
      </c>
    </row>
    <row r="10">
      <c r="A10" t="inlineStr">
        <is>
          <t>Bear</t>
        </is>
      </c>
      <c r="B10" s="5">
        <f>DCF_Bear!B42</f>
        <v/>
      </c>
      <c r="C10" s="5">
        <f>DCF_Bear!B41</f>
        <v/>
      </c>
    </row>
    <row r="11">
      <c r="A11" t="inlineStr">
        <is>
          <t>Base</t>
        </is>
      </c>
      <c r="B11" s="5">
        <f>DCF_Base!B42</f>
        <v/>
      </c>
      <c r="C11" s="5">
        <f>DCF_Base!B41</f>
        <v/>
      </c>
    </row>
    <row r="12">
      <c r="A12" t="inlineStr">
        <is>
          <t>Bull</t>
        </is>
      </c>
      <c r="B12" s="5">
        <f>DCF_Bull!B42</f>
        <v/>
      </c>
      <c r="C12" s="5">
        <f>DCF_Bull!B41</f>
        <v/>
      </c>
    </row>
    <row r="13">
      <c r="A13" t="inlineStr">
        <is>
          <t>Weighted</t>
        </is>
      </c>
      <c r="B13" s="5">
        <f>Valuation!B9</f>
        <v/>
      </c>
      <c r="C13" s="5">
        <f>Valuation!C9</f>
        <v/>
      </c>
    </row>
    <row r="15">
      <c r="A15" s="1" t="inlineStr">
        <is>
          <t>Bridge (approximate, hardcoded from the JSON; live cells above are authoritative)</t>
        </is>
      </c>
    </row>
    <row r="16">
      <c r="A16" t="inlineStr">
        <is>
          <t>Prior weighted IV (2026-06-27, price NZ$20.65, AUD/NZD 1.10)</t>
        </is>
      </c>
      <c r="B16" s="3" t="n">
        <v>24.13</v>
      </c>
      <c r="C16" s="3" t="n">
        <v>21.94</v>
      </c>
    </row>
    <row r="17">
      <c r="A17" t="inlineStr">
        <is>
          <t>Flows rebuilt: unlevered component build from FY2026 actuals (EBITDA 614 -&gt; FY27 guide 645), lease cash charged in the flows (treatment B), interest no longer deducted from FCF, FY27 capex ~A$100m -- on the prior 5-yr Gordon frame and prior WACCs</t>
        </is>
      </c>
      <c r="B17" s="3" t="n">
        <v>-1.56</v>
      </c>
      <c r="C17" s="3" t="n">
        <v>-1.42</v>
      </c>
    </row>
    <row r="18">
      <c r="A18" t="inlineStr">
        <is>
          <t>Horizon 5 -&gt; 10 years and terminal value capped at 15x owner FCF (Gordon exceeded the cap in every scenario)</t>
        </is>
      </c>
      <c r="B18" s="3" t="n">
        <v>-0.06</v>
      </c>
      <c r="C18" s="3" t="n">
        <v>-0.05</v>
      </c>
    </row>
    <row r="19">
      <c r="A19" t="inlineStr">
        <is>
          <t>Single 8.5% AUD WACC in all scenarios (prior 9.0/8.5/10.5 charged risk in both the flows and the rate)</t>
        </is>
      </c>
      <c r="B19" s="3" t="n">
        <v>1.76</v>
      </c>
      <c r="C19" s="3" t="n">
        <v>1.6</v>
      </c>
    </row>
    <row r="20">
      <c r="A20" t="inlineStr">
        <is>
          <t>Anchors: diluted shares 205.0 -&gt; 206.3m, NCI put liability A$57.9m added to the net-debt bridge</t>
        </is>
      </c>
      <c r="B20" s="3" t="n">
        <v>-0.46</v>
      </c>
      <c r="C20" s="3" t="n">
        <v>-0.42</v>
      </c>
    </row>
    <row r="21">
      <c r="A21" t="inlineStr">
        <is>
          <t>AUD/NZD 1.10 -&gt; 1.231 (Yahoo AUDNZD=X 2026-09-08; NZD weakened)</t>
        </is>
      </c>
      <c r="B21" s="3" t="n">
        <v>2.84</v>
      </c>
      <c r="C21" s="3" t="n">
        <v>0</v>
      </c>
    </row>
    <row r="22">
      <c r="A22" t="inlineStr">
        <is>
          <t>New weighted IV</t>
        </is>
      </c>
      <c r="B22" s="3" t="n">
        <v>26.65</v>
      </c>
      <c r="C22" s="3" t="n">
        <v>21.65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Valuation summary</t>
        </is>
      </c>
    </row>
    <row r="3">
      <c r="A3" s="1" t="inlineStr">
        <is>
          <t>Scenario</t>
        </is>
      </c>
      <c r="B3" s="1" t="inlineStr">
        <is>
          <t>Value/share NZD</t>
        </is>
      </c>
      <c r="C3" s="1" t="inlineStr">
        <is>
          <t>Value/share AUD</t>
        </is>
      </c>
      <c r="D3" s="1" t="inlineStr">
        <is>
          <t>Upside %</t>
        </is>
      </c>
      <c r="E3" s="1" t="inlineStr">
        <is>
          <t>Weight</t>
        </is>
      </c>
      <c r="F3" s="1" t="inlineStr">
        <is>
          <t>Street NZD</t>
        </is>
      </c>
      <c r="G3" s="1" t="inlineStr">
        <is>
          <t>Entry NZD @hurdle</t>
        </is>
      </c>
      <c r="H3" s="1" t="inlineStr">
        <is>
          <t>Entry AUD</t>
        </is>
      </c>
    </row>
    <row r="4">
      <c r="A4" t="inlineStr">
        <is>
          <t>Bear</t>
        </is>
      </c>
      <c r="B4" s="5">
        <f>DCF_Bear!B42</f>
        <v/>
      </c>
      <c r="C4" s="5">
        <f>DCF_Bear!B41</f>
        <v/>
      </c>
      <c r="D4">
        <f>(B4/Assumptions!$B$11-1)*100</f>
        <v/>
      </c>
      <c r="E4" s="5">
        <f>Assumptions!B22</f>
        <v/>
      </c>
      <c r="F4" s="5">
        <f>DCF_Bear!B50</f>
        <v/>
      </c>
      <c r="G4" s="5">
        <f>DCF_Bear!B57</f>
        <v/>
      </c>
      <c r="H4" s="5">
        <f>DCF_Bear!B56</f>
        <v/>
      </c>
    </row>
    <row r="5">
      <c r="A5" t="inlineStr">
        <is>
          <t>Base</t>
        </is>
      </c>
      <c r="B5" s="5">
        <f>DCF_Base!B42</f>
        <v/>
      </c>
      <c r="C5" s="5">
        <f>DCF_Base!B41</f>
        <v/>
      </c>
      <c r="D5">
        <f>(B5/Assumptions!$B$11-1)*100</f>
        <v/>
      </c>
      <c r="E5" s="5">
        <f>Assumptions!C22</f>
        <v/>
      </c>
      <c r="F5" s="5">
        <f>DCF_Base!B50</f>
        <v/>
      </c>
      <c r="G5" s="5">
        <f>DCF_Base!B57</f>
        <v/>
      </c>
      <c r="H5" s="5">
        <f>DCF_Base!B56</f>
        <v/>
      </c>
    </row>
    <row r="6">
      <c r="A6" t="inlineStr">
        <is>
          <t>Bull</t>
        </is>
      </c>
      <c r="B6" s="5">
        <f>DCF_Bull!B42</f>
        <v/>
      </c>
      <c r="C6" s="5">
        <f>DCF_Bull!B41</f>
        <v/>
      </c>
      <c r="D6">
        <f>(B6/Assumptions!$B$11-1)*100</f>
        <v/>
      </c>
      <c r="E6" s="5">
        <f>Assumptions!D22</f>
        <v/>
      </c>
      <c r="F6" s="5">
        <f>DCF_Bull!B50</f>
        <v/>
      </c>
      <c r="G6" s="5">
        <f>DCF_Bull!B57</f>
        <v/>
      </c>
      <c r="H6" s="5">
        <f>DCF_Bull!B56</f>
        <v/>
      </c>
    </row>
    <row r="8">
      <c r="A8" t="inlineStr">
        <is>
          <t>Current price (NZD)</t>
        </is>
      </c>
      <c r="B8" s="5">
        <f>Assumptions!B11</f>
        <v/>
      </c>
    </row>
    <row r="9">
      <c r="A9" s="1" t="inlineStr">
        <is>
          <t>Probability-weighted value</t>
        </is>
      </c>
      <c r="B9" s="6">
        <f>SUMPRODUCT(B4:B6,E4:E6)</f>
        <v/>
      </c>
      <c r="C9" s="6">
        <f>SUMPRODUCT(C4:C6,E4:E6)</f>
        <v/>
      </c>
    </row>
    <row r="10">
      <c r="A10" t="inlineStr">
        <is>
          <t>Upside vs price (%)</t>
        </is>
      </c>
      <c r="B10">
        <f>(B9/B8-1)*100</f>
        <v/>
      </c>
    </row>
    <row r="11">
      <c r="A11" t="inlineStr">
        <is>
          <t>Margin of safety (1 - price/weighted)</t>
        </is>
      </c>
      <c r="B11">
        <f>1-B8/B9</f>
        <v/>
      </c>
    </row>
    <row r="12">
      <c r="A12" t="inlineStr">
        <is>
          <t>Street weighted value (NZD)</t>
        </is>
      </c>
      <c r="B12">
        <f>SUMPRODUCT(F4:F6,E4:E6)</f>
        <v/>
      </c>
    </row>
    <row r="13">
      <c r="A13" t="inlineStr">
        <is>
          <t>Band position (price - house)/(street - house)</t>
        </is>
      </c>
      <c r="B13">
        <f>IF(ABS(B12-B9)&lt;0.005,"n/a",(B8-B9)/(B12-B9))</f>
        <v/>
      </c>
    </row>
    <row r="14">
      <c r="A14" s="1" t="inlineStr">
        <is>
          <t>Weighted entry price at hurdle (NZD) -- buy-below price</t>
        </is>
      </c>
      <c r="B14" s="6">
        <f>SUMPRODUCT(G4:G6,E4:E6)</f>
        <v/>
      </c>
      <c r="C14">
        <f>SUMPRODUCT(H4:H6,E4:E6)</f>
        <v/>
      </c>
    </row>
    <row r="15">
      <c r="A15" t="inlineStr">
        <is>
          <t>Entry discount from current (%)</t>
        </is>
      </c>
      <c r="B15">
        <f>(B14/B8-1)*100</f>
        <v/>
      </c>
    </row>
    <row r="18">
      <c r="A18" s="1" t="inlineStr">
        <is>
          <t>Required-return table (base case, NZD per share; TV rebuilt at each rate)</t>
        </is>
      </c>
    </row>
    <row r="19">
      <c r="A19" t="inlineStr">
        <is>
          <t>Required return (%)</t>
        </is>
      </c>
      <c r="B19" s="3" t="n">
        <v>8.5</v>
      </c>
      <c r="C19" s="3" t="n">
        <v>9</v>
      </c>
      <c r="D19" s="3" t="n">
        <v>10</v>
      </c>
      <c r="E19" s="3" t="n">
        <v>11</v>
      </c>
      <c r="F19" s="3" t="n">
        <v>12</v>
      </c>
      <c r="G19" s="3" t="n">
        <v>15</v>
      </c>
    </row>
    <row r="20">
      <c r="A20" t="inlineStr">
        <is>
          <t>Value per share (NZD)</t>
        </is>
      </c>
      <c r="B20">
        <f>IF(B19/100&gt;Assumptions!$C$21/100,(SUMPRODUCT(DCF_Base!$C$22:$L$22/(1+B19/100)^DCF_Base!$C$4:$L$4)+MAX(0,MIN(DCF_Base!$L$22*(1+Assumptions!$C$21/100)/((B19-Assumptions!$C$21)/100),Assumptions!$B$13*DCF_Base!$L$22))/(1+B19/100)^10-Assumptions!$B$9)/Assumptions!$B$10*Assumptions!$B$12,"n/a")</f>
        <v/>
      </c>
      <c r="C20">
        <f>IF(C19/100&gt;Assumptions!$C$21/100,(SUMPRODUCT(DCF_Base!$C$22:$L$22/(1+C19/100)^DCF_Base!$C$4:$L$4)+MAX(0,MIN(DCF_Base!$L$22*(1+Assumptions!$C$21/100)/((C19-Assumptions!$C$21)/100),Assumptions!$B$13*DCF_Base!$L$22))/(1+C19/100)^10-Assumptions!$B$9)/Assumptions!$B$10*Assumptions!$B$12,"n/a")</f>
        <v/>
      </c>
      <c r="D20">
        <f>IF(D19/100&gt;Assumptions!$C$21/100,(SUMPRODUCT(DCF_Base!$C$22:$L$22/(1+D19/100)^DCF_Base!$C$4:$L$4)+MAX(0,MIN(DCF_Base!$L$22*(1+Assumptions!$C$21/100)/((D19-Assumptions!$C$21)/100),Assumptions!$B$13*DCF_Base!$L$22))/(1+D19/100)^10-Assumptions!$B$9)/Assumptions!$B$10*Assumptions!$B$12,"n/a")</f>
        <v/>
      </c>
      <c r="E20">
        <f>IF(E19/100&gt;Assumptions!$C$21/100,(SUMPRODUCT(DCF_Base!$C$22:$L$22/(1+E19/100)^DCF_Base!$C$4:$L$4)+MAX(0,MIN(DCF_Base!$L$22*(1+Assumptions!$C$21/100)/((E19-Assumptions!$C$21)/100),Assumptions!$B$13*DCF_Base!$L$22))/(1+E19/100)^10-Assumptions!$B$9)/Assumptions!$B$10*Assumptions!$B$12,"n/a")</f>
        <v/>
      </c>
      <c r="F20">
        <f>IF(F19/100&gt;Assumptions!$C$21/100,(SUMPRODUCT(DCF_Base!$C$22:$L$22/(1+F19/100)^DCF_Base!$C$4:$L$4)+MAX(0,MIN(DCF_Base!$L$22*(1+Assumptions!$C$21/100)/((F19-Assumptions!$C$21)/100),Assumptions!$B$13*DCF_Base!$L$22))/(1+F19/100)^10-Assumptions!$B$9)/Assumptions!$B$10*Assumptions!$B$12,"n/a")</f>
        <v/>
      </c>
      <c r="G20">
        <f>IF(G19/100&gt;Assumptions!$C$21/100,(SUMPRODUCT(DCF_Base!$C$22:$L$22/(1+G19/100)^DCF_Base!$C$4:$L$4)+MAX(0,MIN(DCF_Base!$L$22*(1+Assumptions!$C$21/100)/((G19-Assumptions!$C$21)/100),Assumptions!$B$13*DCF_Base!$L$22))/(1+G19/100)^10-Assumptions!$B$9)/Assumptions!$B$10*Assumptions!$B$12,"n/a")</f>
        <v/>
      </c>
    </row>
    <row r="21">
      <c r="A21" t="inlineStr">
        <is>
          <t>Check: the WACC column equals DCF_Base!B42 and the 15% column equals DCF_Base!B57</t>
        </is>
      </c>
    </row>
    <row r="24">
      <c r="A24" s="1" t="inlineStr">
        <is>
          <t>Sensitivity: WACC (rows) x terminal growth (columns), base case, NZD per share</t>
        </is>
      </c>
    </row>
    <row r="25">
      <c r="A25" t="inlineStr">
        <is>
          <t>WACC \ g</t>
        </is>
      </c>
      <c r="B25" s="3" t="n">
        <v>1.5</v>
      </c>
      <c r="C25" s="3" t="n">
        <v>2</v>
      </c>
      <c r="D25" s="3" t="n">
        <v>2.5</v>
      </c>
      <c r="E25" s="3" t="n">
        <v>3</v>
      </c>
      <c r="F25" s="3" t="n">
        <v>3.5</v>
      </c>
    </row>
    <row r="26">
      <c r="A26" s="3" t="n">
        <v>6.5</v>
      </c>
      <c r="B26">
        <f>IF($A26/100&gt;B$25/100,(SUMPRODUCT(DCF_Base!$C$22:$L$22/(1+$A26/100)^DCF_Base!$C$4:$L$4)+MAX(0,MIN(DCF_Base!$L$22*(1+B$25/100)/(($A26-B$25)/100),Assumptions!$B$13*DCF_Base!$L$22))/(1+$A26/100)^10-Assumptions!$B$9)/Assumptions!$B$10*Assumptions!$B$12,"n/a")</f>
        <v/>
      </c>
      <c r="C26">
        <f>IF($A26/100&gt;C$25/100,(SUMPRODUCT(DCF_Base!$C$22:$L$22/(1+$A26/100)^DCF_Base!$C$4:$L$4)+MAX(0,MIN(DCF_Base!$L$22*(1+C$25/100)/(($A26-C$25)/100),Assumptions!$B$13*DCF_Base!$L$22))/(1+$A26/100)^10-Assumptions!$B$9)/Assumptions!$B$10*Assumptions!$B$12,"n/a")</f>
        <v/>
      </c>
      <c r="D26">
        <f>IF($A26/100&gt;D$25/100,(SUMPRODUCT(DCF_Base!$C$22:$L$22/(1+$A26/100)^DCF_Base!$C$4:$L$4)+MAX(0,MIN(DCF_Base!$L$22*(1+D$25/100)/(($A26-D$25)/100),Assumptions!$B$13*DCF_Base!$L$22))/(1+$A26/100)^10-Assumptions!$B$9)/Assumptions!$B$10*Assumptions!$B$12,"n/a")</f>
        <v/>
      </c>
      <c r="E26">
        <f>IF($A26/100&gt;E$25/100,(SUMPRODUCT(DCF_Base!$C$22:$L$22/(1+$A26/100)^DCF_Base!$C$4:$L$4)+MAX(0,MIN(DCF_Base!$L$22*(1+E$25/100)/(($A26-E$25)/100),Assumptions!$B$13*DCF_Base!$L$22))/(1+$A26/100)^10-Assumptions!$B$9)/Assumptions!$B$10*Assumptions!$B$12,"n/a")</f>
        <v/>
      </c>
      <c r="F26">
        <f>IF($A26/100&gt;F$25/100,(SUMPRODUCT(DCF_Base!$C$22:$L$22/(1+$A26/100)^DCF_Base!$C$4:$L$4)+MAX(0,MIN(DCF_Base!$L$22*(1+F$25/100)/(($A26-F$25)/100),Assumptions!$B$13*DCF_Base!$L$22))/(1+$A26/100)^10-Assumptions!$B$9)/Assumptions!$B$10*Assumptions!$B$12,"n/a")</f>
        <v/>
      </c>
    </row>
    <row r="27">
      <c r="A27" s="3" t="n">
        <v>7.5</v>
      </c>
      <c r="B27">
        <f>IF($A27/100&gt;B$25/100,(SUMPRODUCT(DCF_Base!$C$22:$L$22/(1+$A27/100)^DCF_Base!$C$4:$L$4)+MAX(0,MIN(DCF_Base!$L$22*(1+B$25/100)/(($A27-B$25)/100),Assumptions!$B$13*DCF_Base!$L$22))/(1+$A27/100)^10-Assumptions!$B$9)/Assumptions!$B$10*Assumptions!$B$12,"n/a")</f>
        <v/>
      </c>
      <c r="C27">
        <f>IF($A27/100&gt;C$25/100,(SUMPRODUCT(DCF_Base!$C$22:$L$22/(1+$A27/100)^DCF_Base!$C$4:$L$4)+MAX(0,MIN(DCF_Base!$L$22*(1+C$25/100)/(($A27-C$25)/100),Assumptions!$B$13*DCF_Base!$L$22))/(1+$A27/100)^10-Assumptions!$B$9)/Assumptions!$B$10*Assumptions!$B$12,"n/a")</f>
        <v/>
      </c>
      <c r="D27">
        <f>IF($A27/100&gt;D$25/100,(SUMPRODUCT(DCF_Base!$C$22:$L$22/(1+$A27/100)^DCF_Base!$C$4:$L$4)+MAX(0,MIN(DCF_Base!$L$22*(1+D$25/100)/(($A27-D$25)/100),Assumptions!$B$13*DCF_Base!$L$22))/(1+$A27/100)^10-Assumptions!$B$9)/Assumptions!$B$10*Assumptions!$B$12,"n/a")</f>
        <v/>
      </c>
      <c r="E27">
        <f>IF($A27/100&gt;E$25/100,(SUMPRODUCT(DCF_Base!$C$22:$L$22/(1+$A27/100)^DCF_Base!$C$4:$L$4)+MAX(0,MIN(DCF_Base!$L$22*(1+E$25/100)/(($A27-E$25)/100),Assumptions!$B$13*DCF_Base!$L$22))/(1+$A27/100)^10-Assumptions!$B$9)/Assumptions!$B$10*Assumptions!$B$12,"n/a")</f>
        <v/>
      </c>
      <c r="F27">
        <f>IF($A27/100&gt;F$25/100,(SUMPRODUCT(DCF_Base!$C$22:$L$22/(1+$A27/100)^DCF_Base!$C$4:$L$4)+MAX(0,MIN(DCF_Base!$L$22*(1+F$25/100)/(($A27-F$25)/100),Assumptions!$B$13*DCF_Base!$L$22))/(1+$A27/100)^10-Assumptions!$B$9)/Assumptions!$B$10*Assumptions!$B$12,"n/a")</f>
        <v/>
      </c>
    </row>
    <row r="28">
      <c r="A28" s="3" t="n">
        <v>8.5</v>
      </c>
      <c r="B28">
        <f>IF($A28/100&gt;B$25/100,(SUMPRODUCT(DCF_Base!$C$22:$L$22/(1+$A28/100)^DCF_Base!$C$4:$L$4)+MAX(0,MIN(DCF_Base!$L$22*(1+B$25/100)/(($A28-B$25)/100),Assumptions!$B$13*DCF_Base!$L$22))/(1+$A28/100)^10-Assumptions!$B$9)/Assumptions!$B$10*Assumptions!$B$12,"n/a")</f>
        <v/>
      </c>
      <c r="C28">
        <f>IF($A28/100&gt;C$25/100,(SUMPRODUCT(DCF_Base!$C$22:$L$22/(1+$A28/100)^DCF_Base!$C$4:$L$4)+MAX(0,MIN(DCF_Base!$L$22*(1+C$25/100)/(($A28-C$25)/100),Assumptions!$B$13*DCF_Base!$L$22))/(1+$A28/100)^10-Assumptions!$B$9)/Assumptions!$B$10*Assumptions!$B$12,"n/a")</f>
        <v/>
      </c>
      <c r="D28" s="6">
        <f>IF($A28/100&gt;D$25/100,(SUMPRODUCT(DCF_Base!$C$22:$L$22/(1+$A28/100)^DCF_Base!$C$4:$L$4)+MAX(0,MIN(DCF_Base!$L$22*(1+D$25/100)/(($A28-D$25)/100),Assumptions!$B$13*DCF_Base!$L$22))/(1+$A28/100)^10-Assumptions!$B$9)/Assumptions!$B$10*Assumptions!$B$12,"n/a")</f>
        <v/>
      </c>
      <c r="E28">
        <f>IF($A28/100&gt;E$25/100,(SUMPRODUCT(DCF_Base!$C$22:$L$22/(1+$A28/100)^DCF_Base!$C$4:$L$4)+MAX(0,MIN(DCF_Base!$L$22*(1+E$25/100)/(($A28-E$25)/100),Assumptions!$B$13*DCF_Base!$L$22))/(1+$A28/100)^10-Assumptions!$B$9)/Assumptions!$B$10*Assumptions!$B$12,"n/a")</f>
        <v/>
      </c>
      <c r="F28">
        <f>IF($A28/100&gt;F$25/100,(SUMPRODUCT(DCF_Base!$C$22:$L$22/(1+$A28/100)^DCF_Base!$C$4:$L$4)+MAX(0,MIN(DCF_Base!$L$22*(1+F$25/100)/(($A28-F$25)/100),Assumptions!$B$13*DCF_Base!$L$22))/(1+$A28/100)^10-Assumptions!$B$9)/Assumptions!$B$10*Assumptions!$B$12,"n/a")</f>
        <v/>
      </c>
    </row>
    <row r="29">
      <c r="A29" s="3" t="n">
        <v>9.5</v>
      </c>
      <c r="B29">
        <f>IF($A29/100&gt;B$25/100,(SUMPRODUCT(DCF_Base!$C$22:$L$22/(1+$A29/100)^DCF_Base!$C$4:$L$4)+MAX(0,MIN(DCF_Base!$L$22*(1+B$25/100)/(($A29-B$25)/100),Assumptions!$B$13*DCF_Base!$L$22))/(1+$A29/100)^10-Assumptions!$B$9)/Assumptions!$B$10*Assumptions!$B$12,"n/a")</f>
        <v/>
      </c>
      <c r="C29">
        <f>IF($A29/100&gt;C$25/100,(SUMPRODUCT(DCF_Base!$C$22:$L$22/(1+$A29/100)^DCF_Base!$C$4:$L$4)+MAX(0,MIN(DCF_Base!$L$22*(1+C$25/100)/(($A29-C$25)/100),Assumptions!$B$13*DCF_Base!$L$22))/(1+$A29/100)^10-Assumptions!$B$9)/Assumptions!$B$10*Assumptions!$B$12,"n/a")</f>
        <v/>
      </c>
      <c r="D29">
        <f>IF($A29/100&gt;D$25/100,(SUMPRODUCT(DCF_Base!$C$22:$L$22/(1+$A29/100)^DCF_Base!$C$4:$L$4)+MAX(0,MIN(DCF_Base!$L$22*(1+D$25/100)/(($A29-D$25)/100),Assumptions!$B$13*DCF_Base!$L$22))/(1+$A29/100)^10-Assumptions!$B$9)/Assumptions!$B$10*Assumptions!$B$12,"n/a")</f>
        <v/>
      </c>
      <c r="E29">
        <f>IF($A29/100&gt;E$25/100,(SUMPRODUCT(DCF_Base!$C$22:$L$22/(1+$A29/100)^DCF_Base!$C$4:$L$4)+MAX(0,MIN(DCF_Base!$L$22*(1+E$25/100)/(($A29-E$25)/100),Assumptions!$B$13*DCF_Base!$L$22))/(1+$A29/100)^10-Assumptions!$B$9)/Assumptions!$B$10*Assumptions!$B$12,"n/a")</f>
        <v/>
      </c>
      <c r="F29">
        <f>IF($A29/100&gt;F$25/100,(SUMPRODUCT(DCF_Base!$C$22:$L$22/(1+$A29/100)^DCF_Base!$C$4:$L$4)+MAX(0,MIN(DCF_Base!$L$22*(1+F$25/100)/(($A29-F$25)/100),Assumptions!$B$13*DCF_Base!$L$22))/(1+$A29/100)^10-Assumptions!$B$9)/Assumptions!$B$10*Assumptions!$B$12,"n/a")</f>
        <v/>
      </c>
    </row>
    <row r="30">
      <c r="A30" s="3" t="n">
        <v>10.5</v>
      </c>
      <c r="B30">
        <f>IF($A30/100&gt;B$25/100,(SUMPRODUCT(DCF_Base!$C$22:$L$22/(1+$A30/100)^DCF_Base!$C$4:$L$4)+MAX(0,MIN(DCF_Base!$L$22*(1+B$25/100)/(($A30-B$25)/100),Assumptions!$B$13*DCF_Base!$L$22))/(1+$A30/100)^10-Assumptions!$B$9)/Assumptions!$B$10*Assumptions!$B$12,"n/a")</f>
        <v/>
      </c>
      <c r="C30">
        <f>IF($A30/100&gt;C$25/100,(SUMPRODUCT(DCF_Base!$C$22:$L$22/(1+$A30/100)^DCF_Base!$C$4:$L$4)+MAX(0,MIN(DCF_Base!$L$22*(1+C$25/100)/(($A30-C$25)/100),Assumptions!$B$13*DCF_Base!$L$22))/(1+$A30/100)^10-Assumptions!$B$9)/Assumptions!$B$10*Assumptions!$B$12,"n/a")</f>
        <v/>
      </c>
      <c r="D30">
        <f>IF($A30/100&gt;D$25/100,(SUMPRODUCT(DCF_Base!$C$22:$L$22/(1+$A30/100)^DCF_Base!$C$4:$L$4)+MAX(0,MIN(DCF_Base!$L$22*(1+D$25/100)/(($A30-D$25)/100),Assumptions!$B$13*DCF_Base!$L$22))/(1+$A30/100)^10-Assumptions!$B$9)/Assumptions!$B$10*Assumptions!$B$12,"n/a")</f>
        <v/>
      </c>
      <c r="E30">
        <f>IF($A30/100&gt;E$25/100,(SUMPRODUCT(DCF_Base!$C$22:$L$22/(1+$A30/100)^DCF_Base!$C$4:$L$4)+MAX(0,MIN(DCF_Base!$L$22*(1+E$25/100)/(($A30-E$25)/100),Assumptions!$B$13*DCF_Base!$L$22))/(1+$A30/100)^10-Assumptions!$B$9)/Assumptions!$B$10*Assumptions!$B$12,"n/a")</f>
        <v/>
      </c>
      <c r="F30">
        <f>IF($A30/100&gt;F$25/100,(SUMPRODUCT(DCF_Base!$C$22:$L$22/(1+$A30/100)^DCF_Base!$C$4:$L$4)+MAX(0,MIN(DCF_Base!$L$22*(1+F$25/100)/(($A30-F$25)/100),Assumptions!$B$13*DCF_Base!$L$22))/(1+$A30/100)^10-Assumptions!$B$9)/Assumptions!$B$10*Assumptions!$B$12,"n/a")</f>
        <v/>
      </c>
    </row>
    <row r="32">
      <c r="A32" t="inlineStr">
        <is>
          <t>Cells where the 15x cap binds are flat across g -- that is the cap doing its job, not an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2026-09-08T06:10:03Z</dcterms:created>
  <dcterms:modified xsi:type="dcterms:W3CDTF">2026-09-08T06:10:03Z</dcterms:modified>
</cp:coreProperties>
</file>