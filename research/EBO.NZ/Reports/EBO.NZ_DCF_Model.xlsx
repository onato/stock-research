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cenario Comparison" sheetId="2" r:id="rId2"/>
    <sheet name="Sensitivity" sheetId="3" r:id="rId3"/>
    <sheet name="Historical Data" sheetId="4" r:id="rId4"/>
    <sheet name="Sanity Check" sheetId="5" r:id="rId5"/>
  </sheets>
  <calcPr calcId="124519" fullCalcOnLoad="1"/>
</workbook>
</file>

<file path=xl/sharedStrings.xml><?xml version="1.0" encoding="utf-8"?>
<sst xmlns="http://schemas.openxmlformats.org/spreadsheetml/2006/main" count="318" uniqueCount="252">
  <si>
    <t>EBOS Group (EBO.NZ) - DCF Valuation Model</t>
  </si>
  <si>
    <t>Base Case | AUD financials, NZD share price | Gray cells are INPUTS - adjust assumptions to see valuation update</t>
  </si>
  <si>
    <t>Financials in AUD (millions). Share price in NZD. AUD/NZD conversion rate in cell B9. Intrinsic values shown in both AUD and NZD.</t>
  </si>
  <si>
    <t>KEY INPUTS</t>
  </si>
  <si>
    <t>Current Share Price (NZD)</t>
  </si>
  <si>
    <t>Live price from Yahoo Finance (NZX: EBO.NZ), fetched 2026-06-27</t>
  </si>
  <si>
    <t>Shares Outstanding (M)</t>
  </si>
  <si>
    <t>Total Debt (AUD M)</t>
  </si>
  <si>
    <t>Cash &amp; Equivalents (AUD M)</t>
  </si>
  <si>
    <t>Net Debt (AUD M)</t>
  </si>
  <si>
    <t>Base Year FCF (AUD M)</t>
  </si>
  <si>
    <t>FY2025 full-year actual (Jun 2025)</t>
  </si>
  <si>
    <t>AUD/NZD Exchange Rate</t>
  </si>
  <si>
    <t>1 AUD = X NZD. Adjust to update all NZD intrinsic values.</t>
  </si>
  <si>
    <t>BASE CASE ASSUMPTIONS</t>
  </si>
  <si>
    <t>WACC (Base)</t>
  </si>
  <si>
    <t>Risk-free 4.5% + ERP 5.0% + beta 0.85 (healthcare dist.) + 0.5% size/country</t>
  </si>
  <si>
    <t>Terminal Growth Rate (Base)</t>
  </si>
  <si>
    <t>Long-run ANZ healthcare spend growth; PBS/PHARMAC framework + GLP-1 tailwind</t>
  </si>
  <si>
    <t>FCF GROWTH RATES (BASE CASE)</t>
  </si>
  <si>
    <t>FY2026 (Y1)</t>
  </si>
  <si>
    <t>FY2027 (Y2)</t>
  </si>
  <si>
    <t>FY2028 (Y3)</t>
  </si>
  <si>
    <t>FY2029 (Y4)</t>
  </si>
  <si>
    <t>FY2030 (Y5)</t>
  </si>
  <si>
    <t>FCF Growth Rate</t>
  </si>
  <si>
    <t>FCF Growth Rate (Input)</t>
  </si>
  <si>
    <t>Notes</t>
  </si>
  <si>
    <t>Peak capex/WC year; DC transition costs; EBITDA ~A$615M guided</t>
  </si>
  <si>
    <t>Capex -30% inflection; DC automation benefits; key FY2027 recovery</t>
  </si>
  <si>
    <t>Full DC leverage; MedTech and pharmacy network scale</t>
  </si>
  <si>
    <t>Continued organic growth all segments</t>
  </si>
  <si>
    <t>Decelerating toward terminal rate</t>
  </si>
  <si>
    <t>FCF PROJECTIONS</t>
  </si>
  <si>
    <t>Base Year</t>
  </si>
  <si>
    <t>Free Cash Flow (AUD M)</t>
  </si>
  <si>
    <t>Discount Factor</t>
  </si>
  <si>
    <t>PV of FCF (AUD M)</t>
  </si>
  <si>
    <t>VALUATION SUMMARY</t>
  </si>
  <si>
    <t>Sum of PV of FCF (AUD M)</t>
  </si>
  <si>
    <t>Terminal FCF (Year 5 x (1+g))</t>
  </si>
  <si>
    <t>Terminal Value (AUD M)</t>
  </si>
  <si>
    <t>PV of Terminal Value (AUD M)</t>
  </si>
  <si>
    <t>Enterprise Value (AUD M)</t>
  </si>
  <si>
    <t>Less: Net Debt (AUD M)</t>
  </si>
  <si>
    <t>Equity Value (AUD M)</t>
  </si>
  <si>
    <t>INTRINSIC VALUE/SHARE (AUD)</t>
  </si>
  <si>
    <t>INTRINSIC VALUE/SHARE (NZD)</t>
  </si>
  <si>
    <t>Current Price (NZD)</t>
  </si>
  <si>
    <t>Upside / Downside</t>
  </si>
  <si>
    <t>ENTRY PRICE (15% CAGR Target)</t>
  </si>
  <si>
    <t>Terminal Value per Share (AUD)</t>
  </si>
  <si>
    <t>Terminal Value per Share (NZD)</t>
  </si>
  <si>
    <t>Entry Price for 15% CAGR (NZD)</t>
  </si>
  <si>
    <t>Current vs Entry Price</t>
  </si>
  <si>
    <t>EBOS Group (EBO.NZ) - Scenario Comparison</t>
  </si>
  <si>
    <t>All AUD values in millions; Per-share values in NZD (AUD/NZD 1.10)</t>
  </si>
  <si>
    <t>Metric</t>
  </si>
  <si>
    <t>Bear Case</t>
  </si>
  <si>
    <t>Base Case</t>
  </si>
  <si>
    <t>Bull Case</t>
  </si>
  <si>
    <t>WACC</t>
  </si>
  <si>
    <t>10.5%</t>
  </si>
  <si>
    <t>9.0%</t>
  </si>
  <si>
    <t>8.5%</t>
  </si>
  <si>
    <t>Terminal Growth</t>
  </si>
  <si>
    <t>2.0%</t>
  </si>
  <si>
    <t>2.5%</t>
  </si>
  <si>
    <t>3.0%</t>
  </si>
  <si>
    <t>FCF Growth Rates</t>
  </si>
  <si>
    <t>[-18.0, 10.0, 5.0, 4.0, 3.0]</t>
  </si>
  <si>
    <t>[-11.0, 28.0, 10.0, 8.0, 6.0]</t>
  </si>
  <si>
    <t>[-5.0, 35.0, 14.0, 10.0, 8.0]</t>
  </si>
  <si>
    <t>PROJECTIONS</t>
  </si>
  <si>
    <t>Y1 FCF (AUD M)</t>
  </si>
  <si>
    <t>A$240.6M</t>
  </si>
  <si>
    <t>A$261.1M</t>
  </si>
  <si>
    <t>A$278.7M</t>
  </si>
  <si>
    <t>Y2 FCF (AUD M)</t>
  </si>
  <si>
    <t>A$264.6M</t>
  </si>
  <si>
    <t>A$334.2M</t>
  </si>
  <si>
    <t>A$376.3M</t>
  </si>
  <si>
    <t>Y3 FCF (AUD M)</t>
  </si>
  <si>
    <t>A$277.9M</t>
  </si>
  <si>
    <t>A$367.7M</t>
  </si>
  <si>
    <t>A$429.0M</t>
  </si>
  <si>
    <t>Y4 FCF (AUD M)</t>
  </si>
  <si>
    <t>A$289.0M</t>
  </si>
  <si>
    <t>A$397.1M</t>
  </si>
  <si>
    <t>A$471.9M</t>
  </si>
  <si>
    <t>Y5 FCF (AUD M)</t>
  </si>
  <si>
    <t>A$297.7M</t>
  </si>
  <si>
    <t>A$420.9M</t>
  </si>
  <si>
    <t>A$509.6M</t>
  </si>
  <si>
    <t>VALUATION</t>
  </si>
  <si>
    <t>Sum PV of FCF (AUD M)</t>
  </si>
  <si>
    <t>A$1014.9M</t>
  </si>
  <si>
    <t>A$1359.5M</t>
  </si>
  <si>
    <t>A$1591.9M</t>
  </si>
  <si>
    <t>A$3572.4M</t>
  </si>
  <si>
    <t>A$6637.3M</t>
  </si>
  <si>
    <t>A$9543.4M</t>
  </si>
  <si>
    <t>A$2168.4M</t>
  </si>
  <si>
    <t>A$4313.6M</t>
  </si>
  <si>
    <t>A$6346.4M</t>
  </si>
  <si>
    <t>A$3183.3M</t>
  </si>
  <si>
    <t>A$5673.1M</t>
  </si>
  <si>
    <t>A$7938.3M</t>
  </si>
  <si>
    <t>A$2062.4M</t>
  </si>
  <si>
    <t>A$4552.2M</t>
  </si>
  <si>
    <t>A$6817.4M</t>
  </si>
  <si>
    <t>Intrinsic Value (AUD/share)</t>
  </si>
  <si>
    <t>A$10.06</t>
  </si>
  <si>
    <t>A$22.21</t>
  </si>
  <si>
    <t>A$33.26</t>
  </si>
  <si>
    <t>Intrinsic Value (NZD/share)</t>
  </si>
  <si>
    <t>NZ$11.07</t>
  </si>
  <si>
    <t>NZ$24.43</t>
  </si>
  <si>
    <t>NZ$36.59</t>
  </si>
  <si>
    <t>Upside / Downside vs NZD 20.65</t>
  </si>
  <si>
    <t>-46.4%</t>
  </si>
  <si>
    <t>18.3%</t>
  </si>
  <si>
    <t>77.2%</t>
  </si>
  <si>
    <t>Implied EV/EBITDA (FY2026E)</t>
  </si>
  <si>
    <t>5.2x</t>
  </si>
  <si>
    <t>9.2x</t>
  </si>
  <si>
    <t>12.9x</t>
  </si>
  <si>
    <t>Implied P/E (FY2026E)</t>
  </si>
  <si>
    <t>8.2x</t>
  </si>
  <si>
    <t>18.1x</t>
  </si>
  <si>
    <t>27.1x</t>
  </si>
  <si>
    <t>PROBABILITY-WEIGHTED IV (NZD)</t>
  </si>
  <si>
    <t>Weights (Bull/Base/Bear)</t>
  </si>
  <si>
    <t>25%</t>
  </si>
  <si>
    <t>50%</t>
  </si>
  <si>
    <t>Weighted IV (NZD)</t>
  </si>
  <si>
    <t>NZ$24.13</t>
  </si>
  <si>
    <t>Upside from NZD 20.65</t>
  </si>
  <si>
    <t>16.8%</t>
  </si>
  <si>
    <t>Sensitivity Analysis - Intrinsic Value (NZD/share)</t>
  </si>
  <si>
    <t>Base FCF growth rates held constant; WACC and Terminal Growth varied. Values in NZD at AUD/NZD 1.10.</t>
  </si>
  <si>
    <t>WACC \ Term. Growth</t>
  </si>
  <si>
    <t>1.5%</t>
  </si>
  <si>
    <t>3.5%</t>
  </si>
  <si>
    <t>7.5%</t>
  </si>
  <si>
    <t>10.0%</t>
  </si>
  <si>
    <t>11.0%</t>
  </si>
  <si>
    <t>Legend:</t>
  </si>
  <si>
    <t>NZ$28+ (significant upside)</t>
  </si>
  <si>
    <t>NZ$22-28 (moderate upside)</t>
  </si>
  <si>
    <t>NZ$20.65-22 (slight upside)</t>
  </si>
  <si>
    <t>NZ$17-20.65 (below market)</t>
  </si>
  <si>
    <t>Under NZ$17 (significant downside)</t>
  </si>
  <si>
    <t>Current NZX Price (NZD)</t>
  </si>
  <si>
    <t>Base Case WACC</t>
  </si>
  <si>
    <t>Base Case Terminal Growth</t>
  </si>
  <si>
    <t>EBOS Group - Historical Financial Data (AUD millions unless noted)</t>
  </si>
  <si>
    <t>Source: EBOS Annual Reports FY2019-FY2025, H1 FY2026 Results (Feb 2026). NZD data for FY2015-FY2018 not directly comparable.</t>
  </si>
  <si>
    <t>Period</t>
  </si>
  <si>
    <t>Revenue</t>
  </si>
  <si>
    <t>EBITDA</t>
  </si>
  <si>
    <t>EBIT</t>
  </si>
  <si>
    <t>Net Income</t>
  </si>
  <si>
    <t>EPS (AUD¢)</t>
  </si>
  <si>
    <t>FCF</t>
  </si>
  <si>
    <t>Equity</t>
  </si>
  <si>
    <t>Net Debt</t>
  </si>
  <si>
    <t>Shares(M)</t>
  </si>
  <si>
    <t>FCF Margin%</t>
  </si>
  <si>
    <t>FY2020</t>
  </si>
  <si>
    <t>FY2021</t>
  </si>
  <si>
    <t>FY2022</t>
  </si>
  <si>
    <t>FY2023</t>
  </si>
  <si>
    <t>FY2024</t>
  </si>
  <si>
    <t>FY2025</t>
  </si>
  <si>
    <t>H1 FY2026</t>
  </si>
  <si>
    <t>-</t>
  </si>
  <si>
    <t>HISTORICAL GROWTH RATES</t>
  </si>
  <si>
    <t>3-Year CAGR</t>
  </si>
  <si>
    <t>5-Year CAGR</t>
  </si>
  <si>
    <t>Period (3yr)</t>
  </si>
  <si>
    <t>Period (5yr)</t>
  </si>
  <si>
    <t>FY2022-FY2025</t>
  </si>
  <si>
    <t>FY2020-FY2025</t>
  </si>
  <si>
    <t>EPS</t>
  </si>
  <si>
    <t>Shareholders' Equity</t>
  </si>
  <si>
    <t>Free Cash Flow</t>
  </si>
  <si>
    <t>Selected Growth Rate (FCF 5yr CAGR):</t>
  </si>
  <si>
    <t>Scenarios further calibrated to FY2026 guidance and FY2027 capex inflection</t>
  </si>
  <si>
    <t>EBOS Group - Sanity Check: Implied Valuation Multiples</t>
  </si>
  <si>
    <t>Checking DCF-implied multiples vs EBOS historical trading range and current market</t>
  </si>
  <si>
    <t>Sanity Check Status:</t>
  </si>
  <si>
    <t>TRIPPED (bear EV/EBITDA below historical floor)</t>
  </si>
  <si>
    <t>Bear case 5.2x EV/EBITDA is below the 7-8x historical support; retained as deliberate stress scenario</t>
  </si>
  <si>
    <t>CURRENT MARKET MULTIPLES</t>
  </si>
  <si>
    <t>Value</t>
  </si>
  <si>
    <t>Historical Range</t>
  </si>
  <si>
    <t>Assessment</t>
  </si>
  <si>
    <t>Current NZD Price</t>
  </si>
  <si>
    <t>NZ$20.65</t>
  </si>
  <si>
    <t>Live price from Yahoo Finance</t>
  </si>
  <si>
    <t>Market Cap (AUD M)</t>
  </si>
  <si>
    <t>A$3,848M</t>
  </si>
  <si>
    <t>A$4,969M</t>
  </si>
  <si>
    <t>EV/EBITDA (trailing FY2025)</t>
  </si>
  <si>
    <t>8.9x</t>
  </si>
  <si>
    <t>9-18x</t>
  </si>
  <si>
    <t>At historical low; reflects CW loss + transition</t>
  </si>
  <si>
    <t>EV/EBITDA (forward FY2026E)</t>
  </si>
  <si>
    <t>8.1x</t>
  </si>
  <si>
    <t>Below historical support - market de-rating</t>
  </si>
  <si>
    <t>P/E (trailing FY2025)</t>
  </si>
  <si>
    <t>17.9x</t>
  </si>
  <si>
    <t>18-30x</t>
  </si>
  <si>
    <t>At historical floor; EPS trough year</t>
  </si>
  <si>
    <t>P/E (forward FY2026E)</t>
  </si>
  <si>
    <t>15.3x</t>
  </si>
  <si>
    <t>Below historical range; elevated D&amp;A and interest</t>
  </si>
  <si>
    <t>DCF-IMPLIED MULTIPLES AT INTRINSIC VALUE</t>
  </si>
  <si>
    <t>Scenario</t>
  </si>
  <si>
    <t>IV (NZD)</t>
  </si>
  <si>
    <t>EV/EBITDA (FY26E)</t>
  </si>
  <si>
    <t>P/E (FY26E)</t>
  </si>
  <si>
    <t>REASONABLE - consistent with current market + modest re-rating</t>
  </si>
  <si>
    <t>REASONABLE - within historical range; requires DC automation to deliver</t>
  </si>
  <si>
    <t>FLAGGED - distressed multiple; extreme stress scenario</t>
  </si>
  <si>
    <t>HISTORICAL EV/EBITDA (estimated)</t>
  </si>
  <si>
    <t>EV/EBITDA</t>
  </si>
  <si>
    <t>Approx NZD Price</t>
  </si>
  <si>
    <t>Context</t>
  </si>
  <si>
    <t>11.7x</t>
  </si>
  <si>
    <t>NZ$22</t>
  </si>
  <si>
    <t>COVID recovery, stable healthcare demand</t>
  </si>
  <si>
    <t>15.4x</t>
  </si>
  <si>
    <t>NZ$32</t>
  </si>
  <si>
    <t>M&amp;A growth premium, Black Hawk acquisition</t>
  </si>
  <si>
    <t>18.5x</t>
  </si>
  <si>
    <t>NZ$40</t>
  </si>
  <si>
    <t>Peak multiple; CW contract included in revenue</t>
  </si>
  <si>
    <t>13.9x</t>
  </si>
  <si>
    <t>NZ$36</t>
  </si>
  <si>
    <t>Post-peak de-rating; CW contract announced lost</t>
  </si>
  <si>
    <t>9.8x</t>
  </si>
  <si>
    <t>NZ$28</t>
  </si>
  <si>
    <t>Post CW loss; DC investment peak</t>
  </si>
  <si>
    <t>9.0x</t>
  </si>
  <si>
    <t>NZ$23</t>
  </si>
  <si>
    <t>DC transition year; elevated costs</t>
  </si>
  <si>
    <t>Jun-2026 (current)</t>
  </si>
  <si>
    <t>Trough multiple; fuel cost downgrade</t>
  </si>
  <si>
    <t>AUTO-FIX STATUS</t>
  </si>
  <si>
    <t>No auto-fix applied to scenario numbers. Bear case growth rates reviewed and floor is acknowledged as a deliberate stress scenario. Base and bull cases are consistent with historical multiple range and current market de-rating. The key finding: NZD 20.65 already prices EBOS at its lowest historical EV/EBITDA multiple (8.1x). Base DCF at NZD 24.43 (9.2x) implies modest undervaluation of 18.3%. Primary risk is leverage (2.2x) and DC automation timeline.</t>
  </si>
</sst>
</file>

<file path=xl/styles.xml><?xml version="1.0" encoding="utf-8"?>
<styleSheet xmlns="http://schemas.openxmlformats.org/spreadsheetml/2006/main">
  <numFmts count="6">
    <numFmt numFmtId="164" formatCode="#,##0.0"/>
    <numFmt numFmtId="165" formatCode="&quot;A$&quot;#,##0.0"/>
    <numFmt numFmtId="166" formatCode="&quot;A$&quot;#,##0.00"/>
    <numFmt numFmtId="167" formatCode="0.0%"/>
    <numFmt numFmtId="168" formatCode="&quot;NZ$&quot;#,##0.00"/>
    <numFmt numFmtId="169" formatCode="+0.0%;-0.0%;0.0%"/>
  </numFmts>
  <fonts count="8">
    <font>
      <sz val="11"/>
      <color theme="1"/>
      <name val="Calibri"/>
      <family val="2"/>
      <scheme val="minor"/>
    </font>
    <font>
      <b/>
      <sz val="16"/>
      <color rgb="FF2D3436"/>
      <name val="Calibri"/>
      <family val="2"/>
      <scheme val="minor"/>
    </font>
    <font>
      <i/>
      <sz val="10"/>
      <color rgb="FF636E72"/>
      <name val="Calibri"/>
      <family val="2"/>
      <scheme val="minor"/>
    </font>
    <font>
      <i/>
      <sz val="9"/>
      <color rgb="FF636E72"/>
      <name val="Calibri"/>
      <family val="2"/>
      <scheme val="minor"/>
    </font>
    <font>
      <b/>
      <sz val="11"/>
      <color rgb="FF2D343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F5F6FA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FAB1A0"/>
        <bgColor indexed="64"/>
      </patternFill>
    </fill>
    <fill>
      <patternFill patternType="solid">
        <fgColor rgb="FF74B9FF"/>
        <bgColor indexed="64"/>
      </patternFill>
    </fill>
    <fill>
      <patternFill patternType="solid">
        <fgColor rgb="FF55EFC4"/>
        <bgColor indexed="64"/>
      </patternFill>
    </fill>
    <fill>
      <patternFill patternType="solid">
        <fgColor rgb="FFD6303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1" xfId="0" applyFont="1" applyBorder="1"/>
    <xf numFmtId="164" fontId="0" fillId="2" borderId="2" xfId="0" applyNumberFormat="1" applyFill="1" applyBorder="1"/>
    <xf numFmtId="165" fontId="0" fillId="2" borderId="2" xfId="0" applyNumberFormat="1" applyFill="1" applyBorder="1"/>
    <xf numFmtId="166" fontId="0" fillId="0" borderId="2" xfId="0" applyNumberFormat="1" applyBorder="1"/>
    <xf numFmtId="167" fontId="0" fillId="2" borderId="2" xfId="0" applyNumberFormat="1" applyFill="1" applyBorder="1"/>
    <xf numFmtId="0" fontId="5" fillId="3" borderId="2" xfId="0" applyFont="1" applyFill="1" applyBorder="1" applyAlignment="1">
      <alignment horizontal="center"/>
    </xf>
    <xf numFmtId="0" fontId="6" fillId="0" borderId="0" xfId="0" applyFont="1"/>
    <xf numFmtId="0" fontId="0" fillId="4" borderId="2" xfId="0" applyFill="1" applyBorder="1"/>
    <xf numFmtId="164" fontId="0" fillId="0" borderId="2" xfId="0" applyNumberFormat="1" applyBorder="1"/>
    <xf numFmtId="166" fontId="6" fillId="2" borderId="3" xfId="0" applyNumberFormat="1" applyFont="1" applyFill="1" applyBorder="1"/>
    <xf numFmtId="168" fontId="5" fillId="5" borderId="2" xfId="0" applyNumberFormat="1" applyFont="1" applyFill="1" applyBorder="1"/>
    <xf numFmtId="168" fontId="0" fillId="0" borderId="2" xfId="0" applyNumberFormat="1" applyBorder="1"/>
    <xf numFmtId="169" fontId="6" fillId="0" borderId="2" xfId="0" applyNumberFormat="1" applyFont="1" applyBorder="1"/>
    <xf numFmtId="168" fontId="0" fillId="6" borderId="2" xfId="0" applyNumberFormat="1" applyFill="1" applyBorder="1"/>
    <xf numFmtId="0" fontId="6" fillId="7" borderId="2" xfId="0" applyFont="1" applyFill="1" applyBorder="1"/>
    <xf numFmtId="168" fontId="0" fillId="8" borderId="2" xfId="0" applyNumberFormat="1" applyFill="1" applyBorder="1"/>
    <xf numFmtId="0" fontId="0" fillId="7" borderId="2" xfId="0" applyFill="1" applyBorder="1"/>
    <xf numFmtId="168" fontId="7" fillId="5" borderId="2" xfId="0" applyNumberFormat="1" applyFont="1" applyFill="1" applyBorder="1"/>
    <xf numFmtId="168" fontId="0" fillId="2" borderId="2" xfId="0" applyNumberFormat="1" applyFill="1" applyBorder="1"/>
    <xf numFmtId="168" fontId="7" fillId="9" borderId="2" xfId="0" applyNumberFormat="1" applyFont="1" applyFill="1" applyBorder="1"/>
    <xf numFmtId="0" fontId="7" fillId="5" borderId="2" xfId="0" applyFont="1" applyFill="1" applyBorder="1"/>
    <xf numFmtId="0" fontId="0" fillId="8" borderId="2" xfId="0" applyFill="1" applyBorder="1"/>
    <xf numFmtId="0" fontId="0" fillId="2" borderId="2" xfId="0" applyFill="1" applyBorder="1"/>
    <xf numFmtId="0" fontId="0" fillId="6" borderId="2" xfId="0" applyFill="1" applyBorder="1"/>
    <xf numFmtId="0" fontId="7" fillId="9" borderId="2" xfId="0" applyFont="1" applyFill="1" applyBorder="1"/>
    <xf numFmtId="167" fontId="0" fillId="0" borderId="2" xfId="0" applyNumberFormat="1" applyBorder="1"/>
    <xf numFmtId="0" fontId="5" fillId="9" borderId="2" xfId="0" applyFont="1" applyFill="1" applyBorder="1"/>
    <xf numFmtId="0" fontId="5" fillId="5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43"/>
  <sheetViews>
    <sheetView tabSelected="1" zoomScale="90" zoomScaleNormal="90" workbookViewId="0"/>
  </sheetViews>
  <sheetFormatPr defaultRowHeight="15"/>
  <cols>
    <col min="1" max="1" width="28.7109375" customWidth="1"/>
    <col min="2" max="2" width="16.7109375" customWidth="1"/>
    <col min="3" max="8" width="14.7109375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3" spans="1:8">
      <c r="A3" s="3" t="s">
        <v>2</v>
      </c>
      <c r="B3" s="3"/>
      <c r="C3" s="3"/>
      <c r="D3" s="3"/>
      <c r="E3" s="3"/>
      <c r="F3" s="3"/>
      <c r="G3" s="3"/>
      <c r="H3" s="3"/>
    </row>
    <row r="5" spans="1:8">
      <c r="A5" s="4" t="s">
        <v>3</v>
      </c>
      <c r="C5" s="4"/>
      <c r="D5" s="4"/>
      <c r="E5" s="4"/>
      <c r="F5" s="4"/>
      <c r="G5" s="4"/>
      <c r="H5" s="4"/>
    </row>
    <row r="6" spans="1:8">
      <c r="A6" t="s">
        <v>4</v>
      </c>
      <c r="B6" s="5">
        <v>20.65</v>
      </c>
      <c r="C6" s="3" t="s">
        <v>5</v>
      </c>
    </row>
    <row r="7" spans="1:8">
      <c r="A7" t="s">
        <v>6</v>
      </c>
      <c r="B7" s="5">
        <v>205</v>
      </c>
    </row>
    <row r="8" spans="1:8">
      <c r="A8" t="s">
        <v>7</v>
      </c>
      <c r="B8" s="6">
        <v>1371.2</v>
      </c>
    </row>
    <row r="9" spans="1:8">
      <c r="A9" t="s">
        <v>8</v>
      </c>
      <c r="B9" s="6">
        <v>250.3</v>
      </c>
    </row>
    <row r="10" spans="1:8">
      <c r="A10" t="s">
        <v>9</v>
      </c>
      <c r="B10" s="7">
        <f>B8-B9</f>
        <v>0</v>
      </c>
    </row>
    <row r="11" spans="1:8">
      <c r="A11" t="s">
        <v>10</v>
      </c>
      <c r="B11" s="6">
        <v>293.4</v>
      </c>
      <c r="C11" s="3" t="s">
        <v>11</v>
      </c>
    </row>
    <row r="12" spans="1:8">
      <c r="A12" t="s">
        <v>12</v>
      </c>
      <c r="B12" s="5">
        <v>1.1</v>
      </c>
      <c r="C12" s="3" t="s">
        <v>13</v>
      </c>
    </row>
    <row r="14" spans="1:8">
      <c r="A14" s="4" t="s">
        <v>14</v>
      </c>
      <c r="C14" s="4"/>
      <c r="D14" s="4"/>
      <c r="E14" s="4"/>
      <c r="F14" s="4"/>
      <c r="G14" s="4"/>
      <c r="H14" s="4"/>
    </row>
    <row r="15" spans="1:8">
      <c r="A15" t="s">
        <v>15</v>
      </c>
      <c r="B15" s="8">
        <v>0.09</v>
      </c>
      <c r="C15" s="3" t="s">
        <v>16</v>
      </c>
    </row>
    <row r="16" spans="1:8">
      <c r="A16" t="s">
        <v>17</v>
      </c>
      <c r="B16" s="8">
        <v>0.025</v>
      </c>
      <c r="C16" s="3" t="s">
        <v>18</v>
      </c>
    </row>
    <row r="18" spans="1:8">
      <c r="A18" s="4" t="s">
        <v>19</v>
      </c>
      <c r="C18" s="4"/>
      <c r="D18" s="4"/>
      <c r="E18" s="4"/>
      <c r="F18" s="4"/>
      <c r="G18" s="4"/>
      <c r="H18" s="4"/>
    </row>
    <row r="19" spans="1:8">
      <c r="A19" s="9"/>
      <c r="B19" s="9" t="s">
        <v>20</v>
      </c>
      <c r="C19" s="9" t="s">
        <v>21</v>
      </c>
      <c r="D19" s="9" t="s">
        <v>22</v>
      </c>
      <c r="E19" s="9" t="s">
        <v>23</v>
      </c>
      <c r="F19" s="9" t="s">
        <v>24</v>
      </c>
    </row>
    <row r="20" spans="1:8">
      <c r="A20" s="10" t="s">
        <v>26</v>
      </c>
      <c r="B20" s="8">
        <v>-0.11</v>
      </c>
      <c r="C20" s="8">
        <v>0.28</v>
      </c>
      <c r="D20" s="8">
        <v>0.1</v>
      </c>
      <c r="E20" s="8">
        <v>0.08</v>
      </c>
      <c r="F20" s="8">
        <v>0.06</v>
      </c>
    </row>
    <row r="21" spans="1:8">
      <c r="A21" s="3" t="s">
        <v>27</v>
      </c>
      <c r="B21" s="3" t="s">
        <v>28</v>
      </c>
      <c r="C21" s="3" t="s">
        <v>29</v>
      </c>
      <c r="D21" s="3" t="s">
        <v>30</v>
      </c>
      <c r="E21" s="3" t="s">
        <v>31</v>
      </c>
      <c r="F21" s="3" t="s">
        <v>32</v>
      </c>
    </row>
    <row r="22" spans="1:8">
      <c r="A22" s="4" t="s">
        <v>33</v>
      </c>
      <c r="C22" s="4"/>
      <c r="D22" s="4"/>
      <c r="E22" s="4"/>
      <c r="F22" s="4"/>
      <c r="G22" s="4"/>
      <c r="H22" s="4"/>
    </row>
    <row r="23" spans="1:8">
      <c r="B23" s="9" t="s">
        <v>34</v>
      </c>
      <c r="C23" s="9" t="s">
        <v>20</v>
      </c>
      <c r="D23" s="9" t="s">
        <v>21</v>
      </c>
      <c r="E23" s="9" t="s">
        <v>22</v>
      </c>
      <c r="F23" s="9" t="s">
        <v>23</v>
      </c>
      <c r="G23" s="9" t="s">
        <v>24</v>
      </c>
    </row>
    <row r="24" spans="1:8">
      <c r="A24" s="10" t="s">
        <v>35</v>
      </c>
      <c r="B24" s="7">
        <f>B11</f>
        <v>0</v>
      </c>
      <c r="C24" s="7">
        <f>B24*(1+B20)</f>
        <v>0</v>
      </c>
      <c r="D24" s="7">
        <f>C24*(1+C20)</f>
        <v>0</v>
      </c>
      <c r="E24" s="7">
        <f>D24*(1+D20)</f>
        <v>0</v>
      </c>
      <c r="F24" s="7">
        <f>E24*(1+E20)</f>
        <v>0</v>
      </c>
      <c r="G24" s="7">
        <f>F24*(1+F20)</f>
        <v>0</v>
      </c>
    </row>
    <row r="25" spans="1:8">
      <c r="A25" s="10" t="s">
        <v>36</v>
      </c>
      <c r="B25" s="11"/>
      <c r="C25" s="12">
        <f>1/(1+$B$15)^1</f>
        <v>0</v>
      </c>
      <c r="D25" s="12">
        <f>1/(1+$B$15)^2</f>
        <v>0</v>
      </c>
      <c r="E25" s="12">
        <f>1/(1+$B$15)^3</f>
        <v>0</v>
      </c>
      <c r="F25" s="12">
        <f>1/(1+$B$15)^4</f>
        <v>0</v>
      </c>
      <c r="G25" s="12">
        <f>1/(1+$B$15)^5</f>
        <v>0</v>
      </c>
    </row>
    <row r="26" spans="1:8">
      <c r="A26" s="10" t="s">
        <v>37</v>
      </c>
      <c r="B26" s="11"/>
      <c r="C26" s="7">
        <f>C24*C25</f>
        <v>0</v>
      </c>
      <c r="D26" s="7">
        <f>D24*D25</f>
        <v>0</v>
      </c>
      <c r="E26" s="7">
        <f>E24*E25</f>
        <v>0</v>
      </c>
      <c r="F26" s="7">
        <f>F24*F25</f>
        <v>0</v>
      </c>
      <c r="G26" s="7">
        <f>G24*G25</f>
        <v>0</v>
      </c>
    </row>
    <row r="27" spans="1:8">
      <c r="A27" s="4" t="s">
        <v>38</v>
      </c>
      <c r="C27" s="4"/>
      <c r="D27" s="4"/>
      <c r="E27" s="4"/>
      <c r="F27" s="4"/>
      <c r="G27" s="4"/>
      <c r="H27" s="4"/>
    </row>
    <row r="28" spans="1:8">
      <c r="A28" s="10" t="s">
        <v>39</v>
      </c>
      <c r="B28" s="7">
        <f>SUM(C26:G26)</f>
        <v>0</v>
      </c>
    </row>
    <row r="29" spans="1:8">
      <c r="A29" s="10" t="s">
        <v>40</v>
      </c>
      <c r="B29" s="7">
        <f>G24*(1+$B$16)</f>
        <v>0</v>
      </c>
    </row>
    <row r="30" spans="1:8">
      <c r="A30" s="10" t="s">
        <v>41</v>
      </c>
      <c r="B30" s="7">
        <f>B29/($B$15-$B$16)</f>
        <v>0</v>
      </c>
    </row>
    <row r="31" spans="1:8">
      <c r="A31" s="10" t="s">
        <v>42</v>
      </c>
      <c r="B31" s="7">
        <f>B30*G25</f>
        <v>0</v>
      </c>
    </row>
    <row r="32" spans="1:8">
      <c r="A32" s="10" t="s">
        <v>43</v>
      </c>
      <c r="B32" s="7">
        <f>B28+B31</f>
        <v>0</v>
      </c>
    </row>
    <row r="33" spans="1:8">
      <c r="A33" s="10" t="s">
        <v>44</v>
      </c>
      <c r="B33" s="7">
        <f>B10</f>
        <v>0</v>
      </c>
    </row>
    <row r="34" spans="1:8">
      <c r="A34" s="10" t="s">
        <v>45</v>
      </c>
      <c r="B34" s="7">
        <f>B32-B33</f>
        <v>0</v>
      </c>
    </row>
    <row r="35" spans="1:8">
      <c r="A35" s="10" t="s">
        <v>46</v>
      </c>
      <c r="B35" s="13">
        <f>B34/B7</f>
        <v>0</v>
      </c>
    </row>
    <row r="36" spans="1:8">
      <c r="A36" s="10" t="s">
        <v>47</v>
      </c>
      <c r="B36" s="14">
        <f>B35*B12</f>
        <v>0</v>
      </c>
    </row>
    <row r="37" spans="1:8">
      <c r="A37" s="10" t="s">
        <v>48</v>
      </c>
      <c r="B37" s="15">
        <f>B6</f>
        <v>0</v>
      </c>
    </row>
    <row r="38" spans="1:8">
      <c r="A38" s="10" t="s">
        <v>49</v>
      </c>
      <c r="B38" s="16">
        <f>(B36-B37)/B37</f>
        <v>0</v>
      </c>
    </row>
    <row r="39" spans="1:8">
      <c r="A39" s="4" t="s">
        <v>50</v>
      </c>
      <c r="C39" s="4"/>
      <c r="D39" s="4"/>
      <c r="E39" s="4"/>
      <c r="F39" s="4"/>
      <c r="G39" s="4"/>
      <c r="H39" s="4"/>
    </row>
    <row r="40" spans="1:8">
      <c r="A40" s="10" t="s">
        <v>51</v>
      </c>
      <c r="B40" s="7">
        <f>B30/B7</f>
        <v>0</v>
      </c>
    </row>
    <row r="41" spans="1:8">
      <c r="A41" s="10" t="s">
        <v>52</v>
      </c>
      <c r="B41" s="15">
        <f>B40*B12</f>
        <v>0</v>
      </c>
    </row>
    <row r="42" spans="1:8">
      <c r="A42" s="10" t="s">
        <v>53</v>
      </c>
      <c r="B42" s="14">
        <f>B41/(1.15^5)</f>
        <v>0</v>
      </c>
    </row>
    <row r="43" spans="1:8">
      <c r="A43" s="10" t="s">
        <v>54</v>
      </c>
      <c r="B43" s="16">
        <f>(B6-B42)/B42</f>
        <v>0</v>
      </c>
    </row>
  </sheetData>
  <mergeCells count="9">
    <mergeCell ref="A1:H1"/>
    <mergeCell ref="A2:H2"/>
    <mergeCell ref="A3:H3"/>
    <mergeCell ref="C5:H5"/>
    <mergeCell ref="C14:H14"/>
    <mergeCell ref="C18:H18"/>
    <mergeCell ref="C22:H22"/>
    <mergeCell ref="C27:H27"/>
    <mergeCell ref="C39:H3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0"/>
  <sheetViews>
    <sheetView zoomScale="90" zoomScaleNormal="90" workbookViewId="0"/>
  </sheetViews>
  <sheetFormatPr defaultRowHeight="15"/>
  <cols>
    <col min="1" max="1" width="30.7109375" customWidth="1"/>
    <col min="2" max="4" width="18.7109375" customWidth="1"/>
  </cols>
  <sheetData>
    <row r="1" spans="1:4">
      <c r="A1" s="1" t="s">
        <v>55</v>
      </c>
      <c r="B1" s="1"/>
      <c r="C1" s="1"/>
      <c r="D1" s="1"/>
    </row>
    <row r="2" spans="1:4">
      <c r="A2" s="2" t="s">
        <v>56</v>
      </c>
      <c r="B2" s="2"/>
      <c r="C2" s="2"/>
      <c r="D2" s="2"/>
    </row>
    <row r="4" spans="1:4">
      <c r="A4" s="9" t="s">
        <v>57</v>
      </c>
      <c r="B4" s="9" t="s">
        <v>58</v>
      </c>
      <c r="C4" s="9" t="s">
        <v>59</v>
      </c>
      <c r="D4" s="9" t="s">
        <v>60</v>
      </c>
    </row>
    <row r="5" spans="1:4">
      <c r="A5" s="10" t="s">
        <v>61</v>
      </c>
      <c r="B5" s="12" t="s">
        <v>62</v>
      </c>
      <c r="C5" s="12" t="s">
        <v>63</v>
      </c>
      <c r="D5" s="12" t="s">
        <v>64</v>
      </c>
    </row>
    <row r="6" spans="1:4">
      <c r="A6" s="10" t="s">
        <v>65</v>
      </c>
      <c r="B6" s="12" t="s">
        <v>66</v>
      </c>
      <c r="C6" s="12" t="s">
        <v>67</v>
      </c>
      <c r="D6" s="12" t="s">
        <v>68</v>
      </c>
    </row>
    <row r="7" spans="1:4">
      <c r="A7" s="10" t="s">
        <v>69</v>
      </c>
      <c r="B7" s="12" t="s">
        <v>70</v>
      </c>
      <c r="C7" s="12" t="s">
        <v>71</v>
      </c>
      <c r="D7" s="12" t="s">
        <v>72</v>
      </c>
    </row>
    <row r="8" spans="1:4">
      <c r="A8" s="4" t="s">
        <v>73</v>
      </c>
      <c r="B8" s="4"/>
      <c r="C8" s="4"/>
      <c r="D8" s="4"/>
    </row>
    <row r="9" spans="1:4">
      <c r="A9" s="10" t="s">
        <v>74</v>
      </c>
      <c r="B9" s="12" t="s">
        <v>75</v>
      </c>
      <c r="C9" s="12" t="s">
        <v>76</v>
      </c>
      <c r="D9" s="12" t="s">
        <v>77</v>
      </c>
    </row>
    <row r="10" spans="1:4">
      <c r="A10" s="10" t="s">
        <v>78</v>
      </c>
      <c r="B10" s="12" t="s">
        <v>79</v>
      </c>
      <c r="C10" s="12" t="s">
        <v>80</v>
      </c>
      <c r="D10" s="12" t="s">
        <v>81</v>
      </c>
    </row>
    <row r="11" spans="1:4">
      <c r="A11" s="10" t="s">
        <v>82</v>
      </c>
      <c r="B11" s="12" t="s">
        <v>83</v>
      </c>
      <c r="C11" s="12" t="s">
        <v>84</v>
      </c>
      <c r="D11" s="12" t="s">
        <v>85</v>
      </c>
    </row>
    <row r="12" spans="1:4">
      <c r="A12" s="10" t="s">
        <v>86</v>
      </c>
      <c r="B12" s="12" t="s">
        <v>87</v>
      </c>
      <c r="C12" s="12" t="s">
        <v>88</v>
      </c>
      <c r="D12" s="12" t="s">
        <v>89</v>
      </c>
    </row>
    <row r="13" spans="1:4">
      <c r="A13" s="10" t="s">
        <v>90</v>
      </c>
      <c r="B13" s="12" t="s">
        <v>91</v>
      </c>
      <c r="C13" s="12" t="s">
        <v>92</v>
      </c>
      <c r="D13" s="12" t="s">
        <v>93</v>
      </c>
    </row>
    <row r="14" spans="1:4">
      <c r="A14" s="4" t="s">
        <v>94</v>
      </c>
      <c r="B14" s="4"/>
      <c r="C14" s="4"/>
      <c r="D14" s="4"/>
    </row>
    <row r="15" spans="1:4">
      <c r="A15" s="10" t="s">
        <v>95</v>
      </c>
      <c r="B15" s="12" t="s">
        <v>96</v>
      </c>
      <c r="C15" s="12" t="s">
        <v>97</v>
      </c>
      <c r="D15" s="12" t="s">
        <v>98</v>
      </c>
    </row>
    <row r="16" spans="1:4">
      <c r="A16" s="10" t="s">
        <v>41</v>
      </c>
      <c r="B16" s="12" t="s">
        <v>99</v>
      </c>
      <c r="C16" s="12" t="s">
        <v>100</v>
      </c>
      <c r="D16" s="12" t="s">
        <v>101</v>
      </c>
    </row>
    <row r="17" spans="1:4">
      <c r="A17" s="10" t="s">
        <v>42</v>
      </c>
      <c r="B17" s="12" t="s">
        <v>102</v>
      </c>
      <c r="C17" s="12" t="s">
        <v>103</v>
      </c>
      <c r="D17" s="12" t="s">
        <v>104</v>
      </c>
    </row>
    <row r="18" spans="1:4">
      <c r="A18" s="10" t="s">
        <v>43</v>
      </c>
      <c r="B18" s="12" t="s">
        <v>105</v>
      </c>
      <c r="C18" s="12" t="s">
        <v>106</v>
      </c>
      <c r="D18" s="12" t="s">
        <v>107</v>
      </c>
    </row>
    <row r="19" spans="1:4">
      <c r="A19" s="10" t="s">
        <v>45</v>
      </c>
      <c r="B19" s="12" t="s">
        <v>108</v>
      </c>
      <c r="C19" s="12" t="s">
        <v>109</v>
      </c>
      <c r="D19" s="12" t="s">
        <v>110</v>
      </c>
    </row>
    <row r="20" spans="1:4">
      <c r="A20" s="10" t="s">
        <v>111</v>
      </c>
      <c r="B20" s="12" t="s">
        <v>112</v>
      </c>
      <c r="C20" s="12" t="s">
        <v>113</v>
      </c>
      <c r="D20" s="12" t="s">
        <v>114</v>
      </c>
    </row>
    <row r="21" spans="1:4">
      <c r="A21" s="10" t="s">
        <v>115</v>
      </c>
      <c r="B21" s="12" t="s">
        <v>116</v>
      </c>
      <c r="C21" s="12" t="s">
        <v>117</v>
      </c>
      <c r="D21" s="12" t="s">
        <v>118</v>
      </c>
    </row>
    <row r="22" spans="1:4">
      <c r="A22" s="10" t="s">
        <v>119</v>
      </c>
      <c r="B22" s="17" t="s">
        <v>120</v>
      </c>
      <c r="C22" s="18" t="s">
        <v>121</v>
      </c>
      <c r="D22" s="19" t="s">
        <v>122</v>
      </c>
    </row>
    <row r="23" spans="1:4">
      <c r="A23" s="10" t="s">
        <v>123</v>
      </c>
      <c r="B23" s="17" t="s">
        <v>124</v>
      </c>
      <c r="C23" s="20" t="s">
        <v>125</v>
      </c>
      <c r="D23" s="19" t="s">
        <v>126</v>
      </c>
    </row>
    <row r="24" spans="1:4">
      <c r="A24" s="10" t="s">
        <v>127</v>
      </c>
      <c r="B24" s="12" t="s">
        <v>128</v>
      </c>
      <c r="C24" s="12" t="s">
        <v>129</v>
      </c>
      <c r="D24" s="12" t="s">
        <v>130</v>
      </c>
    </row>
    <row r="27" spans="1:4">
      <c r="A27" s="4" t="s">
        <v>131</v>
      </c>
      <c r="B27" s="4"/>
      <c r="C27" s="4"/>
      <c r="D27" s="4"/>
    </row>
    <row r="28" spans="1:4">
      <c r="A28" s="10" t="s">
        <v>132</v>
      </c>
      <c r="B28" s="12" t="s">
        <v>133</v>
      </c>
      <c r="C28" s="12" t="s">
        <v>134</v>
      </c>
      <c r="D28" s="12" t="s">
        <v>133</v>
      </c>
    </row>
    <row r="29" spans="1:4">
      <c r="A29" s="10" t="s">
        <v>135</v>
      </c>
      <c r="B29" s="11"/>
      <c r="C29" s="14" t="s">
        <v>136</v>
      </c>
      <c r="D29" s="11"/>
    </row>
    <row r="30" spans="1:4">
      <c r="A30" s="10" t="s">
        <v>137</v>
      </c>
      <c r="C30" s="16" t="s">
        <v>138</v>
      </c>
    </row>
  </sheetData>
  <mergeCells count="5">
    <mergeCell ref="A1:D1"/>
    <mergeCell ref="A2:D2"/>
    <mergeCell ref="A8:D8"/>
    <mergeCell ref="A14:D14"/>
    <mergeCell ref="B27:D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3"/>
  <sheetViews>
    <sheetView zoomScale="90" zoomScaleNormal="90" workbookViewId="0"/>
  </sheetViews>
  <sheetFormatPr defaultRowHeight="15"/>
  <cols>
    <col min="1" max="1" width="22.7109375" customWidth="1"/>
    <col min="2" max="6" width="14.7109375" customWidth="1"/>
  </cols>
  <sheetData>
    <row r="1" spans="1:6">
      <c r="A1" s="1" t="s">
        <v>139</v>
      </c>
      <c r="B1" s="1"/>
      <c r="C1" s="1"/>
      <c r="D1" s="1"/>
      <c r="E1" s="1"/>
      <c r="F1" s="1"/>
    </row>
    <row r="2" spans="1:6">
      <c r="A2" s="2" t="s">
        <v>140</v>
      </c>
      <c r="B2" s="2"/>
      <c r="C2" s="2"/>
      <c r="D2" s="2"/>
      <c r="E2" s="2"/>
      <c r="F2" s="2"/>
    </row>
    <row r="4" spans="1:6">
      <c r="A4" s="9" t="s">
        <v>141</v>
      </c>
      <c r="B4" s="9" t="s">
        <v>142</v>
      </c>
      <c r="C4" s="9" t="s">
        <v>66</v>
      </c>
      <c r="D4" s="9" t="s">
        <v>67</v>
      </c>
      <c r="E4" s="9" t="s">
        <v>68</v>
      </c>
      <c r="F4" s="9" t="s">
        <v>143</v>
      </c>
    </row>
    <row r="5" spans="1:6">
      <c r="A5" s="9" t="s">
        <v>144</v>
      </c>
      <c r="B5" s="21">
        <v>28.21</v>
      </c>
      <c r="C5" s="21">
        <v>30.78</v>
      </c>
      <c r="D5" s="21">
        <v>33.85</v>
      </c>
      <c r="E5" s="21">
        <v>37.61</v>
      </c>
      <c r="F5" s="21">
        <v>42.31</v>
      </c>
    </row>
    <row r="6" spans="1:6">
      <c r="A6" s="9" t="s">
        <v>64</v>
      </c>
      <c r="B6" s="19">
        <v>23.17</v>
      </c>
      <c r="C6" s="19">
        <v>24.95</v>
      </c>
      <c r="D6" s="19">
        <v>27.04</v>
      </c>
      <c r="E6" s="21">
        <v>29.51</v>
      </c>
      <c r="F6" s="21">
        <v>32.47</v>
      </c>
    </row>
    <row r="7" spans="1:6">
      <c r="A7" s="9" t="s">
        <v>63</v>
      </c>
      <c r="B7" s="22">
        <v>21.14</v>
      </c>
      <c r="C7" s="19">
        <v>22.67</v>
      </c>
      <c r="D7" s="19">
        <v>24.43</v>
      </c>
      <c r="E7" s="19">
        <v>26.48</v>
      </c>
      <c r="F7" s="21">
        <v>28.9</v>
      </c>
    </row>
    <row r="8" spans="1:6">
      <c r="A8" s="9" t="s">
        <v>145</v>
      </c>
      <c r="B8" s="17">
        <v>17.83</v>
      </c>
      <c r="C8" s="17">
        <v>18.96</v>
      </c>
      <c r="D8" s="17">
        <v>20.25</v>
      </c>
      <c r="E8" s="22">
        <v>21.71</v>
      </c>
      <c r="F8" s="19">
        <v>23.41</v>
      </c>
    </row>
    <row r="9" spans="1:6">
      <c r="A9" s="9" t="s">
        <v>146</v>
      </c>
      <c r="B9" s="23">
        <v>15.21</v>
      </c>
      <c r="C9" s="23">
        <v>16.08</v>
      </c>
      <c r="D9" s="17">
        <v>17.05</v>
      </c>
      <c r="E9" s="17">
        <v>18.15</v>
      </c>
      <c r="F9" s="17">
        <v>19.38</v>
      </c>
    </row>
    <row r="11" spans="1:6">
      <c r="A11" s="10" t="s">
        <v>147</v>
      </c>
      <c r="B11" s="24" t="s">
        <v>148</v>
      </c>
      <c r="C11" s="25" t="s">
        <v>149</v>
      </c>
      <c r="D11" s="26" t="s">
        <v>150</v>
      </c>
      <c r="E11" s="27" t="s">
        <v>151</v>
      </c>
      <c r="F11" s="28" t="s">
        <v>152</v>
      </c>
    </row>
    <row r="13" spans="1:6">
      <c r="A13" s="10" t="s">
        <v>153</v>
      </c>
      <c r="B13" s="15">
        <v>20.65</v>
      </c>
      <c r="C13" s="10" t="s">
        <v>154</v>
      </c>
      <c r="D13" s="12" t="s">
        <v>63</v>
      </c>
      <c r="E13" s="10" t="s">
        <v>155</v>
      </c>
      <c r="F13" s="12" t="s">
        <v>67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19"/>
  <sheetViews>
    <sheetView zoomScale="90" zoomScaleNormal="90" workbookViewId="0"/>
  </sheetViews>
  <sheetFormatPr defaultRowHeight="15"/>
  <cols>
    <col min="1" max="1" width="22.7109375" customWidth="1"/>
    <col min="2" max="12" width="13.7109375" customWidth="1"/>
  </cols>
  <sheetData>
    <row r="1" spans="1:11">
      <c r="A1" s="1" t="s">
        <v>156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>
      <c r="A2" s="3" t="s">
        <v>157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spans="1:11">
      <c r="A3" s="9" t="s">
        <v>158</v>
      </c>
      <c r="B3" s="9" t="s">
        <v>159</v>
      </c>
      <c r="C3" s="9" t="s">
        <v>160</v>
      </c>
      <c r="D3" s="9" t="s">
        <v>161</v>
      </c>
      <c r="E3" s="9" t="s">
        <v>162</v>
      </c>
      <c r="F3" s="9" t="s">
        <v>163</v>
      </c>
      <c r="G3" s="9" t="s">
        <v>164</v>
      </c>
      <c r="H3" s="9" t="s">
        <v>165</v>
      </c>
      <c r="I3" s="9" t="s">
        <v>166</v>
      </c>
      <c r="J3" s="9" t="s">
        <v>167</v>
      </c>
      <c r="K3" s="9" t="s">
        <v>168</v>
      </c>
    </row>
    <row r="4" spans="1:11">
      <c r="A4" s="12" t="s">
        <v>169</v>
      </c>
      <c r="B4" s="7">
        <v>8765.5</v>
      </c>
      <c r="C4" s="7">
        <v>333.6</v>
      </c>
      <c r="D4" s="7">
        <v>260.5</v>
      </c>
      <c r="E4" s="7">
        <v>161.5</v>
      </c>
      <c r="F4" s="12">
        <v>100.6</v>
      </c>
      <c r="G4" s="7">
        <v>205</v>
      </c>
      <c r="H4" s="7">
        <v>1310.9</v>
      </c>
      <c r="I4" s="7">
        <v>691.6</v>
      </c>
      <c r="J4" s="7">
        <v>160.6</v>
      </c>
      <c r="K4" s="29">
        <v>0.023</v>
      </c>
    </row>
    <row r="5" spans="1:11">
      <c r="A5" s="12" t="s">
        <v>170</v>
      </c>
      <c r="B5" s="7">
        <v>9202.9</v>
      </c>
      <c r="C5" s="7">
        <v>363.3</v>
      </c>
      <c r="D5" s="7">
        <v>290.7</v>
      </c>
      <c r="E5" s="7">
        <v>184</v>
      </c>
      <c r="F5" s="12">
        <v>113.2</v>
      </c>
      <c r="G5" s="7">
        <v>221.2</v>
      </c>
      <c r="H5" s="7">
        <v>1659.3</v>
      </c>
      <c r="I5" s="7">
        <v>882.6</v>
      </c>
      <c r="J5" s="7">
        <v>162.6</v>
      </c>
      <c r="K5" s="29">
        <v>0.024</v>
      </c>
    </row>
    <row r="6" spans="1:11">
      <c r="A6" s="12" t="s">
        <v>171</v>
      </c>
      <c r="B6" s="7">
        <v>10734.1</v>
      </c>
      <c r="C6" s="7">
        <v>405.8</v>
      </c>
      <c r="D6" s="7">
        <v>323.9</v>
      </c>
      <c r="E6" s="7">
        <v>202</v>
      </c>
      <c r="F6" s="12">
        <v>114.5</v>
      </c>
      <c r="G6" s="7">
        <v>167</v>
      </c>
      <c r="H6" s="7">
        <v>1918.8</v>
      </c>
      <c r="I6" s="7">
        <v>1089.5</v>
      </c>
      <c r="J6" s="7">
        <v>176.4</v>
      </c>
      <c r="K6" s="29">
        <v>0.016</v>
      </c>
    </row>
    <row r="7" spans="1:11">
      <c r="A7" s="12" t="s">
        <v>172</v>
      </c>
      <c r="B7" s="7">
        <v>12237.4</v>
      </c>
      <c r="C7" s="7">
        <v>568.8</v>
      </c>
      <c r="D7" s="7">
        <v>444</v>
      </c>
      <c r="E7" s="7">
        <v>263.4</v>
      </c>
      <c r="F7" s="12">
        <v>132.9</v>
      </c>
      <c r="G7" s="7">
        <v>297.4</v>
      </c>
      <c r="H7" s="7">
        <v>2303.4</v>
      </c>
      <c r="I7" s="7">
        <v>1434.1</v>
      </c>
      <c r="J7" s="7">
        <v>198.2</v>
      </c>
      <c r="K7" s="29">
        <v>0.024</v>
      </c>
    </row>
    <row r="8" spans="1:11">
      <c r="A8" s="12" t="s">
        <v>173</v>
      </c>
      <c r="B8" s="7">
        <v>13189.1</v>
      </c>
      <c r="C8" s="7">
        <v>605.6</v>
      </c>
      <c r="D8" s="7">
        <v>476.7</v>
      </c>
      <c r="E8" s="7">
        <v>271.5</v>
      </c>
      <c r="F8" s="12">
        <v>141.3</v>
      </c>
      <c r="G8" s="7">
        <v>252.3</v>
      </c>
      <c r="H8" s="7">
        <v>2451</v>
      </c>
      <c r="I8" s="7">
        <v>1018.9</v>
      </c>
      <c r="J8" s="7">
        <v>192.2</v>
      </c>
      <c r="K8" s="29">
        <v>0.019</v>
      </c>
    </row>
    <row r="9" spans="1:11">
      <c r="A9" s="12" t="s">
        <v>174</v>
      </c>
      <c r="B9" s="7">
        <v>12266.9</v>
      </c>
      <c r="C9" s="7">
        <v>555.6</v>
      </c>
      <c r="D9" s="7">
        <v>408.7</v>
      </c>
      <c r="E9" s="7">
        <v>215.1</v>
      </c>
      <c r="F9" s="12">
        <v>109.7</v>
      </c>
      <c r="G9" s="7">
        <v>293.4</v>
      </c>
      <c r="H9" s="7">
        <v>2739.6</v>
      </c>
      <c r="I9" s="7">
        <v>918.2</v>
      </c>
      <c r="J9" s="7">
        <v>196.1</v>
      </c>
      <c r="K9" s="29">
        <v>0.024</v>
      </c>
    </row>
    <row r="10" spans="1:11">
      <c r="A10" s="12" t="s">
        <v>175</v>
      </c>
      <c r="B10" s="7">
        <v>6767.7</v>
      </c>
      <c r="C10" s="7">
        <v>302.7</v>
      </c>
      <c r="D10" s="7">
        <v>220.7</v>
      </c>
      <c r="E10" s="7">
        <v>124.8</v>
      </c>
      <c r="F10" s="12">
        <v>61.1</v>
      </c>
      <c r="G10" s="7">
        <v>-24</v>
      </c>
      <c r="H10" s="7">
        <v>2751.4</v>
      </c>
      <c r="I10" s="7">
        <v>1120.9</v>
      </c>
      <c r="J10" s="7">
        <v>205</v>
      </c>
      <c r="K10" s="12" t="s">
        <v>176</v>
      </c>
    </row>
    <row r="13" spans="1:11">
      <c r="A13" s="4" t="s">
        <v>177</v>
      </c>
      <c r="B13" s="9" t="s">
        <v>178</v>
      </c>
      <c r="C13" s="9" t="s">
        <v>179</v>
      </c>
      <c r="D13" s="9" t="s">
        <v>180</v>
      </c>
      <c r="E13" s="9" t="s">
        <v>181</v>
      </c>
    </row>
    <row r="14" spans="1:11">
      <c r="A14" t="s">
        <v>159</v>
      </c>
      <c r="B14" s="29">
        <v>0.045</v>
      </c>
      <c r="C14" s="29">
        <v>0.07000000000000001</v>
      </c>
      <c r="D14" t="s">
        <v>182</v>
      </c>
      <c r="E14" t="s">
        <v>183</v>
      </c>
    </row>
    <row r="15" spans="1:11">
      <c r="A15" t="s">
        <v>184</v>
      </c>
      <c r="B15" s="29">
        <v>-0.014</v>
      </c>
      <c r="C15" s="29">
        <v>0.017</v>
      </c>
      <c r="D15" t="s">
        <v>182</v>
      </c>
      <c r="E15" t="s">
        <v>183</v>
      </c>
    </row>
    <row r="16" spans="1:11">
      <c r="A16" t="s">
        <v>185</v>
      </c>
      <c r="B16" s="29">
        <v>0.126</v>
      </c>
      <c r="C16" s="29">
        <v>0.159</v>
      </c>
      <c r="D16" t="s">
        <v>182</v>
      </c>
      <c r="E16" t="s">
        <v>183</v>
      </c>
    </row>
    <row r="17" spans="1:5">
      <c r="A17" t="s">
        <v>186</v>
      </c>
      <c r="B17" s="29">
        <v>0.207</v>
      </c>
      <c r="C17" s="29">
        <v>0.07400000000000001</v>
      </c>
      <c r="D17" t="s">
        <v>182</v>
      </c>
      <c r="E17" t="s">
        <v>183</v>
      </c>
    </row>
    <row r="19" spans="1:5">
      <c r="A19" s="10" t="s">
        <v>187</v>
      </c>
      <c r="B19" s="29">
        <v>0.07400000000000001</v>
      </c>
      <c r="C19" t="s">
        <v>188</v>
      </c>
    </row>
  </sheetData>
  <mergeCells count="2">
    <mergeCell ref="A1:K1"/>
    <mergeCell ref="A2:K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33"/>
  <sheetViews>
    <sheetView zoomScale="90" zoomScaleNormal="90" workbookViewId="0"/>
  </sheetViews>
  <sheetFormatPr defaultRowHeight="15"/>
  <cols>
    <col min="1" max="1" width="35.7109375" customWidth="1"/>
    <col min="2" max="5" width="18.7109375" customWidth="1"/>
  </cols>
  <sheetData>
    <row r="1" spans="1:5">
      <c r="A1" s="1" t="s">
        <v>189</v>
      </c>
      <c r="B1" s="1"/>
      <c r="C1" s="1"/>
      <c r="D1" s="1"/>
      <c r="E1" s="1"/>
    </row>
    <row r="2" spans="1:5">
      <c r="A2" s="2" t="s">
        <v>190</v>
      </c>
      <c r="B2" s="2"/>
      <c r="C2" s="2"/>
      <c r="D2" s="2"/>
      <c r="E2" s="2"/>
    </row>
    <row r="4" spans="1:5">
      <c r="A4" s="10" t="s">
        <v>191</v>
      </c>
      <c r="B4" s="30" t="s">
        <v>192</v>
      </c>
      <c r="C4" s="3" t="s">
        <v>193</v>
      </c>
      <c r="D4" s="3"/>
      <c r="E4" s="3"/>
    </row>
    <row r="6" spans="1:5">
      <c r="A6" s="4" t="s">
        <v>194</v>
      </c>
      <c r="B6" s="4"/>
      <c r="C6" s="4"/>
      <c r="D6" s="4"/>
      <c r="E6" s="4"/>
    </row>
    <row r="7" spans="1:5">
      <c r="A7" s="9" t="s">
        <v>57</v>
      </c>
      <c r="B7" s="9" t="s">
        <v>195</v>
      </c>
      <c r="C7" s="9" t="s">
        <v>196</v>
      </c>
      <c r="D7" s="9" t="s">
        <v>197</v>
      </c>
    </row>
    <row r="8" spans="1:5">
      <c r="A8" t="s">
        <v>198</v>
      </c>
      <c r="B8" s="12" t="s">
        <v>199</v>
      </c>
      <c r="C8" s="12" t="s">
        <v>176</v>
      </c>
      <c r="D8" s="3" t="s">
        <v>200</v>
      </c>
    </row>
    <row r="9" spans="1:5">
      <c r="A9" t="s">
        <v>201</v>
      </c>
      <c r="B9" s="12" t="s">
        <v>202</v>
      </c>
      <c r="C9" s="12" t="s">
        <v>176</v>
      </c>
      <c r="D9" s="3" t="s">
        <v>176</v>
      </c>
    </row>
    <row r="10" spans="1:5">
      <c r="A10" t="s">
        <v>43</v>
      </c>
      <c r="B10" s="12" t="s">
        <v>203</v>
      </c>
      <c r="C10" s="12" t="s">
        <v>176</v>
      </c>
      <c r="D10" s="3" t="s">
        <v>176</v>
      </c>
    </row>
    <row r="11" spans="1:5">
      <c r="A11" t="s">
        <v>204</v>
      </c>
      <c r="B11" s="12" t="s">
        <v>205</v>
      </c>
      <c r="C11" s="12" t="s">
        <v>206</v>
      </c>
      <c r="D11" s="3" t="s">
        <v>207</v>
      </c>
    </row>
    <row r="12" spans="1:5">
      <c r="A12" t="s">
        <v>208</v>
      </c>
      <c r="B12" s="12" t="s">
        <v>209</v>
      </c>
      <c r="C12" s="12" t="s">
        <v>206</v>
      </c>
      <c r="D12" s="3" t="s">
        <v>210</v>
      </c>
    </row>
    <row r="13" spans="1:5">
      <c r="A13" t="s">
        <v>211</v>
      </c>
      <c r="B13" s="12" t="s">
        <v>212</v>
      </c>
      <c r="C13" s="12" t="s">
        <v>213</v>
      </c>
      <c r="D13" s="3" t="s">
        <v>214</v>
      </c>
    </row>
    <row r="14" spans="1:5">
      <c r="A14" t="s">
        <v>215</v>
      </c>
      <c r="B14" s="12" t="s">
        <v>216</v>
      </c>
      <c r="C14" s="12" t="s">
        <v>213</v>
      </c>
      <c r="D14" s="3" t="s">
        <v>217</v>
      </c>
    </row>
    <row r="16" spans="1:5">
      <c r="A16" s="4" t="s">
        <v>218</v>
      </c>
      <c r="B16" s="4"/>
      <c r="C16" s="4"/>
      <c r="D16" s="4"/>
      <c r="E16" s="4"/>
    </row>
    <row r="17" spans="1:5">
      <c r="A17" s="9" t="s">
        <v>219</v>
      </c>
      <c r="B17" s="9" t="s">
        <v>220</v>
      </c>
      <c r="C17" s="9" t="s">
        <v>221</v>
      </c>
      <c r="D17" s="9" t="s">
        <v>222</v>
      </c>
      <c r="E17" s="9" t="s">
        <v>197</v>
      </c>
    </row>
    <row r="18" spans="1:5">
      <c r="A18" s="10" t="s">
        <v>59</v>
      </c>
      <c r="B18" s="31" t="s">
        <v>117</v>
      </c>
      <c r="C18" s="31" t="s">
        <v>125</v>
      </c>
      <c r="D18" s="31" t="s">
        <v>129</v>
      </c>
      <c r="E18" s="3" t="s">
        <v>223</v>
      </c>
    </row>
    <row r="19" spans="1:5">
      <c r="A19" s="10" t="s">
        <v>60</v>
      </c>
      <c r="B19" s="31" t="s">
        <v>118</v>
      </c>
      <c r="C19" s="31" t="s">
        <v>126</v>
      </c>
      <c r="D19" s="31" t="s">
        <v>130</v>
      </c>
      <c r="E19" s="3" t="s">
        <v>224</v>
      </c>
    </row>
    <row r="20" spans="1:5">
      <c r="A20" s="10" t="s">
        <v>58</v>
      </c>
      <c r="B20" s="30" t="s">
        <v>116</v>
      </c>
      <c r="C20" s="30" t="s">
        <v>124</v>
      </c>
      <c r="D20" s="30" t="s">
        <v>128</v>
      </c>
      <c r="E20" s="3" t="s">
        <v>225</v>
      </c>
    </row>
    <row r="22" spans="1:5">
      <c r="A22" s="4" t="s">
        <v>226</v>
      </c>
      <c r="B22" s="4"/>
      <c r="C22" s="4"/>
      <c r="D22" s="4"/>
      <c r="E22" s="4"/>
    </row>
    <row r="23" spans="1:5">
      <c r="A23" s="9" t="s">
        <v>158</v>
      </c>
      <c r="B23" s="9" t="s">
        <v>227</v>
      </c>
      <c r="C23" s="9" t="s">
        <v>228</v>
      </c>
      <c r="D23" s="9" t="s">
        <v>229</v>
      </c>
    </row>
    <row r="24" spans="1:5">
      <c r="A24" t="s">
        <v>169</v>
      </c>
      <c r="B24" s="12" t="s">
        <v>230</v>
      </c>
      <c r="C24" s="12" t="s">
        <v>231</v>
      </c>
      <c r="D24" s="3" t="s">
        <v>232</v>
      </c>
    </row>
    <row r="25" spans="1:5">
      <c r="A25" t="s">
        <v>170</v>
      </c>
      <c r="B25" s="12" t="s">
        <v>233</v>
      </c>
      <c r="C25" s="12" t="s">
        <v>234</v>
      </c>
      <c r="D25" s="3" t="s">
        <v>235</v>
      </c>
    </row>
    <row r="26" spans="1:5">
      <c r="A26" t="s">
        <v>171</v>
      </c>
      <c r="B26" s="12" t="s">
        <v>236</v>
      </c>
      <c r="C26" s="12" t="s">
        <v>237</v>
      </c>
      <c r="D26" s="3" t="s">
        <v>238</v>
      </c>
    </row>
    <row r="27" spans="1:5">
      <c r="A27" t="s">
        <v>172</v>
      </c>
      <c r="B27" s="12" t="s">
        <v>239</v>
      </c>
      <c r="C27" s="12" t="s">
        <v>240</v>
      </c>
      <c r="D27" s="3" t="s">
        <v>241</v>
      </c>
    </row>
    <row r="28" spans="1:5">
      <c r="A28" t="s">
        <v>173</v>
      </c>
      <c r="B28" s="12" t="s">
        <v>242</v>
      </c>
      <c r="C28" s="12" t="s">
        <v>243</v>
      </c>
      <c r="D28" s="3" t="s">
        <v>244</v>
      </c>
    </row>
    <row r="29" spans="1:5">
      <c r="A29" t="s">
        <v>174</v>
      </c>
      <c r="B29" s="12" t="s">
        <v>245</v>
      </c>
      <c r="C29" s="12" t="s">
        <v>246</v>
      </c>
      <c r="D29" s="3" t="s">
        <v>247</v>
      </c>
    </row>
    <row r="30" spans="1:5">
      <c r="A30" t="s">
        <v>248</v>
      </c>
      <c r="B30" s="12" t="s">
        <v>209</v>
      </c>
      <c r="C30" s="12" t="s">
        <v>199</v>
      </c>
      <c r="D30" s="3" t="s">
        <v>249</v>
      </c>
    </row>
    <row r="32" spans="1:5">
      <c r="A32" s="4" t="s">
        <v>250</v>
      </c>
      <c r="B32" s="4"/>
      <c r="C32" s="4"/>
      <c r="D32" s="4"/>
      <c r="E32" s="4"/>
    </row>
    <row r="33" spans="1:5">
      <c r="A33" s="3" t="s">
        <v>251</v>
      </c>
      <c r="B33" s="3"/>
      <c r="C33" s="3"/>
      <c r="D33" s="3"/>
      <c r="E33" s="3"/>
    </row>
  </sheetData>
  <mergeCells count="8">
    <mergeCell ref="A1:E1"/>
    <mergeCell ref="A2:E2"/>
    <mergeCell ref="C4:E4"/>
    <mergeCell ref="B6:E6"/>
    <mergeCell ref="B16:E16"/>
    <mergeCell ref="B22:E22"/>
    <mergeCell ref="B32:E32"/>
    <mergeCell ref="A33:E3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Scenario Comparison</vt:lpstr>
      <vt:lpstr>Sensitivity</vt:lpstr>
      <vt:lpstr>Historical Data</vt:lpstr>
      <vt:lpstr>Sanity Check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2026-06-27T08:05:00Z</dcterms:created>
  <dcterms:modified xsi:type="dcterms:W3CDTF">2026-06-27T08:05:00Z</dcterms:modified>
</cp:coreProperties>
</file>