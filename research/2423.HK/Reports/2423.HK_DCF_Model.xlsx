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<sst xmlns="http://schemas.openxmlformats.org/spreadsheetml/2006/main" count="346" uniqueCount="162">
  <si>
    <t xml:space="preserve">Ticker</t>
  </si>
  <si>
    <t xml:space="preserve">2423.HK</t>
  </si>
  <si>
    <t xml:space="preserve">Company</t>
  </si>
  <si>
    <t xml:space="preserve">KE Holdings Inc. (Beike)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</si>
  <si>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</si>
  <si>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</si>
  <si>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</si>
  <si>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</si>
  <si>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(HKEX regular close, Friday; valuation written Sunday 2026-10-18)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</si>
  <si>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</si>
  <si>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</si>
  <si>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</si>
  <si>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</si>
  <si>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</si>
  <si>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</si>
  <si>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</si>
  <si>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</si>
  <si>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</si>
  <si>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</si>
  <si>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</si>
  <si>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</si>
  <si>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</si>
  <si>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2026-10-18T04:48:53Z</t>
  </si>
  <si>
    <t xml:space="preserve">Drivers file</t>
  </si>
  <si>
    <t xml:space="preserve">2423.HK_Drivers.json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</si>
  <si>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</si>
  <si>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</si>
  <si>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</si>
  <si>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on a cyclical, net-cash Chinese housing-services platform. Three choices define the number. (1) Base year: FY2025 owner FCF was negative (RMB-3.7bn) because RMB6.7bn of working capital unwound in a shrinking market, and H1 2026 reversed most of it; neither the FY2025 trough nor the H1 2026 bounce is extrapolated. The forward path is built from components (mid-cycle 12% EBITDA margin, 2% SBC, 0.9% capex) off FY2025 revenue with a -8.5% first year that honours the reported H1 decline, and the disclosed FCF base is the TTM to June 2026. (2) Treasury: RMB64.4bn of cash, deposits, HTM debt and wealth-management products less RMB1.7bn of loans is added to EV at full value, and the RMB1.3bn/yr of interest and investment income it earns is stripped from the flows so the pile is counted once; escrow cash and operating lease liabilities are both excluded. Net cash is ~HK$21.8/share, close to half of the market price, so the operating business is valued at roughly 5-6x owner FCF by the market. (3) Risk: charged once, in the flows and the weights (bear 30%), with a single 10% CNY WACC and a 15x terminal cap for a cyclical; nothing is stacked on the discount rate for property-market or VIE risk.
key_risks_to_valuation: China housing transaction volumes (GTV) resume a structural decline; new-home revenue (27% of mix) and developer receivables are the most exposed; The H1 2026 margin step-up (gross margin +6.7pp, opex -14%) proves to be a one-half-year cost-cut peak rather than a structural 12-14% level; VIE / weighted-voting-rights structure: PRC regulatory action could impair offshore holders' economic rights irrespective of operating performance; Net cash is ~46% of the market price; a repatriation restriction, an onshore-cash haircut, or a large acquisition would remove value the model credits at par; Working-capital swings of RMB6-7bn in either direction make any single year's FCF unrepresentative; the model credits zero structural capture; RMB/HKD rate moves change the HKD value directly; the fx_rate is not refreshed by refresh_price.py; Agent/store/MAU attrition erodes the ACN network effect, the core moat the base case relies on for share gains</t>
  </si>
  <si>
    <t xml:space="preserve">Data sources</t>
  </si>
  <si>
    <t xml:space="preserve">price: Yahoo Finance chart API for 2423.HK at inputs.price_as_of (HKEX regular close); 52-week range 35.38-52.60. Parity-checked against BEKE (NYSE) at 3 shares per ADS.
financials: 2423.HK_Metrics.csv (FY2021-FY2025 annual, H1 FY2023-H1 FY2026 interims, RMB millions, US GAAP) via make dcf-context; H1 FY2026 interim report (balance sheet lines 942-1089, cash-flow statement lines 1313-1432, Notes 5, 13, 19, 20, 21, 26) and Annual FY2025 (cash-flow statement lines 6969-7059, Notes 17-18, adjusted EBITDA reconciliation lines 1740-1762, MD&amp;A working-capital discussion lines 2024-2042) for the anchors.
fx: Yahoo Finance CNYHKD=X 1.1724 at 2026-10-16T22:01Z; USD/HKD ~7.77 used only for the ADS parity check.
qualitative: 2423.HK_Analysis.json (2026-10-18): business model, segment trends, H1 2026 KPIs, guidance (none quantitative), bull/bear axes.</t>
  </si>
  <si>
    <t xml:space="preserve">Scenario narrative: bear</t>
  </si>
  <si>
    <t xml:space="preserve">The 2026 bounce is a policy blip: new-home GTV keeps shrinking, existing-home volumes roll over, developer receivables deteriorate, and agent/store attrition weakens the ACN. Margins recede toward the FY2024 level (~9%) as competition for a shrinking GTV pool bids up commission splits and the AI/productivity investments do not pay back. Revenue -12%, -4%, then flat, crawling at 2% from 2030. The VIE structure and PRC regulatory overhang are not modelled as a separate event but are why bear carries 30% weight rather than the 15% house default.</t>
  </si>
  <si>
    <t xml:space="preserve">Scenario narrative: base</t>
  </si>
  <si>
    <t xml:space="preserve">The China housing market is 'smaller but stabilising': FY2026 revenue falls ~8.5% (H1 -12% already reported, Q2 improving, GTV back to growth), then grows 3-4% as Beike takes existing-home share (connected brands now ~68% of GTV, transaction count +18.6% in H1 2026 vs a flat market) and scales the asset-light Carefree Rent book (+34% units). The adjusted EBITDA margin ex investment income settles at 12%, between the FY2025 trough (6.5%) and the FY2023 / H1 2026 peaks (~14%): the opex reset is mostly kept but some is reinvested in AI tooling, agent enablement and service quality. SBC drifts from 2.1% to 1.6% of revenue; capex and D&amp;A converge at 0.9%. Capital returns (~RMB9.5bn/yr of buybacks and dividends) continue out of the RMB63bn treasury, which the model adds to EV at full value.</t>
  </si>
  <si>
    <t xml:space="preserve">Scenario narrative: bull</t>
  </si>
  <si>
    <t xml:space="preserve">Policy stimulus revives existing-home volumes and the primary market bottoms in 2027; Beike's network effects turn share gains into 6-7% growth on a growing pie, and the 14% margin of H1 2026 holds as the structural level because the cost base was permanently reset and the rental/renovation mix shift is complete. Terminal growth 3% reflects a housing-services platform compounding with Chinese household income.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</si>
  <si>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</si>
  <si>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</si>
  <si>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</si>
  <si>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</si>
  <si>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</si>
  <si>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</si>
  <si>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</si>
  <si>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</si>
  <si>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</si>
  <si>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</si>
  <si>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</si>
  <si>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</si>
  <si>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</si>
  <si>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</si>
  <si>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</si>
  <si>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</si>
  <si>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</si>
  <si>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</si>
  <si>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</si>
  <si>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</si>
  <si>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</si>
  <si>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</si>
  <si>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</si>
  <si>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</si>
  <si>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</si>
  <si>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</si>
  <si>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</si>
  <si>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RestrictedCash</t>
  </si>
  <si>
    <t xml:space="preserve">ShortTermInvestments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</si>
  <si>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</si>
  <si>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</si>
  <si>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</si>
  <si>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</si>
  <si>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</si>
  <si>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</si>
  <si>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</si>
  <si>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</si>
  <si>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</si>
  <si>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</si>
  <si>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</si>
  <si>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</si>
  <si>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</si>
  <si>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</si>
  <si>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</si>
  <si>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</si>
  <si>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</si>
  <si>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</si>
  <si>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</si>
  <si>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</si>
  <si>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</si>
  <si>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</si>
  <si>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</si>
  <si>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</si>
  <si>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</si>
  <si>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</si>
  <si>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</si>
  <si>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</si>
  <si>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</si>
  <si>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</si>
  <si>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</si>
  <si>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</si>
  <si>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</si>
  <si>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</si>
  <si>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</si>
  <si>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</si>
  <si>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</si>
  <si>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</si>
  <si>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</si>
  <si>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</si>
  <si>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</si>
  <si>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</si>
  <si>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2423.HK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</si>
  <si>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</si>
  <si>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</si>
  <si>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</si>
  <si>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</si>
  <si>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</si>
  <si>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</si>
  <si>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</si>
  <si>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</si>
  <si>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</si>
  <si>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</si>
  <si>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</si>
  <si>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</si>
  <si>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</si>
  <si>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</si>
  <si>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</si>
  <si>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</si>
  <si>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</si>
  <si>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</si>
  <si>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</si>
  <si>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</si>
  <si>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</si>
  <si>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</si>
  <si>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</si>
  <si>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</si>
  <si>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</si>
  <si>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</si>
  <si>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</si>
  <si>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</si>
  <si>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</si>
  <si>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</si>
  <si>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2423.HK owner-FCF component DCF: base case (millions, CNY)</t>
  </si>
  <si>
    <t xml:space="preserve">2423.HK owner-FCF component DCF: bull case (millions, CNY)</t>
  </si>
  <si>
    <t xml:space="preserve">2423.HK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</si>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</sst>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47.46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80752.439</v>
      </c>
      <c r="C2" s="0" t="n">
        <v>64933.024</v>
      </c>
      <c r="D2" s="0" t="n">
        <v>15819.415</v>
      </c>
      <c r="E2" s="0" t="n">
        <v>19.6</v>
      </c>
      <c r="F2" s="0" t="n">
        <v>-1354.864</v>
      </c>
      <c r="G2" s="0" t="n">
        <v>-1.7</v>
      </c>
      <c r="H2" s="0" t="n">
        <v>15.897</v>
      </c>
      <c r="I2" s="0" t="n">
        <v>-524.129</v>
      </c>
      <c r="J2" s="0" t="n">
        <v>-0.6</v>
      </c>
      <c r="K2" s="0" t="n">
        <v>-0.15</v>
      </c>
      <c r="L2" s="0" t="n">
        <v>3595.122</v>
      </c>
      <c r="M2" s="0" t="n">
        <v>1429.977</v>
      </c>
      <c r="N2" s="0" t="n">
        <v>2165.145</v>
      </c>
      <c r="O2" s="0" t="n">
        <v>66973.976</v>
      </c>
      <c r="P2" s="0" t="n">
        <v>100318.865</v>
      </c>
      <c r="Q2" s="0" t="n">
        <v>33263.372</v>
      </c>
      <c r="S2" s="0" t="n">
        <v>49848.765</v>
      </c>
      <c r="T2" s="0" t="n">
        <v>3549.121628</v>
      </c>
      <c r="U2" s="0" t="n">
        <v>1538.287</v>
      </c>
      <c r="AA2" s="0" t="s">
        <v>18</v>
      </c>
      <c r="AB2" s="0" t="s">
        <v>14</v>
      </c>
      <c r="AD2" s="0" t="n">
        <v>29402.661</v>
      </c>
    </row>
    <row r="3" customFormat="false" ht="15" hidden="false" customHeight="false" outlineLevel="0" collapsed="false">
      <c r="A3" s="0" t="s">
        <v>67</v>
      </c>
      <c r="B3" s="0" t="n">
        <v>60668.779</v>
      </c>
      <c r="C3" s="0" t="n">
        <v>46888.032</v>
      </c>
      <c r="D3" s="0" t="n">
        <v>13780.747</v>
      </c>
      <c r="E3" s="0" t="n">
        <v>22.7</v>
      </c>
      <c r="F3" s="0" t="n">
        <v>-832.906</v>
      </c>
      <c r="G3" s="0" t="n">
        <v>-1.4</v>
      </c>
      <c r="H3" s="0" t="n">
        <v>669.815</v>
      </c>
      <c r="I3" s="0" t="n">
        <v>-1386.074</v>
      </c>
      <c r="J3" s="0" t="n">
        <v>-2.3</v>
      </c>
      <c r="K3" s="0" t="n">
        <v>-0.39</v>
      </c>
      <c r="L3" s="0" t="n">
        <v>8460.754</v>
      </c>
      <c r="M3" s="0" t="n">
        <v>793.032</v>
      </c>
      <c r="N3" s="0" t="n">
        <v>7667.722</v>
      </c>
      <c r="O3" s="0" t="n">
        <v>68920.36</v>
      </c>
      <c r="P3" s="0" t="n">
        <v>109347.347</v>
      </c>
      <c r="Q3" s="0" t="n">
        <v>40292.909</v>
      </c>
      <c r="R3" s="0" t="n">
        <v>619</v>
      </c>
      <c r="S3" s="0" t="n">
        <v>54899.11</v>
      </c>
      <c r="T3" s="0" t="n">
        <v>3569.179079</v>
      </c>
      <c r="U3" s="0" t="n">
        <v>2425.249</v>
      </c>
      <c r="AA3" s="0" t="s">
        <v>18</v>
      </c>
      <c r="AB3" s="0" t="s">
        <v>14</v>
      </c>
      <c r="AD3" s="0" t="n">
        <v>35485.908</v>
      </c>
    </row>
    <row r="4" customFormat="false" ht="15" hidden="false" customHeight="false" outlineLevel="0" collapsed="false">
      <c r="A4" s="0" t="s">
        <v>68</v>
      </c>
      <c r="B4" s="0" t="n">
        <v>77776.932</v>
      </c>
      <c r="C4" s="0" t="n">
        <v>56058.918</v>
      </c>
      <c r="D4" s="0" t="n">
        <v>21718.014</v>
      </c>
      <c r="E4" s="0" t="n">
        <v>27.9</v>
      </c>
      <c r="F4" s="0" t="n">
        <v>4797.07</v>
      </c>
      <c r="G4" s="0" t="n">
        <v>6.2</v>
      </c>
      <c r="H4" s="0" t="n">
        <v>6199.258</v>
      </c>
      <c r="I4" s="0" t="n">
        <v>5883.224</v>
      </c>
      <c r="J4" s="0" t="n">
        <v>7.6</v>
      </c>
      <c r="K4" s="0" t="n">
        <v>1.63</v>
      </c>
      <c r="L4" s="0" t="n">
        <v>11414.244</v>
      </c>
      <c r="M4" s="0" t="n">
        <v>873.99</v>
      </c>
      <c r="N4" s="0" t="n">
        <v>10540.254</v>
      </c>
      <c r="O4" s="0" t="n">
        <v>72099.824</v>
      </c>
      <c r="P4" s="0" t="n">
        <v>120331.931</v>
      </c>
      <c r="Q4" s="0" t="n">
        <v>48130.826</v>
      </c>
      <c r="R4" s="0" t="n">
        <v>290.45</v>
      </c>
      <c r="S4" s="0" t="n">
        <v>53892.674</v>
      </c>
      <c r="T4" s="0" t="n">
        <v>3611.65302</v>
      </c>
      <c r="U4" s="0" t="n">
        <v>3215.549</v>
      </c>
      <c r="AA4" s="0" t="s">
        <v>18</v>
      </c>
      <c r="AB4" s="0" t="s">
        <v>14</v>
      </c>
      <c r="AD4" s="0" t="n">
        <v>34257.958</v>
      </c>
    </row>
    <row r="5" customFormat="false" ht="15" hidden="false" customHeight="false" outlineLevel="0" collapsed="false">
      <c r="A5" s="0" t="s">
        <v>69</v>
      </c>
      <c r="B5" s="0" t="n">
        <v>93457.498</v>
      </c>
      <c r="C5" s="0" t="n">
        <v>70513.443</v>
      </c>
      <c r="D5" s="0" t="n">
        <v>22944.055</v>
      </c>
      <c r="E5" s="0" t="n">
        <v>24.6</v>
      </c>
      <c r="F5" s="0" t="n">
        <v>3764.967</v>
      </c>
      <c r="G5" s="0" t="n">
        <v>4</v>
      </c>
      <c r="H5" s="0" t="n">
        <v>4777.379</v>
      </c>
      <c r="I5" s="0" t="n">
        <v>4064.9</v>
      </c>
      <c r="J5" s="0" t="n">
        <v>4.3</v>
      </c>
      <c r="K5" s="0" t="n">
        <v>1.15</v>
      </c>
      <c r="L5" s="0" t="n">
        <v>9447.137</v>
      </c>
      <c r="M5" s="0" t="n">
        <v>1037.179</v>
      </c>
      <c r="N5" s="0" t="n">
        <v>8409.958</v>
      </c>
      <c r="O5" s="0" t="n">
        <v>71323.816</v>
      </c>
      <c r="P5" s="0" t="n">
        <v>133149.283</v>
      </c>
      <c r="Q5" s="0" t="n">
        <v>61701.288</v>
      </c>
      <c r="R5" s="0" t="n">
        <v>288.28</v>
      </c>
      <c r="S5" s="0" t="n">
        <v>52760.665</v>
      </c>
      <c r="T5" s="0" t="n">
        <v>3537.408029</v>
      </c>
      <c r="U5" s="0" t="n">
        <v>2726.075</v>
      </c>
      <c r="AA5" s="0" t="s">
        <v>18</v>
      </c>
      <c r="AB5" s="0" t="s">
        <v>14</v>
      </c>
      <c r="AC5" s="0" t="n">
        <v>8858.449</v>
      </c>
      <c r="AD5" s="0" t="n">
        <v>41317.7</v>
      </c>
    </row>
    <row r="6" customFormat="false" ht="15" hidden="false" customHeight="false" outlineLevel="0" collapsed="false">
      <c r="A6" s="0" t="s">
        <v>70</v>
      </c>
      <c r="B6" s="0" t="n">
        <v>94580.205</v>
      </c>
      <c r="C6" s="0" t="n">
        <v>74368.128</v>
      </c>
      <c r="D6" s="0" t="n">
        <v>20212.077</v>
      </c>
      <c r="E6" s="0" t="n">
        <v>21.4</v>
      </c>
      <c r="F6" s="0" t="n">
        <v>2110.858</v>
      </c>
      <c r="G6" s="0" t="n">
        <v>2.2</v>
      </c>
      <c r="H6" s="0" t="n">
        <v>3183.237</v>
      </c>
      <c r="I6" s="0" t="n">
        <v>2993.975</v>
      </c>
      <c r="J6" s="0" t="n">
        <v>3.2</v>
      </c>
      <c r="K6" s="0" t="n">
        <v>0.86</v>
      </c>
      <c r="L6" s="0" t="n">
        <v>-376.17</v>
      </c>
      <c r="M6" s="0" t="n">
        <v>607.727</v>
      </c>
      <c r="N6" s="0" t="n">
        <v>-983.897</v>
      </c>
      <c r="O6" s="0" t="n">
        <v>66441.288</v>
      </c>
      <c r="P6" s="0" t="n">
        <v>116668.178</v>
      </c>
      <c r="Q6" s="0" t="n">
        <v>50138.344</v>
      </c>
      <c r="R6" s="0" t="n">
        <v>390.634</v>
      </c>
      <c r="S6" s="0" t="n">
        <v>47353.143</v>
      </c>
      <c r="T6" s="0" t="n">
        <v>3472.076149</v>
      </c>
      <c r="U6" s="0" t="n">
        <v>1904.924</v>
      </c>
      <c r="AA6" s="0" t="s">
        <v>18</v>
      </c>
      <c r="AB6" s="0" t="s">
        <v>14</v>
      </c>
      <c r="AC6" s="0" t="n">
        <v>8170.605</v>
      </c>
      <c r="AD6" s="0" t="n">
        <v>39579.961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47.46</v>
      </c>
    </row>
    <row r="3" customFormat="false" ht="15" hidden="false" customHeight="false" outlineLevel="0" collapsed="false">
      <c r="A3" s="0" t="s">
        <v>74</v>
      </c>
      <c r="B3" s="3" t="n">
        <v>3378.675</v>
      </c>
    </row>
    <row r="4" customFormat="false" ht="15" hidden="false" customHeight="false" outlineLevel="0" collapsed="false">
      <c r="A4" s="0" t="s">
        <v>75</v>
      </c>
      <c r="B4" s="3" t="n">
        <v>-62700.4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94580.2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1.1724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-12</v>
      </c>
      <c r="D13" s="3" t="n">
        <v>-4</v>
      </c>
      <c r="E13" s="3" t="n">
        <v>0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10</v>
      </c>
      <c r="D14" s="3" t="n">
        <v>9.5</v>
      </c>
      <c r="E14" s="3" t="n">
        <v>9</v>
      </c>
      <c r="F14" s="3" t="n">
        <v>9</v>
      </c>
      <c r="G14" s="3" t="n">
        <v>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96</v>
      </c>
      <c r="C15" s="3" t="n">
        <v>2.1</v>
      </c>
      <c r="D15" s="3" t="n">
        <v>2.1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1.1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99</v>
      </c>
      <c r="C18" s="3" t="n">
        <v>0.7</v>
      </c>
      <c r="D18" s="3" t="n">
        <v>0.8</v>
      </c>
      <c r="E18" s="3" t="n">
        <v>0.9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</row>
    <row r="19" customFormat="false" ht="15" hidden="false" customHeight="false" outlineLevel="0" collapsed="false">
      <c r="A19" s="0" t="s">
        <v>100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101</v>
      </c>
      <c r="B20" s="3" t="n">
        <v>10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-8.5</v>
      </c>
      <c r="D27" s="3" t="n">
        <v>3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11.5</v>
      </c>
      <c r="D28" s="3" t="n">
        <v>12</v>
      </c>
      <c r="E28" s="3" t="n">
        <v>12</v>
      </c>
      <c r="F28" s="3" t="n">
        <v>12</v>
      </c>
      <c r="G28" s="3" t="n">
        <v>12</v>
      </c>
      <c r="H28" s="3" t="n">
        <v>12</v>
      </c>
      <c r="I28" s="3" t="n">
        <v>12</v>
      </c>
      <c r="J28" s="3" t="n">
        <v>12</v>
      </c>
      <c r="K28" s="3" t="n">
        <v>12</v>
      </c>
      <c r="L28" s="3" t="n">
        <v>12</v>
      </c>
    </row>
    <row r="29" customFormat="false" ht="15" hidden="false" customHeight="false" outlineLevel="0" collapsed="false">
      <c r="A29" s="0" t="s">
        <v>96</v>
      </c>
      <c r="C29" s="3" t="n">
        <v>2.1</v>
      </c>
      <c r="D29" s="3" t="n">
        <v>2</v>
      </c>
      <c r="E29" s="3" t="n">
        <v>1.9</v>
      </c>
      <c r="F29" s="3" t="n">
        <v>1.8</v>
      </c>
      <c r="G29" s="3" t="n">
        <v>1.7</v>
      </c>
      <c r="H29" s="3" t="n">
        <v>1.6</v>
      </c>
      <c r="I29" s="3" t="n">
        <v>1.6</v>
      </c>
      <c r="J29" s="3" t="n">
        <v>1.6</v>
      </c>
      <c r="K29" s="3" t="n">
        <v>1.6</v>
      </c>
      <c r="L29" s="3" t="n">
        <v>1.6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1.1</v>
      </c>
      <c r="D31" s="3" t="n">
        <v>1</v>
      </c>
      <c r="E31" s="3" t="n">
        <v>1</v>
      </c>
      <c r="F31" s="3" t="n">
        <v>0.95</v>
      </c>
      <c r="G31" s="3" t="n">
        <v>0.9</v>
      </c>
      <c r="H31" s="3" t="n">
        <v>0.9</v>
      </c>
      <c r="I31" s="3" t="n">
        <v>0.9</v>
      </c>
      <c r="J31" s="3" t="n">
        <v>0.9</v>
      </c>
      <c r="K31" s="3" t="n">
        <v>0.9</v>
      </c>
      <c r="L31" s="3" t="n">
        <v>0.9</v>
      </c>
    </row>
    <row r="32" customFormat="false" ht="15" hidden="false" customHeight="false" outlineLevel="0" collapsed="false">
      <c r="A32" s="0" t="s">
        <v>99</v>
      </c>
      <c r="C32" s="3" t="n">
        <v>0.7</v>
      </c>
      <c r="D32" s="3" t="n">
        <v>0.8</v>
      </c>
      <c r="E32" s="3" t="n">
        <v>0.85</v>
      </c>
      <c r="F32" s="3" t="n">
        <v>0.9</v>
      </c>
      <c r="G32" s="3" t="n">
        <v>0.9</v>
      </c>
      <c r="H32" s="3" t="n">
        <v>0.9</v>
      </c>
      <c r="I32" s="3" t="n">
        <v>0.9</v>
      </c>
      <c r="J32" s="3" t="n">
        <v>0.9</v>
      </c>
      <c r="K32" s="3" t="n">
        <v>0.9</v>
      </c>
      <c r="L32" s="3" t="n">
        <v>0.9</v>
      </c>
    </row>
    <row r="33" customFormat="false" ht="15" hidden="false" customHeight="false" outlineLevel="0" collapsed="false">
      <c r="A33" s="0" t="s">
        <v>100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101</v>
      </c>
      <c r="B34" s="3" t="n">
        <v>10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-7</v>
      </c>
      <c r="D41" s="3" t="n">
        <v>6</v>
      </c>
      <c r="E41" s="3" t="n">
        <v>7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12.5</v>
      </c>
      <c r="D42" s="3" t="n">
        <v>13.5</v>
      </c>
      <c r="E42" s="3" t="n">
        <v>14</v>
      </c>
      <c r="F42" s="3" t="n">
        <v>14</v>
      </c>
      <c r="G42" s="3" t="n">
        <v>14</v>
      </c>
      <c r="H42" s="3" t="n">
        <v>14</v>
      </c>
      <c r="I42" s="3" t="n">
        <v>14</v>
      </c>
      <c r="J42" s="3" t="n">
        <v>14</v>
      </c>
      <c r="K42" s="3" t="n">
        <v>14</v>
      </c>
      <c r="L42" s="3" t="n">
        <v>14</v>
      </c>
    </row>
    <row r="43" customFormat="false" ht="15" hidden="false" customHeight="false" outlineLevel="0" collapsed="false">
      <c r="A43" s="0" t="s">
        <v>96</v>
      </c>
      <c r="C43" s="3" t="n">
        <v>2.1</v>
      </c>
      <c r="D43" s="3" t="n">
        <v>2</v>
      </c>
      <c r="E43" s="3" t="n">
        <v>1.9</v>
      </c>
      <c r="F43" s="3" t="n">
        <v>1.8</v>
      </c>
      <c r="G43" s="3" t="n">
        <v>1.7</v>
      </c>
      <c r="H43" s="3" t="n">
        <v>1.6</v>
      </c>
      <c r="I43" s="3" t="n">
        <v>1.6</v>
      </c>
      <c r="J43" s="3" t="n">
        <v>1.6</v>
      </c>
      <c r="K43" s="3" t="n">
        <v>1.6</v>
      </c>
      <c r="L43" s="3" t="n">
        <v>1.6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1.1</v>
      </c>
      <c r="D45" s="3" t="n">
        <v>1</v>
      </c>
      <c r="E45" s="3" t="n">
        <v>1</v>
      </c>
      <c r="F45" s="3" t="n">
        <v>0.95</v>
      </c>
      <c r="G45" s="3" t="n">
        <v>0.9</v>
      </c>
      <c r="H45" s="3" t="n">
        <v>0.9</v>
      </c>
      <c r="I45" s="3" t="n">
        <v>0.9</v>
      </c>
      <c r="J45" s="3" t="n">
        <v>0.9</v>
      </c>
      <c r="K45" s="3" t="n">
        <v>0.9</v>
      </c>
      <c r="L45" s="3" t="n">
        <v>0.9</v>
      </c>
    </row>
    <row r="46" customFormat="false" ht="15" hidden="false" customHeight="false" outlineLevel="0" collapsed="false">
      <c r="A46" s="0" t="s">
        <v>99</v>
      </c>
      <c r="C46" s="3" t="n">
        <v>0.7</v>
      </c>
      <c r="D46" s="3" t="n">
        <v>0.8</v>
      </c>
      <c r="E46" s="3" t="n">
        <v>0.85</v>
      </c>
      <c r="F46" s="3" t="n">
        <v>0.9</v>
      </c>
      <c r="G46" s="3" t="n">
        <v>0.9</v>
      </c>
      <c r="H46" s="3" t="n">
        <v>0.9</v>
      </c>
      <c r="I46" s="3" t="n">
        <v>0.9</v>
      </c>
      <c r="J46" s="3" t="n">
        <v>0.9</v>
      </c>
      <c r="K46" s="3" t="n">
        <v>0.9</v>
      </c>
      <c r="L46" s="3" t="n">
        <v>0.9</v>
      </c>
    </row>
    <row r="47" customFormat="false" ht="15" hidden="false" customHeight="false" outlineLevel="0" collapsed="false">
      <c r="A47" s="0" t="s">
        <v>100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-12</v>
      </c>
      <c r="D5" s="4" t="n">
        <f aca="false">Assumptions!D13</f>
        <v>-4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94580.2</v>
      </c>
      <c r="C6" s="0" t="n">
        <f aca="false">B6*(1+C5/100)</f>
        <v>83230.576</v>
      </c>
      <c r="D6" s="0" t="n">
        <f aca="false">C6*(1+D5/100)</f>
        <v>79901.35296</v>
      </c>
      <c r="E6" s="0" t="n">
        <f aca="false">D6*(1+E5/100)</f>
        <v>79901.35296</v>
      </c>
      <c r="F6" s="0" t="n">
        <f aca="false">E6*(1+F5/100)</f>
        <v>80700.3664896</v>
      </c>
      <c r="G6" s="0" t="n">
        <f aca="false">F6*(1+G5/100)</f>
        <v>82314.373819392</v>
      </c>
      <c r="H6" s="0" t="n">
        <f aca="false">G6*(1+H5/100)</f>
        <v>83960.6612957798</v>
      </c>
      <c r="I6" s="0" t="n">
        <f aca="false">H6*(1+I5/100)</f>
        <v>85639.8745216954</v>
      </c>
      <c r="J6" s="0" t="n">
        <f aca="false">I6*(1+J5/100)</f>
        <v>87352.6720121293</v>
      </c>
      <c r="K6" s="0" t="n">
        <f aca="false">J6*(1+K5/100)</f>
        <v>89099.7254523719</v>
      </c>
      <c r="L6" s="0" t="n">
        <f aca="false">K6*(1+L5/100)</f>
        <v>90881.7199614194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10</v>
      </c>
      <c r="D7" s="4" t="n">
        <f aca="false">Assumptions!D14</f>
        <v>9.5</v>
      </c>
      <c r="E7" s="4" t="n">
        <f aca="false">Assumptions!E14</f>
        <v>9</v>
      </c>
      <c r="F7" s="4" t="n">
        <f aca="false">Assumptions!F14</f>
        <v>9</v>
      </c>
      <c r="G7" s="4" t="n">
        <f aca="false">Assumptions!G14</f>
        <v>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8323.0576</v>
      </c>
      <c r="D8" s="0" t="n">
        <f aca="false">D6*D7/100</f>
        <v>7590.6285312</v>
      </c>
      <c r="E8" s="0" t="n">
        <f aca="false">E6*E7/100</f>
        <v>7191.1217664</v>
      </c>
      <c r="F8" s="0" t="n">
        <f aca="false">F6*F7/100</f>
        <v>7263.032984064</v>
      </c>
      <c r="G8" s="0" t="n">
        <f aca="false">G6*G7/100</f>
        <v>7408.29364374528</v>
      </c>
      <c r="H8" s="0" t="n">
        <f aca="false">H6*H7/100</f>
        <v>7556.45951662019</v>
      </c>
      <c r="I8" s="0" t="n">
        <f aca="false">I6*I7/100</f>
        <v>7707.58870695259</v>
      </c>
      <c r="J8" s="0" t="n">
        <f aca="false">J6*J7/100</f>
        <v>7861.74048109164</v>
      </c>
      <c r="K8" s="0" t="n">
        <f aca="false">K6*K7/100</f>
        <v>8018.97529071347</v>
      </c>
      <c r="L8" s="0" t="n">
        <f aca="false">L6*L7/100</f>
        <v>8179.35479652774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2.1</v>
      </c>
      <c r="D9" s="4" t="n">
        <f aca="false">Assumptions!D15</f>
        <v>2.1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-1747.842096</v>
      </c>
      <c r="D10" s="0" t="n">
        <f aca="false">-D6*D9/100</f>
        <v>-1677.92841216</v>
      </c>
      <c r="E10" s="0" t="n">
        <f aca="false">-E6*E9/100</f>
        <v>-1598.0270592</v>
      </c>
      <c r="F10" s="0" t="n">
        <f aca="false">-F6*F9/100</f>
        <v>-1614.007329792</v>
      </c>
      <c r="G10" s="0" t="n">
        <f aca="false">-G6*G9/100</f>
        <v>-1646.28747638784</v>
      </c>
      <c r="H10" s="0" t="n">
        <f aca="false">-H6*H9/100</f>
        <v>-1679.2132259156</v>
      </c>
      <c r="I10" s="0" t="n">
        <f aca="false">-I6*I9/100</f>
        <v>-1712.79749043391</v>
      </c>
      <c r="J10" s="0" t="n">
        <f aca="false">-J6*J9/100</f>
        <v>-1747.05344024259</v>
      </c>
      <c r="K10" s="0" t="n">
        <f aca="false">-K6*K9/100</f>
        <v>-1781.99450904744</v>
      </c>
      <c r="L10" s="0" t="n">
        <f aca="false">-L6*L9/100</f>
        <v>-1817.63439922839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6575.215504</v>
      </c>
      <c r="D11" s="0" t="n">
        <f aca="false">D8+D10+D24</f>
        <v>5912.70011904</v>
      </c>
      <c r="E11" s="0" t="n">
        <f aca="false">E8+E10+E24</f>
        <v>5593.0947072</v>
      </c>
      <c r="F11" s="0" t="n">
        <f aca="false">F8+F10+F24</f>
        <v>5649.025654272</v>
      </c>
      <c r="G11" s="0" t="n">
        <f aca="false">G8+G10+G24</f>
        <v>5762.00616735744</v>
      </c>
      <c r="H11" s="0" t="n">
        <f aca="false">H8+H10+H24</f>
        <v>5877.24629070459</v>
      </c>
      <c r="I11" s="0" t="n">
        <f aca="false">I8+I10+I24</f>
        <v>5994.79121651868</v>
      </c>
      <c r="J11" s="0" t="n">
        <f aca="false">J8+J10+J24</f>
        <v>6114.68704084905</v>
      </c>
      <c r="K11" s="0" t="n">
        <f aca="false">K8+K10+K24</f>
        <v>6236.98078166603</v>
      </c>
      <c r="L11" s="0" t="n">
        <f aca="false">L8+L10+L24</f>
        <v>6361.72039729936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-915.536336</v>
      </c>
      <c r="D12" s="4" t="n">
        <f aca="false">-D6*Assumptions!D17/100</f>
        <v>-799.0135296</v>
      </c>
      <c r="E12" s="4" t="n">
        <f aca="false">-E6*Assumptions!E17/100</f>
        <v>-799.0135296</v>
      </c>
      <c r="F12" s="4" t="n">
        <f aca="false">-F6*Assumptions!F17/100</f>
        <v>-807.003664896</v>
      </c>
      <c r="G12" s="4" t="n">
        <f aca="false">-G6*Assumptions!G17/100</f>
        <v>-823.14373819392</v>
      </c>
      <c r="H12" s="4" t="n">
        <f aca="false">-H6*Assumptions!H17/100</f>
        <v>-839.606612957798</v>
      </c>
      <c r="I12" s="4" t="n">
        <f aca="false">-I6*Assumptions!I17/100</f>
        <v>-856.398745216954</v>
      </c>
      <c r="J12" s="4" t="n">
        <f aca="false">-J6*Assumptions!J17/100</f>
        <v>-873.526720121293</v>
      </c>
      <c r="K12" s="4" t="n">
        <f aca="false">-K6*Assumptions!K17/100</f>
        <v>-890.997254523719</v>
      </c>
      <c r="L12" s="4" t="n">
        <f aca="false">-L6*Assumptions!L17/100</f>
        <v>-908.817199614194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5659.679168</v>
      </c>
      <c r="D13" s="0" t="n">
        <f aca="false">D11+D12</f>
        <v>5113.68658944</v>
      </c>
      <c r="E13" s="0" t="n">
        <f aca="false">E11+E12</f>
        <v>4794.0811776</v>
      </c>
      <c r="F13" s="0" t="n">
        <f aca="false">F11+F12</f>
        <v>4842.021989376</v>
      </c>
      <c r="G13" s="0" t="n">
        <f aca="false">G11+G12</f>
        <v>4938.86242916352</v>
      </c>
      <c r="H13" s="0" t="n">
        <f aca="false">H11+H12</f>
        <v>5037.63967774679</v>
      </c>
      <c r="I13" s="0" t="n">
        <f aca="false">I11+I12</f>
        <v>5138.39247130173</v>
      </c>
      <c r="J13" s="0" t="n">
        <f aca="false">J11+J12</f>
        <v>5241.16032072776</v>
      </c>
      <c r="K13" s="0" t="n">
        <f aca="false">K11+K12</f>
        <v>5345.98352714231</v>
      </c>
      <c r="L13" s="0" t="n">
        <f aca="false">L11+L12</f>
        <v>5452.90319768516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4074.96900096</v>
      </c>
      <c r="D15" s="0" t="n">
        <f aca="false">D13-MAX(0,D13)*D14/100</f>
        <v>3681.8543443968</v>
      </c>
      <c r="E15" s="0" t="n">
        <f aca="false">E13-MAX(0,E13)*E14/100</f>
        <v>3451.738447872</v>
      </c>
      <c r="F15" s="0" t="n">
        <f aca="false">F13-MAX(0,F13)*F14/100</f>
        <v>3486.25583235072</v>
      </c>
      <c r="G15" s="0" t="n">
        <f aca="false">G13-MAX(0,G13)*G14/100</f>
        <v>3555.98094899773</v>
      </c>
      <c r="H15" s="0" t="n">
        <f aca="false">H13-MAX(0,H13)*H14/100</f>
        <v>3627.10056797769</v>
      </c>
      <c r="I15" s="0" t="n">
        <f aca="false">I13-MAX(0,I13)*I14/100</f>
        <v>3699.64257933724</v>
      </c>
      <c r="J15" s="0" t="n">
        <f aca="false">J13-MAX(0,J13)*J14/100</f>
        <v>3773.63543092399</v>
      </c>
      <c r="K15" s="0" t="n">
        <f aca="false">K13-MAX(0,K13)*K14/100</f>
        <v>3849.10813954247</v>
      </c>
      <c r="L15" s="0" t="n">
        <f aca="false">L13-MAX(0,L13)*L14/100</f>
        <v>3926.09030233332</v>
      </c>
    </row>
    <row r="16" customFormat="false" ht="15" hidden="false" customHeight="false" outlineLevel="0" collapsed="false">
      <c r="A16" s="0" t="s">
        <v>116</v>
      </c>
      <c r="C16" s="0" t="n">
        <f aca="false">-C12</f>
        <v>915.536336</v>
      </c>
      <c r="D16" s="0" t="n">
        <f aca="false">-D12</f>
        <v>799.0135296</v>
      </c>
      <c r="E16" s="0" t="n">
        <f aca="false">-E12</f>
        <v>799.0135296</v>
      </c>
      <c r="F16" s="0" t="n">
        <f aca="false">-F12</f>
        <v>807.003664896</v>
      </c>
      <c r="G16" s="0" t="n">
        <f aca="false">-G12</f>
        <v>823.14373819392</v>
      </c>
      <c r="H16" s="0" t="n">
        <f aca="false">-H12</f>
        <v>839.606612957798</v>
      </c>
      <c r="I16" s="0" t="n">
        <f aca="false">-I12</f>
        <v>856.398745216954</v>
      </c>
      <c r="J16" s="0" t="n">
        <f aca="false">-J12</f>
        <v>873.526720121293</v>
      </c>
      <c r="K16" s="0" t="n">
        <f aca="false">-K12</f>
        <v>890.997254523719</v>
      </c>
      <c r="L16" s="0" t="n">
        <f aca="false">-L12</f>
        <v>908.817199614194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-582.614032</v>
      </c>
      <c r="D17" s="4" t="n">
        <f aca="false">-D6*Assumptions!D18/100</f>
        <v>-639.21082368</v>
      </c>
      <c r="E17" s="4" t="n">
        <f aca="false">-E6*Assumptions!E18/100</f>
        <v>-719.11217664</v>
      </c>
      <c r="F17" s="4" t="n">
        <f aca="false">-F6*Assumptions!F18/100</f>
        <v>-807.003664896</v>
      </c>
      <c r="G17" s="4" t="n">
        <f aca="false">-G6*Assumptions!G18/100</f>
        <v>-823.14373819392</v>
      </c>
      <c r="H17" s="4" t="n">
        <f aca="false">-H6*Assumptions!H18/100</f>
        <v>-839.606612957798</v>
      </c>
      <c r="I17" s="4" t="n">
        <f aca="false">-I6*Assumptions!I18/100</f>
        <v>-856.398745216954</v>
      </c>
      <c r="J17" s="4" t="n">
        <f aca="false">-J6*Assumptions!J18/100</f>
        <v>-873.526720121293</v>
      </c>
      <c r="K17" s="4" t="n">
        <f aca="false">-K6*Assumptions!K18/100</f>
        <v>-890.997254523719</v>
      </c>
      <c r="L17" s="4" t="n">
        <f aca="false">-L6*Assumptions!L18/100</f>
        <v>-908.817199614194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4407.89130496</v>
      </c>
      <c r="D19" s="0" t="n">
        <f aca="false">D15+D16+D17+D18</f>
        <v>3841.6570503168</v>
      </c>
      <c r="E19" s="0" t="n">
        <f aca="false">E15+E16+E17+E18</f>
        <v>3531.639800832</v>
      </c>
      <c r="F19" s="0" t="n">
        <f aca="false">F15+F16+F17+F18</f>
        <v>3486.25583235072</v>
      </c>
      <c r="G19" s="0" t="n">
        <f aca="false">G15+G16+G17+G18</f>
        <v>3555.98094899773</v>
      </c>
      <c r="H19" s="0" t="n">
        <f aca="false">H15+H16+H17+H18</f>
        <v>3627.10056797769</v>
      </c>
      <c r="I19" s="0" t="n">
        <f aca="false">I15+I16+I17+I18</f>
        <v>3699.64257933724</v>
      </c>
      <c r="J19" s="0" t="n">
        <f aca="false">J15+J16+J17+J18</f>
        <v>3773.63543092399</v>
      </c>
      <c r="K19" s="0" t="n">
        <f aca="false">K15+K16+K17+K18</f>
        <v>3849.10813954247</v>
      </c>
      <c r="L19" s="0" t="n">
        <f aca="false">L15+L16+L17+L18</f>
        <v>3926.09030233332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4007.1739136</v>
      </c>
      <c r="D21" s="0" t="n">
        <f aca="false">D19*D20</f>
        <v>3174.92318208</v>
      </c>
      <c r="E21" s="0" t="n">
        <f aca="false">E19*E20</f>
        <v>2653.37325381818</v>
      </c>
      <c r="F21" s="0" t="n">
        <f aca="false">F19*F20</f>
        <v>2381.1596423405</v>
      </c>
      <c r="G21" s="0" t="n">
        <f aca="false">G19*G20</f>
        <v>2207.98439562482</v>
      </c>
      <c r="H21" s="0" t="n">
        <f aca="false">H19*H20</f>
        <v>2047.40371230665</v>
      </c>
      <c r="I21" s="0" t="n">
        <f aca="false">I19*I20</f>
        <v>1898.5016241389</v>
      </c>
      <c r="J21" s="0" t="n">
        <f aca="false">J19*J20</f>
        <v>1760.42877874698</v>
      </c>
      <c r="K21" s="0" t="n">
        <f aca="false">K19*K20</f>
        <v>1632.39759483811</v>
      </c>
      <c r="L21" s="0" t="n">
        <f aca="false">L19*L20</f>
        <v>1513.67776975897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23277.0238672531</v>
      </c>
    </row>
    <row r="31" customFormat="false" ht="15" hidden="false" customHeight="false" outlineLevel="0" collapsed="false">
      <c r="A31" s="0" t="s">
        <v>125</v>
      </c>
      <c r="B31" s="0" t="n">
        <f aca="false">L19</f>
        <v>3926.09030233332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50057.6513547498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58891.3545349997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50057.6513547498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19299.3915644269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42576.41543168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105276.81543168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36.5310479439726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-0.230277118753211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10399.2278812232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8934.90350204948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43.2399902464281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30804.7085259999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31.0194166542666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-8.5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94580.2</v>
      </c>
      <c r="C6" s="0" t="n">
        <f aca="false">B6*(1+C5/100)</f>
        <v>86540.883</v>
      </c>
      <c r="D6" s="0" t="n">
        <f aca="false">C6*(1+D5/100)</f>
        <v>89137.10949</v>
      </c>
      <c r="E6" s="0" t="n">
        <f aca="false">D6*(1+E5/100)</f>
        <v>92702.5938696</v>
      </c>
      <c r="F6" s="0" t="n">
        <f aca="false">E6*(1+F5/100)</f>
        <v>96410.697624384</v>
      </c>
      <c r="G6" s="0" t="n">
        <f aca="false">F6*(1+G5/100)</f>
        <v>100267.125529359</v>
      </c>
      <c r="H6" s="0" t="n">
        <f aca="false">G6*(1+H5/100)</f>
        <v>103776.474922887</v>
      </c>
      <c r="I6" s="0" t="n">
        <f aca="false">H6*(1+I5/100)</f>
        <v>106889.769170574</v>
      </c>
      <c r="J6" s="0" t="n">
        <f aca="false">I6*(1+J5/100)</f>
        <v>110096.462245691</v>
      </c>
      <c r="K6" s="0" t="n">
        <f aca="false">J6*(1+K5/100)</f>
        <v>112848.873801833</v>
      </c>
      <c r="L6" s="0" t="n">
        <f aca="false">K6*(1+L5/100)</f>
        <v>115670.095646879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11.5</v>
      </c>
      <c r="D7" s="4" t="n">
        <f aca="false">Assumptions!D28</f>
        <v>12</v>
      </c>
      <c r="E7" s="4" t="n">
        <f aca="false">Assumptions!E28</f>
        <v>12</v>
      </c>
      <c r="F7" s="4" t="n">
        <f aca="false">Assumptions!F28</f>
        <v>12</v>
      </c>
      <c r="G7" s="4" t="n">
        <f aca="false">Assumptions!G28</f>
        <v>12</v>
      </c>
      <c r="H7" s="4" t="n">
        <f aca="false">Assumptions!H28</f>
        <v>12</v>
      </c>
      <c r="I7" s="4" t="n">
        <f aca="false">Assumptions!I28</f>
        <v>12</v>
      </c>
      <c r="J7" s="4" t="n">
        <f aca="false">Assumptions!J28</f>
        <v>12</v>
      </c>
      <c r="K7" s="4" t="n">
        <f aca="false">Assumptions!K28</f>
        <v>12</v>
      </c>
      <c r="L7" s="4" t="n">
        <f aca="false">Assumptions!L28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9952.201545</v>
      </c>
      <c r="D8" s="0" t="n">
        <f aca="false">D6*D7/100</f>
        <v>10696.4531388</v>
      </c>
      <c r="E8" s="0" t="n">
        <f aca="false">E6*E7/100</f>
        <v>11124.311264352</v>
      </c>
      <c r="F8" s="0" t="n">
        <f aca="false">F6*F7/100</f>
        <v>11569.2837149261</v>
      </c>
      <c r="G8" s="0" t="n">
        <f aca="false">G6*G7/100</f>
        <v>12032.0550635231</v>
      </c>
      <c r="H8" s="0" t="n">
        <f aca="false">H6*H7/100</f>
        <v>12453.1769907464</v>
      </c>
      <c r="I8" s="0" t="n">
        <f aca="false">I6*I7/100</f>
        <v>12826.7723004688</v>
      </c>
      <c r="J8" s="0" t="n">
        <f aca="false">J6*J7/100</f>
        <v>13211.5754694829</v>
      </c>
      <c r="K8" s="0" t="n">
        <f aca="false">K6*K7/100</f>
        <v>13541.86485622</v>
      </c>
      <c r="L8" s="0" t="n">
        <f aca="false">L6*L7/100</f>
        <v>13880.4114776255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2.1</v>
      </c>
      <c r="D9" s="4" t="n">
        <f aca="false">Assumptions!D29</f>
        <v>2</v>
      </c>
      <c r="E9" s="4" t="n">
        <f aca="false">Assumptions!E29</f>
        <v>1.9</v>
      </c>
      <c r="F9" s="4" t="n">
        <f aca="false">Assumptions!F29</f>
        <v>1.8</v>
      </c>
      <c r="G9" s="4" t="n">
        <f aca="false">Assumptions!G29</f>
        <v>1.7</v>
      </c>
      <c r="H9" s="4" t="n">
        <f aca="false">Assumptions!H29</f>
        <v>1.6</v>
      </c>
      <c r="I9" s="4" t="n">
        <f aca="false">Assumptions!I29</f>
        <v>1.6</v>
      </c>
      <c r="J9" s="4" t="n">
        <f aca="false">Assumptions!J29</f>
        <v>1.6</v>
      </c>
      <c r="K9" s="4" t="n">
        <f aca="false">Assumptions!K29</f>
        <v>1.6</v>
      </c>
      <c r="L9" s="4" t="n">
        <f aca="false">Assumptions!L29</f>
        <v>1.6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-1817.358543</v>
      </c>
      <c r="D10" s="0" t="n">
        <f aca="false">-D6*D9/100</f>
        <v>-1782.7421898</v>
      </c>
      <c r="E10" s="0" t="n">
        <f aca="false">-E6*E9/100</f>
        <v>-1761.3492835224</v>
      </c>
      <c r="F10" s="0" t="n">
        <f aca="false">-F6*F9/100</f>
        <v>-1735.39255723891</v>
      </c>
      <c r="G10" s="0" t="n">
        <f aca="false">-G6*G9/100</f>
        <v>-1704.54113399911</v>
      </c>
      <c r="H10" s="0" t="n">
        <f aca="false">-H6*H9/100</f>
        <v>-1660.42359876619</v>
      </c>
      <c r="I10" s="0" t="n">
        <f aca="false">-I6*I9/100</f>
        <v>-1710.23630672918</v>
      </c>
      <c r="J10" s="0" t="n">
        <f aca="false">-J6*J9/100</f>
        <v>-1761.54339593105</v>
      </c>
      <c r="K10" s="0" t="n">
        <f aca="false">-K6*K9/100</f>
        <v>-1805.58198082933</v>
      </c>
      <c r="L10" s="0" t="n">
        <f aca="false">-L6*L9/100</f>
        <v>-1850.72153035006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8134.843002</v>
      </c>
      <c r="D11" s="0" t="n">
        <f aca="false">D8+D10+D24</f>
        <v>8913.710949</v>
      </c>
      <c r="E11" s="0" t="n">
        <f aca="false">E8+E10+E24</f>
        <v>9362.9619808296</v>
      </c>
      <c r="F11" s="0" t="n">
        <f aca="false">F8+F10+F24</f>
        <v>9833.89115768717</v>
      </c>
      <c r="G11" s="0" t="n">
        <f aca="false">G8+G10+G24</f>
        <v>10327.513929524</v>
      </c>
      <c r="H11" s="0" t="n">
        <f aca="false">H8+H10+H24</f>
        <v>10792.7533919802</v>
      </c>
      <c r="I11" s="0" t="n">
        <f aca="false">I8+I10+I24</f>
        <v>11116.5359937397</v>
      </c>
      <c r="J11" s="0" t="n">
        <f aca="false">J8+J10+J24</f>
        <v>11450.0320735518</v>
      </c>
      <c r="K11" s="0" t="n">
        <f aca="false">K8+K10+K24</f>
        <v>11736.2828753906</v>
      </c>
      <c r="L11" s="0" t="n">
        <f aca="false">L8+L10+L24</f>
        <v>12029.6899472754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-951.949713</v>
      </c>
      <c r="D12" s="4" t="n">
        <f aca="false">-D6*Assumptions!D31/100</f>
        <v>-891.3710949</v>
      </c>
      <c r="E12" s="4" t="n">
        <f aca="false">-E6*Assumptions!E31/100</f>
        <v>-927.025938696</v>
      </c>
      <c r="F12" s="4" t="n">
        <f aca="false">-F6*Assumptions!F31/100</f>
        <v>-915.901627431648</v>
      </c>
      <c r="G12" s="4" t="n">
        <f aca="false">-G6*Assumptions!G31/100</f>
        <v>-902.404129764235</v>
      </c>
      <c r="H12" s="4" t="n">
        <f aca="false">-H6*Assumptions!H31/100</f>
        <v>-933.988274305983</v>
      </c>
      <c r="I12" s="4" t="n">
        <f aca="false">-I6*Assumptions!I31/100</f>
        <v>-962.007922535162</v>
      </c>
      <c r="J12" s="4" t="n">
        <f aca="false">-J6*Assumptions!J31/100</f>
        <v>-990.868160211217</v>
      </c>
      <c r="K12" s="4" t="n">
        <f aca="false">-K6*Assumptions!K31/100</f>
        <v>-1015.6398642165</v>
      </c>
      <c r="L12" s="4" t="n">
        <f aca="false">-L6*Assumptions!L31/100</f>
        <v>-1041.03086082191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7182.893289</v>
      </c>
      <c r="D13" s="0" t="n">
        <f aca="false">D11+D12</f>
        <v>8022.3398541</v>
      </c>
      <c r="E13" s="0" t="n">
        <f aca="false">E11+E12</f>
        <v>8435.9360421336</v>
      </c>
      <c r="F13" s="0" t="n">
        <f aca="false">F11+F12</f>
        <v>8917.98953025552</v>
      </c>
      <c r="G13" s="0" t="n">
        <f aca="false">G11+G12</f>
        <v>9425.10979975978</v>
      </c>
      <c r="H13" s="0" t="n">
        <f aca="false">H11+H12</f>
        <v>9858.76511767426</v>
      </c>
      <c r="I13" s="0" t="n">
        <f aca="false">I11+I12</f>
        <v>10154.5280712045</v>
      </c>
      <c r="J13" s="0" t="n">
        <f aca="false">J11+J12</f>
        <v>10459.1639133406</v>
      </c>
      <c r="K13" s="0" t="n">
        <f aca="false">K11+K12</f>
        <v>10720.6430111741</v>
      </c>
      <c r="L13" s="0" t="n">
        <f aca="false">L11+L12</f>
        <v>10988.6590864535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5171.68316808</v>
      </c>
      <c r="D15" s="0" t="n">
        <f aca="false">D13-MAX(0,D13)*D14/100</f>
        <v>5776.084694952</v>
      </c>
      <c r="E15" s="0" t="n">
        <f aca="false">E13-MAX(0,E13)*E14/100</f>
        <v>6073.87395033619</v>
      </c>
      <c r="F15" s="0" t="n">
        <f aca="false">F13-MAX(0,F13)*F14/100</f>
        <v>6420.95246178398</v>
      </c>
      <c r="G15" s="0" t="n">
        <f aca="false">G13-MAX(0,G13)*G14/100</f>
        <v>6786.07905582704</v>
      </c>
      <c r="H15" s="0" t="n">
        <f aca="false">H13-MAX(0,H13)*H14/100</f>
        <v>7098.31088472547</v>
      </c>
      <c r="I15" s="0" t="n">
        <f aca="false">I13-MAX(0,I13)*I14/100</f>
        <v>7311.26021126723</v>
      </c>
      <c r="J15" s="0" t="n">
        <f aca="false">J13-MAX(0,J13)*J14/100</f>
        <v>7530.59801760525</v>
      </c>
      <c r="K15" s="0" t="n">
        <f aca="false">K13-MAX(0,K13)*K14/100</f>
        <v>7718.86296804538</v>
      </c>
      <c r="L15" s="0" t="n">
        <f aca="false">L13-MAX(0,L13)*L14/100</f>
        <v>7911.83454224651</v>
      </c>
    </row>
    <row r="16" customFormat="false" ht="15" hidden="false" customHeight="false" outlineLevel="0" collapsed="false">
      <c r="A16" s="0" t="s">
        <v>116</v>
      </c>
      <c r="C16" s="0" t="n">
        <f aca="false">-C12</f>
        <v>951.949713</v>
      </c>
      <c r="D16" s="0" t="n">
        <f aca="false">-D12</f>
        <v>891.3710949</v>
      </c>
      <c r="E16" s="0" t="n">
        <f aca="false">-E12</f>
        <v>927.025938696</v>
      </c>
      <c r="F16" s="0" t="n">
        <f aca="false">-F12</f>
        <v>915.901627431648</v>
      </c>
      <c r="G16" s="0" t="n">
        <f aca="false">-G12</f>
        <v>902.404129764235</v>
      </c>
      <c r="H16" s="0" t="n">
        <f aca="false">-H12</f>
        <v>933.988274305983</v>
      </c>
      <c r="I16" s="0" t="n">
        <f aca="false">-I12</f>
        <v>962.007922535162</v>
      </c>
      <c r="J16" s="0" t="n">
        <f aca="false">-J12</f>
        <v>990.868160211217</v>
      </c>
      <c r="K16" s="0" t="n">
        <f aca="false">-K12</f>
        <v>1015.6398642165</v>
      </c>
      <c r="L16" s="0" t="n">
        <f aca="false">-L12</f>
        <v>1041.03086082191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-605.786181</v>
      </c>
      <c r="D17" s="4" t="n">
        <f aca="false">-D6*Assumptions!D32/100</f>
        <v>-713.09687592</v>
      </c>
      <c r="E17" s="4" t="n">
        <f aca="false">-E6*Assumptions!E32/100</f>
        <v>-787.9720478916</v>
      </c>
      <c r="F17" s="4" t="n">
        <f aca="false">-F6*Assumptions!F32/100</f>
        <v>-867.696278619456</v>
      </c>
      <c r="G17" s="4" t="n">
        <f aca="false">-G6*Assumptions!G32/100</f>
        <v>-902.404129764235</v>
      </c>
      <c r="H17" s="4" t="n">
        <f aca="false">-H6*Assumptions!H32/100</f>
        <v>-933.988274305983</v>
      </c>
      <c r="I17" s="4" t="n">
        <f aca="false">-I6*Assumptions!I32/100</f>
        <v>-962.007922535162</v>
      </c>
      <c r="J17" s="4" t="n">
        <f aca="false">-J6*Assumptions!J32/100</f>
        <v>-990.868160211217</v>
      </c>
      <c r="K17" s="4" t="n">
        <f aca="false">-K6*Assumptions!K32/100</f>
        <v>-1015.6398642165</v>
      </c>
      <c r="L17" s="4" t="n">
        <f aca="false">-L6*Assumptions!L32/100</f>
        <v>-1041.03086082191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5517.84670008</v>
      </c>
      <c r="D19" s="0" t="n">
        <f aca="false">D15+D16+D17+D18</f>
        <v>5954.358913932</v>
      </c>
      <c r="E19" s="0" t="n">
        <f aca="false">E15+E16+E17+E18</f>
        <v>6212.92784114059</v>
      </c>
      <c r="F19" s="0" t="n">
        <f aca="false">F15+F16+F17+F18</f>
        <v>6469.15781059617</v>
      </c>
      <c r="G19" s="0" t="n">
        <f aca="false">G15+G16+G17+G18</f>
        <v>6786.07905582704</v>
      </c>
      <c r="H19" s="0" t="n">
        <f aca="false">H15+H16+H17+H18</f>
        <v>7098.31088472547</v>
      </c>
      <c r="I19" s="0" t="n">
        <f aca="false">I15+I16+I17+I18</f>
        <v>7311.26021126723</v>
      </c>
      <c r="J19" s="0" t="n">
        <f aca="false">J15+J16+J17+J18</f>
        <v>7530.59801760525</v>
      </c>
      <c r="K19" s="0" t="n">
        <f aca="false">K15+K16+K17+K18</f>
        <v>7718.86296804538</v>
      </c>
      <c r="L19" s="0" t="n">
        <f aca="false">L15+L16+L17+L18</f>
        <v>7911.83454224652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5016.2242728</v>
      </c>
      <c r="D21" s="0" t="n">
        <f aca="false">D19*D20</f>
        <v>4920.95778010909</v>
      </c>
      <c r="E21" s="0" t="n">
        <f aca="false">E19*E20</f>
        <v>4667.86464398241</v>
      </c>
      <c r="F21" s="0" t="n">
        <f aca="false">F19*F20</f>
        <v>4418.52182951722</v>
      </c>
      <c r="G21" s="0" t="n">
        <f aca="false">G19*G20</f>
        <v>4213.62118572815</v>
      </c>
      <c r="H21" s="0" t="n">
        <f aca="false">H19*H20</f>
        <v>4006.81144184449</v>
      </c>
      <c r="I21" s="0" t="n">
        <f aca="false">I19*I20</f>
        <v>3751.83253190893</v>
      </c>
      <c r="J21" s="0" t="n">
        <f aca="false">J19*J20</f>
        <v>3513.07955260564</v>
      </c>
      <c r="K21" s="0" t="n">
        <f aca="false">K19*K20</f>
        <v>3273.55140129161</v>
      </c>
      <c r="L21" s="0" t="n">
        <f aca="false">L19*L20</f>
        <v>3050.35471483991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40832.8193546275</v>
      </c>
    </row>
    <row r="31" customFormat="false" ht="15" hidden="false" customHeight="false" outlineLevel="0" collapsed="false">
      <c r="A31" s="0" t="s">
        <v>125</v>
      </c>
      <c r="B31" s="0" t="n">
        <f aca="false">L19</f>
        <v>7911.83454224652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108128.405410702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118677.518133698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108128.405410702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41688.1811028121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82521.0004574396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145221.40045744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50.3918162878354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0.0617744687702355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10808.4317305384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9751.62131059933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57.5261533239309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64877.0432464214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38.7336027654808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-7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94580.2</v>
      </c>
      <c r="C6" s="0" t="n">
        <f aca="false">B6*(1+C5/100)</f>
        <v>87959.586</v>
      </c>
      <c r="D6" s="0" t="n">
        <f aca="false">C6*(1+D5/100)</f>
        <v>93237.16116</v>
      </c>
      <c r="E6" s="0" t="n">
        <f aca="false">D6*(1+E5/100)</f>
        <v>99763.7624412</v>
      </c>
      <c r="F6" s="0" t="n">
        <f aca="false">E6*(1+F5/100)</f>
        <v>106747.225812084</v>
      </c>
      <c r="G6" s="0" t="n">
        <f aca="false">F6*(1+G5/100)</f>
        <v>113152.059360809</v>
      </c>
      <c r="H6" s="0" t="n">
        <f aca="false">G6*(1+H5/100)</f>
        <v>118809.66232885</v>
      </c>
      <c r="I6" s="0" t="n">
        <f aca="false">H6*(1+I5/100)</f>
        <v>123562.048822004</v>
      </c>
      <c r="J6" s="0" t="n">
        <f aca="false">I6*(1+J5/100)</f>
        <v>127886.720530774</v>
      </c>
      <c r="K6" s="0" t="n">
        <f aca="false">J6*(1+K5/100)</f>
        <v>131723.322146697</v>
      </c>
      <c r="L6" s="0" t="n">
        <f aca="false">K6*(1+L5/100)</f>
        <v>135675.021811098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12.5</v>
      </c>
      <c r="D7" s="4" t="n">
        <f aca="false">Assumptions!D42</f>
        <v>13.5</v>
      </c>
      <c r="E7" s="4" t="n">
        <f aca="false">Assumptions!E42</f>
        <v>14</v>
      </c>
      <c r="F7" s="4" t="n">
        <f aca="false">Assumptions!F42</f>
        <v>14</v>
      </c>
      <c r="G7" s="4" t="n">
        <f aca="false">Assumptions!G42</f>
        <v>14</v>
      </c>
      <c r="H7" s="4" t="n">
        <f aca="false">Assumptions!H42</f>
        <v>14</v>
      </c>
      <c r="I7" s="4" t="n">
        <f aca="false">Assumptions!I42</f>
        <v>14</v>
      </c>
      <c r="J7" s="4" t="n">
        <f aca="false">Assumptions!J42</f>
        <v>14</v>
      </c>
      <c r="K7" s="4" t="n">
        <f aca="false">Assumptions!K42</f>
        <v>14</v>
      </c>
      <c r="L7" s="4" t="n">
        <f aca="false">Assumptions!L42</f>
        <v>14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10994.94825</v>
      </c>
      <c r="D8" s="0" t="n">
        <f aca="false">D6*D7/100</f>
        <v>12587.0167566</v>
      </c>
      <c r="E8" s="0" t="n">
        <f aca="false">E6*E7/100</f>
        <v>13966.926741768</v>
      </c>
      <c r="F8" s="0" t="n">
        <f aca="false">F6*F7/100</f>
        <v>14944.6116136918</v>
      </c>
      <c r="G8" s="0" t="n">
        <f aca="false">G6*G7/100</f>
        <v>15841.2883105133</v>
      </c>
      <c r="H8" s="0" t="n">
        <f aca="false">H6*H7/100</f>
        <v>16633.3527260389</v>
      </c>
      <c r="I8" s="0" t="n">
        <f aca="false">I6*I7/100</f>
        <v>17298.6868350805</v>
      </c>
      <c r="J8" s="0" t="n">
        <f aca="false">J6*J7/100</f>
        <v>17904.1408743083</v>
      </c>
      <c r="K8" s="0" t="n">
        <f aca="false">K6*K7/100</f>
        <v>18441.2651005376</v>
      </c>
      <c r="L8" s="0" t="n">
        <f aca="false">L6*L7/100</f>
        <v>18994.5030535537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2.1</v>
      </c>
      <c r="D9" s="4" t="n">
        <f aca="false">Assumptions!D43</f>
        <v>2</v>
      </c>
      <c r="E9" s="4" t="n">
        <f aca="false">Assumptions!E43</f>
        <v>1.9</v>
      </c>
      <c r="F9" s="4" t="n">
        <f aca="false">Assumptions!F43</f>
        <v>1.8</v>
      </c>
      <c r="G9" s="4" t="n">
        <f aca="false">Assumptions!G43</f>
        <v>1.7</v>
      </c>
      <c r="H9" s="4" t="n">
        <f aca="false">Assumptions!H43</f>
        <v>1.6</v>
      </c>
      <c r="I9" s="4" t="n">
        <f aca="false">Assumptions!I43</f>
        <v>1.6</v>
      </c>
      <c r="J9" s="4" t="n">
        <f aca="false">Assumptions!J43</f>
        <v>1.6</v>
      </c>
      <c r="K9" s="4" t="n">
        <f aca="false">Assumptions!K43</f>
        <v>1.6</v>
      </c>
      <c r="L9" s="4" t="n">
        <f aca="false">Assumptions!L43</f>
        <v>1.6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-1847.151306</v>
      </c>
      <c r="D10" s="0" t="n">
        <f aca="false">-D6*D9/100</f>
        <v>-1864.7432232</v>
      </c>
      <c r="E10" s="0" t="n">
        <f aca="false">-E6*E9/100</f>
        <v>-1895.5114863828</v>
      </c>
      <c r="F10" s="0" t="n">
        <f aca="false">-F6*F9/100</f>
        <v>-1921.45006461751</v>
      </c>
      <c r="G10" s="0" t="n">
        <f aca="false">-G6*G9/100</f>
        <v>-1923.58500913375</v>
      </c>
      <c r="H10" s="0" t="n">
        <f aca="false">-H6*H9/100</f>
        <v>-1900.95459726159</v>
      </c>
      <c r="I10" s="0" t="n">
        <f aca="false">-I6*I9/100</f>
        <v>-1976.99278115206</v>
      </c>
      <c r="J10" s="0" t="n">
        <f aca="false">-J6*J9/100</f>
        <v>-2046.18752849238</v>
      </c>
      <c r="K10" s="0" t="n">
        <f aca="false">-K6*K9/100</f>
        <v>-2107.57315434715</v>
      </c>
      <c r="L10" s="0" t="n">
        <f aca="false">-L6*L9/100</f>
        <v>-2170.80034897756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9147.796944</v>
      </c>
      <c r="D11" s="0" t="n">
        <f aca="false">D8+D10+D24</f>
        <v>10722.2735334</v>
      </c>
      <c r="E11" s="0" t="n">
        <f aca="false">E8+E10+E24</f>
        <v>12071.4152553852</v>
      </c>
      <c r="F11" s="0" t="n">
        <f aca="false">F8+F10+F24</f>
        <v>13023.1615490743</v>
      </c>
      <c r="G11" s="0" t="n">
        <f aca="false">G8+G10+G24</f>
        <v>13917.7033013795</v>
      </c>
      <c r="H11" s="0" t="n">
        <f aca="false">H8+H10+H24</f>
        <v>14732.3981287773</v>
      </c>
      <c r="I11" s="0" t="n">
        <f aca="false">I8+I10+I24</f>
        <v>15321.6940539284</v>
      </c>
      <c r="J11" s="0" t="n">
        <f aca="false">J8+J10+J24</f>
        <v>15857.9533458159</v>
      </c>
      <c r="K11" s="0" t="n">
        <f aca="false">K8+K10+K24</f>
        <v>16333.6919461904</v>
      </c>
      <c r="L11" s="0" t="n">
        <f aca="false">L8+L10+L24</f>
        <v>16823.7027045761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-967.555446</v>
      </c>
      <c r="D12" s="4" t="n">
        <f aca="false">-D6*Assumptions!D45/100</f>
        <v>-932.3716116</v>
      </c>
      <c r="E12" s="4" t="n">
        <f aca="false">-E6*Assumptions!E45/100</f>
        <v>-997.637624412</v>
      </c>
      <c r="F12" s="4" t="n">
        <f aca="false">-F6*Assumptions!F45/100</f>
        <v>-1014.0986452148</v>
      </c>
      <c r="G12" s="4" t="n">
        <f aca="false">-G6*Assumptions!G45/100</f>
        <v>-1018.36853424728</v>
      </c>
      <c r="H12" s="4" t="n">
        <f aca="false">-H6*Assumptions!H45/100</f>
        <v>-1069.28696095965</v>
      </c>
      <c r="I12" s="4" t="n">
        <f aca="false">-I6*Assumptions!I45/100</f>
        <v>-1112.05843939803</v>
      </c>
      <c r="J12" s="4" t="n">
        <f aca="false">-J6*Assumptions!J45/100</f>
        <v>-1150.98048477696</v>
      </c>
      <c r="K12" s="4" t="n">
        <f aca="false">-K6*Assumptions!K45/100</f>
        <v>-1185.50989932027</v>
      </c>
      <c r="L12" s="4" t="n">
        <f aca="false">-L6*Assumptions!L45/100</f>
        <v>-1221.07519629988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8180.241498</v>
      </c>
      <c r="D13" s="0" t="n">
        <f aca="false">D11+D12</f>
        <v>9789.9019218</v>
      </c>
      <c r="E13" s="0" t="n">
        <f aca="false">E11+E12</f>
        <v>11073.7776309732</v>
      </c>
      <c r="F13" s="0" t="n">
        <f aca="false">F11+F12</f>
        <v>12009.0629038595</v>
      </c>
      <c r="G13" s="0" t="n">
        <f aca="false">G11+G12</f>
        <v>12899.3347671322</v>
      </c>
      <c r="H13" s="0" t="n">
        <f aca="false">H11+H12</f>
        <v>13663.1111678177</v>
      </c>
      <c r="I13" s="0" t="n">
        <f aca="false">I11+I12</f>
        <v>14209.6356145304</v>
      </c>
      <c r="J13" s="0" t="n">
        <f aca="false">J11+J12</f>
        <v>14706.972861039</v>
      </c>
      <c r="K13" s="0" t="n">
        <f aca="false">K11+K12</f>
        <v>15148.1820468701</v>
      </c>
      <c r="L13" s="0" t="n">
        <f aca="false">L11+L12</f>
        <v>15602.6275082762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5889.77387856</v>
      </c>
      <c r="D15" s="0" t="n">
        <f aca="false">D13-MAX(0,D13)*D14/100</f>
        <v>7048.729383696</v>
      </c>
      <c r="E15" s="0" t="n">
        <f aca="false">E13-MAX(0,E13)*E14/100</f>
        <v>7973.11989430071</v>
      </c>
      <c r="F15" s="0" t="n">
        <f aca="false">F13-MAX(0,F13)*F14/100</f>
        <v>8646.52529077881</v>
      </c>
      <c r="G15" s="0" t="n">
        <f aca="false">G13-MAX(0,G13)*G14/100</f>
        <v>9287.52103233521</v>
      </c>
      <c r="H15" s="0" t="n">
        <f aca="false">H13-MAX(0,H13)*H14/100</f>
        <v>9837.44004082874</v>
      </c>
      <c r="I15" s="0" t="n">
        <f aca="false">I13-MAX(0,I13)*I14/100</f>
        <v>10230.9376424619</v>
      </c>
      <c r="J15" s="0" t="n">
        <f aca="false">J13-MAX(0,J13)*J14/100</f>
        <v>10589.0204599481</v>
      </c>
      <c r="K15" s="0" t="n">
        <f aca="false">K13-MAX(0,K13)*K14/100</f>
        <v>10906.6910737465</v>
      </c>
      <c r="L15" s="0" t="n">
        <f aca="false">L13-MAX(0,L13)*L14/100</f>
        <v>11233.8918059589</v>
      </c>
    </row>
    <row r="16" customFormat="false" ht="15" hidden="false" customHeight="false" outlineLevel="0" collapsed="false">
      <c r="A16" s="0" t="s">
        <v>116</v>
      </c>
      <c r="C16" s="0" t="n">
        <f aca="false">-C12</f>
        <v>967.555446</v>
      </c>
      <c r="D16" s="0" t="n">
        <f aca="false">-D12</f>
        <v>932.3716116</v>
      </c>
      <c r="E16" s="0" t="n">
        <f aca="false">-E12</f>
        <v>997.637624412</v>
      </c>
      <c r="F16" s="0" t="n">
        <f aca="false">-F12</f>
        <v>1014.0986452148</v>
      </c>
      <c r="G16" s="0" t="n">
        <f aca="false">-G12</f>
        <v>1018.36853424728</v>
      </c>
      <c r="H16" s="0" t="n">
        <f aca="false">-H12</f>
        <v>1069.28696095965</v>
      </c>
      <c r="I16" s="0" t="n">
        <f aca="false">-I12</f>
        <v>1112.05843939803</v>
      </c>
      <c r="J16" s="0" t="n">
        <f aca="false">-J12</f>
        <v>1150.98048477696</v>
      </c>
      <c r="K16" s="0" t="n">
        <f aca="false">-K12</f>
        <v>1185.50989932027</v>
      </c>
      <c r="L16" s="0" t="n">
        <f aca="false">-L12</f>
        <v>1221.07519629988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-615.717102</v>
      </c>
      <c r="D17" s="4" t="n">
        <f aca="false">-D6*Assumptions!D46/100</f>
        <v>-745.89728928</v>
      </c>
      <c r="E17" s="4" t="n">
        <f aca="false">-E6*Assumptions!E46/100</f>
        <v>-847.9919807502</v>
      </c>
      <c r="F17" s="4" t="n">
        <f aca="false">-F6*Assumptions!F46/100</f>
        <v>-960.725032308756</v>
      </c>
      <c r="G17" s="4" t="n">
        <f aca="false">-G6*Assumptions!G46/100</f>
        <v>-1018.36853424728</v>
      </c>
      <c r="H17" s="4" t="n">
        <f aca="false">-H6*Assumptions!H46/100</f>
        <v>-1069.28696095965</v>
      </c>
      <c r="I17" s="4" t="n">
        <f aca="false">-I6*Assumptions!I46/100</f>
        <v>-1112.05843939803</v>
      </c>
      <c r="J17" s="4" t="n">
        <f aca="false">-J6*Assumptions!J46/100</f>
        <v>-1150.98048477696</v>
      </c>
      <c r="K17" s="4" t="n">
        <f aca="false">-K6*Assumptions!K46/100</f>
        <v>-1185.50989932027</v>
      </c>
      <c r="L17" s="4" t="n">
        <f aca="false">-L6*Assumptions!L46/100</f>
        <v>-1221.07519629988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6241.61222256</v>
      </c>
      <c r="D19" s="0" t="n">
        <f aca="false">D15+D16+D17+D18</f>
        <v>7235.203706016</v>
      </c>
      <c r="E19" s="0" t="n">
        <f aca="false">E15+E16+E17+E18</f>
        <v>8122.76553796251</v>
      </c>
      <c r="F19" s="0" t="n">
        <f aca="false">F15+F16+F17+F18</f>
        <v>8699.89890368485</v>
      </c>
      <c r="G19" s="0" t="n">
        <f aca="false">G15+G16+G17+G18</f>
        <v>9287.52103233521</v>
      </c>
      <c r="H19" s="0" t="n">
        <f aca="false">H15+H16+H17+H18</f>
        <v>9837.44004082874</v>
      </c>
      <c r="I19" s="0" t="n">
        <f aca="false">I15+I16+I17+I18</f>
        <v>10230.9376424619</v>
      </c>
      <c r="J19" s="0" t="n">
        <f aca="false">J15+J16+J17+J18</f>
        <v>10589.0204599481</v>
      </c>
      <c r="K19" s="0" t="n">
        <f aca="false">K15+K16+K17+K18</f>
        <v>10906.6910737465</v>
      </c>
      <c r="L19" s="0" t="n">
        <f aca="false">L15+L16+L17+L18</f>
        <v>11233.8918059589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5674.1929296</v>
      </c>
      <c r="D21" s="0" t="n">
        <f aca="false">D19*D20</f>
        <v>5979.50719505454</v>
      </c>
      <c r="E21" s="0" t="n">
        <f aca="false">E19*E20</f>
        <v>6102.7539729245</v>
      </c>
      <c r="F21" s="0" t="n">
        <f aca="false">F19*F20</f>
        <v>5942.14801153258</v>
      </c>
      <c r="G21" s="0" t="n">
        <f aca="false">G19*G20</f>
        <v>5766.81984733731</v>
      </c>
      <c r="H21" s="0" t="n">
        <f aca="false">H19*H20</f>
        <v>5552.97844151499</v>
      </c>
      <c r="I21" s="0" t="n">
        <f aca="false">I19*I20</f>
        <v>5250.08870834144</v>
      </c>
      <c r="J21" s="0" t="n">
        <f aca="false">J19*J20</f>
        <v>4939.85619375763</v>
      </c>
      <c r="K21" s="0" t="n">
        <f aca="false">K19*K20</f>
        <v>4625.50170870033</v>
      </c>
      <c r="L21" s="0" t="n">
        <f aca="false">L19*L20</f>
        <v>4331.15159996485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54164.9986087282</v>
      </c>
    </row>
    <row r="31" customFormat="false" ht="15" hidden="false" customHeight="false" outlineLevel="0" collapsed="false">
      <c r="A31" s="0" t="s">
        <v>125</v>
      </c>
      <c r="B31" s="0" t="n">
        <f aca="false">L19</f>
        <v>11233.8918059589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165298.693716252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168508.377089383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165298.693716252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63729.8021137685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117894.800722497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180595.200722497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62.6665226241219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0.320407134937251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11924.100647231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12314.9376065253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71.0774672839971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96424.2380011472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45.0419403683894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36.5310479439726</v>
      </c>
      <c r="C4" s="0" t="n">
        <f aca="false">B4/Assumptions!$B$2-1</f>
        <v>-0.230277118753211</v>
      </c>
      <c r="D4" s="4" t="n">
        <f aca="false">Assumptions!$B$24</f>
        <v>0.3</v>
      </c>
      <c r="E4" s="4" t="n">
        <f aca="false">DCF_Bear!$B$43</f>
        <v>43.2399902464281</v>
      </c>
      <c r="F4" s="4" t="n">
        <f aca="false">DCF_Bear!$B$47</f>
        <v>31.0194166542666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50.3918162878354</v>
      </c>
      <c r="C5" s="0" t="n">
        <f aca="false">B5/Assumptions!$B$2-1</f>
        <v>0.0617744687702355</v>
      </c>
      <c r="D5" s="4" t="n">
        <f aca="false">Assumptions!$B$38</f>
        <v>0.5</v>
      </c>
      <c r="E5" s="4" t="n">
        <f aca="false">DCF_Base!$B$43</f>
        <v>57.5261533239309</v>
      </c>
      <c r="F5" s="4" t="n">
        <f aca="false">DCF_Base!$B$47</f>
        <v>38.7336027654808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62.6665226241219</v>
      </c>
      <c r="C6" s="0" t="n">
        <f aca="false">B6/Assumptions!$B$2-1</f>
        <v>0.320407134937251</v>
      </c>
      <c r="D6" s="4" t="n">
        <f aca="false">Assumptions!$B$52</f>
        <v>0.2</v>
      </c>
      <c r="E6" s="4" t="n">
        <f aca="false">DCF_Bull!$B$43</f>
        <v>71.0774672839971</v>
      </c>
      <c r="F6" s="4" t="n">
        <f aca="false">DCF_Bull!$B$47</f>
        <v>45.0419403683894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48.6885270519338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55.9505671926933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0.0252323725181383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-16.9171063244132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37.6810144526982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53.9943254616954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50.3918162878354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46.9577104899297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44.2490427549651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38.7336027654808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56.3959605419687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56.3959605419687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56.3959605419687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56.3959605419687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56.3959605419687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52.2934479848536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53.4973158093715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53.9943254616954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53.9943254616954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53.9943254616954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48.565431705553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49.4215494784979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50.3918162878354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51.500692641364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51.8031134650536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45.6286117453698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46.2562417080786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46.9577104899297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47.7468628695122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48.6412355663723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43.2565405518366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43.7279790983227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44.2490427549651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44.8280023734568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45.4750748882415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2026-10-18T04:48:53Z</dcterms:created>
  <dc:creator>openpyxl</dc:creator>
  <dc:description/>
  <dc:language>en-NZ</dc:language>
  <cp:lastModifiedBy/>
  <dcterms:modified xsi:type="dcterms:W3CDTF">2026-10-18T04:48:53Z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