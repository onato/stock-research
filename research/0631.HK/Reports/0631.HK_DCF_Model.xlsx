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<sst xmlns="http://schemas.openxmlformats.org/spreadsheetml/2006/main" count="357" uniqueCount="166">
  <si>
    <t xml:space="preserve">Ticker</t>
  </si>
  <si>
    <t xml:space="preserve">0631.HK</t>
  </si>
  <si>
    <t xml:space="preserve">Company</t>
  </si>
  <si>
    <t xml:space="preserve">Sany Heavy Equipment International Holdings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</si>
  <si>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</si>
  <si>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</si>
  <si>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</si>
  <si>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</si>
  <si>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(HKEX regular close, Friday;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</si>
  <si>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</si>
  <si>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</si>
  <si>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</si>
  <si>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</si>
  <si>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</si>
  <si>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</si>
  <si>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</si>
  <si>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</si>
  <si>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</si>
  <si>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</si>
  <si>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</si>
  <si>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</si>
  <si>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</si>
  <si>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2026-10-11T02:41:54Z</t>
  </si>
  <si>
    <t xml:space="preserve">Drivers file</t>
  </si>
  <si>
    <t xml:space="preserve">0631.HK_Drivers.json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</si>
  <si>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</si>
  <si>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</si>
  <si>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</si>
  <si>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Cyclical, working-capital-hungry Chinese capital-equipment maker valued on owner FCF, not earnings. Reported net income has been a poor guide to owner cash: FY2021-23 owner FCF was negative while NPAT was RMB1.3-1.9bn, because receivables, inventory and an emerging-industries capex programme absorbed the cash. The model therefore charges working capital on every RMB of growth, holds margins near today's compressed level in the base, and puts 30% weight on a cyclical downturn. All values computed in RMB and converted to HKD at the dated CNYHKD rate.
key_risks_to_valuation: Working-capital capture: each 5pp change in the WC capture rate on incremental revenue moves near-term owner FCF by ~RMB150-200m/yr at base growth; EBITDA margin: the base holds ~12.5%; the 24% gross-margin target, if real, is worth materially more, and continued mix dilution materially less; Customer-finance guarantees (RMB3.05bn) and 190-day receivables convert into credit losses in a mining/port downturn; Parent control: Sany Group holds the 479.8m convertible preference shares and the related-party leasing companies; minority holders depend on arm's-length dealing; FX: RMB/HKD moves translate one-for-one into the HKD per-share value</t>
  </si>
  <si>
    <t xml:space="preserve">Data sources</t>
  </si>
  <si>
    <t xml:space="preserve">price: Yahoo Finance chart API at inputs.price_as_of; 52-week range HKD 6.40-16.24
financials: 0631.HK_Metrics.csv and core_metrics (FY2017-FY2025, H1 2023-2026); FY2025 annual report income statement and cash-flow statement; H1 2026 interim report balance sheet, notes 9 (EPS), 13 (FVTPL), 15 (borrowings), 16 (share capital, CPS), 19 (financial guarantees)
qualitative: 0631.HK_Analysis.json (2026-10-11)</t>
  </si>
  <si>
    <t xml:space="preserve">Scenario narrative: bear</t>
  </si>
  <si>
    <t xml:space="preserve">H1 2026 is the top of a cycle: China coal capex contracts under capacity curbs and a weaker coal price, overseas growth stalls on tariffs/procurement restrictions against Chinese exporters, and battery/solar price wars force write-downs in the emerging-industries segment. Revenue grows ~9% in FY2026 on the locked-in first half, then falls 8% and 5%. Margin compresses to ~9% as fixed costs deleverage, customer defaults trigger the RMB3bn of leasing guarantees and receivable impairments rise. A shrinking top line releases some working capital, but leverage (gearing 67%) caps dividends and the business only recovers to a ~10.5% margin at low growth.</t>
  </si>
  <si>
    <t xml:space="preserve">Scenario narrative: base</t>
  </si>
  <si>
    <t xml:space="preserve">Mining trucks (H1 2026 +97.5%) and large port machinery (+62.6%) keep carrying growth, overseas sales pass half of revenue, and the domestic coal-machinery franchise erodes slowly rather than collapsing. Revenue reaches ~RMB28bn in FY2026 and compounds at mid-single digits thereafter -- roughly 60% of the way to management's RMB57.5bn 2028 target by FY2028. The mix shift that has cut the EBITDA margin from ~25% to ~13% since FY2019 stops but does not reverse: ~12.5% operating EBITDA, no move toward the 24% gross-margin target. Receivables stay near 190 days, so every RMB of growth still absorbs ~30 fen of working capital, and owner FCF converts only part of reported profit.</t>
  </si>
  <si>
    <t xml:space="preserve">Scenario narrative: bull</t>
  </si>
  <si>
    <t xml:space="preserve">The globalisation strategy works: overseas mining trucks and electric port equipment (APM Terminals 500+ tractor framework as the reference customer) scale with pricing power, lithium/energy storage grows into a profitable segment rather than a cash sink, and unmanned-mining solutions earn a software-like premium. Revenue compounds at 15-18% for two years (~RMB38bn by FY2028 -- still well short of the 57.5bn target) and the operating EBITDA margin recovers to ~14.5%, consistent with gross margin approaching the 24% goal. Receivable discipline seen in H1 2026 (190 vs 204 days) holds, so working-capital absorption falls to ~25% of incremental revenue.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</si>
  <si>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</si>
  <si>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</si>
  <si>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</si>
  <si>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</si>
  <si>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</si>
  <si>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</si>
  <si>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</si>
  <si>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</si>
  <si>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</si>
  <si>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</si>
  <si>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</si>
  <si>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</si>
  <si>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</si>
  <si>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</si>
  <si>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</si>
  <si>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</si>
  <si>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</si>
  <si>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</si>
  <si>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</si>
  <si>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</si>
  <si>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</si>
  <si>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</si>
  <si>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</si>
  <si>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</si>
  <si>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</si>
  <si>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</si>
  <si>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</si>
  <si>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</si>
  <si>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thousands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</si>
  <si>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</si>
  <si>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</si>
  <si>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</si>
  <si>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</si>
  <si>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</si>
  <si>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</si>
  <si>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</si>
  <si>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</si>
  <si>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</si>
  <si>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</si>
  <si>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</si>
  <si>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</si>
  <si>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</si>
  <si>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</si>
  <si>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</si>
  <si>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</si>
  <si>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</si>
  <si>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</si>
  <si>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</si>
  <si>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</si>
  <si>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</si>
  <si>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</si>
  <si>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</si>
  <si>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</si>
  <si>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</si>
  <si>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</si>
  <si>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</si>
  <si>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</si>
  <si>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</si>
  <si>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</si>
  <si>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</si>
  <si>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</si>
  <si>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</si>
  <si>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</si>
  <si>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</si>
  <si>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</si>
  <si>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</si>
  <si>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</si>
  <si>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</si>
  <si>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</si>
  <si>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</si>
  <si>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</si>
  <si>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</si>
  <si>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</si>
  <si>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</si>
  <si>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0631.HK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</si>
  <si>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</si>
  <si>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</si>
  <si>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</si>
  <si>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</si>
  <si>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</si>
  <si>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</si>
  <si>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</si>
  <si>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</si>
  <si>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</si>
  <si>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</si>
  <si>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</si>
  <si>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</si>
  <si>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</si>
  <si>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</si>
  <si>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</si>
  <si>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</si>
  <si>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</si>
  <si>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</si>
  <si>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</si>
  <si>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</si>
  <si>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</si>
  <si>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</si>
  <si>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</si>
  <si>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</si>
  <si>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</si>
  <si>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</si>
  <si>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</si>
  <si>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</si>
  <si>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</si>
  <si>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</si>
  <si>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0631.HK owner-FCF component DCF: base case (millions, CNY)</t>
  </si>
  <si>
    <t xml:space="preserve">0631.HK owner-FCF component DCF: bull case (millions, CNY)</t>
  </si>
  <si>
    <t xml:space="preserve">0631.HK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</si>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</sst>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8.005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2481365</v>
      </c>
      <c r="C2" s="0" t="n">
        <v>1743814</v>
      </c>
      <c r="D2" s="0" t="n">
        <v>737551</v>
      </c>
      <c r="E2" s="0" t="n">
        <v>29.7</v>
      </c>
      <c r="F2" s="0" t="n">
        <v>317208</v>
      </c>
      <c r="G2" s="0" t="n">
        <v>12.8</v>
      </c>
      <c r="H2" s="0" t="n">
        <v>566042</v>
      </c>
      <c r="I2" s="0" t="n">
        <v>229436</v>
      </c>
      <c r="J2" s="0" t="n">
        <v>9.2</v>
      </c>
      <c r="K2" s="0" t="n">
        <v>0.07</v>
      </c>
      <c r="L2" s="0" t="n">
        <v>607074</v>
      </c>
      <c r="M2" s="0" t="n">
        <v>251146</v>
      </c>
      <c r="N2" s="0" t="n">
        <v>355928</v>
      </c>
      <c r="O2" s="0" t="n">
        <v>6303713</v>
      </c>
      <c r="P2" s="0" t="n">
        <v>11199050</v>
      </c>
      <c r="Q2" s="0" t="n">
        <v>4836879</v>
      </c>
      <c r="R2" s="0" t="n">
        <v>429127</v>
      </c>
      <c r="S2" s="0" t="n">
        <v>814221</v>
      </c>
      <c r="T2" s="0" t="n">
        <v>3520806</v>
      </c>
      <c r="U2" s="0" t="n">
        <v>1097</v>
      </c>
      <c r="AA2" s="0" t="s">
        <v>65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4416944</v>
      </c>
      <c r="C3" s="0" t="n">
        <v>3119322</v>
      </c>
      <c r="D3" s="0" t="n">
        <v>1297622</v>
      </c>
      <c r="E3" s="0" t="n">
        <v>29.4</v>
      </c>
      <c r="F3" s="0" t="n">
        <v>744278</v>
      </c>
      <c r="G3" s="0" t="n">
        <v>16.9</v>
      </c>
      <c r="H3" s="0" t="n">
        <v>968566</v>
      </c>
      <c r="I3" s="0" t="n">
        <v>600209</v>
      </c>
      <c r="J3" s="0" t="n">
        <v>13.6</v>
      </c>
      <c r="K3" s="0" t="n">
        <v>0.17</v>
      </c>
      <c r="L3" s="0" t="n">
        <v>280442</v>
      </c>
      <c r="M3" s="0" t="n">
        <v>143706</v>
      </c>
      <c r="N3" s="0" t="n">
        <v>136736</v>
      </c>
      <c r="O3" s="0" t="n">
        <v>6430506</v>
      </c>
      <c r="P3" s="0" t="n">
        <v>12924694</v>
      </c>
      <c r="Q3" s="0" t="n">
        <v>6482627</v>
      </c>
      <c r="R3" s="0" t="n">
        <v>1399951</v>
      </c>
      <c r="S3" s="0" t="n">
        <v>1069906</v>
      </c>
      <c r="T3" s="0" t="n">
        <v>3584979</v>
      </c>
      <c r="U3" s="0" t="n">
        <v>25829</v>
      </c>
      <c r="AA3" s="0" t="s">
        <v>65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5656064</v>
      </c>
      <c r="C4" s="0" t="n">
        <v>3987034</v>
      </c>
      <c r="D4" s="0" t="n">
        <v>1669030</v>
      </c>
      <c r="E4" s="0" t="n">
        <v>29.5</v>
      </c>
      <c r="F4" s="0" t="n">
        <v>1155199</v>
      </c>
      <c r="G4" s="0" t="n">
        <v>20.4</v>
      </c>
      <c r="H4" s="0" t="n">
        <v>1404683</v>
      </c>
      <c r="I4" s="0" t="n">
        <v>919706</v>
      </c>
      <c r="J4" s="0" t="n">
        <v>16.3</v>
      </c>
      <c r="K4" s="0" t="n">
        <v>0.26</v>
      </c>
      <c r="L4" s="0" t="n">
        <v>801088</v>
      </c>
      <c r="M4" s="0" t="n">
        <v>269388</v>
      </c>
      <c r="N4" s="0" t="n">
        <v>531700</v>
      </c>
      <c r="O4" s="0" t="n">
        <v>7131803</v>
      </c>
      <c r="P4" s="0" t="n">
        <v>15546436</v>
      </c>
      <c r="Q4" s="0" t="n">
        <v>8400871</v>
      </c>
      <c r="R4" s="0" t="n">
        <v>3259526</v>
      </c>
      <c r="S4" s="0" t="n">
        <v>1103171</v>
      </c>
      <c r="T4" s="0" t="n">
        <v>3601813</v>
      </c>
      <c r="U4" s="0" t="n">
        <v>16559</v>
      </c>
      <c r="AA4" s="0" t="s">
        <v>65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7363859</v>
      </c>
      <c r="C5" s="0" t="n">
        <v>5403087</v>
      </c>
      <c r="D5" s="0" t="n">
        <v>1960772</v>
      </c>
      <c r="E5" s="0" t="n">
        <v>26.6</v>
      </c>
      <c r="F5" s="0" t="n">
        <v>1322560</v>
      </c>
      <c r="G5" s="0" t="n">
        <v>18</v>
      </c>
      <c r="H5" s="0" t="n">
        <v>1571605</v>
      </c>
      <c r="I5" s="0" t="n">
        <v>1045144</v>
      </c>
      <c r="J5" s="0" t="n">
        <v>14.2</v>
      </c>
      <c r="K5" s="0" t="n">
        <v>0.29</v>
      </c>
      <c r="L5" s="0" t="n">
        <v>1070376</v>
      </c>
      <c r="M5" s="0" t="n">
        <v>389286</v>
      </c>
      <c r="N5" s="0" t="n">
        <v>681090</v>
      </c>
      <c r="O5" s="0" t="n">
        <v>7838734</v>
      </c>
      <c r="P5" s="0" t="n">
        <v>17464161</v>
      </c>
      <c r="Q5" s="0" t="n">
        <v>9605260</v>
      </c>
      <c r="R5" s="0" t="n">
        <v>2637866</v>
      </c>
      <c r="S5" s="0" t="n">
        <v>941451</v>
      </c>
      <c r="T5" s="0" t="n">
        <v>3617978</v>
      </c>
      <c r="U5" s="0" t="n">
        <v>12173</v>
      </c>
      <c r="AA5" s="0" t="s">
        <v>65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10194616</v>
      </c>
      <c r="C6" s="0" t="n">
        <v>7804976</v>
      </c>
      <c r="D6" s="0" t="n">
        <v>2389640</v>
      </c>
      <c r="E6" s="0" t="n">
        <v>23.4</v>
      </c>
      <c r="F6" s="0" t="n">
        <v>1557717</v>
      </c>
      <c r="G6" s="0" t="n">
        <v>15.3</v>
      </c>
      <c r="H6" s="0" t="n">
        <v>1806572</v>
      </c>
      <c r="I6" s="0" t="n">
        <v>1259071</v>
      </c>
      <c r="J6" s="0" t="n">
        <v>12.4</v>
      </c>
      <c r="K6" s="0" t="n">
        <v>0.35</v>
      </c>
      <c r="L6" s="0" t="n">
        <v>922798</v>
      </c>
      <c r="M6" s="0" t="n">
        <v>939226</v>
      </c>
      <c r="N6" s="0" t="n">
        <v>-16428</v>
      </c>
      <c r="O6" s="0" t="n">
        <v>8701056</v>
      </c>
      <c r="P6" s="0" t="n">
        <v>20785122</v>
      </c>
      <c r="Q6" s="0" t="n">
        <v>12001974</v>
      </c>
      <c r="R6" s="0" t="n">
        <v>3454114</v>
      </c>
      <c r="S6" s="0" t="n">
        <v>1349332</v>
      </c>
      <c r="T6" s="0" t="n">
        <v>3637135</v>
      </c>
      <c r="U6" s="0" t="n">
        <v>26139</v>
      </c>
      <c r="AA6" s="0" t="s">
        <v>65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15536716</v>
      </c>
      <c r="C7" s="0" t="n">
        <v>11908372</v>
      </c>
      <c r="D7" s="0" t="n">
        <v>3628344</v>
      </c>
      <c r="E7" s="0" t="n">
        <v>23.4</v>
      </c>
      <c r="F7" s="0" t="n">
        <v>2052900</v>
      </c>
      <c r="G7" s="0" t="n">
        <v>13.2</v>
      </c>
      <c r="H7" s="0" t="n">
        <v>2345443</v>
      </c>
      <c r="I7" s="0" t="n">
        <v>1664911</v>
      </c>
      <c r="J7" s="0" t="n">
        <v>10.7</v>
      </c>
      <c r="K7" s="0" t="n">
        <v>0.46</v>
      </c>
      <c r="L7" s="0" t="n">
        <v>1084438</v>
      </c>
      <c r="M7" s="0" t="n">
        <v>1129242</v>
      </c>
      <c r="N7" s="0" t="n">
        <v>-44804</v>
      </c>
      <c r="O7" s="0" t="n">
        <v>10039979</v>
      </c>
      <c r="P7" s="0" t="n">
        <v>24953269</v>
      </c>
      <c r="Q7" s="0" t="n">
        <v>14849495</v>
      </c>
      <c r="R7" s="0" t="n">
        <v>3645393</v>
      </c>
      <c r="S7" s="0" t="n">
        <v>2689823</v>
      </c>
      <c r="T7" s="0" t="n">
        <v>3650084</v>
      </c>
      <c r="U7" s="0" t="n">
        <v>118238</v>
      </c>
      <c r="AA7" s="0" t="s">
        <v>65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20277944</v>
      </c>
      <c r="C8" s="0" t="n">
        <v>14830890</v>
      </c>
      <c r="D8" s="0" t="n">
        <v>5447054</v>
      </c>
      <c r="E8" s="0" t="n">
        <v>26.9</v>
      </c>
      <c r="F8" s="0" t="n">
        <v>2418861</v>
      </c>
      <c r="G8" s="0" t="n">
        <v>11.9</v>
      </c>
      <c r="H8" s="0" t="n">
        <v>2944176</v>
      </c>
      <c r="I8" s="0" t="n">
        <v>1928992</v>
      </c>
      <c r="J8" s="0" t="n">
        <v>9.5</v>
      </c>
      <c r="K8" s="0" t="n">
        <v>0.52</v>
      </c>
      <c r="L8" s="0" t="n">
        <v>2524032</v>
      </c>
      <c r="M8" s="0" t="n">
        <v>2363496</v>
      </c>
      <c r="N8" s="0" t="n">
        <v>160536</v>
      </c>
      <c r="O8" s="0" t="n">
        <v>11589459</v>
      </c>
      <c r="P8" s="0" t="n">
        <v>34963011</v>
      </c>
      <c r="Q8" s="0" t="n">
        <v>23424614</v>
      </c>
      <c r="R8" s="0" t="n">
        <v>7901377</v>
      </c>
      <c r="S8" s="0" t="n">
        <v>3241068</v>
      </c>
      <c r="U8" s="0" t="n">
        <v>103188</v>
      </c>
      <c r="AA8" s="0" t="s">
        <v>65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21909641</v>
      </c>
      <c r="C9" s="0" t="n">
        <v>16996278</v>
      </c>
      <c r="D9" s="0" t="n">
        <v>4913363</v>
      </c>
      <c r="E9" s="0" t="n">
        <v>22.4</v>
      </c>
      <c r="F9" s="0" t="n">
        <v>1649997</v>
      </c>
      <c r="G9" s="0" t="n">
        <v>7.5</v>
      </c>
      <c r="H9" s="0" t="n">
        <v>2452651</v>
      </c>
      <c r="I9" s="0" t="n">
        <v>1101608</v>
      </c>
      <c r="J9" s="0" t="n">
        <v>5</v>
      </c>
      <c r="K9" s="0" t="n">
        <v>0.3</v>
      </c>
      <c r="L9" s="0" t="n">
        <v>2152148</v>
      </c>
      <c r="M9" s="0" t="n">
        <v>919295</v>
      </c>
      <c r="N9" s="0" t="n">
        <v>1232853</v>
      </c>
      <c r="O9" s="0" t="n">
        <v>12221204</v>
      </c>
      <c r="P9" s="0" t="n">
        <v>40927728</v>
      </c>
      <c r="Q9" s="0" t="n">
        <v>28752468</v>
      </c>
      <c r="R9" s="0" t="n">
        <v>9934599</v>
      </c>
      <c r="S9" s="0" t="n">
        <v>5339500</v>
      </c>
      <c r="U9" s="0" t="n">
        <v>141286</v>
      </c>
      <c r="AA9" s="0" t="s">
        <v>65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24333593</v>
      </c>
      <c r="C10" s="0" t="n">
        <v>18909604</v>
      </c>
      <c r="D10" s="0" t="n">
        <v>5423989</v>
      </c>
      <c r="E10" s="0" t="n">
        <v>22.3</v>
      </c>
      <c r="F10" s="0" t="n">
        <v>2431408</v>
      </c>
      <c r="G10" s="0" t="n">
        <v>10</v>
      </c>
      <c r="H10" s="0" t="n">
        <v>3596340</v>
      </c>
      <c r="I10" s="0" t="n">
        <v>1778814</v>
      </c>
      <c r="J10" s="0" t="n">
        <v>7.3</v>
      </c>
      <c r="K10" s="0" t="n">
        <v>0.48</v>
      </c>
      <c r="L10" s="0" t="n">
        <v>2457148</v>
      </c>
      <c r="M10" s="0" t="n">
        <v>1275452</v>
      </c>
      <c r="N10" s="0" t="n">
        <v>1181696</v>
      </c>
      <c r="O10" s="0" t="n">
        <v>13192367</v>
      </c>
      <c r="P10" s="0" t="n">
        <v>44921214</v>
      </c>
      <c r="Q10" s="0" t="n">
        <v>31752155</v>
      </c>
      <c r="R10" s="0" t="n">
        <v>11060721</v>
      </c>
      <c r="S10" s="0" t="n">
        <v>6064167</v>
      </c>
      <c r="U10" s="0" t="n">
        <v>128901</v>
      </c>
      <c r="AA10" s="0" t="s">
        <v>65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8.005</v>
      </c>
    </row>
    <row r="3" customFormat="false" ht="15" hidden="false" customHeight="false" outlineLevel="0" collapsed="false">
      <c r="A3" s="0" t="s">
        <v>77</v>
      </c>
      <c r="B3" s="3" t="n">
        <v>3793</v>
      </c>
    </row>
    <row r="4" customFormat="false" ht="15" hidden="false" customHeight="false" outlineLevel="0" collapsed="false">
      <c r="A4" s="0" t="s">
        <v>78</v>
      </c>
      <c r="B4" s="3" t="n">
        <v>3039.8</v>
      </c>
    </row>
    <row r="5" customFormat="false" ht="15" hidden="false" customHeight="false" outlineLevel="0" collapsed="false">
      <c r="A5" s="0" t="s">
        <v>79</v>
      </c>
      <c r="B5" s="3" t="n">
        <v>155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24333.593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9</v>
      </c>
      <c r="D13" s="3" t="n">
        <v>-8</v>
      </c>
      <c r="E13" s="3" t="n">
        <v>-5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11</v>
      </c>
      <c r="D14" s="3" t="n">
        <v>9.5</v>
      </c>
      <c r="E14" s="3" t="n">
        <v>9</v>
      </c>
      <c r="F14" s="3" t="n">
        <v>9.5</v>
      </c>
      <c r="G14" s="3" t="n">
        <v>10</v>
      </c>
      <c r="H14" s="3" t="n">
        <v>10.5</v>
      </c>
      <c r="I14" s="3" t="n">
        <v>10.5</v>
      </c>
      <c r="J14" s="3" t="n">
        <v>10.5</v>
      </c>
      <c r="K14" s="3" t="n">
        <v>10.5</v>
      </c>
      <c r="L14" s="3" t="n">
        <v>10.5</v>
      </c>
    </row>
    <row r="15" customFormat="false" ht="15" hidden="false" customHeight="false" outlineLevel="0" collapsed="false">
      <c r="A15" s="0" t="s">
        <v>99</v>
      </c>
      <c r="C15" s="3" t="n">
        <v>0.45</v>
      </c>
      <c r="D15" s="3" t="n">
        <v>0.45</v>
      </c>
      <c r="E15" s="3" t="n">
        <v>0.45</v>
      </c>
      <c r="F15" s="3" t="n">
        <v>0.45</v>
      </c>
      <c r="G15" s="3" t="n">
        <v>0.45</v>
      </c>
      <c r="H15" s="3" t="n">
        <v>0.45</v>
      </c>
      <c r="I15" s="3" t="n">
        <v>0.45</v>
      </c>
      <c r="J15" s="3" t="n">
        <v>0.45</v>
      </c>
      <c r="K15" s="3" t="n">
        <v>0.45</v>
      </c>
      <c r="L15" s="3" t="n">
        <v>0.45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4.6</v>
      </c>
      <c r="D17" s="3" t="n">
        <v>5</v>
      </c>
      <c r="E17" s="3" t="n">
        <v>5.2</v>
      </c>
      <c r="F17" s="3" t="n">
        <v>5</v>
      </c>
      <c r="G17" s="3" t="n">
        <v>4.8</v>
      </c>
      <c r="H17" s="3" t="n">
        <v>4.6</v>
      </c>
      <c r="I17" s="3" t="n">
        <v>4.4</v>
      </c>
      <c r="J17" s="3" t="n">
        <v>4.2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102</v>
      </c>
      <c r="C18" s="3" t="n">
        <v>4</v>
      </c>
      <c r="D18" s="3" t="n">
        <v>3.5</v>
      </c>
      <c r="E18" s="3" t="n">
        <v>3.5</v>
      </c>
      <c r="F18" s="3" t="n">
        <v>3.8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103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-20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15</v>
      </c>
      <c r="D27" s="3" t="n">
        <v>10</v>
      </c>
      <c r="E27" s="3" t="n">
        <v>8</v>
      </c>
      <c r="F27" s="3" t="n">
        <v>6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12</v>
      </c>
      <c r="D28" s="3" t="n">
        <v>12.2</v>
      </c>
      <c r="E28" s="3" t="n">
        <v>12.4</v>
      </c>
      <c r="F28" s="3" t="n">
        <v>12.5</v>
      </c>
      <c r="G28" s="3" t="n">
        <v>12.5</v>
      </c>
      <c r="H28" s="3" t="n">
        <v>12.5</v>
      </c>
      <c r="I28" s="3" t="n">
        <v>12.5</v>
      </c>
      <c r="J28" s="3" t="n">
        <v>12.5</v>
      </c>
      <c r="K28" s="3" t="n">
        <v>12.5</v>
      </c>
      <c r="L28" s="3" t="n">
        <v>12.5</v>
      </c>
    </row>
    <row r="29" customFormat="false" ht="15" hidden="false" customHeight="false" outlineLevel="0" collapsed="false">
      <c r="A29" s="0" t="s">
        <v>99</v>
      </c>
      <c r="C29" s="3" t="n">
        <v>0.45</v>
      </c>
      <c r="D29" s="3" t="n">
        <v>0.45</v>
      </c>
      <c r="E29" s="3" t="n">
        <v>0.45</v>
      </c>
      <c r="F29" s="3" t="n">
        <v>0.45</v>
      </c>
      <c r="G29" s="3" t="n">
        <v>0.45</v>
      </c>
      <c r="H29" s="3" t="n">
        <v>0.45</v>
      </c>
      <c r="I29" s="3" t="n">
        <v>0.45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4.5</v>
      </c>
      <c r="D31" s="3" t="n">
        <v>4.4</v>
      </c>
      <c r="E31" s="3" t="n">
        <v>4.3</v>
      </c>
      <c r="F31" s="3" t="n">
        <v>4.2</v>
      </c>
      <c r="G31" s="3" t="n">
        <v>4.1</v>
      </c>
      <c r="H31" s="3" t="n">
        <v>4</v>
      </c>
      <c r="I31" s="3" t="n">
        <v>3.9</v>
      </c>
      <c r="J31" s="3" t="n">
        <v>3.8</v>
      </c>
      <c r="K31" s="3" t="n">
        <v>3.8</v>
      </c>
      <c r="L31" s="3" t="n">
        <v>3.8</v>
      </c>
    </row>
    <row r="32" customFormat="false" ht="15" hidden="false" customHeight="false" outlineLevel="0" collapsed="false">
      <c r="A32" s="0" t="s">
        <v>102</v>
      </c>
      <c r="C32" s="3" t="n">
        <v>3.5</v>
      </c>
      <c r="D32" s="3" t="n">
        <v>3.8</v>
      </c>
      <c r="E32" s="3" t="n">
        <v>4</v>
      </c>
      <c r="F32" s="3" t="n">
        <v>4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103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-30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18</v>
      </c>
      <c r="D41" s="3" t="n">
        <v>15</v>
      </c>
      <c r="E41" s="3" t="n">
        <v>12</v>
      </c>
      <c r="F41" s="3" t="n">
        <v>10</v>
      </c>
      <c r="G41" s="3" t="n">
        <v>8</v>
      </c>
      <c r="H41" s="3" t="n">
        <v>6</v>
      </c>
      <c r="I41" s="3" t="n">
        <v>5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12.5</v>
      </c>
      <c r="D42" s="3" t="n">
        <v>13</v>
      </c>
      <c r="E42" s="3" t="n">
        <v>13.5</v>
      </c>
      <c r="F42" s="3" t="n">
        <v>14</v>
      </c>
      <c r="G42" s="3" t="n">
        <v>14.3</v>
      </c>
      <c r="H42" s="3" t="n">
        <v>14.5</v>
      </c>
      <c r="I42" s="3" t="n">
        <v>14.5</v>
      </c>
      <c r="J42" s="3" t="n">
        <v>14.5</v>
      </c>
      <c r="K42" s="3" t="n">
        <v>14.5</v>
      </c>
      <c r="L42" s="3" t="n">
        <v>14.5</v>
      </c>
    </row>
    <row r="43" customFormat="false" ht="15" hidden="false" customHeight="false" outlineLevel="0" collapsed="false">
      <c r="A43" s="0" t="s">
        <v>99</v>
      </c>
      <c r="C43" s="3" t="n">
        <v>0.45</v>
      </c>
      <c r="D43" s="3" t="n">
        <v>0.45</v>
      </c>
      <c r="E43" s="3" t="n">
        <v>0.45</v>
      </c>
      <c r="F43" s="3" t="n">
        <v>0.45</v>
      </c>
      <c r="G43" s="3" t="n">
        <v>0.45</v>
      </c>
      <c r="H43" s="3" t="n">
        <v>0.45</v>
      </c>
      <c r="I43" s="3" t="n">
        <v>0.45</v>
      </c>
      <c r="J43" s="3" t="n">
        <v>0.45</v>
      </c>
      <c r="K43" s="3" t="n">
        <v>0.45</v>
      </c>
      <c r="L43" s="3" t="n">
        <v>0.45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4.5</v>
      </c>
      <c r="D45" s="3" t="n">
        <v>4.3</v>
      </c>
      <c r="E45" s="3" t="n">
        <v>4.1</v>
      </c>
      <c r="F45" s="3" t="n">
        <v>4</v>
      </c>
      <c r="G45" s="3" t="n">
        <v>3.9</v>
      </c>
      <c r="H45" s="3" t="n">
        <v>3.8</v>
      </c>
      <c r="I45" s="3" t="n">
        <v>3.8</v>
      </c>
      <c r="J45" s="3" t="n">
        <v>3.8</v>
      </c>
      <c r="K45" s="3" t="n">
        <v>3.8</v>
      </c>
      <c r="L45" s="3" t="n">
        <v>3.8</v>
      </c>
    </row>
    <row r="46" customFormat="false" ht="15" hidden="false" customHeight="false" outlineLevel="0" collapsed="false">
      <c r="A46" s="0" t="s">
        <v>102</v>
      </c>
      <c r="C46" s="3" t="n">
        <v>3.5</v>
      </c>
      <c r="D46" s="3" t="n">
        <v>4</v>
      </c>
      <c r="E46" s="3" t="n">
        <v>4.2</v>
      </c>
      <c r="F46" s="3" t="n">
        <v>4.2</v>
      </c>
      <c r="G46" s="3" t="n">
        <v>4.2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103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-25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9</v>
      </c>
      <c r="D5" s="4" t="n">
        <f aca="false">Assumptions!D13</f>
        <v>-8</v>
      </c>
      <c r="E5" s="4" t="n">
        <f aca="false">Assumptions!E13</f>
        <v>-5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24333.593</v>
      </c>
      <c r="C6" s="0" t="n">
        <f aca="false">B6*(1+C5/100)</f>
        <v>26523.61637</v>
      </c>
      <c r="D6" s="0" t="n">
        <f aca="false">C6*(1+D5/100)</f>
        <v>24401.7270604</v>
      </c>
      <c r="E6" s="0" t="n">
        <f aca="false">D6*(1+E5/100)</f>
        <v>23181.64070738</v>
      </c>
      <c r="F6" s="0" t="n">
        <f aca="false">E6*(1+F5/100)</f>
        <v>23645.2735215276</v>
      </c>
      <c r="G6" s="0" t="n">
        <f aca="false">F6*(1+G5/100)</f>
        <v>24354.6317271734</v>
      </c>
      <c r="H6" s="0" t="n">
        <f aca="false">G6*(1+H5/100)</f>
        <v>25085.2706789886</v>
      </c>
      <c r="I6" s="0" t="n">
        <f aca="false">H6*(1+I5/100)</f>
        <v>25837.8287993583</v>
      </c>
      <c r="J6" s="0" t="n">
        <f aca="false">I6*(1+J5/100)</f>
        <v>26483.7745193423</v>
      </c>
      <c r="K6" s="0" t="n">
        <f aca="false">J6*(1+K5/100)</f>
        <v>27013.4500097291</v>
      </c>
      <c r="L6" s="0" t="n">
        <f aca="false">K6*(1+L5/100)</f>
        <v>27553.7190099237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11</v>
      </c>
      <c r="D7" s="4" t="n">
        <f aca="false">Assumptions!D14</f>
        <v>9.5</v>
      </c>
      <c r="E7" s="4" t="n">
        <f aca="false">Assumptions!E14</f>
        <v>9</v>
      </c>
      <c r="F7" s="4" t="n">
        <f aca="false">Assumptions!F14</f>
        <v>9.5</v>
      </c>
      <c r="G7" s="4" t="n">
        <f aca="false">Assumptions!G14</f>
        <v>10</v>
      </c>
      <c r="H7" s="4" t="n">
        <f aca="false">Assumptions!H14</f>
        <v>10.5</v>
      </c>
      <c r="I7" s="4" t="n">
        <f aca="false">Assumptions!I14</f>
        <v>10.5</v>
      </c>
      <c r="J7" s="4" t="n">
        <f aca="false">Assumptions!J14</f>
        <v>10.5</v>
      </c>
      <c r="K7" s="4" t="n">
        <f aca="false">Assumptions!K14</f>
        <v>10.5</v>
      </c>
      <c r="L7" s="4" t="n">
        <f aca="false">Assumptions!L14</f>
        <v>10.5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2917.5978007</v>
      </c>
      <c r="D8" s="0" t="n">
        <f aca="false">D6*D7/100</f>
        <v>2318.164070738</v>
      </c>
      <c r="E8" s="0" t="n">
        <f aca="false">E6*E7/100</f>
        <v>2086.3476636642</v>
      </c>
      <c r="F8" s="0" t="n">
        <f aca="false">F6*F7/100</f>
        <v>2246.30098454512</v>
      </c>
      <c r="G8" s="0" t="n">
        <f aca="false">G6*G7/100</f>
        <v>2435.46317271734</v>
      </c>
      <c r="H8" s="0" t="n">
        <f aca="false">H6*H7/100</f>
        <v>2633.95342129381</v>
      </c>
      <c r="I8" s="0" t="n">
        <f aca="false">I6*I7/100</f>
        <v>2712.97202393262</v>
      </c>
      <c r="J8" s="0" t="n">
        <f aca="false">J6*J7/100</f>
        <v>2780.79632453094</v>
      </c>
      <c r="K8" s="0" t="n">
        <f aca="false">K6*K7/100</f>
        <v>2836.41225102156</v>
      </c>
      <c r="L8" s="0" t="n">
        <f aca="false">L6*L7/100</f>
        <v>2893.14049604199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0.45</v>
      </c>
      <c r="D9" s="4" t="n">
        <f aca="false">Assumptions!D15</f>
        <v>0.45</v>
      </c>
      <c r="E9" s="4" t="n">
        <f aca="false">Assumptions!E15</f>
        <v>0.45</v>
      </c>
      <c r="F9" s="4" t="n">
        <f aca="false">Assumptions!F15</f>
        <v>0.45</v>
      </c>
      <c r="G9" s="4" t="n">
        <f aca="false">Assumptions!G15</f>
        <v>0.45</v>
      </c>
      <c r="H9" s="4" t="n">
        <f aca="false">Assumptions!H15</f>
        <v>0.45</v>
      </c>
      <c r="I9" s="4" t="n">
        <f aca="false">Assumptions!I15</f>
        <v>0.45</v>
      </c>
      <c r="J9" s="4" t="n">
        <f aca="false">Assumptions!J15</f>
        <v>0.45</v>
      </c>
      <c r="K9" s="4" t="n">
        <f aca="false">Assumptions!K15</f>
        <v>0.45</v>
      </c>
      <c r="L9" s="4" t="n">
        <f aca="false">Assumptions!L15</f>
        <v>0.45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-119.356273665</v>
      </c>
      <c r="D10" s="0" t="n">
        <f aca="false">-D6*D9/100</f>
        <v>-109.8077717718</v>
      </c>
      <c r="E10" s="0" t="n">
        <f aca="false">-E6*E9/100</f>
        <v>-104.31738318321</v>
      </c>
      <c r="F10" s="0" t="n">
        <f aca="false">-F6*F9/100</f>
        <v>-106.403730846874</v>
      </c>
      <c r="G10" s="0" t="n">
        <f aca="false">-G6*G9/100</f>
        <v>-109.59584277228</v>
      </c>
      <c r="H10" s="0" t="n">
        <f aca="false">-H6*H9/100</f>
        <v>-112.883718055449</v>
      </c>
      <c r="I10" s="0" t="n">
        <f aca="false">-I6*I9/100</f>
        <v>-116.270229597112</v>
      </c>
      <c r="J10" s="0" t="n">
        <f aca="false">-J6*J9/100</f>
        <v>-119.17698533704</v>
      </c>
      <c r="K10" s="0" t="n">
        <f aca="false">-K6*K9/100</f>
        <v>-121.560525043781</v>
      </c>
      <c r="L10" s="0" t="n">
        <f aca="false">-L6*L9/100</f>
        <v>-123.991735544657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2798.241527035</v>
      </c>
      <c r="D11" s="0" t="n">
        <f aca="false">D8+D10+D24</f>
        <v>2208.3562989662</v>
      </c>
      <c r="E11" s="0" t="n">
        <f aca="false">E8+E10+E24</f>
        <v>1982.03028048099</v>
      </c>
      <c r="F11" s="0" t="n">
        <f aca="false">F8+F10+F24</f>
        <v>2139.89725369825</v>
      </c>
      <c r="G11" s="0" t="n">
        <f aca="false">G8+G10+G24</f>
        <v>2325.86732994506</v>
      </c>
      <c r="H11" s="0" t="n">
        <f aca="false">H8+H10+H24</f>
        <v>2521.06970323836</v>
      </c>
      <c r="I11" s="0" t="n">
        <f aca="false">I8+I10+I24</f>
        <v>2596.70179433551</v>
      </c>
      <c r="J11" s="0" t="n">
        <f aca="false">J8+J10+J24</f>
        <v>2661.6193391939</v>
      </c>
      <c r="K11" s="0" t="n">
        <f aca="false">K8+K10+K24</f>
        <v>2714.85172597777</v>
      </c>
      <c r="L11" s="0" t="n">
        <f aca="false">L8+L10+L24</f>
        <v>2769.14876049733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-1220.08635302</v>
      </c>
      <c r="D12" s="4" t="n">
        <f aca="false">-D6*Assumptions!D17/100</f>
        <v>-1220.08635302</v>
      </c>
      <c r="E12" s="4" t="n">
        <f aca="false">-E6*Assumptions!E17/100</f>
        <v>-1205.44531678376</v>
      </c>
      <c r="F12" s="4" t="n">
        <f aca="false">-F6*Assumptions!F17/100</f>
        <v>-1182.26367607638</v>
      </c>
      <c r="G12" s="4" t="n">
        <f aca="false">-G6*Assumptions!G17/100</f>
        <v>-1169.02232290433</v>
      </c>
      <c r="H12" s="4" t="n">
        <f aca="false">-H6*Assumptions!H17/100</f>
        <v>-1153.92245123348</v>
      </c>
      <c r="I12" s="4" t="n">
        <f aca="false">-I6*Assumptions!I17/100</f>
        <v>-1136.86446717177</v>
      </c>
      <c r="J12" s="4" t="n">
        <f aca="false">-J6*Assumptions!J17/100</f>
        <v>-1112.31852981237</v>
      </c>
      <c r="K12" s="4" t="n">
        <f aca="false">-K6*Assumptions!K17/100</f>
        <v>-1080.53800038916</v>
      </c>
      <c r="L12" s="4" t="n">
        <f aca="false">-L6*Assumptions!L17/100</f>
        <v>-1102.14876039695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1578.155174015</v>
      </c>
      <c r="D13" s="0" t="n">
        <f aca="false">D11+D12</f>
        <v>988.2699459462</v>
      </c>
      <c r="E13" s="0" t="n">
        <f aca="false">E11+E12</f>
        <v>776.58496369723</v>
      </c>
      <c r="F13" s="0" t="n">
        <f aca="false">F11+F12</f>
        <v>957.633577621868</v>
      </c>
      <c r="G13" s="0" t="n">
        <f aca="false">G11+G12</f>
        <v>1156.84500704074</v>
      </c>
      <c r="H13" s="0" t="n">
        <f aca="false">H11+H12</f>
        <v>1367.14725200488</v>
      </c>
      <c r="I13" s="0" t="n">
        <f aca="false">I11+I12</f>
        <v>1459.83732716374</v>
      </c>
      <c r="J13" s="0" t="n">
        <f aca="false">J11+J12</f>
        <v>1549.30080938152</v>
      </c>
      <c r="K13" s="0" t="n">
        <f aca="false">K11+K12</f>
        <v>1634.31372558861</v>
      </c>
      <c r="L13" s="0" t="n">
        <f aca="false">L11+L12</f>
        <v>1667.00000010038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1199.3979322514</v>
      </c>
      <c r="D15" s="0" t="n">
        <f aca="false">D13-MAX(0,D13)*D14/100</f>
        <v>751.085158919112</v>
      </c>
      <c r="E15" s="0" t="n">
        <f aca="false">E13-MAX(0,E13)*E14/100</f>
        <v>590.204572409895</v>
      </c>
      <c r="F15" s="0" t="n">
        <f aca="false">F13-MAX(0,F13)*F14/100</f>
        <v>727.80151899262</v>
      </c>
      <c r="G15" s="0" t="n">
        <f aca="false">G13-MAX(0,G13)*G14/100</f>
        <v>879.202205350961</v>
      </c>
      <c r="H15" s="0" t="n">
        <f aca="false">H13-MAX(0,H13)*H14/100</f>
        <v>1039.03191152371</v>
      </c>
      <c r="I15" s="0" t="n">
        <f aca="false">I13-MAX(0,I13)*I14/100</f>
        <v>1109.47636864445</v>
      </c>
      <c r="J15" s="0" t="n">
        <f aca="false">J13-MAX(0,J13)*J14/100</f>
        <v>1177.46861512996</v>
      </c>
      <c r="K15" s="0" t="n">
        <f aca="false">K13-MAX(0,K13)*K14/100</f>
        <v>1242.07843144734</v>
      </c>
      <c r="L15" s="0" t="n">
        <f aca="false">L13-MAX(0,L13)*L14/100</f>
        <v>1266.92000007629</v>
      </c>
    </row>
    <row r="16" customFormat="false" ht="15" hidden="false" customHeight="false" outlineLevel="0" collapsed="false">
      <c r="A16" s="0" t="s">
        <v>119</v>
      </c>
      <c r="C16" s="0" t="n">
        <f aca="false">-C12</f>
        <v>1220.08635302</v>
      </c>
      <c r="D16" s="0" t="n">
        <f aca="false">-D12</f>
        <v>1220.08635302</v>
      </c>
      <c r="E16" s="0" t="n">
        <f aca="false">-E12</f>
        <v>1205.44531678376</v>
      </c>
      <c r="F16" s="0" t="n">
        <f aca="false">-F12</f>
        <v>1182.26367607638</v>
      </c>
      <c r="G16" s="0" t="n">
        <f aca="false">-G12</f>
        <v>1169.02232290433</v>
      </c>
      <c r="H16" s="0" t="n">
        <f aca="false">-H12</f>
        <v>1153.92245123348</v>
      </c>
      <c r="I16" s="0" t="n">
        <f aca="false">-I12</f>
        <v>1136.86446717177</v>
      </c>
      <c r="J16" s="0" t="n">
        <f aca="false">-J12</f>
        <v>1112.31852981237</v>
      </c>
      <c r="K16" s="0" t="n">
        <f aca="false">-K12</f>
        <v>1080.53800038916</v>
      </c>
      <c r="L16" s="0" t="n">
        <f aca="false">-L12</f>
        <v>1102.14876039695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-1060.9446548</v>
      </c>
      <c r="D17" s="4" t="n">
        <f aca="false">-D6*Assumptions!D18/100</f>
        <v>-854.060447114</v>
      </c>
      <c r="E17" s="4" t="n">
        <f aca="false">-E6*Assumptions!E18/100</f>
        <v>-811.3574247583</v>
      </c>
      <c r="F17" s="4" t="n">
        <f aca="false">-F6*Assumptions!F18/100</f>
        <v>-898.520393818049</v>
      </c>
      <c r="G17" s="4" t="n">
        <f aca="false">-G6*Assumptions!G18/100</f>
        <v>-974.185269086937</v>
      </c>
      <c r="H17" s="4" t="n">
        <f aca="false">-H6*Assumptions!H18/100</f>
        <v>-1003.41082715955</v>
      </c>
      <c r="I17" s="4" t="n">
        <f aca="false">-I6*Assumptions!I18/100</f>
        <v>-1033.51315197433</v>
      </c>
      <c r="J17" s="4" t="n">
        <f aca="false">-J6*Assumptions!J18/100</f>
        <v>-1059.35098077369</v>
      </c>
      <c r="K17" s="4" t="n">
        <f aca="false">-K6*Assumptions!K18/100</f>
        <v>-1080.53800038916</v>
      </c>
      <c r="L17" s="4" t="n">
        <f aca="false">-L6*Assumptions!L18/100</f>
        <v>-1102.14876039695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-438.004674000001</v>
      </c>
      <c r="D18" s="4" t="n">
        <f aca="false">(D6-C6)*Assumptions!$B$23/100</f>
        <v>424.37786192</v>
      </c>
      <c r="E18" s="4" t="n">
        <f aca="false">(E6-D6)*Assumptions!$B$23/100</f>
        <v>244.017270604</v>
      </c>
      <c r="F18" s="4" t="n">
        <f aca="false">(F6-E6)*Assumptions!$B$23/100</f>
        <v>-92.7265628295201</v>
      </c>
      <c r="G18" s="4" t="n">
        <f aca="false">(G6-F6)*Assumptions!$B$23/100</f>
        <v>-141.871641129166</v>
      </c>
      <c r="H18" s="4" t="n">
        <f aca="false">(H6-G6)*Assumptions!$B$23/100</f>
        <v>-146.127790363041</v>
      </c>
      <c r="I18" s="4" t="n">
        <f aca="false">(I6-H6)*Assumptions!$B$23/100</f>
        <v>-150.511624073932</v>
      </c>
      <c r="J18" s="4" t="n">
        <f aca="false">(J6-I6)*Assumptions!$B$23/100</f>
        <v>-129.189143996791</v>
      </c>
      <c r="K18" s="4" t="n">
        <f aca="false">(K6-J6)*Assumptions!$B$23/100</f>
        <v>-105.935098077369</v>
      </c>
      <c r="L18" s="4" t="n">
        <f aca="false">(L6-K6)*Assumptions!$B$23/100</f>
        <v>-108.053800038916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920.5349564714</v>
      </c>
      <c r="D19" s="0" t="n">
        <f aca="false">D15+D16+D17+D18</f>
        <v>1541.48892674511</v>
      </c>
      <c r="E19" s="0" t="n">
        <f aca="false">E15+E16+E17+E18</f>
        <v>1228.30973503936</v>
      </c>
      <c r="F19" s="0" t="n">
        <f aca="false">F15+F16+F17+F18</f>
        <v>918.818238421431</v>
      </c>
      <c r="G19" s="0" t="n">
        <f aca="false">G15+G16+G17+G18</f>
        <v>932.167618039183</v>
      </c>
      <c r="H19" s="0" t="n">
        <f aca="false">H15+H16+H17+H18</f>
        <v>1043.4157452346</v>
      </c>
      <c r="I19" s="0" t="n">
        <f aca="false">I15+I16+I17+I18</f>
        <v>1062.31605976795</v>
      </c>
      <c r="J19" s="0" t="n">
        <f aca="false">J15+J16+J17+J18</f>
        <v>1101.24702017185</v>
      </c>
      <c r="K19" s="0" t="n">
        <f aca="false">K15+K16+K17+K18</f>
        <v>1136.14333336997</v>
      </c>
      <c r="L19" s="0" t="n">
        <f aca="false">L15+L16+L17+L18</f>
        <v>1158.86620003738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840.671193124566</v>
      </c>
      <c r="D21" s="0" t="n">
        <f aca="false">D19*D20</f>
        <v>1285.61867079094</v>
      </c>
      <c r="E21" s="0" t="n">
        <f aca="false">E19*E20</f>
        <v>935.546840361336</v>
      </c>
      <c r="F21" s="0" t="n">
        <f aca="false">F19*F20</f>
        <v>639.106347029868</v>
      </c>
      <c r="G21" s="0" t="n">
        <f aca="false">G19*G20</f>
        <v>592.138659658384</v>
      </c>
      <c r="H21" s="0" t="n">
        <f aca="false">H19*H20</f>
        <v>605.302783345853</v>
      </c>
      <c r="I21" s="0" t="n">
        <f aca="false">I19*I20</f>
        <v>562.801067899184</v>
      </c>
      <c r="J21" s="0" t="n">
        <f aca="false">J19*J20</f>
        <v>532.809295316807</v>
      </c>
      <c r="K21" s="0" t="n">
        <f aca="false">K19*K20</f>
        <v>502.002698736728</v>
      </c>
      <c r="L21" s="0" t="n">
        <f aca="false">L19*L20</f>
        <v>467.618952247912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6963.61650851158</v>
      </c>
    </row>
    <row r="31" customFormat="false" ht="15" hidden="false" customHeight="false" outlineLevel="0" collapsed="false">
      <c r="A31" s="0" t="s">
        <v>128</v>
      </c>
      <c r="B31" s="0" t="n">
        <f aca="false">L19</f>
        <v>1158.86620003738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14703.1149129742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13906.3944004485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13906.3944004485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5611.42742697494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12575.0439354865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9690.24393548652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2.99444632659735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-0.625928004172723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712.154293196914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634.786383695939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3.41067336782754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8712.95698546619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1.49912076988844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15</v>
      </c>
      <c r="D5" s="4" t="n">
        <f aca="false">Assumptions!D27</f>
        <v>10</v>
      </c>
      <c r="E5" s="4" t="n">
        <f aca="false">Assumptions!E27</f>
        <v>8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24333.593</v>
      </c>
      <c r="C6" s="0" t="n">
        <f aca="false">B6*(1+C5/100)</f>
        <v>27983.63195</v>
      </c>
      <c r="D6" s="0" t="n">
        <f aca="false">C6*(1+D5/100)</f>
        <v>30781.995145</v>
      </c>
      <c r="E6" s="0" t="n">
        <f aca="false">D6*(1+E5/100)</f>
        <v>33244.5547566</v>
      </c>
      <c r="F6" s="0" t="n">
        <f aca="false">E6*(1+F5/100)</f>
        <v>35239.228041996</v>
      </c>
      <c r="G6" s="0" t="n">
        <f aca="false">F6*(1+G5/100)</f>
        <v>37001.1894440958</v>
      </c>
      <c r="H6" s="0" t="n">
        <f aca="false">G6*(1+H5/100)</f>
        <v>38481.2370218596</v>
      </c>
      <c r="I6" s="0" t="n">
        <f aca="false">H6*(1+I5/100)</f>
        <v>39828.0803176247</v>
      </c>
      <c r="J6" s="0" t="n">
        <f aca="false">I6*(1+J5/100)</f>
        <v>41022.9227271535</v>
      </c>
      <c r="K6" s="0" t="n">
        <f aca="false">J6*(1+K5/100)</f>
        <v>42048.4957953323</v>
      </c>
      <c r="L6" s="0" t="n">
        <f aca="false">K6*(1+L5/100)</f>
        <v>43099.7081902156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12</v>
      </c>
      <c r="D7" s="4" t="n">
        <f aca="false">Assumptions!D28</f>
        <v>12.2</v>
      </c>
      <c r="E7" s="4" t="n">
        <f aca="false">Assumptions!E28</f>
        <v>12.4</v>
      </c>
      <c r="F7" s="4" t="n">
        <f aca="false">Assumptions!F28</f>
        <v>12.5</v>
      </c>
      <c r="G7" s="4" t="n">
        <f aca="false">Assumptions!G28</f>
        <v>12.5</v>
      </c>
      <c r="H7" s="4" t="n">
        <f aca="false">Assumptions!H28</f>
        <v>12.5</v>
      </c>
      <c r="I7" s="4" t="n">
        <f aca="false">Assumptions!I28</f>
        <v>12.5</v>
      </c>
      <c r="J7" s="4" t="n">
        <f aca="false">Assumptions!J28</f>
        <v>12.5</v>
      </c>
      <c r="K7" s="4" t="n">
        <f aca="false">Assumptions!K28</f>
        <v>12.5</v>
      </c>
      <c r="L7" s="4" t="n">
        <f aca="false">Assumptions!L28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3358.035834</v>
      </c>
      <c r="D8" s="0" t="n">
        <f aca="false">D6*D7/100</f>
        <v>3755.40340769</v>
      </c>
      <c r="E8" s="0" t="n">
        <f aca="false">E6*E7/100</f>
        <v>4122.3247898184</v>
      </c>
      <c r="F8" s="0" t="n">
        <f aca="false">F6*F7/100</f>
        <v>4404.9035052495</v>
      </c>
      <c r="G8" s="0" t="n">
        <f aca="false">G6*G7/100</f>
        <v>4625.14868051198</v>
      </c>
      <c r="H8" s="0" t="n">
        <f aca="false">H6*H7/100</f>
        <v>4810.15462773246</v>
      </c>
      <c r="I8" s="0" t="n">
        <f aca="false">I6*I7/100</f>
        <v>4978.51003970309</v>
      </c>
      <c r="J8" s="0" t="n">
        <f aca="false">J6*J7/100</f>
        <v>5127.86534089418</v>
      </c>
      <c r="K8" s="0" t="n">
        <f aca="false">K6*K7/100</f>
        <v>5256.06197441654</v>
      </c>
      <c r="L8" s="0" t="n">
        <f aca="false">L6*L7/100</f>
        <v>5387.46352377695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0.45</v>
      </c>
      <c r="D9" s="4" t="n">
        <f aca="false">Assumptions!D29</f>
        <v>0.45</v>
      </c>
      <c r="E9" s="4" t="n">
        <f aca="false">Assumptions!E29</f>
        <v>0.45</v>
      </c>
      <c r="F9" s="4" t="n">
        <f aca="false">Assumptions!F29</f>
        <v>0.45</v>
      </c>
      <c r="G9" s="4" t="n">
        <f aca="false">Assumptions!G29</f>
        <v>0.45</v>
      </c>
      <c r="H9" s="4" t="n">
        <f aca="false">Assumptions!H29</f>
        <v>0.45</v>
      </c>
      <c r="I9" s="4" t="n">
        <f aca="false">Assumptions!I29</f>
        <v>0.45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-125.926343775</v>
      </c>
      <c r="D10" s="0" t="n">
        <f aca="false">-D6*D9/100</f>
        <v>-138.5189781525</v>
      </c>
      <c r="E10" s="0" t="n">
        <f aca="false">-E6*E9/100</f>
        <v>-149.6004964047</v>
      </c>
      <c r="F10" s="0" t="n">
        <f aca="false">-F6*F9/100</f>
        <v>-158.576526188982</v>
      </c>
      <c r="G10" s="0" t="n">
        <f aca="false">-G6*G9/100</f>
        <v>-166.505352498431</v>
      </c>
      <c r="H10" s="0" t="n">
        <f aca="false">-H6*H9/100</f>
        <v>-173.165566598368</v>
      </c>
      <c r="I10" s="0" t="n">
        <f aca="false">-I6*I9/100</f>
        <v>-179.226361429311</v>
      </c>
      <c r="J10" s="0" t="n">
        <f aca="false">-J6*J9/100</f>
        <v>-184.603152272191</v>
      </c>
      <c r="K10" s="0" t="n">
        <f aca="false">-K6*K9/100</f>
        <v>-189.218231078995</v>
      </c>
      <c r="L10" s="0" t="n">
        <f aca="false">-L6*L9/100</f>
        <v>-193.94868685597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3232.109490225</v>
      </c>
      <c r="D11" s="0" t="n">
        <f aca="false">D8+D10+D24</f>
        <v>3616.8844295375</v>
      </c>
      <c r="E11" s="0" t="n">
        <f aca="false">E8+E10+E24</f>
        <v>3972.7242934137</v>
      </c>
      <c r="F11" s="0" t="n">
        <f aca="false">F8+F10+F24</f>
        <v>4246.32697906052</v>
      </c>
      <c r="G11" s="0" t="n">
        <f aca="false">G8+G10+G24</f>
        <v>4458.64332801354</v>
      </c>
      <c r="H11" s="0" t="n">
        <f aca="false">H8+H10+H24</f>
        <v>4636.98906113409</v>
      </c>
      <c r="I11" s="0" t="n">
        <f aca="false">I8+I10+I24</f>
        <v>4799.28367827378</v>
      </c>
      <c r="J11" s="0" t="n">
        <f aca="false">J8+J10+J24</f>
        <v>4943.26218862199</v>
      </c>
      <c r="K11" s="0" t="n">
        <f aca="false">K8+K10+K24</f>
        <v>5066.84374333754</v>
      </c>
      <c r="L11" s="0" t="n">
        <f aca="false">L8+L10+L24</f>
        <v>5193.51483692098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-1259.26343775</v>
      </c>
      <c r="D12" s="4" t="n">
        <f aca="false">-D6*Assumptions!D31/100</f>
        <v>-1354.40778638</v>
      </c>
      <c r="E12" s="4" t="n">
        <f aca="false">-E6*Assumptions!E31/100</f>
        <v>-1429.5158545338</v>
      </c>
      <c r="F12" s="4" t="n">
        <f aca="false">-F6*Assumptions!F31/100</f>
        <v>-1480.04757776383</v>
      </c>
      <c r="G12" s="4" t="n">
        <f aca="false">-G6*Assumptions!G31/100</f>
        <v>-1517.04876720793</v>
      </c>
      <c r="H12" s="4" t="n">
        <f aca="false">-H6*Assumptions!H31/100</f>
        <v>-1539.24948087439</v>
      </c>
      <c r="I12" s="4" t="n">
        <f aca="false">-I6*Assumptions!I31/100</f>
        <v>-1553.29513238736</v>
      </c>
      <c r="J12" s="4" t="n">
        <f aca="false">-J6*Assumptions!J31/100</f>
        <v>-1558.87106363183</v>
      </c>
      <c r="K12" s="4" t="n">
        <f aca="false">-K6*Assumptions!K31/100</f>
        <v>-1597.84284022263</v>
      </c>
      <c r="L12" s="4" t="n">
        <f aca="false">-L6*Assumptions!L31/100</f>
        <v>-1637.78891122819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1972.846052475</v>
      </c>
      <c r="D13" s="0" t="n">
        <f aca="false">D11+D12</f>
        <v>2262.4766431575</v>
      </c>
      <c r="E13" s="0" t="n">
        <f aca="false">E11+E12</f>
        <v>2543.2084388799</v>
      </c>
      <c r="F13" s="0" t="n">
        <f aca="false">F11+F12</f>
        <v>2766.27940129669</v>
      </c>
      <c r="G13" s="0" t="n">
        <f aca="false">G11+G12</f>
        <v>2941.59456080562</v>
      </c>
      <c r="H13" s="0" t="n">
        <f aca="false">H11+H12</f>
        <v>3097.7395802597</v>
      </c>
      <c r="I13" s="0" t="n">
        <f aca="false">I11+I12</f>
        <v>3245.98854588642</v>
      </c>
      <c r="J13" s="0" t="n">
        <f aca="false">J11+J12</f>
        <v>3384.39112499016</v>
      </c>
      <c r="K13" s="0" t="n">
        <f aca="false">K11+K12</f>
        <v>3469.00090311491</v>
      </c>
      <c r="L13" s="0" t="n">
        <f aca="false">L11+L12</f>
        <v>3555.72592569279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1538.8199209305</v>
      </c>
      <c r="D15" s="0" t="n">
        <f aca="false">D13-MAX(0,D13)*D14/100</f>
        <v>1764.73178166285</v>
      </c>
      <c r="E15" s="0" t="n">
        <f aca="false">E13-MAX(0,E13)*E14/100</f>
        <v>1983.70258232632</v>
      </c>
      <c r="F15" s="0" t="n">
        <f aca="false">F13-MAX(0,F13)*F14/100</f>
        <v>2157.69793301142</v>
      </c>
      <c r="G15" s="0" t="n">
        <f aca="false">G13-MAX(0,G13)*G14/100</f>
        <v>2294.44375742838</v>
      </c>
      <c r="H15" s="0" t="n">
        <f aca="false">H13-MAX(0,H13)*H14/100</f>
        <v>2416.23687260257</v>
      </c>
      <c r="I15" s="0" t="n">
        <f aca="false">I13-MAX(0,I13)*I14/100</f>
        <v>2531.8710657914</v>
      </c>
      <c r="J15" s="0" t="n">
        <f aca="false">J13-MAX(0,J13)*J14/100</f>
        <v>2639.82507749233</v>
      </c>
      <c r="K15" s="0" t="n">
        <f aca="false">K13-MAX(0,K13)*K14/100</f>
        <v>2705.82070442963</v>
      </c>
      <c r="L15" s="0" t="n">
        <f aca="false">L13-MAX(0,L13)*L14/100</f>
        <v>2773.46622204037</v>
      </c>
    </row>
    <row r="16" customFormat="false" ht="15" hidden="false" customHeight="false" outlineLevel="0" collapsed="false">
      <c r="A16" s="0" t="s">
        <v>119</v>
      </c>
      <c r="C16" s="0" t="n">
        <f aca="false">-C12</f>
        <v>1259.26343775</v>
      </c>
      <c r="D16" s="0" t="n">
        <f aca="false">-D12</f>
        <v>1354.40778638</v>
      </c>
      <c r="E16" s="0" t="n">
        <f aca="false">-E12</f>
        <v>1429.5158545338</v>
      </c>
      <c r="F16" s="0" t="n">
        <f aca="false">-F12</f>
        <v>1480.04757776383</v>
      </c>
      <c r="G16" s="0" t="n">
        <f aca="false">-G12</f>
        <v>1517.04876720793</v>
      </c>
      <c r="H16" s="0" t="n">
        <f aca="false">-H12</f>
        <v>1539.24948087439</v>
      </c>
      <c r="I16" s="0" t="n">
        <f aca="false">-I12</f>
        <v>1553.29513238736</v>
      </c>
      <c r="J16" s="0" t="n">
        <f aca="false">-J12</f>
        <v>1558.87106363183</v>
      </c>
      <c r="K16" s="0" t="n">
        <f aca="false">-K12</f>
        <v>1597.84284022263</v>
      </c>
      <c r="L16" s="0" t="n">
        <f aca="false">-L12</f>
        <v>1637.78891122819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-979.42711825</v>
      </c>
      <c r="D17" s="4" t="n">
        <f aca="false">-D6*Assumptions!D32/100</f>
        <v>-1169.71581551</v>
      </c>
      <c r="E17" s="4" t="n">
        <f aca="false">-E6*Assumptions!E32/100</f>
        <v>-1329.782190264</v>
      </c>
      <c r="F17" s="4" t="n">
        <f aca="false">-F6*Assumptions!F32/100</f>
        <v>-1409.56912167984</v>
      </c>
      <c r="G17" s="4" t="n">
        <f aca="false">-G6*Assumptions!G32/100</f>
        <v>-1480.04757776383</v>
      </c>
      <c r="H17" s="4" t="n">
        <f aca="false">-H6*Assumptions!H32/100</f>
        <v>-1539.24948087439</v>
      </c>
      <c r="I17" s="4" t="n">
        <f aca="false">-I6*Assumptions!I32/100</f>
        <v>-1593.12321270499</v>
      </c>
      <c r="J17" s="4" t="n">
        <f aca="false">-J6*Assumptions!J32/100</f>
        <v>-1640.91690908614</v>
      </c>
      <c r="K17" s="4" t="n">
        <f aca="false">-K6*Assumptions!K32/100</f>
        <v>-1681.93983181329</v>
      </c>
      <c r="L17" s="4" t="n">
        <f aca="false">-L6*Assumptions!L32/100</f>
        <v>-1723.98832760862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-1095.011685</v>
      </c>
      <c r="D18" s="4" t="n">
        <f aca="false">(D6-C6)*Assumptions!$B$37/100</f>
        <v>-839.508958500001</v>
      </c>
      <c r="E18" s="4" t="n">
        <f aca="false">(E6-D6)*Assumptions!$B$37/100</f>
        <v>-738.767883480001</v>
      </c>
      <c r="F18" s="4" t="n">
        <f aca="false">(F6-E6)*Assumptions!$B$37/100</f>
        <v>-598.4019856188</v>
      </c>
      <c r="G18" s="4" t="n">
        <f aca="false">(G6-F6)*Assumptions!$B$37/100</f>
        <v>-528.588420629942</v>
      </c>
      <c r="H18" s="4" t="n">
        <f aca="false">(H6-G6)*Assumptions!$B$37/100</f>
        <v>-444.01427332915</v>
      </c>
      <c r="I18" s="4" t="n">
        <f aca="false">(I6-H6)*Assumptions!$B$37/100</f>
        <v>-404.052988729526</v>
      </c>
      <c r="J18" s="4" t="n">
        <f aca="false">(J6-I6)*Assumptions!$B$37/100</f>
        <v>-358.452722858622</v>
      </c>
      <c r="K18" s="4" t="n">
        <f aca="false">(K6-J6)*Assumptions!$B$37/100</f>
        <v>-307.67192045365</v>
      </c>
      <c r="L18" s="4" t="n">
        <f aca="false">(L6-K6)*Assumptions!$B$37/100</f>
        <v>-315.363718464991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723.644555430501</v>
      </c>
      <c r="D19" s="0" t="n">
        <f aca="false">D15+D16+D17+D18</f>
        <v>1109.91479403285</v>
      </c>
      <c r="E19" s="0" t="n">
        <f aca="false">E15+E16+E17+E18</f>
        <v>1344.66836311612</v>
      </c>
      <c r="F19" s="0" t="n">
        <f aca="false">F15+F16+F17+F18</f>
        <v>1629.77440347661</v>
      </c>
      <c r="G19" s="0" t="n">
        <f aca="false">G15+G16+G17+G18</f>
        <v>1802.85652624254</v>
      </c>
      <c r="H19" s="0" t="n">
        <f aca="false">H15+H16+H17+H18</f>
        <v>1972.22259927342</v>
      </c>
      <c r="I19" s="0" t="n">
        <f aca="false">I15+I16+I17+I18</f>
        <v>2087.98999674425</v>
      </c>
      <c r="J19" s="0" t="n">
        <f aca="false">J15+J16+J17+J18</f>
        <v>2199.3265091794</v>
      </c>
      <c r="K19" s="0" t="n">
        <f aca="false">K15+K16+K17+K18</f>
        <v>2314.05179238532</v>
      </c>
      <c r="L19" s="0" t="n">
        <f aca="false">L15+L16+L17+L18</f>
        <v>2371.90308719495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660.862607699087</v>
      </c>
      <c r="D21" s="0" t="n">
        <f aca="false">D19*D20</f>
        <v>925.681110930006</v>
      </c>
      <c r="E21" s="0" t="n">
        <f aca="false">E19*E20</f>
        <v>1024.17183757551</v>
      </c>
      <c r="F21" s="0" t="n">
        <f aca="false">F19*F20</f>
        <v>1133.62917923596</v>
      </c>
      <c r="G21" s="0" t="n">
        <f aca="false">G19*G20</f>
        <v>1145.22434200321</v>
      </c>
      <c r="H21" s="0" t="n">
        <f aca="false">H19*H20</f>
        <v>1144.11904762792</v>
      </c>
      <c r="I21" s="0" t="n">
        <f aca="false">I19*I20</f>
        <v>1106.18962137048</v>
      </c>
      <c r="J21" s="0" t="n">
        <f aca="false">J19*J20</f>
        <v>1064.0860643097</v>
      </c>
      <c r="K21" s="0" t="n">
        <f aca="false">K19*K20</f>
        <v>1022.45923614966</v>
      </c>
      <c r="L21" s="0" t="n">
        <f aca="false">L19*L20</f>
        <v>957.096545254249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10183.5195921558</v>
      </c>
    </row>
    <row r="31" customFormat="false" ht="15" hidden="false" customHeight="false" outlineLevel="0" collapsed="false">
      <c r="A31" s="0" t="s">
        <v>128</v>
      </c>
      <c r="B31" s="0" t="n">
        <f aca="false">L19</f>
        <v>2371.90308719495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32257.8819858513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28462.8370463394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28462.8370463394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11485.158543051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21668.6781352068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18783.8781352068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5.80453033542733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-0.274886903756736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1007.132026775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1064.35023438383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6.44465276050095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18610.3165302989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2.93468874098315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18</v>
      </c>
      <c r="D5" s="4" t="n">
        <f aca="false">Assumptions!D41</f>
        <v>15</v>
      </c>
      <c r="E5" s="4" t="n">
        <f aca="false">Assumptions!E41</f>
        <v>12</v>
      </c>
      <c r="F5" s="4" t="n">
        <f aca="false">Assumptions!F41</f>
        <v>10</v>
      </c>
      <c r="G5" s="4" t="n">
        <f aca="false">Assumptions!G41</f>
        <v>8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24333.593</v>
      </c>
      <c r="C6" s="0" t="n">
        <f aca="false">B6*(1+C5/100)</f>
        <v>28713.63974</v>
      </c>
      <c r="D6" s="0" t="n">
        <f aca="false">C6*(1+D5/100)</f>
        <v>33020.685701</v>
      </c>
      <c r="E6" s="0" t="n">
        <f aca="false">D6*(1+E5/100)</f>
        <v>36983.16798512</v>
      </c>
      <c r="F6" s="0" t="n">
        <f aca="false">E6*(1+F5/100)</f>
        <v>40681.484783632</v>
      </c>
      <c r="G6" s="0" t="n">
        <f aca="false">F6*(1+G5/100)</f>
        <v>43936.0035663226</v>
      </c>
      <c r="H6" s="0" t="n">
        <f aca="false">G6*(1+H5/100)</f>
        <v>46572.1637803019</v>
      </c>
      <c r="I6" s="0" t="n">
        <f aca="false">H6*(1+I5/100)</f>
        <v>48900.771969317</v>
      </c>
      <c r="J6" s="0" t="n">
        <f aca="false">I6*(1+J5/100)</f>
        <v>50856.8028480897</v>
      </c>
      <c r="K6" s="0" t="n">
        <f aca="false">J6*(1+K5/100)</f>
        <v>52382.5069335324</v>
      </c>
      <c r="L6" s="0" t="n">
        <f aca="false">K6*(1+L5/100)</f>
        <v>53953.9821415384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12.5</v>
      </c>
      <c r="D7" s="4" t="n">
        <f aca="false">Assumptions!D42</f>
        <v>13</v>
      </c>
      <c r="E7" s="4" t="n">
        <f aca="false">Assumptions!E42</f>
        <v>13.5</v>
      </c>
      <c r="F7" s="4" t="n">
        <f aca="false">Assumptions!F42</f>
        <v>14</v>
      </c>
      <c r="G7" s="4" t="n">
        <f aca="false">Assumptions!G42</f>
        <v>14.3</v>
      </c>
      <c r="H7" s="4" t="n">
        <f aca="false">Assumptions!H42</f>
        <v>14.5</v>
      </c>
      <c r="I7" s="4" t="n">
        <f aca="false">Assumptions!I42</f>
        <v>14.5</v>
      </c>
      <c r="J7" s="4" t="n">
        <f aca="false">Assumptions!J42</f>
        <v>14.5</v>
      </c>
      <c r="K7" s="4" t="n">
        <f aca="false">Assumptions!K42</f>
        <v>14.5</v>
      </c>
      <c r="L7" s="4" t="n">
        <f aca="false">Assumptions!L42</f>
        <v>14.5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3589.2049675</v>
      </c>
      <c r="D8" s="0" t="n">
        <f aca="false">D6*D7/100</f>
        <v>4292.68914113</v>
      </c>
      <c r="E8" s="0" t="n">
        <f aca="false">E6*E7/100</f>
        <v>4992.7276779912</v>
      </c>
      <c r="F8" s="0" t="n">
        <f aca="false">F6*F7/100</f>
        <v>5695.40786970848</v>
      </c>
      <c r="G8" s="0" t="n">
        <f aca="false">G6*G7/100</f>
        <v>6282.84850998413</v>
      </c>
      <c r="H8" s="0" t="n">
        <f aca="false">H6*H7/100</f>
        <v>6752.96374814378</v>
      </c>
      <c r="I8" s="0" t="n">
        <f aca="false">I6*I7/100</f>
        <v>7090.61193555097</v>
      </c>
      <c r="J8" s="0" t="n">
        <f aca="false">J6*J7/100</f>
        <v>7374.23641297301</v>
      </c>
      <c r="K8" s="0" t="n">
        <f aca="false">K6*K7/100</f>
        <v>7595.4635053622</v>
      </c>
      <c r="L8" s="0" t="n">
        <f aca="false">L6*L7/100</f>
        <v>7823.32741052306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0.45</v>
      </c>
      <c r="D9" s="4" t="n">
        <f aca="false">Assumptions!D43</f>
        <v>0.45</v>
      </c>
      <c r="E9" s="4" t="n">
        <f aca="false">Assumptions!E43</f>
        <v>0.45</v>
      </c>
      <c r="F9" s="4" t="n">
        <f aca="false">Assumptions!F43</f>
        <v>0.45</v>
      </c>
      <c r="G9" s="4" t="n">
        <f aca="false">Assumptions!G43</f>
        <v>0.45</v>
      </c>
      <c r="H9" s="4" t="n">
        <f aca="false">Assumptions!H43</f>
        <v>0.45</v>
      </c>
      <c r="I9" s="4" t="n">
        <f aca="false">Assumptions!I43</f>
        <v>0.45</v>
      </c>
      <c r="J9" s="4" t="n">
        <f aca="false">Assumptions!J43</f>
        <v>0.45</v>
      </c>
      <c r="K9" s="4" t="n">
        <f aca="false">Assumptions!K43</f>
        <v>0.45</v>
      </c>
      <c r="L9" s="4" t="n">
        <f aca="false">Assumptions!L43</f>
        <v>0.45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-129.21137883</v>
      </c>
      <c r="D10" s="0" t="n">
        <f aca="false">-D6*D9/100</f>
        <v>-148.5930856545</v>
      </c>
      <c r="E10" s="0" t="n">
        <f aca="false">-E6*E9/100</f>
        <v>-166.42425593304</v>
      </c>
      <c r="F10" s="0" t="n">
        <f aca="false">-F6*F9/100</f>
        <v>-183.066681526344</v>
      </c>
      <c r="G10" s="0" t="n">
        <f aca="false">-G6*G9/100</f>
        <v>-197.712016048452</v>
      </c>
      <c r="H10" s="0" t="n">
        <f aca="false">-H6*H9/100</f>
        <v>-209.574737011359</v>
      </c>
      <c r="I10" s="0" t="n">
        <f aca="false">-I6*I9/100</f>
        <v>-220.053473861927</v>
      </c>
      <c r="J10" s="0" t="n">
        <f aca="false">-J6*J9/100</f>
        <v>-228.855612816404</v>
      </c>
      <c r="K10" s="0" t="n">
        <f aca="false">-K6*K9/100</f>
        <v>-235.721281200896</v>
      </c>
      <c r="L10" s="0" t="n">
        <f aca="false">-L6*L9/100</f>
        <v>-242.792919636923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3459.99358867</v>
      </c>
      <c r="D11" s="0" t="n">
        <f aca="false">D8+D10+D24</f>
        <v>4144.0960554755</v>
      </c>
      <c r="E11" s="0" t="n">
        <f aca="false">E8+E10+E24</f>
        <v>4826.30342205816</v>
      </c>
      <c r="F11" s="0" t="n">
        <f aca="false">F8+F10+F24</f>
        <v>5512.34118818214</v>
      </c>
      <c r="G11" s="0" t="n">
        <f aca="false">G8+G10+G24</f>
        <v>6085.13649393567</v>
      </c>
      <c r="H11" s="0" t="n">
        <f aca="false">H8+H10+H24</f>
        <v>6543.38901113242</v>
      </c>
      <c r="I11" s="0" t="n">
        <f aca="false">I8+I10+I24</f>
        <v>6870.55846168904</v>
      </c>
      <c r="J11" s="0" t="n">
        <f aca="false">J8+J10+J24</f>
        <v>7145.3808001566</v>
      </c>
      <c r="K11" s="0" t="n">
        <f aca="false">K8+K10+K24</f>
        <v>7359.7422241613</v>
      </c>
      <c r="L11" s="0" t="n">
        <f aca="false">L8+L10+L24</f>
        <v>7580.53449088614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-1292.1137883</v>
      </c>
      <c r="D12" s="4" t="n">
        <f aca="false">-D6*Assumptions!D45/100</f>
        <v>-1419.889485143</v>
      </c>
      <c r="E12" s="4" t="n">
        <f aca="false">-E6*Assumptions!E45/100</f>
        <v>-1516.30988738992</v>
      </c>
      <c r="F12" s="4" t="n">
        <f aca="false">-F6*Assumptions!F45/100</f>
        <v>-1627.25939134528</v>
      </c>
      <c r="G12" s="4" t="n">
        <f aca="false">-G6*Assumptions!G45/100</f>
        <v>-1713.50413908658</v>
      </c>
      <c r="H12" s="4" t="n">
        <f aca="false">-H6*Assumptions!H45/100</f>
        <v>-1769.74222365147</v>
      </c>
      <c r="I12" s="4" t="n">
        <f aca="false">-I6*Assumptions!I45/100</f>
        <v>-1858.22933483405</v>
      </c>
      <c r="J12" s="4" t="n">
        <f aca="false">-J6*Assumptions!J45/100</f>
        <v>-1932.55850822741</v>
      </c>
      <c r="K12" s="4" t="n">
        <f aca="false">-K6*Assumptions!K45/100</f>
        <v>-1990.53526347423</v>
      </c>
      <c r="L12" s="4" t="n">
        <f aca="false">-L6*Assumptions!L45/100</f>
        <v>-2050.25132137846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2167.87980037</v>
      </c>
      <c r="D13" s="0" t="n">
        <f aca="false">D11+D12</f>
        <v>2724.2065703325</v>
      </c>
      <c r="E13" s="0" t="n">
        <f aca="false">E11+E12</f>
        <v>3309.99353466824</v>
      </c>
      <c r="F13" s="0" t="n">
        <f aca="false">F11+F12</f>
        <v>3885.08179683686</v>
      </c>
      <c r="G13" s="0" t="n">
        <f aca="false">G11+G12</f>
        <v>4371.63235484909</v>
      </c>
      <c r="H13" s="0" t="n">
        <f aca="false">H11+H12</f>
        <v>4773.64678748095</v>
      </c>
      <c r="I13" s="0" t="n">
        <f aca="false">I11+I12</f>
        <v>5012.32912685499</v>
      </c>
      <c r="J13" s="0" t="n">
        <f aca="false">J11+J12</f>
        <v>5212.82229192919</v>
      </c>
      <c r="K13" s="0" t="n">
        <f aca="false">K11+K12</f>
        <v>5369.20696068707</v>
      </c>
      <c r="L13" s="0" t="n">
        <f aca="false">L11+L12</f>
        <v>5530.28316950768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1712.6250422923</v>
      </c>
      <c r="D15" s="0" t="n">
        <f aca="false">D13-MAX(0,D13)*D14/100</f>
        <v>2152.12319056267</v>
      </c>
      <c r="E15" s="0" t="n">
        <f aca="false">E13-MAX(0,E13)*E14/100</f>
        <v>2614.89489238791</v>
      </c>
      <c r="F15" s="0" t="n">
        <f aca="false">F13-MAX(0,F13)*F14/100</f>
        <v>3069.21461950112</v>
      </c>
      <c r="G15" s="0" t="n">
        <f aca="false">G13-MAX(0,G13)*G14/100</f>
        <v>3453.58956033078</v>
      </c>
      <c r="H15" s="0" t="n">
        <f aca="false">H13-MAX(0,H13)*H14/100</f>
        <v>3771.18096210995</v>
      </c>
      <c r="I15" s="0" t="n">
        <f aca="false">I13-MAX(0,I13)*I14/100</f>
        <v>3959.74001021545</v>
      </c>
      <c r="J15" s="0" t="n">
        <f aca="false">J13-MAX(0,J13)*J14/100</f>
        <v>4118.12961062406</v>
      </c>
      <c r="K15" s="0" t="n">
        <f aca="false">K13-MAX(0,K13)*K14/100</f>
        <v>4241.67349894278</v>
      </c>
      <c r="L15" s="0" t="n">
        <f aca="false">L13-MAX(0,L13)*L14/100</f>
        <v>4368.92370391107</v>
      </c>
    </row>
    <row r="16" customFormat="false" ht="15" hidden="false" customHeight="false" outlineLevel="0" collapsed="false">
      <c r="A16" s="0" t="s">
        <v>119</v>
      </c>
      <c r="C16" s="0" t="n">
        <f aca="false">-C12</f>
        <v>1292.1137883</v>
      </c>
      <c r="D16" s="0" t="n">
        <f aca="false">-D12</f>
        <v>1419.889485143</v>
      </c>
      <c r="E16" s="0" t="n">
        <f aca="false">-E12</f>
        <v>1516.30988738992</v>
      </c>
      <c r="F16" s="0" t="n">
        <f aca="false">-F12</f>
        <v>1627.25939134528</v>
      </c>
      <c r="G16" s="0" t="n">
        <f aca="false">-G12</f>
        <v>1713.50413908658</v>
      </c>
      <c r="H16" s="0" t="n">
        <f aca="false">-H12</f>
        <v>1769.74222365147</v>
      </c>
      <c r="I16" s="0" t="n">
        <f aca="false">-I12</f>
        <v>1858.22933483405</v>
      </c>
      <c r="J16" s="0" t="n">
        <f aca="false">-J12</f>
        <v>1932.55850822741</v>
      </c>
      <c r="K16" s="0" t="n">
        <f aca="false">-K12</f>
        <v>1990.53526347423</v>
      </c>
      <c r="L16" s="0" t="n">
        <f aca="false">-L12</f>
        <v>2050.25132137846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-1004.9773909</v>
      </c>
      <c r="D17" s="4" t="n">
        <f aca="false">-D6*Assumptions!D46/100</f>
        <v>-1320.82742804</v>
      </c>
      <c r="E17" s="4" t="n">
        <f aca="false">-E6*Assumptions!E46/100</f>
        <v>-1553.29305537504</v>
      </c>
      <c r="F17" s="4" t="n">
        <f aca="false">-F6*Assumptions!F46/100</f>
        <v>-1708.62236091254</v>
      </c>
      <c r="G17" s="4" t="n">
        <f aca="false">-G6*Assumptions!G46/100</f>
        <v>-1845.31214978555</v>
      </c>
      <c r="H17" s="4" t="n">
        <f aca="false">-H6*Assumptions!H46/100</f>
        <v>-1862.88655121208</v>
      </c>
      <c r="I17" s="4" t="n">
        <f aca="false">-I6*Assumptions!I46/100</f>
        <v>-1956.03087877268</v>
      </c>
      <c r="J17" s="4" t="n">
        <f aca="false">-J6*Assumptions!J46/100</f>
        <v>-2034.27211392359</v>
      </c>
      <c r="K17" s="4" t="n">
        <f aca="false">-K6*Assumptions!K46/100</f>
        <v>-2095.3002773413</v>
      </c>
      <c r="L17" s="4" t="n">
        <f aca="false">-L6*Assumptions!L46/100</f>
        <v>-2158.15928566153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-1095.011685</v>
      </c>
      <c r="D18" s="4" t="n">
        <f aca="false">(D6-C6)*Assumptions!$B$51/100</f>
        <v>-1076.76149025</v>
      </c>
      <c r="E18" s="4" t="n">
        <f aca="false">(E6-D6)*Assumptions!$B$51/100</f>
        <v>-990.62057103</v>
      </c>
      <c r="F18" s="4" t="n">
        <f aca="false">(F6-E6)*Assumptions!$B$51/100</f>
        <v>-924.579199628001</v>
      </c>
      <c r="G18" s="4" t="n">
        <f aca="false">(G6-F6)*Assumptions!$B$51/100</f>
        <v>-813.62969567264</v>
      </c>
      <c r="H18" s="4" t="n">
        <f aca="false">(H6-G6)*Assumptions!$B$51/100</f>
        <v>-659.040053494839</v>
      </c>
      <c r="I18" s="4" t="n">
        <f aca="false">(I6-H6)*Assumptions!$B$51/100</f>
        <v>-582.152047253774</v>
      </c>
      <c r="J18" s="4" t="n">
        <f aca="false">(J6-I6)*Assumptions!$B$51/100</f>
        <v>-489.007719693171</v>
      </c>
      <c r="K18" s="4" t="n">
        <f aca="false">(K6-J6)*Assumptions!$B$51/100</f>
        <v>-381.426021360672</v>
      </c>
      <c r="L18" s="4" t="n">
        <f aca="false">(L6-K6)*Assumptions!$B$51/100</f>
        <v>-392.868802001492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904.749754692301</v>
      </c>
      <c r="D19" s="0" t="n">
        <f aca="false">D15+D16+D17+D18</f>
        <v>1174.42375741568</v>
      </c>
      <c r="E19" s="0" t="n">
        <f aca="false">E15+E16+E17+E18</f>
        <v>1587.29115337279</v>
      </c>
      <c r="F19" s="0" t="n">
        <f aca="false">F15+F16+F17+F18</f>
        <v>2063.27245030585</v>
      </c>
      <c r="G19" s="0" t="n">
        <f aca="false">G15+G16+G17+G18</f>
        <v>2508.15185395918</v>
      </c>
      <c r="H19" s="0" t="n">
        <f aca="false">H15+H16+H17+H18</f>
        <v>3018.9965810545</v>
      </c>
      <c r="I19" s="0" t="n">
        <f aca="false">I15+I16+I17+I18</f>
        <v>3279.78641902304</v>
      </c>
      <c r="J19" s="0" t="n">
        <f aca="false">J15+J16+J17+J18</f>
        <v>3527.40828523471</v>
      </c>
      <c r="K19" s="0" t="n">
        <f aca="false">K15+K16+K17+K18</f>
        <v>3755.48246371505</v>
      </c>
      <c r="L19" s="0" t="n">
        <f aca="false">L15+L16+L17+L18</f>
        <v>3868.1469376265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826.255483737261</v>
      </c>
      <c r="D21" s="0" t="n">
        <f aca="false">D19*D20</f>
        <v>979.482293876838</v>
      </c>
      <c r="E21" s="0" t="n">
        <f aca="false">E19*E20</f>
        <v>1208.96642020332</v>
      </c>
      <c r="F21" s="0" t="n">
        <f aca="false">F19*F20</f>
        <v>1435.15927688575</v>
      </c>
      <c r="G21" s="0" t="n">
        <f aca="false">G19*G20</f>
        <v>1593.24744636286</v>
      </c>
      <c r="H21" s="0" t="n">
        <f aca="false">H19*H20</f>
        <v>1751.36999970518</v>
      </c>
      <c r="I21" s="0" t="n">
        <f aca="false">I19*I20</f>
        <v>1737.58768130703</v>
      </c>
      <c r="J21" s="0" t="n">
        <f aca="false">J19*J20</f>
        <v>1706.64336731398</v>
      </c>
      <c r="K21" s="0" t="n">
        <f aca="false">K19*K20</f>
        <v>1659.35254511544</v>
      </c>
      <c r="L21" s="0" t="n">
        <f aca="false">L19*L20</f>
        <v>1560.85216572503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14458.9166802327</v>
      </c>
    </row>
    <row r="31" customFormat="false" ht="15" hidden="false" customHeight="false" outlineLevel="0" collapsed="false">
      <c r="A31" s="0" t="s">
        <v>128</v>
      </c>
      <c r="B31" s="0" t="n">
        <f aca="false">L19</f>
        <v>3868.1469376265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56640.7230152452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46417.763251518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46417.763251518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18730.2259887004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33189.1426689331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30304.342668933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9.36454522601013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0.169837005123064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1172.62415214765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1434.5663885889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10.1702104073435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31718.8048885373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4.88731914076895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2.99444632659735</v>
      </c>
      <c r="C4" s="0" t="n">
        <f aca="false">B4/Assumptions!$B$2-1</f>
        <v>-0.625928004172723</v>
      </c>
      <c r="D4" s="4" t="n">
        <f aca="false">Assumptions!$B$24</f>
        <v>0.3</v>
      </c>
      <c r="E4" s="4" t="n">
        <f aca="false">DCF_Bear!$B$43</f>
        <v>3.41067336782754</v>
      </c>
      <c r="F4" s="4" t="n">
        <f aca="false">DCF_Bear!$B$47</f>
        <v>1.49912076988844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5.80453033542733</v>
      </c>
      <c r="C5" s="0" t="n">
        <f aca="false">B5/Assumptions!$B$2-1</f>
        <v>-0.274886903756736</v>
      </c>
      <c r="D5" s="4" t="n">
        <f aca="false">Assumptions!$B$38</f>
        <v>0.5</v>
      </c>
      <c r="E5" s="4" t="n">
        <f aca="false">DCF_Base!$B$43</f>
        <v>6.44465276050095</v>
      </c>
      <c r="F5" s="4" t="n">
        <f aca="false">DCF_Base!$B$47</f>
        <v>2.93468874098315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9.36454522601013</v>
      </c>
      <c r="C6" s="0" t="n">
        <f aca="false">B6/Assumptions!$B$2-1</f>
        <v>0.169837005123064</v>
      </c>
      <c r="D6" s="4" t="n">
        <f aca="false">Assumptions!$B$52</f>
        <v>0.2</v>
      </c>
      <c r="E6" s="4" t="n">
        <f aca="false">DCF_Bull!$B$43</f>
        <v>10.1702104073435</v>
      </c>
      <c r="F6" s="4" t="n">
        <f aca="false">DCF_Bull!$B$47</f>
        <v>4.88731914076895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5.67350811089489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6.27957047206743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-0.410943607294386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384.69504765061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2.8945444296119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6.05371174121344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5.80453033542733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5.56645620044454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4.94932671976079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4.28968478063548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2.93468874098315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6.87401796688592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6.87401796688592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6.87401796688592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6.87401796688592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6.87401796688592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6.31459438769484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6.31459438769484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6.31459438769484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6.31459438769484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6.31459438769484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5.7697351907896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5.80453033542733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5.80453033542733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5.80453033542733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5.80453033542733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4.9693763555687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5.14388709191345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5.33892850312228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5.33892850312228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5.33892850312228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4.3258242252829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4.4568587272586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4.60168633470542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4.76260589853523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4.91342288885105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2026-10-11T02:41:54Z</dcterms:created>
  <dc:creator>openpyxl</dc:creator>
  <dc:description/>
  <dc:language>en-NZ</dc:language>
  <cp:lastModifiedBy/>
  <dcterms:modified xsi:type="dcterms:W3CDTF">2026-10-11T02:41:54Z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