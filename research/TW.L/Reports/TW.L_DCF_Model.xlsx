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<sst xmlns="http://schemas.openxmlformats.org/spreadsheetml/2006/main" count="365" uniqueCount="171">
  <si>
    <t xml:space="preserve">Ticker</t>
  </si>
  <si>
    <t xml:space="preserve">TW.L</t>
  </si>
  <si>
    <t xml:space="preserve">Company</t>
  </si>
  <si>
    <t xml:space="preserve">Taylor Wimpey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</si>
  <si>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</si>
  <si>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</si>
  <si>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</si>
  <si>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</si>
  <si>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2026-10-09T15:35:21Z regular close (LSE)</t>
  </si>
  <si>
    <t xml:space="preserve">Balance sheet date</t>
  </si>
  <si>
    <t xml:space="preserve">2026-06-28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</si>
  <si>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</si>
  <si>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</si>
  <si>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</si>
  <si>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</si>
  <si>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</si>
  <si>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</si>
  <si>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</si>
  <si>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</si>
  <si>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</si>
  <si>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</si>
  <si>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</si>
  <si>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2026-10-10T06:45:19Z</t>
  </si>
  <si>
    <t xml:space="preserve">Drivers file</t>
  </si>
  <si>
    <t xml:space="preserve">TW.L_Drivers.json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</si>
  <si>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</si>
  <si>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</si>
  <si>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</si>
  <si>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 cyclical homebuilder on mid-cycle owner FCF, not trough or peak earnings. FY2025 adjusted operating margin (10.9%) and H1 2026 (7.7%) are trough prints against a 10-year average of 16.9%; the base case recovers only to 13.6% because the post-Grenfell regulatory cost base is permanent. Three safeguards: (1) cladding remediation is a debt-like obligation deducted once, post-tax, in the bridge; (2) growth is charged for the land and WIP it consumes through a negative working-capital capture; (3) the terminal value is capped at 12-14x FCF rather than letting Gordon growth capitalise a recovery that has not yet happened. The base case lands at roughly 1x tangible net assets per share (117.1p), which is where a UK homebuilder earning a 12% return on equity against a 9.5% cost of equity should trade; bear and bull bracket it at c.0.5x and c.1.5x TNAV, the sector's historical range. The weighted value is a judgement that the cycle turns within the horizon, not a bet on the 16-18% target.
key_risks_to_valuation: Margin recovery never arrives: if the adjusted operating margin stays at the FY2023-25 average (12.1%) or below, the base case collapses toward the bear value; Cladding provision re-estimation: each further GBP100m of remediation cost is c.2.1p/share post-tax, and the provision has already been raised twice (FY2025 GBP225.8m, H1 2025 GBP222.2m); Land creditors treated as operating, not debt: management's own adjusted net debt definition would deduct GBP434.5m (c.12p/share) -- apply that haircut if the landbank stops being replenished; Working-capital absorption on growth is a judgement (40p per GBP1 base); the FY2017-19 actual was 40-80p, so a faster recovery could consume more cash than modelled; Terminal cap of 13x on FY2035 owner FCF assumes a mid-cycle exit; a trough exit (the FY2008 or FY2023 analogue) would be 6-8x; Mortgage affordability and UK fiscal/housing policy (Stamp Duty, equity-loan schemes, Building Safety Levy rate) can move FY2027-28 volumes by +/-15% in either direction</t>
  </si>
  <si>
    <t xml:space="preserve">Data sources</t>
  </si>
  <si>
    <t xml:space="preserve">price: Yahoo Finance chart API (regularMarketPrice, GBp) at inputs.price_as_of; 52-week range 73.36-116.93p; the price sits at the bottom of the range
financials: TW.L_Metrics.csv (FY2016-FY2025 annual, H1 2016-H1 2026 half-years, GBP millions, derived from the annual and half-year reports); H1 2026 half-year report for net cash, land creditors, lease liabilities, diluted shares, TNAV and the cladding provision; FY2025 Annual Report for SBC, lease cash, interest received, tax rate
qualitative: TW.L_Analysis.json (2026-10-10): Building Safety Act context, FY2026 guidance (H1 2026 results 31 July 2026), October 2025 Investor Day medium-term targets, July 2026 trading update and distribution-policy cut</t>
  </si>
  <si>
    <t xml:space="preserve">Scenario narrative: bear</t>
  </si>
  <si>
    <t xml:space="preserve">The prolonged downturn becomes the new normal: sales rates stay near 0.55/outlet/week, FY2027 revenue falls 3%, build-cost inflation and the Building Safety Levy are never recovered in price, so margins trough at 7.5% and settle at c.10%. Growth absorbs 50p per GBP1 of revenue. Cladding costs re-escalate within the provision (not modelled beyond the post-tax deduction), the 4%-of-net-assets distribution is all shareholders see, and the stock is a sub-TNAV value trap earning below its cost of equity.</t>
  </si>
  <si>
    <t xml:space="preserve">Scenario narrative: base</t>
  </si>
  <si>
    <t xml:space="preserve">Mid-cycle recovery, not a boom. FY2026 is flat on guidance (10.6-10.8k completions, ASP +1%, 3-4% build-cost inflation, c.9% EBITDA margin). From FY2027 lower mortgage rates and the record outlet count (228) lift completions toward c.13k by FY2030 and the adjusted operating margin recovers to c.13.6% by FY2032 -- well short of the 16-18% target because the Building Safety Levy, Future Homes Standard and affordable contributions are structural. Growth absorbs 40p of land/WIP per GBP1 of revenue. Terminal owner FCF of c.GBP470m in FY2035 is below the FY2018 nominal peak (GBP639m reported), capped at 13x. The remaining cladding provision is deducted post-tax in the bridge; land creditors are treated as operating payables.</t>
  </si>
  <si>
    <t xml:space="preserve">Scenario narrative: bull</t>
  </si>
  <si>
    <t xml:space="preserve">Investor Day targets delivered: planning reform (NPPF, Planning and Infrastructure Act) and rate cuts restore first-time-buyer demand, completions reach c.14k by FY2029-30 on ASP +2.5%/yr, land at 12.5-13.8% of ASP drives the adjusted operating margin to 16% by FY2032, and the landbank-years cut to 4.5-5.0 releases capital so growth absorbs only 30p per GBP1. Taylor Wimpey re-earns a &gt;15% return on net operating assets and the market pays c.1.5x TNAV again.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</si>
  <si>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</si>
  <si>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</si>
  <si>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</si>
  <si>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</si>
  <si>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</si>
  <si>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</si>
  <si>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</si>
  <si>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</si>
  <si>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</si>
  <si>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</si>
  <si>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</si>
  <si>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</si>
  <si>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</si>
  <si>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</si>
  <si>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</si>
  <si>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</si>
  <si>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</si>
  <si>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</si>
  <si>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</si>
  <si>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</si>
  <si>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</si>
  <si>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</si>
  <si>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</si>
  <si>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</si>
  <si>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</si>
  <si>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</si>
  <si>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</si>
  <si>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AvgRevenuePerUnit</t>
  </si>
  <si>
    <t xml:space="preserve">LeasePrincipalPaid</t>
  </si>
  <si>
    <t xml:space="preserve">NewUnitsDelivered</t>
  </si>
  <si>
    <t xml:space="preserve">OperatingProfitBeforeExceptionals</t>
  </si>
  <si>
    <t xml:space="preserve">SharesInIssuePeriodEnd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</si>
  <si>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</si>
  <si>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</si>
  <si>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</si>
  <si>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</si>
  <si>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</si>
  <si>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</si>
  <si>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</si>
  <si>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</si>
  <si>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</si>
  <si>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</si>
  <si>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</si>
  <si>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</si>
  <si>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</si>
  <si>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</si>
  <si>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</si>
  <si>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</si>
  <si>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</si>
  <si>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</si>
  <si>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</si>
  <si>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</si>
  <si>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</si>
  <si>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</si>
  <si>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</si>
  <si>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</si>
  <si>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</si>
  <si>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</si>
  <si>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</si>
  <si>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</si>
  <si>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</si>
  <si>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</si>
  <si>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</si>
  <si>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</si>
  <si>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</si>
  <si>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</si>
  <si>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</si>
  <si>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</si>
  <si>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</si>
  <si>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</si>
  <si>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</si>
  <si>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</si>
  <si>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</si>
  <si>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</si>
  <si>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</si>
  <si>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</si>
  <si>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</si>
  <si>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</si>
  <si>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</si>
  <si>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TW.L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</si>
  <si>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</si>
  <si>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</si>
  <si>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</si>
  <si>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</si>
  <si>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</si>
  <si>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</si>
  <si>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</si>
  <si>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</si>
  <si>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</si>
  <si>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</si>
  <si>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</si>
  <si>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</si>
  <si>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</si>
  <si>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</si>
  <si>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</si>
  <si>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</si>
  <si>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</si>
  <si>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</si>
  <si>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</si>
  <si>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</si>
  <si>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</si>
  <si>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</si>
  <si>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</si>
  <si>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</si>
  <si>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</si>
  <si>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</si>
  <si>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</si>
  <si>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</si>
  <si>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</si>
  <si>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</si>
  <si>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TW.L owner-FCF component DCF: base case (millions, GBP)</t>
  </si>
  <si>
    <t xml:space="preserve">TW.L owner-FCF component DCF: bull case (millions, GBP)</t>
  </si>
  <si>
    <t xml:space="preserve">TW.L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</si>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</sst>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73.44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3676.2</v>
      </c>
      <c r="C2" s="0" t="n">
        <v>2736.3</v>
      </c>
      <c r="D2" s="0" t="n">
        <v>939.9</v>
      </c>
      <c r="E2" s="0" t="n">
        <v>25.6</v>
      </c>
      <c r="F2" s="0" t="n">
        <v>762.6</v>
      </c>
      <c r="G2" s="0" t="n">
        <v>20.7</v>
      </c>
      <c r="H2" s="0" t="n">
        <v>765.9</v>
      </c>
      <c r="I2" s="0" t="n">
        <v>589.3</v>
      </c>
      <c r="J2" s="0" t="n">
        <v>16</v>
      </c>
      <c r="K2" s="0" t="n">
        <v>0.181</v>
      </c>
      <c r="L2" s="0" t="n">
        <v>537.7</v>
      </c>
      <c r="M2" s="0" t="n">
        <v>5.1</v>
      </c>
      <c r="N2" s="0" t="n">
        <v>532.6</v>
      </c>
      <c r="O2" s="0" t="n">
        <v>2900.3</v>
      </c>
      <c r="P2" s="0" t="n">
        <v>4745.2</v>
      </c>
      <c r="Q2" s="0" t="n">
        <v>1844.9</v>
      </c>
      <c r="R2" s="0" t="n">
        <v>85.5</v>
      </c>
      <c r="S2" s="0" t="n">
        <v>450.2</v>
      </c>
      <c r="T2" s="0" t="n">
        <v>3270.3</v>
      </c>
      <c r="U2" s="0" t="n">
        <v>9.8</v>
      </c>
      <c r="V2" s="0" t="n">
        <v>0.1091</v>
      </c>
      <c r="AA2" s="0" t="s">
        <v>18</v>
      </c>
      <c r="AB2" s="0" t="s">
        <v>14</v>
      </c>
      <c r="AC2" s="0" t="n">
        <v>255</v>
      </c>
      <c r="AE2" s="0" t="n">
        <v>13881</v>
      </c>
      <c r="AF2" s="0" t="n">
        <v>763.1</v>
      </c>
      <c r="AG2" s="0" t="n">
        <v>3270.3</v>
      </c>
    </row>
    <row r="3" customFormat="false" ht="15" hidden="false" customHeight="false" outlineLevel="0" collapsed="false">
      <c r="A3" s="0" t="s">
        <v>70</v>
      </c>
      <c r="B3" s="0" t="n">
        <v>3965.2</v>
      </c>
      <c r="C3" s="0" t="n">
        <v>2932.2</v>
      </c>
      <c r="D3" s="0" t="n">
        <v>1033</v>
      </c>
      <c r="E3" s="0" t="n">
        <v>26.1</v>
      </c>
      <c r="F3" s="0" t="n">
        <v>703.6</v>
      </c>
      <c r="G3" s="0" t="n">
        <v>17.7</v>
      </c>
      <c r="H3" s="0" t="n">
        <v>707</v>
      </c>
      <c r="I3" s="0" t="n">
        <v>555.3</v>
      </c>
      <c r="J3" s="0" t="n">
        <v>14</v>
      </c>
      <c r="K3" s="0" t="n">
        <v>0.17</v>
      </c>
      <c r="L3" s="0" t="n">
        <v>604.1</v>
      </c>
      <c r="M3" s="0" t="n">
        <v>5.7</v>
      </c>
      <c r="N3" s="0" t="n">
        <v>598.4</v>
      </c>
      <c r="O3" s="0" t="n">
        <v>3137.3</v>
      </c>
      <c r="P3" s="0" t="n">
        <v>4966.1</v>
      </c>
      <c r="Q3" s="0" t="n">
        <v>1828.8</v>
      </c>
      <c r="R3" s="0" t="n">
        <v>88.7</v>
      </c>
      <c r="S3" s="0" t="n">
        <v>600.5</v>
      </c>
      <c r="T3" s="0" t="n">
        <v>3275.4</v>
      </c>
      <c r="U3" s="0" t="n">
        <v>11.5</v>
      </c>
      <c r="V3" s="0" t="n">
        <v>0.1379</v>
      </c>
      <c r="AA3" s="0" t="s">
        <v>18</v>
      </c>
      <c r="AB3" s="0" t="s">
        <v>14</v>
      </c>
      <c r="AC3" s="0" t="n">
        <v>264</v>
      </c>
      <c r="AE3" s="0" t="n">
        <v>14541</v>
      </c>
      <c r="AF3" s="0" t="n">
        <v>833.6</v>
      </c>
      <c r="AG3" s="0" t="n">
        <v>3275.4</v>
      </c>
    </row>
    <row r="4" customFormat="false" ht="15" hidden="false" customHeight="false" outlineLevel="0" collapsed="false">
      <c r="A4" s="0" t="s">
        <v>71</v>
      </c>
      <c r="B4" s="0" t="n">
        <v>4082</v>
      </c>
      <c r="C4" s="0" t="n">
        <v>3007.5</v>
      </c>
      <c r="D4" s="0" t="n">
        <v>1074.5</v>
      </c>
      <c r="E4" s="0" t="n">
        <v>26.3</v>
      </c>
      <c r="F4" s="0" t="n">
        <v>828.8</v>
      </c>
      <c r="G4" s="0" t="n">
        <v>20.3</v>
      </c>
      <c r="H4" s="0" t="n">
        <v>841.9</v>
      </c>
      <c r="I4" s="0" t="n">
        <v>656.6</v>
      </c>
      <c r="J4" s="0" t="n">
        <v>16.1</v>
      </c>
      <c r="K4" s="0" t="n">
        <v>0.201</v>
      </c>
      <c r="L4" s="0" t="n">
        <v>641.3</v>
      </c>
      <c r="M4" s="0" t="n">
        <v>2.4</v>
      </c>
      <c r="N4" s="0" t="n">
        <v>638.9</v>
      </c>
      <c r="O4" s="0" t="n">
        <v>3226.8</v>
      </c>
      <c r="P4" s="0" t="n">
        <v>5254.2</v>
      </c>
      <c r="Q4" s="0" t="n">
        <v>2027.4</v>
      </c>
      <c r="R4" s="0" t="n">
        <v>90.1</v>
      </c>
      <c r="S4" s="0" t="n">
        <v>734.2</v>
      </c>
      <c r="T4" s="0" t="n">
        <v>3278.1</v>
      </c>
      <c r="U4" s="0" t="n">
        <v>12.2</v>
      </c>
      <c r="V4" s="0" t="n">
        <v>0.1528</v>
      </c>
      <c r="AA4" s="0" t="s">
        <v>18</v>
      </c>
      <c r="AB4" s="0" t="s">
        <v>14</v>
      </c>
      <c r="AC4" s="0" t="n">
        <v>264</v>
      </c>
      <c r="AD4" s="0" t="n">
        <v>8.3</v>
      </c>
      <c r="AE4" s="0" t="n">
        <v>14933</v>
      </c>
      <c r="AF4" s="0" t="n">
        <v>874.9</v>
      </c>
      <c r="AG4" s="0" t="n">
        <v>3278.1</v>
      </c>
    </row>
    <row r="5" customFormat="false" ht="15" hidden="false" customHeight="false" outlineLevel="0" collapsed="false">
      <c r="A5" s="0" t="s">
        <v>72</v>
      </c>
      <c r="B5" s="0" t="n">
        <v>4341.3</v>
      </c>
      <c r="C5" s="0" t="n">
        <v>3297.2</v>
      </c>
      <c r="D5" s="0" t="n">
        <v>1044.1</v>
      </c>
      <c r="E5" s="0" t="n">
        <v>24.1</v>
      </c>
      <c r="F5" s="0" t="n">
        <v>856.8</v>
      </c>
      <c r="G5" s="0" t="n">
        <v>19.7</v>
      </c>
      <c r="H5" s="0" t="n">
        <v>870.3</v>
      </c>
      <c r="I5" s="0" t="n">
        <v>673.9</v>
      </c>
      <c r="J5" s="0" t="n">
        <v>15.5</v>
      </c>
      <c r="K5" s="0" t="n">
        <v>0.206</v>
      </c>
      <c r="L5" s="0" t="n">
        <v>510</v>
      </c>
      <c r="M5" s="0" t="n">
        <v>12.6</v>
      </c>
      <c r="N5" s="0" t="n">
        <v>497.4</v>
      </c>
      <c r="O5" s="0" t="n">
        <v>3307.8</v>
      </c>
      <c r="P5" s="0" t="n">
        <v>5176.2</v>
      </c>
      <c r="Q5" s="0" t="n">
        <v>1868.4</v>
      </c>
      <c r="R5" s="0" t="n">
        <v>84.7</v>
      </c>
      <c r="S5" s="0" t="n">
        <v>630.4</v>
      </c>
      <c r="T5" s="0" t="n">
        <v>3283.1</v>
      </c>
      <c r="U5" s="0" t="n">
        <v>8</v>
      </c>
      <c r="V5" s="0" t="n">
        <v>0.1834</v>
      </c>
      <c r="AA5" s="0" t="s">
        <v>18</v>
      </c>
      <c r="AB5" s="0" t="s">
        <v>14</v>
      </c>
      <c r="AC5" s="0" t="n">
        <v>269</v>
      </c>
      <c r="AD5" s="0" t="n">
        <v>8.4</v>
      </c>
      <c r="AE5" s="0" t="n">
        <v>15719</v>
      </c>
      <c r="AF5" s="0" t="n">
        <v>842.5</v>
      </c>
      <c r="AG5" s="0" t="n">
        <v>3283.1</v>
      </c>
    </row>
    <row r="6" customFormat="false" ht="15" hidden="false" customHeight="false" outlineLevel="0" collapsed="false">
      <c r="A6" s="0" t="s">
        <v>73</v>
      </c>
      <c r="B6" s="0" t="n">
        <v>2790.2</v>
      </c>
      <c r="C6" s="0" t="n">
        <v>2293.5</v>
      </c>
      <c r="D6" s="0" t="n">
        <v>496.7</v>
      </c>
      <c r="E6" s="0" t="n">
        <v>17.8</v>
      </c>
      <c r="F6" s="0" t="n">
        <v>282.4</v>
      </c>
      <c r="G6" s="0" t="n">
        <v>10.1</v>
      </c>
      <c r="H6" s="0" t="n">
        <v>298.8</v>
      </c>
      <c r="I6" s="0" t="n">
        <v>217</v>
      </c>
      <c r="J6" s="0" t="n">
        <v>7.8</v>
      </c>
      <c r="K6" s="0" t="n">
        <v>0.063</v>
      </c>
      <c r="L6" s="0" t="n">
        <v>-301.2</v>
      </c>
      <c r="M6" s="0" t="n">
        <v>8</v>
      </c>
      <c r="N6" s="0" t="n">
        <v>-309.2</v>
      </c>
      <c r="O6" s="0" t="n">
        <v>4016.8</v>
      </c>
      <c r="P6" s="0" t="n">
        <v>5748.6</v>
      </c>
      <c r="Q6" s="0" t="n">
        <v>1731.8</v>
      </c>
      <c r="R6" s="0" t="n">
        <v>103.6</v>
      </c>
      <c r="S6" s="0" t="n">
        <v>823</v>
      </c>
      <c r="T6" s="0" t="n">
        <v>3645.4</v>
      </c>
      <c r="U6" s="0" t="n">
        <v>7</v>
      </c>
      <c r="V6" s="0" t="n">
        <v>0</v>
      </c>
      <c r="AA6" s="0" t="s">
        <v>18</v>
      </c>
      <c r="AB6" s="0" t="s">
        <v>14</v>
      </c>
      <c r="AD6" s="0" t="n">
        <v>8</v>
      </c>
      <c r="AF6" s="0" t="n">
        <v>292.4</v>
      </c>
      <c r="AG6" s="0" t="n">
        <v>3645.4</v>
      </c>
    </row>
    <row r="7" customFormat="false" ht="15" hidden="false" customHeight="false" outlineLevel="0" collapsed="false">
      <c r="A7" s="0" t="s">
        <v>74</v>
      </c>
      <c r="B7" s="0" t="n">
        <v>4284.9</v>
      </c>
      <c r="C7" s="0" t="n">
        <v>3257.9</v>
      </c>
      <c r="D7" s="0" t="n">
        <v>1027</v>
      </c>
      <c r="E7" s="0" t="n">
        <v>24</v>
      </c>
      <c r="F7" s="0" t="n">
        <v>698.2</v>
      </c>
      <c r="G7" s="0" t="n">
        <v>16.3</v>
      </c>
      <c r="H7" s="0" t="n">
        <v>713.8</v>
      </c>
      <c r="I7" s="0" t="n">
        <v>555.5</v>
      </c>
      <c r="J7" s="0" t="n">
        <v>13</v>
      </c>
      <c r="K7" s="0" t="n">
        <v>0.153</v>
      </c>
      <c r="L7" s="0" t="n">
        <v>431.9</v>
      </c>
      <c r="M7" s="0" t="n">
        <v>4.6</v>
      </c>
      <c r="N7" s="0" t="n">
        <v>427.3</v>
      </c>
      <c r="O7" s="0" t="n">
        <v>4314</v>
      </c>
      <c r="P7" s="0" t="n">
        <v>6239.8</v>
      </c>
      <c r="Q7" s="0" t="n">
        <v>1925.8</v>
      </c>
      <c r="R7" s="0" t="n">
        <v>84</v>
      </c>
      <c r="S7" s="0" t="n">
        <v>921</v>
      </c>
      <c r="T7" s="0" t="n">
        <v>3648.6</v>
      </c>
      <c r="U7" s="0" t="n">
        <v>13.2</v>
      </c>
      <c r="V7" s="0" t="n">
        <v>0.0828</v>
      </c>
      <c r="AA7" s="0" t="s">
        <v>18</v>
      </c>
      <c r="AB7" s="0" t="s">
        <v>14</v>
      </c>
      <c r="AC7" s="0" t="n">
        <v>300</v>
      </c>
      <c r="AD7" s="0" t="n">
        <v>6.9</v>
      </c>
      <c r="AE7" s="0" t="n">
        <v>14087</v>
      </c>
      <c r="AF7" s="0" t="n">
        <v>823.2</v>
      </c>
      <c r="AG7" s="0" t="n">
        <v>3648.6</v>
      </c>
    </row>
    <row r="8" customFormat="false" ht="15" hidden="false" customHeight="false" outlineLevel="0" collapsed="false">
      <c r="A8" s="0" t="s">
        <v>75</v>
      </c>
      <c r="B8" s="0" t="n">
        <v>4419.9</v>
      </c>
      <c r="C8" s="0" t="n">
        <v>3287.5</v>
      </c>
      <c r="D8" s="0" t="n">
        <v>1132.4</v>
      </c>
      <c r="E8" s="0" t="n">
        <v>25.6</v>
      </c>
      <c r="F8" s="0" t="n">
        <v>827.5</v>
      </c>
      <c r="G8" s="0" t="n">
        <v>18.7</v>
      </c>
      <c r="H8" s="0" t="n">
        <v>842</v>
      </c>
      <c r="I8" s="0" t="n">
        <v>643.6</v>
      </c>
      <c r="J8" s="0" t="n">
        <v>14.6</v>
      </c>
      <c r="K8" s="0" t="n">
        <v>0.181</v>
      </c>
      <c r="L8" s="0" t="n">
        <v>477.5</v>
      </c>
      <c r="M8" s="0" t="n">
        <v>2.1</v>
      </c>
      <c r="N8" s="0" t="n">
        <v>475.4</v>
      </c>
      <c r="O8" s="0" t="n">
        <v>4502.1</v>
      </c>
      <c r="P8" s="0" t="n">
        <v>6483.1</v>
      </c>
      <c r="Q8" s="0" t="n">
        <v>1981</v>
      </c>
      <c r="R8" s="0" t="n">
        <v>88.5</v>
      </c>
      <c r="S8" s="0" t="n">
        <v>952.3</v>
      </c>
      <c r="T8" s="0" t="n">
        <v>3557</v>
      </c>
      <c r="U8" s="0" t="n">
        <v>14</v>
      </c>
      <c r="V8" s="0" t="n">
        <v>0.0906</v>
      </c>
      <c r="AA8" s="0" t="s">
        <v>18</v>
      </c>
      <c r="AB8" s="0" t="s">
        <v>14</v>
      </c>
      <c r="AC8" s="0" t="n">
        <v>313</v>
      </c>
      <c r="AD8" s="0" t="n">
        <v>7.6</v>
      </c>
      <c r="AE8" s="0" t="n">
        <v>13773</v>
      </c>
      <c r="AF8" s="0" t="n">
        <v>907.5</v>
      </c>
      <c r="AG8" s="0" t="n">
        <v>3557</v>
      </c>
    </row>
    <row r="9" customFormat="false" ht="15" hidden="false" customHeight="false" outlineLevel="0" collapsed="false">
      <c r="A9" s="0" t="s">
        <v>76</v>
      </c>
      <c r="B9" s="0" t="n">
        <v>3514.5</v>
      </c>
      <c r="C9" s="0" t="n">
        <v>2798</v>
      </c>
      <c r="D9" s="0" t="n">
        <v>716.5</v>
      </c>
      <c r="E9" s="0" t="n">
        <v>20.4</v>
      </c>
      <c r="F9" s="0" t="n">
        <v>467.8</v>
      </c>
      <c r="G9" s="0" t="n">
        <v>13.3</v>
      </c>
      <c r="H9" s="0" t="n">
        <v>480.5</v>
      </c>
      <c r="I9" s="0" t="n">
        <v>349</v>
      </c>
      <c r="J9" s="0" t="n">
        <v>9.9</v>
      </c>
      <c r="K9" s="0" t="n">
        <v>0.099</v>
      </c>
      <c r="L9" s="0" t="n">
        <v>129.6</v>
      </c>
      <c r="M9" s="0" t="n">
        <v>6.9</v>
      </c>
      <c r="N9" s="0" t="n">
        <v>122.7</v>
      </c>
      <c r="O9" s="0" t="n">
        <v>4523.4</v>
      </c>
      <c r="P9" s="0" t="n">
        <v>6253.6</v>
      </c>
      <c r="Q9" s="0" t="n">
        <v>1730.2</v>
      </c>
      <c r="R9" s="0" t="n">
        <v>87</v>
      </c>
      <c r="S9" s="0" t="n">
        <v>764.9</v>
      </c>
      <c r="T9" s="0" t="n">
        <v>3557</v>
      </c>
      <c r="U9" s="0" t="n">
        <v>8.9</v>
      </c>
      <c r="V9" s="0" t="n">
        <v>0.0957</v>
      </c>
      <c r="AA9" s="0" t="s">
        <v>18</v>
      </c>
      <c r="AB9" s="0" t="s">
        <v>14</v>
      </c>
      <c r="AC9" s="0" t="n">
        <v>324</v>
      </c>
      <c r="AD9" s="0" t="n">
        <v>7.9</v>
      </c>
      <c r="AE9" s="0" t="n">
        <v>10438</v>
      </c>
      <c r="AF9" s="0" t="n">
        <v>467.8</v>
      </c>
      <c r="AG9" s="0" t="n">
        <v>3557</v>
      </c>
    </row>
    <row r="10" customFormat="false" ht="15" hidden="false" customHeight="false" outlineLevel="0" collapsed="false">
      <c r="A10" s="0" t="s">
        <v>77</v>
      </c>
      <c r="B10" s="0" t="n">
        <v>3401.2</v>
      </c>
      <c r="C10" s="0" t="n">
        <v>2752.5</v>
      </c>
      <c r="D10" s="0" t="n">
        <v>648.7</v>
      </c>
      <c r="E10" s="0" t="n">
        <v>19.1</v>
      </c>
      <c r="F10" s="0" t="n">
        <v>333.9</v>
      </c>
      <c r="G10" s="0" t="n">
        <v>9.8</v>
      </c>
      <c r="H10" s="0" t="n">
        <v>348.2</v>
      </c>
      <c r="I10" s="0" t="n">
        <v>219.6</v>
      </c>
      <c r="J10" s="0" t="n">
        <v>6.5</v>
      </c>
      <c r="K10" s="0" t="n">
        <v>0.062</v>
      </c>
      <c r="L10" s="0" t="n">
        <v>164.9</v>
      </c>
      <c r="M10" s="0" t="n">
        <v>3.4</v>
      </c>
      <c r="N10" s="0" t="n">
        <v>161.5</v>
      </c>
      <c r="O10" s="0" t="n">
        <v>4405.2</v>
      </c>
      <c r="P10" s="0" t="n">
        <v>6291.3</v>
      </c>
      <c r="Q10" s="0" t="n">
        <v>1886.1</v>
      </c>
      <c r="R10" s="0" t="n">
        <v>82.6</v>
      </c>
      <c r="S10" s="0" t="n">
        <v>647.4</v>
      </c>
      <c r="T10" s="0" t="n">
        <v>3557</v>
      </c>
      <c r="U10" s="0" t="n">
        <v>9.2</v>
      </c>
      <c r="V10" s="0" t="n">
        <v>0.0959</v>
      </c>
      <c r="AA10" s="0" t="s">
        <v>18</v>
      </c>
      <c r="AB10" s="0" t="s">
        <v>14</v>
      </c>
      <c r="AC10" s="0" t="n">
        <v>319</v>
      </c>
      <c r="AD10" s="0" t="n">
        <v>9.6</v>
      </c>
      <c r="AE10" s="0" t="n">
        <v>10089</v>
      </c>
      <c r="AF10" s="0" t="n">
        <v>416.4</v>
      </c>
      <c r="AG10" s="0" t="n">
        <v>3557</v>
      </c>
    </row>
    <row r="11" customFormat="false" ht="15" hidden="false" customHeight="false" outlineLevel="0" collapsed="false">
      <c r="A11" s="0" t="s">
        <v>78</v>
      </c>
      <c r="B11" s="0" t="n">
        <v>3844.6</v>
      </c>
      <c r="C11" s="0" t="n">
        <v>3186.2</v>
      </c>
      <c r="D11" s="0" t="n">
        <v>658.4</v>
      </c>
      <c r="E11" s="0" t="n">
        <v>17.1</v>
      </c>
      <c r="F11" s="0" t="n">
        <v>174.7</v>
      </c>
      <c r="G11" s="0" t="n">
        <v>4.5</v>
      </c>
      <c r="H11" s="0" t="n">
        <v>190.4</v>
      </c>
      <c r="I11" s="0" t="n">
        <v>100.4</v>
      </c>
      <c r="J11" s="0" t="n">
        <v>2.6</v>
      </c>
      <c r="K11" s="0" t="n">
        <v>0.028</v>
      </c>
      <c r="L11" s="0" t="n">
        <v>133.2</v>
      </c>
      <c r="M11" s="0" t="n">
        <v>6.7</v>
      </c>
      <c r="N11" s="0" t="n">
        <v>126.5</v>
      </c>
      <c r="O11" s="0" t="n">
        <v>4186.8</v>
      </c>
      <c r="P11" s="0" t="n">
        <v>6066.1</v>
      </c>
      <c r="Q11" s="0" t="n">
        <v>1879.3</v>
      </c>
      <c r="R11" s="0" t="n">
        <v>87</v>
      </c>
      <c r="S11" s="0" t="n">
        <v>429.6</v>
      </c>
      <c r="T11" s="0" t="n">
        <v>3557</v>
      </c>
      <c r="U11" s="0" t="n">
        <v>8.9</v>
      </c>
      <c r="V11" s="0" t="n">
        <v>0.0933</v>
      </c>
      <c r="AA11" s="0" t="s">
        <v>18</v>
      </c>
      <c r="AB11" s="0" t="s">
        <v>14</v>
      </c>
      <c r="AC11" s="0" t="n">
        <v>335</v>
      </c>
      <c r="AD11" s="0" t="n">
        <v>11.6</v>
      </c>
      <c r="AE11" s="0" t="n">
        <v>10735</v>
      </c>
      <c r="AF11" s="0" t="n">
        <v>418.5</v>
      </c>
      <c r="AG11" s="0" t="n">
        <v>3557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79</v>
      </c>
      <c r="B1" s="2" t="s">
        <v>80</v>
      </c>
    </row>
    <row r="2" customFormat="false" ht="15" hidden="false" customHeight="false" outlineLevel="0" collapsed="false">
      <c r="A2" s="0" t="s">
        <v>81</v>
      </c>
      <c r="B2" s="3" t="n">
        <v>73.44</v>
      </c>
    </row>
    <row r="3" customFormat="false" ht="15" hidden="false" customHeight="false" outlineLevel="0" collapsed="false">
      <c r="A3" s="0" t="s">
        <v>82</v>
      </c>
      <c r="B3" s="3" t="n">
        <v>3527.3</v>
      </c>
    </row>
    <row r="4" customFormat="false" ht="15" hidden="false" customHeight="false" outlineLevel="0" collapsed="false">
      <c r="A4" s="0" t="s">
        <v>83</v>
      </c>
      <c r="B4" s="3" t="n">
        <v>-168.6</v>
      </c>
    </row>
    <row r="5" customFormat="false" ht="15" hidden="false" customHeight="false" outlineLevel="0" collapsed="false">
      <c r="A5" s="0" t="s">
        <v>84</v>
      </c>
      <c r="B5" s="3" t="n">
        <v>-328.3</v>
      </c>
    </row>
    <row r="6" customFormat="false" ht="15" hidden="false" customHeight="false" outlineLevel="0" collapsed="false">
      <c r="A6" s="0" t="s">
        <v>85</v>
      </c>
      <c r="B6" s="3" t="n">
        <v>15</v>
      </c>
    </row>
    <row r="7" customFormat="false" ht="15" hidden="false" customHeight="false" outlineLevel="0" collapsed="false">
      <c r="A7" s="0" t="s">
        <v>86</v>
      </c>
      <c r="B7" s="3" t="n">
        <v>3844.6</v>
      </c>
    </row>
    <row r="8" customFormat="false" ht="15" hidden="false" customHeight="false" outlineLevel="0" collapsed="false">
      <c r="A8" s="0" t="s">
        <v>87</v>
      </c>
      <c r="B8" s="3" t="s">
        <v>78</v>
      </c>
    </row>
    <row r="9" customFormat="false" ht="15" hidden="false" customHeight="false" outlineLevel="0" collapsed="false">
      <c r="A9" s="0" t="s">
        <v>88</v>
      </c>
      <c r="B9" s="3" t="s">
        <v>89</v>
      </c>
    </row>
    <row r="10" customFormat="false" ht="15" hidden="false" customHeight="false" outlineLevel="0" collapsed="false">
      <c r="A10" s="0" t="s">
        <v>90</v>
      </c>
      <c r="B10" s="3" t="n">
        <v>100</v>
      </c>
    </row>
    <row r="12" customFormat="false" ht="15" hidden="false" customHeight="false" outlineLevel="0" collapsed="false">
      <c r="A12" s="2" t="s">
        <v>91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99</v>
      </c>
      <c r="K12" s="2" t="s">
        <v>100</v>
      </c>
      <c r="L12" s="2" t="s">
        <v>101</v>
      </c>
    </row>
    <row r="13" customFormat="false" ht="15" hidden="false" customHeight="false" outlineLevel="0" collapsed="false">
      <c r="A13" s="0" t="s">
        <v>102</v>
      </c>
      <c r="C13" s="3" t="n">
        <v>-1</v>
      </c>
      <c r="D13" s="3" t="n">
        <v>-3</v>
      </c>
      <c r="E13" s="3" t="n">
        <v>0</v>
      </c>
      <c r="F13" s="3" t="n">
        <v>2</v>
      </c>
      <c r="G13" s="3" t="n">
        <v>3</v>
      </c>
      <c r="H13" s="3" t="n">
        <v>2.5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103</v>
      </c>
      <c r="C14" s="3" t="n">
        <v>8.5</v>
      </c>
      <c r="D14" s="3" t="n">
        <v>7.5</v>
      </c>
      <c r="E14" s="3" t="n">
        <v>7.5</v>
      </c>
      <c r="F14" s="3" t="n">
        <v>8.5</v>
      </c>
      <c r="G14" s="3" t="n">
        <v>9.5</v>
      </c>
      <c r="H14" s="3" t="n">
        <v>10</v>
      </c>
      <c r="I14" s="3" t="n">
        <v>10.5</v>
      </c>
      <c r="J14" s="3" t="n">
        <v>10.5</v>
      </c>
      <c r="K14" s="3" t="n">
        <v>10.5</v>
      </c>
      <c r="L14" s="3" t="n">
        <v>10.5</v>
      </c>
    </row>
    <row r="15" customFormat="false" ht="15" hidden="false" customHeight="false" outlineLevel="0" collapsed="false">
      <c r="A15" s="0" t="s">
        <v>104</v>
      </c>
      <c r="C15" s="3" t="n">
        <v>0.23</v>
      </c>
      <c r="D15" s="3" t="n">
        <v>0.23</v>
      </c>
      <c r="E15" s="3" t="n">
        <v>0.23</v>
      </c>
      <c r="F15" s="3" t="n">
        <v>0.23</v>
      </c>
      <c r="G15" s="3" t="n">
        <v>0.23</v>
      </c>
      <c r="H15" s="3" t="n">
        <v>0.23</v>
      </c>
      <c r="I15" s="3" t="n">
        <v>0.23</v>
      </c>
      <c r="J15" s="3" t="n">
        <v>0.23</v>
      </c>
      <c r="K15" s="3" t="n">
        <v>0.23</v>
      </c>
      <c r="L15" s="3" t="n">
        <v>0.23</v>
      </c>
    </row>
    <row r="16" customFormat="false" ht="15" hidden="false" customHeight="false" outlineLevel="0" collapsed="false">
      <c r="A16" s="0" t="s">
        <v>105</v>
      </c>
      <c r="C16" s="3" t="n">
        <v>0.35</v>
      </c>
      <c r="D16" s="3" t="n">
        <v>0.35</v>
      </c>
      <c r="E16" s="3" t="n">
        <v>0.35</v>
      </c>
      <c r="F16" s="3" t="n">
        <v>0.35</v>
      </c>
      <c r="G16" s="3" t="n">
        <v>0.35</v>
      </c>
      <c r="H16" s="3" t="n">
        <v>0.35</v>
      </c>
      <c r="I16" s="3" t="n">
        <v>0.35</v>
      </c>
      <c r="J16" s="3" t="n">
        <v>0.35</v>
      </c>
      <c r="K16" s="3" t="n">
        <v>0.35</v>
      </c>
      <c r="L16" s="3" t="n">
        <v>0.35</v>
      </c>
    </row>
    <row r="17" customFormat="false" ht="15" hidden="false" customHeight="false" outlineLevel="0" collapsed="false">
      <c r="A17" s="0" t="s">
        <v>106</v>
      </c>
      <c r="C17" s="3" t="n">
        <v>0.4</v>
      </c>
      <c r="D17" s="3" t="n">
        <v>0.4</v>
      </c>
      <c r="E17" s="3" t="n">
        <v>0.4</v>
      </c>
      <c r="F17" s="3" t="n">
        <v>0.4</v>
      </c>
      <c r="G17" s="3" t="n">
        <v>0.4</v>
      </c>
      <c r="H17" s="3" t="n">
        <v>0.4</v>
      </c>
      <c r="I17" s="3" t="n">
        <v>0.4</v>
      </c>
      <c r="J17" s="3" t="n">
        <v>0.4</v>
      </c>
      <c r="K17" s="3" t="n">
        <v>0.4</v>
      </c>
      <c r="L17" s="3" t="n">
        <v>0.4</v>
      </c>
    </row>
    <row r="18" customFormat="false" ht="15" hidden="false" customHeight="false" outlineLevel="0" collapsed="false">
      <c r="A18" s="0" t="s">
        <v>107</v>
      </c>
      <c r="C18" s="3" t="n">
        <v>0.25</v>
      </c>
      <c r="D18" s="3" t="n">
        <v>0.25</v>
      </c>
      <c r="E18" s="3" t="n">
        <v>0.25</v>
      </c>
      <c r="F18" s="3" t="n">
        <v>0.25</v>
      </c>
      <c r="G18" s="3" t="n">
        <v>0.25</v>
      </c>
      <c r="H18" s="3" t="n">
        <v>0.25</v>
      </c>
      <c r="I18" s="3" t="n">
        <v>0.25</v>
      </c>
      <c r="J18" s="3" t="n">
        <v>0.25</v>
      </c>
      <c r="K18" s="3" t="n">
        <v>0.25</v>
      </c>
      <c r="L18" s="3" t="n">
        <v>0.25</v>
      </c>
    </row>
    <row r="19" customFormat="false" ht="15" hidden="false" customHeight="false" outlineLevel="0" collapsed="false">
      <c r="A19" s="0" t="s">
        <v>108</v>
      </c>
      <c r="C19" s="3" t="n">
        <v>29</v>
      </c>
      <c r="D19" s="3" t="n">
        <v>29</v>
      </c>
      <c r="E19" s="3" t="n">
        <v>29</v>
      </c>
      <c r="F19" s="3" t="n">
        <v>29</v>
      </c>
      <c r="G19" s="3" t="n">
        <v>29</v>
      </c>
      <c r="H19" s="3" t="n">
        <v>29</v>
      </c>
      <c r="I19" s="3" t="n">
        <v>29</v>
      </c>
      <c r="J19" s="3" t="n">
        <v>29</v>
      </c>
      <c r="K19" s="3" t="n">
        <v>29</v>
      </c>
      <c r="L19" s="3" t="n">
        <v>29</v>
      </c>
    </row>
    <row r="20" customFormat="false" ht="15" hidden="false" customHeight="false" outlineLevel="0" collapsed="false">
      <c r="A20" s="0" t="s">
        <v>109</v>
      </c>
      <c r="B20" s="3" t="n">
        <v>9.5</v>
      </c>
    </row>
    <row r="21" customFormat="false" ht="15" hidden="false" customHeight="false" outlineLevel="0" collapsed="false">
      <c r="A21" s="0" t="s">
        <v>110</v>
      </c>
      <c r="B21" s="3" t="n">
        <v>2</v>
      </c>
    </row>
    <row r="22" customFormat="false" ht="15" hidden="false" customHeight="false" outlineLevel="0" collapsed="false">
      <c r="A22" s="0" t="s">
        <v>111</v>
      </c>
      <c r="B22" s="3" t="n">
        <v>12</v>
      </c>
    </row>
    <row r="23" customFormat="false" ht="15" hidden="false" customHeight="false" outlineLevel="0" collapsed="false">
      <c r="A23" s="0" t="s">
        <v>112</v>
      </c>
      <c r="B23" s="3" t="n">
        <v>-50</v>
      </c>
    </row>
    <row r="24" customFormat="false" ht="15" hidden="false" customHeight="false" outlineLevel="0" collapsed="false">
      <c r="A24" s="0" t="s">
        <v>113</v>
      </c>
      <c r="B24" s="3" t="n">
        <v>0.3</v>
      </c>
    </row>
    <row r="26" customFormat="false" ht="15" hidden="false" customHeight="false" outlineLevel="0" collapsed="false">
      <c r="A26" s="2" t="s">
        <v>114</v>
      </c>
      <c r="C26" s="2" t="s">
        <v>92</v>
      </c>
      <c r="D26" s="2" t="s">
        <v>93</v>
      </c>
      <c r="E26" s="2" t="s">
        <v>94</v>
      </c>
      <c r="F26" s="2" t="s">
        <v>95</v>
      </c>
      <c r="G26" s="2" t="s">
        <v>96</v>
      </c>
      <c r="H26" s="2" t="s">
        <v>97</v>
      </c>
      <c r="I26" s="2" t="s">
        <v>98</v>
      </c>
      <c r="J26" s="2" t="s">
        <v>99</v>
      </c>
      <c r="K26" s="2" t="s">
        <v>100</v>
      </c>
      <c r="L26" s="2" t="s">
        <v>101</v>
      </c>
    </row>
    <row r="27" customFormat="false" ht="15" hidden="false" customHeight="false" outlineLevel="0" collapsed="false">
      <c r="A27" s="0" t="s">
        <v>102</v>
      </c>
      <c r="C27" s="3" t="n">
        <v>0.5</v>
      </c>
      <c r="D27" s="3" t="n">
        <v>4</v>
      </c>
      <c r="E27" s="3" t="n">
        <v>7</v>
      </c>
      <c r="F27" s="3" t="n">
        <v>7</v>
      </c>
      <c r="G27" s="3" t="n">
        <v>5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103</v>
      </c>
      <c r="C28" s="3" t="n">
        <v>9</v>
      </c>
      <c r="D28" s="3" t="n">
        <v>9.8</v>
      </c>
      <c r="E28" s="3" t="n">
        <v>11</v>
      </c>
      <c r="F28" s="3" t="n">
        <v>12</v>
      </c>
      <c r="G28" s="3" t="n">
        <v>13</v>
      </c>
      <c r="H28" s="3" t="n">
        <v>13.5</v>
      </c>
      <c r="I28" s="3" t="n">
        <v>14</v>
      </c>
      <c r="J28" s="3" t="n">
        <v>14</v>
      </c>
      <c r="K28" s="3" t="n">
        <v>14</v>
      </c>
      <c r="L28" s="3" t="n">
        <v>14</v>
      </c>
    </row>
    <row r="29" customFormat="false" ht="15" hidden="false" customHeight="false" outlineLevel="0" collapsed="false">
      <c r="A29" s="0" t="s">
        <v>104</v>
      </c>
      <c r="C29" s="3" t="n">
        <v>0.23</v>
      </c>
      <c r="D29" s="3" t="n">
        <v>0.23</v>
      </c>
      <c r="E29" s="3" t="n">
        <v>0.23</v>
      </c>
      <c r="F29" s="3" t="n">
        <v>0.23</v>
      </c>
      <c r="G29" s="3" t="n">
        <v>0.23</v>
      </c>
      <c r="H29" s="3" t="n">
        <v>0.23</v>
      </c>
      <c r="I29" s="3" t="n">
        <v>0.23</v>
      </c>
      <c r="J29" s="3" t="n">
        <v>0.23</v>
      </c>
      <c r="K29" s="3" t="n">
        <v>0.23</v>
      </c>
      <c r="L29" s="3" t="n">
        <v>0.23</v>
      </c>
    </row>
    <row r="30" customFormat="false" ht="15" hidden="false" customHeight="false" outlineLevel="0" collapsed="false">
      <c r="A30" s="0" t="s">
        <v>105</v>
      </c>
      <c r="C30" s="3" t="n">
        <v>0.35</v>
      </c>
      <c r="D30" s="3" t="n">
        <v>0.35</v>
      </c>
      <c r="E30" s="3" t="n">
        <v>0.35</v>
      </c>
      <c r="F30" s="3" t="n">
        <v>0.35</v>
      </c>
      <c r="G30" s="3" t="n">
        <v>0.35</v>
      </c>
      <c r="H30" s="3" t="n">
        <v>0.35</v>
      </c>
      <c r="I30" s="3" t="n">
        <v>0.35</v>
      </c>
      <c r="J30" s="3" t="n">
        <v>0.35</v>
      </c>
      <c r="K30" s="3" t="n">
        <v>0.35</v>
      </c>
      <c r="L30" s="3" t="n">
        <v>0.35</v>
      </c>
    </row>
    <row r="31" customFormat="false" ht="15" hidden="false" customHeight="false" outlineLevel="0" collapsed="false">
      <c r="A31" s="0" t="s">
        <v>106</v>
      </c>
      <c r="C31" s="3" t="n">
        <v>0.4</v>
      </c>
      <c r="D31" s="3" t="n">
        <v>0.4</v>
      </c>
      <c r="E31" s="3" t="n">
        <v>0.4</v>
      </c>
      <c r="F31" s="3" t="n">
        <v>0.4</v>
      </c>
      <c r="G31" s="3" t="n">
        <v>0.4</v>
      </c>
      <c r="H31" s="3" t="n">
        <v>0.4</v>
      </c>
      <c r="I31" s="3" t="n">
        <v>0.4</v>
      </c>
      <c r="J31" s="3" t="n">
        <v>0.4</v>
      </c>
      <c r="K31" s="3" t="n">
        <v>0.4</v>
      </c>
      <c r="L31" s="3" t="n">
        <v>0.4</v>
      </c>
    </row>
    <row r="32" customFormat="false" ht="15" hidden="false" customHeight="false" outlineLevel="0" collapsed="false">
      <c r="A32" s="0" t="s">
        <v>107</v>
      </c>
      <c r="C32" s="3" t="n">
        <v>0.25</v>
      </c>
      <c r="D32" s="3" t="n">
        <v>0.25</v>
      </c>
      <c r="E32" s="3" t="n">
        <v>0.25</v>
      </c>
      <c r="F32" s="3" t="n">
        <v>0.25</v>
      </c>
      <c r="G32" s="3" t="n">
        <v>0.25</v>
      </c>
      <c r="H32" s="3" t="n">
        <v>0.25</v>
      </c>
      <c r="I32" s="3" t="n">
        <v>0.25</v>
      </c>
      <c r="J32" s="3" t="n">
        <v>0.25</v>
      </c>
      <c r="K32" s="3" t="n">
        <v>0.25</v>
      </c>
      <c r="L32" s="3" t="n">
        <v>0.25</v>
      </c>
    </row>
    <row r="33" customFormat="false" ht="15" hidden="false" customHeight="false" outlineLevel="0" collapsed="false">
      <c r="A33" s="0" t="s">
        <v>108</v>
      </c>
      <c r="C33" s="3" t="n">
        <v>29</v>
      </c>
      <c r="D33" s="3" t="n">
        <v>29</v>
      </c>
      <c r="E33" s="3" t="n">
        <v>29</v>
      </c>
      <c r="F33" s="3" t="n">
        <v>29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109</v>
      </c>
      <c r="B34" s="3" t="n">
        <v>9.5</v>
      </c>
    </row>
    <row r="35" customFormat="false" ht="15" hidden="false" customHeight="false" outlineLevel="0" collapsed="false">
      <c r="A35" s="0" t="s">
        <v>110</v>
      </c>
      <c r="B35" s="3" t="n">
        <v>2</v>
      </c>
    </row>
    <row r="36" customFormat="false" ht="15" hidden="false" customHeight="false" outlineLevel="0" collapsed="false">
      <c r="A36" s="0" t="s">
        <v>111</v>
      </c>
      <c r="B36" s="3" t="n">
        <v>13</v>
      </c>
    </row>
    <row r="37" customFormat="false" ht="15" hidden="false" customHeight="false" outlineLevel="0" collapsed="false">
      <c r="A37" s="0" t="s">
        <v>112</v>
      </c>
      <c r="B37" s="3" t="n">
        <v>-40</v>
      </c>
    </row>
    <row r="38" customFormat="false" ht="15" hidden="false" customHeight="false" outlineLevel="0" collapsed="false">
      <c r="A38" s="0" t="s">
        <v>113</v>
      </c>
      <c r="B38" s="3" t="n">
        <v>0.5</v>
      </c>
    </row>
    <row r="40" customFormat="false" ht="15" hidden="false" customHeight="false" outlineLevel="0" collapsed="false">
      <c r="A40" s="2" t="s">
        <v>115</v>
      </c>
      <c r="C40" s="2" t="s">
        <v>92</v>
      </c>
      <c r="D40" s="2" t="s">
        <v>93</v>
      </c>
      <c r="E40" s="2" t="s">
        <v>94</v>
      </c>
      <c r="F40" s="2" t="s">
        <v>95</v>
      </c>
      <c r="G40" s="2" t="s">
        <v>96</v>
      </c>
      <c r="H40" s="2" t="s">
        <v>97</v>
      </c>
      <c r="I40" s="2" t="s">
        <v>98</v>
      </c>
      <c r="J40" s="2" t="s">
        <v>99</v>
      </c>
      <c r="K40" s="2" t="s">
        <v>100</v>
      </c>
      <c r="L40" s="2" t="s">
        <v>101</v>
      </c>
    </row>
    <row r="41" customFormat="false" ht="15" hidden="false" customHeight="false" outlineLevel="0" collapsed="false">
      <c r="A41" s="0" t="s">
        <v>102</v>
      </c>
      <c r="C41" s="3" t="n">
        <v>1</v>
      </c>
      <c r="D41" s="3" t="n">
        <v>6</v>
      </c>
      <c r="E41" s="3" t="n">
        <v>9</v>
      </c>
      <c r="F41" s="3" t="n">
        <v>9</v>
      </c>
      <c r="G41" s="3" t="n">
        <v>7</v>
      </c>
      <c r="H41" s="3" t="n">
        <v>5</v>
      </c>
      <c r="I41" s="3" t="n">
        <v>4</v>
      </c>
      <c r="J41" s="3" t="n">
        <v>3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103</v>
      </c>
      <c r="C42" s="3" t="n">
        <v>9.5</v>
      </c>
      <c r="D42" s="3" t="n">
        <v>11</v>
      </c>
      <c r="E42" s="3" t="n">
        <v>13</v>
      </c>
      <c r="F42" s="3" t="n">
        <v>14.5</v>
      </c>
      <c r="G42" s="3" t="n">
        <v>15.5</v>
      </c>
      <c r="H42" s="3" t="n">
        <v>16</v>
      </c>
      <c r="I42" s="3" t="n">
        <v>16.5</v>
      </c>
      <c r="J42" s="3" t="n">
        <v>16.5</v>
      </c>
      <c r="K42" s="3" t="n">
        <v>16.5</v>
      </c>
      <c r="L42" s="3" t="n">
        <v>16.5</v>
      </c>
    </row>
    <row r="43" customFormat="false" ht="15" hidden="false" customHeight="false" outlineLevel="0" collapsed="false">
      <c r="A43" s="0" t="s">
        <v>104</v>
      </c>
      <c r="C43" s="3" t="n">
        <v>0.23</v>
      </c>
      <c r="D43" s="3" t="n">
        <v>0.23</v>
      </c>
      <c r="E43" s="3" t="n">
        <v>0.23</v>
      </c>
      <c r="F43" s="3" t="n">
        <v>0.23</v>
      </c>
      <c r="G43" s="3" t="n">
        <v>0.23</v>
      </c>
      <c r="H43" s="3" t="n">
        <v>0.23</v>
      </c>
      <c r="I43" s="3" t="n">
        <v>0.23</v>
      </c>
      <c r="J43" s="3" t="n">
        <v>0.23</v>
      </c>
      <c r="K43" s="3" t="n">
        <v>0.23</v>
      </c>
      <c r="L43" s="3" t="n">
        <v>0.23</v>
      </c>
    </row>
    <row r="44" customFormat="false" ht="15" hidden="false" customHeight="false" outlineLevel="0" collapsed="false">
      <c r="A44" s="0" t="s">
        <v>105</v>
      </c>
      <c r="C44" s="3" t="n">
        <v>0.35</v>
      </c>
      <c r="D44" s="3" t="n">
        <v>0.35</v>
      </c>
      <c r="E44" s="3" t="n">
        <v>0.35</v>
      </c>
      <c r="F44" s="3" t="n">
        <v>0.35</v>
      </c>
      <c r="G44" s="3" t="n">
        <v>0.35</v>
      </c>
      <c r="H44" s="3" t="n">
        <v>0.35</v>
      </c>
      <c r="I44" s="3" t="n">
        <v>0.35</v>
      </c>
      <c r="J44" s="3" t="n">
        <v>0.35</v>
      </c>
      <c r="K44" s="3" t="n">
        <v>0.35</v>
      </c>
      <c r="L44" s="3" t="n">
        <v>0.35</v>
      </c>
    </row>
    <row r="45" customFormat="false" ht="15" hidden="false" customHeight="false" outlineLevel="0" collapsed="false">
      <c r="A45" s="0" t="s">
        <v>106</v>
      </c>
      <c r="C45" s="3" t="n">
        <v>0.4</v>
      </c>
      <c r="D45" s="3" t="n">
        <v>0.4</v>
      </c>
      <c r="E45" s="3" t="n">
        <v>0.4</v>
      </c>
      <c r="F45" s="3" t="n">
        <v>0.4</v>
      </c>
      <c r="G45" s="3" t="n">
        <v>0.4</v>
      </c>
      <c r="H45" s="3" t="n">
        <v>0.4</v>
      </c>
      <c r="I45" s="3" t="n">
        <v>0.4</v>
      </c>
      <c r="J45" s="3" t="n">
        <v>0.4</v>
      </c>
      <c r="K45" s="3" t="n">
        <v>0.4</v>
      </c>
      <c r="L45" s="3" t="n">
        <v>0.4</v>
      </c>
    </row>
    <row r="46" customFormat="false" ht="15" hidden="false" customHeight="false" outlineLevel="0" collapsed="false">
      <c r="A46" s="0" t="s">
        <v>107</v>
      </c>
      <c r="C46" s="3" t="n">
        <v>0.25</v>
      </c>
      <c r="D46" s="3" t="n">
        <v>0.25</v>
      </c>
      <c r="E46" s="3" t="n">
        <v>0.25</v>
      </c>
      <c r="F46" s="3" t="n">
        <v>0.25</v>
      </c>
      <c r="G46" s="3" t="n">
        <v>0.25</v>
      </c>
      <c r="H46" s="3" t="n">
        <v>0.25</v>
      </c>
      <c r="I46" s="3" t="n">
        <v>0.25</v>
      </c>
      <c r="J46" s="3" t="n">
        <v>0.25</v>
      </c>
      <c r="K46" s="3" t="n">
        <v>0.25</v>
      </c>
      <c r="L46" s="3" t="n">
        <v>0.25</v>
      </c>
    </row>
    <row r="47" customFormat="false" ht="15" hidden="false" customHeight="false" outlineLevel="0" collapsed="false">
      <c r="A47" s="0" t="s">
        <v>108</v>
      </c>
      <c r="C47" s="3" t="n">
        <v>29</v>
      </c>
      <c r="D47" s="3" t="n">
        <v>29</v>
      </c>
      <c r="E47" s="3" t="n">
        <v>29</v>
      </c>
      <c r="F47" s="3" t="n">
        <v>29</v>
      </c>
      <c r="G47" s="3" t="n">
        <v>29</v>
      </c>
      <c r="H47" s="3" t="n">
        <v>29</v>
      </c>
      <c r="I47" s="3" t="n">
        <v>29</v>
      </c>
      <c r="J47" s="3" t="n">
        <v>29</v>
      </c>
      <c r="K47" s="3" t="n">
        <v>29</v>
      </c>
      <c r="L47" s="3" t="n">
        <v>29</v>
      </c>
    </row>
    <row r="48" customFormat="false" ht="15" hidden="false" customHeight="false" outlineLevel="0" collapsed="false">
      <c r="A48" s="0" t="s">
        <v>109</v>
      </c>
      <c r="B48" s="3" t="n">
        <v>9.5</v>
      </c>
    </row>
    <row r="49" customFormat="false" ht="15" hidden="false" customHeight="false" outlineLevel="0" collapsed="false">
      <c r="A49" s="0" t="s">
        <v>110</v>
      </c>
      <c r="B49" s="3" t="n">
        <v>2</v>
      </c>
    </row>
    <row r="50" customFormat="false" ht="15" hidden="false" customHeight="false" outlineLevel="0" collapsed="false">
      <c r="A50" s="0" t="s">
        <v>111</v>
      </c>
      <c r="B50" s="3" t="n">
        <v>14</v>
      </c>
    </row>
    <row r="51" customFormat="false" ht="15" hidden="false" customHeight="false" outlineLevel="0" collapsed="false">
      <c r="A51" s="0" t="s">
        <v>112</v>
      </c>
      <c r="B51" s="3" t="n">
        <v>-30</v>
      </c>
    </row>
    <row r="52" customFormat="false" ht="15" hidden="false" customHeight="false" outlineLevel="0" collapsed="false">
      <c r="A52" s="0" t="s">
        <v>113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116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Assumptions!C13</f>
        <v>-1</v>
      </c>
      <c r="D5" s="4" t="n">
        <f aca="false">Assumptions!D13</f>
        <v>-3</v>
      </c>
      <c r="E5" s="4" t="n">
        <f aca="false">Assumptions!E13</f>
        <v>0</v>
      </c>
      <c r="F5" s="4" t="n">
        <f aca="false">Assumptions!F13</f>
        <v>2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3844.6</v>
      </c>
      <c r="C6" s="0" t="n">
        <f aca="false">B6*(1+C5/100)</f>
        <v>3806.154</v>
      </c>
      <c r="D6" s="0" t="n">
        <f aca="false">C6*(1+D5/100)</f>
        <v>3691.96938</v>
      </c>
      <c r="E6" s="0" t="n">
        <f aca="false">D6*(1+E5/100)</f>
        <v>3691.96938</v>
      </c>
      <c r="F6" s="0" t="n">
        <f aca="false">E6*(1+F5/100)</f>
        <v>3765.8087676</v>
      </c>
      <c r="G6" s="0" t="n">
        <f aca="false">F6*(1+G5/100)</f>
        <v>3878.783030628</v>
      </c>
      <c r="H6" s="0" t="n">
        <f aca="false">G6*(1+H5/100)</f>
        <v>3975.7526063937</v>
      </c>
      <c r="I6" s="0" t="n">
        <f aca="false">H6*(1+I5/100)</f>
        <v>4055.26765852157</v>
      </c>
      <c r="J6" s="0" t="n">
        <f aca="false">I6*(1+J5/100)</f>
        <v>4136.37301169201</v>
      </c>
      <c r="K6" s="0" t="n">
        <f aca="false">J6*(1+K5/100)</f>
        <v>4219.10047192585</v>
      </c>
      <c r="L6" s="0" t="n">
        <f aca="false">K6*(1+L5/100)</f>
        <v>4303.48248136436</v>
      </c>
    </row>
    <row r="7" customFormat="false" ht="15" hidden="false" customHeight="false" outlineLevel="0" collapsed="false">
      <c r="A7" s="0" t="s">
        <v>103</v>
      </c>
      <c r="C7" s="4" t="n">
        <f aca="false">Assumptions!C14</f>
        <v>8.5</v>
      </c>
      <c r="D7" s="4" t="n">
        <f aca="false">Assumptions!D14</f>
        <v>7.5</v>
      </c>
      <c r="E7" s="4" t="n">
        <f aca="false">Assumptions!E14</f>
        <v>7.5</v>
      </c>
      <c r="F7" s="4" t="n">
        <f aca="false">Assumptions!F14</f>
        <v>8.5</v>
      </c>
      <c r="G7" s="4" t="n">
        <f aca="false">Assumptions!G14</f>
        <v>9.5</v>
      </c>
      <c r="H7" s="4" t="n">
        <f aca="false">Assumptions!H14</f>
        <v>10</v>
      </c>
      <c r="I7" s="4" t="n">
        <f aca="false">Assumptions!I14</f>
        <v>10.5</v>
      </c>
      <c r="J7" s="4" t="n">
        <f aca="false">Assumptions!J14</f>
        <v>10.5</v>
      </c>
      <c r="K7" s="4" t="n">
        <f aca="false">Assumptions!K14</f>
        <v>10.5</v>
      </c>
      <c r="L7" s="4" t="n">
        <f aca="false">Assumptions!L14</f>
        <v>10.5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323.52309</v>
      </c>
      <c r="D8" s="0" t="n">
        <f aca="false">D6*D7/100</f>
        <v>276.8977035</v>
      </c>
      <c r="E8" s="0" t="n">
        <f aca="false">E6*E7/100</f>
        <v>276.8977035</v>
      </c>
      <c r="F8" s="0" t="n">
        <f aca="false">F6*F7/100</f>
        <v>320.093745246</v>
      </c>
      <c r="G8" s="0" t="n">
        <f aca="false">G6*G7/100</f>
        <v>368.48438790966</v>
      </c>
      <c r="H8" s="0" t="n">
        <f aca="false">H6*H7/100</f>
        <v>397.57526063937</v>
      </c>
      <c r="I8" s="0" t="n">
        <f aca="false">I6*I7/100</f>
        <v>425.803104144765</v>
      </c>
      <c r="J8" s="0" t="n">
        <f aca="false">J6*J7/100</f>
        <v>434.319166227661</v>
      </c>
      <c r="K8" s="0" t="n">
        <f aca="false">K6*K7/100</f>
        <v>443.005549552214</v>
      </c>
      <c r="L8" s="0" t="n">
        <f aca="false">L6*L7/100</f>
        <v>451.865660543258</v>
      </c>
    </row>
    <row r="9" customFormat="false" ht="15" hidden="false" customHeight="false" outlineLevel="0" collapsed="false">
      <c r="A9" s="0" t="s">
        <v>104</v>
      </c>
      <c r="C9" s="4" t="n">
        <f aca="false">Assumptions!C15</f>
        <v>0.23</v>
      </c>
      <c r="D9" s="4" t="n">
        <f aca="false">Assumptions!D15</f>
        <v>0.23</v>
      </c>
      <c r="E9" s="4" t="n">
        <f aca="false">Assumptions!E15</f>
        <v>0.23</v>
      </c>
      <c r="F9" s="4" t="n">
        <f aca="false">Assumptions!F15</f>
        <v>0.23</v>
      </c>
      <c r="G9" s="4" t="n">
        <f aca="false">Assumptions!G15</f>
        <v>0.23</v>
      </c>
      <c r="H9" s="4" t="n">
        <f aca="false">Assumptions!H15</f>
        <v>0.23</v>
      </c>
      <c r="I9" s="4" t="n">
        <f aca="false">Assumptions!I15</f>
        <v>0.23</v>
      </c>
      <c r="J9" s="4" t="n">
        <f aca="false">Assumptions!J15</f>
        <v>0.23</v>
      </c>
      <c r="K9" s="4" t="n">
        <f aca="false">Assumptions!K15</f>
        <v>0.23</v>
      </c>
      <c r="L9" s="4" t="n">
        <f aca="false">Assumptions!L15</f>
        <v>0.23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-8.7541542</v>
      </c>
      <c r="D10" s="0" t="n">
        <f aca="false">-D6*D9/100</f>
        <v>-8.491529574</v>
      </c>
      <c r="E10" s="0" t="n">
        <f aca="false">-E6*E9/100</f>
        <v>-8.491529574</v>
      </c>
      <c r="F10" s="0" t="n">
        <f aca="false">-F6*F9/100</f>
        <v>-8.66136016548</v>
      </c>
      <c r="G10" s="0" t="n">
        <f aca="false">-G6*G9/100</f>
        <v>-8.9212009704444</v>
      </c>
      <c r="H10" s="0" t="n">
        <f aca="false">-H6*H9/100</f>
        <v>-9.14423099470551</v>
      </c>
      <c r="I10" s="0" t="n">
        <f aca="false">-I6*I9/100</f>
        <v>-9.32711561459962</v>
      </c>
      <c r="J10" s="0" t="n">
        <f aca="false">-J6*J9/100</f>
        <v>-9.51365792689161</v>
      </c>
      <c r="K10" s="0" t="n">
        <f aca="false">-K6*K9/100</f>
        <v>-9.70393108542945</v>
      </c>
      <c r="L10" s="0" t="n">
        <f aca="false">-L6*L9/100</f>
        <v>-9.89800970713804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301.4473968</v>
      </c>
      <c r="D11" s="0" t="n">
        <f aca="false">D8+D10+D24</f>
        <v>255.484281096</v>
      </c>
      <c r="E11" s="0" t="n">
        <f aca="false">E8+E10+E24</f>
        <v>255.484281096</v>
      </c>
      <c r="F11" s="0" t="n">
        <f aca="false">F8+F10+F24</f>
        <v>298.25205439392</v>
      </c>
      <c r="G11" s="0" t="n">
        <f aca="false">G8+G10+G24</f>
        <v>345.987446332018</v>
      </c>
      <c r="H11" s="0" t="n">
        <f aca="false">H8+H10+H24</f>
        <v>374.515895522287</v>
      </c>
      <c r="I11" s="0" t="n">
        <f aca="false">I8+I10+I24</f>
        <v>402.28255172534</v>
      </c>
      <c r="J11" s="0" t="n">
        <f aca="false">J8+J10+J24</f>
        <v>410.328202759847</v>
      </c>
      <c r="K11" s="0" t="n">
        <f aca="false">K8+K10+K24</f>
        <v>418.534766815044</v>
      </c>
      <c r="L11" s="0" t="n">
        <f aca="false">L8+L10+L24</f>
        <v>426.905462151345</v>
      </c>
    </row>
    <row r="12" customFormat="false" ht="15" hidden="false" customHeight="false" outlineLevel="0" collapsed="false">
      <c r="A12" s="0" t="s">
        <v>121</v>
      </c>
      <c r="C12" s="4" t="n">
        <f aca="false">-C6*Assumptions!C17/100</f>
        <v>-15.224616</v>
      </c>
      <c r="D12" s="4" t="n">
        <f aca="false">-D6*Assumptions!D17/100</f>
        <v>-14.76787752</v>
      </c>
      <c r="E12" s="4" t="n">
        <f aca="false">-E6*Assumptions!E17/100</f>
        <v>-14.76787752</v>
      </c>
      <c r="F12" s="4" t="n">
        <f aca="false">-F6*Assumptions!F17/100</f>
        <v>-15.0632350704</v>
      </c>
      <c r="G12" s="4" t="n">
        <f aca="false">-G6*Assumptions!G17/100</f>
        <v>-15.515132122512</v>
      </c>
      <c r="H12" s="4" t="n">
        <f aca="false">-H6*Assumptions!H17/100</f>
        <v>-15.9030104255748</v>
      </c>
      <c r="I12" s="4" t="n">
        <f aca="false">-I6*Assumptions!I17/100</f>
        <v>-16.2210706340863</v>
      </c>
      <c r="J12" s="4" t="n">
        <f aca="false">-J6*Assumptions!J17/100</f>
        <v>-16.545492046768</v>
      </c>
      <c r="K12" s="4" t="n">
        <f aca="false">-K6*Assumptions!K17/100</f>
        <v>-16.8764018877034</v>
      </c>
      <c r="L12" s="4" t="n">
        <f aca="false">-L6*Assumptions!L17/100</f>
        <v>-17.2139299254575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286.2227808</v>
      </c>
      <c r="D13" s="0" t="n">
        <f aca="false">D11+D12</f>
        <v>240.716403576</v>
      </c>
      <c r="E13" s="0" t="n">
        <f aca="false">E11+E12</f>
        <v>240.716403576</v>
      </c>
      <c r="F13" s="0" t="n">
        <f aca="false">F11+F12</f>
        <v>283.18881932352</v>
      </c>
      <c r="G13" s="0" t="n">
        <f aca="false">G11+G12</f>
        <v>330.472314209506</v>
      </c>
      <c r="H13" s="0" t="n">
        <f aca="false">H11+H12</f>
        <v>358.612885096712</v>
      </c>
      <c r="I13" s="0" t="n">
        <f aca="false">I11+I12</f>
        <v>386.061481091254</v>
      </c>
      <c r="J13" s="0" t="n">
        <f aca="false">J11+J12</f>
        <v>393.782710713079</v>
      </c>
      <c r="K13" s="0" t="n">
        <f aca="false">K11+K12</f>
        <v>401.658364927341</v>
      </c>
      <c r="L13" s="0" t="n">
        <f aca="false">L11+L12</f>
        <v>409.691532225887</v>
      </c>
    </row>
    <row r="14" customFormat="false" ht="15" hidden="false" customHeight="false" outlineLevel="0" collapsed="false">
      <c r="A14" s="0" t="s">
        <v>108</v>
      </c>
      <c r="C14" s="4" t="n">
        <f aca="false">Assumptions!C19</f>
        <v>29</v>
      </c>
      <c r="D14" s="4" t="n">
        <f aca="false">Assumptions!D19</f>
        <v>29</v>
      </c>
      <c r="E14" s="4" t="n">
        <f aca="false">Assumptions!E19</f>
        <v>29</v>
      </c>
      <c r="F14" s="4" t="n">
        <f aca="false">Assumptions!F19</f>
        <v>29</v>
      </c>
      <c r="G14" s="4" t="n">
        <f aca="false">Assumptions!G19</f>
        <v>29</v>
      </c>
      <c r="H14" s="4" t="n">
        <f aca="false">Assumptions!H19</f>
        <v>29</v>
      </c>
      <c r="I14" s="4" t="n">
        <f aca="false">Assumptions!I19</f>
        <v>29</v>
      </c>
      <c r="J14" s="4" t="n">
        <f aca="false">Assumptions!J19</f>
        <v>29</v>
      </c>
      <c r="K14" s="4" t="n">
        <f aca="false">Assumptions!K19</f>
        <v>29</v>
      </c>
      <c r="L14" s="4" t="n">
        <f aca="false">Assumptions!L19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203.218174368</v>
      </c>
      <c r="D15" s="0" t="n">
        <f aca="false">D13-MAX(0,D13)*D14/100</f>
        <v>170.90864653896</v>
      </c>
      <c r="E15" s="0" t="n">
        <f aca="false">E13-MAX(0,E13)*E14/100</f>
        <v>170.90864653896</v>
      </c>
      <c r="F15" s="0" t="n">
        <f aca="false">F13-MAX(0,F13)*F14/100</f>
        <v>201.064061719699</v>
      </c>
      <c r="G15" s="0" t="n">
        <f aca="false">G13-MAX(0,G13)*G14/100</f>
        <v>234.635343088749</v>
      </c>
      <c r="H15" s="0" t="n">
        <f aca="false">H13-MAX(0,H13)*H14/100</f>
        <v>254.615148418665</v>
      </c>
      <c r="I15" s="0" t="n">
        <f aca="false">I13-MAX(0,I13)*I14/100</f>
        <v>274.10365157479</v>
      </c>
      <c r="J15" s="0" t="n">
        <f aca="false">J13-MAX(0,J13)*J14/100</f>
        <v>279.585724606286</v>
      </c>
      <c r="K15" s="0" t="n">
        <f aca="false">K13-MAX(0,K13)*K14/100</f>
        <v>285.177439098412</v>
      </c>
      <c r="L15" s="0" t="n">
        <f aca="false">L13-MAX(0,L13)*L14/100</f>
        <v>290.88098788038</v>
      </c>
    </row>
    <row r="16" customFormat="false" ht="15" hidden="false" customHeight="false" outlineLevel="0" collapsed="false">
      <c r="A16" s="0" t="s">
        <v>124</v>
      </c>
      <c r="C16" s="0" t="n">
        <f aca="false">-C12</f>
        <v>15.224616</v>
      </c>
      <c r="D16" s="0" t="n">
        <f aca="false">-D12</f>
        <v>14.76787752</v>
      </c>
      <c r="E16" s="0" t="n">
        <f aca="false">-E12</f>
        <v>14.76787752</v>
      </c>
      <c r="F16" s="0" t="n">
        <f aca="false">-F12</f>
        <v>15.0632350704</v>
      </c>
      <c r="G16" s="0" t="n">
        <f aca="false">-G12</f>
        <v>15.515132122512</v>
      </c>
      <c r="H16" s="0" t="n">
        <f aca="false">-H12</f>
        <v>15.9030104255748</v>
      </c>
      <c r="I16" s="0" t="n">
        <f aca="false">-I12</f>
        <v>16.2210706340863</v>
      </c>
      <c r="J16" s="0" t="n">
        <f aca="false">-J12</f>
        <v>16.545492046768</v>
      </c>
      <c r="K16" s="0" t="n">
        <f aca="false">-K12</f>
        <v>16.8764018877034</v>
      </c>
      <c r="L16" s="0" t="n">
        <f aca="false">-L12</f>
        <v>17.2139299254575</v>
      </c>
    </row>
    <row r="17" customFormat="false" ht="15" hidden="false" customHeight="false" outlineLevel="0" collapsed="false">
      <c r="A17" s="0" t="s">
        <v>125</v>
      </c>
      <c r="C17" s="4" t="n">
        <f aca="false">-C6*Assumptions!C18/100</f>
        <v>-9.515385</v>
      </c>
      <c r="D17" s="4" t="n">
        <f aca="false">-D6*Assumptions!D18/100</f>
        <v>-9.22992345</v>
      </c>
      <c r="E17" s="4" t="n">
        <f aca="false">-E6*Assumptions!E18/100</f>
        <v>-9.22992345</v>
      </c>
      <c r="F17" s="4" t="n">
        <f aca="false">-F6*Assumptions!F18/100</f>
        <v>-9.414521919</v>
      </c>
      <c r="G17" s="4" t="n">
        <f aca="false">-G6*Assumptions!G18/100</f>
        <v>-9.69695757657</v>
      </c>
      <c r="H17" s="4" t="n">
        <f aca="false">-H6*Assumptions!H18/100</f>
        <v>-9.93938151598425</v>
      </c>
      <c r="I17" s="4" t="n">
        <f aca="false">-I6*Assumptions!I18/100</f>
        <v>-10.1381691463039</v>
      </c>
      <c r="J17" s="4" t="n">
        <f aca="false">-J6*Assumptions!J18/100</f>
        <v>-10.34093252923</v>
      </c>
      <c r="K17" s="4" t="n">
        <f aca="false">-K6*Assumptions!K18/100</f>
        <v>-10.5477511798146</v>
      </c>
      <c r="L17" s="4" t="n">
        <f aca="false">-L6*Assumptions!L18/100</f>
        <v>-10.7587062034109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(C6-B6)*Assumptions!$B$23/100</f>
        <v>19.223</v>
      </c>
      <c r="D18" s="4" t="n">
        <f aca="false">(D6-C6)*Assumptions!$B$23/100</f>
        <v>57.09231</v>
      </c>
      <c r="E18" s="4" t="n">
        <f aca="false">(E6-D6)*Assumptions!$B$23/100</f>
        <v>-0</v>
      </c>
      <c r="F18" s="4" t="n">
        <f aca="false">(F6-E6)*Assumptions!$B$23/100</f>
        <v>-36.9196938</v>
      </c>
      <c r="G18" s="4" t="n">
        <f aca="false">(G6-F6)*Assumptions!$B$23/100</f>
        <v>-56.4871315140001</v>
      </c>
      <c r="H18" s="4" t="n">
        <f aca="false">(H6-G6)*Assumptions!$B$23/100</f>
        <v>-48.4847878828498</v>
      </c>
      <c r="I18" s="4" t="n">
        <f aca="false">(I6-H6)*Assumptions!$B$23/100</f>
        <v>-39.7575260639371</v>
      </c>
      <c r="J18" s="4" t="n">
        <f aca="false">(J6-I6)*Assumptions!$B$23/100</f>
        <v>-40.552676585216</v>
      </c>
      <c r="K18" s="4" t="n">
        <f aca="false">(K6-J6)*Assumptions!$B$23/100</f>
        <v>-41.3637301169201</v>
      </c>
      <c r="L18" s="4" t="n">
        <f aca="false">(L6-K6)*Assumptions!$B$23/100</f>
        <v>-42.1910047192587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228.150405368</v>
      </c>
      <c r="D19" s="0" t="n">
        <f aca="false">D15+D16+D17+D18</f>
        <v>233.53891060896</v>
      </c>
      <c r="E19" s="0" t="n">
        <f aca="false">E15+E16+E17+E18</f>
        <v>176.44660060896</v>
      </c>
      <c r="F19" s="0" t="n">
        <f aca="false">F15+F16+F17+F18</f>
        <v>169.793081071099</v>
      </c>
      <c r="G19" s="0" t="n">
        <f aca="false">G15+G16+G17+G18</f>
        <v>183.966386120691</v>
      </c>
      <c r="H19" s="0" t="n">
        <f aca="false">H15+H16+H17+H18</f>
        <v>212.093989445406</v>
      </c>
      <c r="I19" s="0" t="n">
        <f aca="false">I15+I16+I17+I18</f>
        <v>240.429026998635</v>
      </c>
      <c r="J19" s="0" t="n">
        <f aca="false">J15+J16+J17+J18</f>
        <v>245.237607538608</v>
      </c>
      <c r="K19" s="0" t="n">
        <f aca="false">K15+K16+K17+K18</f>
        <v>250.14235968938</v>
      </c>
      <c r="L19" s="0" t="n">
        <f aca="false">L15+L16+L17+L18</f>
        <v>255.145206883168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208.356534582648</v>
      </c>
      <c r="D21" s="0" t="n">
        <f aca="false">D19*D20</f>
        <v>194.77401272614</v>
      </c>
      <c r="E21" s="0" t="n">
        <f aca="false">E19*E20</f>
        <v>134.391232914003</v>
      </c>
      <c r="F21" s="0" t="n">
        <f aca="false">F19*F20</f>
        <v>118.10370240444</v>
      </c>
      <c r="G21" s="0" t="n">
        <f aca="false">G19*G20</f>
        <v>116.860537945788</v>
      </c>
      <c r="H21" s="0" t="n">
        <f aca="false">H19*H20</f>
        <v>123.039241767782</v>
      </c>
      <c r="I21" s="0" t="n">
        <f aca="false">I19*I20</f>
        <v>127.376134347768</v>
      </c>
      <c r="J21" s="0" t="n">
        <f aca="false">J19*J20</f>
        <v>118.651741584222</v>
      </c>
      <c r="K21" s="0" t="n">
        <f aca="false">K19*K20</f>
        <v>110.524909968865</v>
      </c>
      <c r="L21" s="0" t="n">
        <f aca="false">L19*L20</f>
        <v>102.954710655929</v>
      </c>
    </row>
    <row r="23" customFormat="false" ht="15" hidden="false" customHeight="false" outlineLevel="0" collapsed="false">
      <c r="A23" s="0" t="s">
        <v>105</v>
      </c>
      <c r="C23" s="4" t="n">
        <f aca="false">Assumptions!C16</f>
        <v>0.35</v>
      </c>
      <c r="D23" s="4" t="n">
        <f aca="false">Assumptions!D16</f>
        <v>0.35</v>
      </c>
      <c r="E23" s="4" t="n">
        <f aca="false">Assumptions!E16</f>
        <v>0.35</v>
      </c>
      <c r="F23" s="4" t="n">
        <f aca="false">Assumptions!F16</f>
        <v>0.35</v>
      </c>
      <c r="G23" s="4" t="n">
        <f aca="false">Assumptions!G16</f>
        <v>0.35</v>
      </c>
      <c r="H23" s="4" t="n">
        <f aca="false">Assumptions!H16</f>
        <v>0.35</v>
      </c>
      <c r="I23" s="4" t="n">
        <f aca="false">Assumptions!I16</f>
        <v>0.35</v>
      </c>
      <c r="J23" s="4" t="n">
        <f aca="false">Assumptions!J16</f>
        <v>0.35</v>
      </c>
      <c r="K23" s="4" t="n">
        <f aca="false">Assumptions!K16</f>
        <v>0.35</v>
      </c>
      <c r="L23" s="4" t="n">
        <f aca="false">Assumptions!L16</f>
        <v>0.35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-13.321539</v>
      </c>
      <c r="D24" s="0" t="n">
        <f aca="false">-D6*D23/100</f>
        <v>-12.92189283</v>
      </c>
      <c r="E24" s="0" t="n">
        <f aca="false">-E6*E23/100</f>
        <v>-12.92189283</v>
      </c>
      <c r="F24" s="0" t="n">
        <f aca="false">-F6*F23/100</f>
        <v>-13.1803306866</v>
      </c>
      <c r="G24" s="0" t="n">
        <f aca="false">-G6*G23/100</f>
        <v>-13.575740607198</v>
      </c>
      <c r="H24" s="0" t="n">
        <f aca="false">-H6*H23/100</f>
        <v>-13.915134122378</v>
      </c>
      <c r="I24" s="0" t="n">
        <f aca="false">-I6*I23/100</f>
        <v>-14.1934368048255</v>
      </c>
      <c r="J24" s="0" t="n">
        <f aca="false">-J6*J23/100</f>
        <v>-14.477305540922</v>
      </c>
      <c r="K24" s="0" t="n">
        <f aca="false">-K6*K23/100</f>
        <v>-14.7668516517405</v>
      </c>
      <c r="L24" s="0" t="n">
        <f aca="false">-L6*L23/100</f>
        <v>-15.0621886847753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1355.03275889759</v>
      </c>
    </row>
    <row r="31" customFormat="false" ht="15" hidden="false" customHeight="false" outlineLevel="0" collapsed="false">
      <c r="A31" s="0" t="s">
        <v>133</v>
      </c>
      <c r="B31" s="0" t="n">
        <f aca="false">L19</f>
        <v>255.145206883168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3469.97481361108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3061.74248259802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3061.74248259802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1235.45652787115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2590.48928676873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2430.78928676873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68.9135964269762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-0.0616340355803893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56.3665951289956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54.3182277874831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72.05154394821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2001.90854631409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40.0052388815683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Assumptions!C27</f>
        <v>0.5</v>
      </c>
      <c r="D5" s="4" t="n">
        <f aca="false">Assumptions!D27</f>
        <v>4</v>
      </c>
      <c r="E5" s="4" t="n">
        <f aca="false">Assumptions!E27</f>
        <v>7</v>
      </c>
      <c r="F5" s="4" t="n">
        <f aca="false">Assumptions!F27</f>
        <v>7</v>
      </c>
      <c r="G5" s="4" t="n">
        <f aca="false">Assumptions!G27</f>
        <v>5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3844.6</v>
      </c>
      <c r="C6" s="0" t="n">
        <f aca="false">B6*(1+C5/100)</f>
        <v>3863.823</v>
      </c>
      <c r="D6" s="0" t="n">
        <f aca="false">C6*(1+D5/100)</f>
        <v>4018.37592</v>
      </c>
      <c r="E6" s="0" t="n">
        <f aca="false">D6*(1+E5/100)</f>
        <v>4299.6622344</v>
      </c>
      <c r="F6" s="0" t="n">
        <f aca="false">E6*(1+F5/100)</f>
        <v>4600.638590808</v>
      </c>
      <c r="G6" s="0" t="n">
        <f aca="false">F6*(1+G5/100)</f>
        <v>4830.6705203484</v>
      </c>
      <c r="H6" s="0" t="n">
        <f aca="false">G6*(1+H5/100)</f>
        <v>4999.74398856059</v>
      </c>
      <c r="I6" s="0" t="n">
        <f aca="false">H6*(1+I5/100)</f>
        <v>5149.73630821741</v>
      </c>
      <c r="J6" s="0" t="n">
        <f aca="false">I6*(1+J5/100)</f>
        <v>5278.47971592285</v>
      </c>
      <c r="K6" s="0" t="n">
        <f aca="false">J6*(1+K5/100)</f>
        <v>5410.44170882092</v>
      </c>
      <c r="L6" s="0" t="n">
        <f aca="false">K6*(1+L5/100)</f>
        <v>5545.70275154144</v>
      </c>
    </row>
    <row r="7" customFormat="false" ht="15" hidden="false" customHeight="false" outlineLevel="0" collapsed="false">
      <c r="A7" s="0" t="s">
        <v>103</v>
      </c>
      <c r="C7" s="4" t="n">
        <f aca="false">Assumptions!C28</f>
        <v>9</v>
      </c>
      <c r="D7" s="4" t="n">
        <f aca="false">Assumptions!D28</f>
        <v>9.8</v>
      </c>
      <c r="E7" s="4" t="n">
        <f aca="false">Assumptions!E28</f>
        <v>11</v>
      </c>
      <c r="F7" s="4" t="n">
        <f aca="false">Assumptions!F28</f>
        <v>12</v>
      </c>
      <c r="G7" s="4" t="n">
        <f aca="false">Assumptions!G28</f>
        <v>13</v>
      </c>
      <c r="H7" s="4" t="n">
        <f aca="false">Assumptions!H28</f>
        <v>13.5</v>
      </c>
      <c r="I7" s="4" t="n">
        <f aca="false">Assumptions!I28</f>
        <v>14</v>
      </c>
      <c r="J7" s="4" t="n">
        <f aca="false">Assumptions!J28</f>
        <v>14</v>
      </c>
      <c r="K7" s="4" t="n">
        <f aca="false">Assumptions!K28</f>
        <v>14</v>
      </c>
      <c r="L7" s="4" t="n">
        <f aca="false">Assumptions!L28</f>
        <v>14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347.74407</v>
      </c>
      <c r="D8" s="0" t="n">
        <f aca="false">D6*D7/100</f>
        <v>393.80084016</v>
      </c>
      <c r="E8" s="0" t="n">
        <f aca="false">E6*E7/100</f>
        <v>472.962845784</v>
      </c>
      <c r="F8" s="0" t="n">
        <f aca="false">F6*F7/100</f>
        <v>552.07663089696</v>
      </c>
      <c r="G8" s="0" t="n">
        <f aca="false">G6*G7/100</f>
        <v>627.987167645292</v>
      </c>
      <c r="H8" s="0" t="n">
        <f aca="false">H6*H7/100</f>
        <v>674.96543845568</v>
      </c>
      <c r="I8" s="0" t="n">
        <f aca="false">I6*I7/100</f>
        <v>720.963083150438</v>
      </c>
      <c r="J8" s="0" t="n">
        <f aca="false">J6*J7/100</f>
        <v>738.987160229199</v>
      </c>
      <c r="K8" s="0" t="n">
        <f aca="false">K6*K7/100</f>
        <v>757.461839234929</v>
      </c>
      <c r="L8" s="0" t="n">
        <f aca="false">L6*L7/100</f>
        <v>776.398385215802</v>
      </c>
    </row>
    <row r="9" customFormat="false" ht="15" hidden="false" customHeight="false" outlineLevel="0" collapsed="false">
      <c r="A9" s="0" t="s">
        <v>104</v>
      </c>
      <c r="C9" s="4" t="n">
        <f aca="false">Assumptions!C29</f>
        <v>0.23</v>
      </c>
      <c r="D9" s="4" t="n">
        <f aca="false">Assumptions!D29</f>
        <v>0.23</v>
      </c>
      <c r="E9" s="4" t="n">
        <f aca="false">Assumptions!E29</f>
        <v>0.23</v>
      </c>
      <c r="F9" s="4" t="n">
        <f aca="false">Assumptions!F29</f>
        <v>0.23</v>
      </c>
      <c r="G9" s="4" t="n">
        <f aca="false">Assumptions!G29</f>
        <v>0.23</v>
      </c>
      <c r="H9" s="4" t="n">
        <f aca="false">Assumptions!H29</f>
        <v>0.23</v>
      </c>
      <c r="I9" s="4" t="n">
        <f aca="false">Assumptions!I29</f>
        <v>0.23</v>
      </c>
      <c r="J9" s="4" t="n">
        <f aca="false">Assumptions!J29</f>
        <v>0.23</v>
      </c>
      <c r="K9" s="4" t="n">
        <f aca="false">Assumptions!K29</f>
        <v>0.23</v>
      </c>
      <c r="L9" s="4" t="n">
        <f aca="false">Assumptions!L29</f>
        <v>0.23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-8.8867929</v>
      </c>
      <c r="D10" s="0" t="n">
        <f aca="false">-D6*D9/100</f>
        <v>-9.242264616</v>
      </c>
      <c r="E10" s="0" t="n">
        <f aca="false">-E6*E9/100</f>
        <v>-9.88922313912</v>
      </c>
      <c r="F10" s="0" t="n">
        <f aca="false">-F6*F9/100</f>
        <v>-10.5814687588584</v>
      </c>
      <c r="G10" s="0" t="n">
        <f aca="false">-G6*G9/100</f>
        <v>-11.1105421968013</v>
      </c>
      <c r="H10" s="0" t="n">
        <f aca="false">-H6*H9/100</f>
        <v>-11.4994111736894</v>
      </c>
      <c r="I10" s="0" t="n">
        <f aca="false">-I6*I9/100</f>
        <v>-11.8443935089001</v>
      </c>
      <c r="J10" s="0" t="n">
        <f aca="false">-J6*J9/100</f>
        <v>-12.1405033466226</v>
      </c>
      <c r="K10" s="0" t="n">
        <f aca="false">-K6*K9/100</f>
        <v>-12.4440159302881</v>
      </c>
      <c r="L10" s="0" t="n">
        <f aca="false">-L6*L9/100</f>
        <v>-12.7551163285453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325.3338966</v>
      </c>
      <c r="D11" s="0" t="n">
        <f aca="false">D8+D10+D24</f>
        <v>370.494259824</v>
      </c>
      <c r="E11" s="0" t="n">
        <f aca="false">E8+E10+E24</f>
        <v>448.02480482448</v>
      </c>
      <c r="F11" s="0" t="n">
        <f aca="false">F8+F10+F24</f>
        <v>525.392927070274</v>
      </c>
      <c r="G11" s="0" t="n">
        <f aca="false">G8+G10+G24</f>
        <v>599.969278627271</v>
      </c>
      <c r="H11" s="0" t="n">
        <f aca="false">H8+H10+H24</f>
        <v>645.966923322029</v>
      </c>
      <c r="I11" s="0" t="n">
        <f aca="false">I8+I10+I24</f>
        <v>691.094612562777</v>
      </c>
      <c r="J11" s="0" t="n">
        <f aca="false">J8+J10+J24</f>
        <v>708.371977876846</v>
      </c>
      <c r="K11" s="0" t="n">
        <f aca="false">K8+K10+K24</f>
        <v>726.081277323767</v>
      </c>
      <c r="L11" s="0" t="n">
        <f aca="false">L8+L10+L24</f>
        <v>744.233309256861</v>
      </c>
    </row>
    <row r="12" customFormat="false" ht="15" hidden="false" customHeight="false" outlineLevel="0" collapsed="false">
      <c r="A12" s="0" t="s">
        <v>121</v>
      </c>
      <c r="C12" s="4" t="n">
        <f aca="false">-C6*Assumptions!C31/100</f>
        <v>-15.455292</v>
      </c>
      <c r="D12" s="4" t="n">
        <f aca="false">-D6*Assumptions!D31/100</f>
        <v>-16.07350368</v>
      </c>
      <c r="E12" s="4" t="n">
        <f aca="false">-E6*Assumptions!E31/100</f>
        <v>-17.1986489376</v>
      </c>
      <c r="F12" s="4" t="n">
        <f aca="false">-F6*Assumptions!F31/100</f>
        <v>-18.402554363232</v>
      </c>
      <c r="G12" s="4" t="n">
        <f aca="false">-G6*Assumptions!G31/100</f>
        <v>-19.3226820813936</v>
      </c>
      <c r="H12" s="4" t="n">
        <f aca="false">-H6*Assumptions!H31/100</f>
        <v>-19.9989759542424</v>
      </c>
      <c r="I12" s="4" t="n">
        <f aca="false">-I6*Assumptions!I31/100</f>
        <v>-20.5989452328697</v>
      </c>
      <c r="J12" s="4" t="n">
        <f aca="false">-J6*Assumptions!J31/100</f>
        <v>-21.1139188636914</v>
      </c>
      <c r="K12" s="4" t="n">
        <f aca="false">-K6*Assumptions!K31/100</f>
        <v>-21.6417668352837</v>
      </c>
      <c r="L12" s="4" t="n">
        <f aca="false">-L6*Assumptions!L31/100</f>
        <v>-22.1828110061658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309.8786046</v>
      </c>
      <c r="D13" s="0" t="n">
        <f aca="false">D11+D12</f>
        <v>354.420756144</v>
      </c>
      <c r="E13" s="0" t="n">
        <f aca="false">E11+E12</f>
        <v>430.82615588688</v>
      </c>
      <c r="F13" s="0" t="n">
        <f aca="false">F11+F12</f>
        <v>506.990372707042</v>
      </c>
      <c r="G13" s="0" t="n">
        <f aca="false">G11+G12</f>
        <v>580.646596545878</v>
      </c>
      <c r="H13" s="0" t="n">
        <f aca="false">H11+H12</f>
        <v>625.967947367786</v>
      </c>
      <c r="I13" s="0" t="n">
        <f aca="false">I11+I12</f>
        <v>670.495667329907</v>
      </c>
      <c r="J13" s="0" t="n">
        <f aca="false">J11+J12</f>
        <v>687.258059013155</v>
      </c>
      <c r="K13" s="0" t="n">
        <f aca="false">K11+K12</f>
        <v>704.439510488484</v>
      </c>
      <c r="L13" s="0" t="n">
        <f aca="false">L11+L12</f>
        <v>722.050498250696</v>
      </c>
    </row>
    <row r="14" customFormat="false" ht="15" hidden="false" customHeight="false" outlineLevel="0" collapsed="false">
      <c r="A14" s="0" t="s">
        <v>108</v>
      </c>
      <c r="C14" s="4" t="n">
        <f aca="false">Assumptions!C33</f>
        <v>29</v>
      </c>
      <c r="D14" s="4" t="n">
        <f aca="false">Assumptions!D33</f>
        <v>29</v>
      </c>
      <c r="E14" s="4" t="n">
        <f aca="false">Assumptions!E33</f>
        <v>29</v>
      </c>
      <c r="F14" s="4" t="n">
        <f aca="false">Assumptions!F33</f>
        <v>29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220.013809266</v>
      </c>
      <c r="D15" s="0" t="n">
        <f aca="false">D13-MAX(0,D13)*D14/100</f>
        <v>251.63873686224</v>
      </c>
      <c r="E15" s="0" t="n">
        <f aca="false">E13-MAX(0,E13)*E14/100</f>
        <v>305.886570679685</v>
      </c>
      <c r="F15" s="0" t="n">
        <f aca="false">F13-MAX(0,F13)*F14/100</f>
        <v>359.963164622</v>
      </c>
      <c r="G15" s="0" t="n">
        <f aca="false">G13-MAX(0,G13)*G14/100</f>
        <v>412.259083547573</v>
      </c>
      <c r="H15" s="0" t="n">
        <f aca="false">H13-MAX(0,H13)*H14/100</f>
        <v>444.437242631128</v>
      </c>
      <c r="I15" s="0" t="n">
        <f aca="false">I13-MAX(0,I13)*I14/100</f>
        <v>476.051923804234</v>
      </c>
      <c r="J15" s="0" t="n">
        <f aca="false">J13-MAX(0,J13)*J14/100</f>
        <v>487.95322189934</v>
      </c>
      <c r="K15" s="0" t="n">
        <f aca="false">K13-MAX(0,K13)*K14/100</f>
        <v>500.152052446823</v>
      </c>
      <c r="L15" s="0" t="n">
        <f aca="false">L13-MAX(0,L13)*L14/100</f>
        <v>512.655853757994</v>
      </c>
    </row>
    <row r="16" customFormat="false" ht="15" hidden="false" customHeight="false" outlineLevel="0" collapsed="false">
      <c r="A16" s="0" t="s">
        <v>124</v>
      </c>
      <c r="C16" s="0" t="n">
        <f aca="false">-C12</f>
        <v>15.455292</v>
      </c>
      <c r="D16" s="0" t="n">
        <f aca="false">-D12</f>
        <v>16.07350368</v>
      </c>
      <c r="E16" s="0" t="n">
        <f aca="false">-E12</f>
        <v>17.1986489376</v>
      </c>
      <c r="F16" s="0" t="n">
        <f aca="false">-F12</f>
        <v>18.402554363232</v>
      </c>
      <c r="G16" s="0" t="n">
        <f aca="false">-G12</f>
        <v>19.3226820813936</v>
      </c>
      <c r="H16" s="0" t="n">
        <f aca="false">-H12</f>
        <v>19.9989759542424</v>
      </c>
      <c r="I16" s="0" t="n">
        <f aca="false">-I12</f>
        <v>20.5989452328697</v>
      </c>
      <c r="J16" s="0" t="n">
        <f aca="false">-J12</f>
        <v>21.1139188636914</v>
      </c>
      <c r="K16" s="0" t="n">
        <f aca="false">-K12</f>
        <v>21.6417668352837</v>
      </c>
      <c r="L16" s="0" t="n">
        <f aca="false">-L12</f>
        <v>22.1828110061658</v>
      </c>
    </row>
    <row r="17" customFormat="false" ht="15" hidden="false" customHeight="false" outlineLevel="0" collapsed="false">
      <c r="A17" s="0" t="s">
        <v>125</v>
      </c>
      <c r="C17" s="4" t="n">
        <f aca="false">-C6*Assumptions!C32/100</f>
        <v>-9.6595575</v>
      </c>
      <c r="D17" s="4" t="n">
        <f aca="false">-D6*Assumptions!D32/100</f>
        <v>-10.0459398</v>
      </c>
      <c r="E17" s="4" t="n">
        <f aca="false">-E6*Assumptions!E32/100</f>
        <v>-10.749155586</v>
      </c>
      <c r="F17" s="4" t="n">
        <f aca="false">-F6*Assumptions!F32/100</f>
        <v>-11.50159647702</v>
      </c>
      <c r="G17" s="4" t="n">
        <f aca="false">-G6*Assumptions!G32/100</f>
        <v>-12.076676300871</v>
      </c>
      <c r="H17" s="4" t="n">
        <f aca="false">-H6*Assumptions!H32/100</f>
        <v>-12.4993599714015</v>
      </c>
      <c r="I17" s="4" t="n">
        <f aca="false">-I6*Assumptions!I32/100</f>
        <v>-12.8743407705435</v>
      </c>
      <c r="J17" s="4" t="n">
        <f aca="false">-J6*Assumptions!J32/100</f>
        <v>-13.1961992898071</v>
      </c>
      <c r="K17" s="4" t="n">
        <f aca="false">-K6*Assumptions!K32/100</f>
        <v>-13.5261042720523</v>
      </c>
      <c r="L17" s="4" t="n">
        <f aca="false">-L6*Assumptions!L32/100</f>
        <v>-13.8642568788536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(C6-B6)*Assumptions!$B$37/100</f>
        <v>-7.6891999999998</v>
      </c>
      <c r="D18" s="4" t="n">
        <f aca="false">(D6-C6)*Assumptions!$B$37/100</f>
        <v>-61.821168</v>
      </c>
      <c r="E18" s="4" t="n">
        <f aca="false">(E6-D6)*Assumptions!$B$37/100</f>
        <v>-112.51452576</v>
      </c>
      <c r="F18" s="4" t="n">
        <f aca="false">(F6-E6)*Assumptions!$B$37/100</f>
        <v>-120.3905425632</v>
      </c>
      <c r="G18" s="4" t="n">
        <f aca="false">(G6-F6)*Assumptions!$B$37/100</f>
        <v>-92.0127718161602</v>
      </c>
      <c r="H18" s="4" t="n">
        <f aca="false">(H6-G6)*Assumptions!$B$37/100</f>
        <v>-67.6293872848775</v>
      </c>
      <c r="I18" s="4" t="n">
        <f aca="false">(I6-H6)*Assumptions!$B$37/100</f>
        <v>-59.9969278627272</v>
      </c>
      <c r="J18" s="4" t="n">
        <f aca="false">(J6-I6)*Assumptions!$B$37/100</f>
        <v>-51.497363082174</v>
      </c>
      <c r="K18" s="4" t="n">
        <f aca="false">(K6-J6)*Assumptions!$B$37/100</f>
        <v>-52.7847971592284</v>
      </c>
      <c r="L18" s="4" t="n">
        <f aca="false">(L6-K6)*Assumptions!$B$37/100</f>
        <v>-54.1044170882091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218.120343766</v>
      </c>
      <c r="D19" s="0" t="n">
        <f aca="false">D15+D16+D17+D18</f>
        <v>195.84513274224</v>
      </c>
      <c r="E19" s="0" t="n">
        <f aca="false">E15+E16+E17+E18</f>
        <v>199.821538271285</v>
      </c>
      <c r="F19" s="0" t="n">
        <f aca="false">F15+F16+F17+F18</f>
        <v>246.473579945011</v>
      </c>
      <c r="G19" s="0" t="n">
        <f aca="false">G15+G16+G17+G18</f>
        <v>327.492317511936</v>
      </c>
      <c r="H19" s="0" t="n">
        <f aca="false">H15+H16+H17+H18</f>
        <v>384.307471329092</v>
      </c>
      <c r="I19" s="0" t="n">
        <f aca="false">I15+I16+I17+I18</f>
        <v>423.779600403833</v>
      </c>
      <c r="J19" s="0" t="n">
        <f aca="false">J15+J16+J17+J18</f>
        <v>444.37357839105</v>
      </c>
      <c r="K19" s="0" t="n">
        <f aca="false">K15+K16+K17+K18</f>
        <v>455.482917850827</v>
      </c>
      <c r="L19" s="0" t="n">
        <f aca="false">L15+L16+L17+L18</f>
        <v>466.869990797097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199.196660973516</v>
      </c>
      <c r="D21" s="0" t="n">
        <f aca="false">D19*D20</f>
        <v>163.336988588428</v>
      </c>
      <c r="E21" s="0" t="n">
        <f aca="false">E19*E20</f>
        <v>152.19484420992</v>
      </c>
      <c r="F21" s="0" t="n">
        <f aca="false">F19*F20</f>
        <v>171.440686232634</v>
      </c>
      <c r="G21" s="0" t="n">
        <f aca="false">G19*G20</f>
        <v>208.032180250853</v>
      </c>
      <c r="H21" s="0" t="n">
        <f aca="false">H19*H20</f>
        <v>222.943139509365</v>
      </c>
      <c r="I21" s="0" t="n">
        <f aca="false">I19*I20</f>
        <v>224.512855160324</v>
      </c>
      <c r="J21" s="0" t="n">
        <f aca="false">J19*J20</f>
        <v>214.998423444538</v>
      </c>
      <c r="K21" s="0" t="n">
        <f aca="false">K19*K20</f>
        <v>201.254231991463</v>
      </c>
      <c r="L21" s="0" t="n">
        <f aca="false">L19*L20</f>
        <v>188.388664649543</v>
      </c>
    </row>
    <row r="23" customFormat="false" ht="15" hidden="false" customHeight="false" outlineLevel="0" collapsed="false">
      <c r="A23" s="0" t="s">
        <v>105</v>
      </c>
      <c r="C23" s="4" t="n">
        <f aca="false">Assumptions!C30</f>
        <v>0.35</v>
      </c>
      <c r="D23" s="4" t="n">
        <f aca="false">Assumptions!D30</f>
        <v>0.35</v>
      </c>
      <c r="E23" s="4" t="n">
        <f aca="false">Assumptions!E30</f>
        <v>0.35</v>
      </c>
      <c r="F23" s="4" t="n">
        <f aca="false">Assumptions!F30</f>
        <v>0.35</v>
      </c>
      <c r="G23" s="4" t="n">
        <f aca="false">Assumptions!G30</f>
        <v>0.35</v>
      </c>
      <c r="H23" s="4" t="n">
        <f aca="false">Assumptions!H30</f>
        <v>0.35</v>
      </c>
      <c r="I23" s="4" t="n">
        <f aca="false">Assumptions!I30</f>
        <v>0.35</v>
      </c>
      <c r="J23" s="4" t="n">
        <f aca="false">Assumptions!J30</f>
        <v>0.35</v>
      </c>
      <c r="K23" s="4" t="n">
        <f aca="false">Assumptions!K30</f>
        <v>0.35</v>
      </c>
      <c r="L23" s="4" t="n">
        <f aca="false">Assumptions!L30</f>
        <v>0.35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-13.5233805</v>
      </c>
      <c r="D24" s="0" t="n">
        <f aca="false">-D6*D23/100</f>
        <v>-14.06431572</v>
      </c>
      <c r="E24" s="0" t="n">
        <f aca="false">-E6*E23/100</f>
        <v>-15.0488178204</v>
      </c>
      <c r="F24" s="0" t="n">
        <f aca="false">-F6*F23/100</f>
        <v>-16.102235067828</v>
      </c>
      <c r="G24" s="0" t="n">
        <f aca="false">-G6*G23/100</f>
        <v>-16.9073468212194</v>
      </c>
      <c r="H24" s="0" t="n">
        <f aca="false">-H6*H23/100</f>
        <v>-17.4991039599621</v>
      </c>
      <c r="I24" s="0" t="n">
        <f aca="false">-I6*I23/100</f>
        <v>-18.0240770787609</v>
      </c>
      <c r="J24" s="0" t="n">
        <f aca="false">-J6*J23/100</f>
        <v>-18.47467900573</v>
      </c>
      <c r="K24" s="0" t="n">
        <f aca="false">-K6*K23/100</f>
        <v>-18.9365459808732</v>
      </c>
      <c r="L24" s="0" t="n">
        <f aca="false">-L6*L23/100</f>
        <v>-19.409959630395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Assumptions!$B$36</f>
        <v>13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1946.29867501058</v>
      </c>
    </row>
    <row r="31" customFormat="false" ht="15" hidden="false" customHeight="false" outlineLevel="0" collapsed="false">
      <c r="A31" s="0" t="s">
        <v>133</v>
      </c>
      <c r="B31" s="0" t="n">
        <f aca="false">L19</f>
        <v>466.869990797097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6349.43187484052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6069.30988036226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6069.30988036226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2449.05264044405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4395.35131545464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4235.65131545464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120.081969649722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0.635103072572465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67.2391283532516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69.9974373322876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123.972666944694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3663.13377394645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63.3420627981119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117</v>
      </c>
      <c r="B3" s="0" t="s">
        <v>78</v>
      </c>
      <c r="C3" s="2" t="s">
        <v>92</v>
      </c>
      <c r="D3" s="2" t="s">
        <v>93</v>
      </c>
      <c r="E3" s="2" t="s">
        <v>94</v>
      </c>
      <c r="F3" s="2" t="s">
        <v>95</v>
      </c>
      <c r="G3" s="2" t="s">
        <v>96</v>
      </c>
      <c r="H3" s="2" t="s">
        <v>97</v>
      </c>
      <c r="I3" s="2" t="s">
        <v>98</v>
      </c>
      <c r="J3" s="2" t="s">
        <v>99</v>
      </c>
      <c r="K3" s="2" t="s">
        <v>100</v>
      </c>
      <c r="L3" s="2" t="s">
        <v>101</v>
      </c>
    </row>
    <row r="4" customFormat="false" ht="15" hidden="false" customHeight="false" outlineLevel="0" collapsed="false">
      <c r="A4" s="0" t="s">
        <v>118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102</v>
      </c>
      <c r="C5" s="4" t="n">
        <f aca="false">Assumptions!C41</f>
        <v>1</v>
      </c>
      <c r="D5" s="4" t="n">
        <f aca="false">Assumptions!D41</f>
        <v>6</v>
      </c>
      <c r="E5" s="4" t="n">
        <f aca="false">Assumptions!E41</f>
        <v>9</v>
      </c>
      <c r="F5" s="4" t="n">
        <f aca="false">Assumptions!F41</f>
        <v>9</v>
      </c>
      <c r="G5" s="4" t="n">
        <f aca="false">Assumptions!G41</f>
        <v>7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3844.6</v>
      </c>
      <c r="C6" s="0" t="n">
        <f aca="false">B6*(1+C5/100)</f>
        <v>3883.046</v>
      </c>
      <c r="D6" s="0" t="n">
        <f aca="false">C6*(1+D5/100)</f>
        <v>4116.02876</v>
      </c>
      <c r="E6" s="0" t="n">
        <f aca="false">D6*(1+E5/100)</f>
        <v>4486.4713484</v>
      </c>
      <c r="F6" s="0" t="n">
        <f aca="false">E6*(1+F5/100)</f>
        <v>4890.253769756</v>
      </c>
      <c r="G6" s="0" t="n">
        <f aca="false">F6*(1+G5/100)</f>
        <v>5232.57153363892</v>
      </c>
      <c r="H6" s="0" t="n">
        <f aca="false">G6*(1+H5/100)</f>
        <v>5494.20011032087</v>
      </c>
      <c r="I6" s="0" t="n">
        <f aca="false">H6*(1+I5/100)</f>
        <v>5713.9681147337</v>
      </c>
      <c r="J6" s="0" t="n">
        <f aca="false">I6*(1+J5/100)</f>
        <v>5885.38715817571</v>
      </c>
      <c r="K6" s="0" t="n">
        <f aca="false">J6*(1+K5/100)</f>
        <v>6032.52183713011</v>
      </c>
      <c r="L6" s="0" t="n">
        <f aca="false">K6*(1+L5/100)</f>
        <v>6183.33488305836</v>
      </c>
    </row>
    <row r="7" customFormat="false" ht="15" hidden="false" customHeight="false" outlineLevel="0" collapsed="false">
      <c r="A7" s="0" t="s">
        <v>103</v>
      </c>
      <c r="C7" s="4" t="n">
        <f aca="false">Assumptions!C42</f>
        <v>9.5</v>
      </c>
      <c r="D7" s="4" t="n">
        <f aca="false">Assumptions!D42</f>
        <v>11</v>
      </c>
      <c r="E7" s="4" t="n">
        <f aca="false">Assumptions!E42</f>
        <v>13</v>
      </c>
      <c r="F7" s="4" t="n">
        <f aca="false">Assumptions!F42</f>
        <v>14.5</v>
      </c>
      <c r="G7" s="4" t="n">
        <f aca="false">Assumptions!G42</f>
        <v>15.5</v>
      </c>
      <c r="H7" s="4" t="n">
        <f aca="false">Assumptions!H42</f>
        <v>16</v>
      </c>
      <c r="I7" s="4" t="n">
        <f aca="false">Assumptions!I42</f>
        <v>16.5</v>
      </c>
      <c r="J7" s="4" t="n">
        <f aca="false">Assumptions!J42</f>
        <v>16.5</v>
      </c>
      <c r="K7" s="4" t="n">
        <f aca="false">Assumptions!K42</f>
        <v>16.5</v>
      </c>
      <c r="L7" s="4" t="n">
        <f aca="false">Assumptions!L42</f>
        <v>16.5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368.88937</v>
      </c>
      <c r="D8" s="0" t="n">
        <f aca="false">D6*D7/100</f>
        <v>452.7631636</v>
      </c>
      <c r="E8" s="0" t="n">
        <f aca="false">E6*E7/100</f>
        <v>583.241275292</v>
      </c>
      <c r="F8" s="0" t="n">
        <f aca="false">F6*F7/100</f>
        <v>709.08679661462</v>
      </c>
      <c r="G8" s="0" t="n">
        <f aca="false">G6*G7/100</f>
        <v>811.048587714033</v>
      </c>
      <c r="H8" s="0" t="n">
        <f aca="false">H6*H7/100</f>
        <v>879.072017651339</v>
      </c>
      <c r="I8" s="0" t="n">
        <f aca="false">I6*I7/100</f>
        <v>942.804738931061</v>
      </c>
      <c r="J8" s="0" t="n">
        <f aca="false">J6*J7/100</f>
        <v>971.088881098993</v>
      </c>
      <c r="K8" s="0" t="n">
        <f aca="false">K6*K7/100</f>
        <v>995.366103126468</v>
      </c>
      <c r="L8" s="0" t="n">
        <f aca="false">L6*L7/100</f>
        <v>1020.25025570463</v>
      </c>
    </row>
    <row r="9" customFormat="false" ht="15" hidden="false" customHeight="false" outlineLevel="0" collapsed="false">
      <c r="A9" s="0" t="s">
        <v>104</v>
      </c>
      <c r="C9" s="4" t="n">
        <f aca="false">Assumptions!C43</f>
        <v>0.23</v>
      </c>
      <c r="D9" s="4" t="n">
        <f aca="false">Assumptions!D43</f>
        <v>0.23</v>
      </c>
      <c r="E9" s="4" t="n">
        <f aca="false">Assumptions!E43</f>
        <v>0.23</v>
      </c>
      <c r="F9" s="4" t="n">
        <f aca="false">Assumptions!F43</f>
        <v>0.23</v>
      </c>
      <c r="G9" s="4" t="n">
        <f aca="false">Assumptions!G43</f>
        <v>0.23</v>
      </c>
      <c r="H9" s="4" t="n">
        <f aca="false">Assumptions!H43</f>
        <v>0.23</v>
      </c>
      <c r="I9" s="4" t="n">
        <f aca="false">Assumptions!I43</f>
        <v>0.23</v>
      </c>
      <c r="J9" s="4" t="n">
        <f aca="false">Assumptions!J43</f>
        <v>0.23</v>
      </c>
      <c r="K9" s="4" t="n">
        <f aca="false">Assumptions!K43</f>
        <v>0.23</v>
      </c>
      <c r="L9" s="4" t="n">
        <f aca="false">Assumptions!L43</f>
        <v>0.23</v>
      </c>
    </row>
    <row r="10" customFormat="false" ht="15" hidden="false" customHeight="false" outlineLevel="0" collapsed="false">
      <c r="A10" s="0" t="s">
        <v>119</v>
      </c>
      <c r="C10" s="0" t="n">
        <f aca="false">-C6*C9/100</f>
        <v>-8.9310058</v>
      </c>
      <c r="D10" s="0" t="n">
        <f aca="false">-D6*D9/100</f>
        <v>-9.466866148</v>
      </c>
      <c r="E10" s="0" t="n">
        <f aca="false">-E6*E9/100</f>
        <v>-10.31888410132</v>
      </c>
      <c r="F10" s="0" t="n">
        <f aca="false">-F6*F9/100</f>
        <v>-11.2475836704388</v>
      </c>
      <c r="G10" s="0" t="n">
        <f aca="false">-G6*G9/100</f>
        <v>-12.0349145273695</v>
      </c>
      <c r="H10" s="0" t="n">
        <f aca="false">-H6*H9/100</f>
        <v>-12.636660253738</v>
      </c>
      <c r="I10" s="0" t="n">
        <f aca="false">-I6*I9/100</f>
        <v>-13.1421266638875</v>
      </c>
      <c r="J10" s="0" t="n">
        <f aca="false">-J6*J9/100</f>
        <v>-13.5363904638041</v>
      </c>
      <c r="K10" s="0" t="n">
        <f aca="false">-K6*K9/100</f>
        <v>-13.8748002253992</v>
      </c>
      <c r="L10" s="0" t="n">
        <f aca="false">-L6*L9/100</f>
        <v>-14.2216702310342</v>
      </c>
    </row>
    <row r="11" customFormat="false" ht="15" hidden="false" customHeight="false" outlineLevel="0" collapsed="false">
      <c r="A11" s="0" t="s">
        <v>120</v>
      </c>
      <c r="C11" s="0" t="n">
        <f aca="false">C8+C10+C24</f>
        <v>346.3677032</v>
      </c>
      <c r="D11" s="0" t="n">
        <f aca="false">D8+D10+D24</f>
        <v>428.890196792</v>
      </c>
      <c r="E11" s="0" t="n">
        <f aca="false">E8+E10+E24</f>
        <v>557.21974147128</v>
      </c>
      <c r="F11" s="0" t="n">
        <f aca="false">F8+F10+F24</f>
        <v>680.723324750035</v>
      </c>
      <c r="G11" s="0" t="n">
        <f aca="false">G8+G10+G24</f>
        <v>780.699672818927</v>
      </c>
      <c r="H11" s="0" t="n">
        <f aca="false">H8+H10+H24</f>
        <v>847.205657011478</v>
      </c>
      <c r="I11" s="0" t="n">
        <f aca="false">I8+I10+I24</f>
        <v>909.663723865605</v>
      </c>
      <c r="J11" s="0" t="n">
        <f aca="false">J8+J10+J24</f>
        <v>936.953635581574</v>
      </c>
      <c r="K11" s="0" t="n">
        <f aca="false">K8+K10+K24</f>
        <v>960.377476471113</v>
      </c>
      <c r="L11" s="0" t="n">
        <f aca="false">L8+L10+L24</f>
        <v>984.386913382891</v>
      </c>
    </row>
    <row r="12" customFormat="false" ht="15" hidden="false" customHeight="false" outlineLevel="0" collapsed="false">
      <c r="A12" s="0" t="s">
        <v>121</v>
      </c>
      <c r="C12" s="4" t="n">
        <f aca="false">-C6*Assumptions!C45/100</f>
        <v>-15.532184</v>
      </c>
      <c r="D12" s="4" t="n">
        <f aca="false">-D6*Assumptions!D45/100</f>
        <v>-16.46411504</v>
      </c>
      <c r="E12" s="4" t="n">
        <f aca="false">-E6*Assumptions!E45/100</f>
        <v>-17.9458853936</v>
      </c>
      <c r="F12" s="4" t="n">
        <f aca="false">-F6*Assumptions!F45/100</f>
        <v>-19.561015079024</v>
      </c>
      <c r="G12" s="4" t="n">
        <f aca="false">-G6*Assumptions!G45/100</f>
        <v>-20.9302861345557</v>
      </c>
      <c r="H12" s="4" t="n">
        <f aca="false">-H6*Assumptions!H45/100</f>
        <v>-21.9768004412835</v>
      </c>
      <c r="I12" s="4" t="n">
        <f aca="false">-I6*Assumptions!I45/100</f>
        <v>-22.8558724589348</v>
      </c>
      <c r="J12" s="4" t="n">
        <f aca="false">-J6*Assumptions!J45/100</f>
        <v>-23.5415486327029</v>
      </c>
      <c r="K12" s="4" t="n">
        <f aca="false">-K6*Assumptions!K45/100</f>
        <v>-24.1300873485204</v>
      </c>
      <c r="L12" s="4" t="n">
        <f aca="false">-L6*Assumptions!L45/100</f>
        <v>-24.7333395322334</v>
      </c>
    </row>
    <row r="13" customFormat="false" ht="15" hidden="false" customHeight="false" outlineLevel="0" collapsed="false">
      <c r="A13" s="0" t="s">
        <v>122</v>
      </c>
      <c r="C13" s="0" t="n">
        <f aca="false">C11+C12</f>
        <v>330.8355192</v>
      </c>
      <c r="D13" s="0" t="n">
        <f aca="false">D11+D12</f>
        <v>412.426081752</v>
      </c>
      <c r="E13" s="0" t="n">
        <f aca="false">E11+E12</f>
        <v>539.27385607768</v>
      </c>
      <c r="F13" s="0" t="n">
        <f aca="false">F11+F12</f>
        <v>661.162309671011</v>
      </c>
      <c r="G13" s="0" t="n">
        <f aca="false">G11+G12</f>
        <v>759.769386684371</v>
      </c>
      <c r="H13" s="0" t="n">
        <f aca="false">H11+H12</f>
        <v>825.228856570194</v>
      </c>
      <c r="I13" s="0" t="n">
        <f aca="false">I11+I12</f>
        <v>886.807851406671</v>
      </c>
      <c r="J13" s="0" t="n">
        <f aca="false">J11+J12</f>
        <v>913.412086948871</v>
      </c>
      <c r="K13" s="0" t="n">
        <f aca="false">K11+K12</f>
        <v>936.247389122593</v>
      </c>
      <c r="L13" s="0" t="n">
        <f aca="false">L11+L12</f>
        <v>959.653573850657</v>
      </c>
    </row>
    <row r="14" customFormat="false" ht="15" hidden="false" customHeight="false" outlineLevel="0" collapsed="false">
      <c r="A14" s="0" t="s">
        <v>108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29</v>
      </c>
      <c r="F14" s="4" t="n">
        <f aca="false">Assumptions!F47</f>
        <v>29</v>
      </c>
      <c r="G14" s="4" t="n">
        <f aca="false">Assumptions!G47</f>
        <v>29</v>
      </c>
      <c r="H14" s="4" t="n">
        <f aca="false">Assumptions!H47</f>
        <v>29</v>
      </c>
      <c r="I14" s="4" t="n">
        <f aca="false">Assumptions!I47</f>
        <v>29</v>
      </c>
      <c r="J14" s="4" t="n">
        <f aca="false">Assumptions!J47</f>
        <v>29</v>
      </c>
      <c r="K14" s="4" t="n">
        <f aca="false">Assumptions!K47</f>
        <v>29</v>
      </c>
      <c r="L14" s="4" t="n">
        <f aca="false">Assumptions!L47</f>
        <v>29</v>
      </c>
    </row>
    <row r="15" customFormat="false" ht="15" hidden="false" customHeight="false" outlineLevel="0" collapsed="false">
      <c r="A15" s="0" t="s">
        <v>123</v>
      </c>
      <c r="C15" s="0" t="n">
        <f aca="false">C13-MAX(0,C13)*C14/100</f>
        <v>234.893218632</v>
      </c>
      <c r="D15" s="0" t="n">
        <f aca="false">D13-MAX(0,D13)*D14/100</f>
        <v>292.82251804392</v>
      </c>
      <c r="E15" s="0" t="n">
        <f aca="false">E13-MAX(0,E13)*E14/100</f>
        <v>382.884437815153</v>
      </c>
      <c r="F15" s="0" t="n">
        <f aca="false">F13-MAX(0,F13)*F14/100</f>
        <v>469.425239866418</v>
      </c>
      <c r="G15" s="0" t="n">
        <f aca="false">G13-MAX(0,G13)*G14/100</f>
        <v>539.436264545904</v>
      </c>
      <c r="H15" s="0" t="n">
        <f aca="false">H13-MAX(0,H13)*H14/100</f>
        <v>585.912488164838</v>
      </c>
      <c r="I15" s="0" t="n">
        <f aca="false">I13-MAX(0,I13)*I14/100</f>
        <v>629.633574498736</v>
      </c>
      <c r="J15" s="0" t="n">
        <f aca="false">J13-MAX(0,J13)*J14/100</f>
        <v>648.522581733698</v>
      </c>
      <c r="K15" s="0" t="n">
        <f aca="false">K13-MAX(0,K13)*K14/100</f>
        <v>664.735646277041</v>
      </c>
      <c r="L15" s="0" t="n">
        <f aca="false">L13-MAX(0,L13)*L14/100</f>
        <v>681.354037433967</v>
      </c>
    </row>
    <row r="16" customFormat="false" ht="15" hidden="false" customHeight="false" outlineLevel="0" collapsed="false">
      <c r="A16" s="0" t="s">
        <v>124</v>
      </c>
      <c r="C16" s="0" t="n">
        <f aca="false">-C12</f>
        <v>15.532184</v>
      </c>
      <c r="D16" s="0" t="n">
        <f aca="false">-D12</f>
        <v>16.46411504</v>
      </c>
      <c r="E16" s="0" t="n">
        <f aca="false">-E12</f>
        <v>17.9458853936</v>
      </c>
      <c r="F16" s="0" t="n">
        <f aca="false">-F12</f>
        <v>19.561015079024</v>
      </c>
      <c r="G16" s="0" t="n">
        <f aca="false">-G12</f>
        <v>20.9302861345557</v>
      </c>
      <c r="H16" s="0" t="n">
        <f aca="false">-H12</f>
        <v>21.9768004412835</v>
      </c>
      <c r="I16" s="0" t="n">
        <f aca="false">-I12</f>
        <v>22.8558724589348</v>
      </c>
      <c r="J16" s="0" t="n">
        <f aca="false">-J12</f>
        <v>23.5415486327029</v>
      </c>
      <c r="K16" s="0" t="n">
        <f aca="false">-K12</f>
        <v>24.1300873485204</v>
      </c>
      <c r="L16" s="0" t="n">
        <f aca="false">-L12</f>
        <v>24.7333395322334</v>
      </c>
    </row>
    <row r="17" customFormat="false" ht="15" hidden="false" customHeight="false" outlineLevel="0" collapsed="false">
      <c r="A17" s="0" t="s">
        <v>125</v>
      </c>
      <c r="C17" s="4" t="n">
        <f aca="false">-C6*Assumptions!C46/100</f>
        <v>-9.707615</v>
      </c>
      <c r="D17" s="4" t="n">
        <f aca="false">-D6*Assumptions!D46/100</f>
        <v>-10.2900719</v>
      </c>
      <c r="E17" s="4" t="n">
        <f aca="false">-E6*Assumptions!E46/100</f>
        <v>-11.216178371</v>
      </c>
      <c r="F17" s="4" t="n">
        <f aca="false">-F6*Assumptions!F46/100</f>
        <v>-12.22563442439</v>
      </c>
      <c r="G17" s="4" t="n">
        <f aca="false">-G6*Assumptions!G46/100</f>
        <v>-13.0814288340973</v>
      </c>
      <c r="H17" s="4" t="n">
        <f aca="false">-H6*Assumptions!H46/100</f>
        <v>-13.7355002758022</v>
      </c>
      <c r="I17" s="4" t="n">
        <f aca="false">-I6*Assumptions!I46/100</f>
        <v>-14.2849202868343</v>
      </c>
      <c r="J17" s="4" t="n">
        <f aca="false">-J6*Assumptions!J46/100</f>
        <v>-14.7134678954393</v>
      </c>
      <c r="K17" s="4" t="n">
        <f aca="false">-K6*Assumptions!K46/100</f>
        <v>-15.0813045928253</v>
      </c>
      <c r="L17" s="4" t="n">
        <f aca="false">-L6*Assumptions!L46/100</f>
        <v>-15.4583372076459</v>
      </c>
    </row>
    <row r="18" customFormat="false" ht="15" hidden="false" customHeight="false" outlineLevel="0" collapsed="false">
      <c r="A18" s="0" t="s">
        <v>126</v>
      </c>
      <c r="C18" s="4" t="n">
        <f aca="false">(C6-B6)*Assumptions!$B$51/100</f>
        <v>-11.5338</v>
      </c>
      <c r="D18" s="4" t="n">
        <f aca="false">(D6-C6)*Assumptions!$B$51/100</f>
        <v>-69.8948280000001</v>
      </c>
      <c r="E18" s="4" t="n">
        <f aca="false">(E6-D6)*Assumptions!$B$51/100</f>
        <v>-111.13277652</v>
      </c>
      <c r="F18" s="4" t="n">
        <f aca="false">(F6-E6)*Assumptions!$B$51/100</f>
        <v>-121.1347264068</v>
      </c>
      <c r="G18" s="4" t="n">
        <f aca="false">(G6-F6)*Assumptions!$B$51/100</f>
        <v>-102.695329164876</v>
      </c>
      <c r="H18" s="4" t="n">
        <f aca="false">(H6-G6)*Assumptions!$B$51/100</f>
        <v>-78.4885730045839</v>
      </c>
      <c r="I18" s="4" t="n">
        <f aca="false">(I6-H6)*Assumptions!$B$51/100</f>
        <v>-65.9304013238504</v>
      </c>
      <c r="J18" s="4" t="n">
        <f aca="false">(J6-I6)*Assumptions!$B$51/100</f>
        <v>-51.4257130326035</v>
      </c>
      <c r="K18" s="4" t="n">
        <f aca="false">(K6-J6)*Assumptions!$B$51/100</f>
        <v>-44.1404036863177</v>
      </c>
      <c r="L18" s="4" t="n">
        <f aca="false">(L6-K6)*Assumptions!$B$51/100</f>
        <v>-45.2439137784756</v>
      </c>
    </row>
    <row r="19" customFormat="false" ht="15" hidden="false" customHeight="false" outlineLevel="0" collapsed="false">
      <c r="A19" s="0" t="s">
        <v>127</v>
      </c>
      <c r="C19" s="0" t="n">
        <f aca="false">C15+C16+C17+C18</f>
        <v>229.183987632</v>
      </c>
      <c r="D19" s="0" t="n">
        <f aca="false">D15+D16+D17+D18</f>
        <v>229.10173318392</v>
      </c>
      <c r="E19" s="0" t="n">
        <f aca="false">E15+E16+E17+E18</f>
        <v>278.481368317753</v>
      </c>
      <c r="F19" s="0" t="n">
        <f aca="false">F15+F16+F17+F18</f>
        <v>355.625894114252</v>
      </c>
      <c r="G19" s="0" t="n">
        <f aca="false">G15+G16+G17+G18</f>
        <v>444.589792681486</v>
      </c>
      <c r="H19" s="0" t="n">
        <f aca="false">H15+H16+H17+H18</f>
        <v>515.665215325735</v>
      </c>
      <c r="I19" s="0" t="n">
        <f aca="false">I15+I16+I17+I18</f>
        <v>572.274125346986</v>
      </c>
      <c r="J19" s="0" t="n">
        <f aca="false">J15+J16+J17+J18</f>
        <v>605.924949438358</v>
      </c>
      <c r="K19" s="0" t="n">
        <f aca="false">K15+K16+K17+K18</f>
        <v>629.644025346418</v>
      </c>
      <c r="L19" s="0" t="n">
        <f aca="false">L15+L16+L17+L18</f>
        <v>645.385125980079</v>
      </c>
    </row>
    <row r="20" customFormat="false" ht="15" hidden="false" customHeight="false" outlineLevel="0" collapsed="false">
      <c r="A20" s="0" t="s">
        <v>128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129</v>
      </c>
      <c r="C21" s="0" t="n">
        <f aca="false">C19*C20</f>
        <v>209.300445326027</v>
      </c>
      <c r="D21" s="0" t="n">
        <f aca="false">D19*D20</f>
        <v>191.073358090048</v>
      </c>
      <c r="E21" s="0" t="n">
        <f aca="false">E19*E20</f>
        <v>212.106406712496</v>
      </c>
      <c r="F21" s="0" t="n">
        <f aca="false">F19*F20</f>
        <v>247.364230043008</v>
      </c>
      <c r="G21" s="0" t="n">
        <f aca="false">G19*G20</f>
        <v>282.415736013207</v>
      </c>
      <c r="H21" s="0" t="n">
        <f aca="false">H19*H20</f>
        <v>299.145945934644</v>
      </c>
      <c r="I21" s="0" t="n">
        <f aca="false">I19*I20</f>
        <v>303.183300219249</v>
      </c>
      <c r="J21" s="0" t="n">
        <f aca="false">J19*J20</f>
        <v>293.160789006942</v>
      </c>
      <c r="K21" s="0" t="n">
        <f aca="false">K19*K20</f>
        <v>278.206975021196</v>
      </c>
      <c r="L21" s="0" t="n">
        <f aca="false">L19*L20</f>
        <v>260.422054243585</v>
      </c>
    </row>
    <row r="23" customFormat="false" ht="15" hidden="false" customHeight="false" outlineLevel="0" collapsed="false">
      <c r="A23" s="0" t="s">
        <v>105</v>
      </c>
      <c r="C23" s="4" t="n">
        <f aca="false">Assumptions!C44</f>
        <v>0.35</v>
      </c>
      <c r="D23" s="4" t="n">
        <f aca="false">Assumptions!D44</f>
        <v>0.35</v>
      </c>
      <c r="E23" s="4" t="n">
        <f aca="false">Assumptions!E44</f>
        <v>0.35</v>
      </c>
      <c r="F23" s="4" t="n">
        <f aca="false">Assumptions!F44</f>
        <v>0.35</v>
      </c>
      <c r="G23" s="4" t="n">
        <f aca="false">Assumptions!G44</f>
        <v>0.35</v>
      </c>
      <c r="H23" s="4" t="n">
        <f aca="false">Assumptions!H44</f>
        <v>0.35</v>
      </c>
      <c r="I23" s="4" t="n">
        <f aca="false">Assumptions!I44</f>
        <v>0.35</v>
      </c>
      <c r="J23" s="4" t="n">
        <f aca="false">Assumptions!J44</f>
        <v>0.35</v>
      </c>
      <c r="K23" s="4" t="n">
        <f aca="false">Assumptions!K44</f>
        <v>0.35</v>
      </c>
      <c r="L23" s="4" t="n">
        <f aca="false">Assumptions!L44</f>
        <v>0.35</v>
      </c>
    </row>
    <row r="24" customFormat="false" ht="15" hidden="false" customHeight="false" outlineLevel="0" collapsed="false">
      <c r="A24" s="0" t="s">
        <v>130</v>
      </c>
      <c r="C24" s="0" t="n">
        <f aca="false">-C6*C23/100</f>
        <v>-13.590661</v>
      </c>
      <c r="D24" s="0" t="n">
        <f aca="false">-D6*D23/100</f>
        <v>-14.40610066</v>
      </c>
      <c r="E24" s="0" t="n">
        <f aca="false">-E6*E23/100</f>
        <v>-15.7026497194</v>
      </c>
      <c r="F24" s="0" t="n">
        <f aca="false">-F6*F23/100</f>
        <v>-17.115888194146</v>
      </c>
      <c r="G24" s="0" t="n">
        <f aca="false">-G6*G23/100</f>
        <v>-18.3140003677362</v>
      </c>
      <c r="H24" s="0" t="n">
        <f aca="false">-H6*H23/100</f>
        <v>-19.229700386123</v>
      </c>
      <c r="I24" s="0" t="n">
        <f aca="false">-I6*I23/100</f>
        <v>-19.998888401568</v>
      </c>
      <c r="J24" s="0" t="n">
        <f aca="false">-J6*J23/100</f>
        <v>-20.598855053615</v>
      </c>
      <c r="K24" s="0" t="n">
        <f aca="false">-K6*K23/100</f>
        <v>-21.1138264299554</v>
      </c>
      <c r="L24" s="0" t="n">
        <f aca="false">-L6*L23/100</f>
        <v>-21.6416720907043</v>
      </c>
    </row>
    <row r="26" customFormat="false" ht="15" hidden="false" customHeight="false" outlineLevel="0" collapsed="false">
      <c r="A26" s="2" t="s">
        <v>131</v>
      </c>
    </row>
    <row r="27" customFormat="false" ht="15" hidden="false" customHeight="false" outlineLevel="0" collapsed="false">
      <c r="A27" s="0" t="s">
        <v>109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110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111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132</v>
      </c>
      <c r="B30" s="0" t="n">
        <f aca="false">SUM(C21:L21)</f>
        <v>2576.3792406104</v>
      </c>
    </row>
    <row r="31" customFormat="false" ht="15" hidden="false" customHeight="false" outlineLevel="0" collapsed="false">
      <c r="A31" s="0" t="s">
        <v>133</v>
      </c>
      <c r="B31" s="0" t="n">
        <f aca="false">L19</f>
        <v>645.385125980079</v>
      </c>
    </row>
    <row r="32" customFormat="false" ht="15" hidden="false" customHeight="false" outlineLevel="0" collapsed="false">
      <c r="A32" s="0" t="s">
        <v>134</v>
      </c>
      <c r="B32" s="0" t="n">
        <f aca="false">IF(B27&gt;B28,B31*(1+B28/100)/((B27-B28)/100),B31*B29)</f>
        <v>8777.23771332907</v>
      </c>
    </row>
    <row r="33" customFormat="false" ht="15" hidden="false" customHeight="false" outlineLevel="0" collapsed="false">
      <c r="A33" s="0" t="s">
        <v>135</v>
      </c>
      <c r="B33" s="0" t="n">
        <f aca="false">B31*B29</f>
        <v>9035.3917637211</v>
      </c>
    </row>
    <row r="34" customFormat="false" ht="15" hidden="false" customHeight="false" outlineLevel="0" collapsed="false">
      <c r="A34" s="0" t="s">
        <v>136</v>
      </c>
      <c r="B34" s="0" t="n">
        <f aca="false">MAX(0,MIN(B32,B33))</f>
        <v>8777.23771332907</v>
      </c>
    </row>
    <row r="35" customFormat="false" ht="15" hidden="false" customHeight="false" outlineLevel="0" collapsed="false">
      <c r="A35" s="0" t="s">
        <v>137</v>
      </c>
      <c r="B35" s="0" t="n">
        <f aca="false">B34/(1+B27/100)^L4</f>
        <v>3541.73993771276</v>
      </c>
    </row>
    <row r="36" customFormat="false" ht="15" hidden="false" customHeight="false" outlineLevel="0" collapsed="false">
      <c r="A36" s="0" t="s">
        <v>138</v>
      </c>
      <c r="B36" s="0" t="n">
        <f aca="false">B30+B35</f>
        <v>6118.11917832316</v>
      </c>
    </row>
    <row r="37" customFormat="false" ht="15" hidden="false" customHeight="false" outlineLevel="0" collapsed="false">
      <c r="A37" s="0" t="s">
        <v>139</v>
      </c>
      <c r="B37" s="0" t="n">
        <f aca="false">B36+Assumptions!$B$5-Assumptions!$B$4</f>
        <v>5958.41917832316</v>
      </c>
    </row>
    <row r="38" customFormat="false" ht="15" hidden="false" customHeight="false" outlineLevel="0" collapsed="false">
      <c r="A38" s="0" t="s">
        <v>140</v>
      </c>
      <c r="B38" s="0" t="n">
        <f aca="false">B37/Assumptions!$B$3*Assumptions!$B$10</f>
        <v>168.922948950278</v>
      </c>
    </row>
    <row r="39" customFormat="false" ht="15" hidden="false" customHeight="false" outlineLevel="0" collapsed="false">
      <c r="A39" s="0" t="s">
        <v>141</v>
      </c>
      <c r="B39" s="4" t="n">
        <f aca="false">B38/Assumptions!$B$2-1</f>
        <v>1.30014908701359</v>
      </c>
    </row>
    <row r="41" customFormat="false" ht="15" hidden="false" customHeight="false" outlineLevel="0" collapsed="false">
      <c r="A41" s="0" t="s">
        <v>142</v>
      </c>
      <c r="B41" s="0" t="n">
        <f aca="false">SUMPRODUCT(-C10:L10/(1+$B$27/100)^C4:L4)</f>
        <v>72.0911844500421</v>
      </c>
    </row>
    <row r="42" customFormat="false" ht="15" hidden="false" customHeight="false" outlineLevel="0" collapsed="false">
      <c r="A42" s="0" t="s">
        <v>143</v>
      </c>
      <c r="B42" s="0" t="n">
        <f aca="false">IF(B27&gt;B28,-L10*(1+B28/100)/((B27-B28)/100),-L10*20)/(1+B27/100)^L4</f>
        <v>78.0455814839919</v>
      </c>
    </row>
    <row r="43" customFormat="false" ht="15" hidden="false" customHeight="false" outlineLevel="0" collapsed="false">
      <c r="A43" s="0" t="s">
        <v>144</v>
      </c>
      <c r="B43" s="0" t="n">
        <f aca="false">(B37+B41+B42)/Assumptions!$B$3*Assumptions!$B$10</f>
        <v>173.179370744116</v>
      </c>
    </row>
    <row r="45" customFormat="false" ht="15" hidden="false" customHeight="false" outlineLevel="0" collapsed="false">
      <c r="A45" s="0" t="s">
        <v>85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145</v>
      </c>
      <c r="B46" s="0" t="n">
        <f aca="false">MAX(0,MIN(IF(B45&gt;B28,B31*(1+B28/100)/((B45-B28)/100),B31*B29),B31*B29))</f>
        <v>5063.79098845908</v>
      </c>
    </row>
    <row r="47" customFormat="false" ht="15" hidden="false" customHeight="false" outlineLevel="0" collapsed="false">
      <c r="A47" s="0" t="s">
        <v>146</v>
      </c>
      <c r="B47" s="0" t="n">
        <f aca="false">(SUMPRODUCT(C19:L19/(1+B45/100)^C4:L4)+B46/(1+B45/100)^L4+Assumptions!$B$5-Assumptions!$B$4)/Assumptions!$B$3*Assumptions!$B$10</f>
        <v>86.3736757134423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2" t="s">
        <v>150</v>
      </c>
      <c r="B3" s="2" t="s">
        <v>151</v>
      </c>
      <c r="C3" s="2" t="s">
        <v>141</v>
      </c>
      <c r="D3" s="2" t="s">
        <v>152</v>
      </c>
      <c r="E3" s="2" t="s">
        <v>144</v>
      </c>
      <c r="F3" s="2" t="s">
        <v>153</v>
      </c>
    </row>
    <row r="4" customFormat="false" ht="15" hidden="false" customHeight="false" outlineLevel="0" collapsed="false">
      <c r="A4" s="0" t="s">
        <v>154</v>
      </c>
      <c r="B4" s="4" t="n">
        <f aca="false">DCF_Bear!$B$38</f>
        <v>68.9135964269762</v>
      </c>
      <c r="C4" s="0" t="n">
        <f aca="false">B4/Assumptions!$B$2-1</f>
        <v>-0.0616340355803893</v>
      </c>
      <c r="D4" s="4" t="n">
        <f aca="false">Assumptions!$B$24</f>
        <v>0.3</v>
      </c>
      <c r="E4" s="4" t="n">
        <f aca="false">DCF_Bear!$B$43</f>
        <v>72.05154394821</v>
      </c>
      <c r="F4" s="4" t="n">
        <f aca="false">DCF_Bear!$B$47</f>
        <v>40.0052388815683</v>
      </c>
    </row>
    <row r="5" customFormat="false" ht="15" hidden="false" customHeight="false" outlineLevel="0" collapsed="false">
      <c r="A5" s="0" t="s">
        <v>155</v>
      </c>
      <c r="B5" s="4" t="n">
        <f aca="false">DCF_Base!$B$38</f>
        <v>120.081969649722</v>
      </c>
      <c r="C5" s="0" t="n">
        <f aca="false">B5/Assumptions!$B$2-1</f>
        <v>0.635103072572465</v>
      </c>
      <c r="D5" s="4" t="n">
        <f aca="false">Assumptions!$B$38</f>
        <v>0.5</v>
      </c>
      <c r="E5" s="4" t="n">
        <f aca="false">DCF_Base!$B$43</f>
        <v>123.972666944694</v>
      </c>
      <c r="F5" s="4" t="n">
        <f aca="false">DCF_Base!$B$47</f>
        <v>63.3420627981119</v>
      </c>
    </row>
    <row r="6" customFormat="false" ht="15" hidden="false" customHeight="false" outlineLevel="0" collapsed="false">
      <c r="A6" s="0" t="s">
        <v>156</v>
      </c>
      <c r="B6" s="4" t="n">
        <f aca="false">DCF_Bull!$B$38</f>
        <v>168.922948950278</v>
      </c>
      <c r="C6" s="0" t="n">
        <f aca="false">B6/Assumptions!$B$2-1</f>
        <v>1.30014908701359</v>
      </c>
      <c r="D6" s="4" t="n">
        <f aca="false">Assumptions!$B$52</f>
        <v>0.2</v>
      </c>
      <c r="E6" s="4" t="n">
        <f aca="false">DCF_Bull!$B$43</f>
        <v>173.179370744116</v>
      </c>
      <c r="F6" s="4" t="n">
        <f aca="false">DCF_Bull!$B$47</f>
        <v>86.3736757134423</v>
      </c>
    </row>
    <row r="8" customFormat="false" ht="15" hidden="false" customHeight="false" outlineLevel="0" collapsed="false">
      <c r="A8" s="0" t="s">
        <v>157</v>
      </c>
      <c r="B8" s="0" t="n">
        <f aca="false">SUMPRODUCT(B4:B6,D4:D6)</f>
        <v>114.499653543009</v>
      </c>
    </row>
    <row r="9" customFormat="false" ht="15" hidden="false" customHeight="false" outlineLevel="0" collapsed="false">
      <c r="A9" s="0" t="s">
        <v>158</v>
      </c>
      <c r="B9" s="0" t="n">
        <f aca="false">SUMPRODUCT(E4:E6,D4:D6)</f>
        <v>118.237670805633</v>
      </c>
    </row>
    <row r="10" customFormat="false" ht="15" hidden="false" customHeight="false" outlineLevel="0" collapsed="false">
      <c r="A10" s="0" t="s">
        <v>159</v>
      </c>
      <c r="B10" s="0" t="n">
        <f aca="false">1-Assumptions!$B$2/B8</f>
        <v>0.358600679325079</v>
      </c>
    </row>
    <row r="11" customFormat="false" ht="15" hidden="false" customHeight="false" outlineLevel="0" collapsed="false">
      <c r="A11" s="0" t="s">
        <v>160</v>
      </c>
      <c r="B11" s="0" t="n">
        <f aca="false">IF(ABS(B9-B8)&gt;0.01*ABS(B8),(Assumptions!$B$2-B8)/(B9-B8)*100,"n/a")</f>
        <v>-1098.43402687209</v>
      </c>
    </row>
    <row r="12" customFormat="false" ht="15" hidden="false" customHeight="false" outlineLevel="0" collapsed="false">
      <c r="A12" s="0" t="s">
        <v>161</v>
      </c>
      <c r="B12" s="0" t="n">
        <f aca="false">SUMPRODUCT(F4:F6,D4:D6)</f>
        <v>60.9473382062149</v>
      </c>
    </row>
    <row r="14" customFormat="false" ht="15" hidden="false" customHeight="false" outlineLevel="0" collapsed="false">
      <c r="A14" s="2" t="s">
        <v>162</v>
      </c>
      <c r="C14" s="0" t="s">
        <v>163</v>
      </c>
    </row>
    <row r="15" customFormat="false" ht="15" hidden="false" customHeight="false" outlineLevel="0" collapsed="false">
      <c r="A15" s="0" t="s">
        <v>164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124.78841948563</v>
      </c>
      <c r="C15" s="3" t="n">
        <v>9</v>
      </c>
    </row>
    <row r="16" customFormat="false" ht="15" hidden="false" customHeight="false" outlineLevel="0" collapsed="false">
      <c r="A16" s="0" t="s">
        <v>165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120.081969649722</v>
      </c>
      <c r="C16" s="3" t="n">
        <v>9.5</v>
      </c>
    </row>
    <row r="17" customFormat="false" ht="15" hidden="false" customHeight="false" outlineLevel="0" collapsed="false">
      <c r="A17" s="0" t="s">
        <v>166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114.311746162753</v>
      </c>
      <c r="C17" s="3" t="n">
        <v>10</v>
      </c>
    </row>
    <row r="18" customFormat="false" ht="15" hidden="false" customHeight="false" outlineLevel="0" collapsed="false">
      <c r="A18" s="0" t="s">
        <v>167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99.4229136200906</v>
      </c>
      <c r="C18" s="3" t="n">
        <v>11</v>
      </c>
    </row>
    <row r="19" customFormat="false" ht="15" hidden="false" customHeight="false" outlineLevel="0" collapsed="false">
      <c r="A19" s="0" t="s">
        <v>168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87.5904360425607</v>
      </c>
      <c r="C19" s="3" t="n">
        <v>12</v>
      </c>
    </row>
    <row r="20" customFormat="false" ht="15" hidden="false" customHeight="false" outlineLevel="0" collapsed="false">
      <c r="A20" s="0" t="s">
        <v>169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63.3420627981119</v>
      </c>
      <c r="C20" s="3" t="n">
        <v>15</v>
      </c>
    </row>
    <row r="22" customFormat="false" ht="15" hidden="false" customHeight="false" outlineLevel="0" collapsed="false">
      <c r="A22" s="2" t="s">
        <v>170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140.297097623099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140.297097623099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140.297097623099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140.297097623099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140.297097623099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129.718249972372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129.718249972372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129.718249972372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129.718249972372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129.718249972372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114.112757023598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118.412946382549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120.081969649722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120.081969649722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120.081969649722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99.7440411168023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102.895393354771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106.417492914854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110.379854919948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111.294246151892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88.2037037679107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90.5699528578034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93.1852807992638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96.0912007342198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99.3389936027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2026-10-10T06:45:19Z</dcterms:created>
  <dc:creator>openpyxl</dc:creator>
  <dc:description/>
  <dc:language>en-NZ</dc:language>
  <cp:lastModifiedBy/>
  <dcterms:modified xsi:type="dcterms:W3CDTF">2026-10-10T06:45:19Z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