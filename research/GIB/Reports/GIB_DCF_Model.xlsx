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<sst xmlns="http://schemas.openxmlformats.org/spreadsheetml/2006/main" count="368" uniqueCount="173">
  <si>
    <t xml:space="preserve">Ticker</t>
  </si>
  <si>
    <t xml:space="preserve">GIB</t>
  </si>
  <si>
    <t xml:space="preserve">Company</t>
  </si>
  <si>
    <t xml:space="preserve">CGI Inc.</t>
  </si>
  <si>
    <t xml:space="preserve">Valuation date</t>
  </si>
  <si>
    <t xml:space="preserve">2026-10-04</t>
  </si>
  <si>
    <t xml:space="preserve">Current price</t>
  </si>
  <si>
    <t xml:space="preserve">Price as of</t>
  </si>
  <si>
    <t xml:space="preserve">2026-10-02T20:00:02Z regular close (NYSE)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</si>
  <si>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</si>
  <si>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</si>
  <si>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</si>
  <si>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</si>
  <si>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</si>
  <si>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</si>
  <si>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</si>
  <si>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USD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</si>
  <si>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</si>
  <si>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</si>
  <si>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</si>
  <si>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</si>
  <si>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</si>
  <si>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2026-10-03T22:22:38Z</t>
  </si>
  <si>
    <t xml:space="preserve">Drivers file</t>
  </si>
  <si>
    <t xml:space="preserve">GIB_Drivers.json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</si>
  <si>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</si>
  <si>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</si>
  <si>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</si>
  <si>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Organic owner-FCF valuation of a mature IT services compounder. Acquisitions treated as NPV-neutral (neither the spend nor the acquired revenue is modelled); buybacks are the capital return, not a value source. The value question is whether CGI's ~11% owner-FCF margin on a ~16bn CAD revenue base can grow at all organically in an AI-deflation world -- the current price embeds roughly the bear-to-base range.
key_risks_to_valuation: AI deflation of billable SI&amp;C effort (bear axis) -- the single largest driver of the scenario spread; US federal government exposure (12.7% of 9M FY2026 revenue) to procurement cuts; Acquisition discipline: the model assumes deals are NPV-neutral; overpaying would destroy value the model does not charge; FX: CAD reporting vs USD quote -- a 5% USDCAD move shifts the USD IV ~5% with no change in the business; Lease liability at Jun-2026 estimated (~680m) from the debt+lease total; exact figure in the Q3 interim statements</t>
  </si>
  <si>
    <t xml:space="preserve">Data sources</t>
  </si>
  <si>
    <t xml:space="preserve">price: Yahoo Finance chart API (GIB, NYSE) at inputs.price_as_of; 52-week range 59.63-95.20 USD. Parity: GIB-A.TO (TSX) and CAD=X from the same API.
financials: GIB_Metrics.csv / GIB.duckdb core_metrics + kpis (FY2015-Q3 FY2026); FY2025 Annual Report (MD&amp;A s.4.1, Note 24); Q3 FY2026 MD&amp;A (s.2.2, 3.8, 4.1, 4.2, 4.5).
qualitative: GIB_Analysis.json (bull/bear cases, risks; arrived mid-build and checked for consistency with the scenario axes) plus Q3 FY2026 and FY2025 MD&amp;A segment commentary.</t>
  </si>
  <si>
    <t xml:space="preserve">Scenario narrative: bear</t>
  </si>
  <si>
    <t xml:space="preserve">AI-assisted development and testing deflate the labour-hour economics of SI&amp;C, and clients reprice managed-services renewals to share the productivity gain. US federal (12.7% of 9M FY2026 revenue) remains under spending pressure, Germany stays weak, and organic revenue declines for two years before stabilizing at ~2% growth. Adjusted EBIT margin falls toward ~14.5% -- still profitable and cash generative, so the business does not hit the terminal floor, but the market keeps IT-services multiples compressed (11x exit). A CEO transition (effective May 2026) and ROIC slipping from 16.0% to 13.4% on the acquisition cadence add execution risk to the 'buy' half of the strategy.</t>
  </si>
  <si>
    <t xml:space="preserve">Scenario narrative: base</t>
  </si>
  <si>
    <t xml:space="preserve">CGI's organic growth has stalled -- Q3 FY2026 constant-currency growth was 1.3% including acquisitions, so organic is roughly flat -- but the order backlog sits at a record 31.8bn CAD (~1.9x revenue) and FY2025 book-to-bill was 110%. Base case: organic growth recovers to ~3% by year 3 as managed-services and government (U.K., Canada, U.S. state/local) wins convert, offset by continued softness in Germany and commercial SI&amp;C. Adjusted EBIT margin edges from 16.4% to ~16.7% as BJSS/Daugherty/Comarch integration synergies land. Cash taxes at the guided ~26.5%. Capital return continues (6%/yr buyback, 0.68 CAD dividend) but is value-neutral in the model.</t>
  </si>
  <si>
    <t xml:space="preserve">Scenario narrative: bull</t>
  </si>
  <si>
    <t xml:space="preserve">Generative AI drives a multi-year legacy-modernization cycle in CGI's core verticals (government, financial services, utilities), where data-sovereignty and regulated-workload requirements favour a local-presence operator over offshore pure-plays. CGI's IP-based and outcome-priced managed-services mix lets it keep AI productivity gains as margin rather than pass them through as fewer billable hours. Organic growth reaches ~5% and adjusted EBIT margin ~18%.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</si>
  <si>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</si>
  <si>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</si>
  <si>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</si>
  <si>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</si>
  <si>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</si>
  <si>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</si>
  <si>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</si>
  <si>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</si>
  <si>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</si>
  <si>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</si>
  <si>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</si>
  <si>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</si>
  <si>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</si>
  <si>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</si>
  <si>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</si>
  <si>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</si>
  <si>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</si>
  <si>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</si>
  <si>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</si>
  <si>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</si>
  <si>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</si>
  <si>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</si>
  <si>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</si>
  <si>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</si>
  <si>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</si>
  <si>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</si>
  <si>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</si>
  <si>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</si>
  <si>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CapexIntangibles</t>
  </si>
  <si>
    <t xml:space="preserve">CapexPPE</t>
  </si>
  <si>
    <t xml:space="preserve">LeasePrincipalPaid</t>
  </si>
  <si>
    <t xml:space="preserve">OrderBook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</si>
  <si>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</si>
  <si>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</si>
  <si>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</si>
  <si>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</si>
  <si>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</si>
  <si>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</si>
  <si>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</si>
  <si>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</si>
  <si>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</si>
  <si>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</si>
  <si>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</si>
  <si>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</si>
  <si>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</si>
  <si>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</si>
  <si>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</si>
  <si>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</si>
  <si>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</si>
  <si>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</si>
  <si>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</si>
  <si>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</si>
  <si>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Q3 FY2026 (12 months ended 30-Jun-2026)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</si>
  <si>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</si>
  <si>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</si>
  <si>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</si>
  <si>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</si>
  <si>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Q3 FY2027</t>
  </si>
  <si>
    <t xml:space="preserve">TTM to Q3 FY2028</t>
  </si>
  <si>
    <t xml:space="preserve">TTM to Q3 FY2029</t>
  </si>
  <si>
    <t xml:space="preserve">TTM to Q3 FY2030</t>
  </si>
  <si>
    <t xml:space="preserve">TTM to Q3 FY2031</t>
  </si>
  <si>
    <t xml:space="preserve">TTM to Q3 FY2032</t>
  </si>
  <si>
    <t xml:space="preserve">TTM to Q3 FY2033</t>
  </si>
  <si>
    <t xml:space="preserve">TTM to Q3 FY2034</t>
  </si>
  <si>
    <t xml:space="preserve">TTM to Q3 FY2035</t>
  </si>
  <si>
    <t xml:space="preserve">TTM to Q3 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</si>
  <si>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</si>
  <si>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</si>
  <si>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</si>
  <si>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</si>
  <si>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</si>
  <si>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</si>
  <si>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</si>
  <si>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</si>
  <si>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</si>
  <si>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</si>
  <si>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</si>
  <si>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</si>
  <si>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</si>
  <si>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</si>
  <si>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GIB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</si>
  <si>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</si>
  <si>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</si>
  <si>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</si>
  <si>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</si>
  <si>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</si>
  <si>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</si>
  <si>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</si>
  <si>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</si>
  <si>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</si>
  <si>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</si>
  <si>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</si>
  <si>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</si>
  <si>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</si>
  <si>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</si>
  <si>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</si>
  <si>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</si>
  <si>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</si>
  <si>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</si>
  <si>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</si>
  <si>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</si>
  <si>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</si>
  <si>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</si>
  <si>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</si>
  <si>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</si>
  <si>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</si>
  <si>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</si>
  <si>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</si>
  <si>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</si>
  <si>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</si>
  <si>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</si>
  <si>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GIB owner-FCF component DCF: base case (millions, CAD)</t>
  </si>
  <si>
    <t xml:space="preserve">GIB owner-FCF component DCF: bull case (millions, CAD)</t>
  </si>
  <si>
    <t xml:space="preserve">GIB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</si>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</sst>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70.19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10287.096</v>
      </c>
      <c r="F2" s="0" t="n">
        <v>1421.405</v>
      </c>
      <c r="G2" s="0" t="n">
        <v>13.8</v>
      </c>
      <c r="H2" s="0" t="n">
        <v>1845.449</v>
      </c>
      <c r="I2" s="0" t="n">
        <v>977.556</v>
      </c>
      <c r="J2" s="0" t="n">
        <v>9.5</v>
      </c>
      <c r="K2" s="0" t="n">
        <v>3.04</v>
      </c>
      <c r="L2" s="0" t="n">
        <v>1289.31</v>
      </c>
      <c r="M2" s="0" t="n">
        <v>272.664</v>
      </c>
      <c r="N2" s="0" t="n">
        <v>1016.646</v>
      </c>
      <c r="O2" s="0" t="n">
        <v>6082.169</v>
      </c>
      <c r="P2" s="0" t="n">
        <v>11787.27</v>
      </c>
      <c r="Q2" s="0" t="n">
        <v>5705.101</v>
      </c>
      <c r="R2" s="0" t="n">
        <v>2127.087</v>
      </c>
      <c r="S2" s="0" t="n">
        <v>305.262</v>
      </c>
      <c r="T2" s="0" t="n">
        <v>321.6</v>
      </c>
      <c r="U2" s="0" t="n">
        <v>30.414</v>
      </c>
      <c r="AA2" s="0" t="s">
        <v>18</v>
      </c>
      <c r="AB2" s="0" t="s">
        <v>14</v>
      </c>
      <c r="AC2" s="0" t="n">
        <v>1457.3</v>
      </c>
      <c r="AD2" s="0" t="n">
        <v>71.357</v>
      </c>
      <c r="AE2" s="0" t="n">
        <v>122.492</v>
      </c>
      <c r="AG2" s="0" t="n">
        <v>20711</v>
      </c>
    </row>
    <row r="3" customFormat="false" ht="15" hidden="false" customHeight="false" outlineLevel="0" collapsed="false">
      <c r="A3" s="0" t="s">
        <v>70</v>
      </c>
      <c r="B3" s="0" t="n">
        <v>10683.264</v>
      </c>
      <c r="F3" s="0" t="n">
        <v>1531.211</v>
      </c>
      <c r="G3" s="0" t="n">
        <v>14.3</v>
      </c>
      <c r="H3" s="0" t="n">
        <v>1931.271</v>
      </c>
      <c r="I3" s="0" t="n">
        <v>1068.716</v>
      </c>
      <c r="J3" s="0" t="n">
        <v>10</v>
      </c>
      <c r="K3" s="0" t="n">
        <v>3.42</v>
      </c>
      <c r="L3" s="0" t="n">
        <v>1333.074</v>
      </c>
      <c r="M3" s="0" t="n">
        <v>369.635</v>
      </c>
      <c r="N3" s="0" t="n">
        <v>963.439</v>
      </c>
      <c r="O3" s="0" t="n">
        <v>6464.608</v>
      </c>
      <c r="P3" s="0" t="n">
        <v>11693.332</v>
      </c>
      <c r="Q3" s="0" t="n">
        <v>5228.724</v>
      </c>
      <c r="R3" s="0" t="n">
        <v>1910.975</v>
      </c>
      <c r="S3" s="0" t="n">
        <v>596.529</v>
      </c>
      <c r="T3" s="0" t="n">
        <v>312.5</v>
      </c>
      <c r="U3" s="0" t="n">
        <v>38.299</v>
      </c>
      <c r="AA3" s="0" t="s">
        <v>18</v>
      </c>
      <c r="AB3" s="0" t="s">
        <v>14</v>
      </c>
      <c r="AC3" s="0" t="n">
        <v>1560.3</v>
      </c>
      <c r="AD3" s="0" t="n">
        <v>100.963</v>
      </c>
      <c r="AE3" s="0" t="n">
        <v>165.516</v>
      </c>
      <c r="AG3" s="0" t="n">
        <v>20893</v>
      </c>
    </row>
    <row r="4" customFormat="false" ht="15" hidden="false" customHeight="false" outlineLevel="0" collapsed="false">
      <c r="A4" s="0" t="s">
        <v>71</v>
      </c>
      <c r="B4" s="0" t="n">
        <v>10845.066</v>
      </c>
      <c r="F4" s="0" t="n">
        <v>1487.689</v>
      </c>
      <c r="G4" s="0" t="n">
        <v>13.7</v>
      </c>
      <c r="H4" s="0" t="n">
        <v>1864.893</v>
      </c>
      <c r="I4" s="0" t="n">
        <v>1035.195</v>
      </c>
      <c r="J4" s="0" t="n">
        <v>9.5</v>
      </c>
      <c r="K4" s="0" t="n">
        <v>3.41</v>
      </c>
      <c r="L4" s="0" t="n">
        <v>1358.552</v>
      </c>
      <c r="M4" s="0" t="n">
        <v>314.61</v>
      </c>
      <c r="N4" s="0" t="n">
        <v>1043.942</v>
      </c>
      <c r="O4" s="0" t="n">
        <v>6202.626</v>
      </c>
      <c r="P4" s="0" t="n">
        <v>11396.212</v>
      </c>
      <c r="Q4" s="0" t="n">
        <v>5193.586</v>
      </c>
      <c r="R4" s="0" t="n">
        <v>1862.003</v>
      </c>
      <c r="S4" s="0" t="n">
        <v>165.872</v>
      </c>
      <c r="T4" s="0" t="n">
        <v>303.6</v>
      </c>
      <c r="U4" s="0" t="n">
        <v>34.443</v>
      </c>
      <c r="AA4" s="0" t="s">
        <v>18</v>
      </c>
      <c r="AB4" s="0" t="s">
        <v>14</v>
      </c>
      <c r="AC4" s="0" t="n">
        <v>1586.6</v>
      </c>
      <c r="AD4" s="0" t="n">
        <v>106.267</v>
      </c>
      <c r="AE4" s="0" t="n">
        <v>112.667</v>
      </c>
      <c r="AG4" s="0" t="n">
        <v>20813</v>
      </c>
    </row>
    <row r="5" customFormat="false" ht="15" hidden="false" customHeight="false" outlineLevel="0" collapsed="false">
      <c r="A5" s="0" t="s">
        <v>72</v>
      </c>
      <c r="B5" s="0" t="n">
        <v>11506.825</v>
      </c>
      <c r="F5" s="0" t="n">
        <v>1563.865</v>
      </c>
      <c r="G5" s="0" t="n">
        <v>13.6</v>
      </c>
      <c r="H5" s="0" t="n">
        <v>1956.54</v>
      </c>
      <c r="I5" s="0" t="n">
        <v>1141.402</v>
      </c>
      <c r="J5" s="0" t="n">
        <v>9.9</v>
      </c>
      <c r="K5" s="0" t="n">
        <v>3.95</v>
      </c>
      <c r="L5" s="0" t="n">
        <v>1493.408</v>
      </c>
      <c r="M5" s="0" t="n">
        <v>326.121</v>
      </c>
      <c r="N5" s="0" t="n">
        <v>1167.287</v>
      </c>
      <c r="O5" s="0" t="n">
        <v>6684.807</v>
      </c>
      <c r="P5" s="0" t="n">
        <v>11919.066</v>
      </c>
      <c r="Q5" s="0" t="n">
        <v>5234.259</v>
      </c>
      <c r="R5" s="0" t="n">
        <v>1800.893</v>
      </c>
      <c r="S5" s="0" t="n">
        <v>184.091</v>
      </c>
      <c r="T5" s="0" t="n">
        <v>289</v>
      </c>
      <c r="U5" s="0" t="n">
        <v>38.457</v>
      </c>
      <c r="AA5" s="0" t="s">
        <v>18</v>
      </c>
      <c r="AB5" s="0" t="s">
        <v>14</v>
      </c>
      <c r="AC5" s="0" t="n">
        <v>1701.7</v>
      </c>
      <c r="AD5" s="0" t="n">
        <v>95.451</v>
      </c>
      <c r="AE5" s="0" t="n">
        <v>143.25</v>
      </c>
      <c r="AG5" s="0" t="n">
        <v>22577</v>
      </c>
    </row>
    <row r="6" customFormat="false" ht="15" hidden="false" customHeight="false" outlineLevel="0" collapsed="false">
      <c r="A6" s="0" t="s">
        <v>73</v>
      </c>
      <c r="B6" s="0" t="n">
        <v>12111.236</v>
      </c>
      <c r="F6" s="0" t="n">
        <v>1747.578</v>
      </c>
      <c r="G6" s="0" t="n">
        <v>14.4</v>
      </c>
      <c r="H6" s="0" t="n">
        <v>2139.879</v>
      </c>
      <c r="I6" s="0" t="n">
        <v>1263.207</v>
      </c>
      <c r="J6" s="0" t="n">
        <v>10.4</v>
      </c>
      <c r="K6" s="0" t="n">
        <v>4.55</v>
      </c>
      <c r="L6" s="0" t="n">
        <v>1633.919</v>
      </c>
      <c r="M6" s="0" t="n">
        <v>328.228</v>
      </c>
      <c r="N6" s="0" t="n">
        <v>1305.691</v>
      </c>
      <c r="O6" s="0" t="n">
        <v>6884.103</v>
      </c>
      <c r="P6" s="0" t="n">
        <v>12621.746</v>
      </c>
      <c r="Q6" s="0" t="n">
        <v>5737.643</v>
      </c>
      <c r="R6" s="0" t="n">
        <v>2331.207</v>
      </c>
      <c r="S6" s="0" t="n">
        <v>213.831</v>
      </c>
      <c r="T6" s="0" t="n">
        <v>277.6</v>
      </c>
      <c r="U6" s="0" t="n">
        <v>39.44</v>
      </c>
      <c r="AA6" s="0" t="s">
        <v>18</v>
      </c>
      <c r="AB6" s="0" t="s">
        <v>14</v>
      </c>
      <c r="AC6" s="0" t="n">
        <v>1825</v>
      </c>
      <c r="AD6" s="0" t="n">
        <v>105.976</v>
      </c>
      <c r="AE6" s="0" t="n">
        <v>162.061</v>
      </c>
      <c r="AF6" s="0" t="n">
        <v>0</v>
      </c>
      <c r="AG6" s="0" t="n">
        <v>22611</v>
      </c>
    </row>
    <row r="7" customFormat="false" ht="15" hidden="false" customHeight="false" outlineLevel="0" collapsed="false">
      <c r="A7" s="0" t="s">
        <v>74</v>
      </c>
      <c r="B7" s="0" t="n">
        <v>12164.115</v>
      </c>
      <c r="F7" s="0" t="n">
        <v>1630.741</v>
      </c>
      <c r="G7" s="0" t="n">
        <v>13.4</v>
      </c>
      <c r="H7" s="0" t="n">
        <v>2196.433</v>
      </c>
      <c r="I7" s="0" t="n">
        <v>1117.862</v>
      </c>
      <c r="J7" s="0" t="n">
        <v>9.2</v>
      </c>
      <c r="K7" s="0" t="n">
        <v>4.2</v>
      </c>
      <c r="L7" s="0" t="n">
        <v>1938.556</v>
      </c>
      <c r="M7" s="0" t="n">
        <v>315.435</v>
      </c>
      <c r="N7" s="0" t="n">
        <v>1623.121</v>
      </c>
      <c r="O7" s="0" t="n">
        <v>7264.16</v>
      </c>
      <c r="P7" s="0" t="n">
        <v>15550.358</v>
      </c>
      <c r="Q7" s="0" t="n">
        <v>8286.198</v>
      </c>
      <c r="R7" s="0" t="n">
        <v>3587.095</v>
      </c>
      <c r="S7" s="0" t="n">
        <v>1707.985</v>
      </c>
      <c r="T7" s="0" t="n">
        <v>266.2</v>
      </c>
      <c r="U7" s="0" t="n">
        <v>37.358</v>
      </c>
      <c r="AA7" s="0" t="s">
        <v>18</v>
      </c>
      <c r="AB7" s="0" t="s">
        <v>14</v>
      </c>
      <c r="AC7" s="0" t="n">
        <v>1862.9</v>
      </c>
      <c r="AD7" s="0" t="n">
        <v>114.112</v>
      </c>
      <c r="AE7" s="0" t="n">
        <v>128.478</v>
      </c>
      <c r="AF7" s="0" t="n">
        <v>175.32</v>
      </c>
      <c r="AG7" s="0" t="n">
        <v>22673</v>
      </c>
    </row>
    <row r="8" customFormat="false" ht="15" hidden="false" customHeight="false" outlineLevel="0" collapsed="false">
      <c r="A8" s="0" t="s">
        <v>75</v>
      </c>
      <c r="B8" s="0" t="n">
        <v>12126.793</v>
      </c>
      <c r="F8" s="0" t="n">
        <v>1944.79</v>
      </c>
      <c r="G8" s="0" t="n">
        <v>16</v>
      </c>
      <c r="H8" s="0" t="n">
        <v>2455.36</v>
      </c>
      <c r="I8" s="0" t="n">
        <v>1369.072</v>
      </c>
      <c r="J8" s="0" t="n">
        <v>11.3</v>
      </c>
      <c r="K8" s="0" t="n">
        <v>5.41</v>
      </c>
      <c r="L8" s="0" t="n">
        <v>2115.928</v>
      </c>
      <c r="M8" s="0" t="n">
        <v>300.741</v>
      </c>
      <c r="N8" s="0" t="n">
        <v>1815.187</v>
      </c>
      <c r="O8" s="0" t="n">
        <v>6986.232</v>
      </c>
      <c r="P8" s="0" t="n">
        <v>15021.021</v>
      </c>
      <c r="Q8" s="0" t="n">
        <v>8034.789</v>
      </c>
      <c r="R8" s="0" t="n">
        <v>3401.656</v>
      </c>
      <c r="S8" s="0" t="n">
        <v>1699.206</v>
      </c>
      <c r="T8" s="0" t="n">
        <v>253.1</v>
      </c>
      <c r="U8" s="0" t="n">
        <v>45.592</v>
      </c>
      <c r="AA8" s="0" t="s">
        <v>18</v>
      </c>
      <c r="AB8" s="0" t="s">
        <v>14</v>
      </c>
      <c r="AC8" s="0" t="n">
        <v>1952.2</v>
      </c>
      <c r="AD8" s="0" t="n">
        <v>113.934</v>
      </c>
      <c r="AE8" s="0" t="n">
        <v>121.806</v>
      </c>
      <c r="AF8" s="0" t="n">
        <v>169.674</v>
      </c>
      <c r="AG8" s="0" t="n">
        <v>23059</v>
      </c>
    </row>
    <row r="9" customFormat="false" ht="15" hidden="false" customHeight="false" outlineLevel="0" collapsed="false">
      <c r="A9" s="0" t="s">
        <v>76</v>
      </c>
      <c r="B9" s="0" t="n">
        <v>12867.201</v>
      </c>
      <c r="F9" s="0" t="n">
        <v>2058.982</v>
      </c>
      <c r="G9" s="0" t="n">
        <v>16</v>
      </c>
      <c r="H9" s="0" t="n">
        <v>2533.604</v>
      </c>
      <c r="I9" s="0" t="n">
        <v>1466.142</v>
      </c>
      <c r="J9" s="0" t="n">
        <v>11.4</v>
      </c>
      <c r="K9" s="0" t="n">
        <v>6.04</v>
      </c>
      <c r="L9" s="0" t="n">
        <v>1864.998</v>
      </c>
      <c r="M9" s="0" t="n">
        <v>378.04</v>
      </c>
      <c r="N9" s="0" t="n">
        <v>1486.958</v>
      </c>
      <c r="O9" s="0" t="n">
        <v>7272.724</v>
      </c>
      <c r="P9" s="0" t="n">
        <v>15175.42</v>
      </c>
      <c r="Q9" s="0" t="n">
        <v>7902.696</v>
      </c>
      <c r="R9" s="0" t="n">
        <v>3267.034</v>
      </c>
      <c r="S9" s="0" t="n">
        <v>966.458</v>
      </c>
      <c r="T9" s="0" t="n">
        <v>242.7</v>
      </c>
      <c r="U9" s="0" t="n">
        <v>48.996</v>
      </c>
      <c r="AA9" s="0" t="s">
        <v>18</v>
      </c>
      <c r="AB9" s="0" t="s">
        <v>14</v>
      </c>
      <c r="AC9" s="0" t="n">
        <v>2086.6</v>
      </c>
      <c r="AD9" s="0" t="n">
        <v>137.621</v>
      </c>
      <c r="AE9" s="0" t="n">
        <v>156.136</v>
      </c>
      <c r="AF9" s="0" t="n">
        <v>153.996</v>
      </c>
      <c r="AG9" s="0" t="n">
        <v>24055</v>
      </c>
    </row>
    <row r="10" customFormat="false" ht="15" hidden="false" customHeight="false" outlineLevel="0" collapsed="false">
      <c r="A10" s="0" t="s">
        <v>77</v>
      </c>
      <c r="B10" s="0" t="n">
        <v>14296.36</v>
      </c>
      <c r="F10" s="0" t="n">
        <v>2250.376</v>
      </c>
      <c r="G10" s="0" t="n">
        <v>15.7</v>
      </c>
      <c r="H10" s="0" t="n">
        <v>2770.024</v>
      </c>
      <c r="I10" s="0" t="n">
        <v>1631.249</v>
      </c>
      <c r="J10" s="0" t="n">
        <v>11.4</v>
      </c>
      <c r="K10" s="0" t="n">
        <v>6.86</v>
      </c>
      <c r="L10" s="0" t="n">
        <v>2112.249</v>
      </c>
      <c r="M10" s="0" t="n">
        <v>409.051</v>
      </c>
      <c r="N10" s="0" t="n">
        <v>1703.198</v>
      </c>
      <c r="O10" s="0" t="n">
        <v>8310.294</v>
      </c>
      <c r="P10" s="0" t="n">
        <v>15799.499</v>
      </c>
      <c r="Q10" s="0" t="n">
        <v>7489.205</v>
      </c>
      <c r="R10" s="0" t="n">
        <v>3100.321</v>
      </c>
      <c r="S10" s="0" t="n">
        <v>1568.291</v>
      </c>
      <c r="T10" s="0" t="n">
        <v>237.8</v>
      </c>
      <c r="U10" s="0" t="n">
        <v>58.214</v>
      </c>
      <c r="AA10" s="0" t="s">
        <v>18</v>
      </c>
      <c r="AB10" s="0" t="s">
        <v>14</v>
      </c>
      <c r="AC10" s="0" t="n">
        <v>2312.7</v>
      </c>
      <c r="AD10" s="0" t="n">
        <v>147.2</v>
      </c>
      <c r="AE10" s="0" t="n">
        <v>159.769</v>
      </c>
      <c r="AF10" s="0" t="n">
        <v>161.211</v>
      </c>
      <c r="AG10" s="0" t="n">
        <v>26059</v>
      </c>
    </row>
    <row r="11" customFormat="false" ht="15" hidden="false" customHeight="false" outlineLevel="0" collapsed="false">
      <c r="A11" s="0" t="s">
        <v>78</v>
      </c>
      <c r="B11" s="0" t="n">
        <v>14676.152</v>
      </c>
      <c r="F11" s="0" t="n">
        <v>2318.84</v>
      </c>
      <c r="G11" s="0" t="n">
        <v>15.8</v>
      </c>
      <c r="H11" s="0" t="n">
        <v>2855.699</v>
      </c>
      <c r="I11" s="0" t="n">
        <v>1692.715</v>
      </c>
      <c r="J11" s="0" t="n">
        <v>11.5</v>
      </c>
      <c r="K11" s="0" t="n">
        <v>7.31</v>
      </c>
      <c r="L11" s="0" t="n">
        <v>2204.983</v>
      </c>
      <c r="M11" s="0" t="n">
        <v>360.699</v>
      </c>
      <c r="N11" s="0" t="n">
        <v>1844.284</v>
      </c>
      <c r="O11" s="0" t="n">
        <v>9427.99</v>
      </c>
      <c r="P11" s="0" t="n">
        <v>16685.468</v>
      </c>
      <c r="Q11" s="0" t="n">
        <v>7257.478</v>
      </c>
      <c r="R11" s="0" t="n">
        <v>2688.308</v>
      </c>
      <c r="S11" s="0" t="n">
        <v>1461.145</v>
      </c>
      <c r="T11" s="0" t="n">
        <v>231.6</v>
      </c>
      <c r="U11" s="0" t="n">
        <v>67.84</v>
      </c>
      <c r="AA11" s="0" t="s">
        <v>18</v>
      </c>
      <c r="AB11" s="0" t="s">
        <v>14</v>
      </c>
      <c r="AC11" s="0" t="n">
        <v>2415.8</v>
      </c>
      <c r="AD11" s="0" t="n">
        <v>153.907</v>
      </c>
      <c r="AE11" s="0" t="n">
        <v>109.733</v>
      </c>
      <c r="AF11" s="0" t="n">
        <v>146.762</v>
      </c>
      <c r="AG11" s="0" t="n">
        <v>28724</v>
      </c>
    </row>
    <row r="12" customFormat="false" ht="15" hidden="false" customHeight="false" outlineLevel="0" collapsed="false">
      <c r="A12" s="0" t="s">
        <v>79</v>
      </c>
      <c r="B12" s="0" t="n">
        <v>15912.673</v>
      </c>
      <c r="F12" s="0" t="n">
        <v>2325.882</v>
      </c>
      <c r="G12" s="0" t="n">
        <v>14.6</v>
      </c>
      <c r="H12" s="0" t="n">
        <v>2940.148</v>
      </c>
      <c r="I12" s="0" t="n">
        <v>1658.285</v>
      </c>
      <c r="J12" s="0" t="n">
        <v>10.4</v>
      </c>
      <c r="K12" s="0" t="n">
        <v>7.35</v>
      </c>
      <c r="L12" s="0" t="n">
        <v>2234.197</v>
      </c>
      <c r="M12" s="0" t="n">
        <v>368.441</v>
      </c>
      <c r="N12" s="0" t="n">
        <v>1865.756</v>
      </c>
      <c r="O12" s="0" t="n">
        <v>10282.332</v>
      </c>
      <c r="P12" s="0" t="n">
        <v>19521.828</v>
      </c>
      <c r="Q12" s="0" t="n">
        <v>9239.496</v>
      </c>
      <c r="R12" s="0" t="n">
        <v>3637.835</v>
      </c>
      <c r="S12" s="0" t="n">
        <v>864.209</v>
      </c>
      <c r="T12" s="0" t="n">
        <v>225.6</v>
      </c>
      <c r="U12" s="0" t="n">
        <v>68.636</v>
      </c>
      <c r="AA12" s="0" t="s">
        <v>18</v>
      </c>
      <c r="AB12" s="0" t="s">
        <v>14</v>
      </c>
      <c r="AC12" s="0" t="n">
        <v>2610.9</v>
      </c>
      <c r="AD12" s="0" t="n">
        <v>153.285</v>
      </c>
      <c r="AE12" s="0" t="n">
        <v>116.611</v>
      </c>
      <c r="AF12" s="0" t="n">
        <v>177.465</v>
      </c>
      <c r="AG12" s="0" t="n">
        <v>31451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70.19</v>
      </c>
    </row>
    <row r="3" customFormat="false" ht="15" hidden="false" customHeight="false" outlineLevel="0" collapsed="false">
      <c r="A3" s="0" t="s">
        <v>83</v>
      </c>
      <c r="B3" s="3" t="n">
        <v>208.1</v>
      </c>
    </row>
    <row r="4" customFormat="false" ht="15" hidden="false" customHeight="false" outlineLevel="0" collapsed="false">
      <c r="A4" s="0" t="s">
        <v>84</v>
      </c>
      <c r="B4" s="3" t="n">
        <v>3004</v>
      </c>
    </row>
    <row r="5" customFormat="false" ht="15" hidden="false" customHeight="false" outlineLevel="0" collapsed="false">
      <c r="A5" s="0" t="s">
        <v>85</v>
      </c>
      <c r="B5" s="3" t="n">
        <v>0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16441.4</v>
      </c>
    </row>
    <row r="8" customFormat="false" ht="15" hidden="false" customHeight="false" outlineLevel="0" collapsed="false">
      <c r="A8" s="0" t="s">
        <v>88</v>
      </c>
      <c r="B8" s="3" t="s">
        <v>89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0.7019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-1</v>
      </c>
      <c r="D13" s="3" t="n">
        <v>-1.5</v>
      </c>
      <c r="E13" s="3" t="n">
        <v>0</v>
      </c>
      <c r="F13" s="3" t="n">
        <v>1</v>
      </c>
      <c r="G13" s="3" t="n">
        <v>1.5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105</v>
      </c>
      <c r="C14" s="3" t="n">
        <v>19.5</v>
      </c>
      <c r="D14" s="3" t="n">
        <v>19</v>
      </c>
      <c r="E14" s="3" t="n">
        <v>18.6</v>
      </c>
      <c r="F14" s="3" t="n">
        <v>18.3</v>
      </c>
      <c r="G14" s="3" t="n">
        <v>18.3</v>
      </c>
      <c r="H14" s="3" t="n">
        <v>18.3</v>
      </c>
      <c r="I14" s="3" t="n">
        <v>18.3</v>
      </c>
      <c r="J14" s="3" t="n">
        <v>18.3</v>
      </c>
      <c r="K14" s="3" t="n">
        <v>18.3</v>
      </c>
      <c r="L14" s="3" t="n">
        <v>18.3</v>
      </c>
    </row>
    <row r="15" customFormat="false" ht="15" hidden="false" customHeight="false" outlineLevel="0" collapsed="false">
      <c r="A15" s="0" t="s">
        <v>106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107</v>
      </c>
      <c r="C16" s="3" t="n">
        <v>1.3</v>
      </c>
      <c r="D16" s="3" t="n">
        <v>1.35</v>
      </c>
      <c r="E16" s="3" t="n">
        <v>1.4</v>
      </c>
      <c r="F16" s="3" t="n">
        <v>1.4</v>
      </c>
      <c r="G16" s="3" t="n">
        <v>1.4</v>
      </c>
      <c r="H16" s="3" t="n">
        <v>1.4</v>
      </c>
      <c r="I16" s="3" t="n">
        <v>1.4</v>
      </c>
      <c r="J16" s="3" t="n">
        <v>1.4</v>
      </c>
      <c r="K16" s="3" t="n">
        <v>1.4</v>
      </c>
      <c r="L16" s="3" t="n">
        <v>1.4</v>
      </c>
    </row>
    <row r="17" customFormat="false" ht="15" hidden="false" customHeight="false" outlineLevel="0" collapsed="false">
      <c r="A17" s="0" t="s">
        <v>108</v>
      </c>
      <c r="C17" s="3" t="n">
        <v>2.8</v>
      </c>
      <c r="D17" s="3" t="n">
        <v>2.7</v>
      </c>
      <c r="E17" s="3" t="n">
        <v>2.6</v>
      </c>
      <c r="F17" s="3" t="n">
        <v>2.5</v>
      </c>
      <c r="G17" s="3" t="n">
        <v>2.45</v>
      </c>
      <c r="H17" s="3" t="n">
        <v>2.4</v>
      </c>
      <c r="I17" s="3" t="n">
        <v>2.4</v>
      </c>
      <c r="J17" s="3" t="n">
        <v>2.4</v>
      </c>
      <c r="K17" s="3" t="n">
        <v>2.4</v>
      </c>
      <c r="L17" s="3" t="n">
        <v>2.4</v>
      </c>
    </row>
    <row r="18" customFormat="false" ht="15" hidden="false" customHeight="false" outlineLevel="0" collapsed="false">
      <c r="A18" s="0" t="s">
        <v>109</v>
      </c>
      <c r="C18" s="3" t="n">
        <v>2.3</v>
      </c>
      <c r="D18" s="3" t="n">
        <v>2.3</v>
      </c>
      <c r="E18" s="3" t="n">
        <v>2.3</v>
      </c>
      <c r="F18" s="3" t="n">
        <v>2.3</v>
      </c>
      <c r="G18" s="3" t="n">
        <v>2.3</v>
      </c>
      <c r="H18" s="3" t="n">
        <v>2.3</v>
      </c>
      <c r="I18" s="3" t="n">
        <v>2.3</v>
      </c>
      <c r="J18" s="3" t="n">
        <v>2.3</v>
      </c>
      <c r="K18" s="3" t="n">
        <v>2.3</v>
      </c>
      <c r="L18" s="3" t="n">
        <v>2.3</v>
      </c>
    </row>
    <row r="19" customFormat="false" ht="15" hidden="false" customHeight="false" outlineLevel="0" collapsed="false">
      <c r="A19" s="0" t="s">
        <v>110</v>
      </c>
      <c r="C19" s="3" t="n">
        <v>26.5</v>
      </c>
      <c r="D19" s="3" t="n">
        <v>26.5</v>
      </c>
      <c r="E19" s="3" t="n">
        <v>26.5</v>
      </c>
      <c r="F19" s="3" t="n">
        <v>26.5</v>
      </c>
      <c r="G19" s="3" t="n">
        <v>26.5</v>
      </c>
      <c r="H19" s="3" t="n">
        <v>26.5</v>
      </c>
      <c r="I19" s="3" t="n">
        <v>26.5</v>
      </c>
      <c r="J19" s="3" t="n">
        <v>26.5</v>
      </c>
      <c r="K19" s="3" t="n">
        <v>26.5</v>
      </c>
      <c r="L19" s="3" t="n">
        <v>26.5</v>
      </c>
    </row>
    <row r="20" customFormat="false" ht="15" hidden="false" customHeight="false" outlineLevel="0" collapsed="false">
      <c r="A20" s="0" t="s">
        <v>111</v>
      </c>
      <c r="B20" s="3" t="n">
        <v>8.25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11</v>
      </c>
    </row>
    <row r="23" customFormat="false" ht="15" hidden="false" customHeight="false" outlineLevel="0" collapsed="false">
      <c r="A23" s="0" t="s">
        <v>114</v>
      </c>
      <c r="B23" s="3" t="n">
        <v>-10</v>
      </c>
    </row>
    <row r="24" customFormat="false" ht="15" hidden="false" customHeight="false" outlineLevel="0" collapsed="false">
      <c r="A24" s="0" t="s">
        <v>115</v>
      </c>
      <c r="B24" s="3" t="n">
        <v>0.25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2</v>
      </c>
      <c r="D27" s="3" t="n">
        <v>2.5</v>
      </c>
      <c r="E27" s="3" t="n">
        <v>3</v>
      </c>
      <c r="F27" s="3" t="n">
        <v>3</v>
      </c>
      <c r="G27" s="3" t="n">
        <v>3</v>
      </c>
      <c r="H27" s="3" t="n">
        <v>3</v>
      </c>
      <c r="I27" s="3" t="n">
        <v>2.75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105</v>
      </c>
      <c r="C28" s="3" t="n">
        <v>19.9</v>
      </c>
      <c r="D28" s="3" t="n">
        <v>19.95</v>
      </c>
      <c r="E28" s="3" t="n">
        <v>20</v>
      </c>
      <c r="F28" s="3" t="n">
        <v>20.1</v>
      </c>
      <c r="G28" s="3" t="n">
        <v>20.2</v>
      </c>
      <c r="H28" s="3" t="n">
        <v>20.2</v>
      </c>
      <c r="I28" s="3" t="n">
        <v>20.2</v>
      </c>
      <c r="J28" s="3" t="n">
        <v>20.2</v>
      </c>
      <c r="K28" s="3" t="n">
        <v>20.2</v>
      </c>
      <c r="L28" s="3" t="n">
        <v>20.2</v>
      </c>
    </row>
    <row r="29" customFormat="false" ht="15" hidden="false" customHeight="false" outlineLevel="0" collapsed="false">
      <c r="A29" s="0" t="s">
        <v>106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107</v>
      </c>
      <c r="C30" s="3" t="n">
        <v>1.3</v>
      </c>
      <c r="D30" s="3" t="n">
        <v>1.3</v>
      </c>
      <c r="E30" s="3" t="n">
        <v>1.3</v>
      </c>
      <c r="F30" s="3" t="n">
        <v>1.3</v>
      </c>
      <c r="G30" s="3" t="n">
        <v>1.3</v>
      </c>
      <c r="H30" s="3" t="n">
        <v>1.3</v>
      </c>
      <c r="I30" s="3" t="n">
        <v>1.3</v>
      </c>
      <c r="J30" s="3" t="n">
        <v>1.3</v>
      </c>
      <c r="K30" s="3" t="n">
        <v>1.3</v>
      </c>
      <c r="L30" s="3" t="n">
        <v>1.3</v>
      </c>
    </row>
    <row r="31" customFormat="false" ht="15" hidden="false" customHeight="false" outlineLevel="0" collapsed="false">
      <c r="A31" s="0" t="s">
        <v>108</v>
      </c>
      <c r="C31" s="3" t="n">
        <v>2.8</v>
      </c>
      <c r="D31" s="3" t="n">
        <v>2.7</v>
      </c>
      <c r="E31" s="3" t="n">
        <v>2.6</v>
      </c>
      <c r="F31" s="3" t="n">
        <v>2.5</v>
      </c>
      <c r="G31" s="3" t="n">
        <v>2.45</v>
      </c>
      <c r="H31" s="3" t="n">
        <v>2.4</v>
      </c>
      <c r="I31" s="3" t="n">
        <v>2.4</v>
      </c>
      <c r="J31" s="3" t="n">
        <v>2.4</v>
      </c>
      <c r="K31" s="3" t="n">
        <v>2.4</v>
      </c>
      <c r="L31" s="3" t="n">
        <v>2.4</v>
      </c>
    </row>
    <row r="32" customFormat="false" ht="15" hidden="false" customHeight="false" outlineLevel="0" collapsed="false">
      <c r="A32" s="0" t="s">
        <v>109</v>
      </c>
      <c r="C32" s="3" t="n">
        <v>2.3</v>
      </c>
      <c r="D32" s="3" t="n">
        <v>2.3</v>
      </c>
      <c r="E32" s="3" t="n">
        <v>2.3</v>
      </c>
      <c r="F32" s="3" t="n">
        <v>2.3</v>
      </c>
      <c r="G32" s="3" t="n">
        <v>2.3</v>
      </c>
      <c r="H32" s="3" t="n">
        <v>2.3</v>
      </c>
      <c r="I32" s="3" t="n">
        <v>2.3</v>
      </c>
      <c r="J32" s="3" t="n">
        <v>2.3</v>
      </c>
      <c r="K32" s="3" t="n">
        <v>2.3</v>
      </c>
      <c r="L32" s="3" t="n">
        <v>2.3</v>
      </c>
    </row>
    <row r="33" customFormat="false" ht="15" hidden="false" customHeight="false" outlineLevel="0" collapsed="false">
      <c r="A33" s="0" t="s">
        <v>110</v>
      </c>
      <c r="C33" s="3" t="n">
        <v>26.5</v>
      </c>
      <c r="D33" s="3" t="n">
        <v>26.5</v>
      </c>
      <c r="E33" s="3" t="n">
        <v>26.5</v>
      </c>
      <c r="F33" s="3" t="n">
        <v>26.5</v>
      </c>
      <c r="G33" s="3" t="n">
        <v>26.5</v>
      </c>
      <c r="H33" s="3" t="n">
        <v>26.5</v>
      </c>
      <c r="I33" s="3" t="n">
        <v>26.5</v>
      </c>
      <c r="J33" s="3" t="n">
        <v>26.5</v>
      </c>
      <c r="K33" s="3" t="n">
        <v>26.5</v>
      </c>
      <c r="L33" s="3" t="n">
        <v>26.5</v>
      </c>
    </row>
    <row r="34" customFormat="false" ht="15" hidden="false" customHeight="false" outlineLevel="0" collapsed="false">
      <c r="A34" s="0" t="s">
        <v>111</v>
      </c>
      <c r="B34" s="3" t="n">
        <v>8.25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14</v>
      </c>
    </row>
    <row r="37" customFormat="false" ht="15" hidden="false" customHeight="false" outlineLevel="0" collapsed="false">
      <c r="A37" s="0" t="s">
        <v>114</v>
      </c>
      <c r="B37" s="3" t="n">
        <v>-10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3.5</v>
      </c>
      <c r="D41" s="3" t="n">
        <v>4.5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105</v>
      </c>
      <c r="C42" s="3" t="n">
        <v>20</v>
      </c>
      <c r="D42" s="3" t="n">
        <v>20.3</v>
      </c>
      <c r="E42" s="3" t="n">
        <v>20.6</v>
      </c>
      <c r="F42" s="3" t="n">
        <v>20.9</v>
      </c>
      <c r="G42" s="3" t="n">
        <v>21.2</v>
      </c>
      <c r="H42" s="3" t="n">
        <v>21.4</v>
      </c>
      <c r="I42" s="3" t="n">
        <v>21.5</v>
      </c>
      <c r="J42" s="3" t="n">
        <v>21.5</v>
      </c>
      <c r="K42" s="3" t="n">
        <v>21.5</v>
      </c>
      <c r="L42" s="3" t="n">
        <v>21.5</v>
      </c>
    </row>
    <row r="43" customFormat="false" ht="15" hidden="false" customHeight="false" outlineLevel="0" collapsed="false">
      <c r="A43" s="0" t="s">
        <v>106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107</v>
      </c>
      <c r="C44" s="3" t="n">
        <v>1.3</v>
      </c>
      <c r="D44" s="3" t="n">
        <v>1.3</v>
      </c>
      <c r="E44" s="3" t="n">
        <v>1.25</v>
      </c>
      <c r="F44" s="3" t="n">
        <v>1.25</v>
      </c>
      <c r="G44" s="3" t="n">
        <v>1.2</v>
      </c>
      <c r="H44" s="3" t="n">
        <v>1.2</v>
      </c>
      <c r="I44" s="3" t="n">
        <v>1.2</v>
      </c>
      <c r="J44" s="3" t="n">
        <v>1.2</v>
      </c>
      <c r="K44" s="3" t="n">
        <v>1.2</v>
      </c>
      <c r="L44" s="3" t="n">
        <v>1.2</v>
      </c>
    </row>
    <row r="45" customFormat="false" ht="15" hidden="false" customHeight="false" outlineLevel="0" collapsed="false">
      <c r="A45" s="0" t="s">
        <v>108</v>
      </c>
      <c r="C45" s="3" t="n">
        <v>2.8</v>
      </c>
      <c r="D45" s="3" t="n">
        <v>2.7</v>
      </c>
      <c r="E45" s="3" t="n">
        <v>2.6</v>
      </c>
      <c r="F45" s="3" t="n">
        <v>2.5</v>
      </c>
      <c r="G45" s="3" t="n">
        <v>2.45</v>
      </c>
      <c r="H45" s="3" t="n">
        <v>2.4</v>
      </c>
      <c r="I45" s="3" t="n">
        <v>2.4</v>
      </c>
      <c r="J45" s="3" t="n">
        <v>2.4</v>
      </c>
      <c r="K45" s="3" t="n">
        <v>2.4</v>
      </c>
      <c r="L45" s="3" t="n">
        <v>2.4</v>
      </c>
    </row>
    <row r="46" customFormat="false" ht="15" hidden="false" customHeight="false" outlineLevel="0" collapsed="false">
      <c r="A46" s="0" t="s">
        <v>109</v>
      </c>
      <c r="C46" s="3" t="n">
        <v>2.3</v>
      </c>
      <c r="D46" s="3" t="n">
        <v>2.3</v>
      </c>
      <c r="E46" s="3" t="n">
        <v>2.3</v>
      </c>
      <c r="F46" s="3" t="n">
        <v>2.3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110</v>
      </c>
      <c r="C47" s="3" t="n">
        <v>26.5</v>
      </c>
      <c r="D47" s="3" t="n">
        <v>26.5</v>
      </c>
      <c r="E47" s="3" t="n">
        <v>26.5</v>
      </c>
      <c r="F47" s="3" t="n">
        <v>26.5</v>
      </c>
      <c r="G47" s="3" t="n">
        <v>26.5</v>
      </c>
      <c r="H47" s="3" t="n">
        <v>26.5</v>
      </c>
      <c r="I47" s="3" t="n">
        <v>26.5</v>
      </c>
      <c r="J47" s="3" t="n">
        <v>26.5</v>
      </c>
      <c r="K47" s="3" t="n">
        <v>26.5</v>
      </c>
      <c r="L47" s="3" t="n">
        <v>26.5</v>
      </c>
    </row>
    <row r="48" customFormat="false" ht="15" hidden="false" customHeight="false" outlineLevel="0" collapsed="false">
      <c r="A48" s="0" t="s">
        <v>111</v>
      </c>
      <c r="B48" s="3" t="n">
        <v>8.25</v>
      </c>
    </row>
    <row r="49" customFormat="false" ht="15" hidden="false" customHeight="false" outlineLevel="0" collapsed="false">
      <c r="A49" s="0" t="s">
        <v>112</v>
      </c>
      <c r="B49" s="3" t="n">
        <v>2.75</v>
      </c>
    </row>
    <row r="50" customFormat="false" ht="15" hidden="false" customHeight="false" outlineLevel="0" collapsed="false">
      <c r="A50" s="0" t="s">
        <v>113</v>
      </c>
      <c r="B50" s="3" t="n">
        <v>16</v>
      </c>
    </row>
    <row r="51" customFormat="false" ht="15" hidden="false" customHeight="false" outlineLevel="0" collapsed="false">
      <c r="A51" s="0" t="s">
        <v>114</v>
      </c>
      <c r="B51" s="3" t="n">
        <v>-10</v>
      </c>
    </row>
    <row r="52" customFormat="false" ht="15" hidden="false" customHeight="false" outlineLevel="0" collapsed="false">
      <c r="A52" s="0" t="s">
        <v>115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-1</v>
      </c>
      <c r="D5" s="4" t="n">
        <f aca="false">Assumptions!D13</f>
        <v>-1.5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16441.4</v>
      </c>
      <c r="C6" s="0" t="n">
        <f aca="false">B6*(1+C5/100)</f>
        <v>16276.986</v>
      </c>
      <c r="D6" s="0" t="n">
        <f aca="false">C6*(1+D5/100)</f>
        <v>16032.83121</v>
      </c>
      <c r="E6" s="0" t="n">
        <f aca="false">D6*(1+E5/100)</f>
        <v>16032.83121</v>
      </c>
      <c r="F6" s="0" t="n">
        <f aca="false">E6*(1+F5/100)</f>
        <v>16193.1595221</v>
      </c>
      <c r="G6" s="0" t="n">
        <f aca="false">F6*(1+G5/100)</f>
        <v>16436.0569149315</v>
      </c>
      <c r="H6" s="0" t="n">
        <f aca="false">G6*(1+H5/100)</f>
        <v>16764.7780532301</v>
      </c>
      <c r="I6" s="0" t="n">
        <f aca="false">H6*(1+I5/100)</f>
        <v>17100.0736142947</v>
      </c>
      <c r="J6" s="0" t="n">
        <f aca="false">I6*(1+J5/100)</f>
        <v>17442.0750865806</v>
      </c>
      <c r="K6" s="0" t="n">
        <f aca="false">J6*(1+K5/100)</f>
        <v>17790.9165883122</v>
      </c>
      <c r="L6" s="0" t="n">
        <f aca="false">K6*(1+L5/100)</f>
        <v>18146.7349200785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19.5</v>
      </c>
      <c r="D7" s="4" t="n">
        <f aca="false">Assumptions!D14</f>
        <v>19</v>
      </c>
      <c r="E7" s="4" t="n">
        <f aca="false">Assumptions!E14</f>
        <v>18.6</v>
      </c>
      <c r="F7" s="4" t="n">
        <f aca="false">Assumptions!F14</f>
        <v>18.3</v>
      </c>
      <c r="G7" s="4" t="n">
        <f aca="false">Assumptions!G14</f>
        <v>18.3</v>
      </c>
      <c r="H7" s="4" t="n">
        <f aca="false">Assumptions!H14</f>
        <v>18.3</v>
      </c>
      <c r="I7" s="4" t="n">
        <f aca="false">Assumptions!I14</f>
        <v>18.3</v>
      </c>
      <c r="J7" s="4" t="n">
        <f aca="false">Assumptions!J14</f>
        <v>18.3</v>
      </c>
      <c r="K7" s="4" t="n">
        <f aca="false">Assumptions!K14</f>
        <v>18.3</v>
      </c>
      <c r="L7" s="4" t="n">
        <f aca="false">Assumptions!L14</f>
        <v>18.3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3174.01227</v>
      </c>
      <c r="D8" s="0" t="n">
        <f aca="false">D6*D7/100</f>
        <v>3046.2379299</v>
      </c>
      <c r="E8" s="0" t="n">
        <f aca="false">E6*E7/100</f>
        <v>2982.10660506</v>
      </c>
      <c r="F8" s="0" t="n">
        <f aca="false">F6*F7/100</f>
        <v>2963.3481925443</v>
      </c>
      <c r="G8" s="0" t="n">
        <f aca="false">G6*G7/100</f>
        <v>3007.79841543246</v>
      </c>
      <c r="H8" s="0" t="n">
        <f aca="false">H6*H7/100</f>
        <v>3067.95438374111</v>
      </c>
      <c r="I8" s="0" t="n">
        <f aca="false">I6*I7/100</f>
        <v>3129.31347141594</v>
      </c>
      <c r="J8" s="0" t="n">
        <f aca="false">J6*J7/100</f>
        <v>3191.89974084425</v>
      </c>
      <c r="K8" s="0" t="n">
        <f aca="false">K6*K7/100</f>
        <v>3255.73773566114</v>
      </c>
      <c r="L8" s="0" t="n">
        <f aca="false">L6*L7/100</f>
        <v>3320.85249037436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-97.661916</v>
      </c>
      <c r="D10" s="0" t="n">
        <f aca="false">-D6*D9/100</f>
        <v>-96.19698726</v>
      </c>
      <c r="E10" s="0" t="n">
        <f aca="false">-E6*E9/100</f>
        <v>-96.19698726</v>
      </c>
      <c r="F10" s="0" t="n">
        <f aca="false">-F6*F9/100</f>
        <v>-97.1589571326</v>
      </c>
      <c r="G10" s="0" t="n">
        <f aca="false">-G6*G9/100</f>
        <v>-98.616341489589</v>
      </c>
      <c r="H10" s="0" t="n">
        <f aca="false">-H6*H9/100</f>
        <v>-100.588668319381</v>
      </c>
      <c r="I10" s="0" t="n">
        <f aca="false">-I6*I9/100</f>
        <v>-102.600441685768</v>
      </c>
      <c r="J10" s="0" t="n">
        <f aca="false">-J6*J9/100</f>
        <v>-104.652450519484</v>
      </c>
      <c r="K10" s="0" t="n">
        <f aca="false">-K6*K9/100</f>
        <v>-106.745499529873</v>
      </c>
      <c r="L10" s="0" t="n">
        <f aca="false">-L6*L9/100</f>
        <v>-108.880409520471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2864.749536</v>
      </c>
      <c r="D11" s="0" t="n">
        <f aca="false">D8+D10+D24</f>
        <v>2733.597721305</v>
      </c>
      <c r="E11" s="0" t="n">
        <f aca="false">E8+E10+E24</f>
        <v>2661.44998086</v>
      </c>
      <c r="F11" s="0" t="n">
        <f aca="false">F8+F10+F24</f>
        <v>2639.4850021023</v>
      </c>
      <c r="G11" s="0" t="n">
        <f aca="false">G8+G10+G24</f>
        <v>2679.07727713383</v>
      </c>
      <c r="H11" s="0" t="n">
        <f aca="false">H8+H10+H24</f>
        <v>2732.65882267651</v>
      </c>
      <c r="I11" s="0" t="n">
        <f aca="false">I8+I10+I24</f>
        <v>2787.31199913004</v>
      </c>
      <c r="J11" s="0" t="n">
        <f aca="false">J8+J10+J24</f>
        <v>2843.05823911264</v>
      </c>
      <c r="K11" s="0" t="n">
        <f aca="false">K8+K10+K24</f>
        <v>2899.9194038949</v>
      </c>
      <c r="L11" s="0" t="n">
        <f aca="false">L8+L10+L24</f>
        <v>2957.91779197279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-455.755608</v>
      </c>
      <c r="D12" s="4" t="n">
        <f aca="false">-D6*Assumptions!D17/100</f>
        <v>-432.88644267</v>
      </c>
      <c r="E12" s="4" t="n">
        <f aca="false">-E6*Assumptions!E17/100</f>
        <v>-416.85361146</v>
      </c>
      <c r="F12" s="4" t="n">
        <f aca="false">-F6*Assumptions!F17/100</f>
        <v>-404.8289880525</v>
      </c>
      <c r="G12" s="4" t="n">
        <f aca="false">-G6*Assumptions!G17/100</f>
        <v>-402.683394415822</v>
      </c>
      <c r="H12" s="4" t="n">
        <f aca="false">-H6*Assumptions!H17/100</f>
        <v>-402.354673277523</v>
      </c>
      <c r="I12" s="4" t="n">
        <f aca="false">-I6*Assumptions!I17/100</f>
        <v>-410.401766743074</v>
      </c>
      <c r="J12" s="4" t="n">
        <f aca="false">-J6*Assumptions!J17/100</f>
        <v>-418.609802077935</v>
      </c>
      <c r="K12" s="4" t="n">
        <f aca="false">-K6*Assumptions!K17/100</f>
        <v>-426.981998119494</v>
      </c>
      <c r="L12" s="4" t="n">
        <f aca="false">-L6*Assumptions!L17/100</f>
        <v>-435.521638081884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2408.993928</v>
      </c>
      <c r="D13" s="0" t="n">
        <f aca="false">D11+D12</f>
        <v>2300.711278635</v>
      </c>
      <c r="E13" s="0" t="n">
        <f aca="false">E11+E12</f>
        <v>2244.5963694</v>
      </c>
      <c r="F13" s="0" t="n">
        <f aca="false">F11+F12</f>
        <v>2234.6560140498</v>
      </c>
      <c r="G13" s="0" t="n">
        <f aca="false">G11+G12</f>
        <v>2276.39388271801</v>
      </c>
      <c r="H13" s="0" t="n">
        <f aca="false">H11+H12</f>
        <v>2330.30414939899</v>
      </c>
      <c r="I13" s="0" t="n">
        <f aca="false">I11+I12</f>
        <v>2376.91023238697</v>
      </c>
      <c r="J13" s="0" t="n">
        <f aca="false">J11+J12</f>
        <v>2424.44843703471</v>
      </c>
      <c r="K13" s="0" t="n">
        <f aca="false">K11+K12</f>
        <v>2472.9374057754</v>
      </c>
      <c r="L13" s="0" t="n">
        <f aca="false">L11+L12</f>
        <v>2522.39615389091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26.5</v>
      </c>
      <c r="D14" s="4" t="n">
        <f aca="false">Assumptions!D19</f>
        <v>26.5</v>
      </c>
      <c r="E14" s="4" t="n">
        <f aca="false">Assumptions!E19</f>
        <v>26.5</v>
      </c>
      <c r="F14" s="4" t="n">
        <f aca="false">Assumptions!F19</f>
        <v>26.5</v>
      </c>
      <c r="G14" s="4" t="n">
        <f aca="false">Assumptions!G19</f>
        <v>26.5</v>
      </c>
      <c r="H14" s="4" t="n">
        <f aca="false">Assumptions!H19</f>
        <v>26.5</v>
      </c>
      <c r="I14" s="4" t="n">
        <f aca="false">Assumptions!I19</f>
        <v>26.5</v>
      </c>
      <c r="J14" s="4" t="n">
        <f aca="false">Assumptions!J19</f>
        <v>26.5</v>
      </c>
      <c r="K14" s="4" t="n">
        <f aca="false">Assumptions!K19</f>
        <v>26.5</v>
      </c>
      <c r="L14" s="4" t="n">
        <f aca="false">Assumptions!L19</f>
        <v>26.5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1770.61053708</v>
      </c>
      <c r="D15" s="0" t="n">
        <f aca="false">D13-MAX(0,D13)*D14/100</f>
        <v>1691.02278979673</v>
      </c>
      <c r="E15" s="0" t="n">
        <f aca="false">E13-MAX(0,E13)*E14/100</f>
        <v>1649.778331509</v>
      </c>
      <c r="F15" s="0" t="n">
        <f aca="false">F13-MAX(0,F13)*F14/100</f>
        <v>1642.4721703266</v>
      </c>
      <c r="G15" s="0" t="n">
        <f aca="false">G13-MAX(0,G13)*G14/100</f>
        <v>1673.14950379774</v>
      </c>
      <c r="H15" s="0" t="n">
        <f aca="false">H13-MAX(0,H13)*H14/100</f>
        <v>1712.77354980826</v>
      </c>
      <c r="I15" s="0" t="n">
        <f aca="false">I13-MAX(0,I13)*I14/100</f>
        <v>1747.02902080442</v>
      </c>
      <c r="J15" s="0" t="n">
        <f aca="false">J13-MAX(0,J13)*J14/100</f>
        <v>1781.96960122051</v>
      </c>
      <c r="K15" s="0" t="n">
        <f aca="false">K13-MAX(0,K13)*K14/100</f>
        <v>1817.60899324492</v>
      </c>
      <c r="L15" s="0" t="n">
        <f aca="false">L13-MAX(0,L13)*L14/100</f>
        <v>1853.96117310982</v>
      </c>
    </row>
    <row r="16" customFormat="false" ht="15" hidden="false" customHeight="false" outlineLevel="0" collapsed="false">
      <c r="A16" s="0" t="s">
        <v>126</v>
      </c>
      <c r="C16" s="0" t="n">
        <f aca="false">-C12</f>
        <v>455.755608</v>
      </c>
      <c r="D16" s="0" t="n">
        <f aca="false">-D12</f>
        <v>432.88644267</v>
      </c>
      <c r="E16" s="0" t="n">
        <f aca="false">-E12</f>
        <v>416.85361146</v>
      </c>
      <c r="F16" s="0" t="n">
        <f aca="false">-F12</f>
        <v>404.8289880525</v>
      </c>
      <c r="G16" s="0" t="n">
        <f aca="false">-G12</f>
        <v>402.683394415822</v>
      </c>
      <c r="H16" s="0" t="n">
        <f aca="false">-H12</f>
        <v>402.354673277523</v>
      </c>
      <c r="I16" s="0" t="n">
        <f aca="false">-I12</f>
        <v>410.401766743074</v>
      </c>
      <c r="J16" s="0" t="n">
        <f aca="false">-J12</f>
        <v>418.609802077935</v>
      </c>
      <c r="K16" s="0" t="n">
        <f aca="false">-K12</f>
        <v>426.981998119494</v>
      </c>
      <c r="L16" s="0" t="n">
        <f aca="false">-L12</f>
        <v>435.521638081884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-374.370678</v>
      </c>
      <c r="D17" s="4" t="n">
        <f aca="false">-D6*Assumptions!D18/100</f>
        <v>-368.75511783</v>
      </c>
      <c r="E17" s="4" t="n">
        <f aca="false">-E6*Assumptions!E18/100</f>
        <v>-368.75511783</v>
      </c>
      <c r="F17" s="4" t="n">
        <f aca="false">-F6*Assumptions!F18/100</f>
        <v>-372.4426690083</v>
      </c>
      <c r="G17" s="4" t="n">
        <f aca="false">-G6*Assumptions!G18/100</f>
        <v>-378.029309043424</v>
      </c>
      <c r="H17" s="4" t="n">
        <f aca="false">-H6*Assumptions!H18/100</f>
        <v>-385.589895224293</v>
      </c>
      <c r="I17" s="4" t="n">
        <f aca="false">-I6*Assumptions!I18/100</f>
        <v>-393.301693128779</v>
      </c>
      <c r="J17" s="4" t="n">
        <f aca="false">-J6*Assumptions!J18/100</f>
        <v>-401.167726991354</v>
      </c>
      <c r="K17" s="4" t="n">
        <f aca="false">-K6*Assumptions!K18/100</f>
        <v>-409.191081531181</v>
      </c>
      <c r="L17" s="4" t="n">
        <f aca="false">-L6*Assumptions!L18/100</f>
        <v>-417.374903161805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16.4414000000001</v>
      </c>
      <c r="D18" s="4" t="n">
        <f aca="false">(D6-C6)*Assumptions!$B$23/100</f>
        <v>24.4154790000001</v>
      </c>
      <c r="E18" s="4" t="n">
        <f aca="false">(E6-D6)*Assumptions!$B$23/100</f>
        <v>-0</v>
      </c>
      <c r="F18" s="4" t="n">
        <f aca="false">(F6-E6)*Assumptions!$B$23/100</f>
        <v>-16.03283121</v>
      </c>
      <c r="G18" s="4" t="n">
        <f aca="false">(G6-F6)*Assumptions!$B$23/100</f>
        <v>-24.2897392831497</v>
      </c>
      <c r="H18" s="4" t="n">
        <f aca="false">(H6-G6)*Assumptions!$B$23/100</f>
        <v>-32.8721138298632</v>
      </c>
      <c r="I18" s="4" t="n">
        <f aca="false">(I6-H6)*Assumptions!$B$23/100</f>
        <v>-33.5295561064602</v>
      </c>
      <c r="J18" s="4" t="n">
        <f aca="false">(J6-I6)*Assumptions!$B$23/100</f>
        <v>-34.2001472285894</v>
      </c>
      <c r="K18" s="4" t="n">
        <f aca="false">(K6-J6)*Assumptions!$B$23/100</f>
        <v>-34.8841501731611</v>
      </c>
      <c r="L18" s="4" t="n">
        <f aca="false">(L6-K6)*Assumptions!$B$23/100</f>
        <v>-35.5818331766244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1868.43686708</v>
      </c>
      <c r="D19" s="0" t="n">
        <f aca="false">D15+D16+D17+D18</f>
        <v>1779.56959363673</v>
      </c>
      <c r="E19" s="0" t="n">
        <f aca="false">E15+E16+E17+E18</f>
        <v>1697.876825139</v>
      </c>
      <c r="F19" s="0" t="n">
        <f aca="false">F15+F16+F17+F18</f>
        <v>1658.8256581608</v>
      </c>
      <c r="G19" s="0" t="n">
        <f aca="false">G15+G16+G17+G18</f>
        <v>1673.51384988699</v>
      </c>
      <c r="H19" s="0" t="n">
        <f aca="false">H15+H16+H17+H18</f>
        <v>1696.66621403162</v>
      </c>
      <c r="I19" s="0" t="n">
        <f aca="false">I15+I16+I17+I18</f>
        <v>1730.59953831226</v>
      </c>
      <c r="J19" s="0" t="n">
        <f aca="false">J15+J16+J17+J18</f>
        <v>1765.2115290785</v>
      </c>
      <c r="K19" s="0" t="n">
        <f aca="false">K15+K16+K17+K18</f>
        <v>1800.51575966007</v>
      </c>
      <c r="L19" s="0" t="n">
        <f aca="false">L15+L16+L17+L18</f>
        <v>1836.52607485327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1726.03867628637</v>
      </c>
      <c r="D21" s="0" t="n">
        <f aca="false">D19*D20</f>
        <v>1518.655147672</v>
      </c>
      <c r="E21" s="0" t="n">
        <f aca="false">E19*E20</f>
        <v>1338.51260532022</v>
      </c>
      <c r="F21" s="0" t="n">
        <f aca="false">F19*F20</f>
        <v>1208.06172323127</v>
      </c>
      <c r="G21" s="0" t="n">
        <f aca="false">G19*G20</f>
        <v>1125.87398901118</v>
      </c>
      <c r="H21" s="0" t="n">
        <f aca="false">H19*H20</f>
        <v>1054.45726072791</v>
      </c>
      <c r="I21" s="0" t="n">
        <f aca="false">I19*I20</f>
        <v>993.576356528843</v>
      </c>
      <c r="J21" s="0" t="n">
        <f aca="false">J19*J20</f>
        <v>936.210516082605</v>
      </c>
      <c r="K21" s="0" t="n">
        <f aca="false">K19*K20</f>
        <v>882.156791135573</v>
      </c>
      <c r="L21" s="0" t="n">
        <f aca="false">L19*L20</f>
        <v>831.223951000724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1.3</v>
      </c>
      <c r="D23" s="4" t="n">
        <f aca="false">Assumptions!D16</f>
        <v>1.35</v>
      </c>
      <c r="E23" s="4" t="n">
        <f aca="false">Assumptions!E16</f>
        <v>1.4</v>
      </c>
      <c r="F23" s="4" t="n">
        <f aca="false">Assumptions!F16</f>
        <v>1.4</v>
      </c>
      <c r="G23" s="4" t="n">
        <f aca="false">Assumptions!G16</f>
        <v>1.4</v>
      </c>
      <c r="H23" s="4" t="n">
        <f aca="false">Assumptions!H16</f>
        <v>1.4</v>
      </c>
      <c r="I23" s="4" t="n">
        <f aca="false">Assumptions!I16</f>
        <v>1.4</v>
      </c>
      <c r="J23" s="4" t="n">
        <f aca="false">Assumptions!J16</f>
        <v>1.4</v>
      </c>
      <c r="K23" s="4" t="n">
        <f aca="false">Assumptions!K16</f>
        <v>1.4</v>
      </c>
      <c r="L23" s="4" t="n">
        <f aca="false">Assumptions!L16</f>
        <v>1.4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-211.600818</v>
      </c>
      <c r="D24" s="0" t="n">
        <f aca="false">-D6*D23/100</f>
        <v>-216.443221335</v>
      </c>
      <c r="E24" s="0" t="n">
        <f aca="false">-E6*E23/100</f>
        <v>-224.45963694</v>
      </c>
      <c r="F24" s="0" t="n">
        <f aca="false">-F6*F23/100</f>
        <v>-226.7042333094</v>
      </c>
      <c r="G24" s="0" t="n">
        <f aca="false">-G6*G23/100</f>
        <v>-230.104796809041</v>
      </c>
      <c r="H24" s="0" t="n">
        <f aca="false">-H6*H23/100</f>
        <v>-234.706892745222</v>
      </c>
      <c r="I24" s="0" t="n">
        <f aca="false">-I6*I23/100</f>
        <v>-239.401030600126</v>
      </c>
      <c r="J24" s="0" t="n">
        <f aca="false">-J6*J23/100</f>
        <v>-244.189051212129</v>
      </c>
      <c r="K24" s="0" t="n">
        <f aca="false">-K6*K23/100</f>
        <v>-249.072832236371</v>
      </c>
      <c r="L24" s="0" t="n">
        <f aca="false">-L6*L23/100</f>
        <v>-254.054288881099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8.25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11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11614.7670169967</v>
      </c>
    </row>
    <row r="31" customFormat="false" ht="15" hidden="false" customHeight="false" outlineLevel="0" collapsed="false">
      <c r="A31" s="0" t="s">
        <v>135</v>
      </c>
      <c r="B31" s="0" t="n">
        <f aca="false">L19</f>
        <v>1836.52607485327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29972.1055416054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20201.786823386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20201.786823386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9143.46346100796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20758.2304780047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17754.2304780047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59.8832021744905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-0.14684139942313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663.754360545934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804.24959306344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64.8346292530029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14409.6661257718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31.5432805611116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2</v>
      </c>
      <c r="D5" s="4" t="n">
        <f aca="false">Assumptions!D27</f>
        <v>2.5</v>
      </c>
      <c r="E5" s="4" t="n">
        <f aca="false">Assumptions!E27</f>
        <v>3</v>
      </c>
      <c r="F5" s="4" t="n">
        <f aca="false">Assumptions!F27</f>
        <v>3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2.75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16441.4</v>
      </c>
      <c r="C6" s="0" t="n">
        <f aca="false">B6*(1+C5/100)</f>
        <v>16770.228</v>
      </c>
      <c r="D6" s="0" t="n">
        <f aca="false">C6*(1+D5/100)</f>
        <v>17189.4837</v>
      </c>
      <c r="E6" s="0" t="n">
        <f aca="false">D6*(1+E5/100)</f>
        <v>17705.168211</v>
      </c>
      <c r="F6" s="0" t="n">
        <f aca="false">E6*(1+F5/100)</f>
        <v>18236.32325733</v>
      </c>
      <c r="G6" s="0" t="n">
        <f aca="false">F6*(1+G5/100)</f>
        <v>18783.4129550499</v>
      </c>
      <c r="H6" s="0" t="n">
        <f aca="false">G6*(1+H5/100)</f>
        <v>19346.9153437014</v>
      </c>
      <c r="I6" s="0" t="n">
        <f aca="false">H6*(1+I5/100)</f>
        <v>19878.9555156532</v>
      </c>
      <c r="J6" s="0" t="n">
        <f aca="false">I6*(1+J5/100)</f>
        <v>20375.9294035445</v>
      </c>
      <c r="K6" s="0" t="n">
        <f aca="false">J6*(1+K5/100)</f>
        <v>20885.3276386331</v>
      </c>
      <c r="L6" s="0" t="n">
        <f aca="false">K6*(1+L5/100)</f>
        <v>21407.460829599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19.9</v>
      </c>
      <c r="D7" s="4" t="n">
        <f aca="false">Assumptions!D28</f>
        <v>19.95</v>
      </c>
      <c r="E7" s="4" t="n">
        <f aca="false">Assumptions!E28</f>
        <v>20</v>
      </c>
      <c r="F7" s="4" t="n">
        <f aca="false">Assumptions!F28</f>
        <v>20.1</v>
      </c>
      <c r="G7" s="4" t="n">
        <f aca="false">Assumptions!G28</f>
        <v>20.2</v>
      </c>
      <c r="H7" s="4" t="n">
        <f aca="false">Assumptions!H28</f>
        <v>20.2</v>
      </c>
      <c r="I7" s="4" t="n">
        <f aca="false">Assumptions!I28</f>
        <v>20.2</v>
      </c>
      <c r="J7" s="4" t="n">
        <f aca="false">Assumptions!J28</f>
        <v>20.2</v>
      </c>
      <c r="K7" s="4" t="n">
        <f aca="false">Assumptions!K28</f>
        <v>20.2</v>
      </c>
      <c r="L7" s="4" t="n">
        <f aca="false">Assumptions!L28</f>
        <v>20.2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3337.275372</v>
      </c>
      <c r="D8" s="0" t="n">
        <f aca="false">D6*D7/100</f>
        <v>3429.30199815</v>
      </c>
      <c r="E8" s="0" t="n">
        <f aca="false">E6*E7/100</f>
        <v>3541.0336422</v>
      </c>
      <c r="F8" s="0" t="n">
        <f aca="false">F6*F7/100</f>
        <v>3665.50097472333</v>
      </c>
      <c r="G8" s="0" t="n">
        <f aca="false">G6*G7/100</f>
        <v>3794.24941692008</v>
      </c>
      <c r="H8" s="0" t="n">
        <f aca="false">H6*H7/100</f>
        <v>3908.07689942768</v>
      </c>
      <c r="I8" s="0" t="n">
        <f aca="false">I6*I7/100</f>
        <v>4015.54901416194</v>
      </c>
      <c r="J8" s="0" t="n">
        <f aca="false">J6*J7/100</f>
        <v>4115.93773951599</v>
      </c>
      <c r="K8" s="0" t="n">
        <f aca="false">K6*K7/100</f>
        <v>4218.83618300389</v>
      </c>
      <c r="L8" s="0" t="n">
        <f aca="false">L6*L7/100</f>
        <v>4324.30708757899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-100.621368</v>
      </c>
      <c r="D10" s="0" t="n">
        <f aca="false">-D6*D9/100</f>
        <v>-103.1369022</v>
      </c>
      <c r="E10" s="0" t="n">
        <f aca="false">-E6*E9/100</f>
        <v>-106.231009266</v>
      </c>
      <c r="F10" s="0" t="n">
        <f aca="false">-F6*F9/100</f>
        <v>-109.41793954398</v>
      </c>
      <c r="G10" s="0" t="n">
        <f aca="false">-G6*G9/100</f>
        <v>-112.700477730299</v>
      </c>
      <c r="H10" s="0" t="n">
        <f aca="false">-H6*H9/100</f>
        <v>-116.081492062208</v>
      </c>
      <c r="I10" s="0" t="n">
        <f aca="false">-I6*I9/100</f>
        <v>-119.273733093919</v>
      </c>
      <c r="J10" s="0" t="n">
        <f aca="false">-J6*J9/100</f>
        <v>-122.255576421267</v>
      </c>
      <c r="K10" s="0" t="n">
        <f aca="false">-K6*K9/100</f>
        <v>-125.311965831799</v>
      </c>
      <c r="L10" s="0" t="n">
        <f aca="false">-L6*L9/100</f>
        <v>-128.444764977594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3018.64104</v>
      </c>
      <c r="D11" s="0" t="n">
        <f aca="false">D8+D10+D24</f>
        <v>3102.70180785</v>
      </c>
      <c r="E11" s="0" t="n">
        <f aca="false">E8+E10+E24</f>
        <v>3204.635446191</v>
      </c>
      <c r="F11" s="0" t="n">
        <f aca="false">F8+F10+F24</f>
        <v>3319.01083283406</v>
      </c>
      <c r="G11" s="0" t="n">
        <f aca="false">G8+G10+G24</f>
        <v>3437.36457077413</v>
      </c>
      <c r="H11" s="0" t="n">
        <f aca="false">H8+H10+H24</f>
        <v>3540.48550789736</v>
      </c>
      <c r="I11" s="0" t="n">
        <f aca="false">I8+I10+I24</f>
        <v>3637.84885936453</v>
      </c>
      <c r="J11" s="0" t="n">
        <f aca="false">J8+J10+J24</f>
        <v>3728.79508084865</v>
      </c>
      <c r="K11" s="0" t="n">
        <f aca="false">K8+K10+K24</f>
        <v>3822.01495786986</v>
      </c>
      <c r="L11" s="0" t="n">
        <f aca="false">L8+L10+L24</f>
        <v>3917.56533181661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-469.566384</v>
      </c>
      <c r="D12" s="4" t="n">
        <f aca="false">-D6*Assumptions!D31/100</f>
        <v>-464.1160599</v>
      </c>
      <c r="E12" s="4" t="n">
        <f aca="false">-E6*Assumptions!E31/100</f>
        <v>-460.334373486</v>
      </c>
      <c r="F12" s="4" t="n">
        <f aca="false">-F6*Assumptions!F31/100</f>
        <v>-455.90808143325</v>
      </c>
      <c r="G12" s="4" t="n">
        <f aca="false">-G6*Assumptions!G31/100</f>
        <v>-460.193617398723</v>
      </c>
      <c r="H12" s="4" t="n">
        <f aca="false">-H6*Assumptions!H31/100</f>
        <v>-464.325968248834</v>
      </c>
      <c r="I12" s="4" t="n">
        <f aca="false">-I6*Assumptions!I31/100</f>
        <v>-477.094932375677</v>
      </c>
      <c r="J12" s="4" t="n">
        <f aca="false">-J6*Assumptions!J31/100</f>
        <v>-489.022305685068</v>
      </c>
      <c r="K12" s="4" t="n">
        <f aca="false">-K6*Assumptions!K31/100</f>
        <v>-501.247863327195</v>
      </c>
      <c r="L12" s="4" t="n">
        <f aca="false">-L6*Assumptions!L31/100</f>
        <v>-513.779059910375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2549.074656</v>
      </c>
      <c r="D13" s="0" t="n">
        <f aca="false">D11+D12</f>
        <v>2638.58574795</v>
      </c>
      <c r="E13" s="0" t="n">
        <f aca="false">E11+E12</f>
        <v>2744.301072705</v>
      </c>
      <c r="F13" s="0" t="n">
        <f aca="false">F11+F12</f>
        <v>2863.10275140081</v>
      </c>
      <c r="G13" s="0" t="n">
        <f aca="false">G11+G12</f>
        <v>2977.17095337541</v>
      </c>
      <c r="H13" s="0" t="n">
        <f aca="false">H11+H12</f>
        <v>3076.15953964852</v>
      </c>
      <c r="I13" s="0" t="n">
        <f aca="false">I11+I12</f>
        <v>3160.75392698886</v>
      </c>
      <c r="J13" s="0" t="n">
        <f aca="false">J11+J12</f>
        <v>3239.77277516358</v>
      </c>
      <c r="K13" s="0" t="n">
        <f aca="false">K11+K12</f>
        <v>3320.76709454267</v>
      </c>
      <c r="L13" s="0" t="n">
        <f aca="false">L11+L12</f>
        <v>3403.78627190623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26.5</v>
      </c>
      <c r="D14" s="4" t="n">
        <f aca="false">Assumptions!D33</f>
        <v>26.5</v>
      </c>
      <c r="E14" s="4" t="n">
        <f aca="false">Assumptions!E33</f>
        <v>26.5</v>
      </c>
      <c r="F14" s="4" t="n">
        <f aca="false">Assumptions!F33</f>
        <v>26.5</v>
      </c>
      <c r="G14" s="4" t="n">
        <f aca="false">Assumptions!G33</f>
        <v>26.5</v>
      </c>
      <c r="H14" s="4" t="n">
        <f aca="false">Assumptions!H33</f>
        <v>26.5</v>
      </c>
      <c r="I14" s="4" t="n">
        <f aca="false">Assumptions!I33</f>
        <v>26.5</v>
      </c>
      <c r="J14" s="4" t="n">
        <f aca="false">Assumptions!J33</f>
        <v>26.5</v>
      </c>
      <c r="K14" s="4" t="n">
        <f aca="false">Assumptions!K33</f>
        <v>26.5</v>
      </c>
      <c r="L14" s="4" t="n">
        <f aca="false">Assumptions!L33</f>
        <v>26.5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1873.56987216</v>
      </c>
      <c r="D15" s="0" t="n">
        <f aca="false">D13-MAX(0,D13)*D14/100</f>
        <v>1939.36052474325</v>
      </c>
      <c r="E15" s="0" t="n">
        <f aca="false">E13-MAX(0,E13)*E14/100</f>
        <v>2017.06128843817</v>
      </c>
      <c r="F15" s="0" t="n">
        <f aca="false">F13-MAX(0,F13)*F14/100</f>
        <v>2104.3805222796</v>
      </c>
      <c r="G15" s="0" t="n">
        <f aca="false">G13-MAX(0,G13)*G14/100</f>
        <v>2188.22065073093</v>
      </c>
      <c r="H15" s="0" t="n">
        <f aca="false">H13-MAX(0,H13)*H14/100</f>
        <v>2260.97726164166</v>
      </c>
      <c r="I15" s="0" t="n">
        <f aca="false">I13-MAX(0,I13)*I14/100</f>
        <v>2323.15413633681</v>
      </c>
      <c r="J15" s="0" t="n">
        <f aca="false">J13-MAX(0,J13)*J14/100</f>
        <v>2381.23298974523</v>
      </c>
      <c r="K15" s="0" t="n">
        <f aca="false">K13-MAX(0,K13)*K14/100</f>
        <v>2440.76381448886</v>
      </c>
      <c r="L15" s="0" t="n">
        <f aca="false">L13-MAX(0,L13)*L14/100</f>
        <v>2501.78290985108</v>
      </c>
    </row>
    <row r="16" customFormat="false" ht="15" hidden="false" customHeight="false" outlineLevel="0" collapsed="false">
      <c r="A16" s="0" t="s">
        <v>126</v>
      </c>
      <c r="C16" s="0" t="n">
        <f aca="false">-C12</f>
        <v>469.566384</v>
      </c>
      <c r="D16" s="0" t="n">
        <f aca="false">-D12</f>
        <v>464.1160599</v>
      </c>
      <c r="E16" s="0" t="n">
        <f aca="false">-E12</f>
        <v>460.334373486</v>
      </c>
      <c r="F16" s="0" t="n">
        <f aca="false">-F12</f>
        <v>455.90808143325</v>
      </c>
      <c r="G16" s="0" t="n">
        <f aca="false">-G12</f>
        <v>460.193617398723</v>
      </c>
      <c r="H16" s="0" t="n">
        <f aca="false">-H12</f>
        <v>464.325968248834</v>
      </c>
      <c r="I16" s="0" t="n">
        <f aca="false">-I12</f>
        <v>477.094932375677</v>
      </c>
      <c r="J16" s="0" t="n">
        <f aca="false">-J12</f>
        <v>489.022305685068</v>
      </c>
      <c r="K16" s="0" t="n">
        <f aca="false">-K12</f>
        <v>501.247863327195</v>
      </c>
      <c r="L16" s="0" t="n">
        <f aca="false">-L12</f>
        <v>513.779059910375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-385.715244</v>
      </c>
      <c r="D17" s="4" t="n">
        <f aca="false">-D6*Assumptions!D32/100</f>
        <v>-395.3581251</v>
      </c>
      <c r="E17" s="4" t="n">
        <f aca="false">-E6*Assumptions!E32/100</f>
        <v>-407.218868853</v>
      </c>
      <c r="F17" s="4" t="n">
        <f aca="false">-F6*Assumptions!F32/100</f>
        <v>-419.43543491859</v>
      </c>
      <c r="G17" s="4" t="n">
        <f aca="false">-G6*Assumptions!G32/100</f>
        <v>-432.018497966148</v>
      </c>
      <c r="H17" s="4" t="n">
        <f aca="false">-H6*Assumptions!H32/100</f>
        <v>-444.979052905132</v>
      </c>
      <c r="I17" s="4" t="n">
        <f aca="false">-I6*Assumptions!I32/100</f>
        <v>-457.215976860023</v>
      </c>
      <c r="J17" s="4" t="n">
        <f aca="false">-J6*Assumptions!J32/100</f>
        <v>-468.646376281524</v>
      </c>
      <c r="K17" s="4" t="n">
        <f aca="false">-K6*Assumptions!K32/100</f>
        <v>-480.362535688562</v>
      </c>
      <c r="L17" s="4" t="n">
        <f aca="false">-L6*Assumptions!L32/100</f>
        <v>-492.371599080776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-32.8828000000001</v>
      </c>
      <c r="D18" s="4" t="n">
        <f aca="false">(D6-C6)*Assumptions!$B$37/100</f>
        <v>-41.9255699999998</v>
      </c>
      <c r="E18" s="4" t="n">
        <f aca="false">(E6-D6)*Assumptions!$B$37/100</f>
        <v>-51.5684511</v>
      </c>
      <c r="F18" s="4" t="n">
        <f aca="false">(F6-E6)*Assumptions!$B$37/100</f>
        <v>-53.1155046330001</v>
      </c>
      <c r="G18" s="4" t="n">
        <f aca="false">(G6-F6)*Assumptions!$B$37/100</f>
        <v>-54.7089697719901</v>
      </c>
      <c r="H18" s="4" t="n">
        <f aca="false">(H6-G6)*Assumptions!$B$37/100</f>
        <v>-56.3502388651497</v>
      </c>
      <c r="I18" s="4" t="n">
        <f aca="false">(I6-H6)*Assumptions!$B$37/100</f>
        <v>-53.204017195179</v>
      </c>
      <c r="J18" s="4" t="n">
        <f aca="false">(J6-I6)*Assumptions!$B$37/100</f>
        <v>-49.6973887891327</v>
      </c>
      <c r="K18" s="4" t="n">
        <f aca="false">(K6-J6)*Assumptions!$B$37/100</f>
        <v>-50.9398235088611</v>
      </c>
      <c r="L18" s="4" t="n">
        <f aca="false">(L6-K6)*Assumptions!$B$37/100</f>
        <v>-52.2133190965826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1924.53821216</v>
      </c>
      <c r="D19" s="0" t="n">
        <f aca="false">D15+D16+D17+D18</f>
        <v>1966.19288954325</v>
      </c>
      <c r="E19" s="0" t="n">
        <f aca="false">E15+E16+E17+E18</f>
        <v>2018.60834197118</v>
      </c>
      <c r="F19" s="0" t="n">
        <f aca="false">F15+F16+F17+F18</f>
        <v>2087.73766416126</v>
      </c>
      <c r="G19" s="0" t="n">
        <f aca="false">G15+G16+G17+G18</f>
        <v>2161.68680039151</v>
      </c>
      <c r="H19" s="0" t="n">
        <f aca="false">H15+H16+H17+H18</f>
        <v>2223.97393812022</v>
      </c>
      <c r="I19" s="0" t="n">
        <f aca="false">I15+I16+I17+I18</f>
        <v>2289.82907465728</v>
      </c>
      <c r="J19" s="0" t="n">
        <f aca="false">J15+J16+J17+J18</f>
        <v>2351.91153035964</v>
      </c>
      <c r="K19" s="0" t="n">
        <f aca="false">K15+K16+K17+K18</f>
        <v>2410.70931861863</v>
      </c>
      <c r="L19" s="0" t="n">
        <f aca="false">L15+L16+L17+L18</f>
        <v>2470.9770515841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1777.86439922402</v>
      </c>
      <c r="D21" s="0" t="n">
        <f aca="false">D19*D20</f>
        <v>1677.91637017062</v>
      </c>
      <c r="E21" s="0" t="n">
        <f aca="false">E19*E20</f>
        <v>1591.3596739927</v>
      </c>
      <c r="F21" s="0" t="n">
        <f aca="false">F19*F20</f>
        <v>1520.42256388645</v>
      </c>
      <c r="G21" s="0" t="n">
        <f aca="false">G19*G20</f>
        <v>1454.29745987101</v>
      </c>
      <c r="H21" s="0" t="n">
        <f aca="false">H19*H20</f>
        <v>1382.17254951292</v>
      </c>
      <c r="I21" s="0" t="n">
        <f aca="false">I19*I20</f>
        <v>1314.6426881002</v>
      </c>
      <c r="J21" s="0" t="n">
        <f aca="false">J19*J20</f>
        <v>1247.37702612224</v>
      </c>
      <c r="K21" s="0" t="n">
        <f aca="false">K19*K20</f>
        <v>1181.11912404184</v>
      </c>
      <c r="L21" s="0" t="n">
        <f aca="false">L19*L20</f>
        <v>1118.38069482022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1.3</v>
      </c>
      <c r="D23" s="4" t="n">
        <f aca="false">Assumptions!D30</f>
        <v>1.3</v>
      </c>
      <c r="E23" s="4" t="n">
        <f aca="false">Assumptions!E30</f>
        <v>1.3</v>
      </c>
      <c r="F23" s="4" t="n">
        <f aca="false">Assumptions!F30</f>
        <v>1.3</v>
      </c>
      <c r="G23" s="4" t="n">
        <f aca="false">Assumptions!G30</f>
        <v>1.3</v>
      </c>
      <c r="H23" s="4" t="n">
        <f aca="false">Assumptions!H30</f>
        <v>1.3</v>
      </c>
      <c r="I23" s="4" t="n">
        <f aca="false">Assumptions!I30</f>
        <v>1.3</v>
      </c>
      <c r="J23" s="4" t="n">
        <f aca="false">Assumptions!J30</f>
        <v>1.3</v>
      </c>
      <c r="K23" s="4" t="n">
        <f aca="false">Assumptions!K30</f>
        <v>1.3</v>
      </c>
      <c r="L23" s="4" t="n">
        <f aca="false">Assumptions!L30</f>
        <v>1.3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-218.012964</v>
      </c>
      <c r="D24" s="0" t="n">
        <f aca="false">-D6*D23/100</f>
        <v>-223.4632881</v>
      </c>
      <c r="E24" s="0" t="n">
        <f aca="false">-E6*E23/100</f>
        <v>-230.167186743</v>
      </c>
      <c r="F24" s="0" t="n">
        <f aca="false">-F6*F23/100</f>
        <v>-237.07220234529</v>
      </c>
      <c r="G24" s="0" t="n">
        <f aca="false">-G6*G23/100</f>
        <v>-244.184368415649</v>
      </c>
      <c r="H24" s="0" t="n">
        <f aca="false">-H6*H23/100</f>
        <v>-251.509899468118</v>
      </c>
      <c r="I24" s="0" t="n">
        <f aca="false">-I6*I23/100</f>
        <v>-258.426421703492</v>
      </c>
      <c r="J24" s="0" t="n">
        <f aca="false">-J6*J23/100</f>
        <v>-264.887082246079</v>
      </c>
      <c r="K24" s="0" t="n">
        <f aca="false">-K6*K23/100</f>
        <v>-271.509259302231</v>
      </c>
      <c r="L24" s="0" t="n">
        <f aca="false">-L6*L23/100</f>
        <v>-278.296990784786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8.25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14265.5525497422</v>
      </c>
    </row>
    <row r="31" customFormat="false" ht="15" hidden="false" customHeight="false" outlineLevel="0" collapsed="false">
      <c r="A31" s="0" t="s">
        <v>135</v>
      </c>
      <c r="B31" s="0" t="n">
        <f aca="false">L19</f>
        <v>2470.9770515841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44047.8517891078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34593.6787221774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34593.6787221774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15657.3297274831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29922.8822772253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26918.8822772253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90.7946346486518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0.293555131053595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745.212734300202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1036.31880489865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96.8035581823552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20262.0118229896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42.6590496539933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89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3.5</v>
      </c>
      <c r="D5" s="4" t="n">
        <f aca="false">Assumptions!D41</f>
        <v>4.5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16441.4</v>
      </c>
      <c r="C6" s="0" t="n">
        <f aca="false">B6*(1+C5/100)</f>
        <v>17016.849</v>
      </c>
      <c r="D6" s="0" t="n">
        <f aca="false">C6*(1+D5/100)</f>
        <v>17782.607205</v>
      </c>
      <c r="E6" s="0" t="n">
        <f aca="false">D6*(1+E5/100)</f>
        <v>18671.73756525</v>
      </c>
      <c r="F6" s="0" t="n">
        <f aca="false">E6*(1+F5/100)</f>
        <v>19605.3244435125</v>
      </c>
      <c r="G6" s="0" t="n">
        <f aca="false">F6*(1+G5/100)</f>
        <v>20487.5640434706</v>
      </c>
      <c r="H6" s="0" t="n">
        <f aca="false">G6*(1+H5/100)</f>
        <v>21307.0666052094</v>
      </c>
      <c r="I6" s="0" t="n">
        <f aca="false">H6*(1+I5/100)</f>
        <v>22052.8139363917</v>
      </c>
      <c r="J6" s="0" t="n">
        <f aca="false">I6*(1+J5/100)</f>
        <v>22714.3983544835</v>
      </c>
      <c r="K6" s="0" t="n">
        <f aca="false">J6*(1+K5/100)</f>
        <v>23395.830305118</v>
      </c>
      <c r="L6" s="0" t="n">
        <f aca="false">K6*(1+L5/100)</f>
        <v>24097.7052142715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20</v>
      </c>
      <c r="D7" s="4" t="n">
        <f aca="false">Assumptions!D42</f>
        <v>20.3</v>
      </c>
      <c r="E7" s="4" t="n">
        <f aca="false">Assumptions!E42</f>
        <v>20.6</v>
      </c>
      <c r="F7" s="4" t="n">
        <f aca="false">Assumptions!F42</f>
        <v>20.9</v>
      </c>
      <c r="G7" s="4" t="n">
        <f aca="false">Assumptions!G42</f>
        <v>21.2</v>
      </c>
      <c r="H7" s="4" t="n">
        <f aca="false">Assumptions!H42</f>
        <v>21.4</v>
      </c>
      <c r="I7" s="4" t="n">
        <f aca="false">Assumptions!I42</f>
        <v>21.5</v>
      </c>
      <c r="J7" s="4" t="n">
        <f aca="false">Assumptions!J42</f>
        <v>21.5</v>
      </c>
      <c r="K7" s="4" t="n">
        <f aca="false">Assumptions!K42</f>
        <v>21.5</v>
      </c>
      <c r="L7" s="4" t="n">
        <f aca="false">Assumptions!L42</f>
        <v>21.5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3403.3698</v>
      </c>
      <c r="D8" s="0" t="n">
        <f aca="false">D6*D7/100</f>
        <v>3609.869262615</v>
      </c>
      <c r="E8" s="0" t="n">
        <f aca="false">E6*E7/100</f>
        <v>3846.3779384415</v>
      </c>
      <c r="F8" s="0" t="n">
        <f aca="false">F6*F7/100</f>
        <v>4097.51280869411</v>
      </c>
      <c r="G8" s="0" t="n">
        <f aca="false">G6*G7/100</f>
        <v>4343.36357721576</v>
      </c>
      <c r="H8" s="0" t="n">
        <f aca="false">H6*H7/100</f>
        <v>4559.71225351481</v>
      </c>
      <c r="I8" s="0" t="n">
        <f aca="false">I6*I7/100</f>
        <v>4741.35499632422</v>
      </c>
      <c r="J8" s="0" t="n">
        <f aca="false">J6*J7/100</f>
        <v>4883.59564621395</v>
      </c>
      <c r="K8" s="0" t="n">
        <f aca="false">K6*K7/100</f>
        <v>5030.10351560036</v>
      </c>
      <c r="L8" s="0" t="n">
        <f aca="false">L6*L7/100</f>
        <v>5181.00662106838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-102.101094</v>
      </c>
      <c r="D10" s="0" t="n">
        <f aca="false">-D6*D9/100</f>
        <v>-106.69564323</v>
      </c>
      <c r="E10" s="0" t="n">
        <f aca="false">-E6*E9/100</f>
        <v>-112.0304253915</v>
      </c>
      <c r="F10" s="0" t="n">
        <f aca="false">-F6*F9/100</f>
        <v>-117.631946661075</v>
      </c>
      <c r="G10" s="0" t="n">
        <f aca="false">-G6*G9/100</f>
        <v>-122.925384260823</v>
      </c>
      <c r="H10" s="0" t="n">
        <f aca="false">-H6*H9/100</f>
        <v>-127.842399631256</v>
      </c>
      <c r="I10" s="0" t="n">
        <f aca="false">-I6*I9/100</f>
        <v>-132.31688361835</v>
      </c>
      <c r="J10" s="0" t="n">
        <f aca="false">-J6*J9/100</f>
        <v>-136.286390126901</v>
      </c>
      <c r="K10" s="0" t="n">
        <f aca="false">-K6*K9/100</f>
        <v>-140.374981830708</v>
      </c>
      <c r="L10" s="0" t="n">
        <f aca="false">-L6*L9/100</f>
        <v>-144.586231285629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3080.049669</v>
      </c>
      <c r="D11" s="0" t="n">
        <f aca="false">D8+D10+D24</f>
        <v>3271.99972572</v>
      </c>
      <c r="E11" s="0" t="n">
        <f aca="false">E8+E10+E24</f>
        <v>3500.95079348438</v>
      </c>
      <c r="F11" s="0" t="n">
        <f aca="false">F8+F10+F24</f>
        <v>3734.81430648913</v>
      </c>
      <c r="G11" s="0" t="n">
        <f aca="false">G8+G10+G24</f>
        <v>3974.58742443329</v>
      </c>
      <c r="H11" s="0" t="n">
        <f aca="false">H8+H10+H24</f>
        <v>4176.18505462104</v>
      </c>
      <c r="I11" s="0" t="n">
        <f aca="false">I8+I10+I24</f>
        <v>4344.40434546917</v>
      </c>
      <c r="J11" s="0" t="n">
        <f aca="false">J8+J10+J24</f>
        <v>4474.73647583324</v>
      </c>
      <c r="K11" s="0" t="n">
        <f aca="false">K8+K10+K24</f>
        <v>4608.97857010824</v>
      </c>
      <c r="L11" s="0" t="n">
        <f aca="false">L8+L10+L24</f>
        <v>4747.24792721149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-476.471772</v>
      </c>
      <c r="D12" s="4" t="n">
        <f aca="false">-D6*Assumptions!D45/100</f>
        <v>-480.130394535</v>
      </c>
      <c r="E12" s="4" t="n">
        <f aca="false">-E6*Assumptions!E45/100</f>
        <v>-485.4651766965</v>
      </c>
      <c r="F12" s="4" t="n">
        <f aca="false">-F6*Assumptions!F45/100</f>
        <v>-490.133111087813</v>
      </c>
      <c r="G12" s="4" t="n">
        <f aca="false">-G6*Assumptions!G45/100</f>
        <v>-501.945319065029</v>
      </c>
      <c r="H12" s="4" t="n">
        <f aca="false">-H6*Assumptions!H45/100</f>
        <v>-511.369598525025</v>
      </c>
      <c r="I12" s="4" t="n">
        <f aca="false">-I6*Assumptions!I45/100</f>
        <v>-529.267534473401</v>
      </c>
      <c r="J12" s="4" t="n">
        <f aca="false">-J6*Assumptions!J45/100</f>
        <v>-545.145560507603</v>
      </c>
      <c r="K12" s="4" t="n">
        <f aca="false">-K6*Assumptions!K45/100</f>
        <v>-561.499927322831</v>
      </c>
      <c r="L12" s="4" t="n">
        <f aca="false">-L6*Assumptions!L45/100</f>
        <v>-578.344925142516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2603.577897</v>
      </c>
      <c r="D13" s="0" t="n">
        <f aca="false">D11+D12</f>
        <v>2791.869331185</v>
      </c>
      <c r="E13" s="0" t="n">
        <f aca="false">E11+E12</f>
        <v>3015.48561678788</v>
      </c>
      <c r="F13" s="0" t="n">
        <f aca="false">F11+F12</f>
        <v>3244.68119540132</v>
      </c>
      <c r="G13" s="0" t="n">
        <f aca="false">G11+G12</f>
        <v>3472.64210536826</v>
      </c>
      <c r="H13" s="0" t="n">
        <f aca="false">H11+H12</f>
        <v>3664.81545609601</v>
      </c>
      <c r="I13" s="0" t="n">
        <f aca="false">I11+I12</f>
        <v>3815.13681099577</v>
      </c>
      <c r="J13" s="0" t="n">
        <f aca="false">J11+J12</f>
        <v>3929.59091532564</v>
      </c>
      <c r="K13" s="0" t="n">
        <f aca="false">K11+K12</f>
        <v>4047.47864278541</v>
      </c>
      <c r="L13" s="0" t="n">
        <f aca="false">L11+L12</f>
        <v>4168.90300206897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26.5</v>
      </c>
      <c r="D14" s="4" t="n">
        <f aca="false">Assumptions!D47</f>
        <v>26.5</v>
      </c>
      <c r="E14" s="4" t="n">
        <f aca="false">Assumptions!E47</f>
        <v>26.5</v>
      </c>
      <c r="F14" s="4" t="n">
        <f aca="false">Assumptions!F47</f>
        <v>26.5</v>
      </c>
      <c r="G14" s="4" t="n">
        <f aca="false">Assumptions!G47</f>
        <v>26.5</v>
      </c>
      <c r="H14" s="4" t="n">
        <f aca="false">Assumptions!H47</f>
        <v>26.5</v>
      </c>
      <c r="I14" s="4" t="n">
        <f aca="false">Assumptions!I47</f>
        <v>26.5</v>
      </c>
      <c r="J14" s="4" t="n">
        <f aca="false">Assumptions!J47</f>
        <v>26.5</v>
      </c>
      <c r="K14" s="4" t="n">
        <f aca="false">Assumptions!K47</f>
        <v>26.5</v>
      </c>
      <c r="L14" s="4" t="n">
        <f aca="false">Assumptions!L47</f>
        <v>26.5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1913.629754295</v>
      </c>
      <c r="D15" s="0" t="n">
        <f aca="false">D13-MAX(0,D13)*D14/100</f>
        <v>2052.02395842098</v>
      </c>
      <c r="E15" s="0" t="n">
        <f aca="false">E13-MAX(0,E13)*E14/100</f>
        <v>2216.38192833909</v>
      </c>
      <c r="F15" s="0" t="n">
        <f aca="false">F13-MAX(0,F13)*F14/100</f>
        <v>2384.84067861997</v>
      </c>
      <c r="G15" s="0" t="n">
        <f aca="false">G13-MAX(0,G13)*G14/100</f>
        <v>2552.39194744567</v>
      </c>
      <c r="H15" s="0" t="n">
        <f aca="false">H13-MAX(0,H13)*H14/100</f>
        <v>2693.63936023057</v>
      </c>
      <c r="I15" s="0" t="n">
        <f aca="false">I13-MAX(0,I13)*I14/100</f>
        <v>2804.12555608189</v>
      </c>
      <c r="J15" s="0" t="n">
        <f aca="false">J13-MAX(0,J13)*J14/100</f>
        <v>2888.24932276435</v>
      </c>
      <c r="K15" s="0" t="n">
        <f aca="false">K13-MAX(0,K13)*K14/100</f>
        <v>2974.89680244728</v>
      </c>
      <c r="L15" s="0" t="n">
        <f aca="false">L13-MAX(0,L13)*L14/100</f>
        <v>3064.14370652069</v>
      </c>
    </row>
    <row r="16" customFormat="false" ht="15" hidden="false" customHeight="false" outlineLevel="0" collapsed="false">
      <c r="A16" s="0" t="s">
        <v>126</v>
      </c>
      <c r="C16" s="0" t="n">
        <f aca="false">-C12</f>
        <v>476.471772</v>
      </c>
      <c r="D16" s="0" t="n">
        <f aca="false">-D12</f>
        <v>480.130394535</v>
      </c>
      <c r="E16" s="0" t="n">
        <f aca="false">-E12</f>
        <v>485.4651766965</v>
      </c>
      <c r="F16" s="0" t="n">
        <f aca="false">-F12</f>
        <v>490.133111087813</v>
      </c>
      <c r="G16" s="0" t="n">
        <f aca="false">-G12</f>
        <v>501.945319065029</v>
      </c>
      <c r="H16" s="0" t="n">
        <f aca="false">-H12</f>
        <v>511.369598525025</v>
      </c>
      <c r="I16" s="0" t="n">
        <f aca="false">-I12</f>
        <v>529.267534473401</v>
      </c>
      <c r="J16" s="0" t="n">
        <f aca="false">-J12</f>
        <v>545.145560507603</v>
      </c>
      <c r="K16" s="0" t="n">
        <f aca="false">-K12</f>
        <v>561.499927322831</v>
      </c>
      <c r="L16" s="0" t="n">
        <f aca="false">-L12</f>
        <v>578.344925142516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-391.387527</v>
      </c>
      <c r="D17" s="4" t="n">
        <f aca="false">-D6*Assumptions!D46/100</f>
        <v>-408.999965715</v>
      </c>
      <c r="E17" s="4" t="n">
        <f aca="false">-E6*Assumptions!E46/100</f>
        <v>-429.44996400075</v>
      </c>
      <c r="F17" s="4" t="n">
        <f aca="false">-F6*Assumptions!F46/100</f>
        <v>-450.922462200788</v>
      </c>
      <c r="G17" s="4" t="n">
        <f aca="false">-G6*Assumptions!G46/100</f>
        <v>-471.213972999823</v>
      </c>
      <c r="H17" s="4" t="n">
        <f aca="false">-H6*Assumptions!H46/100</f>
        <v>-490.062531919816</v>
      </c>
      <c r="I17" s="4" t="n">
        <f aca="false">-I6*Assumptions!I46/100</f>
        <v>-507.214720537009</v>
      </c>
      <c r="J17" s="4" t="n">
        <f aca="false">-J6*Assumptions!J46/100</f>
        <v>-522.43116215312</v>
      </c>
      <c r="K17" s="4" t="n">
        <f aca="false">-K6*Assumptions!K46/100</f>
        <v>-538.104097017713</v>
      </c>
      <c r="L17" s="4" t="n">
        <f aca="false">-L6*Assumptions!L46/100</f>
        <v>-554.247219928245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-57.5449000000001</v>
      </c>
      <c r="D18" s="4" t="n">
        <f aca="false">(D6-C6)*Assumptions!$B$51/100</f>
        <v>-76.5758204999998</v>
      </c>
      <c r="E18" s="4" t="n">
        <f aca="false">(E6-D6)*Assumptions!$B$51/100</f>
        <v>-88.9130360250001</v>
      </c>
      <c r="F18" s="4" t="n">
        <f aca="false">(F6-E6)*Assumptions!$B$51/100</f>
        <v>-93.35868782625</v>
      </c>
      <c r="G18" s="4" t="n">
        <f aca="false">(G6-F6)*Assumptions!$B$51/100</f>
        <v>-88.2239599958062</v>
      </c>
      <c r="H18" s="4" t="n">
        <f aca="false">(H6-G6)*Assumptions!$B$51/100</f>
        <v>-81.9502561738824</v>
      </c>
      <c r="I18" s="4" t="n">
        <f aca="false">(I6-H6)*Assumptions!$B$51/100</f>
        <v>-74.5747331182327</v>
      </c>
      <c r="J18" s="4" t="n">
        <f aca="false">(J6-I6)*Assumptions!$B$51/100</f>
        <v>-66.1584418091752</v>
      </c>
      <c r="K18" s="4" t="n">
        <f aca="false">(K6-J6)*Assumptions!$B$51/100</f>
        <v>-68.1431950634506</v>
      </c>
      <c r="L18" s="4" t="n">
        <f aca="false">(L6-K6)*Assumptions!$B$51/100</f>
        <v>-70.1874909153539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1941.169099295</v>
      </c>
      <c r="D19" s="0" t="n">
        <f aca="false">D15+D16+D17+D18</f>
        <v>2046.57856674098</v>
      </c>
      <c r="E19" s="0" t="n">
        <f aca="false">E15+E16+E17+E18</f>
        <v>2183.48410500984</v>
      </c>
      <c r="F19" s="0" t="n">
        <f aca="false">F15+F16+F17+F18</f>
        <v>2330.69263968074</v>
      </c>
      <c r="G19" s="0" t="n">
        <f aca="false">G15+G16+G17+G18</f>
        <v>2494.89933351507</v>
      </c>
      <c r="H19" s="0" t="n">
        <f aca="false">H15+H16+H17+H18</f>
        <v>2632.9961706619</v>
      </c>
      <c r="I19" s="0" t="n">
        <f aca="false">I15+I16+I17+I18</f>
        <v>2751.60363690005</v>
      </c>
      <c r="J19" s="0" t="n">
        <f aca="false">J15+J16+J17+J18</f>
        <v>2844.80527930965</v>
      </c>
      <c r="K19" s="0" t="n">
        <f aca="false">K15+K16+K17+K18</f>
        <v>2930.14943768894</v>
      </c>
      <c r="L19" s="0" t="n">
        <f aca="false">L15+L16+L17+L18</f>
        <v>3018.05392081961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0.92378752886836</v>
      </c>
      <c r="D20" s="0" t="n">
        <f aca="false">1/(1+$B$27/100)^D4</f>
        <v>0.853383398492712</v>
      </c>
      <c r="E20" s="0" t="n">
        <f aca="false">1/(1+$B$27/100)^E4</f>
        <v>0.788344940870865</v>
      </c>
      <c r="F20" s="0" t="n">
        <f aca="false">1/(1+$B$27/100)^F4</f>
        <v>0.72826322482297</v>
      </c>
      <c r="G20" s="0" t="n">
        <f aca="false">1/(1+$B$27/100)^G4</f>
        <v>0.672760484824915</v>
      </c>
      <c r="H20" s="0" t="n">
        <f aca="false">1/(1+$B$27/100)^H4</f>
        <v>0.621487745796688</v>
      </c>
      <c r="I20" s="0" t="n">
        <f aca="false">1/(1+$B$27/100)^I4</f>
        <v>0.57412262891149</v>
      </c>
      <c r="J20" s="0" t="n">
        <f aca="false">1/(1+$B$27/100)^J4</f>
        <v>0.530367324629552</v>
      </c>
      <c r="K20" s="0" t="n">
        <f aca="false">1/(1+$B$27/100)^K4</f>
        <v>0.489946720212057</v>
      </c>
      <c r="L20" s="0" t="n">
        <f aca="false">1/(1+$B$27/100)^L4</f>
        <v>0.452606669941854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1793.22780535335</v>
      </c>
      <c r="D21" s="0" t="n">
        <f aca="false">D19*D20</f>
        <v>1746.51617256776</v>
      </c>
      <c r="E21" s="0" t="n">
        <f aca="false">E19*E20</f>
        <v>1721.33864765646</v>
      </c>
      <c r="F21" s="0" t="n">
        <f aca="false">F19*F20</f>
        <v>1697.35773784506</v>
      </c>
      <c r="G21" s="0" t="n">
        <f aca="false">G19*G20</f>
        <v>1678.46968520496</v>
      </c>
      <c r="H21" s="0" t="n">
        <f aca="false">H19*H20</f>
        <v>1636.37485479597</v>
      </c>
      <c r="I21" s="0" t="n">
        <f aca="false">I19*I20</f>
        <v>1579.75791373947</v>
      </c>
      <c r="J21" s="0" t="n">
        <f aca="false">J19*J20</f>
        <v>1508.79176507949</v>
      </c>
      <c r="K21" s="0" t="n">
        <f aca="false">K19*K20</f>
        <v>1435.6171067269</v>
      </c>
      <c r="L21" s="0" t="n">
        <f aca="false">L19*L20</f>
        <v>1365.99133480712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1.3</v>
      </c>
      <c r="D23" s="4" t="n">
        <f aca="false">Assumptions!D44</f>
        <v>1.3</v>
      </c>
      <c r="E23" s="4" t="n">
        <f aca="false">Assumptions!E44</f>
        <v>1.25</v>
      </c>
      <c r="F23" s="4" t="n">
        <f aca="false">Assumptions!F44</f>
        <v>1.25</v>
      </c>
      <c r="G23" s="4" t="n">
        <f aca="false">Assumptions!G44</f>
        <v>1.2</v>
      </c>
      <c r="H23" s="4" t="n">
        <f aca="false">Assumptions!H44</f>
        <v>1.2</v>
      </c>
      <c r="I23" s="4" t="n">
        <f aca="false">Assumptions!I44</f>
        <v>1.2</v>
      </c>
      <c r="J23" s="4" t="n">
        <f aca="false">Assumptions!J44</f>
        <v>1.2</v>
      </c>
      <c r="K23" s="4" t="n">
        <f aca="false">Assumptions!K44</f>
        <v>1.2</v>
      </c>
      <c r="L23" s="4" t="n">
        <f aca="false">Assumptions!L44</f>
        <v>1.2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-221.219037</v>
      </c>
      <c r="D24" s="0" t="n">
        <f aca="false">-D6*D23/100</f>
        <v>-231.173893665</v>
      </c>
      <c r="E24" s="0" t="n">
        <f aca="false">-E6*E23/100</f>
        <v>-233.396719565625</v>
      </c>
      <c r="F24" s="0" t="n">
        <f aca="false">-F6*F23/100</f>
        <v>-245.066555543906</v>
      </c>
      <c r="G24" s="0" t="n">
        <f aca="false">-G6*G23/100</f>
        <v>-245.850768521647</v>
      </c>
      <c r="H24" s="0" t="n">
        <f aca="false">-H6*H23/100</f>
        <v>-255.684799262513</v>
      </c>
      <c r="I24" s="0" t="n">
        <f aca="false">-I6*I23/100</f>
        <v>-264.633767236701</v>
      </c>
      <c r="J24" s="0" t="n">
        <f aca="false">-J6*J23/100</f>
        <v>-272.572780253802</v>
      </c>
      <c r="K24" s="0" t="n">
        <f aca="false">-K6*K23/100</f>
        <v>-280.749963661416</v>
      </c>
      <c r="L24" s="0" t="n">
        <f aca="false">-L6*L23/100</f>
        <v>-289.172462571258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8.25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2.75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16163.4430237765</v>
      </c>
    </row>
    <row r="31" customFormat="false" ht="15" hidden="false" customHeight="false" outlineLevel="0" collapsed="false">
      <c r="A31" s="0" t="s">
        <v>135</v>
      </c>
      <c r="B31" s="0" t="n">
        <f aca="false">L19</f>
        <v>3018.05392081961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56382.7346116755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48288.8627331138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48288.8627331138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21855.8613569139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38019.3043806905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35015.3043806905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118.103037697293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0.682619143714103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803.974393517047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1222.55112199684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124.938300836837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25314.697172589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51.1979432676492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59.8832021744905</v>
      </c>
      <c r="C4" s="0" t="n">
        <f aca="false">B4/Assumptions!$B$2-1</f>
        <v>-0.14684139942313</v>
      </c>
      <c r="D4" s="4" t="n">
        <f aca="false">Assumptions!$B$24</f>
        <v>0.25</v>
      </c>
      <c r="E4" s="4" t="n">
        <f aca="false">DCF_Bear!$B$43</f>
        <v>64.8346292530029</v>
      </c>
      <c r="F4" s="4" t="n">
        <f aca="false">DCF_Bear!$B$47</f>
        <v>31.5432805611116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90.7946346486518</v>
      </c>
      <c r="C5" s="0" t="n">
        <f aca="false">B5/Assumptions!$B$2-1</f>
        <v>0.293555131053595</v>
      </c>
      <c r="D5" s="4" t="n">
        <f aca="false">Assumptions!$B$38</f>
        <v>0.5</v>
      </c>
      <c r="E5" s="4" t="n">
        <f aca="false">DCF_Base!$B$43</f>
        <v>96.8035581823552</v>
      </c>
      <c r="F5" s="4" t="n">
        <f aca="false">DCF_Base!$B$47</f>
        <v>42.6590496539933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118.103037697293</v>
      </c>
      <c r="C6" s="0" t="n">
        <f aca="false">B6/Assumptions!$B$2-1</f>
        <v>0.682619143714103</v>
      </c>
      <c r="D6" s="4" t="n">
        <f aca="false">Assumptions!$B$52</f>
        <v>0.25</v>
      </c>
      <c r="E6" s="4" t="n">
        <f aca="false">DCF_Bull!$B$43</f>
        <v>124.938300836837</v>
      </c>
      <c r="F6" s="4" t="n">
        <f aca="false">DCF_Bull!$B$47</f>
        <v>51.1979432676492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89.8938772922717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95.8450116136376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0.219190426375854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-331.094480955177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42.0148307841868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90.7946346486518</v>
      </c>
      <c r="C15" s="3" t="n">
        <v>8.25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85.6201244079553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78.1763019146316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67.7242088185299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59.4753300129371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42.6590496539933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106.483016425744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106.483016425744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106.483016425744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106.483016425744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106.483016425744</v>
      </c>
    </row>
    <row r="25" customFormat="false" ht="15" hidden="false" customHeight="false" outlineLevel="0" collapsed="false">
      <c r="A25" s="3" t="n">
        <v>7.25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98.2737020327766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98.2737020327766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98.2737020327766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98.2737020327766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98.2737020327766</v>
      </c>
    </row>
    <row r="26" customFormat="false" ht="15" hidden="false" customHeight="false" outlineLevel="0" collapsed="false">
      <c r="A26" s="3" t="n">
        <v>8.25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90.7946346486518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90.7946346486518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90.7946346486518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90.7946346486518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90.7946346486518</v>
      </c>
    </row>
    <row r="27" customFormat="false" ht="15" hidden="false" customHeight="false" outlineLevel="0" collapsed="false">
      <c r="A27" s="3" t="n">
        <v>9.25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80.8646638256139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83.9724687845694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83.9724687845694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83.9724687845694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83.9724687845694</v>
      </c>
    </row>
    <row r="28" customFormat="false" ht="15" hidden="false" customHeight="false" outlineLevel="0" collapsed="false">
      <c r="A28" s="3" t="n">
        <v>10.25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70.2032057969778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72.6018867895933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75.3100750070623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77.741917488055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77.741917488055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2026-10-03T22:22:38Z</dcterms:created>
  <dc:creator>openpyxl</dc:creator>
  <dc:description/>
  <dc:language>en-NZ</dc:language>
  <cp:lastModifiedBy/>
  <dcterms:modified xsi:type="dcterms:W3CDTF">2026-10-03T22:22:38Z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