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SVR.NZ -- Savor Limited: owner-FCF DCF model</t>
        </is>
      </c>
    </row>
    <row r="2">
      <c r="A2" s="2" t="inlineStr">
        <is>
          <t>Version 1.0, built 2026-09-03 by the dcf-analyst agent (Claude, claude-fable-5-1) at the user's request. Fresh build; supersedes nothing.</t>
        </is>
      </c>
    </row>
    <row r="3">
      <c r="A3" s="2" t="inlineStr">
        <is>
          <t>FIGURES GO STALE. Price NZ$0.172 at 2026-09-03T04:59:55Z (Yahoo, NZX close). Balance sheet: FY2026 results release 26-May-2026 (unaudited: cash 1.7m, leverage 1.92x); FY2025 Annual Report (audited 31-Mar-2025) for lease liabilities, tax losses, share count. Share count 76,780,666 (FY2025 AR note 11), options 283,334 @22c out of the money.</t>
        </is>
      </c>
    </row>
    <row r="4">
      <c r="A4" s="2" t="inlineStr">
        <is>
          <t>Guidance: FY27 NZ$9-10m operating earnings NOT reconfirmed at the May-2026 result; update due at the Sept-2026 ASM. First dividend 2c targeted Jan-2027, conditional on 1.5x covenant leverage.</t>
        </is>
      </c>
    </row>
    <row r="5">
      <c r="A5" s="2" t="inlineStr">
        <is>
          <t>METHOD: owner-FCF DCF, 10-year component build (owner-fcf.md s2), scenario-weighted 25/50/25, TV = MAX(0, MIN(Gordon, 12x FCF10)), end-of-year discounting, WACC 16.5% NZD-built (see Assumptions note).</t>
        </is>
      </c>
    </row>
    <row r="6">
      <c r="A6" s="2" t="inlineStr">
        <is>
          <t>LEASES: treatment B. Full lease cash (principal + lease interest, ~7% of revenue) is charged in the flows against the post-IFRS-16 headline operating-earnings margin; lease liabilities are EXCLUDED from net debt. Net debt = bank borrowings (8.0m, estimated from the covenant arithmetic) - cash 1.7m = 6.3m.</t>
        </is>
      </c>
    </row>
    <row r="7">
      <c r="A7" s="2" t="inlineStr">
        <is>
          <t>EBITDA MARGIN: row 7 on each DCF tab is the HEADLINE operating-earnings margin (company metric, 14.5% FY26); row 8 deducts a 1.25%-of-revenue recurring restructuring/venue-churn cash allowance; row 9 is the modelled EBITDA margin that the JSON records as ebitda_margin_path.</t>
        </is>
      </c>
    </row>
    <row r="8">
      <c r="A8" s="2" t="inlineStr">
        <is>
          <t>TAX: unlevered EBIT taxed at 0% while ~NZ$25m of tax losses shelter it, ramping to the 28% NZ rate by FY34 (base) -- more tax than the losses strictly imply, to reflect shareholder-continuity forfeiture risk.</t>
        </is>
      </c>
    </row>
    <row r="9">
      <c r="A9" s="2" t="inlineStr">
        <is>
          <t>ENTRY PRICE: 15% IRR with the terminal value REBUILT at the hurdle. Because WACC (16.5%) &gt; hurdle (15%), entry prices sit ABOVE intrinsic values; the buy-below price at the house rate is the weighted IV on the Valuation tab.</t>
        </is>
      </c>
    </row>
    <row r="10">
      <c r="A10" s="2" t="inlineStr">
        <is>
          <t>SCENARIO DRIVERS are the agent's judgment set 2026-09-03 from the FY2026 release, the FY2025 Annual Report and the Analysis JSON. Only rows 5, 7, 11 and 18 on each DCF tab are hardcoded drivers; everything else is a formula.</t>
        </is>
      </c>
    </row>
    <row r="11">
      <c r="A11" s="2" t="inlineStr">
        <is>
          <t>REFRESH after the FY2026 Annual Report (bank borrowings, lease liabilities, capex, tax losses, restructuring cash) and after the Sept-2026 ASM guidance update.</t>
        </is>
      </c>
    </row>
    <row r="12">
      <c r="A12" s="2" t="inlineStr">
        <is>
          <t>ROW MAP (DCF tabs): 5 growth | 6 revenue | 7 headline margin | 8 restructuring allowance | 9 modelled EBITDA margin | 10 EBITDA | 11 SBC % | 12 SBC | 13 owner EBITDA | 14 lease % | 15 lease cash | 16 D&amp;A | 17 EBIT | 18 cash tax rate | 19 cash tax | 20 NOPAT | 21 +D&amp;A | 22 capex | 23 WC | 24 owner FCF | 25 DF | 26 PV | 28-29 memos | 31-44 valuation | 46-48 street memo | 50 entry price at hurdle.</t>
        </is>
      </c>
    </row>
    <row r="13">
      <c r="A13" s="2" t="inlineStr">
        <is>
          <t>CELL LEGEND: blue font = hardcoded input; yellow fill = key lever; black = formula; green font = cross-sheet link; green fill = headline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2" customWidth="1" min="1" max="1"/>
    <col width="70" customWidth="1" min="8" max="8"/>
  </cols>
  <sheetData>
    <row r="1">
      <c r="A1" s="3" t="inlineStr">
        <is>
          <t>Metric (NZ$m)</t>
        </is>
      </c>
      <c r="B1" s="3" t="inlineStr">
        <is>
          <t>FY2021</t>
        </is>
      </c>
      <c r="C1" s="3" t="inlineStr">
        <is>
          <t>FY2022</t>
        </is>
      </c>
      <c r="D1" s="3" t="inlineStr">
        <is>
          <t>FY2023</t>
        </is>
      </c>
      <c r="E1" s="3" t="inlineStr">
        <is>
          <t>FY2024</t>
        </is>
      </c>
      <c r="F1" s="3" t="inlineStr">
        <is>
          <t>FY2025</t>
        </is>
      </c>
      <c r="G1" s="3" t="inlineStr">
        <is>
          <t>FY2026 (release)</t>
        </is>
      </c>
      <c r="H1" s="3" t="inlineStr">
        <is>
          <t>Source</t>
        </is>
      </c>
    </row>
    <row r="2">
      <c r="A2" t="inlineStr">
        <is>
          <t>Revenue</t>
        </is>
      </c>
      <c r="B2" s="4" t="n">
        <v>16.134</v>
      </c>
      <c r="C2" s="4" t="n">
        <v>30.581</v>
      </c>
      <c r="D2" s="4" t="n">
        <v>52.378</v>
      </c>
      <c r="E2" s="4" t="n">
        <v>61.858</v>
      </c>
      <c r="F2" s="4" t="n">
        <v>56.643</v>
      </c>
      <c r="G2" s="4" t="n">
        <v>55.2</v>
      </c>
      <c r="H2" t="inlineStr">
        <is>
          <t>Metrics.csv / FY26 release</t>
        </is>
      </c>
    </row>
    <row r="3">
      <c r="A3" t="inlineStr">
        <is>
          <t>Operating earnings (EBITDA pre restructuring, post-IFRS16)</t>
        </is>
      </c>
      <c r="B3" s="4" t="n">
        <v>1.839</v>
      </c>
      <c r="C3" s="4" t="n">
        <v>2.995</v>
      </c>
      <c r="D3" s="4" t="n">
        <v>5.22</v>
      </c>
      <c r="E3" s="4" t="n">
        <v>8.773</v>
      </c>
      <c r="F3" s="4" t="n">
        <v>7.267</v>
      </c>
      <c r="G3" s="4" t="n">
        <v>8</v>
      </c>
      <c r="H3" t="inlineStr">
        <is>
          <t>P&amp;L subtotal / FY26 release</t>
        </is>
      </c>
    </row>
    <row r="4">
      <c r="A4" t="inlineStr">
        <is>
          <t>Operating earnings margin %</t>
        </is>
      </c>
      <c r="B4" s="4" t="n">
        <v>11.4</v>
      </c>
      <c r="C4" s="4" t="n">
        <v>9.800000000000001</v>
      </c>
      <c r="D4" s="4" t="n">
        <v>10</v>
      </c>
      <c r="E4" s="4" t="n">
        <v>14.2</v>
      </c>
      <c r="F4" s="4" t="n">
        <v>12.8</v>
      </c>
      <c r="G4" s="4" t="n">
        <v>14.5</v>
      </c>
      <c r="H4" t="inlineStr">
        <is>
          <t>derived</t>
        </is>
      </c>
    </row>
    <row r="5">
      <c r="A5" t="inlineStr">
        <is>
          <t>Restructuring and other costs</t>
        </is>
      </c>
      <c r="B5" s="4" t="n">
        <v>0.921</v>
      </c>
      <c r="C5" s="4" t="n">
        <v>1.2</v>
      </c>
      <c r="D5" s="4" t="n">
        <v>1.395</v>
      </c>
      <c r="E5" s="4" t="n">
        <v>0.87</v>
      </c>
      <c r="F5" s="4" t="n">
        <v>2.514</v>
      </c>
      <c r="H5" t="inlineStr">
        <is>
          <t>P&amp;L (FY25 incl. 1.8m non-cash Seafarers loss)</t>
        </is>
      </c>
    </row>
    <row r="6">
      <c r="A6" t="inlineStr">
        <is>
          <t>Impairment</t>
        </is>
      </c>
      <c r="B6" s="4" t="n">
        <v>2</v>
      </c>
      <c r="C6" s="4" t="n">
        <v>1.564</v>
      </c>
      <c r="D6" s="4" t="n">
        <v>0</v>
      </c>
      <c r="E6" s="4" t="n">
        <v>4.32</v>
      </c>
      <c r="F6" s="4" t="n">
        <v>0</v>
      </c>
      <c r="H6" t="inlineStr">
        <is>
          <t>P&amp;L</t>
        </is>
      </c>
    </row>
    <row r="7">
      <c r="A7" t="inlineStr">
        <is>
          <t>Depreciation &amp; amortisation (total)</t>
        </is>
      </c>
      <c r="B7" s="4" t="n">
        <v>2.191</v>
      </c>
      <c r="C7" s="4" t="n">
        <v>4.001</v>
      </c>
      <c r="D7" s="4" t="n">
        <v>4.617</v>
      </c>
      <c r="E7" s="4" t="n">
        <v>5.099</v>
      </c>
      <c r="F7" s="4" t="n">
        <v>4.732</v>
      </c>
      <c r="H7" t="inlineStr">
        <is>
          <t>P&amp;L</t>
        </is>
      </c>
    </row>
    <row r="8">
      <c r="A8" t="inlineStr">
        <is>
          <t xml:space="preserve">  of which ROU (lease) depreciation</t>
        </is>
      </c>
      <c r="B8" s="4" t="n">
        <v>1.319</v>
      </c>
      <c r="C8" s="4" t="n">
        <v>2.506</v>
      </c>
      <c r="D8" s="4" t="n">
        <v>2.75</v>
      </c>
      <c r="E8" s="4" t="n">
        <v>3.124</v>
      </c>
      <c r="F8" s="4" t="n">
        <v>3.113</v>
      </c>
      <c r="H8" t="inlineStr">
        <is>
          <t>Leases note</t>
        </is>
      </c>
    </row>
    <row r="9">
      <c r="A9" t="inlineStr">
        <is>
          <t>Interest expense (bank + lease)</t>
        </is>
      </c>
      <c r="B9" s="4" t="n">
        <v>0.85</v>
      </c>
      <c r="C9" s="4" t="n">
        <v>1.266</v>
      </c>
      <c r="D9" s="4" t="n">
        <v>1.542</v>
      </c>
      <c r="E9" s="4" t="n">
        <v>1.342</v>
      </c>
      <c r="F9" s="4" t="n">
        <v>1.465</v>
      </c>
      <c r="H9" t="inlineStr">
        <is>
          <t>P&amp;L; ALL interest paid sits in financing</t>
        </is>
      </c>
    </row>
    <row r="10">
      <c r="A10" t="inlineStr">
        <is>
          <t xml:space="preserve">  of which lease interest</t>
        </is>
      </c>
      <c r="B10" s="4" t="n">
        <v>0.394</v>
      </c>
      <c r="C10" s="4" t="n">
        <v>0.769</v>
      </c>
      <c r="D10" s="4" t="n">
        <v>0.744</v>
      </c>
      <c r="E10" s="4" t="n">
        <v>0.8149999999999999</v>
      </c>
      <c r="F10" s="4" t="n">
        <v>0.722</v>
      </c>
      <c r="H10" t="inlineStr">
        <is>
          <t>Leases note</t>
        </is>
      </c>
    </row>
    <row r="11">
      <c r="A11" t="inlineStr">
        <is>
          <t>NPAT</t>
        </is>
      </c>
      <c r="B11" s="4" t="n">
        <v>-6.586</v>
      </c>
      <c r="C11" s="4" t="n">
        <v>-5.036</v>
      </c>
      <c r="D11" s="4" t="n">
        <v>-2.334</v>
      </c>
      <c r="E11" s="4" t="n">
        <v>0.65</v>
      </c>
      <c r="F11" s="4" t="n">
        <v>-1.212</v>
      </c>
      <c r="G11" s="4" t="n">
        <v>1.3</v>
      </c>
      <c r="H11" t="inlineStr">
        <is>
          <t>P&amp;L / FY26 release (untaxed; cash-equivalent 1.8)</t>
        </is>
      </c>
    </row>
    <row r="12">
      <c r="A12" t="inlineStr">
        <is>
          <t>EPS (cents)</t>
        </is>
      </c>
      <c r="B12" s="4" t="n">
        <v>-13.9</v>
      </c>
      <c r="C12" s="4" t="n">
        <v>-8.199999999999999</v>
      </c>
      <c r="D12" s="4" t="n">
        <v>-3.5</v>
      </c>
      <c r="E12" s="4" t="n">
        <v>0.9</v>
      </c>
      <c r="F12" s="4" t="n">
        <v>-1.6</v>
      </c>
      <c r="G12" s="4" t="n">
        <v>1.7</v>
      </c>
      <c r="H12" t="inlineStr">
        <is>
          <t>P&amp;L / FY26 release</t>
        </is>
      </c>
    </row>
    <row r="13">
      <c r="A13" t="inlineStr">
        <is>
          <t>Operating cash flow (pre-interest)</t>
        </is>
      </c>
      <c r="B13" s="4" t="n">
        <v>0.401</v>
      </c>
      <c r="C13" s="4" t="n">
        <v>2.952</v>
      </c>
      <c r="D13" s="4" t="n">
        <v>6.067</v>
      </c>
      <c r="E13" s="4" t="n">
        <v>6.4</v>
      </c>
      <c r="F13" s="4" t="n">
        <v>7.097</v>
      </c>
      <c r="G13" s="4" t="n">
        <v>6.9</v>
      </c>
      <c r="H13" t="inlineStr">
        <is>
          <t>Cash flow statement / FY26 release (7.2 pre-WC)</t>
        </is>
      </c>
    </row>
    <row r="14">
      <c r="A14" t="inlineStr">
        <is>
          <t>Purchase of PPE &amp; intangibles</t>
        </is>
      </c>
      <c r="B14" s="4" t="n">
        <v>0.924</v>
      </c>
      <c r="C14" s="4" t="n">
        <v>1.798</v>
      </c>
      <c r="D14" s="4" t="n">
        <v>4.271</v>
      </c>
      <c r="E14" s="4" t="n">
        <v>0.311</v>
      </c>
      <c r="F14" s="4" t="n">
        <v>1.116</v>
      </c>
      <c r="H14" t="inlineStr">
        <is>
          <t>Cash flow statement</t>
        </is>
      </c>
    </row>
    <row r="15">
      <c r="A15" t="inlineStr">
        <is>
          <t>Venue development costs (investing)</t>
        </is>
      </c>
      <c r="B15" s="4" t="n">
        <v>0.364</v>
      </c>
      <c r="C15" s="4" t="n">
        <v>0.137</v>
      </c>
      <c r="D15" s="4" t="n">
        <v>0.569</v>
      </c>
      <c r="E15" s="4" t="n">
        <v>0.164</v>
      </c>
      <c r="F15" s="4" t="n">
        <v>0.189</v>
      </c>
      <c r="H15" t="inlineStr">
        <is>
          <t>Cash flow statement</t>
        </is>
      </c>
    </row>
    <row r="16">
      <c r="A16" t="inlineStr">
        <is>
          <t>Capex FY2026 ESTIMATE (incl. dev costs)</t>
        </is>
      </c>
      <c r="G16" s="4" t="n">
        <v>2.4</v>
      </c>
      <c r="H16" t="inlineStr">
        <is>
          <t>agent estimate: cash reconciliation of the release; two fit-outs</t>
        </is>
      </c>
    </row>
    <row r="17">
      <c r="A17" t="inlineStr">
        <is>
          <t>Lease principal repaid (financing)</t>
        </is>
      </c>
      <c r="B17" s="4" t="n">
        <v>1.253</v>
      </c>
      <c r="C17" s="4" t="n">
        <v>2.738</v>
      </c>
      <c r="D17" s="4" t="n">
        <v>2.45</v>
      </c>
      <c r="E17" s="4" t="n">
        <v>2.918</v>
      </c>
      <c r="F17" s="4" t="n">
        <v>3.053</v>
      </c>
      <c r="G17" s="4" t="n">
        <v>3.2</v>
      </c>
      <c r="H17" t="inlineStr">
        <is>
          <t>Cash flow statement; FY26 estimate</t>
        </is>
      </c>
    </row>
    <row r="18">
      <c r="A18" t="inlineStr">
        <is>
          <t>Bank borrowings</t>
        </is>
      </c>
      <c r="B18" s="4" t="n">
        <v>7.021</v>
      </c>
      <c r="C18" s="4" t="n">
        <v>13.426</v>
      </c>
      <c r="D18" s="4" t="n">
        <v>11.35</v>
      </c>
      <c r="E18" s="4" t="n">
        <v>8.407</v>
      </c>
      <c r="F18" s="4" t="n">
        <v>9</v>
      </c>
      <c r="G18" s="4" t="n">
        <v>8</v>
      </c>
      <c r="H18" t="inlineStr">
        <is>
          <t>Borrowings note; FY26 estimate from 1.92x covenant arithmetic</t>
        </is>
      </c>
    </row>
    <row r="19">
      <c r="A19" t="inlineStr">
        <is>
          <t>Lease liabilities</t>
        </is>
      </c>
      <c r="B19" s="4" t="n">
        <v>8.909000000000001</v>
      </c>
      <c r="C19" s="4" t="n">
        <v>17.347</v>
      </c>
      <c r="D19" s="4" t="n">
        <v>17.683</v>
      </c>
      <c r="E19" s="4" t="n">
        <v>17.504</v>
      </c>
      <c r="F19" s="4" t="n">
        <v>17.285</v>
      </c>
      <c r="G19" s="4" t="n">
        <v>18</v>
      </c>
      <c r="H19" t="inlineStr">
        <is>
          <t>Leases note; FY26 estimate</t>
        </is>
      </c>
    </row>
    <row r="20">
      <c r="A20" t="inlineStr">
        <is>
          <t>Cash (net of overdraft)</t>
        </is>
      </c>
      <c r="B20" s="4" t="n">
        <v>3.402</v>
      </c>
      <c r="C20" s="4" t="n">
        <v>1.35</v>
      </c>
      <c r="D20" s="4" t="n">
        <v>-0.514</v>
      </c>
      <c r="E20" s="4" t="n">
        <v>-0.653</v>
      </c>
      <c r="F20" s="4" t="n">
        <v>1.786</v>
      </c>
      <c r="G20" s="4" t="n">
        <v>1.7</v>
      </c>
      <c r="H20" t="inlineStr">
        <is>
          <t>Balance sheet / FY26 release</t>
        </is>
      </c>
    </row>
    <row r="21">
      <c r="A21" t="inlineStr">
        <is>
          <t>Shareholders' equity</t>
        </is>
      </c>
      <c r="B21" s="4" t="n">
        <v>12.726</v>
      </c>
      <c r="C21" s="4" t="n">
        <v>14.344</v>
      </c>
      <c r="D21" s="4" t="n">
        <v>17.324</v>
      </c>
      <c r="E21" s="4" t="n">
        <v>18.761</v>
      </c>
      <c r="F21" s="4" t="n">
        <v>17.383</v>
      </c>
      <c r="G21" s="4" t="n">
        <v>18.683</v>
      </c>
      <c r="H21" t="inlineStr">
        <is>
          <t>Balance sheet; FY26 = FY25 + NPAT (estimate)</t>
        </is>
      </c>
    </row>
    <row r="22">
      <c r="A22" t="inlineStr">
        <is>
          <t>Shares on issue (m)</t>
        </is>
      </c>
      <c r="B22" s="4" t="n">
        <v>146.272</v>
      </c>
      <c r="C22" s="4" t="n">
        <v>61.482</v>
      </c>
      <c r="D22" s="4" t="n">
        <v>74.63800000000001</v>
      </c>
      <c r="E22" s="4" t="n">
        <v>77.58499999999999</v>
      </c>
      <c r="F22" s="4" t="n">
        <v>76.78100000000001</v>
      </c>
      <c r="G22" s="4" t="n">
        <v>76.78100000000001</v>
      </c>
      <c r="H22" t="inlineStr">
        <is>
          <t>Capital note (1-for-3 consolidation Aug-2021)</t>
        </is>
      </c>
    </row>
    <row r="23">
      <c r="A23" t="inlineStr">
        <is>
          <t>Cash taxes paid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t="inlineStr">
        <is>
          <t>Tax note / release</t>
        </is>
      </c>
    </row>
    <row r="24">
      <c r="A24" t="inlineStr">
        <is>
          <t>Dividends paid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t="inlineStr">
        <is>
          <t>first 2c dividend targeted Jan-2027</t>
        </is>
      </c>
    </row>
    <row r="27">
      <c r="A27" s="3" t="inlineStr">
        <is>
          <t>Guidance / outlook</t>
        </is>
      </c>
    </row>
    <row r="28">
      <c r="A28" t="inlineStr">
        <is>
          <t>FY27 operating earnings NZ$9-10m (NOT reconfirmed May-2026; ASM Sept-2026). COGS &lt;28% of revenue maintained. Dividend 2c Jan-2027 on 1.5x covenant leverage. Bank borrowings ~7.5m post-April-2026 (7.0 if 8.0 is 0.5 high).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6" customWidth="1" min="1" max="1"/>
    <col width="90" customWidth="1" min="2" max="2"/>
    <col width="60" customWidth="1" min="3" max="3"/>
  </cols>
  <sheetData>
    <row r="1">
      <c r="A1" s="3" t="inlineStr">
        <is>
          <t>Global inputs</t>
        </is>
      </c>
    </row>
    <row r="3">
      <c r="A3" t="inlineStr">
        <is>
          <t>Current price (NZ$)</t>
        </is>
      </c>
      <c r="B3" s="4" t="n">
        <v>0.172</v>
      </c>
      <c r="C3" t="inlineStr">
        <is>
          <t>Yahoo 2026-09-03T04:59:55Z</t>
        </is>
      </c>
    </row>
    <row r="4">
      <c r="A4" t="inlineStr">
        <is>
          <t>Diluted shares (m)</t>
        </is>
      </c>
      <c r="B4" s="4" t="n">
        <v>76.780666</v>
      </c>
      <c r="C4" t="inlineStr">
        <is>
          <t>76,780,666 on issue; 283,334 options @22c out of the money</t>
        </is>
      </c>
    </row>
    <row r="5">
      <c r="A5" t="inlineStr">
        <is>
          <t>Bank borrowings (NZ$m)</t>
        </is>
      </c>
      <c r="B5" s="4" t="n">
        <v>8</v>
      </c>
      <c r="C5" t="inlineStr">
        <is>
          <t>31-Mar-2026 estimate from 1.92x covenant leverage on pre-IFRS-16 EBITDA; FY25 audited 9.0</t>
        </is>
      </c>
    </row>
    <row r="6">
      <c r="A6" t="inlineStr">
        <is>
          <t>Cash (NZ$m)</t>
        </is>
      </c>
      <c r="B6" s="4" t="n">
        <v>1.7</v>
      </c>
      <c r="C6" t="inlineStr">
        <is>
          <t>FY26 release 'net cash on hand'</t>
        </is>
      </c>
    </row>
    <row r="7">
      <c r="A7" t="inlineStr">
        <is>
          <t>Net debt ex-lease (NZ$m)</t>
        </is>
      </c>
      <c r="B7">
        <f>B5-B6</f>
        <v/>
      </c>
      <c r="C7" t="inlineStr">
        <is>
          <t>treatment B: lease liabilities (~18m) excluded because lease cash is charged in the flows</t>
        </is>
      </c>
    </row>
    <row r="8">
      <c r="A8" t="inlineStr">
        <is>
          <t>Terminal FCF multiple cap (x)</t>
        </is>
      </c>
      <c r="B8" s="5" t="n">
        <v>12</v>
      </c>
      <c r="C8" t="inlineStr">
        <is>
          <t>cyclical, single-city restaurant group (owner-fcf.md s4: 12-15x for cyclicals)</t>
        </is>
      </c>
    </row>
    <row r="9">
      <c r="A9" t="inlineStr">
        <is>
          <t>Hurdle rate (decimal)</t>
        </is>
      </c>
      <c r="B9" s="4" t="n">
        <v>0.15</v>
      </c>
      <c r="C9" t="inlineStr">
        <is>
          <t>house 15% IRR</t>
        </is>
      </c>
    </row>
    <row r="10">
      <c r="A10" t="inlineStr">
        <is>
          <t>WACC (%)</t>
        </is>
      </c>
      <c r="B10" s="5" t="n">
        <v>16.5</v>
      </c>
      <c r="C10" t="inlineStr">
        <is>
          <t>NZ 10y 4.4% + 5.5% ERP x 1.3 beta = 11.5% base; +2.5 illiquidity (NZ$13m cap); +1.0 single-city; +1.0 cyclicality/operating leverage; +0.5 lease-heavy leverage. Same in all scenarios.</t>
        </is>
      </c>
    </row>
    <row r="12">
      <c r="A12" s="3" t="inlineStr">
        <is>
          <t>Scenario inputs</t>
        </is>
      </c>
      <c r="C12" s="3" t="inlineStr">
        <is>
          <t>Bear</t>
        </is>
      </c>
      <c r="D12" s="3" t="inlineStr">
        <is>
          <t>Base</t>
        </is>
      </c>
      <c r="E12" s="3" t="inlineStr">
        <is>
          <t>Bull</t>
        </is>
      </c>
    </row>
    <row r="13">
      <c r="A13" t="inlineStr">
        <is>
          <t>Terminal growth (%)</t>
        </is>
      </c>
      <c r="C13" s="5" t="n">
        <v>1.5</v>
      </c>
      <c r="D13" s="5" t="n">
        <v>2.25</v>
      </c>
      <c r="E13" s="5" t="n">
        <v>2.5</v>
      </c>
    </row>
    <row r="14">
      <c r="A14" t="inlineStr">
        <is>
          <t>Probability weight</t>
        </is>
      </c>
      <c r="C14" s="5" t="n">
        <v>0.25</v>
      </c>
      <c r="D14" s="5" t="n">
        <v>0.5</v>
      </c>
      <c r="E14" s="5" t="n">
        <v>0.25</v>
      </c>
    </row>
    <row r="15">
      <c r="A15" t="inlineStr">
        <is>
          <t>Lease cash cost (% revenue)</t>
        </is>
      </c>
      <c r="C15" s="4" t="n">
        <v>7.5</v>
      </c>
      <c r="D15" s="4" t="n">
        <v>7</v>
      </c>
      <c r="E15" s="4" t="n">
        <v>6.7</v>
      </c>
    </row>
    <row r="16">
      <c r="A16" t="inlineStr">
        <is>
          <t>D&amp;A ex-ROU (% revenue)</t>
        </is>
      </c>
      <c r="C16" s="4" t="n">
        <v>3</v>
      </c>
      <c r="D16" s="4" t="n">
        <v>2.9</v>
      </c>
      <c r="E16" s="4" t="n">
        <v>2.9</v>
      </c>
    </row>
    <row r="17">
      <c r="A17" t="inlineStr">
        <is>
          <t>Capex incl. venue development (% revenue)</t>
        </is>
      </c>
      <c r="C17" s="4" t="n">
        <v>2.5</v>
      </c>
      <c r="D17" s="4" t="n">
        <v>2.5</v>
      </c>
      <c r="E17" s="4" t="n">
        <v>2.5</v>
      </c>
    </row>
    <row r="18">
      <c r="A18" t="inlineStr">
        <is>
          <t>WC capture on revenue change (%)</t>
        </is>
      </c>
      <c r="C18" s="4" t="n">
        <v>5</v>
      </c>
      <c r="D18" s="4" t="n">
        <v>5</v>
      </c>
      <c r="E18" s="4" t="n">
        <v>5</v>
      </c>
    </row>
    <row r="19">
      <c r="A19" t="inlineStr">
        <is>
          <t>Recurring restructuring allowance (% revenue)</t>
        </is>
      </c>
      <c r="C19" s="4" t="n">
        <v>1.25</v>
      </c>
      <c r="D19" s="4" t="n">
        <v>1.25</v>
      </c>
      <c r="E19" s="4" t="n">
        <v>1.25</v>
      </c>
    </row>
    <row r="20">
      <c r="A20" t="inlineStr">
        <is>
          <t>Weights check (must be 1.0)</t>
        </is>
      </c>
      <c r="C20">
        <f>SUM(C14:E14)</f>
        <v/>
      </c>
    </row>
    <row r="22">
      <c r="A22" s="3" t="inlineStr">
        <is>
          <t>Scenario narratives</t>
        </is>
      </c>
    </row>
    <row r="23">
      <c r="A23" s="3" t="inlineStr">
        <is>
          <t>Bear</t>
        </is>
      </c>
      <c r="B23" s="2" t="inlineStr">
        <is>
          <t>NZ hospitality's 3.3x-average insolvency rate and the cost-of-living squeeze produce another FY2025-style year: revenue -4% then -2%, flat, then 1-1.5%. Operating leverage does what it did in FY2025 -- the headline margin falls back to 12.0-12.5% -- but rent does not fall, so lease cash rises to 7.5% of revenue and the group services its landlords and its bank but generates almost nothing for equity (owner FCF NZ$0.5-0.7m/yr). Tax losses shelter for longer. Terminal growth 1.5%. The January-2027 dividend is deferred because the 1.5x covenant leverage trigger is not met. Equity value is NEGATIVE on this path: it is a going-concern-at-the-bank's-pleasure outcome, not a liquidation.</t>
        </is>
      </c>
    </row>
    <row r="24">
      <c r="A24" s="3" t="inlineStr">
        <is>
          <t>Base</t>
        </is>
      </c>
      <c r="B24" s="2" t="inlineStr">
        <is>
          <t>Revenue +3.0% in FY27 (full-year Bar Ziti and Flush Golf against 6.5 months in FY26, City Rail Link opening 13-Sep-2026 beside the Britomart cluster, CBD foot traffic +4%), then 2.0-2.5% -- CPI-like like-for-like growth for a fixed 18-venue estate with no rollout assumed. Headline operating-earnings margin 15.0% in FY27 (op earnings NZ$8.5m, deliberately BELOW the unconfirmed NZ$9-10m FY27 target) rising to 15.5% by FY29 and held there; a 1.25%-of-revenue recurring restructuring/venue-churn cash allowance is charged inside the modelled EBITDA (restructuring costs have been NZ$0.9-2.5m every year FY2021-25 and OCF has converted only ~86% of operating earnings). Lease cash (principal + lease interest) 7.0% of revenue, ex-ROU D&amp;A 2.9%, capex 2.5% (NZ$1.4m/yr, above the FY24-25 underspend but below D&amp;A), 5% of the revenue change captured as working capital (cash-sales business). Cash tax 0% for FY27-30 on ~NZ$25m of carried-forward tax losses then ramping 7/14/21/28% to the NZ statutory rate by FY34.</t>
        </is>
      </c>
    </row>
    <row r="25">
      <c r="A25" s="3" t="inlineStr">
        <is>
          <t>Bull</t>
        </is>
      </c>
      <c r="B25" s="2" t="inlineStr">
        <is>
          <t>Flush Golf's entertainment format is replicated once or twice and the CRL/CBD recovery lifts like-for-like: revenue +6%/+5%/+4% then 2.5-3.5%. Management delivers the FY27 target (16.5% margin = NZ$9.6m op earnings) and cost-out takes the headline margin to 17.5% by FY29 -- the level Flush Golf's lower-labour model makes plausible at group level only if food-led venues hold 15%+. Rent is fixed so lease cash falls to 6.7% of revenue on the larger base; tax losses are used faster (ramp starts FY30). Terminal growth 2.5%. Same 16.5% WACC.</t>
        </is>
      </c>
    </row>
    <row r="27">
      <c r="A27" s="3" t="inlineStr">
        <is>
          <t>Weights rationale</t>
        </is>
      </c>
      <c r="B27" s="2" t="inlineStr">
        <is>
          <t>25/50/25 against the house 15/50/35. Bear raised to 25%: FY27 guidance was explicitly NOT reconfirmed, the ANZ facility has leverage and fixed-charge covenants with the 1.5x dividend trigger not yet met, four of the last five years were NPAT losses, and the sector's insolvency rate is 3.3x the NZ average -- though not higher, because 1.0pp of cyclicality is already in the WACC (charge risk once). Bull cut to 25%: it needs margin expansion to 17.5% AND a return to 4-6% revenue growth AND the entertainment format to replicate -- three independent things -- with no scarcity or balance-sheet optionality to offset.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BEAR scenario -- owner FCF build (NZ$m)</t>
        </is>
      </c>
    </row>
    <row r="3">
      <c r="A3" s="3" t="inlineStr">
        <is>
          <t>Year</t>
        </is>
      </c>
      <c r="B3" s="3" t="inlineStr">
        <is>
          <t>FY2026A</t>
        </is>
      </c>
      <c r="C3" s="3" t="inlineStr">
        <is>
          <t>FY2027E</t>
        </is>
      </c>
      <c r="D3" s="3" t="inlineStr">
        <is>
          <t>FY2028E</t>
        </is>
      </c>
      <c r="E3" s="3" t="inlineStr">
        <is>
          <t>FY2029E</t>
        </is>
      </c>
      <c r="F3" s="3" t="inlineStr">
        <is>
          <t>FY2030E</t>
        </is>
      </c>
      <c r="G3" s="3" t="inlineStr">
        <is>
          <t>FY2031E</t>
        </is>
      </c>
      <c r="H3" s="3" t="inlineStr">
        <is>
          <t>FY2032E</t>
        </is>
      </c>
      <c r="I3" s="3" t="inlineStr">
        <is>
          <t>FY2033E</t>
        </is>
      </c>
      <c r="J3" s="3" t="inlineStr">
        <is>
          <t>FY2034E</t>
        </is>
      </c>
      <c r="K3" s="3" t="inlineStr">
        <is>
          <t>FY2035E</t>
        </is>
      </c>
      <c r="L3" s="3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%</t>
        </is>
      </c>
      <c r="C5" s="5" t="n">
        <v>-4</v>
      </c>
      <c r="D5" s="5" t="n">
        <v>-2</v>
      </c>
      <c r="E5" s="5" t="n">
        <v>0</v>
      </c>
      <c r="F5" s="5" t="n">
        <v>1</v>
      </c>
      <c r="G5" s="5" t="n">
        <v>1.5</v>
      </c>
      <c r="H5" s="5" t="n">
        <v>1.5</v>
      </c>
      <c r="I5" s="5" t="n">
        <v>1.5</v>
      </c>
      <c r="J5" s="5" t="n">
        <v>1.5</v>
      </c>
      <c r="K5" s="5" t="n">
        <v>1.5</v>
      </c>
      <c r="L5" s="5" t="n">
        <v>1.5</v>
      </c>
    </row>
    <row r="6">
      <c r="A6" t="inlineStr">
        <is>
          <t>Revenue</t>
        </is>
      </c>
      <c r="B6" s="4" t="n">
        <v>55.2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Headline operating-earnings margin %</t>
        </is>
      </c>
      <c r="B7" s="4" t="n">
        <v>14.5</v>
      </c>
      <c r="C7" s="5" t="n">
        <v>12.5</v>
      </c>
      <c r="D7" s="5" t="n">
        <v>12</v>
      </c>
      <c r="E7" s="5" t="n">
        <v>12</v>
      </c>
      <c r="F7" s="5" t="n">
        <v>12.25</v>
      </c>
      <c r="G7" s="5" t="n">
        <v>12.5</v>
      </c>
      <c r="H7" s="5" t="n">
        <v>12.5</v>
      </c>
      <c r="I7" s="5" t="n">
        <v>12.5</v>
      </c>
      <c r="J7" s="5" t="n">
        <v>12.5</v>
      </c>
      <c r="K7" s="5" t="n">
        <v>12.5</v>
      </c>
      <c r="L7" s="5" t="n">
        <v>12.5</v>
      </c>
    </row>
    <row r="8">
      <c r="A8" t="inlineStr">
        <is>
          <t>less recurring restructuring allowance %</t>
        </is>
      </c>
      <c r="C8" s="6">
        <f>Assumptions!$C$19</f>
        <v/>
      </c>
      <c r="D8" s="6">
        <f>Assumptions!$C$19</f>
        <v/>
      </c>
      <c r="E8" s="6">
        <f>Assumptions!$C$19</f>
        <v/>
      </c>
      <c r="F8" s="6">
        <f>Assumptions!$C$19</f>
        <v/>
      </c>
      <c r="G8" s="6">
        <f>Assumptions!$C$19</f>
        <v/>
      </c>
      <c r="H8" s="6">
        <f>Assumptions!$C$19</f>
        <v/>
      </c>
      <c r="I8" s="6">
        <f>Assumptions!$C$19</f>
        <v/>
      </c>
      <c r="J8" s="6">
        <f>Assumptions!$C$19</f>
        <v/>
      </c>
      <c r="K8" s="6">
        <f>Assumptions!$C$19</f>
        <v/>
      </c>
      <c r="L8" s="6">
        <f>Assumptions!$C$19</f>
        <v/>
      </c>
    </row>
    <row r="9">
      <c r="A9" t="inlineStr">
        <is>
          <t>Modelled EBITDA margin %</t>
        </is>
      </c>
      <c r="C9">
        <f>C7-C8</f>
        <v/>
      </c>
      <c r="D9">
        <f>D7-D8</f>
        <v/>
      </c>
      <c r="E9">
        <f>E7-E8</f>
        <v/>
      </c>
      <c r="F9">
        <f>F7-F8</f>
        <v/>
      </c>
      <c r="G9">
        <f>G7-G8</f>
        <v/>
      </c>
      <c r="H9">
        <f>H7-H8</f>
        <v/>
      </c>
      <c r="I9">
        <f>I7-I8</f>
        <v/>
      </c>
      <c r="J9">
        <f>J7-J8</f>
        <v/>
      </c>
      <c r="K9">
        <f>K7-K8</f>
        <v/>
      </c>
      <c r="L9">
        <f>L7-L8</f>
        <v/>
      </c>
    </row>
    <row r="10">
      <c r="A10" t="inlineStr">
        <is>
          <t>Adjusted EBITDA</t>
        </is>
      </c>
      <c r="C10">
        <f>C6*C9/100</f>
        <v/>
      </c>
      <c r="D10">
        <f>D6*D9/100</f>
        <v/>
      </c>
      <c r="E10">
        <f>E6*E9/100</f>
        <v/>
      </c>
      <c r="F10">
        <f>F6*F9/100</f>
        <v/>
      </c>
      <c r="G10">
        <f>G6*G9/100</f>
        <v/>
      </c>
      <c r="H10">
        <f>H6*H9/100</f>
        <v/>
      </c>
      <c r="I10">
        <f>I6*I9/100</f>
        <v/>
      </c>
      <c r="J10">
        <f>J6*J9/100</f>
        <v/>
      </c>
      <c r="K10">
        <f>K6*K9/100</f>
        <v/>
      </c>
      <c r="L10">
        <f>L6*L9/100</f>
        <v/>
      </c>
    </row>
    <row r="11">
      <c r="A11" t="inlineStr">
        <is>
          <t>SBC % of revenue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t="inlineStr">
        <is>
          <t>SBC (negative)</t>
        </is>
      </c>
      <c r="C12">
        <f>-C6*C11/100</f>
        <v/>
      </c>
      <c r="D12">
        <f>-D6*D11/100</f>
        <v/>
      </c>
      <c r="E12">
        <f>-E6*E11/100</f>
        <v/>
      </c>
      <c r="F12">
        <f>-F6*F11/100</f>
        <v/>
      </c>
      <c r="G12">
        <f>-G6*G11/100</f>
        <v/>
      </c>
      <c r="H12">
        <f>-H6*H11/100</f>
        <v/>
      </c>
      <c r="I12">
        <f>-I6*I11/100</f>
        <v/>
      </c>
      <c r="J12">
        <f>-J6*J11/100</f>
        <v/>
      </c>
      <c r="K12">
        <f>-K6*K11/100</f>
        <v/>
      </c>
      <c r="L12">
        <f>-L6*L11/100</f>
        <v/>
      </c>
    </row>
    <row r="13">
      <c r="A13" t="inlineStr">
        <is>
          <t>Owner EBITDA</t>
        </is>
      </c>
      <c r="C13">
        <f>C10+C12</f>
        <v/>
      </c>
      <c r="D13">
        <f>D10+D12</f>
        <v/>
      </c>
      <c r="E13">
        <f>E10+E12</f>
        <v/>
      </c>
      <c r="F13">
        <f>F10+F12</f>
        <v/>
      </c>
      <c r="G13">
        <f>G10+G12</f>
        <v/>
      </c>
      <c r="H13">
        <f>H10+H12</f>
        <v/>
      </c>
      <c r="I13">
        <f>I10+I12</f>
        <v/>
      </c>
      <c r="J13">
        <f>J10+J12</f>
        <v/>
      </c>
      <c r="K13">
        <f>K10+K12</f>
        <v/>
      </c>
      <c r="L13">
        <f>L10+L12</f>
        <v/>
      </c>
    </row>
    <row r="14">
      <c r="A14" t="inlineStr">
        <is>
          <t>Lease cash cost % of revenue</t>
        </is>
      </c>
      <c r="C14" s="6">
        <f>Assumptions!$C$15</f>
        <v/>
      </c>
      <c r="D14" s="6">
        <f>Assumptions!$C$15</f>
        <v/>
      </c>
      <c r="E14" s="6">
        <f>Assumptions!$C$15</f>
        <v/>
      </c>
      <c r="F14" s="6">
        <f>Assumptions!$C$15</f>
        <v/>
      </c>
      <c r="G14" s="6">
        <f>Assumptions!$C$15</f>
        <v/>
      </c>
      <c r="H14" s="6">
        <f>Assumptions!$C$15</f>
        <v/>
      </c>
      <c r="I14" s="6">
        <f>Assumptions!$C$15</f>
        <v/>
      </c>
      <c r="J14" s="6">
        <f>Assumptions!$C$15</f>
        <v/>
      </c>
      <c r="K14" s="6">
        <f>Assumptions!$C$15</f>
        <v/>
      </c>
      <c r="L14" s="6">
        <f>Assumptions!$C$15</f>
        <v/>
      </c>
    </row>
    <row r="15">
      <c r="A15" t="inlineStr">
        <is>
          <t>Lease cash (principal + interest)</t>
        </is>
      </c>
      <c r="C15">
        <f>-C6*C14/100</f>
        <v/>
      </c>
      <c r="D15">
        <f>-D6*D14/100</f>
        <v/>
      </c>
      <c r="E15">
        <f>-E6*E14/100</f>
        <v/>
      </c>
      <c r="F15">
        <f>-F6*F14/100</f>
        <v/>
      </c>
      <c r="G15">
        <f>-G6*G14/100</f>
        <v/>
      </c>
      <c r="H15">
        <f>-H6*H14/100</f>
        <v/>
      </c>
      <c r="I15">
        <f>-I6*I14/100</f>
        <v/>
      </c>
      <c r="J15">
        <f>-J6*J14/100</f>
        <v/>
      </c>
      <c r="K15">
        <f>-K6*K14/100</f>
        <v/>
      </c>
      <c r="L15">
        <f>-L6*L14/100</f>
        <v/>
      </c>
    </row>
    <row r="16">
      <c r="A16" t="inlineStr">
        <is>
          <t>D&amp;A ex-ROU</t>
        </is>
      </c>
      <c r="C16" s="6">
        <f>-C6*Assumptions!$C$16/100</f>
        <v/>
      </c>
      <c r="D16" s="6">
        <f>-D6*Assumptions!$C$16/100</f>
        <v/>
      </c>
      <c r="E16" s="6">
        <f>-E6*Assumptions!$C$16/100</f>
        <v/>
      </c>
      <c r="F16" s="6">
        <f>-F6*Assumptions!$C$16/100</f>
        <v/>
      </c>
      <c r="G16" s="6">
        <f>-G6*Assumptions!$C$16/100</f>
        <v/>
      </c>
      <c r="H16" s="6">
        <f>-H6*Assumptions!$C$16/100</f>
        <v/>
      </c>
      <c r="I16" s="6">
        <f>-I6*Assumptions!$C$16/100</f>
        <v/>
      </c>
      <c r="J16" s="6">
        <f>-J6*Assumptions!$C$16/100</f>
        <v/>
      </c>
      <c r="K16" s="6">
        <f>-K6*Assumptions!$C$16/100</f>
        <v/>
      </c>
      <c r="L16" s="6">
        <f>-L6*Assumptions!$C$16/100</f>
        <v/>
      </c>
    </row>
    <row r="17">
      <c r="A17" t="inlineStr">
        <is>
          <t>EBIT (SBC expensed, post-lease)</t>
        </is>
      </c>
      <c r="C17">
        <f>C13+C15+C16</f>
        <v/>
      </c>
      <c r="D17">
        <f>D13+D15+D16</f>
        <v/>
      </c>
      <c r="E17">
        <f>E13+E15+E16</f>
        <v/>
      </c>
      <c r="F17">
        <f>F13+F15+F16</f>
        <v/>
      </c>
      <c r="G17">
        <f>G13+G15+G16</f>
        <v/>
      </c>
      <c r="H17">
        <f>H13+H15+H16</f>
        <v/>
      </c>
      <c r="I17">
        <f>I13+I15+I16</f>
        <v/>
      </c>
      <c r="J17">
        <f>J13+J15+J16</f>
        <v/>
      </c>
      <c r="K17">
        <f>K13+K15+K16</f>
        <v/>
      </c>
      <c r="L17">
        <f>L13+L15+L16</f>
        <v/>
      </c>
    </row>
    <row r="18">
      <c r="A18" t="inlineStr">
        <is>
          <t>Cash tax rate %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7</v>
      </c>
      <c r="I18" s="5" t="n">
        <v>14</v>
      </c>
      <c r="J18" s="5" t="n">
        <v>21</v>
      </c>
      <c r="K18" s="5" t="n">
        <v>28</v>
      </c>
      <c r="L18" s="5" t="n">
        <v>28</v>
      </c>
    </row>
    <row r="19">
      <c r="A19" t="inlineStr">
        <is>
          <t>Cash tax</t>
        </is>
      </c>
      <c r="C19">
        <f>-MAX(0,C17)*C18/100</f>
        <v/>
      </c>
      <c r="D19">
        <f>-MAX(0,D17)*D18/100</f>
        <v/>
      </c>
      <c r="E19">
        <f>-MAX(0,E17)*E18/100</f>
        <v/>
      </c>
      <c r="F19">
        <f>-MAX(0,F17)*F18/100</f>
        <v/>
      </c>
      <c r="G19">
        <f>-MAX(0,G17)*G18/100</f>
        <v/>
      </c>
      <c r="H19">
        <f>-MAX(0,H17)*H18/100</f>
        <v/>
      </c>
      <c r="I19">
        <f>-MAX(0,I17)*I18/100</f>
        <v/>
      </c>
      <c r="J19">
        <f>-MAX(0,J17)*J18/100</f>
        <v/>
      </c>
      <c r="K19">
        <f>-MAX(0,K17)*K18/100</f>
        <v/>
      </c>
      <c r="L19">
        <f>-MAX(0,L17)*L18/100</f>
        <v/>
      </c>
    </row>
    <row r="20">
      <c r="A20" t="inlineStr">
        <is>
          <t>NOPAT</t>
        </is>
      </c>
      <c r="C20">
        <f>C17+C19</f>
        <v/>
      </c>
      <c r="D20">
        <f>D17+D19</f>
        <v/>
      </c>
      <c r="E20">
        <f>E17+E19</f>
        <v/>
      </c>
      <c r="F20">
        <f>F17+F19</f>
        <v/>
      </c>
      <c r="G20">
        <f>G17+G19</f>
        <v/>
      </c>
      <c r="H20">
        <f>H17+H19</f>
        <v/>
      </c>
      <c r="I20">
        <f>I17+I19</f>
        <v/>
      </c>
      <c r="J20">
        <f>J17+J19</f>
        <v/>
      </c>
      <c r="K20">
        <f>K17+K19</f>
        <v/>
      </c>
      <c r="L20">
        <f>L17+L19</f>
        <v/>
      </c>
    </row>
    <row r="21">
      <c r="A21" t="inlineStr">
        <is>
          <t>add back D&amp;A</t>
        </is>
      </c>
      <c r="C21">
        <f>-C16</f>
        <v/>
      </c>
      <c r="D21">
        <f>-D16</f>
        <v/>
      </c>
      <c r="E21">
        <f>-E16</f>
        <v/>
      </c>
      <c r="F21">
        <f>-F16</f>
        <v/>
      </c>
      <c r="G21">
        <f>-G16</f>
        <v/>
      </c>
      <c r="H21">
        <f>-H16</f>
        <v/>
      </c>
      <c r="I21">
        <f>-I16</f>
        <v/>
      </c>
      <c r="J21">
        <f>-J16</f>
        <v/>
      </c>
      <c r="K21">
        <f>-K16</f>
        <v/>
      </c>
      <c r="L21">
        <f>-L16</f>
        <v/>
      </c>
    </row>
    <row r="22">
      <c r="A22" t="inlineStr">
        <is>
          <t>less capex</t>
        </is>
      </c>
      <c r="C22" s="6">
        <f>-C6*Assumptions!$C$17/100</f>
        <v/>
      </c>
      <c r="D22" s="6">
        <f>-D6*Assumptions!$C$17/100</f>
        <v/>
      </c>
      <c r="E22" s="6">
        <f>-E6*Assumptions!$C$17/100</f>
        <v/>
      </c>
      <c r="F22" s="6">
        <f>-F6*Assumptions!$C$17/100</f>
        <v/>
      </c>
      <c r="G22" s="6">
        <f>-G6*Assumptions!$C$17/100</f>
        <v/>
      </c>
      <c r="H22" s="6">
        <f>-H6*Assumptions!$C$17/100</f>
        <v/>
      </c>
      <c r="I22" s="6">
        <f>-I6*Assumptions!$C$17/100</f>
        <v/>
      </c>
      <c r="J22" s="6">
        <f>-J6*Assumptions!$C$17/100</f>
        <v/>
      </c>
      <c r="K22" s="6">
        <f>-K6*Assumptions!$C$17/100</f>
        <v/>
      </c>
      <c r="L22" s="6">
        <f>-L6*Assumptions!$C$17/100</f>
        <v/>
      </c>
    </row>
    <row r="23">
      <c r="A23" t="inlineStr">
        <is>
          <t>add working capital</t>
        </is>
      </c>
      <c r="C23" s="6">
        <f>Assumptions!$C$18/100*(C6-B6)</f>
        <v/>
      </c>
      <c r="D23" s="6">
        <f>Assumptions!$C$18/100*(D6-C6)</f>
        <v/>
      </c>
      <c r="E23" s="6">
        <f>Assumptions!$C$18/100*(E6-D6)</f>
        <v/>
      </c>
      <c r="F23" s="6">
        <f>Assumptions!$C$18/100*(F6-E6)</f>
        <v/>
      </c>
      <c r="G23" s="6">
        <f>Assumptions!$C$18/100*(G6-F6)</f>
        <v/>
      </c>
      <c r="H23" s="6">
        <f>Assumptions!$C$18/100*(H6-G6)</f>
        <v/>
      </c>
      <c r="I23" s="6">
        <f>Assumptions!$C$18/100*(I6-H6)</f>
        <v/>
      </c>
      <c r="J23" s="6">
        <f>Assumptions!$C$18/100*(J6-I6)</f>
        <v/>
      </c>
      <c r="K23" s="6">
        <f>Assumptions!$C$18/100*(K6-J6)</f>
        <v/>
      </c>
      <c r="L23" s="6">
        <f>Assumptions!$C$18/100*(L6-K6)</f>
        <v/>
      </c>
    </row>
    <row r="24">
      <c r="A24" s="3" t="inlineStr">
        <is>
          <t>Unlevered owner FCF</t>
        </is>
      </c>
      <c r="B24" s="4" t="n">
        <v>0.55</v>
      </c>
      <c r="C24" s="3">
        <f>C20+C21+C22+C23</f>
        <v/>
      </c>
      <c r="D24" s="3">
        <f>D20+D21+D22+D23</f>
        <v/>
      </c>
      <c r="E24" s="3">
        <f>E20+E21+E22+E23</f>
        <v/>
      </c>
      <c r="F24" s="3">
        <f>F20+F21+F22+F23</f>
        <v/>
      </c>
      <c r="G24" s="3">
        <f>G20+G21+G22+G23</f>
        <v/>
      </c>
      <c r="H24" s="3">
        <f>H20+H21+H22+H23</f>
        <v/>
      </c>
      <c r="I24" s="3">
        <f>I20+I21+I22+I23</f>
        <v/>
      </c>
      <c r="J24" s="3">
        <f>J20+J21+J22+J23</f>
        <v/>
      </c>
      <c r="K24" s="3">
        <f>K20+K21+K22+K23</f>
        <v/>
      </c>
      <c r="L24" s="3">
        <f>L20+L21+L22+L23</f>
        <v/>
      </c>
      <c r="M24" t="inlineStr">
        <is>
          <t>B24 = FY2026E owner FCF (capex-elevated); not a driver</t>
        </is>
      </c>
    </row>
    <row r="25">
      <c r="A25" t="inlineStr">
        <is>
          <t>Discount factor</t>
        </is>
      </c>
      <c r="C25" s="6">
        <f>1/(1+Assumptions!$B$10/100)^C4</f>
        <v/>
      </c>
      <c r="D25" s="6">
        <f>1/(1+Assumptions!$B$10/100)^D4</f>
        <v/>
      </c>
      <c r="E25" s="6">
        <f>1/(1+Assumptions!$B$10/100)^E4</f>
        <v/>
      </c>
      <c r="F25" s="6">
        <f>1/(1+Assumptions!$B$10/100)^F4</f>
        <v/>
      </c>
      <c r="G25" s="6">
        <f>1/(1+Assumptions!$B$10/100)^G4</f>
        <v/>
      </c>
      <c r="H25" s="6">
        <f>1/(1+Assumptions!$B$10/100)^H4</f>
        <v/>
      </c>
      <c r="I25" s="6">
        <f>1/(1+Assumptions!$B$10/100)^I4</f>
        <v/>
      </c>
      <c r="J25" s="6">
        <f>1/(1+Assumptions!$B$10/100)^J4</f>
        <v/>
      </c>
      <c r="K25" s="6">
        <f>1/(1+Assumptions!$B$10/100)^K4</f>
        <v/>
      </c>
      <c r="L25" s="6">
        <f>1/(1+Assumptions!$B$10/100)^L4</f>
        <v/>
      </c>
    </row>
    <row r="26">
      <c r="A26" s="3" t="inlineStr">
        <is>
          <t>PV of FCF</t>
        </is>
      </c>
      <c r="C26">
        <f>C24*C25</f>
        <v/>
      </c>
      <c r="D26">
        <f>D24*D25</f>
        <v/>
      </c>
      <c r="E26">
        <f>E24*E25</f>
        <v/>
      </c>
      <c r="F26">
        <f>F24*F25</f>
        <v/>
      </c>
      <c r="G26">
        <f>G24*G25</f>
        <v/>
      </c>
      <c r="H26">
        <f>H24*H25</f>
        <v/>
      </c>
      <c r="I26">
        <f>I24*I25</f>
        <v/>
      </c>
      <c r="J26">
        <f>J24*J25</f>
        <v/>
      </c>
      <c r="K26">
        <f>K24*K25</f>
        <v/>
      </c>
      <c r="L26">
        <f>L24*L25</f>
        <v/>
      </c>
    </row>
    <row r="28">
      <c r="A28" t="inlineStr">
        <is>
          <t>Memo: FCF before lease &amp; SBC (company-style)</t>
        </is>
      </c>
      <c r="C28">
        <f>C24-C15-C12</f>
        <v/>
      </c>
      <c r="D28">
        <f>D24-D15-D12</f>
        <v/>
      </c>
      <c r="E28">
        <f>E24-E15-E12</f>
        <v/>
      </c>
      <c r="F28">
        <f>F24-F15-F12</f>
        <v/>
      </c>
      <c r="G28">
        <f>G24-G15-G12</f>
        <v/>
      </c>
      <c r="H28">
        <f>H24-H15-H12</f>
        <v/>
      </c>
      <c r="I28">
        <f>I24-I15-I12</f>
        <v/>
      </c>
      <c r="J28">
        <f>J24-J15-J12</f>
        <v/>
      </c>
      <c r="K28">
        <f>K24-K15-K12</f>
        <v/>
      </c>
      <c r="L28">
        <f>L24-L15-L12</f>
        <v/>
      </c>
    </row>
    <row r="29">
      <c r="A29" t="inlineStr">
        <is>
          <t>Memo: owner FCF margin %</t>
        </is>
      </c>
      <c r="C29">
        <f>C24/C6*100</f>
        <v/>
      </c>
      <c r="D29">
        <f>D24/D6*100</f>
        <v/>
      </c>
      <c r="E29">
        <f>E24/E6*100</f>
        <v/>
      </c>
      <c r="F29">
        <f>F24/F6*100</f>
        <v/>
      </c>
      <c r="G29">
        <f>G24/G6*100</f>
        <v/>
      </c>
      <c r="H29">
        <f>H24/H6*100</f>
        <v/>
      </c>
      <c r="I29">
        <f>I24/I6*100</f>
        <v/>
      </c>
      <c r="J29">
        <f>J24/J6*100</f>
        <v/>
      </c>
      <c r="K29">
        <f>K24/K6*100</f>
        <v/>
      </c>
      <c r="L29">
        <f>L24/L6*100</f>
        <v/>
      </c>
    </row>
    <row r="31">
      <c r="A31" t="inlineStr">
        <is>
          <t>Sum of PV of FCF</t>
        </is>
      </c>
      <c r="B31">
        <f>SUM(C26:L26)</f>
        <v/>
      </c>
    </row>
    <row r="32">
      <c r="A32" t="inlineStr">
        <is>
          <t>Terminal growth %</t>
        </is>
      </c>
      <c r="B32" s="6">
        <f>Assumptions!$C$13</f>
        <v/>
      </c>
    </row>
    <row r="33">
      <c r="A33" t="inlineStr">
        <is>
          <t>Terminal-year FCF x (1+g)</t>
        </is>
      </c>
      <c r="B33">
        <f>L24*(1+B32/100)</f>
        <v/>
      </c>
    </row>
    <row r="34">
      <c r="A34" t="inlineStr">
        <is>
          <t>Gordon terminal value</t>
        </is>
      </c>
      <c r="B34">
        <f>IF(Assumptions!$B$10&gt;B32,B33/((Assumptions!$B$10-B32)/100),L24*Assumptions!$B$8)</f>
        <v/>
      </c>
    </row>
    <row r="35">
      <c r="A35" t="inlineStr">
        <is>
          <t>Cap terminal value (cap x FCF10)</t>
        </is>
      </c>
      <c r="B35">
        <f>Assumptions!$B$8*L24</f>
        <v/>
      </c>
    </row>
    <row r="36">
      <c r="A36" t="inlineStr">
        <is>
          <t>Terminal value used = MAX(0,MIN(Gordon,cap))</t>
        </is>
      </c>
      <c r="B36">
        <f>MAX(0,MIN(B34,B35))</f>
        <v/>
      </c>
    </row>
    <row r="37">
      <c r="A37" t="inlineStr">
        <is>
          <t>Implied exit multiple (x FCF10)</t>
        </is>
      </c>
      <c r="B37">
        <f>IF(L24&gt;0,B36/L24,"n/a")</f>
        <v/>
      </c>
    </row>
    <row r="38">
      <c r="A38" t="inlineStr">
        <is>
          <t>PV of terminal value</t>
        </is>
      </c>
      <c r="B38">
        <f>B36*L25</f>
        <v/>
      </c>
    </row>
    <row r="39">
      <c r="A39" t="inlineStr">
        <is>
          <t>Enterprise value</t>
        </is>
      </c>
      <c r="B39">
        <f>B31+B38</f>
        <v/>
      </c>
    </row>
    <row r="40">
      <c r="A40" t="inlineStr">
        <is>
          <t>less net debt (ex-lease)</t>
        </is>
      </c>
      <c r="B40" s="6">
        <f>-Assumptions!$B$7</f>
        <v/>
      </c>
    </row>
    <row r="41">
      <c r="A41" t="inlineStr">
        <is>
          <t>Equity value</t>
        </is>
      </c>
      <c r="B41">
        <f>B39+B40</f>
        <v/>
      </c>
    </row>
    <row r="42">
      <c r="A42" t="inlineStr">
        <is>
          <t>Diluted shares (m)</t>
        </is>
      </c>
      <c r="B42" s="6">
        <f>Assumptions!$B$4</f>
        <v/>
      </c>
    </row>
    <row r="43">
      <c r="A43" s="3" t="inlineStr">
        <is>
          <t>VALUE PER SHARE (NZ$)</t>
        </is>
      </c>
      <c r="B43" s="7">
        <f>B41/B42</f>
        <v/>
      </c>
    </row>
    <row r="44">
      <c r="A44" t="inlineStr">
        <is>
          <t>Upside vs price %</t>
        </is>
      </c>
      <c r="B44">
        <f>(B43/Assumptions!$B$3-1)*100</f>
        <v/>
      </c>
    </row>
    <row r="46">
      <c r="A46" t="inlineStr">
        <is>
          <t>Street memo: PV of explicit-period SBC</t>
        </is>
      </c>
      <c r="B46">
        <f>SUMPRODUCT(-C12:L12/(1+Assumptions!$B$10/100)^C4:L4)</f>
        <v/>
      </c>
    </row>
    <row r="47">
      <c r="A47" t="inlineStr">
        <is>
          <t>Street memo: PV of terminal SBC</t>
        </is>
      </c>
      <c r="B47">
        <f>IF(Assumptions!$B$10&gt;B32,-L12*(1+B32/100)/((Assumptions!$B$10-B32)/100)*L25,0)</f>
        <v/>
      </c>
    </row>
    <row r="48">
      <c r="A48" t="inlineStr">
        <is>
          <t>Street value per share (NZ$)</t>
        </is>
      </c>
      <c r="B48">
        <f>(B41+B46+B47)/B42</f>
        <v/>
      </c>
    </row>
    <row r="50">
      <c r="A50" s="3" t="inlineStr">
        <is>
          <t>Entry price at hurdle (TV rebuilt at hurdle, NZ$)</t>
        </is>
      </c>
      <c r="B50">
        <f>(SUMPRODUCT(C24:L24/(1+Assumptions!$B$9)^C4:L4)+MAX(0,MIN(L24*(1+B32/100)/(Assumptions!$B$9-B32/100),Assumptions!$B$8*L24))/(1+Assumptions!$B$9)^10-Assumptions!$B$7)/Assumptions!$B$4</f>
        <v/>
      </c>
    </row>
    <row r="51">
      <c r="A51" t="inlineStr">
        <is>
          <t>Terminal % of EV</t>
        </is>
      </c>
      <c r="B51">
        <f>IF(B39&gt;0,B38/B39*100,"n/a")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BASE scenario -- owner FCF build (NZ$m)</t>
        </is>
      </c>
    </row>
    <row r="3">
      <c r="A3" s="3" t="inlineStr">
        <is>
          <t>Year</t>
        </is>
      </c>
      <c r="B3" s="3" t="inlineStr">
        <is>
          <t>FY2026A</t>
        </is>
      </c>
      <c r="C3" s="3" t="inlineStr">
        <is>
          <t>FY2027E</t>
        </is>
      </c>
      <c r="D3" s="3" t="inlineStr">
        <is>
          <t>FY2028E</t>
        </is>
      </c>
      <c r="E3" s="3" t="inlineStr">
        <is>
          <t>FY2029E</t>
        </is>
      </c>
      <c r="F3" s="3" t="inlineStr">
        <is>
          <t>FY2030E</t>
        </is>
      </c>
      <c r="G3" s="3" t="inlineStr">
        <is>
          <t>FY2031E</t>
        </is>
      </c>
      <c r="H3" s="3" t="inlineStr">
        <is>
          <t>FY2032E</t>
        </is>
      </c>
      <c r="I3" s="3" t="inlineStr">
        <is>
          <t>FY2033E</t>
        </is>
      </c>
      <c r="J3" s="3" t="inlineStr">
        <is>
          <t>FY2034E</t>
        </is>
      </c>
      <c r="K3" s="3" t="inlineStr">
        <is>
          <t>FY2035E</t>
        </is>
      </c>
      <c r="L3" s="3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%</t>
        </is>
      </c>
      <c r="C5" s="5" t="n">
        <v>3</v>
      </c>
      <c r="D5" s="5" t="n">
        <v>2.5</v>
      </c>
      <c r="E5" s="5" t="n">
        <v>2.5</v>
      </c>
      <c r="F5" s="5" t="n">
        <v>2.5</v>
      </c>
      <c r="G5" s="5" t="n">
        <v>2.25</v>
      </c>
      <c r="H5" s="5" t="n">
        <v>2.25</v>
      </c>
      <c r="I5" s="5" t="n">
        <v>2</v>
      </c>
      <c r="J5" s="5" t="n">
        <v>2</v>
      </c>
      <c r="K5" s="5" t="n">
        <v>2</v>
      </c>
      <c r="L5" s="5" t="n">
        <v>2</v>
      </c>
    </row>
    <row r="6">
      <c r="A6" t="inlineStr">
        <is>
          <t>Revenue</t>
        </is>
      </c>
      <c r="B6" s="4" t="n">
        <v>55.2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Headline operating-earnings margin %</t>
        </is>
      </c>
      <c r="B7" s="4" t="n">
        <v>14.5</v>
      </c>
      <c r="C7" s="5" t="n">
        <v>15</v>
      </c>
      <c r="D7" s="5" t="n">
        <v>15.25</v>
      </c>
      <c r="E7" s="5" t="n">
        <v>15.5</v>
      </c>
      <c r="F7" s="5" t="n">
        <v>15.5</v>
      </c>
      <c r="G7" s="5" t="n">
        <v>15.5</v>
      </c>
      <c r="H7" s="5" t="n">
        <v>15.5</v>
      </c>
      <c r="I7" s="5" t="n">
        <v>15.5</v>
      </c>
      <c r="J7" s="5" t="n">
        <v>15.5</v>
      </c>
      <c r="K7" s="5" t="n">
        <v>15.5</v>
      </c>
      <c r="L7" s="5" t="n">
        <v>15.5</v>
      </c>
    </row>
    <row r="8">
      <c r="A8" t="inlineStr">
        <is>
          <t>less recurring restructuring allowance %</t>
        </is>
      </c>
      <c r="C8" s="6">
        <f>Assumptions!$D$19</f>
        <v/>
      </c>
      <c r="D8" s="6">
        <f>Assumptions!$D$19</f>
        <v/>
      </c>
      <c r="E8" s="6">
        <f>Assumptions!$D$19</f>
        <v/>
      </c>
      <c r="F8" s="6">
        <f>Assumptions!$D$19</f>
        <v/>
      </c>
      <c r="G8" s="6">
        <f>Assumptions!$D$19</f>
        <v/>
      </c>
      <c r="H8" s="6">
        <f>Assumptions!$D$19</f>
        <v/>
      </c>
      <c r="I8" s="6">
        <f>Assumptions!$D$19</f>
        <v/>
      </c>
      <c r="J8" s="6">
        <f>Assumptions!$D$19</f>
        <v/>
      </c>
      <c r="K8" s="6">
        <f>Assumptions!$D$19</f>
        <v/>
      </c>
      <c r="L8" s="6">
        <f>Assumptions!$D$19</f>
        <v/>
      </c>
    </row>
    <row r="9">
      <c r="A9" t="inlineStr">
        <is>
          <t>Modelled EBITDA margin %</t>
        </is>
      </c>
      <c r="C9">
        <f>C7-C8</f>
        <v/>
      </c>
      <c r="D9">
        <f>D7-D8</f>
        <v/>
      </c>
      <c r="E9">
        <f>E7-E8</f>
        <v/>
      </c>
      <c r="F9">
        <f>F7-F8</f>
        <v/>
      </c>
      <c r="G9">
        <f>G7-G8</f>
        <v/>
      </c>
      <c r="H9">
        <f>H7-H8</f>
        <v/>
      </c>
      <c r="I9">
        <f>I7-I8</f>
        <v/>
      </c>
      <c r="J9">
        <f>J7-J8</f>
        <v/>
      </c>
      <c r="K9">
        <f>K7-K8</f>
        <v/>
      </c>
      <c r="L9">
        <f>L7-L8</f>
        <v/>
      </c>
    </row>
    <row r="10">
      <c r="A10" t="inlineStr">
        <is>
          <t>Adjusted EBITDA</t>
        </is>
      </c>
      <c r="C10">
        <f>C6*C9/100</f>
        <v/>
      </c>
      <c r="D10">
        <f>D6*D9/100</f>
        <v/>
      </c>
      <c r="E10">
        <f>E6*E9/100</f>
        <v/>
      </c>
      <c r="F10">
        <f>F6*F9/100</f>
        <v/>
      </c>
      <c r="G10">
        <f>G6*G9/100</f>
        <v/>
      </c>
      <c r="H10">
        <f>H6*H9/100</f>
        <v/>
      </c>
      <c r="I10">
        <f>I6*I9/100</f>
        <v/>
      </c>
      <c r="J10">
        <f>J6*J9/100</f>
        <v/>
      </c>
      <c r="K10">
        <f>K6*K9/100</f>
        <v/>
      </c>
      <c r="L10">
        <f>L6*L9/100</f>
        <v/>
      </c>
    </row>
    <row r="11">
      <c r="A11" t="inlineStr">
        <is>
          <t>SBC % of revenue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t="inlineStr">
        <is>
          <t>SBC (negative)</t>
        </is>
      </c>
      <c r="C12">
        <f>-C6*C11/100</f>
        <v/>
      </c>
      <c r="D12">
        <f>-D6*D11/100</f>
        <v/>
      </c>
      <c r="E12">
        <f>-E6*E11/100</f>
        <v/>
      </c>
      <c r="F12">
        <f>-F6*F11/100</f>
        <v/>
      </c>
      <c r="G12">
        <f>-G6*G11/100</f>
        <v/>
      </c>
      <c r="H12">
        <f>-H6*H11/100</f>
        <v/>
      </c>
      <c r="I12">
        <f>-I6*I11/100</f>
        <v/>
      </c>
      <c r="J12">
        <f>-J6*J11/100</f>
        <v/>
      </c>
      <c r="K12">
        <f>-K6*K11/100</f>
        <v/>
      </c>
      <c r="L12">
        <f>-L6*L11/100</f>
        <v/>
      </c>
    </row>
    <row r="13">
      <c r="A13" t="inlineStr">
        <is>
          <t>Owner EBITDA</t>
        </is>
      </c>
      <c r="C13">
        <f>C10+C12</f>
        <v/>
      </c>
      <c r="D13">
        <f>D10+D12</f>
        <v/>
      </c>
      <c r="E13">
        <f>E10+E12</f>
        <v/>
      </c>
      <c r="F13">
        <f>F10+F12</f>
        <v/>
      </c>
      <c r="G13">
        <f>G10+G12</f>
        <v/>
      </c>
      <c r="H13">
        <f>H10+H12</f>
        <v/>
      </c>
      <c r="I13">
        <f>I10+I12</f>
        <v/>
      </c>
      <c r="J13">
        <f>J10+J12</f>
        <v/>
      </c>
      <c r="K13">
        <f>K10+K12</f>
        <v/>
      </c>
      <c r="L13">
        <f>L10+L12</f>
        <v/>
      </c>
    </row>
    <row r="14">
      <c r="A14" t="inlineStr">
        <is>
          <t>Lease cash cost % of revenue</t>
        </is>
      </c>
      <c r="C14" s="6">
        <f>Assumptions!$D$15</f>
        <v/>
      </c>
      <c r="D14" s="6">
        <f>Assumptions!$D$15</f>
        <v/>
      </c>
      <c r="E14" s="6">
        <f>Assumptions!$D$15</f>
        <v/>
      </c>
      <c r="F14" s="6">
        <f>Assumptions!$D$15</f>
        <v/>
      </c>
      <c r="G14" s="6">
        <f>Assumptions!$D$15</f>
        <v/>
      </c>
      <c r="H14" s="6">
        <f>Assumptions!$D$15</f>
        <v/>
      </c>
      <c r="I14" s="6">
        <f>Assumptions!$D$15</f>
        <v/>
      </c>
      <c r="J14" s="6">
        <f>Assumptions!$D$15</f>
        <v/>
      </c>
      <c r="K14" s="6">
        <f>Assumptions!$D$15</f>
        <v/>
      </c>
      <c r="L14" s="6">
        <f>Assumptions!$D$15</f>
        <v/>
      </c>
    </row>
    <row r="15">
      <c r="A15" t="inlineStr">
        <is>
          <t>Lease cash (principal + interest)</t>
        </is>
      </c>
      <c r="C15">
        <f>-C6*C14/100</f>
        <v/>
      </c>
      <c r="D15">
        <f>-D6*D14/100</f>
        <v/>
      </c>
      <c r="E15">
        <f>-E6*E14/100</f>
        <v/>
      </c>
      <c r="F15">
        <f>-F6*F14/100</f>
        <v/>
      </c>
      <c r="G15">
        <f>-G6*G14/100</f>
        <v/>
      </c>
      <c r="H15">
        <f>-H6*H14/100</f>
        <v/>
      </c>
      <c r="I15">
        <f>-I6*I14/100</f>
        <v/>
      </c>
      <c r="J15">
        <f>-J6*J14/100</f>
        <v/>
      </c>
      <c r="K15">
        <f>-K6*K14/100</f>
        <v/>
      </c>
      <c r="L15">
        <f>-L6*L14/100</f>
        <v/>
      </c>
    </row>
    <row r="16">
      <c r="A16" t="inlineStr">
        <is>
          <t>D&amp;A ex-ROU</t>
        </is>
      </c>
      <c r="C16" s="6">
        <f>-C6*Assumptions!$D$16/100</f>
        <v/>
      </c>
      <c r="D16" s="6">
        <f>-D6*Assumptions!$D$16/100</f>
        <v/>
      </c>
      <c r="E16" s="6">
        <f>-E6*Assumptions!$D$16/100</f>
        <v/>
      </c>
      <c r="F16" s="6">
        <f>-F6*Assumptions!$D$16/100</f>
        <v/>
      </c>
      <c r="G16" s="6">
        <f>-G6*Assumptions!$D$16/100</f>
        <v/>
      </c>
      <c r="H16" s="6">
        <f>-H6*Assumptions!$D$16/100</f>
        <v/>
      </c>
      <c r="I16" s="6">
        <f>-I6*Assumptions!$D$16/100</f>
        <v/>
      </c>
      <c r="J16" s="6">
        <f>-J6*Assumptions!$D$16/100</f>
        <v/>
      </c>
      <c r="K16" s="6">
        <f>-K6*Assumptions!$D$16/100</f>
        <v/>
      </c>
      <c r="L16" s="6">
        <f>-L6*Assumptions!$D$16/100</f>
        <v/>
      </c>
    </row>
    <row r="17">
      <c r="A17" t="inlineStr">
        <is>
          <t>EBIT (SBC expensed, post-lease)</t>
        </is>
      </c>
      <c r="C17">
        <f>C13+C15+C16</f>
        <v/>
      </c>
      <c r="D17">
        <f>D13+D15+D16</f>
        <v/>
      </c>
      <c r="E17">
        <f>E13+E15+E16</f>
        <v/>
      </c>
      <c r="F17">
        <f>F13+F15+F16</f>
        <v/>
      </c>
      <c r="G17">
        <f>G13+G15+G16</f>
        <v/>
      </c>
      <c r="H17">
        <f>H13+H15+H16</f>
        <v/>
      </c>
      <c r="I17">
        <f>I13+I15+I16</f>
        <v/>
      </c>
      <c r="J17">
        <f>J13+J15+J16</f>
        <v/>
      </c>
      <c r="K17">
        <f>K13+K15+K16</f>
        <v/>
      </c>
      <c r="L17">
        <f>L13+L15+L16</f>
        <v/>
      </c>
    </row>
    <row r="18">
      <c r="A18" t="inlineStr">
        <is>
          <t>Cash tax rate %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7</v>
      </c>
      <c r="H18" s="5" t="n">
        <v>14</v>
      </c>
      <c r="I18" s="5" t="n">
        <v>21</v>
      </c>
      <c r="J18" s="5" t="n">
        <v>28</v>
      </c>
      <c r="K18" s="5" t="n">
        <v>28</v>
      </c>
      <c r="L18" s="5" t="n">
        <v>28</v>
      </c>
    </row>
    <row r="19">
      <c r="A19" t="inlineStr">
        <is>
          <t>Cash tax</t>
        </is>
      </c>
      <c r="C19">
        <f>-MAX(0,C17)*C18/100</f>
        <v/>
      </c>
      <c r="D19">
        <f>-MAX(0,D17)*D18/100</f>
        <v/>
      </c>
      <c r="E19">
        <f>-MAX(0,E17)*E18/100</f>
        <v/>
      </c>
      <c r="F19">
        <f>-MAX(0,F17)*F18/100</f>
        <v/>
      </c>
      <c r="G19">
        <f>-MAX(0,G17)*G18/100</f>
        <v/>
      </c>
      <c r="H19">
        <f>-MAX(0,H17)*H18/100</f>
        <v/>
      </c>
      <c r="I19">
        <f>-MAX(0,I17)*I18/100</f>
        <v/>
      </c>
      <c r="J19">
        <f>-MAX(0,J17)*J18/100</f>
        <v/>
      </c>
      <c r="K19">
        <f>-MAX(0,K17)*K18/100</f>
        <v/>
      </c>
      <c r="L19">
        <f>-MAX(0,L17)*L18/100</f>
        <v/>
      </c>
    </row>
    <row r="20">
      <c r="A20" t="inlineStr">
        <is>
          <t>NOPAT</t>
        </is>
      </c>
      <c r="C20">
        <f>C17+C19</f>
        <v/>
      </c>
      <c r="D20">
        <f>D17+D19</f>
        <v/>
      </c>
      <c r="E20">
        <f>E17+E19</f>
        <v/>
      </c>
      <c r="F20">
        <f>F17+F19</f>
        <v/>
      </c>
      <c r="G20">
        <f>G17+G19</f>
        <v/>
      </c>
      <c r="H20">
        <f>H17+H19</f>
        <v/>
      </c>
      <c r="I20">
        <f>I17+I19</f>
        <v/>
      </c>
      <c r="J20">
        <f>J17+J19</f>
        <v/>
      </c>
      <c r="K20">
        <f>K17+K19</f>
        <v/>
      </c>
      <c r="L20">
        <f>L17+L19</f>
        <v/>
      </c>
    </row>
    <row r="21">
      <c r="A21" t="inlineStr">
        <is>
          <t>add back D&amp;A</t>
        </is>
      </c>
      <c r="C21">
        <f>-C16</f>
        <v/>
      </c>
      <c r="D21">
        <f>-D16</f>
        <v/>
      </c>
      <c r="E21">
        <f>-E16</f>
        <v/>
      </c>
      <c r="F21">
        <f>-F16</f>
        <v/>
      </c>
      <c r="G21">
        <f>-G16</f>
        <v/>
      </c>
      <c r="H21">
        <f>-H16</f>
        <v/>
      </c>
      <c r="I21">
        <f>-I16</f>
        <v/>
      </c>
      <c r="J21">
        <f>-J16</f>
        <v/>
      </c>
      <c r="K21">
        <f>-K16</f>
        <v/>
      </c>
      <c r="L21">
        <f>-L16</f>
        <v/>
      </c>
    </row>
    <row r="22">
      <c r="A22" t="inlineStr">
        <is>
          <t>less capex</t>
        </is>
      </c>
      <c r="C22" s="6">
        <f>-C6*Assumptions!$D$17/100</f>
        <v/>
      </c>
      <c r="D22" s="6">
        <f>-D6*Assumptions!$D$17/100</f>
        <v/>
      </c>
      <c r="E22" s="6">
        <f>-E6*Assumptions!$D$17/100</f>
        <v/>
      </c>
      <c r="F22" s="6">
        <f>-F6*Assumptions!$D$17/100</f>
        <v/>
      </c>
      <c r="G22" s="6">
        <f>-G6*Assumptions!$D$17/100</f>
        <v/>
      </c>
      <c r="H22" s="6">
        <f>-H6*Assumptions!$D$17/100</f>
        <v/>
      </c>
      <c r="I22" s="6">
        <f>-I6*Assumptions!$D$17/100</f>
        <v/>
      </c>
      <c r="J22" s="6">
        <f>-J6*Assumptions!$D$17/100</f>
        <v/>
      </c>
      <c r="K22" s="6">
        <f>-K6*Assumptions!$D$17/100</f>
        <v/>
      </c>
      <c r="L22" s="6">
        <f>-L6*Assumptions!$D$17/100</f>
        <v/>
      </c>
    </row>
    <row r="23">
      <c r="A23" t="inlineStr">
        <is>
          <t>add working capital</t>
        </is>
      </c>
      <c r="C23" s="6">
        <f>Assumptions!$D$18/100*(C6-B6)</f>
        <v/>
      </c>
      <c r="D23" s="6">
        <f>Assumptions!$D$18/100*(D6-C6)</f>
        <v/>
      </c>
      <c r="E23" s="6">
        <f>Assumptions!$D$18/100*(E6-D6)</f>
        <v/>
      </c>
      <c r="F23" s="6">
        <f>Assumptions!$D$18/100*(F6-E6)</f>
        <v/>
      </c>
      <c r="G23" s="6">
        <f>Assumptions!$D$18/100*(G6-F6)</f>
        <v/>
      </c>
      <c r="H23" s="6">
        <f>Assumptions!$D$18/100*(H6-G6)</f>
        <v/>
      </c>
      <c r="I23" s="6">
        <f>Assumptions!$D$18/100*(I6-H6)</f>
        <v/>
      </c>
      <c r="J23" s="6">
        <f>Assumptions!$D$18/100*(J6-I6)</f>
        <v/>
      </c>
      <c r="K23" s="6">
        <f>Assumptions!$D$18/100*(K6-J6)</f>
        <v/>
      </c>
      <c r="L23" s="6">
        <f>Assumptions!$D$18/100*(L6-K6)</f>
        <v/>
      </c>
    </row>
    <row r="24">
      <c r="A24" s="3" t="inlineStr">
        <is>
          <t>Unlevered owner FCF</t>
        </is>
      </c>
      <c r="B24" s="4" t="n">
        <v>0.55</v>
      </c>
      <c r="C24" s="3">
        <f>C20+C21+C22+C23</f>
        <v/>
      </c>
      <c r="D24" s="3">
        <f>D20+D21+D22+D23</f>
        <v/>
      </c>
      <c r="E24" s="3">
        <f>E20+E21+E22+E23</f>
        <v/>
      </c>
      <c r="F24" s="3">
        <f>F20+F21+F22+F23</f>
        <v/>
      </c>
      <c r="G24" s="3">
        <f>G20+G21+G22+G23</f>
        <v/>
      </c>
      <c r="H24" s="3">
        <f>H20+H21+H22+H23</f>
        <v/>
      </c>
      <c r="I24" s="3">
        <f>I20+I21+I22+I23</f>
        <v/>
      </c>
      <c r="J24" s="3">
        <f>J20+J21+J22+J23</f>
        <v/>
      </c>
      <c r="K24" s="3">
        <f>K20+K21+K22+K23</f>
        <v/>
      </c>
      <c r="L24" s="3">
        <f>L20+L21+L22+L23</f>
        <v/>
      </c>
      <c r="M24" t="inlineStr">
        <is>
          <t>B24 = FY2026E owner FCF (capex-elevated); not a driver</t>
        </is>
      </c>
    </row>
    <row r="25">
      <c r="A25" t="inlineStr">
        <is>
          <t>Discount factor</t>
        </is>
      </c>
      <c r="C25" s="6">
        <f>1/(1+Assumptions!$B$10/100)^C4</f>
        <v/>
      </c>
      <c r="D25" s="6">
        <f>1/(1+Assumptions!$B$10/100)^D4</f>
        <v/>
      </c>
      <c r="E25" s="6">
        <f>1/(1+Assumptions!$B$10/100)^E4</f>
        <v/>
      </c>
      <c r="F25" s="6">
        <f>1/(1+Assumptions!$B$10/100)^F4</f>
        <v/>
      </c>
      <c r="G25" s="6">
        <f>1/(1+Assumptions!$B$10/100)^G4</f>
        <v/>
      </c>
      <c r="H25" s="6">
        <f>1/(1+Assumptions!$B$10/100)^H4</f>
        <v/>
      </c>
      <c r="I25" s="6">
        <f>1/(1+Assumptions!$B$10/100)^I4</f>
        <v/>
      </c>
      <c r="J25" s="6">
        <f>1/(1+Assumptions!$B$10/100)^J4</f>
        <v/>
      </c>
      <c r="K25" s="6">
        <f>1/(1+Assumptions!$B$10/100)^K4</f>
        <v/>
      </c>
      <c r="L25" s="6">
        <f>1/(1+Assumptions!$B$10/100)^L4</f>
        <v/>
      </c>
    </row>
    <row r="26">
      <c r="A26" s="3" t="inlineStr">
        <is>
          <t>PV of FCF</t>
        </is>
      </c>
      <c r="C26">
        <f>C24*C25</f>
        <v/>
      </c>
      <c r="D26">
        <f>D24*D25</f>
        <v/>
      </c>
      <c r="E26">
        <f>E24*E25</f>
        <v/>
      </c>
      <c r="F26">
        <f>F24*F25</f>
        <v/>
      </c>
      <c r="G26">
        <f>G24*G25</f>
        <v/>
      </c>
      <c r="H26">
        <f>H24*H25</f>
        <v/>
      </c>
      <c r="I26">
        <f>I24*I25</f>
        <v/>
      </c>
      <c r="J26">
        <f>J24*J25</f>
        <v/>
      </c>
      <c r="K26">
        <f>K24*K25</f>
        <v/>
      </c>
      <c r="L26">
        <f>L24*L25</f>
        <v/>
      </c>
    </row>
    <row r="28">
      <c r="A28" t="inlineStr">
        <is>
          <t>Memo: FCF before lease &amp; SBC (company-style)</t>
        </is>
      </c>
      <c r="C28">
        <f>C24-C15-C12</f>
        <v/>
      </c>
      <c r="D28">
        <f>D24-D15-D12</f>
        <v/>
      </c>
      <c r="E28">
        <f>E24-E15-E12</f>
        <v/>
      </c>
      <c r="F28">
        <f>F24-F15-F12</f>
        <v/>
      </c>
      <c r="G28">
        <f>G24-G15-G12</f>
        <v/>
      </c>
      <c r="H28">
        <f>H24-H15-H12</f>
        <v/>
      </c>
      <c r="I28">
        <f>I24-I15-I12</f>
        <v/>
      </c>
      <c r="J28">
        <f>J24-J15-J12</f>
        <v/>
      </c>
      <c r="K28">
        <f>K24-K15-K12</f>
        <v/>
      </c>
      <c r="L28">
        <f>L24-L15-L12</f>
        <v/>
      </c>
    </row>
    <row r="29">
      <c r="A29" t="inlineStr">
        <is>
          <t>Memo: owner FCF margin %</t>
        </is>
      </c>
      <c r="C29">
        <f>C24/C6*100</f>
        <v/>
      </c>
      <c r="D29">
        <f>D24/D6*100</f>
        <v/>
      </c>
      <c r="E29">
        <f>E24/E6*100</f>
        <v/>
      </c>
      <c r="F29">
        <f>F24/F6*100</f>
        <v/>
      </c>
      <c r="G29">
        <f>G24/G6*100</f>
        <v/>
      </c>
      <c r="H29">
        <f>H24/H6*100</f>
        <v/>
      </c>
      <c r="I29">
        <f>I24/I6*100</f>
        <v/>
      </c>
      <c r="J29">
        <f>J24/J6*100</f>
        <v/>
      </c>
      <c r="K29">
        <f>K24/K6*100</f>
        <v/>
      </c>
      <c r="L29">
        <f>L24/L6*100</f>
        <v/>
      </c>
    </row>
    <row r="31">
      <c r="A31" t="inlineStr">
        <is>
          <t>Sum of PV of FCF</t>
        </is>
      </c>
      <c r="B31">
        <f>SUM(C26:L26)</f>
        <v/>
      </c>
    </row>
    <row r="32">
      <c r="A32" t="inlineStr">
        <is>
          <t>Terminal growth %</t>
        </is>
      </c>
      <c r="B32" s="6">
        <f>Assumptions!$D$13</f>
        <v/>
      </c>
    </row>
    <row r="33">
      <c r="A33" t="inlineStr">
        <is>
          <t>Terminal-year FCF x (1+g)</t>
        </is>
      </c>
      <c r="B33">
        <f>L24*(1+B32/100)</f>
        <v/>
      </c>
    </row>
    <row r="34">
      <c r="A34" t="inlineStr">
        <is>
          <t>Gordon terminal value</t>
        </is>
      </c>
      <c r="B34">
        <f>IF(Assumptions!$B$10&gt;B32,B33/((Assumptions!$B$10-B32)/100),L24*Assumptions!$B$8)</f>
        <v/>
      </c>
    </row>
    <row r="35">
      <c r="A35" t="inlineStr">
        <is>
          <t>Cap terminal value (cap x FCF10)</t>
        </is>
      </c>
      <c r="B35">
        <f>Assumptions!$B$8*L24</f>
        <v/>
      </c>
    </row>
    <row r="36">
      <c r="A36" t="inlineStr">
        <is>
          <t>Terminal value used = MAX(0,MIN(Gordon,cap))</t>
        </is>
      </c>
      <c r="B36">
        <f>MAX(0,MIN(B34,B35))</f>
        <v/>
      </c>
    </row>
    <row r="37">
      <c r="A37" t="inlineStr">
        <is>
          <t>Implied exit multiple (x FCF10)</t>
        </is>
      </c>
      <c r="B37">
        <f>IF(L24&gt;0,B36/L24,"n/a")</f>
        <v/>
      </c>
    </row>
    <row r="38">
      <c r="A38" t="inlineStr">
        <is>
          <t>PV of terminal value</t>
        </is>
      </c>
      <c r="B38">
        <f>B36*L25</f>
        <v/>
      </c>
    </row>
    <row r="39">
      <c r="A39" t="inlineStr">
        <is>
          <t>Enterprise value</t>
        </is>
      </c>
      <c r="B39">
        <f>B31+B38</f>
        <v/>
      </c>
    </row>
    <row r="40">
      <c r="A40" t="inlineStr">
        <is>
          <t>less net debt (ex-lease)</t>
        </is>
      </c>
      <c r="B40" s="6">
        <f>-Assumptions!$B$7</f>
        <v/>
      </c>
    </row>
    <row r="41">
      <c r="A41" t="inlineStr">
        <is>
          <t>Equity value</t>
        </is>
      </c>
      <c r="B41">
        <f>B39+B40</f>
        <v/>
      </c>
    </row>
    <row r="42">
      <c r="A42" t="inlineStr">
        <is>
          <t>Diluted shares (m)</t>
        </is>
      </c>
      <c r="B42" s="6">
        <f>Assumptions!$B$4</f>
        <v/>
      </c>
    </row>
    <row r="43">
      <c r="A43" s="3" t="inlineStr">
        <is>
          <t>VALUE PER SHARE (NZ$)</t>
        </is>
      </c>
      <c r="B43" s="7">
        <f>B41/B42</f>
        <v/>
      </c>
    </row>
    <row r="44">
      <c r="A44" t="inlineStr">
        <is>
          <t>Upside vs price %</t>
        </is>
      </c>
      <c r="B44">
        <f>(B43/Assumptions!$B$3-1)*100</f>
        <v/>
      </c>
    </row>
    <row r="46">
      <c r="A46" t="inlineStr">
        <is>
          <t>Street memo: PV of explicit-period SBC</t>
        </is>
      </c>
      <c r="B46">
        <f>SUMPRODUCT(-C12:L12/(1+Assumptions!$B$10/100)^C4:L4)</f>
        <v/>
      </c>
    </row>
    <row r="47">
      <c r="A47" t="inlineStr">
        <is>
          <t>Street memo: PV of terminal SBC</t>
        </is>
      </c>
      <c r="B47">
        <f>IF(Assumptions!$B$10&gt;B32,-L12*(1+B32/100)/((Assumptions!$B$10-B32)/100)*L25,0)</f>
        <v/>
      </c>
    </row>
    <row r="48">
      <c r="A48" t="inlineStr">
        <is>
          <t>Street value per share (NZ$)</t>
        </is>
      </c>
      <c r="B48">
        <f>(B41+B46+B47)/B42</f>
        <v/>
      </c>
    </row>
    <row r="50">
      <c r="A50" s="3" t="inlineStr">
        <is>
          <t>Entry price at hurdle (TV rebuilt at hurdle, NZ$)</t>
        </is>
      </c>
      <c r="B50">
        <f>(SUMPRODUCT(C24:L24/(1+Assumptions!$B$9)^C4:L4)+MAX(0,MIN(L24*(1+B32/100)/(Assumptions!$B$9-B32/100),Assumptions!$B$8*L24))/(1+Assumptions!$B$9)^10-Assumptions!$B$7)/Assumptions!$B$4</f>
        <v/>
      </c>
    </row>
    <row r="51">
      <c r="A51" t="inlineStr">
        <is>
          <t>Terminal % of EV</t>
        </is>
      </c>
      <c r="B51">
        <f>IF(B39&gt;0,B38/B39*100,"n/a")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BULL scenario -- owner FCF build (NZ$m)</t>
        </is>
      </c>
    </row>
    <row r="3">
      <c r="A3" s="3" t="inlineStr">
        <is>
          <t>Year</t>
        </is>
      </c>
      <c r="B3" s="3" t="inlineStr">
        <is>
          <t>FY2026A</t>
        </is>
      </c>
      <c r="C3" s="3" t="inlineStr">
        <is>
          <t>FY2027E</t>
        </is>
      </c>
      <c r="D3" s="3" t="inlineStr">
        <is>
          <t>FY2028E</t>
        </is>
      </c>
      <c r="E3" s="3" t="inlineStr">
        <is>
          <t>FY2029E</t>
        </is>
      </c>
      <c r="F3" s="3" t="inlineStr">
        <is>
          <t>FY2030E</t>
        </is>
      </c>
      <c r="G3" s="3" t="inlineStr">
        <is>
          <t>FY2031E</t>
        </is>
      </c>
      <c r="H3" s="3" t="inlineStr">
        <is>
          <t>FY2032E</t>
        </is>
      </c>
      <c r="I3" s="3" t="inlineStr">
        <is>
          <t>FY2033E</t>
        </is>
      </c>
      <c r="J3" s="3" t="inlineStr">
        <is>
          <t>FY2034E</t>
        </is>
      </c>
      <c r="K3" s="3" t="inlineStr">
        <is>
          <t>FY2035E</t>
        </is>
      </c>
      <c r="L3" s="3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%</t>
        </is>
      </c>
      <c r="C5" s="5" t="n">
        <v>6</v>
      </c>
      <c r="D5" s="5" t="n">
        <v>5</v>
      </c>
      <c r="E5" s="5" t="n">
        <v>4</v>
      </c>
      <c r="F5" s="5" t="n">
        <v>3.5</v>
      </c>
      <c r="G5" s="5" t="n">
        <v>3</v>
      </c>
      <c r="H5" s="5" t="n">
        <v>3</v>
      </c>
      <c r="I5" s="5" t="n">
        <v>2.5</v>
      </c>
      <c r="J5" s="5" t="n">
        <v>2.5</v>
      </c>
      <c r="K5" s="5" t="n">
        <v>2.5</v>
      </c>
      <c r="L5" s="5" t="n">
        <v>2.5</v>
      </c>
    </row>
    <row r="6">
      <c r="A6" t="inlineStr">
        <is>
          <t>Revenue</t>
        </is>
      </c>
      <c r="B6" s="4" t="n">
        <v>55.2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Headline operating-earnings margin %</t>
        </is>
      </c>
      <c r="B7" s="4" t="n">
        <v>14.5</v>
      </c>
      <c r="C7" s="5" t="n">
        <v>16.5</v>
      </c>
      <c r="D7" s="5" t="n">
        <v>17</v>
      </c>
      <c r="E7" s="5" t="n">
        <v>17.5</v>
      </c>
      <c r="F7" s="5" t="n">
        <v>17.5</v>
      </c>
      <c r="G7" s="5" t="n">
        <v>17.5</v>
      </c>
      <c r="H7" s="5" t="n">
        <v>17.5</v>
      </c>
      <c r="I7" s="5" t="n">
        <v>17.5</v>
      </c>
      <c r="J7" s="5" t="n">
        <v>17.5</v>
      </c>
      <c r="K7" s="5" t="n">
        <v>17.5</v>
      </c>
      <c r="L7" s="5" t="n">
        <v>17.5</v>
      </c>
    </row>
    <row r="8">
      <c r="A8" t="inlineStr">
        <is>
          <t>less recurring restructuring allowance %</t>
        </is>
      </c>
      <c r="C8" s="6">
        <f>Assumptions!$E$19</f>
        <v/>
      </c>
      <c r="D8" s="6">
        <f>Assumptions!$E$19</f>
        <v/>
      </c>
      <c r="E8" s="6">
        <f>Assumptions!$E$19</f>
        <v/>
      </c>
      <c r="F8" s="6">
        <f>Assumptions!$E$19</f>
        <v/>
      </c>
      <c r="G8" s="6">
        <f>Assumptions!$E$19</f>
        <v/>
      </c>
      <c r="H8" s="6">
        <f>Assumptions!$E$19</f>
        <v/>
      </c>
      <c r="I8" s="6">
        <f>Assumptions!$E$19</f>
        <v/>
      </c>
      <c r="J8" s="6">
        <f>Assumptions!$E$19</f>
        <v/>
      </c>
      <c r="K8" s="6">
        <f>Assumptions!$E$19</f>
        <v/>
      </c>
      <c r="L8" s="6">
        <f>Assumptions!$E$19</f>
        <v/>
      </c>
    </row>
    <row r="9">
      <c r="A9" t="inlineStr">
        <is>
          <t>Modelled EBITDA margin %</t>
        </is>
      </c>
      <c r="C9">
        <f>C7-C8</f>
        <v/>
      </c>
      <c r="D9">
        <f>D7-D8</f>
        <v/>
      </c>
      <c r="E9">
        <f>E7-E8</f>
        <v/>
      </c>
      <c r="F9">
        <f>F7-F8</f>
        <v/>
      </c>
      <c r="G9">
        <f>G7-G8</f>
        <v/>
      </c>
      <c r="H9">
        <f>H7-H8</f>
        <v/>
      </c>
      <c r="I9">
        <f>I7-I8</f>
        <v/>
      </c>
      <c r="J9">
        <f>J7-J8</f>
        <v/>
      </c>
      <c r="K9">
        <f>K7-K8</f>
        <v/>
      </c>
      <c r="L9">
        <f>L7-L8</f>
        <v/>
      </c>
    </row>
    <row r="10">
      <c r="A10" t="inlineStr">
        <is>
          <t>Adjusted EBITDA</t>
        </is>
      </c>
      <c r="C10">
        <f>C6*C9/100</f>
        <v/>
      </c>
      <c r="D10">
        <f>D6*D9/100</f>
        <v/>
      </c>
      <c r="E10">
        <f>E6*E9/100</f>
        <v/>
      </c>
      <c r="F10">
        <f>F6*F9/100</f>
        <v/>
      </c>
      <c r="G10">
        <f>G6*G9/100</f>
        <v/>
      </c>
      <c r="H10">
        <f>H6*H9/100</f>
        <v/>
      </c>
      <c r="I10">
        <f>I6*I9/100</f>
        <v/>
      </c>
      <c r="J10">
        <f>J6*J9/100</f>
        <v/>
      </c>
      <c r="K10">
        <f>K6*K9/100</f>
        <v/>
      </c>
      <c r="L10">
        <f>L6*L9/100</f>
        <v/>
      </c>
    </row>
    <row r="11">
      <c r="A11" t="inlineStr">
        <is>
          <t>SBC % of revenue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t="inlineStr">
        <is>
          <t>SBC (negative)</t>
        </is>
      </c>
      <c r="C12">
        <f>-C6*C11/100</f>
        <v/>
      </c>
      <c r="D12">
        <f>-D6*D11/100</f>
        <v/>
      </c>
      <c r="E12">
        <f>-E6*E11/100</f>
        <v/>
      </c>
      <c r="F12">
        <f>-F6*F11/100</f>
        <v/>
      </c>
      <c r="G12">
        <f>-G6*G11/100</f>
        <v/>
      </c>
      <c r="H12">
        <f>-H6*H11/100</f>
        <v/>
      </c>
      <c r="I12">
        <f>-I6*I11/100</f>
        <v/>
      </c>
      <c r="J12">
        <f>-J6*J11/100</f>
        <v/>
      </c>
      <c r="K12">
        <f>-K6*K11/100</f>
        <v/>
      </c>
      <c r="L12">
        <f>-L6*L11/100</f>
        <v/>
      </c>
    </row>
    <row r="13">
      <c r="A13" t="inlineStr">
        <is>
          <t>Owner EBITDA</t>
        </is>
      </c>
      <c r="C13">
        <f>C10+C12</f>
        <v/>
      </c>
      <c r="D13">
        <f>D10+D12</f>
        <v/>
      </c>
      <c r="E13">
        <f>E10+E12</f>
        <v/>
      </c>
      <c r="F13">
        <f>F10+F12</f>
        <v/>
      </c>
      <c r="G13">
        <f>G10+G12</f>
        <v/>
      </c>
      <c r="H13">
        <f>H10+H12</f>
        <v/>
      </c>
      <c r="I13">
        <f>I10+I12</f>
        <v/>
      </c>
      <c r="J13">
        <f>J10+J12</f>
        <v/>
      </c>
      <c r="K13">
        <f>K10+K12</f>
        <v/>
      </c>
      <c r="L13">
        <f>L10+L12</f>
        <v/>
      </c>
    </row>
    <row r="14">
      <c r="A14" t="inlineStr">
        <is>
          <t>Lease cash cost % of revenue</t>
        </is>
      </c>
      <c r="C14" s="6">
        <f>Assumptions!$E$15</f>
        <v/>
      </c>
      <c r="D14" s="6">
        <f>Assumptions!$E$15</f>
        <v/>
      </c>
      <c r="E14" s="6">
        <f>Assumptions!$E$15</f>
        <v/>
      </c>
      <c r="F14" s="6">
        <f>Assumptions!$E$15</f>
        <v/>
      </c>
      <c r="G14" s="6">
        <f>Assumptions!$E$15</f>
        <v/>
      </c>
      <c r="H14" s="6">
        <f>Assumptions!$E$15</f>
        <v/>
      </c>
      <c r="I14" s="6">
        <f>Assumptions!$E$15</f>
        <v/>
      </c>
      <c r="J14" s="6">
        <f>Assumptions!$E$15</f>
        <v/>
      </c>
      <c r="K14" s="6">
        <f>Assumptions!$E$15</f>
        <v/>
      </c>
      <c r="L14" s="6">
        <f>Assumptions!$E$15</f>
        <v/>
      </c>
    </row>
    <row r="15">
      <c r="A15" t="inlineStr">
        <is>
          <t>Lease cash (principal + interest)</t>
        </is>
      </c>
      <c r="C15">
        <f>-C6*C14/100</f>
        <v/>
      </c>
      <c r="D15">
        <f>-D6*D14/100</f>
        <v/>
      </c>
      <c r="E15">
        <f>-E6*E14/100</f>
        <v/>
      </c>
      <c r="F15">
        <f>-F6*F14/100</f>
        <v/>
      </c>
      <c r="G15">
        <f>-G6*G14/100</f>
        <v/>
      </c>
      <c r="H15">
        <f>-H6*H14/100</f>
        <v/>
      </c>
      <c r="I15">
        <f>-I6*I14/100</f>
        <v/>
      </c>
      <c r="J15">
        <f>-J6*J14/100</f>
        <v/>
      </c>
      <c r="K15">
        <f>-K6*K14/100</f>
        <v/>
      </c>
      <c r="L15">
        <f>-L6*L14/100</f>
        <v/>
      </c>
    </row>
    <row r="16">
      <c r="A16" t="inlineStr">
        <is>
          <t>D&amp;A ex-ROU</t>
        </is>
      </c>
      <c r="C16" s="6">
        <f>-C6*Assumptions!$E$16/100</f>
        <v/>
      </c>
      <c r="D16" s="6">
        <f>-D6*Assumptions!$E$16/100</f>
        <v/>
      </c>
      <c r="E16" s="6">
        <f>-E6*Assumptions!$E$16/100</f>
        <v/>
      </c>
      <c r="F16" s="6">
        <f>-F6*Assumptions!$E$16/100</f>
        <v/>
      </c>
      <c r="G16" s="6">
        <f>-G6*Assumptions!$E$16/100</f>
        <v/>
      </c>
      <c r="H16" s="6">
        <f>-H6*Assumptions!$E$16/100</f>
        <v/>
      </c>
      <c r="I16" s="6">
        <f>-I6*Assumptions!$E$16/100</f>
        <v/>
      </c>
      <c r="J16" s="6">
        <f>-J6*Assumptions!$E$16/100</f>
        <v/>
      </c>
      <c r="K16" s="6">
        <f>-K6*Assumptions!$E$16/100</f>
        <v/>
      </c>
      <c r="L16" s="6">
        <f>-L6*Assumptions!$E$16/100</f>
        <v/>
      </c>
    </row>
    <row r="17">
      <c r="A17" t="inlineStr">
        <is>
          <t>EBIT (SBC expensed, post-lease)</t>
        </is>
      </c>
      <c r="C17">
        <f>C13+C15+C16</f>
        <v/>
      </c>
      <c r="D17">
        <f>D13+D15+D16</f>
        <v/>
      </c>
      <c r="E17">
        <f>E13+E15+E16</f>
        <v/>
      </c>
      <c r="F17">
        <f>F13+F15+F16</f>
        <v/>
      </c>
      <c r="G17">
        <f>G13+G15+G16</f>
        <v/>
      </c>
      <c r="H17">
        <f>H13+H15+H16</f>
        <v/>
      </c>
      <c r="I17">
        <f>I13+I15+I16</f>
        <v/>
      </c>
      <c r="J17">
        <f>J13+J15+J16</f>
        <v/>
      </c>
      <c r="K17">
        <f>K13+K15+K16</f>
        <v/>
      </c>
      <c r="L17">
        <f>L13+L15+L16</f>
        <v/>
      </c>
    </row>
    <row r="18">
      <c r="A18" t="inlineStr">
        <is>
          <t>Cash tax rate %</t>
        </is>
      </c>
      <c r="C18" s="5" t="n">
        <v>0</v>
      </c>
      <c r="D18" s="5" t="n">
        <v>0</v>
      </c>
      <c r="E18" s="5" t="n">
        <v>0</v>
      </c>
      <c r="F18" s="5" t="n">
        <v>7</v>
      </c>
      <c r="G18" s="5" t="n">
        <v>14</v>
      </c>
      <c r="H18" s="5" t="n">
        <v>21</v>
      </c>
      <c r="I18" s="5" t="n">
        <v>28</v>
      </c>
      <c r="J18" s="5" t="n">
        <v>28</v>
      </c>
      <c r="K18" s="5" t="n">
        <v>28</v>
      </c>
      <c r="L18" s="5" t="n">
        <v>28</v>
      </c>
    </row>
    <row r="19">
      <c r="A19" t="inlineStr">
        <is>
          <t>Cash tax</t>
        </is>
      </c>
      <c r="C19">
        <f>-MAX(0,C17)*C18/100</f>
        <v/>
      </c>
      <c r="D19">
        <f>-MAX(0,D17)*D18/100</f>
        <v/>
      </c>
      <c r="E19">
        <f>-MAX(0,E17)*E18/100</f>
        <v/>
      </c>
      <c r="F19">
        <f>-MAX(0,F17)*F18/100</f>
        <v/>
      </c>
      <c r="G19">
        <f>-MAX(0,G17)*G18/100</f>
        <v/>
      </c>
      <c r="H19">
        <f>-MAX(0,H17)*H18/100</f>
        <v/>
      </c>
      <c r="I19">
        <f>-MAX(0,I17)*I18/100</f>
        <v/>
      </c>
      <c r="J19">
        <f>-MAX(0,J17)*J18/100</f>
        <v/>
      </c>
      <c r="K19">
        <f>-MAX(0,K17)*K18/100</f>
        <v/>
      </c>
      <c r="L19">
        <f>-MAX(0,L17)*L18/100</f>
        <v/>
      </c>
    </row>
    <row r="20">
      <c r="A20" t="inlineStr">
        <is>
          <t>NOPAT</t>
        </is>
      </c>
      <c r="C20">
        <f>C17+C19</f>
        <v/>
      </c>
      <c r="D20">
        <f>D17+D19</f>
        <v/>
      </c>
      <c r="E20">
        <f>E17+E19</f>
        <v/>
      </c>
      <c r="F20">
        <f>F17+F19</f>
        <v/>
      </c>
      <c r="G20">
        <f>G17+G19</f>
        <v/>
      </c>
      <c r="H20">
        <f>H17+H19</f>
        <v/>
      </c>
      <c r="I20">
        <f>I17+I19</f>
        <v/>
      </c>
      <c r="J20">
        <f>J17+J19</f>
        <v/>
      </c>
      <c r="K20">
        <f>K17+K19</f>
        <v/>
      </c>
      <c r="L20">
        <f>L17+L19</f>
        <v/>
      </c>
    </row>
    <row r="21">
      <c r="A21" t="inlineStr">
        <is>
          <t>add back D&amp;A</t>
        </is>
      </c>
      <c r="C21">
        <f>-C16</f>
        <v/>
      </c>
      <c r="D21">
        <f>-D16</f>
        <v/>
      </c>
      <c r="E21">
        <f>-E16</f>
        <v/>
      </c>
      <c r="F21">
        <f>-F16</f>
        <v/>
      </c>
      <c r="G21">
        <f>-G16</f>
        <v/>
      </c>
      <c r="H21">
        <f>-H16</f>
        <v/>
      </c>
      <c r="I21">
        <f>-I16</f>
        <v/>
      </c>
      <c r="J21">
        <f>-J16</f>
        <v/>
      </c>
      <c r="K21">
        <f>-K16</f>
        <v/>
      </c>
      <c r="L21">
        <f>-L16</f>
        <v/>
      </c>
    </row>
    <row r="22">
      <c r="A22" t="inlineStr">
        <is>
          <t>less capex</t>
        </is>
      </c>
      <c r="C22" s="6">
        <f>-C6*Assumptions!$E$17/100</f>
        <v/>
      </c>
      <c r="D22" s="6">
        <f>-D6*Assumptions!$E$17/100</f>
        <v/>
      </c>
      <c r="E22" s="6">
        <f>-E6*Assumptions!$E$17/100</f>
        <v/>
      </c>
      <c r="F22" s="6">
        <f>-F6*Assumptions!$E$17/100</f>
        <v/>
      </c>
      <c r="G22" s="6">
        <f>-G6*Assumptions!$E$17/100</f>
        <v/>
      </c>
      <c r="H22" s="6">
        <f>-H6*Assumptions!$E$17/100</f>
        <v/>
      </c>
      <c r="I22" s="6">
        <f>-I6*Assumptions!$E$17/100</f>
        <v/>
      </c>
      <c r="J22" s="6">
        <f>-J6*Assumptions!$E$17/100</f>
        <v/>
      </c>
      <c r="K22" s="6">
        <f>-K6*Assumptions!$E$17/100</f>
        <v/>
      </c>
      <c r="L22" s="6">
        <f>-L6*Assumptions!$E$17/100</f>
        <v/>
      </c>
    </row>
    <row r="23">
      <c r="A23" t="inlineStr">
        <is>
          <t>add working capital</t>
        </is>
      </c>
      <c r="C23" s="6">
        <f>Assumptions!$E$18/100*(C6-B6)</f>
        <v/>
      </c>
      <c r="D23" s="6">
        <f>Assumptions!$E$18/100*(D6-C6)</f>
        <v/>
      </c>
      <c r="E23" s="6">
        <f>Assumptions!$E$18/100*(E6-D6)</f>
        <v/>
      </c>
      <c r="F23" s="6">
        <f>Assumptions!$E$18/100*(F6-E6)</f>
        <v/>
      </c>
      <c r="G23" s="6">
        <f>Assumptions!$E$18/100*(G6-F6)</f>
        <v/>
      </c>
      <c r="H23" s="6">
        <f>Assumptions!$E$18/100*(H6-G6)</f>
        <v/>
      </c>
      <c r="I23" s="6">
        <f>Assumptions!$E$18/100*(I6-H6)</f>
        <v/>
      </c>
      <c r="J23" s="6">
        <f>Assumptions!$E$18/100*(J6-I6)</f>
        <v/>
      </c>
      <c r="K23" s="6">
        <f>Assumptions!$E$18/100*(K6-J6)</f>
        <v/>
      </c>
      <c r="L23" s="6">
        <f>Assumptions!$E$18/100*(L6-K6)</f>
        <v/>
      </c>
    </row>
    <row r="24">
      <c r="A24" s="3" t="inlineStr">
        <is>
          <t>Unlevered owner FCF</t>
        </is>
      </c>
      <c r="B24" s="4" t="n">
        <v>0.55</v>
      </c>
      <c r="C24" s="3">
        <f>C20+C21+C22+C23</f>
        <v/>
      </c>
      <c r="D24" s="3">
        <f>D20+D21+D22+D23</f>
        <v/>
      </c>
      <c r="E24" s="3">
        <f>E20+E21+E22+E23</f>
        <v/>
      </c>
      <c r="F24" s="3">
        <f>F20+F21+F22+F23</f>
        <v/>
      </c>
      <c r="G24" s="3">
        <f>G20+G21+G22+G23</f>
        <v/>
      </c>
      <c r="H24" s="3">
        <f>H20+H21+H22+H23</f>
        <v/>
      </c>
      <c r="I24" s="3">
        <f>I20+I21+I22+I23</f>
        <v/>
      </c>
      <c r="J24" s="3">
        <f>J20+J21+J22+J23</f>
        <v/>
      </c>
      <c r="K24" s="3">
        <f>K20+K21+K22+K23</f>
        <v/>
      </c>
      <c r="L24" s="3">
        <f>L20+L21+L22+L23</f>
        <v/>
      </c>
      <c r="M24" t="inlineStr">
        <is>
          <t>B24 = FY2026E owner FCF (capex-elevated); not a driver</t>
        </is>
      </c>
    </row>
    <row r="25">
      <c r="A25" t="inlineStr">
        <is>
          <t>Discount factor</t>
        </is>
      </c>
      <c r="C25" s="6">
        <f>1/(1+Assumptions!$B$10/100)^C4</f>
        <v/>
      </c>
      <c r="D25" s="6">
        <f>1/(1+Assumptions!$B$10/100)^D4</f>
        <v/>
      </c>
      <c r="E25" s="6">
        <f>1/(1+Assumptions!$B$10/100)^E4</f>
        <v/>
      </c>
      <c r="F25" s="6">
        <f>1/(1+Assumptions!$B$10/100)^F4</f>
        <v/>
      </c>
      <c r="G25" s="6">
        <f>1/(1+Assumptions!$B$10/100)^G4</f>
        <v/>
      </c>
      <c r="H25" s="6">
        <f>1/(1+Assumptions!$B$10/100)^H4</f>
        <v/>
      </c>
      <c r="I25" s="6">
        <f>1/(1+Assumptions!$B$10/100)^I4</f>
        <v/>
      </c>
      <c r="J25" s="6">
        <f>1/(1+Assumptions!$B$10/100)^J4</f>
        <v/>
      </c>
      <c r="K25" s="6">
        <f>1/(1+Assumptions!$B$10/100)^K4</f>
        <v/>
      </c>
      <c r="L25" s="6">
        <f>1/(1+Assumptions!$B$10/100)^L4</f>
        <v/>
      </c>
    </row>
    <row r="26">
      <c r="A26" s="3" t="inlineStr">
        <is>
          <t>PV of FCF</t>
        </is>
      </c>
      <c r="C26">
        <f>C24*C25</f>
        <v/>
      </c>
      <c r="D26">
        <f>D24*D25</f>
        <v/>
      </c>
      <c r="E26">
        <f>E24*E25</f>
        <v/>
      </c>
      <c r="F26">
        <f>F24*F25</f>
        <v/>
      </c>
      <c r="G26">
        <f>G24*G25</f>
        <v/>
      </c>
      <c r="H26">
        <f>H24*H25</f>
        <v/>
      </c>
      <c r="I26">
        <f>I24*I25</f>
        <v/>
      </c>
      <c r="J26">
        <f>J24*J25</f>
        <v/>
      </c>
      <c r="K26">
        <f>K24*K25</f>
        <v/>
      </c>
      <c r="L26">
        <f>L24*L25</f>
        <v/>
      </c>
    </row>
    <row r="28">
      <c r="A28" t="inlineStr">
        <is>
          <t>Memo: FCF before lease &amp; SBC (company-style)</t>
        </is>
      </c>
      <c r="C28">
        <f>C24-C15-C12</f>
        <v/>
      </c>
      <c r="D28">
        <f>D24-D15-D12</f>
        <v/>
      </c>
      <c r="E28">
        <f>E24-E15-E12</f>
        <v/>
      </c>
      <c r="F28">
        <f>F24-F15-F12</f>
        <v/>
      </c>
      <c r="G28">
        <f>G24-G15-G12</f>
        <v/>
      </c>
      <c r="H28">
        <f>H24-H15-H12</f>
        <v/>
      </c>
      <c r="I28">
        <f>I24-I15-I12</f>
        <v/>
      </c>
      <c r="J28">
        <f>J24-J15-J12</f>
        <v/>
      </c>
      <c r="K28">
        <f>K24-K15-K12</f>
        <v/>
      </c>
      <c r="L28">
        <f>L24-L15-L12</f>
        <v/>
      </c>
    </row>
    <row r="29">
      <c r="A29" t="inlineStr">
        <is>
          <t>Memo: owner FCF margin %</t>
        </is>
      </c>
      <c r="C29">
        <f>C24/C6*100</f>
        <v/>
      </c>
      <c r="D29">
        <f>D24/D6*100</f>
        <v/>
      </c>
      <c r="E29">
        <f>E24/E6*100</f>
        <v/>
      </c>
      <c r="F29">
        <f>F24/F6*100</f>
        <v/>
      </c>
      <c r="G29">
        <f>G24/G6*100</f>
        <v/>
      </c>
      <c r="H29">
        <f>H24/H6*100</f>
        <v/>
      </c>
      <c r="I29">
        <f>I24/I6*100</f>
        <v/>
      </c>
      <c r="J29">
        <f>J24/J6*100</f>
        <v/>
      </c>
      <c r="K29">
        <f>K24/K6*100</f>
        <v/>
      </c>
      <c r="L29">
        <f>L24/L6*100</f>
        <v/>
      </c>
    </row>
    <row r="31">
      <c r="A31" t="inlineStr">
        <is>
          <t>Sum of PV of FCF</t>
        </is>
      </c>
      <c r="B31">
        <f>SUM(C26:L26)</f>
        <v/>
      </c>
    </row>
    <row r="32">
      <c r="A32" t="inlineStr">
        <is>
          <t>Terminal growth %</t>
        </is>
      </c>
      <c r="B32" s="6">
        <f>Assumptions!$E$13</f>
        <v/>
      </c>
    </row>
    <row r="33">
      <c r="A33" t="inlineStr">
        <is>
          <t>Terminal-year FCF x (1+g)</t>
        </is>
      </c>
      <c r="B33">
        <f>L24*(1+B32/100)</f>
        <v/>
      </c>
    </row>
    <row r="34">
      <c r="A34" t="inlineStr">
        <is>
          <t>Gordon terminal value</t>
        </is>
      </c>
      <c r="B34">
        <f>IF(Assumptions!$B$10&gt;B32,B33/((Assumptions!$B$10-B32)/100),L24*Assumptions!$B$8)</f>
        <v/>
      </c>
    </row>
    <row r="35">
      <c r="A35" t="inlineStr">
        <is>
          <t>Cap terminal value (cap x FCF10)</t>
        </is>
      </c>
      <c r="B35">
        <f>Assumptions!$B$8*L24</f>
        <v/>
      </c>
    </row>
    <row r="36">
      <c r="A36" t="inlineStr">
        <is>
          <t>Terminal value used = MAX(0,MIN(Gordon,cap))</t>
        </is>
      </c>
      <c r="B36">
        <f>MAX(0,MIN(B34,B35))</f>
        <v/>
      </c>
    </row>
    <row r="37">
      <c r="A37" t="inlineStr">
        <is>
          <t>Implied exit multiple (x FCF10)</t>
        </is>
      </c>
      <c r="B37">
        <f>IF(L24&gt;0,B36/L24,"n/a")</f>
        <v/>
      </c>
    </row>
    <row r="38">
      <c r="A38" t="inlineStr">
        <is>
          <t>PV of terminal value</t>
        </is>
      </c>
      <c r="B38">
        <f>B36*L25</f>
        <v/>
      </c>
    </row>
    <row r="39">
      <c r="A39" t="inlineStr">
        <is>
          <t>Enterprise value</t>
        </is>
      </c>
      <c r="B39">
        <f>B31+B38</f>
        <v/>
      </c>
    </row>
    <row r="40">
      <c r="A40" t="inlineStr">
        <is>
          <t>less net debt (ex-lease)</t>
        </is>
      </c>
      <c r="B40" s="6">
        <f>-Assumptions!$B$7</f>
        <v/>
      </c>
    </row>
    <row r="41">
      <c r="A41" t="inlineStr">
        <is>
          <t>Equity value</t>
        </is>
      </c>
      <c r="B41">
        <f>B39+B40</f>
        <v/>
      </c>
    </row>
    <row r="42">
      <c r="A42" t="inlineStr">
        <is>
          <t>Diluted shares (m)</t>
        </is>
      </c>
      <c r="B42" s="6">
        <f>Assumptions!$B$4</f>
        <v/>
      </c>
    </row>
    <row r="43">
      <c r="A43" s="3" t="inlineStr">
        <is>
          <t>VALUE PER SHARE (NZ$)</t>
        </is>
      </c>
      <c r="B43" s="7">
        <f>B41/B42</f>
        <v/>
      </c>
    </row>
    <row r="44">
      <c r="A44" t="inlineStr">
        <is>
          <t>Upside vs price %</t>
        </is>
      </c>
      <c r="B44">
        <f>(B43/Assumptions!$B$3-1)*100</f>
        <v/>
      </c>
    </row>
    <row r="46">
      <c r="A46" t="inlineStr">
        <is>
          <t>Street memo: PV of explicit-period SBC</t>
        </is>
      </c>
      <c r="B46">
        <f>SUMPRODUCT(-C12:L12/(1+Assumptions!$B$10/100)^C4:L4)</f>
        <v/>
      </c>
    </row>
    <row r="47">
      <c r="A47" t="inlineStr">
        <is>
          <t>Street memo: PV of terminal SBC</t>
        </is>
      </c>
      <c r="B47">
        <f>IF(Assumptions!$B$10&gt;B32,-L12*(1+B32/100)/((Assumptions!$B$10-B32)/100)*L25,0)</f>
        <v/>
      </c>
    </row>
    <row r="48">
      <c r="A48" t="inlineStr">
        <is>
          <t>Street value per share (NZ$)</t>
        </is>
      </c>
      <c r="B48">
        <f>(B41+B46+B47)/B42</f>
        <v/>
      </c>
    </row>
    <row r="50">
      <c r="A50" s="3" t="inlineStr">
        <is>
          <t>Entry price at hurdle (TV rebuilt at hurdle, NZ$)</t>
        </is>
      </c>
      <c r="B50">
        <f>(SUMPRODUCT(C24:L24/(1+Assumptions!$B$9)^C4:L4)+MAX(0,MIN(L24*(1+B32/100)/(Assumptions!$B$9-B32/100),Assumptions!$B$8*L24))/(1+Assumptions!$B$9)^10-Assumptions!$B$7)/Assumptions!$B$4</f>
        <v/>
      </c>
    </row>
    <row r="51">
      <c r="A51" t="inlineStr">
        <is>
          <t>Terminal % of EV</t>
        </is>
      </c>
      <c r="B51">
        <f>IF(B39&gt;0,B38/B39*100,"n/a")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Reported FCF reconciled to owner FCF (NZ$m) -- treatment B</t>
        </is>
      </c>
    </row>
    <row r="2">
      <c r="B2" s="3" t="inlineStr">
        <is>
          <t>FY2021</t>
        </is>
      </c>
      <c r="C2" s="3" t="inlineStr">
        <is>
          <t>FY2022</t>
        </is>
      </c>
      <c r="D2" s="3" t="inlineStr">
        <is>
          <t>FY2023</t>
        </is>
      </c>
      <c r="E2" s="3" t="inlineStr">
        <is>
          <t>FY2024</t>
        </is>
      </c>
      <c r="F2" s="3" t="inlineStr">
        <is>
          <t>FY2025</t>
        </is>
      </c>
      <c r="G2" s="3" t="inlineStr">
        <is>
          <t>FY2026E</t>
        </is>
      </c>
    </row>
    <row r="3">
      <c r="A3" t="inlineStr">
        <is>
          <t>Operating cash flow (pre-interest)</t>
        </is>
      </c>
      <c r="B3" s="4" t="n">
        <v>0.401</v>
      </c>
      <c r="C3" s="4" t="n">
        <v>2.952</v>
      </c>
      <c r="D3" s="4" t="n">
        <v>6.067</v>
      </c>
      <c r="E3" s="4" t="n">
        <v>6.4</v>
      </c>
      <c r="F3" s="4" t="n">
        <v>7.097</v>
      </c>
      <c r="G3" s="4" t="n">
        <v>6.9</v>
      </c>
    </row>
    <row r="4">
      <c r="A4" t="inlineStr">
        <is>
          <t>less PPE capex</t>
        </is>
      </c>
      <c r="B4" s="4" t="n">
        <v>0.924</v>
      </c>
      <c r="C4" s="4" t="n">
        <v>1.798</v>
      </c>
      <c r="D4" s="4" t="n">
        <v>4.271</v>
      </c>
      <c r="E4" s="4" t="n">
        <v>0.311</v>
      </c>
      <c r="F4" s="4" t="n">
        <v>1.116</v>
      </c>
      <c r="G4" s="4" t="n">
        <v>2.4</v>
      </c>
    </row>
    <row r="5">
      <c r="A5" t="inlineStr">
        <is>
          <t>less venue development costs</t>
        </is>
      </c>
      <c r="B5" s="4" t="n">
        <v>0.364</v>
      </c>
      <c r="C5" s="4" t="n">
        <v>0.137</v>
      </c>
      <c r="D5" s="4" t="n">
        <v>0.569</v>
      </c>
      <c r="E5" s="4" t="n">
        <v>0.164</v>
      </c>
      <c r="F5" s="4" t="n">
        <v>0.189</v>
      </c>
      <c r="G5" s="4" t="n">
        <v>0</v>
      </c>
    </row>
    <row r="6">
      <c r="A6" t="inlineStr">
        <is>
          <t>less lease principal (financing)</t>
        </is>
      </c>
      <c r="B6" s="4" t="n">
        <v>1.253</v>
      </c>
      <c r="C6" s="4" t="n">
        <v>2.738</v>
      </c>
      <c r="D6" s="4" t="n">
        <v>2.45</v>
      </c>
      <c r="E6" s="4" t="n">
        <v>2.918</v>
      </c>
      <c r="F6" s="4" t="n">
        <v>3.053</v>
      </c>
      <c r="G6" s="4" t="n">
        <v>3.2</v>
      </c>
    </row>
    <row r="7">
      <c r="A7" t="inlineStr">
        <is>
          <t>less lease interest (financing)</t>
        </is>
      </c>
      <c r="B7" s="4" t="n">
        <v>0.394</v>
      </c>
      <c r="C7" s="4" t="n">
        <v>0.769</v>
      </c>
      <c r="D7" s="4" t="n">
        <v>0.744</v>
      </c>
      <c r="E7" s="4" t="n">
        <v>0.8149999999999999</v>
      </c>
      <c r="F7" s="4" t="n">
        <v>0.722</v>
      </c>
      <c r="G7" s="4" t="n">
        <v>0.75</v>
      </c>
    </row>
    <row r="8">
      <c r="A8" t="inlineStr">
        <is>
          <t>less SBC incl. equity-award taxes</t>
        </is>
      </c>
      <c r="B8" s="4" t="n">
        <v>0.091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</row>
    <row r="9">
      <c r="A9" t="inlineStr">
        <is>
          <t>less interest income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</row>
    <row r="10">
      <c r="A10" t="inlineStr">
        <is>
          <t>Revenue</t>
        </is>
      </c>
      <c r="B10" s="4" t="n">
        <v>16.134</v>
      </c>
      <c r="C10" s="4" t="n">
        <v>30.581</v>
      </c>
      <c r="D10" s="4" t="n">
        <v>52.378</v>
      </c>
      <c r="E10" s="4" t="n">
        <v>61.858</v>
      </c>
      <c r="F10" s="4" t="n">
        <v>56.643</v>
      </c>
      <c r="G10" s="4" t="n">
        <v>55.2</v>
      </c>
    </row>
    <row r="11">
      <c r="A11" t="inlineStr">
        <is>
          <t>Operating earnings (EBITDA)</t>
        </is>
      </c>
      <c r="B11" s="4" t="n">
        <v>1.839</v>
      </c>
      <c r="C11" s="4" t="n">
        <v>2.995</v>
      </c>
      <c r="D11" s="4" t="n">
        <v>5.22</v>
      </c>
      <c r="E11" s="4" t="n">
        <v>8.773</v>
      </c>
      <c r="F11" s="4" t="n">
        <v>7.267</v>
      </c>
      <c r="G11" s="4" t="n">
        <v>8</v>
      </c>
    </row>
    <row r="12">
      <c r="A12" t="inlineStr">
        <is>
          <t>Restructuring costs (P&amp;L)</t>
        </is>
      </c>
      <c r="B12" s="4" t="n">
        <v>0.921</v>
      </c>
      <c r="C12" s="4" t="n">
        <v>1.2</v>
      </c>
      <c r="D12" s="4" t="n">
        <v>1.395</v>
      </c>
      <c r="E12" s="4" t="n">
        <v>0.87</v>
      </c>
      <c r="F12" s="4" t="n">
        <v>2.514</v>
      </c>
    </row>
    <row r="13">
      <c r="A13" t="inlineStr">
        <is>
          <t>Cash taxes paid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</row>
    <row r="15">
      <c r="A15" t="inlineStr">
        <is>
          <t>Reported FCF (OCF - PPE capex)</t>
        </is>
      </c>
      <c r="B15">
        <f>B3-B4</f>
        <v/>
      </c>
      <c r="C15">
        <f>C3-C4</f>
        <v/>
      </c>
      <c r="D15">
        <f>D3-D4</f>
        <v/>
      </c>
      <c r="E15">
        <f>E3-E4</f>
        <v/>
      </c>
      <c r="F15">
        <f>F3-F4</f>
        <v/>
      </c>
      <c r="G15">
        <f>G3-G4</f>
        <v/>
      </c>
    </row>
    <row r="16">
      <c r="A16" s="3" t="inlineStr">
        <is>
          <t>OWNER FCF</t>
        </is>
      </c>
      <c r="B16">
        <f>B15-B5-B6-B7-B8-B9</f>
        <v/>
      </c>
      <c r="C16">
        <f>C15-C5-C6-C7-C8-C9</f>
        <v/>
      </c>
      <c r="D16">
        <f>D15-D5-D6-D7-D8-D9</f>
        <v/>
      </c>
      <c r="E16">
        <f>E15-E5-E6-E7-E8-E9</f>
        <v/>
      </c>
      <c r="F16">
        <f>F15-F5-F6-F7-F8-F9</f>
        <v/>
      </c>
      <c r="G16">
        <f>G15-G5-G6-G7-G8-G9</f>
        <v/>
      </c>
    </row>
    <row r="17">
      <c r="A17" t="inlineStr">
        <is>
          <t>Reported FCF margin %</t>
        </is>
      </c>
      <c r="B17">
        <f>B15/B10*100</f>
        <v/>
      </c>
      <c r="C17">
        <f>C15/C10*100</f>
        <v/>
      </c>
      <c r="D17">
        <f>D15/D10*100</f>
        <v/>
      </c>
      <c r="E17">
        <f>E15/E10*100</f>
        <v/>
      </c>
      <c r="F17">
        <f>F15/F10*100</f>
        <v/>
      </c>
      <c r="G17">
        <f>G15/G10*100</f>
        <v/>
      </c>
    </row>
    <row r="18">
      <c r="A18" t="inlineStr">
        <is>
          <t>Owner FCF margin %</t>
        </is>
      </c>
      <c r="B18">
        <f>B16/B10*100</f>
        <v/>
      </c>
      <c r="C18">
        <f>C16/C10*100</f>
        <v/>
      </c>
      <c r="D18">
        <f>D16/D10*100</f>
        <v/>
      </c>
      <c r="E18">
        <f>E16/E10*100</f>
        <v/>
      </c>
      <c r="F18">
        <f>F16/F10*100</f>
        <v/>
      </c>
      <c r="G18">
        <f>G16/G10*100</f>
        <v/>
      </c>
    </row>
    <row r="19">
      <c r="A19" t="inlineStr">
        <is>
          <t>Memo: OCF / operating earnings conversion %</t>
        </is>
      </c>
      <c r="B19">
        <f>B3/B11*100</f>
        <v/>
      </c>
      <c r="C19">
        <f>C3/C11*100</f>
        <v/>
      </c>
      <c r="D19">
        <f>D3/D11*100</f>
        <v/>
      </c>
      <c r="E19">
        <f>E3/E11*100</f>
        <v/>
      </c>
      <c r="F19">
        <f>F3/F11*100</f>
        <v/>
      </c>
      <c r="G19">
        <f>G3/G11*100</f>
        <v/>
      </c>
    </row>
    <row r="20">
      <c r="A20" t="inlineStr">
        <is>
          <t>Memo: lease cash as % of revenue</t>
        </is>
      </c>
      <c r="B20">
        <f>(B5+B6+B7)/B10*100</f>
        <v/>
      </c>
      <c r="C20">
        <f>(C5+C6+C7)/C10*100</f>
        <v/>
      </c>
      <c r="D20">
        <f>(D5+D6+D7)/D10*100</f>
        <v/>
      </c>
      <c r="E20">
        <f>(E5+E6+E7)/E10*100</f>
        <v/>
      </c>
      <c r="F20">
        <f>(F5+F6+F7)/F10*100</f>
        <v/>
      </c>
      <c r="G20">
        <f>(G5+G6+G7)/G10*100</f>
        <v/>
      </c>
    </row>
    <row r="22">
      <c r="A22" t="inlineStr">
        <is>
          <t>Memo: cash tax rate has been 0% every year (tax losses ~NZ$26.7m at 31-Mar-2025) -- abnormal, ramped to 28% in the model. FY2026E capex is an estimate (two Britomart fit-outs).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Valuation summary (NZ$ per share)</t>
        </is>
      </c>
    </row>
    <row r="2">
      <c r="A2" s="3" t="inlineStr">
        <is>
          <t>Scenario</t>
        </is>
      </c>
      <c r="B2" s="3" t="inlineStr">
        <is>
          <t>Value per share</t>
        </is>
      </c>
      <c r="C2" s="3" t="inlineStr">
        <is>
          <t>Upside vs price %</t>
        </is>
      </c>
      <c r="D2" s="3" t="inlineStr">
        <is>
          <t>Probability</t>
        </is>
      </c>
      <c r="E2" s="3" t="inlineStr">
        <is>
          <t>Street value per share</t>
        </is>
      </c>
      <c r="F2" s="3" t="inlineStr">
        <is>
          <t>Entry price @15% hurdle</t>
        </is>
      </c>
    </row>
    <row r="3">
      <c r="A3" t="inlineStr">
        <is>
          <t>Bear</t>
        </is>
      </c>
      <c r="B3" s="6">
        <f>DCF_Bear!$B$43</f>
        <v/>
      </c>
      <c r="C3">
        <f>(B3/Assumptions!$B$3-1)*100</f>
        <v/>
      </c>
      <c r="D3" s="6">
        <f>Assumptions!$C$14</f>
        <v/>
      </c>
      <c r="E3" s="6">
        <f>DCF_Bear!$B$48</f>
        <v/>
      </c>
      <c r="F3" s="6">
        <f>DCF_Bear!$B$50</f>
        <v/>
      </c>
    </row>
    <row r="4">
      <c r="A4" t="inlineStr">
        <is>
          <t>Base</t>
        </is>
      </c>
      <c r="B4" s="6">
        <f>DCF_Base!$B$43</f>
        <v/>
      </c>
      <c r="C4">
        <f>(B4/Assumptions!$B$3-1)*100</f>
        <v/>
      </c>
      <c r="D4" s="6">
        <f>Assumptions!$D$14</f>
        <v/>
      </c>
      <c r="E4" s="6">
        <f>DCF_Base!$B$48</f>
        <v/>
      </c>
      <c r="F4" s="6">
        <f>DCF_Base!$B$50</f>
        <v/>
      </c>
    </row>
    <row r="5">
      <c r="A5" t="inlineStr">
        <is>
          <t>Bull</t>
        </is>
      </c>
      <c r="B5" s="6">
        <f>DCF_Bull!$B$43</f>
        <v/>
      </c>
      <c r="C5">
        <f>(B5/Assumptions!$B$3-1)*100</f>
        <v/>
      </c>
      <c r="D5" s="6">
        <f>Assumptions!$E$14</f>
        <v/>
      </c>
      <c r="E5" s="6">
        <f>DCF_Bull!$B$48</f>
        <v/>
      </c>
      <c r="F5" s="6">
        <f>DCF_Bull!$B$50</f>
        <v/>
      </c>
    </row>
    <row r="7">
      <c r="A7" s="3" t="inlineStr">
        <is>
          <t>Probability-weighted value per share</t>
        </is>
      </c>
      <c r="B7" s="7">
        <f>SUMPRODUCT(B3:B5,D3:D5)</f>
        <v/>
      </c>
    </row>
    <row r="8">
      <c r="A8" t="inlineStr">
        <is>
          <t>Margin of safety vs price (1 - price/weighted)</t>
        </is>
      </c>
      <c r="B8">
        <f>1-Assumptions!$B$3/B7</f>
        <v/>
      </c>
    </row>
    <row r="9">
      <c r="A9" t="inlineStr">
        <is>
          <t>Street weighted value per share</t>
        </is>
      </c>
      <c r="B9">
        <f>SUMPRODUCT(E3:E5,D3:D5)</f>
        <v/>
      </c>
    </row>
    <row r="10">
      <c r="A10" t="inlineStr">
        <is>
          <t>Band position (house..street)</t>
        </is>
      </c>
      <c r="B10">
        <f>IF(ABS(B9-B7)&lt;0.000001,"n/a (SBC-zero: house = street)",(Assumptions!$B$3-B7)/(B9-B7))</f>
        <v/>
      </c>
    </row>
    <row r="11">
      <c r="A11" s="3" t="inlineStr">
        <is>
          <t>Probability-weighted entry price @15% hurdle</t>
        </is>
      </c>
      <c r="B11">
        <f>SUMPRODUCT(F3:F5,D3:D5)</f>
        <v/>
      </c>
    </row>
    <row r="12">
      <c r="A12" t="inlineStr">
        <is>
          <t>Memo: weighted value with bear floored at zero (limited liability)</t>
        </is>
      </c>
      <c r="B12">
        <f>SUMPRODUCT(D3:D5,IF(B3:B5&gt;0,B3:B5,0))</f>
        <v/>
      </c>
    </row>
    <row r="13">
      <c r="A13" t="inlineStr">
        <is>
          <t>Note: WACC 16.5% exceeds the 15% hurdle, so entry prices sit ABOVE intrinsic values; the buy-below price at the house rate is B7.</t>
        </is>
      </c>
    </row>
    <row r="15">
      <c r="A15" s="3" t="inlineStr">
        <is>
          <t>Required-return table (base case; TV rebuilt at each rate)</t>
        </is>
      </c>
    </row>
    <row r="16">
      <c r="A16" s="3" t="inlineStr">
        <is>
          <t>Required return %</t>
        </is>
      </c>
      <c r="B16" s="4" t="n">
        <v>9</v>
      </c>
      <c r="C16" s="4" t="n">
        <v>10</v>
      </c>
      <c r="D16" s="4" t="n">
        <v>11</v>
      </c>
      <c r="E16" s="4" t="n">
        <v>12</v>
      </c>
      <c r="F16" s="4" t="n">
        <v>15</v>
      </c>
      <c r="G16" s="4" t="n">
        <v>16.5</v>
      </c>
    </row>
    <row r="17">
      <c r="A17" s="3" t="inlineStr">
        <is>
          <t>Value per share</t>
        </is>
      </c>
      <c r="B17">
        <f>IF(B16&gt;DCF_Base!$B$32,(SUMPRODUCT(DCF_Base!$C$24:$L$24/(1+B16/100)^DCF_Base!$C$4:$L$4)+MAX(0,MIN(DCF_Base!$L$24*(1+DCF_Base!$B$32/100)/((B16-DCF_Base!$B$32)/100),Assumptions!$B$8*DCF_Base!$L$24))/(1+B16/100)^10-Assumptions!$B$7)/Assumptions!$B$4,"n/a")</f>
        <v/>
      </c>
      <c r="C17">
        <f>IF(C16&gt;DCF_Base!$B$32,(SUMPRODUCT(DCF_Base!$C$24:$L$24/(1+C16/100)^DCF_Base!$C$4:$L$4)+MAX(0,MIN(DCF_Base!$L$24*(1+DCF_Base!$B$32/100)/((C16-DCF_Base!$B$32)/100),Assumptions!$B$8*DCF_Base!$L$24))/(1+C16/100)^10-Assumptions!$B$7)/Assumptions!$B$4,"n/a")</f>
        <v/>
      </c>
      <c r="D17">
        <f>IF(D16&gt;DCF_Base!$B$32,(SUMPRODUCT(DCF_Base!$C$24:$L$24/(1+D16/100)^DCF_Base!$C$4:$L$4)+MAX(0,MIN(DCF_Base!$L$24*(1+DCF_Base!$B$32/100)/((D16-DCF_Base!$B$32)/100),Assumptions!$B$8*DCF_Base!$L$24))/(1+D16/100)^10-Assumptions!$B$7)/Assumptions!$B$4,"n/a")</f>
        <v/>
      </c>
      <c r="E17">
        <f>IF(E16&gt;DCF_Base!$B$32,(SUMPRODUCT(DCF_Base!$C$24:$L$24/(1+E16/100)^DCF_Base!$C$4:$L$4)+MAX(0,MIN(DCF_Base!$L$24*(1+DCF_Base!$B$32/100)/((E16-DCF_Base!$B$32)/100),Assumptions!$B$8*DCF_Base!$L$24))/(1+E16/100)^10-Assumptions!$B$7)/Assumptions!$B$4,"n/a")</f>
        <v/>
      </c>
      <c r="F17">
        <f>IF(F16&gt;DCF_Base!$B$32,(SUMPRODUCT(DCF_Base!$C$24:$L$24/(1+F16/100)^DCF_Base!$C$4:$L$4)+MAX(0,MIN(DCF_Base!$L$24*(1+DCF_Base!$B$32/100)/((F16-DCF_Base!$B$32)/100),Assumptions!$B$8*DCF_Base!$L$24))/(1+F16/100)^10-Assumptions!$B$7)/Assumptions!$B$4,"n/a")</f>
        <v/>
      </c>
      <c r="G17">
        <f>IF(G16&gt;DCF_Base!$B$32,(SUMPRODUCT(DCF_Base!$C$24:$L$24/(1+G16/100)^DCF_Base!$C$4:$L$4)+MAX(0,MIN(DCF_Base!$L$24*(1+DCF_Base!$B$32/100)/((G16-DCF_Base!$B$32)/100),Assumptions!$B$8*DCF_Base!$L$24))/(1+G16/100)^10-Assumptions!$B$7)/Assumptions!$B$4,"n/a")</f>
        <v/>
      </c>
    </row>
    <row r="18">
      <c r="A18" t="inlineStr">
        <is>
          <t>Check: 15% column = DCF_Base!B50; 16.5% column = DCF_Base!B43</t>
        </is>
      </c>
    </row>
    <row r="20">
      <c r="A20" s="3" t="inlineStr">
        <is>
          <t>Sensitivity: base-case value per share, WACC (rows) x terminal growth (columns)</t>
        </is>
      </c>
    </row>
    <row r="21">
      <c r="B21" s="4" t="n">
        <v>1.25</v>
      </c>
      <c r="C21" s="4" t="n">
        <v>1.75</v>
      </c>
      <c r="D21" s="4" t="n">
        <v>2.25</v>
      </c>
      <c r="E21" s="4" t="n">
        <v>2.75</v>
      </c>
      <c r="F21" s="4" t="n">
        <v>3.25</v>
      </c>
    </row>
    <row r="22">
      <c r="A22" s="4" t="n">
        <v>14.5</v>
      </c>
      <c r="B22">
        <f>IF($A22&gt;B$21,(SUMPRODUCT(DCF_Base!$C$24:$L$24/(1+$A22/100)^DCF_Base!$C$4:$L$4)+MAX(0,MIN(DCF_Base!$L$24*(1+B$21/100)/(($A22-B$21)/100),Assumptions!$B$8*DCF_Base!$L$24))/(1+$A22/100)^10-Assumptions!$B$7)/Assumptions!$B$4,"n/a")</f>
        <v/>
      </c>
      <c r="C22">
        <f>IF($A22&gt;C$21,(SUMPRODUCT(DCF_Base!$C$24:$L$24/(1+$A22/100)^DCF_Base!$C$4:$L$4)+MAX(0,MIN(DCF_Base!$L$24*(1+C$21/100)/(($A22-C$21)/100),Assumptions!$B$8*DCF_Base!$L$24))/(1+$A22/100)^10-Assumptions!$B$7)/Assumptions!$B$4,"n/a")</f>
        <v/>
      </c>
      <c r="D22">
        <f>IF($A22&gt;D$21,(SUMPRODUCT(DCF_Base!$C$24:$L$24/(1+$A22/100)^DCF_Base!$C$4:$L$4)+MAX(0,MIN(DCF_Base!$L$24*(1+D$21/100)/(($A22-D$21)/100),Assumptions!$B$8*DCF_Base!$L$24))/(1+$A22/100)^10-Assumptions!$B$7)/Assumptions!$B$4,"n/a")</f>
        <v/>
      </c>
      <c r="E22">
        <f>IF($A22&gt;E$21,(SUMPRODUCT(DCF_Base!$C$24:$L$24/(1+$A22/100)^DCF_Base!$C$4:$L$4)+MAX(0,MIN(DCF_Base!$L$24*(1+E$21/100)/(($A22-E$21)/100),Assumptions!$B$8*DCF_Base!$L$24))/(1+$A22/100)^10-Assumptions!$B$7)/Assumptions!$B$4,"n/a")</f>
        <v/>
      </c>
      <c r="F22">
        <f>IF($A22&gt;F$21,(SUMPRODUCT(DCF_Base!$C$24:$L$24/(1+$A22/100)^DCF_Base!$C$4:$L$4)+MAX(0,MIN(DCF_Base!$L$24*(1+F$21/100)/(($A22-F$21)/100),Assumptions!$B$8*DCF_Base!$L$24))/(1+$A22/100)^10-Assumptions!$B$7)/Assumptions!$B$4,"n/a")</f>
        <v/>
      </c>
    </row>
    <row r="23">
      <c r="A23" s="4" t="n">
        <v>15.5</v>
      </c>
      <c r="B23">
        <f>IF($A23&gt;B$21,(SUMPRODUCT(DCF_Base!$C$24:$L$24/(1+$A23/100)^DCF_Base!$C$4:$L$4)+MAX(0,MIN(DCF_Base!$L$24*(1+B$21/100)/(($A23-B$21)/100),Assumptions!$B$8*DCF_Base!$L$24))/(1+$A23/100)^10-Assumptions!$B$7)/Assumptions!$B$4,"n/a")</f>
        <v/>
      </c>
      <c r="C23">
        <f>IF($A23&gt;C$21,(SUMPRODUCT(DCF_Base!$C$24:$L$24/(1+$A23/100)^DCF_Base!$C$4:$L$4)+MAX(0,MIN(DCF_Base!$L$24*(1+C$21/100)/(($A23-C$21)/100),Assumptions!$B$8*DCF_Base!$L$24))/(1+$A23/100)^10-Assumptions!$B$7)/Assumptions!$B$4,"n/a")</f>
        <v/>
      </c>
      <c r="D23">
        <f>IF($A23&gt;D$21,(SUMPRODUCT(DCF_Base!$C$24:$L$24/(1+$A23/100)^DCF_Base!$C$4:$L$4)+MAX(0,MIN(DCF_Base!$L$24*(1+D$21/100)/(($A23-D$21)/100),Assumptions!$B$8*DCF_Base!$L$24))/(1+$A23/100)^10-Assumptions!$B$7)/Assumptions!$B$4,"n/a")</f>
        <v/>
      </c>
      <c r="E23">
        <f>IF($A23&gt;E$21,(SUMPRODUCT(DCF_Base!$C$24:$L$24/(1+$A23/100)^DCF_Base!$C$4:$L$4)+MAX(0,MIN(DCF_Base!$L$24*(1+E$21/100)/(($A23-E$21)/100),Assumptions!$B$8*DCF_Base!$L$24))/(1+$A23/100)^10-Assumptions!$B$7)/Assumptions!$B$4,"n/a")</f>
        <v/>
      </c>
      <c r="F23">
        <f>IF($A23&gt;F$21,(SUMPRODUCT(DCF_Base!$C$24:$L$24/(1+$A23/100)^DCF_Base!$C$4:$L$4)+MAX(0,MIN(DCF_Base!$L$24*(1+F$21/100)/(($A23-F$21)/100),Assumptions!$B$8*DCF_Base!$L$24))/(1+$A23/100)^10-Assumptions!$B$7)/Assumptions!$B$4,"n/a")</f>
        <v/>
      </c>
    </row>
    <row r="24">
      <c r="A24" s="4" t="n">
        <v>16.5</v>
      </c>
      <c r="B24">
        <f>IF($A24&gt;B$21,(SUMPRODUCT(DCF_Base!$C$24:$L$24/(1+$A24/100)^DCF_Base!$C$4:$L$4)+MAX(0,MIN(DCF_Base!$L$24*(1+B$21/100)/(($A24-B$21)/100),Assumptions!$B$8*DCF_Base!$L$24))/(1+$A24/100)^10-Assumptions!$B$7)/Assumptions!$B$4,"n/a")</f>
        <v/>
      </c>
      <c r="C24">
        <f>IF($A24&gt;C$21,(SUMPRODUCT(DCF_Base!$C$24:$L$24/(1+$A24/100)^DCF_Base!$C$4:$L$4)+MAX(0,MIN(DCF_Base!$L$24*(1+C$21/100)/(($A24-C$21)/100),Assumptions!$B$8*DCF_Base!$L$24))/(1+$A24/100)^10-Assumptions!$B$7)/Assumptions!$B$4,"n/a")</f>
        <v/>
      </c>
      <c r="D24" s="7">
        <f>IF($A24&gt;D$21,(SUMPRODUCT(DCF_Base!$C$24:$L$24/(1+$A24/100)^DCF_Base!$C$4:$L$4)+MAX(0,MIN(DCF_Base!$L$24*(1+D$21/100)/(($A24-D$21)/100),Assumptions!$B$8*DCF_Base!$L$24))/(1+$A24/100)^10-Assumptions!$B$7)/Assumptions!$B$4,"n/a")</f>
        <v/>
      </c>
      <c r="E24">
        <f>IF($A24&gt;E$21,(SUMPRODUCT(DCF_Base!$C$24:$L$24/(1+$A24/100)^DCF_Base!$C$4:$L$4)+MAX(0,MIN(DCF_Base!$L$24*(1+E$21/100)/(($A24-E$21)/100),Assumptions!$B$8*DCF_Base!$L$24))/(1+$A24/100)^10-Assumptions!$B$7)/Assumptions!$B$4,"n/a")</f>
        <v/>
      </c>
      <c r="F24">
        <f>IF($A24&gt;F$21,(SUMPRODUCT(DCF_Base!$C$24:$L$24/(1+$A24/100)^DCF_Base!$C$4:$L$4)+MAX(0,MIN(DCF_Base!$L$24*(1+F$21/100)/(($A24-F$21)/100),Assumptions!$B$8*DCF_Base!$L$24))/(1+$A24/100)^10-Assumptions!$B$7)/Assumptions!$B$4,"n/a")</f>
        <v/>
      </c>
    </row>
    <row r="25">
      <c r="A25" s="4" t="n">
        <v>17.5</v>
      </c>
      <c r="B25">
        <f>IF($A25&gt;B$21,(SUMPRODUCT(DCF_Base!$C$24:$L$24/(1+$A25/100)^DCF_Base!$C$4:$L$4)+MAX(0,MIN(DCF_Base!$L$24*(1+B$21/100)/(($A25-B$21)/100),Assumptions!$B$8*DCF_Base!$L$24))/(1+$A25/100)^10-Assumptions!$B$7)/Assumptions!$B$4,"n/a")</f>
        <v/>
      </c>
      <c r="C25">
        <f>IF($A25&gt;C$21,(SUMPRODUCT(DCF_Base!$C$24:$L$24/(1+$A25/100)^DCF_Base!$C$4:$L$4)+MAX(0,MIN(DCF_Base!$L$24*(1+C$21/100)/(($A25-C$21)/100),Assumptions!$B$8*DCF_Base!$L$24))/(1+$A25/100)^10-Assumptions!$B$7)/Assumptions!$B$4,"n/a")</f>
        <v/>
      </c>
      <c r="D25">
        <f>IF($A25&gt;D$21,(SUMPRODUCT(DCF_Base!$C$24:$L$24/(1+$A25/100)^DCF_Base!$C$4:$L$4)+MAX(0,MIN(DCF_Base!$L$24*(1+D$21/100)/(($A25-D$21)/100),Assumptions!$B$8*DCF_Base!$L$24))/(1+$A25/100)^10-Assumptions!$B$7)/Assumptions!$B$4,"n/a")</f>
        <v/>
      </c>
      <c r="E25">
        <f>IF($A25&gt;E$21,(SUMPRODUCT(DCF_Base!$C$24:$L$24/(1+$A25/100)^DCF_Base!$C$4:$L$4)+MAX(0,MIN(DCF_Base!$L$24*(1+E$21/100)/(($A25-E$21)/100),Assumptions!$B$8*DCF_Base!$L$24))/(1+$A25/100)^10-Assumptions!$B$7)/Assumptions!$B$4,"n/a")</f>
        <v/>
      </c>
      <c r="F25">
        <f>IF($A25&gt;F$21,(SUMPRODUCT(DCF_Base!$C$24:$L$24/(1+$A25/100)^DCF_Base!$C$4:$L$4)+MAX(0,MIN(DCF_Base!$L$24*(1+F$21/100)/(($A25-F$21)/100),Assumptions!$B$8*DCF_Base!$L$24))/(1+$A25/100)^10-Assumptions!$B$7)/Assumptions!$B$4,"n/a")</f>
        <v/>
      </c>
    </row>
    <row r="26">
      <c r="A26" s="4" t="n">
        <v>18.5</v>
      </c>
      <c r="B26">
        <f>IF($A26&gt;B$21,(SUMPRODUCT(DCF_Base!$C$24:$L$24/(1+$A26/100)^DCF_Base!$C$4:$L$4)+MAX(0,MIN(DCF_Base!$L$24*(1+B$21/100)/(($A26-B$21)/100),Assumptions!$B$8*DCF_Base!$L$24))/(1+$A26/100)^10-Assumptions!$B$7)/Assumptions!$B$4,"n/a")</f>
        <v/>
      </c>
      <c r="C26">
        <f>IF($A26&gt;C$21,(SUMPRODUCT(DCF_Base!$C$24:$L$24/(1+$A26/100)^DCF_Base!$C$4:$L$4)+MAX(0,MIN(DCF_Base!$L$24*(1+C$21/100)/(($A26-C$21)/100),Assumptions!$B$8*DCF_Base!$L$24))/(1+$A26/100)^10-Assumptions!$B$7)/Assumptions!$B$4,"n/a")</f>
        <v/>
      </c>
      <c r="D26">
        <f>IF($A26&gt;D$21,(SUMPRODUCT(DCF_Base!$C$24:$L$24/(1+$A26/100)^DCF_Base!$C$4:$L$4)+MAX(0,MIN(DCF_Base!$L$24*(1+D$21/100)/(($A26-D$21)/100),Assumptions!$B$8*DCF_Base!$L$24))/(1+$A26/100)^10-Assumptions!$B$7)/Assumptions!$B$4,"n/a")</f>
        <v/>
      </c>
      <c r="E26">
        <f>IF($A26&gt;E$21,(SUMPRODUCT(DCF_Base!$C$24:$L$24/(1+$A26/100)^DCF_Base!$C$4:$L$4)+MAX(0,MIN(DCF_Base!$L$24*(1+E$21/100)/(($A26-E$21)/100),Assumptions!$B$8*DCF_Base!$L$24))/(1+$A26/100)^10-Assumptions!$B$7)/Assumptions!$B$4,"n/a")</f>
        <v/>
      </c>
      <c r="F26">
        <f>IF($A26&gt;F$21,(SUMPRODUCT(DCF_Base!$C$24:$L$24/(1+$A26/100)^DCF_Base!$C$4:$L$4)+MAX(0,MIN(DCF_Base!$L$24*(1+F$21/100)/(($A26-F$21)/100),Assumptions!$B$8*DCF_Base!$L$24))/(1+$A26/100)^10-Assumptions!$B$7)/Assumptions!$B$4,"n/a")</f>
        <v/>
      </c>
    </row>
    <row r="28">
      <c r="A28" s="3" t="inlineStr">
        <is>
          <t>Dividend cross-check</t>
        </is>
      </c>
    </row>
    <row r="29">
      <c r="A29" t="inlineStr">
        <is>
          <t>Targeted DPS (NZ$)</t>
        </is>
      </c>
      <c r="B29" s="4" t="n">
        <v>0.02</v>
      </c>
    </row>
    <row r="30">
      <c r="A30" t="inlineStr">
        <is>
          <t>Gross yield at price %</t>
        </is>
      </c>
      <c r="B30">
        <f>B29/Assumptions!$B$3*100</f>
        <v/>
      </c>
    </row>
    <row r="31">
      <c r="A31" t="inlineStr">
        <is>
          <t>Annual cash cost (NZ$m)</t>
        </is>
      </c>
      <c r="B31">
        <f>B29*Assumptions!$B$4</f>
        <v/>
      </c>
    </row>
    <row r="32">
      <c r="A32" t="inlineStr">
        <is>
          <t>DDM value at WACC as cost of equity, g = 2% (NZ$)</t>
        </is>
      </c>
      <c r="B32">
        <f>B29/((Assumptions!$B$10-2)/100)</f>
        <v/>
      </c>
    </row>
    <row r="33">
      <c r="A33" t="inlineStr">
        <is>
          <t>Implied required return at price (yield + 2%)</t>
        </is>
      </c>
      <c r="B33">
        <f>B30+2</f>
        <v/>
      </c>
    </row>
    <row r="34">
      <c r="A34" t="inlineStr">
        <is>
          <t>Base FY27 levered FCF after ~6.5% bank interest (NZ$m)</t>
        </is>
      </c>
      <c r="B34">
        <f>DCF_Base!C24-Assumptions!$B$5*0.065</f>
        <v/>
      </c>
    </row>
    <row r="35">
      <c r="A35" t="inlineStr">
        <is>
          <t>Dividend cover on base levered FCF (x)</t>
        </is>
      </c>
      <c r="B35">
        <f>B34/B31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2026-09-03T10:37:24Z</dcterms:created>
  <dcterms:modified xsi:type="dcterms:W3CDTF">2026-09-03T10:37:24Z</dcterms:modified>
</cp:coreProperties>
</file>