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<sst xmlns="http://schemas.openxmlformats.org/spreadsheetml/2006/main" count="386" uniqueCount="175">
  <si>
    <t xml:space="preserve">Ticker</t>
  </si>
  <si>
    <t xml:space="preserve">MFG</t>
  </si>
  <si>
    <t xml:space="preserve">Company</t>
  </si>
  <si>
    <t xml:space="preserve">Mizuho Financial Group,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</si>
  <si>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</si>
  <si>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</si>
  <si>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</si>
  <si>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</si>
  <si>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</si>
  <si>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</si>
  <si>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2026-03-31</t>
  </si>
  <si>
    <t xml:space="preserve">Model</t>
  </si>
  <si>
    <t xml:space="preserve">Bank FCFE at cost of equity (engine route), net debt zero, retention on common equity</t>
  </si>
  <si>
    <t xml:space="preserve">Currency (model)</t>
  </si>
  <si>
    <t xml:space="preserve">JPY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</si>
  <si>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</si>
  <si>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</si>
  <si>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</si>
  <si>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</si>
  <si>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</si>
  <si>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</si>
  <si>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</si>
  <si>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2026-10-03T23:19:19Z</t>
  </si>
  <si>
    <t xml:space="preserve">Drivers file</t>
  </si>
  <si>
    <t xml:space="preserve">MFG_Drivers.json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</si>
  <si>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</si>
  <si>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</si>
  <si>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</si>
  <si>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Mizuho as a stream of distributable equity at a JPY cost of equity: what the bank can pay out after retaining enough capital to grow its risk-weighted assets. At steady state this reduces to P/B = (ROE - g)/(CoE - g); the market's ~1.8x book prices a sustained ~14-15% ROE, our base ~12.5%.
key_risks_to_valuation: BOJ pause or reversal removes the NIM tailwind behind the guidance raises; US/global credit or IB-fee downturn hits the overseas CIB build; JGB portfolio mark-to-market if yields rise faster; Repeat of core-system failures and FSA action; Yen: a stronger yen lifts the USD value of the ADR but shrinks translated overseas earnings; J-GAAP FY0 profit inferred from guidance growth, not read from the Tanshin; CoE rests on an assumed JGB yield</t>
  </si>
  <si>
    <t xml:space="preserve">Data sources</t>
  </si>
  <si>
    <t xml:space="preserve">price: Yahoo Finance chart API at inputs.price_as_of; 52-week range 6.09-11.49; parity vs 8411.T and JPY=X same API
financials: SEC XBRL companyfacts (CIK 1335730) 20-F FY ended 2026-03-31, US GAAP, JPY; MFG_Metrics.csv
qualitative: MFG_Analysis.json (2026-10-04): FY3/27 guidance JPY1.40tn profit attributable, JPY1.75tn net business profit, MTP ROE &gt;12% by FY3/29, JPY200bn buyback</t>
  </si>
  <si>
    <t xml:space="preserve">Scenario narrative: bear</t>
  </si>
  <si>
    <t xml:space="preserve">FY3/27 profit lands ~JPY1.32tn, below the raised guidance, then a US/global credit cycle and a BOJ pause/reversal compress NII, IB fees and trading while credit costs rise from today's low base: net revenue flat-to-down for two years and ROE back below 10%, i.e. Mizuho's pre-2024 history of earning roughly its cost of equity. Balance-sheet growth 3% falling to 1.5%; terminal growth 1.5% (Japan's pre-reflation nominal trend).</t>
  </si>
  <si>
    <t xml:space="preserve">Scenario narrative: base</t>
  </si>
  <si>
    <t xml:space="preserve">FY3/27 profit attributable to owners of parent at the raised guidance of JPY1.40tn (+12.1%), from net-revenue growth of ~9% on BOJ normalisation (policy rate ~0.75%) and the US CIB/fee build, with mild operating leverage. Margin edges up to the medium-term-plan level (ROE &gt;12%, net business profit JPY1.8-2.0tn by FY3/29) then gives back half a point as credit costs normalise from benign levels. Risk-weighted assets / tangible capital grow 4% a year near term (overseas loans, Greenhill-led IB) fading to 2%; everything else is paid out, so total payout rises from ~67% to ~84% as growth slows. Steady-state ROE ~12.5% against a 9% CoE = ~1.5x book.</t>
  </si>
  <si>
    <t xml:space="preserve">Scenario narrative: bull</t>
  </si>
  <si>
    <t xml:space="preserve">Guidance is beaten again (Q1 FY3/27 profit JPY422.9bn annualises to ~JPY1.7tn): FY3/27 profit ~JPY1.48tn. BOJ continues to ~1.25-1.5%, deposit betas stay low, US IB reaches top-10 fee share and the fee/capital-light mix lifts ROE to ~14%, the level the 1.8x P/B currently prices. Japan's nominal growth settles at 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</si>
  <si>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</si>
  <si>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</si>
  <si>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</si>
  <si>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</si>
  <si>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</si>
  <si>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</si>
  <si>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</si>
  <si>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</si>
  <si>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</si>
  <si>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</si>
  <si>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</si>
  <si>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</si>
  <si>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</si>
  <si>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</si>
  <si>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</si>
  <si>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</si>
  <si>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</si>
  <si>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</si>
  <si>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</si>
  <si>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</si>
  <si>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</si>
  <si>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</si>
  <si>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</si>
  <si>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</si>
  <si>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</si>
  <si>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</si>
  <si>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</si>
  <si>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</si>
  <si>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</si>
  <si>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</si>
  <si>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</si>
  <si>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</si>
  <si>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</si>
  <si>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</si>
  <si>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</si>
  <si>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</si>
  <si>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</si>
  <si>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</si>
  <si>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</si>
  <si>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</si>
  <si>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</si>
  <si>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</si>
  <si>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</si>
  <si>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</si>
  <si>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</si>
  <si>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</si>
  <si>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</si>
  <si>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</si>
  <si>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</si>
  <si>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</si>
  <si>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</si>
  <si>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</si>
  <si>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</si>
  <si>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</si>
  <si>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</si>
  <si>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 (year ended 2026-03-31; Mizuho calls it FY2025)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</si>
  <si>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</si>
  <si>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</si>
  <si>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</si>
  <si>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</si>
  <si>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</si>
  <si>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</si>
  <si>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</si>
  <si>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</si>
  <si>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</si>
  <si>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</si>
  <si>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</si>
  <si>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</si>
  <si>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</si>
  <si>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</si>
  <si>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</si>
  <si>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</si>
  <si>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</si>
  <si>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</si>
  <si>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</si>
  <si>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</si>
  <si>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</si>
  <si>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</si>
  <si>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</si>
  <si>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</si>
  <si>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</si>
  <si>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</si>
  <si>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</si>
  <si>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</si>
  <si>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MFG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</si>
  <si>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</si>
  <si>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</si>
  <si>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</si>
  <si>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</si>
  <si>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</si>
  <si>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</si>
  <si>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</si>
  <si>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</si>
  <si>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</si>
  <si>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</si>
  <si>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</si>
  <si>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</si>
  <si>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</si>
  <si>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</si>
  <si>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</si>
  <si>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</si>
  <si>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</si>
  <si>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</si>
  <si>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</si>
  <si>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</si>
  <si>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</si>
  <si>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</si>
  <si>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</si>
  <si>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</si>
  <si>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</si>
  <si>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</si>
  <si>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</si>
  <si>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</si>
  <si>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</si>
  <si>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</si>
  <si>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MFG owner-FCF component DCF: base case (millions, JPY)</t>
  </si>
  <si>
    <t xml:space="preserve">MFG owner-FCF component DCF: bull case (millions, JPY)</t>
  </si>
  <si>
    <t xml:space="preserve">MFG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</si>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</sst>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10.89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I2" s="0" t="n">
        <v>228618</v>
      </c>
      <c r="K2" s="0" t="n">
        <v>18.17</v>
      </c>
      <c r="L2" s="0" t="n">
        <v>-3578148</v>
      </c>
      <c r="M2" s="0" t="n">
        <v>215259</v>
      </c>
      <c r="N2" s="0" t="n">
        <v>-3793407</v>
      </c>
      <c r="O2" s="0" t="n">
        <v>3568157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2836400</v>
      </c>
      <c r="I3" s="0" t="n">
        <v>-1120002</v>
      </c>
      <c r="J3" s="0" t="n">
        <v>-39.4867437596954</v>
      </c>
      <c r="K3" s="0" t="n">
        <v>-95.96</v>
      </c>
      <c r="L3" s="0" t="n">
        <v>3497422</v>
      </c>
      <c r="M3" s="0" t="n">
        <v>221070</v>
      </c>
      <c r="N3" s="0" t="n">
        <v>3276352</v>
      </c>
      <c r="O3" s="0" t="n">
        <v>1037180</v>
      </c>
      <c r="P3" s="0" t="n">
        <v>155083000</v>
      </c>
      <c r="Q3" s="0" t="n">
        <v>154045851</v>
      </c>
      <c r="R3" s="0" t="n">
        <v>8017770</v>
      </c>
      <c r="T3" s="0" t="n">
        <v>11231.269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2963100</v>
      </c>
      <c r="I4" s="0" t="n">
        <v>1046650</v>
      </c>
      <c r="J4" s="0" t="n">
        <v>35.3228038203233</v>
      </c>
      <c r="K4" s="0" t="n">
        <v>70.55</v>
      </c>
      <c r="L4" s="0" t="n">
        <v>-1013952</v>
      </c>
      <c r="M4" s="0" t="n">
        <v>255596</v>
      </c>
      <c r="N4" s="0" t="n">
        <v>-1269548</v>
      </c>
      <c r="O4" s="0" t="n">
        <v>3332018</v>
      </c>
      <c r="P4" s="0" t="n">
        <v>158351500</v>
      </c>
      <c r="Q4" s="0" t="n">
        <v>155019438</v>
      </c>
      <c r="R4" s="0" t="n">
        <v>8482434</v>
      </c>
      <c r="T4" s="0" t="n">
        <v>16200.812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2496700</v>
      </c>
      <c r="I5" s="0" t="n">
        <v>418130</v>
      </c>
      <c r="J5" s="0" t="n">
        <v>16.7473064445068</v>
      </c>
      <c r="K5" s="0" t="n">
        <v>20.44</v>
      </c>
      <c r="L5" s="0" t="n">
        <v>951812</v>
      </c>
      <c r="M5" s="0" t="n">
        <v>214447</v>
      </c>
      <c r="N5" s="0" t="n">
        <v>737365</v>
      </c>
      <c r="O5" s="0" t="n">
        <v>4035356</v>
      </c>
      <c r="P5" s="0" t="n">
        <v>161985700</v>
      </c>
      <c r="Q5" s="0" t="n">
        <v>157950314</v>
      </c>
      <c r="R5" s="0" t="n">
        <v>8953496</v>
      </c>
      <c r="T5" s="0" t="n">
        <v>21415.109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2527200</v>
      </c>
      <c r="I6" s="0" t="n">
        <v>656389</v>
      </c>
      <c r="J6" s="0" t="n">
        <v>25.9729740424185</v>
      </c>
      <c r="K6" s="0" t="n">
        <v>28.07</v>
      </c>
      <c r="L6" s="0" t="n">
        <v>-1789431</v>
      </c>
      <c r="M6" s="0" t="n">
        <v>174517</v>
      </c>
      <c r="N6" s="0" t="n">
        <v>-1963948</v>
      </c>
      <c r="O6" s="0" t="n">
        <v>4647024</v>
      </c>
      <c r="P6" s="0" t="n">
        <v>166361600</v>
      </c>
      <c r="Q6" s="0" t="n">
        <v>161714609</v>
      </c>
      <c r="R6" s="0" t="n">
        <v>8461818</v>
      </c>
      <c r="T6" s="0" t="n">
        <v>24469.539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2862800</v>
      </c>
      <c r="I7" s="0" t="n">
        <v>881156</v>
      </c>
      <c r="J7" s="0" t="n">
        <v>30.7795165572167</v>
      </c>
      <c r="K7" s="0" t="n">
        <v>36.05</v>
      </c>
      <c r="L7" s="0" t="n">
        <v>-1297988</v>
      </c>
      <c r="M7" s="0" t="n">
        <v>161359</v>
      </c>
      <c r="N7" s="0" t="n">
        <v>-1459347</v>
      </c>
      <c r="O7" s="0" t="n">
        <v>5857095</v>
      </c>
      <c r="P7" s="0" t="n">
        <v>178747000</v>
      </c>
      <c r="Q7" s="0" t="n">
        <v>172889899</v>
      </c>
      <c r="R7" s="0" t="n">
        <v>8802223</v>
      </c>
      <c r="T7" s="0" t="n">
        <v>25365.229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2505600</v>
      </c>
      <c r="I8" s="0" t="n">
        <v>500235</v>
      </c>
      <c r="J8" s="0" t="n">
        <v>19.9646791187739</v>
      </c>
      <c r="K8" s="0" t="n">
        <v>20.33</v>
      </c>
      <c r="M8" s="0" t="n">
        <v>456980</v>
      </c>
      <c r="O8" s="0" t="n">
        <v>6621371</v>
      </c>
      <c r="P8" s="0" t="n">
        <v>175699300</v>
      </c>
      <c r="Q8" s="0" t="n">
        <v>169077975</v>
      </c>
      <c r="R8" s="0" t="n">
        <v>9853941</v>
      </c>
      <c r="T8" s="0" t="n">
        <v>25371.252</v>
      </c>
      <c r="U8" s="0" t="n">
        <v>1527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3258900</v>
      </c>
      <c r="I9" s="0" t="n">
        <v>830233</v>
      </c>
      <c r="J9" s="0" t="n">
        <v>25.4758660897849</v>
      </c>
      <c r="K9" s="0" t="n">
        <v>32.75</v>
      </c>
      <c r="M9" s="0" t="n">
        <v>419912</v>
      </c>
      <c r="O9" s="0" t="n">
        <v>8189844</v>
      </c>
      <c r="P9" s="0" t="n">
        <v>190114400</v>
      </c>
      <c r="Q9" s="0" t="n">
        <v>181929890</v>
      </c>
      <c r="R9" s="0" t="n">
        <v>14582241</v>
      </c>
      <c r="T9" s="0" t="n">
        <v>25381.047</v>
      </c>
      <c r="U9" s="0" t="n">
        <v>1795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3384100</v>
      </c>
      <c r="I10" s="0" t="n">
        <v>850492</v>
      </c>
      <c r="J10" s="0" t="n">
        <v>25.1319996454006</v>
      </c>
      <c r="K10" s="0" t="n">
        <v>34.19</v>
      </c>
      <c r="L10" s="0" t="n">
        <v>241710</v>
      </c>
      <c r="M10" s="0" t="n">
        <v>388565</v>
      </c>
      <c r="N10" s="0" t="n">
        <v>-146855</v>
      </c>
      <c r="O10" s="0" t="n">
        <v>8183191</v>
      </c>
      <c r="P10" s="0" t="n">
        <v>193810151</v>
      </c>
      <c r="Q10" s="0" t="n">
        <v>185626960</v>
      </c>
      <c r="R10" s="0" t="n">
        <v>14765527</v>
      </c>
      <c r="S10" s="0" t="n">
        <v>36650005</v>
      </c>
      <c r="T10" s="0" t="n">
        <v>25387.033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2877100</v>
      </c>
      <c r="I11" s="0" t="n">
        <v>389131</v>
      </c>
      <c r="J11" s="0" t="n">
        <v>13.5251120920371</v>
      </c>
      <c r="K11" s="0" t="n">
        <v>14.33</v>
      </c>
      <c r="L11" s="0" t="n">
        <v>1209127</v>
      </c>
      <c r="M11" s="0" t="n">
        <v>430913</v>
      </c>
      <c r="N11" s="0" t="n">
        <v>778214</v>
      </c>
      <c r="O11" s="0" t="n">
        <v>8772057</v>
      </c>
      <c r="P11" s="0" t="n">
        <v>200456300</v>
      </c>
      <c r="Q11" s="0" t="n">
        <v>191684247</v>
      </c>
      <c r="R11" s="0" t="n">
        <v>14529414</v>
      </c>
      <c r="S11" s="0" t="n">
        <v>47586971</v>
      </c>
      <c r="T11" s="0" t="n">
        <v>25380.302</v>
      </c>
      <c r="U11" s="0" t="n">
        <v>354</v>
      </c>
      <c r="V11" s="0" t="n">
        <v>7.5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3366500</v>
      </c>
      <c r="I12" s="0" t="n">
        <v>601694</v>
      </c>
      <c r="J12" s="0" t="n">
        <v>17.8729838110798</v>
      </c>
      <c r="K12" s="0" t="n">
        <v>22.77</v>
      </c>
      <c r="L12" s="0" t="n">
        <v>-161076</v>
      </c>
      <c r="M12" s="0" t="n">
        <v>292201</v>
      </c>
      <c r="N12" s="0" t="n">
        <v>-453277</v>
      </c>
      <c r="O12" s="0" t="n">
        <v>9503700</v>
      </c>
      <c r="P12" s="0" t="n">
        <v>204255600</v>
      </c>
      <c r="Q12" s="0" t="n">
        <v>194751942</v>
      </c>
      <c r="R12" s="0" t="n">
        <v>12955230</v>
      </c>
      <c r="S12" s="0" t="n">
        <v>48170921</v>
      </c>
      <c r="T12" s="0" t="n">
        <v>25373.931</v>
      </c>
      <c r="U12" s="0" t="n">
        <v>868</v>
      </c>
      <c r="V12" s="0" t="n">
        <v>7.5</v>
      </c>
      <c r="AA12" s="0" t="s">
        <v>18</v>
      </c>
      <c r="AB12" s="0" t="s">
        <v>16</v>
      </c>
    </row>
    <row r="13" customFormat="false" ht="15" hidden="false" customHeight="false" outlineLevel="0" collapsed="false">
      <c r="A13" s="0" t="s">
        <v>75</v>
      </c>
      <c r="B13" s="0" t="n">
        <v>3429800</v>
      </c>
      <c r="I13" s="0" t="n">
        <v>84471</v>
      </c>
      <c r="J13" s="0" t="n">
        <v>2.46285497696659</v>
      </c>
      <c r="K13" s="0" t="n">
        <v>33.31</v>
      </c>
      <c r="L13" s="0" t="n">
        <v>661019</v>
      </c>
      <c r="M13" s="0" t="n">
        <v>157714</v>
      </c>
      <c r="N13" s="0" t="n">
        <v>503305</v>
      </c>
      <c r="O13" s="0" t="n">
        <v>9501493</v>
      </c>
      <c r="P13" s="0" t="n">
        <v>197611200</v>
      </c>
      <c r="Q13" s="0" t="n">
        <v>188109702</v>
      </c>
      <c r="R13" s="0" t="n">
        <v>11529400</v>
      </c>
      <c r="S13" s="0" t="n">
        <v>45672739</v>
      </c>
      <c r="T13" s="0" t="n">
        <v>2536.69</v>
      </c>
      <c r="V13" s="0" t="n">
        <v>75</v>
      </c>
      <c r="AA13" s="0" t="s">
        <v>18</v>
      </c>
      <c r="AB13" s="0" t="s">
        <v>16</v>
      </c>
    </row>
    <row r="14" customFormat="false" ht="15" hidden="false" customHeight="false" outlineLevel="0" collapsed="false">
      <c r="A14" s="0" t="s">
        <v>76</v>
      </c>
      <c r="B14" s="0" t="n">
        <v>3458900</v>
      </c>
      <c r="I14" s="0" t="n">
        <v>150195</v>
      </c>
      <c r="J14" s="0" t="n">
        <v>4.34227644626905</v>
      </c>
      <c r="K14" s="0" t="n">
        <v>59.19</v>
      </c>
      <c r="L14" s="0" t="n">
        <v>-4041072</v>
      </c>
      <c r="M14" s="0" t="n">
        <v>243022</v>
      </c>
      <c r="N14" s="0" t="n">
        <v>-4284094</v>
      </c>
      <c r="O14" s="0" t="n">
        <v>9175624</v>
      </c>
      <c r="P14" s="0" t="n">
        <v>211218800</v>
      </c>
      <c r="Q14" s="0" t="n">
        <v>202043136</v>
      </c>
      <c r="R14" s="0" t="n">
        <v>10346152</v>
      </c>
      <c r="S14" s="0" t="n">
        <v>41951114</v>
      </c>
      <c r="T14" s="0" t="n">
        <v>2537.526</v>
      </c>
      <c r="V14" s="0" t="n">
        <v>75</v>
      </c>
      <c r="AA14" s="0" t="s">
        <v>18</v>
      </c>
      <c r="AB14" s="0" t="s">
        <v>16</v>
      </c>
    </row>
    <row r="15" customFormat="false" ht="15" hidden="false" customHeight="false" outlineLevel="0" collapsed="false">
      <c r="A15" s="0" t="s">
        <v>77</v>
      </c>
      <c r="B15" s="0" t="n">
        <v>3497900</v>
      </c>
      <c r="I15" s="0" t="n">
        <v>818048</v>
      </c>
      <c r="J15" s="0" t="n">
        <v>23.3868320992596</v>
      </c>
      <c r="K15" s="0" t="n">
        <v>229.27</v>
      </c>
      <c r="L15" s="0" t="n">
        <v>468756</v>
      </c>
      <c r="M15" s="0" t="n">
        <v>211495</v>
      </c>
      <c r="N15" s="0" t="n">
        <v>257261</v>
      </c>
      <c r="O15" s="0" t="n">
        <v>9688157</v>
      </c>
      <c r="P15" s="0" t="n">
        <v>221651500</v>
      </c>
      <c r="Q15" s="0" t="n">
        <v>211963317</v>
      </c>
      <c r="R15" s="0" t="n">
        <v>11706471</v>
      </c>
      <c r="S15" s="0" t="n">
        <v>48734096</v>
      </c>
      <c r="T15" s="0" t="n">
        <v>2537.602</v>
      </c>
      <c r="V15" s="0" t="n">
        <v>75</v>
      </c>
      <c r="AA15" s="0" t="s">
        <v>18</v>
      </c>
      <c r="AB15" s="0" t="s">
        <v>16</v>
      </c>
    </row>
    <row r="16" customFormat="false" ht="15" hidden="false" customHeight="false" outlineLevel="0" collapsed="false">
      <c r="A16" s="0" t="s">
        <v>78</v>
      </c>
      <c r="B16" s="0" t="n">
        <v>2113700</v>
      </c>
      <c r="I16" s="0" t="n">
        <v>-104722</v>
      </c>
      <c r="J16" s="0" t="n">
        <v>-4.95444008137389</v>
      </c>
      <c r="K16" s="0" t="n">
        <v>-41.28</v>
      </c>
      <c r="L16" s="0" t="n">
        <v>5498087</v>
      </c>
      <c r="M16" s="0" t="n">
        <v>136238</v>
      </c>
      <c r="N16" s="0" t="n">
        <v>5361849</v>
      </c>
      <c r="O16" s="0" t="n">
        <v>9442231</v>
      </c>
      <c r="P16" s="0" t="n">
        <v>231550700</v>
      </c>
      <c r="Q16" s="0" t="n">
        <v>222108473</v>
      </c>
      <c r="R16" s="0" t="n">
        <v>12578216</v>
      </c>
      <c r="T16" s="0" t="n">
        <v>2537.051</v>
      </c>
      <c r="V16" s="0" t="n">
        <v>80</v>
      </c>
      <c r="AA16" s="0" t="s">
        <v>18</v>
      </c>
      <c r="AB16" s="0" t="s">
        <v>16</v>
      </c>
    </row>
    <row r="17" customFormat="false" ht="15" hidden="false" customHeight="false" outlineLevel="0" collapsed="false">
      <c r="A17" s="0" t="s">
        <v>79</v>
      </c>
      <c r="B17" s="0" t="n">
        <v>4276900</v>
      </c>
      <c r="I17" s="0" t="n">
        <v>34028</v>
      </c>
      <c r="J17" s="0" t="n">
        <v>0.795622997965816</v>
      </c>
      <c r="K17" s="0" t="n">
        <v>-5.52</v>
      </c>
      <c r="L17" s="0" t="n">
        <v>1006913</v>
      </c>
      <c r="M17" s="0" t="n">
        <v>185583</v>
      </c>
      <c r="N17" s="0" t="n">
        <v>821330</v>
      </c>
      <c r="O17" s="0" t="n">
        <v>9725134</v>
      </c>
      <c r="P17" s="0" t="n">
        <v>248780700</v>
      </c>
      <c r="Q17" s="0" t="n">
        <v>239055588</v>
      </c>
      <c r="R17" s="0" t="n">
        <v>14893023</v>
      </c>
      <c r="T17" s="0" t="n">
        <v>2536.596</v>
      </c>
      <c r="V17" s="0" t="n">
        <v>85</v>
      </c>
      <c r="AA17" s="0" t="s">
        <v>18</v>
      </c>
      <c r="AB17" s="0" t="s">
        <v>16</v>
      </c>
    </row>
    <row r="18" customFormat="false" ht="15" hidden="false" customHeight="false" outlineLevel="0" collapsed="false">
      <c r="A18" s="0" t="s">
        <v>80</v>
      </c>
      <c r="B18" s="0" t="n">
        <v>8510700</v>
      </c>
      <c r="I18" s="0" t="n">
        <v>1197992</v>
      </c>
      <c r="J18" s="0" t="n">
        <v>14.0763039467964</v>
      </c>
      <c r="K18" s="0" t="n">
        <v>359.7</v>
      </c>
      <c r="L18" s="0" t="n">
        <v>-3460502</v>
      </c>
      <c r="M18" s="0" t="n">
        <v>256475</v>
      </c>
      <c r="N18" s="0" t="n">
        <v>-3716977</v>
      </c>
      <c r="O18" s="0" t="n">
        <v>10431187</v>
      </c>
      <c r="P18" s="0" t="n">
        <v>272173200</v>
      </c>
      <c r="Q18" s="0" t="n">
        <v>261741965</v>
      </c>
      <c r="R18" s="0" t="n">
        <v>16277331</v>
      </c>
      <c r="T18" s="0" t="n">
        <v>2537.1</v>
      </c>
      <c r="V18" s="0" t="n">
        <v>105</v>
      </c>
      <c r="AA18" s="0" t="s">
        <v>18</v>
      </c>
      <c r="AB18" s="0" t="s">
        <v>16</v>
      </c>
    </row>
    <row r="19" customFormat="false" ht="15" hidden="false" customHeight="false" outlineLevel="0" collapsed="false">
      <c r="A19" s="0" t="s">
        <v>81</v>
      </c>
      <c r="B19" s="0" t="n">
        <v>8169900</v>
      </c>
      <c r="I19" s="0" t="n">
        <v>593393</v>
      </c>
      <c r="J19" s="0" t="n">
        <v>7.26316111580313</v>
      </c>
      <c r="K19" s="0" t="n">
        <v>234.55</v>
      </c>
      <c r="L19" s="0" t="n">
        <v>59044</v>
      </c>
      <c r="M19" s="0" t="n">
        <v>338013</v>
      </c>
      <c r="N19" s="0" t="n">
        <v>-278969</v>
      </c>
      <c r="O19" s="0" t="n">
        <v>10549924</v>
      </c>
      <c r="P19" s="0" t="n">
        <v>276741152</v>
      </c>
      <c r="Q19" s="0" t="n">
        <v>266191227</v>
      </c>
      <c r="R19" s="0" t="n">
        <v>14914120</v>
      </c>
      <c r="T19" s="0" t="n">
        <v>2530.282</v>
      </c>
      <c r="V19" s="0" t="n">
        <v>140</v>
      </c>
      <c r="AA19" s="0" t="s">
        <v>18</v>
      </c>
      <c r="AB19" s="0" t="s">
        <v>16</v>
      </c>
    </row>
    <row r="20" customFormat="false" ht="15" hidden="false" customHeight="false" outlineLevel="0" collapsed="false">
      <c r="A20" s="0" t="s">
        <v>82</v>
      </c>
      <c r="B20" s="0" t="n">
        <v>8794500</v>
      </c>
      <c r="I20" s="0" t="n">
        <v>1326013</v>
      </c>
      <c r="J20" s="0" t="n">
        <v>15.0777531411678</v>
      </c>
      <c r="K20" s="0" t="n">
        <v>466.16</v>
      </c>
      <c r="L20" s="0" t="n">
        <v>-1781369</v>
      </c>
      <c r="M20" s="0" t="n">
        <v>307003</v>
      </c>
      <c r="N20" s="0" t="n">
        <v>-2088372</v>
      </c>
      <c r="O20" s="0" t="n">
        <v>11478053</v>
      </c>
      <c r="P20" s="0" t="n">
        <v>294895707</v>
      </c>
      <c r="Q20" s="0" t="n">
        <v>283417654</v>
      </c>
      <c r="R20" s="0" t="n">
        <v>20838501</v>
      </c>
      <c r="T20" s="0" t="n">
        <v>2484.581</v>
      </c>
      <c r="V20" s="0" t="n">
        <v>145</v>
      </c>
      <c r="AA20" s="0" t="s">
        <v>18</v>
      </c>
      <c r="AB20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10.89</v>
      </c>
    </row>
    <row r="3" customFormat="false" ht="15" hidden="false" customHeight="false" outlineLevel="0" collapsed="false">
      <c r="A3" s="0" t="s">
        <v>86</v>
      </c>
      <c r="B3" s="3" t="n">
        <v>12301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-200000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3469055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0.0063359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5</v>
      </c>
      <c r="D13" s="3" t="n">
        <v>0</v>
      </c>
      <c r="E13" s="3" t="n">
        <v>-2</v>
      </c>
      <c r="F13" s="3" t="n">
        <v>2</v>
      </c>
      <c r="G13" s="3" t="n">
        <v>2</v>
      </c>
      <c r="H13" s="3" t="n">
        <v>2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108</v>
      </c>
      <c r="C14" s="3" t="n">
        <v>49.5</v>
      </c>
      <c r="D14" s="3" t="n">
        <v>47.5</v>
      </c>
      <c r="E14" s="3" t="n">
        <v>46</v>
      </c>
      <c r="F14" s="3" t="n">
        <v>46.5</v>
      </c>
      <c r="G14" s="3" t="n">
        <v>47</v>
      </c>
      <c r="H14" s="3" t="n">
        <v>47</v>
      </c>
      <c r="I14" s="3" t="n">
        <v>47</v>
      </c>
      <c r="J14" s="3" t="n">
        <v>47</v>
      </c>
      <c r="K14" s="3" t="n">
        <v>47</v>
      </c>
      <c r="L14" s="3" t="n">
        <v>47</v>
      </c>
    </row>
    <row r="15" customFormat="false" ht="15" hidden="false" customHeight="false" outlineLevel="0" collapsed="false">
      <c r="A15" s="0" t="s">
        <v>109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9.45</v>
      </c>
      <c r="D18" s="3" t="n">
        <v>9.74</v>
      </c>
      <c r="E18" s="3" t="n">
        <v>8.53</v>
      </c>
      <c r="F18" s="3" t="n">
        <v>8.57</v>
      </c>
      <c r="G18" s="3" t="n">
        <v>6.89</v>
      </c>
      <c r="H18" s="3" t="n">
        <v>6.89</v>
      </c>
      <c r="I18" s="3" t="n">
        <v>5.19</v>
      </c>
      <c r="J18" s="3" t="n">
        <v>5.19</v>
      </c>
      <c r="K18" s="3" t="n">
        <v>5.19</v>
      </c>
      <c r="L18" s="3" t="n">
        <v>5.19</v>
      </c>
    </row>
    <row r="19" customFormat="false" ht="15" hidden="false" customHeight="false" outlineLevel="0" collapsed="false">
      <c r="A19" s="0" t="s">
        <v>113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1.5</v>
      </c>
    </row>
    <row r="22" customFormat="false" ht="15" hidden="false" customHeight="false" outlineLevel="0" collapsed="false">
      <c r="A22" s="0" t="s">
        <v>116</v>
      </c>
      <c r="B22" s="3" t="n">
        <v>16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9</v>
      </c>
      <c r="D27" s="3" t="n">
        <v>6</v>
      </c>
      <c r="E27" s="3" t="n">
        <v>5</v>
      </c>
      <c r="F27" s="3" t="n">
        <v>4</v>
      </c>
      <c r="G27" s="3" t="n">
        <v>3.5</v>
      </c>
      <c r="H27" s="3" t="n">
        <v>3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108</v>
      </c>
      <c r="C28" s="3" t="n">
        <v>50.7</v>
      </c>
      <c r="D28" s="3" t="n">
        <v>51.3</v>
      </c>
      <c r="E28" s="3" t="n">
        <v>52</v>
      </c>
      <c r="F28" s="3" t="n">
        <v>52</v>
      </c>
      <c r="G28" s="3" t="n">
        <v>52</v>
      </c>
      <c r="H28" s="3" t="n">
        <v>51.5</v>
      </c>
      <c r="I28" s="3" t="n">
        <v>51.5</v>
      </c>
      <c r="J28" s="3" t="n">
        <v>51</v>
      </c>
      <c r="K28" s="3" t="n">
        <v>51</v>
      </c>
      <c r="L28" s="3" t="n">
        <v>51</v>
      </c>
    </row>
    <row r="29" customFormat="false" ht="15" hidden="false" customHeight="false" outlineLevel="0" collapsed="false">
      <c r="A29" s="0" t="s">
        <v>109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12.14</v>
      </c>
      <c r="D32" s="3" t="n">
        <v>11.91</v>
      </c>
      <c r="E32" s="3" t="n">
        <v>11.8</v>
      </c>
      <c r="F32" s="3" t="n">
        <v>10.32</v>
      </c>
      <c r="G32" s="3" t="n">
        <v>8.85</v>
      </c>
      <c r="H32" s="3" t="n">
        <v>8.85</v>
      </c>
      <c r="I32" s="3" t="n">
        <v>7.41</v>
      </c>
      <c r="J32" s="3" t="n">
        <v>7.41</v>
      </c>
      <c r="K32" s="3" t="n">
        <v>5.96</v>
      </c>
      <c r="L32" s="3" t="n">
        <v>5.96</v>
      </c>
    </row>
    <row r="33" customFormat="false" ht="15" hidden="false" customHeight="false" outlineLevel="0" collapsed="false">
      <c r="A33" s="0" t="s">
        <v>113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2</v>
      </c>
    </row>
    <row r="36" customFormat="false" ht="15" hidden="false" customHeight="false" outlineLevel="0" collapsed="false">
      <c r="A36" s="0" t="s">
        <v>116</v>
      </c>
      <c r="B36" s="3" t="n">
        <v>16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12</v>
      </c>
      <c r="D41" s="3" t="n">
        <v>8</v>
      </c>
      <c r="E41" s="3" t="n">
        <v>6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108</v>
      </c>
      <c r="C42" s="3" t="n">
        <v>52</v>
      </c>
      <c r="D42" s="3" t="n">
        <v>53</v>
      </c>
      <c r="E42" s="3" t="n">
        <v>54</v>
      </c>
      <c r="F42" s="3" t="n">
        <v>54.5</v>
      </c>
      <c r="G42" s="3" t="n">
        <v>54.5</v>
      </c>
      <c r="H42" s="3" t="n">
        <v>54.5</v>
      </c>
      <c r="I42" s="3" t="n">
        <v>54</v>
      </c>
      <c r="J42" s="3" t="n">
        <v>54</v>
      </c>
      <c r="K42" s="3" t="n">
        <v>54</v>
      </c>
      <c r="L42" s="3" t="n">
        <v>54</v>
      </c>
    </row>
    <row r="43" customFormat="false" ht="15" hidden="false" customHeight="false" outlineLevel="0" collapsed="false">
      <c r="A43" s="0" t="s">
        <v>109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13.29</v>
      </c>
      <c r="D46" s="3" t="n">
        <v>12.86</v>
      </c>
      <c r="E46" s="3" t="n">
        <v>12.68</v>
      </c>
      <c r="F46" s="3" t="n">
        <v>11.22</v>
      </c>
      <c r="G46" s="3" t="n">
        <v>11.16</v>
      </c>
      <c r="H46" s="3" t="n">
        <v>9.77</v>
      </c>
      <c r="I46" s="3" t="n">
        <v>8.37</v>
      </c>
      <c r="J46" s="3" t="n">
        <v>8.37</v>
      </c>
      <c r="K46" s="3" t="n">
        <v>7.01</v>
      </c>
      <c r="L46" s="3" t="n">
        <v>7.01</v>
      </c>
    </row>
    <row r="47" customFormat="false" ht="15" hidden="false" customHeight="false" outlineLevel="0" collapsed="false">
      <c r="A47" s="0" t="s">
        <v>113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2.5</v>
      </c>
    </row>
    <row r="50" customFormat="false" ht="15" hidden="false" customHeight="false" outlineLevel="0" collapsed="false">
      <c r="A50" s="0" t="s">
        <v>116</v>
      </c>
      <c r="B50" s="3" t="n">
        <v>16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5</v>
      </c>
      <c r="D5" s="4" t="n">
        <f aca="false">Assumptions!D13</f>
        <v>0</v>
      </c>
      <c r="E5" s="4" t="n">
        <f aca="false">Assumptions!E13</f>
        <v>-2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3469055</v>
      </c>
      <c r="C6" s="0" t="n">
        <f aca="false">B6*(1+C5/100)</f>
        <v>3642507.75</v>
      </c>
      <c r="D6" s="0" t="n">
        <f aca="false">C6*(1+D5/100)</f>
        <v>3642507.75</v>
      </c>
      <c r="E6" s="0" t="n">
        <f aca="false">D6*(1+E5/100)</f>
        <v>3569657.595</v>
      </c>
      <c r="F6" s="0" t="n">
        <f aca="false">E6*(1+F5/100)</f>
        <v>3641050.7469</v>
      </c>
      <c r="G6" s="0" t="n">
        <f aca="false">F6*(1+G5/100)</f>
        <v>3713871.761838</v>
      </c>
      <c r="H6" s="0" t="n">
        <f aca="false">G6*(1+H5/100)</f>
        <v>3788149.19707476</v>
      </c>
      <c r="I6" s="0" t="n">
        <f aca="false">H6*(1+I5/100)</f>
        <v>3844971.43503088</v>
      </c>
      <c r="J6" s="0" t="n">
        <f aca="false">I6*(1+J5/100)</f>
        <v>3902646.00655634</v>
      </c>
      <c r="K6" s="0" t="n">
        <f aca="false">J6*(1+K5/100)</f>
        <v>3961185.69665469</v>
      </c>
      <c r="L6" s="0" t="n">
        <f aca="false">K6*(1+L5/100)</f>
        <v>4020603.48210451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49.5</v>
      </c>
      <c r="D7" s="4" t="n">
        <f aca="false">Assumptions!D14</f>
        <v>47.5</v>
      </c>
      <c r="E7" s="4" t="n">
        <f aca="false">Assumptions!E14</f>
        <v>46</v>
      </c>
      <c r="F7" s="4" t="n">
        <f aca="false">Assumptions!F14</f>
        <v>46.5</v>
      </c>
      <c r="G7" s="4" t="n">
        <f aca="false">Assumptions!G14</f>
        <v>47</v>
      </c>
      <c r="H7" s="4" t="n">
        <f aca="false">Assumptions!H14</f>
        <v>47</v>
      </c>
      <c r="I7" s="4" t="n">
        <f aca="false">Assumptions!I14</f>
        <v>47</v>
      </c>
      <c r="J7" s="4" t="n">
        <f aca="false">Assumptions!J14</f>
        <v>47</v>
      </c>
      <c r="K7" s="4" t="n">
        <f aca="false">Assumptions!K14</f>
        <v>47</v>
      </c>
      <c r="L7" s="4" t="n">
        <f aca="false">Assumptions!L14</f>
        <v>47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1803041.33625</v>
      </c>
      <c r="D8" s="0" t="n">
        <f aca="false">D6*D7/100</f>
        <v>1730191.18125</v>
      </c>
      <c r="E8" s="0" t="n">
        <f aca="false">E6*E7/100</f>
        <v>1642042.4937</v>
      </c>
      <c r="F8" s="0" t="n">
        <f aca="false">F6*F7/100</f>
        <v>1693088.5973085</v>
      </c>
      <c r="G8" s="0" t="n">
        <f aca="false">G6*G7/100</f>
        <v>1745519.72806386</v>
      </c>
      <c r="H8" s="0" t="n">
        <f aca="false">H6*H7/100</f>
        <v>1780430.12262514</v>
      </c>
      <c r="I8" s="0" t="n">
        <f aca="false">I6*I7/100</f>
        <v>1807136.57446451</v>
      </c>
      <c r="J8" s="0" t="n">
        <f aca="false">J6*J7/100</f>
        <v>1834243.62308148</v>
      </c>
      <c r="K8" s="0" t="n">
        <f aca="false">K6*K7/100</f>
        <v>1861757.2774277</v>
      </c>
      <c r="L8" s="0" t="n">
        <f aca="false">L6*L7/100</f>
        <v>1889683.63658912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1803041.33625</v>
      </c>
      <c r="D11" s="0" t="n">
        <f aca="false">D8+D10+D24</f>
        <v>1730191.18125</v>
      </c>
      <c r="E11" s="0" t="n">
        <f aca="false">E8+E10+E24</f>
        <v>1642042.4937</v>
      </c>
      <c r="F11" s="0" t="n">
        <f aca="false">F8+F10+F24</f>
        <v>1693088.5973085</v>
      </c>
      <c r="G11" s="0" t="n">
        <f aca="false">G8+G10+G24</f>
        <v>1745519.72806386</v>
      </c>
      <c r="H11" s="0" t="n">
        <f aca="false">H8+H10+H24</f>
        <v>1780430.12262514</v>
      </c>
      <c r="I11" s="0" t="n">
        <f aca="false">I8+I10+I24</f>
        <v>1807136.57446451</v>
      </c>
      <c r="J11" s="0" t="n">
        <f aca="false">J8+J10+J24</f>
        <v>1834243.62308148</v>
      </c>
      <c r="K11" s="0" t="n">
        <f aca="false">K8+K10+K24</f>
        <v>1861757.2774277</v>
      </c>
      <c r="L11" s="0" t="n">
        <f aca="false">L8+L10+L24</f>
        <v>1889683.63658912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1803041.33625</v>
      </c>
      <c r="D13" s="0" t="n">
        <f aca="false">D11+D12</f>
        <v>1730191.18125</v>
      </c>
      <c r="E13" s="0" t="n">
        <f aca="false">E11+E12</f>
        <v>1642042.4937</v>
      </c>
      <c r="F13" s="0" t="n">
        <f aca="false">F11+F12</f>
        <v>1693088.5973085</v>
      </c>
      <c r="G13" s="0" t="n">
        <f aca="false">G11+G12</f>
        <v>1745519.72806386</v>
      </c>
      <c r="H13" s="0" t="n">
        <f aca="false">H11+H12</f>
        <v>1780430.12262514</v>
      </c>
      <c r="I13" s="0" t="n">
        <f aca="false">I11+I12</f>
        <v>1807136.57446451</v>
      </c>
      <c r="J13" s="0" t="n">
        <f aca="false">J11+J12</f>
        <v>1834243.62308148</v>
      </c>
      <c r="K13" s="0" t="n">
        <f aca="false">K11+K12</f>
        <v>1861757.2774277</v>
      </c>
      <c r="L13" s="0" t="n">
        <f aca="false">L11+L12</f>
        <v>1889683.63658912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1316220.1754625</v>
      </c>
      <c r="D15" s="0" t="n">
        <f aca="false">D13-MAX(0,D13)*D14/100</f>
        <v>1263039.5623125</v>
      </c>
      <c r="E15" s="0" t="n">
        <f aca="false">E13-MAX(0,E13)*E14/100</f>
        <v>1198691.020401</v>
      </c>
      <c r="F15" s="0" t="n">
        <f aca="false">F13-MAX(0,F13)*F14/100</f>
        <v>1235954.67603521</v>
      </c>
      <c r="G15" s="0" t="n">
        <f aca="false">G13-MAX(0,G13)*G14/100</f>
        <v>1274229.40148662</v>
      </c>
      <c r="H15" s="0" t="n">
        <f aca="false">H13-MAX(0,H13)*H14/100</f>
        <v>1299713.98951635</v>
      </c>
      <c r="I15" s="0" t="n">
        <f aca="false">I13-MAX(0,I13)*I14/100</f>
        <v>1319209.6993591</v>
      </c>
      <c r="J15" s="0" t="n">
        <f aca="false">J13-MAX(0,J13)*J14/100</f>
        <v>1338997.84484948</v>
      </c>
      <c r="K15" s="0" t="n">
        <f aca="false">K13-MAX(0,K13)*K14/100</f>
        <v>1359082.81252222</v>
      </c>
      <c r="L15" s="0" t="n">
        <f aca="false">L13-MAX(0,L13)*L14/100</f>
        <v>1379469.05471006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-344216.982375</v>
      </c>
      <c r="D17" s="4" t="n">
        <f aca="false">-D6*Assumptions!D18/100</f>
        <v>-354780.25485</v>
      </c>
      <c r="E17" s="4" t="n">
        <f aca="false">-E6*Assumptions!E18/100</f>
        <v>-304491.7928535</v>
      </c>
      <c r="F17" s="4" t="n">
        <f aca="false">-F6*Assumptions!F18/100</f>
        <v>-312038.04900933</v>
      </c>
      <c r="G17" s="4" t="n">
        <f aca="false">-G6*Assumptions!G18/100</f>
        <v>-255885.764390638</v>
      </c>
      <c r="H17" s="4" t="n">
        <f aca="false">-H6*Assumptions!H18/100</f>
        <v>-261003.479678451</v>
      </c>
      <c r="I17" s="4" t="n">
        <f aca="false">-I6*Assumptions!I18/100</f>
        <v>-199554.017478103</v>
      </c>
      <c r="J17" s="4" t="n">
        <f aca="false">-J6*Assumptions!J18/100</f>
        <v>-202547.327740274</v>
      </c>
      <c r="K17" s="4" t="n">
        <f aca="false">-K6*Assumptions!K18/100</f>
        <v>-205585.537656378</v>
      </c>
      <c r="L17" s="4" t="n">
        <f aca="false">-L6*Assumptions!L18/100</f>
        <v>-208669.320721224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972003.1930875</v>
      </c>
      <c r="D19" s="0" t="n">
        <f aca="false">D15+D16+D17+D18</f>
        <v>908259.3074625</v>
      </c>
      <c r="E19" s="0" t="n">
        <f aca="false">E15+E16+E17+E18</f>
        <v>894199.2275475</v>
      </c>
      <c r="F19" s="0" t="n">
        <f aca="false">F15+F16+F17+F18</f>
        <v>923916.627025875</v>
      </c>
      <c r="G19" s="0" t="n">
        <f aca="false">G15+G16+G17+G18</f>
        <v>1018343.63709598</v>
      </c>
      <c r="H19" s="0" t="n">
        <f aca="false">H15+H16+H17+H18</f>
        <v>1038710.5098379</v>
      </c>
      <c r="I19" s="0" t="n">
        <f aca="false">I15+I16+I17+I18</f>
        <v>1119655.68188099</v>
      </c>
      <c r="J19" s="0" t="n">
        <f aca="false">J15+J16+J17+J18</f>
        <v>1136450.51710921</v>
      </c>
      <c r="K19" s="0" t="n">
        <f aca="false">K15+K16+K17+K18</f>
        <v>1153497.27486585</v>
      </c>
      <c r="L19" s="0" t="n">
        <f aca="false">L15+L16+L17+L18</f>
        <v>1170799.73398883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891746.048704129</v>
      </c>
      <c r="D21" s="0" t="n">
        <f aca="false">D19*D20</f>
        <v>764463.687789327</v>
      </c>
      <c r="E21" s="0" t="n">
        <f aca="false">E19*E20</f>
        <v>690485.871395544</v>
      </c>
      <c r="F21" s="0" t="n">
        <f aca="false">F19*F20</f>
        <v>654525.83150745</v>
      </c>
      <c r="G21" s="0" t="n">
        <f aca="false">G19*G20</f>
        <v>661853.491785889</v>
      </c>
      <c r="H21" s="0" t="n">
        <f aca="false">H19*H20</f>
        <v>619349.139102391</v>
      </c>
      <c r="I21" s="0" t="n">
        <f aca="false">I19*I20</f>
        <v>612490.000422298</v>
      </c>
      <c r="J21" s="0" t="n">
        <f aca="false">J19*J20</f>
        <v>570346.193053791</v>
      </c>
      <c r="K21" s="0" t="n">
        <f aca="false">K19*K20</f>
        <v>531102.188944585</v>
      </c>
      <c r="L21" s="0" t="n">
        <f aca="false">L19*L20</f>
        <v>494558.460347481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6490920.91305289</v>
      </c>
    </row>
    <row r="31" customFormat="false" ht="15" hidden="false" customHeight="false" outlineLevel="0" collapsed="false">
      <c r="A31" s="0" t="s">
        <v>138</v>
      </c>
      <c r="B31" s="0" t="n">
        <f aca="false">L19</f>
        <v>1170799.73398883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15844823.0666489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18732795.7438213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15844823.0666489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6693024.49670258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13183945.4097555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12983945.4097555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6.68766602078446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-0.385889254289765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6.68766602078446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8802679.4814716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3.59992677422726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9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3469055</v>
      </c>
      <c r="C6" s="0" t="n">
        <f aca="false">B6*(1+C5/100)</f>
        <v>3781269.95</v>
      </c>
      <c r="D6" s="0" t="n">
        <f aca="false">C6*(1+D5/100)</f>
        <v>4008146.147</v>
      </c>
      <c r="E6" s="0" t="n">
        <f aca="false">D6*(1+E5/100)</f>
        <v>4208553.45435</v>
      </c>
      <c r="F6" s="0" t="n">
        <f aca="false">E6*(1+F5/100)</f>
        <v>4376895.592524</v>
      </c>
      <c r="G6" s="0" t="n">
        <f aca="false">F6*(1+G5/100)</f>
        <v>4530086.93826234</v>
      </c>
      <c r="H6" s="0" t="n">
        <f aca="false">G6*(1+H5/100)</f>
        <v>4665989.54641021</v>
      </c>
      <c r="I6" s="0" t="n">
        <f aca="false">H6*(1+I5/100)</f>
        <v>4782639.28507047</v>
      </c>
      <c r="J6" s="0" t="n">
        <f aca="false">I6*(1+J5/100)</f>
        <v>4902205.26719723</v>
      </c>
      <c r="K6" s="0" t="n">
        <f aca="false">J6*(1+K5/100)</f>
        <v>5000249.37254117</v>
      </c>
      <c r="L6" s="0" t="n">
        <f aca="false">K6*(1+L5/100)</f>
        <v>5100254.35999199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50.7</v>
      </c>
      <c r="D7" s="4" t="n">
        <f aca="false">Assumptions!D28</f>
        <v>51.3</v>
      </c>
      <c r="E7" s="4" t="n">
        <f aca="false">Assumptions!E28</f>
        <v>52</v>
      </c>
      <c r="F7" s="4" t="n">
        <f aca="false">Assumptions!F28</f>
        <v>52</v>
      </c>
      <c r="G7" s="4" t="n">
        <f aca="false">Assumptions!G28</f>
        <v>52</v>
      </c>
      <c r="H7" s="4" t="n">
        <f aca="false">Assumptions!H28</f>
        <v>51.5</v>
      </c>
      <c r="I7" s="4" t="n">
        <f aca="false">Assumptions!I28</f>
        <v>51.5</v>
      </c>
      <c r="J7" s="4" t="n">
        <f aca="false">Assumptions!J28</f>
        <v>51</v>
      </c>
      <c r="K7" s="4" t="n">
        <f aca="false">Assumptions!K28</f>
        <v>51</v>
      </c>
      <c r="L7" s="4" t="n">
        <f aca="false">Assumptions!L28</f>
        <v>51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1917103.86465</v>
      </c>
      <c r="D8" s="0" t="n">
        <f aca="false">D6*D7/100</f>
        <v>2056178.973411</v>
      </c>
      <c r="E8" s="0" t="n">
        <f aca="false">E6*E7/100</f>
        <v>2188447.796262</v>
      </c>
      <c r="F8" s="0" t="n">
        <f aca="false">F6*F7/100</f>
        <v>2275985.70811248</v>
      </c>
      <c r="G8" s="0" t="n">
        <f aca="false">G6*G7/100</f>
        <v>2355645.20789642</v>
      </c>
      <c r="H8" s="0" t="n">
        <f aca="false">H6*H7/100</f>
        <v>2402984.61640126</v>
      </c>
      <c r="I8" s="0" t="n">
        <f aca="false">I6*I7/100</f>
        <v>2463059.23181129</v>
      </c>
      <c r="J8" s="0" t="n">
        <f aca="false">J6*J7/100</f>
        <v>2500124.68627059</v>
      </c>
      <c r="K8" s="0" t="n">
        <f aca="false">K6*K7/100</f>
        <v>2550127.179996</v>
      </c>
      <c r="L8" s="0" t="n">
        <f aca="false">L6*L7/100</f>
        <v>2601129.72359592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1917103.86465</v>
      </c>
      <c r="D11" s="0" t="n">
        <f aca="false">D8+D10+D24</f>
        <v>2056178.973411</v>
      </c>
      <c r="E11" s="0" t="n">
        <f aca="false">E8+E10+E24</f>
        <v>2188447.796262</v>
      </c>
      <c r="F11" s="0" t="n">
        <f aca="false">F8+F10+F24</f>
        <v>2275985.70811248</v>
      </c>
      <c r="G11" s="0" t="n">
        <f aca="false">G8+G10+G24</f>
        <v>2355645.20789642</v>
      </c>
      <c r="H11" s="0" t="n">
        <f aca="false">H8+H10+H24</f>
        <v>2402984.61640126</v>
      </c>
      <c r="I11" s="0" t="n">
        <f aca="false">I8+I10+I24</f>
        <v>2463059.23181129</v>
      </c>
      <c r="J11" s="0" t="n">
        <f aca="false">J8+J10+J24</f>
        <v>2500124.68627059</v>
      </c>
      <c r="K11" s="0" t="n">
        <f aca="false">K8+K10+K24</f>
        <v>2550127.179996</v>
      </c>
      <c r="L11" s="0" t="n">
        <f aca="false">L8+L10+L24</f>
        <v>2601129.72359592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1917103.86465</v>
      </c>
      <c r="D13" s="0" t="n">
        <f aca="false">D11+D12</f>
        <v>2056178.973411</v>
      </c>
      <c r="E13" s="0" t="n">
        <f aca="false">E11+E12</f>
        <v>2188447.796262</v>
      </c>
      <c r="F13" s="0" t="n">
        <f aca="false">F11+F12</f>
        <v>2275985.70811248</v>
      </c>
      <c r="G13" s="0" t="n">
        <f aca="false">G11+G12</f>
        <v>2355645.20789642</v>
      </c>
      <c r="H13" s="0" t="n">
        <f aca="false">H11+H12</f>
        <v>2402984.61640126</v>
      </c>
      <c r="I13" s="0" t="n">
        <f aca="false">I11+I12</f>
        <v>2463059.23181129</v>
      </c>
      <c r="J13" s="0" t="n">
        <f aca="false">J11+J12</f>
        <v>2500124.68627059</v>
      </c>
      <c r="K13" s="0" t="n">
        <f aca="false">K11+K12</f>
        <v>2550127.179996</v>
      </c>
      <c r="L13" s="0" t="n">
        <f aca="false">L11+L12</f>
        <v>2601129.72359592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1399485.8211945</v>
      </c>
      <c r="D15" s="0" t="n">
        <f aca="false">D13-MAX(0,D13)*D14/100</f>
        <v>1501010.65059003</v>
      </c>
      <c r="E15" s="0" t="n">
        <f aca="false">E13-MAX(0,E13)*E14/100</f>
        <v>1597566.89127126</v>
      </c>
      <c r="F15" s="0" t="n">
        <f aca="false">F13-MAX(0,F13)*F14/100</f>
        <v>1661469.56692211</v>
      </c>
      <c r="G15" s="0" t="n">
        <f aca="false">G13-MAX(0,G13)*G14/100</f>
        <v>1719621.00176438</v>
      </c>
      <c r="H15" s="0" t="n">
        <f aca="false">H13-MAX(0,H13)*H14/100</f>
        <v>1754178.76997292</v>
      </c>
      <c r="I15" s="0" t="n">
        <f aca="false">I13-MAX(0,I13)*I14/100</f>
        <v>1798033.23922224</v>
      </c>
      <c r="J15" s="0" t="n">
        <f aca="false">J13-MAX(0,J13)*J14/100</f>
        <v>1825091.02097753</v>
      </c>
      <c r="K15" s="0" t="n">
        <f aca="false">K13-MAX(0,K13)*K14/100</f>
        <v>1861592.84139708</v>
      </c>
      <c r="L15" s="0" t="n">
        <f aca="false">L13-MAX(0,L13)*L14/100</f>
        <v>1898824.69822502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-459046.17193</v>
      </c>
      <c r="D17" s="4" t="n">
        <f aca="false">-D6*Assumptions!D32/100</f>
        <v>-477370.2061077</v>
      </c>
      <c r="E17" s="4" t="n">
        <f aca="false">-E6*Assumptions!E32/100</f>
        <v>-496609.3076133</v>
      </c>
      <c r="F17" s="4" t="n">
        <f aca="false">-F6*Assumptions!F32/100</f>
        <v>-451695.625148477</v>
      </c>
      <c r="G17" s="4" t="n">
        <f aca="false">-G6*Assumptions!G32/100</f>
        <v>-400912.694036217</v>
      </c>
      <c r="H17" s="4" t="n">
        <f aca="false">-H6*Assumptions!H32/100</f>
        <v>-412940.074857304</v>
      </c>
      <c r="I17" s="4" t="n">
        <f aca="false">-I6*Assumptions!I32/100</f>
        <v>-354393.571023722</v>
      </c>
      <c r="J17" s="4" t="n">
        <f aca="false">-J6*Assumptions!J32/100</f>
        <v>-363253.410299315</v>
      </c>
      <c r="K17" s="4" t="n">
        <f aca="false">-K6*Assumptions!K32/100</f>
        <v>-298014.862603454</v>
      </c>
      <c r="L17" s="4" t="n">
        <f aca="false">-L6*Assumptions!L32/100</f>
        <v>-303975.159855523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940439.6492645</v>
      </c>
      <c r="D19" s="0" t="n">
        <f aca="false">D15+D16+D17+D18</f>
        <v>1023640.44448233</v>
      </c>
      <c r="E19" s="0" t="n">
        <f aca="false">E15+E16+E17+E18</f>
        <v>1100957.58365796</v>
      </c>
      <c r="F19" s="0" t="n">
        <f aca="false">F15+F16+F17+F18</f>
        <v>1209773.94177363</v>
      </c>
      <c r="G19" s="0" t="n">
        <f aca="false">G15+G16+G17+G18</f>
        <v>1318708.30772817</v>
      </c>
      <c r="H19" s="0" t="n">
        <f aca="false">H15+H16+H17+H18</f>
        <v>1341238.69511562</v>
      </c>
      <c r="I19" s="0" t="n">
        <f aca="false">I15+I16+I17+I18</f>
        <v>1443639.66819852</v>
      </c>
      <c r="J19" s="0" t="n">
        <f aca="false">J15+J16+J17+J18</f>
        <v>1461837.61067821</v>
      </c>
      <c r="K19" s="0" t="n">
        <f aca="false">K15+K16+K17+K18</f>
        <v>1563577.97879362</v>
      </c>
      <c r="L19" s="0" t="n">
        <f aca="false">L15+L16+L17+L18</f>
        <v>1594849.5383695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862788.66905</v>
      </c>
      <c r="D21" s="0" t="n">
        <f aca="false">D19*D20</f>
        <v>861577.682419266</v>
      </c>
      <c r="E21" s="0" t="n">
        <f aca="false">E19*E20</f>
        <v>850141.258348624</v>
      </c>
      <c r="F21" s="0" t="n">
        <f aca="false">F19*F20</f>
        <v>857034.360042161</v>
      </c>
      <c r="G21" s="0" t="n">
        <f aca="false">G19*G20</f>
        <v>857069.918564913</v>
      </c>
      <c r="H21" s="0" t="n">
        <f aca="false">H19*H20</f>
        <v>799736.811443555</v>
      </c>
      <c r="I21" s="0" t="n">
        <f aca="false">I19*I20</f>
        <v>789720.335718834</v>
      </c>
      <c r="J21" s="0" t="n">
        <f aca="false">J19*J20</f>
        <v>733647.003156803</v>
      </c>
      <c r="K21" s="0" t="n">
        <f aca="false">K19*K20</f>
        <v>719914.736876534</v>
      </c>
      <c r="L21" s="0" t="n">
        <f aca="false">L19*L20</f>
        <v>673681.680379876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8005312.45600057</v>
      </c>
    </row>
    <row r="31" customFormat="false" ht="15" hidden="false" customHeight="false" outlineLevel="0" collapsed="false">
      <c r="A31" s="0" t="s">
        <v>138</v>
      </c>
      <c r="B31" s="0" t="n">
        <f aca="false">L19</f>
        <v>1594849.5383695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23239236.1305269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25517592.6139119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23239236.1305269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9816504.48553533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17821816.9415359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17621816.9415359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9.07650353303612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-0.166528601190439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9.07650353303612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12513434.8395145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4.63321719636136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12</v>
      </c>
      <c r="D5" s="4" t="n">
        <f aca="false">Assumptions!D41</f>
        <v>8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3469055</v>
      </c>
      <c r="C6" s="0" t="n">
        <f aca="false">B6*(1+C5/100)</f>
        <v>3885341.6</v>
      </c>
      <c r="D6" s="0" t="n">
        <f aca="false">C6*(1+D5/100)</f>
        <v>4196168.928</v>
      </c>
      <c r="E6" s="0" t="n">
        <f aca="false">D6*(1+E5/100)</f>
        <v>4447939.06368</v>
      </c>
      <c r="F6" s="0" t="n">
        <f aca="false">E6*(1+F5/100)</f>
        <v>4670336.016864</v>
      </c>
      <c r="G6" s="0" t="n">
        <f aca="false">F6*(1+G5/100)</f>
        <v>4880501.13762288</v>
      </c>
      <c r="H6" s="0" t="n">
        <f aca="false">G6*(1+H5/100)</f>
        <v>5075721.1831278</v>
      </c>
      <c r="I6" s="0" t="n">
        <f aca="false">H6*(1+I5/100)</f>
        <v>5253371.42453727</v>
      </c>
      <c r="J6" s="0" t="n">
        <f aca="false">I6*(1+J5/100)</f>
        <v>5410972.56727339</v>
      </c>
      <c r="K6" s="0" t="n">
        <f aca="false">J6*(1+K5/100)</f>
        <v>5546246.88145522</v>
      </c>
      <c r="L6" s="0" t="n">
        <f aca="false">K6*(1+L5/100)</f>
        <v>5684903.0534916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52</v>
      </c>
      <c r="D7" s="4" t="n">
        <f aca="false">Assumptions!D42</f>
        <v>53</v>
      </c>
      <c r="E7" s="4" t="n">
        <f aca="false">Assumptions!E42</f>
        <v>54</v>
      </c>
      <c r="F7" s="4" t="n">
        <f aca="false">Assumptions!F42</f>
        <v>54.5</v>
      </c>
      <c r="G7" s="4" t="n">
        <f aca="false">Assumptions!G42</f>
        <v>54.5</v>
      </c>
      <c r="H7" s="4" t="n">
        <f aca="false">Assumptions!H42</f>
        <v>54.5</v>
      </c>
      <c r="I7" s="4" t="n">
        <f aca="false">Assumptions!I42</f>
        <v>54</v>
      </c>
      <c r="J7" s="4" t="n">
        <f aca="false">Assumptions!J42</f>
        <v>54</v>
      </c>
      <c r="K7" s="4" t="n">
        <f aca="false">Assumptions!K42</f>
        <v>54</v>
      </c>
      <c r="L7" s="4" t="n">
        <f aca="false">Assumptions!L42</f>
        <v>54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2020377.632</v>
      </c>
      <c r="D8" s="0" t="n">
        <f aca="false">D6*D7/100</f>
        <v>2223969.53184</v>
      </c>
      <c r="E8" s="0" t="n">
        <f aca="false">E6*E7/100</f>
        <v>2401887.0943872</v>
      </c>
      <c r="F8" s="0" t="n">
        <f aca="false">F6*F7/100</f>
        <v>2545333.12919088</v>
      </c>
      <c r="G8" s="0" t="n">
        <f aca="false">G6*G7/100</f>
        <v>2659873.12000447</v>
      </c>
      <c r="H8" s="0" t="n">
        <f aca="false">H6*H7/100</f>
        <v>2766268.04480465</v>
      </c>
      <c r="I8" s="0" t="n">
        <f aca="false">I6*I7/100</f>
        <v>2836820.56925013</v>
      </c>
      <c r="J8" s="0" t="n">
        <f aca="false">J6*J7/100</f>
        <v>2921925.18632763</v>
      </c>
      <c r="K8" s="0" t="n">
        <f aca="false">K6*K7/100</f>
        <v>2994973.31598582</v>
      </c>
      <c r="L8" s="0" t="n">
        <f aca="false">L6*L7/100</f>
        <v>3069847.64888547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2020377.632</v>
      </c>
      <c r="D11" s="0" t="n">
        <f aca="false">D8+D10+D24</f>
        <v>2223969.53184</v>
      </c>
      <c r="E11" s="0" t="n">
        <f aca="false">E8+E10+E24</f>
        <v>2401887.0943872</v>
      </c>
      <c r="F11" s="0" t="n">
        <f aca="false">F8+F10+F24</f>
        <v>2545333.12919088</v>
      </c>
      <c r="G11" s="0" t="n">
        <f aca="false">G8+G10+G24</f>
        <v>2659873.12000447</v>
      </c>
      <c r="H11" s="0" t="n">
        <f aca="false">H8+H10+H24</f>
        <v>2766268.04480465</v>
      </c>
      <c r="I11" s="0" t="n">
        <f aca="false">I8+I10+I24</f>
        <v>2836820.56925013</v>
      </c>
      <c r="J11" s="0" t="n">
        <f aca="false">J8+J10+J24</f>
        <v>2921925.18632763</v>
      </c>
      <c r="K11" s="0" t="n">
        <f aca="false">K8+K10+K24</f>
        <v>2994973.31598582</v>
      </c>
      <c r="L11" s="0" t="n">
        <f aca="false">L8+L10+L24</f>
        <v>3069847.64888547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2020377.632</v>
      </c>
      <c r="D13" s="0" t="n">
        <f aca="false">D11+D12</f>
        <v>2223969.53184</v>
      </c>
      <c r="E13" s="0" t="n">
        <f aca="false">E11+E12</f>
        <v>2401887.0943872</v>
      </c>
      <c r="F13" s="0" t="n">
        <f aca="false">F11+F12</f>
        <v>2545333.12919088</v>
      </c>
      <c r="G13" s="0" t="n">
        <f aca="false">G11+G12</f>
        <v>2659873.12000447</v>
      </c>
      <c r="H13" s="0" t="n">
        <f aca="false">H11+H12</f>
        <v>2766268.04480465</v>
      </c>
      <c r="I13" s="0" t="n">
        <f aca="false">I11+I12</f>
        <v>2836820.56925013</v>
      </c>
      <c r="J13" s="0" t="n">
        <f aca="false">J11+J12</f>
        <v>2921925.18632763</v>
      </c>
      <c r="K13" s="0" t="n">
        <f aca="false">K11+K12</f>
        <v>2994973.31598582</v>
      </c>
      <c r="L13" s="0" t="n">
        <f aca="false">L11+L12</f>
        <v>3069847.64888547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1474875.67136</v>
      </c>
      <c r="D15" s="0" t="n">
        <f aca="false">D13-MAX(0,D13)*D14/100</f>
        <v>1623497.7582432</v>
      </c>
      <c r="E15" s="0" t="n">
        <f aca="false">E13-MAX(0,E13)*E14/100</f>
        <v>1753377.57890266</v>
      </c>
      <c r="F15" s="0" t="n">
        <f aca="false">F13-MAX(0,F13)*F14/100</f>
        <v>1858093.18430934</v>
      </c>
      <c r="G15" s="0" t="n">
        <f aca="false">G13-MAX(0,G13)*G14/100</f>
        <v>1941707.37760326</v>
      </c>
      <c r="H15" s="0" t="n">
        <f aca="false">H13-MAX(0,H13)*H14/100</f>
        <v>2019375.67270739</v>
      </c>
      <c r="I15" s="0" t="n">
        <f aca="false">I13-MAX(0,I13)*I14/100</f>
        <v>2070879.01555259</v>
      </c>
      <c r="J15" s="0" t="n">
        <f aca="false">J13-MAX(0,J13)*J14/100</f>
        <v>2133005.38601917</v>
      </c>
      <c r="K15" s="0" t="n">
        <f aca="false">K13-MAX(0,K13)*K14/100</f>
        <v>2186330.52066965</v>
      </c>
      <c r="L15" s="0" t="n">
        <f aca="false">L13-MAX(0,L13)*L14/100</f>
        <v>2240988.78368639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-516361.89864</v>
      </c>
      <c r="D17" s="4" t="n">
        <f aca="false">-D6*Assumptions!D46/100</f>
        <v>-539627.3241408</v>
      </c>
      <c r="E17" s="4" t="n">
        <f aca="false">-E6*Assumptions!E46/100</f>
        <v>-563998.673274624</v>
      </c>
      <c r="F17" s="4" t="n">
        <f aca="false">-F6*Assumptions!F46/100</f>
        <v>-524011.701092141</v>
      </c>
      <c r="G17" s="4" t="n">
        <f aca="false">-G6*Assumptions!G46/100</f>
        <v>-544663.926958714</v>
      </c>
      <c r="H17" s="4" t="n">
        <f aca="false">-H6*Assumptions!H46/100</f>
        <v>-495897.959591586</v>
      </c>
      <c r="I17" s="4" t="n">
        <f aca="false">-I6*Assumptions!I46/100</f>
        <v>-439707.188233769</v>
      </c>
      <c r="J17" s="4" t="n">
        <f aca="false">-J6*Assumptions!J46/100</f>
        <v>-452898.403880783</v>
      </c>
      <c r="K17" s="4" t="n">
        <f aca="false">-K6*Assumptions!K46/100</f>
        <v>-388791.906390011</v>
      </c>
      <c r="L17" s="4" t="n">
        <f aca="false">-L6*Assumptions!L46/100</f>
        <v>-398511.704049761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958513.77272</v>
      </c>
      <c r="D19" s="0" t="n">
        <f aca="false">D15+D16+D17+D18</f>
        <v>1083870.4341024</v>
      </c>
      <c r="E19" s="0" t="n">
        <f aca="false">E15+E16+E17+E18</f>
        <v>1189378.90562803</v>
      </c>
      <c r="F19" s="0" t="n">
        <f aca="false">F15+F16+F17+F18</f>
        <v>1334081.4832172</v>
      </c>
      <c r="G19" s="0" t="n">
        <f aca="false">G15+G16+G17+G18</f>
        <v>1397043.45064455</v>
      </c>
      <c r="H19" s="0" t="n">
        <f aca="false">H15+H16+H17+H18</f>
        <v>1523477.71311581</v>
      </c>
      <c r="I19" s="0" t="n">
        <f aca="false">I15+I16+I17+I18</f>
        <v>1631171.82731882</v>
      </c>
      <c r="J19" s="0" t="n">
        <f aca="false">J15+J16+J17+J18</f>
        <v>1680106.98213839</v>
      </c>
      <c r="K19" s="0" t="n">
        <f aca="false">K15+K16+K17+K18</f>
        <v>1797538.61427964</v>
      </c>
      <c r="L19" s="0" t="n">
        <f aca="false">L15+L16+L17+L18</f>
        <v>1842477.07963663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879370.433688073</v>
      </c>
      <c r="D21" s="0" t="n">
        <f aca="false">D19*D20</f>
        <v>912272.059677132</v>
      </c>
      <c r="E21" s="0" t="n">
        <f aca="false">E19*E20</f>
        <v>918418.742459074</v>
      </c>
      <c r="F21" s="0" t="n">
        <f aca="false">F19*F20</f>
        <v>945096.956326316</v>
      </c>
      <c r="G21" s="0" t="n">
        <f aca="false">G19*G20</f>
        <v>907982.386596436</v>
      </c>
      <c r="H21" s="0" t="n">
        <f aca="false">H19*H20</f>
        <v>908399.983559624</v>
      </c>
      <c r="I21" s="0" t="n">
        <f aca="false">I19*I20</f>
        <v>892306.848767046</v>
      </c>
      <c r="J21" s="0" t="n">
        <f aca="false">J19*J20</f>
        <v>843189.040578034</v>
      </c>
      <c r="K21" s="0" t="n">
        <f aca="false">K19*K20</f>
        <v>827636.712767582</v>
      </c>
      <c r="L21" s="0" t="n">
        <f aca="false">L19*L20</f>
        <v>778282.229896121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8812955.39431544</v>
      </c>
    </row>
    <row r="31" customFormat="false" ht="15" hidden="false" customHeight="false" outlineLevel="0" collapsed="false">
      <c r="A31" s="0" t="s">
        <v>138</v>
      </c>
      <c r="B31" s="0" t="n">
        <f aca="false">L19</f>
        <v>1842477.07963663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29054446.2558084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29479633.2741861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29054446.2558084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12272912.0868234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21085867.4811389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20885867.4811389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10.7577243942564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-0.0121465202703043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10.7577243942564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15108312.0530204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5.26118624854402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6.68766602078446</v>
      </c>
      <c r="C4" s="0" t="n">
        <f aca="false">B4/Assumptions!$B$2-1</f>
        <v>-0.385889254289765</v>
      </c>
      <c r="D4" s="4" t="n">
        <f aca="false">Assumptions!$B$24</f>
        <v>0.25</v>
      </c>
      <c r="E4" s="4" t="n">
        <f aca="false">DCF_Bear!$B$43</f>
        <v>6.68766602078446</v>
      </c>
      <c r="F4" s="4" t="n">
        <f aca="false">DCF_Bear!$B$47</f>
        <v>3.59992677422726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9.07650353303612</v>
      </c>
      <c r="C5" s="0" t="n">
        <f aca="false">B5/Assumptions!$B$2-1</f>
        <v>-0.166528601190439</v>
      </c>
      <c r="D5" s="4" t="n">
        <f aca="false">Assumptions!$B$38</f>
        <v>0.5</v>
      </c>
      <c r="E5" s="4" t="n">
        <f aca="false">DCF_Base!$B$43</f>
        <v>9.07650353303612</v>
      </c>
      <c r="F5" s="4" t="n">
        <f aca="false">DCF_Base!$B$47</f>
        <v>4.63321719636136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10.7577243942564</v>
      </c>
      <c r="C6" s="0" t="n">
        <f aca="false">B6/Assumptions!$B$2-1</f>
        <v>-0.0121465202703043</v>
      </c>
      <c r="D6" s="4" t="n">
        <f aca="false">Assumptions!$B$52</f>
        <v>0.25</v>
      </c>
      <c r="E6" s="4" t="n">
        <f aca="false">DCF_Bull!$B$43</f>
        <v>10.7577243942564</v>
      </c>
      <c r="F6" s="4" t="n">
        <f aca="false">DCF_Bull!$B$47</f>
        <v>5.26118624854402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8.89959937027827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8.89959937027827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-0.223650587729714</v>
      </c>
    </row>
    <row r="11" customFormat="false" ht="15" hidden="false" customHeight="false" outlineLevel="0" collapsed="false">
      <c r="A11" s="0" t="s">
        <v>165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4.5318868538735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9.07650353303612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7.86557444111698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6.92666880527999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6.17800221008921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4.63321719636136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11.1314723277441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11.1314723277441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11.1314723277441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11.1314723277441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11.1314723277441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9.7173713427281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10.1689489737737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10.3152935764274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10.3152935764274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10.3152935764274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8.40110345856431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8.71629015998449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9.07650353303612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9.4921343480957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9.57221000971268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7.38171307218379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7.60941253991706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7.86557444111698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8.1558912624769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8.48768191545967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6.56985775638123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6.7388735163859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6.92666880527999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7.13655765757337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7.37268261640344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2026-10-03T23:19:19Z</dcterms:created>
  <dc:creator>openpyxl</dc:creator>
  <dc:description/>
  <dc:language>en-NZ</dc:language>
  <cp:lastModifiedBy/>
  <dcterms:modified xsi:type="dcterms:W3CDTF">2026-10-03T23:19:19Z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