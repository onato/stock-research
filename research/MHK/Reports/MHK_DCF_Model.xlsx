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<sst xmlns="http://schemas.openxmlformats.org/spreadsheetml/2006/main" count="386" uniqueCount="173">
  <si>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</si>
  <si>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MHK</t>
  </si>
  <si>
    <t xml:space="preserve">Company</t>
  </si>
  <si>
    <t xml:space="preserve">Mohawk Industries,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</si>
  <si>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</si>
  <si>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</si>
  <si>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</si>
  <si>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</si>
  <si>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(NYSE)</t>
  </si>
  <si>
    <t xml:space="preserve">Balance sheet date</t>
  </si>
  <si>
    <t xml:space="preserve">2026-06-27 (Q2-2026 10-Q; the XBRL feed labels this period 'Q3 2026' -- see notes)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</si>
  <si>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</si>
  <si>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</si>
  <si>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</si>
  <si>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</si>
  <si>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</si>
  <si>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</si>
  <si>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</si>
  <si>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</si>
  <si>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</si>
  <si>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</si>
  <si>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2026-10-02T00:58:25Z</t>
  </si>
  <si>
    <t xml:space="preserve">Drivers file</t>
  </si>
  <si>
    <t xml:space="preserve">MHK_Drivers.json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</si>
  <si>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</si>
  <si>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</si>
  <si>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</si>
  <si>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for a late-cycle, capital-intensive flooring manufacturer. The valuation deliberately does not capitalise either the FY2016-17 peak margins or the FY2025 trough: the base converges to a 13.5% EBITDA margin and a ~5.7% owner-FCF margin, roughly the FY2016-25 decade average, and caps the terminal multiple at 14x owner FCF because the market has never paid a compounder multiple for Mohawk. Cyclical risk is priced in the 25/50/25 scenario weights, not in the discount rate. SBC is immaterial (0.28% of revenue) so the house/street spread is a few dollars per share; buybacks are treated as value-neutral.
key_risks_to_valuation: Housing turnover and remodeling activity fail to recover from current lows, leaving the margin stuck near 11% rather than reaching the 13.5% mid-cycle assumed by FY2031; Tariff costs on imported inputs and finished goods are not recovered through pricing, and the FY2025-26 tariff refunds that flattered reported earnings do not recur; Secular carpet-to-hard-surface mix shift and Asian/European LVT and ceramic imports compress pricing power even in a volume recovery; Capex normalising to D&amp;A (modelled 4.1% -&gt; 5.2% of revenue) is itself an assumption; a renewed capacity-expansion cycle like FY2016-18 would push capex above D&amp;A; A European recession or energy price spike (ceramic kilns) hits Flooring ROW and Global Ceramic, ~60% of sales; XBRL period labels in the feed are shifted one quarter; if the H1-2026 figures are themselves mis-tagged the FY2026 growth anchor would move</t>
  </si>
  <si>
    <t xml:space="preserve">Data sources</t>
  </si>
  <si>
    <t xml:space="preserve">price: Yahoo Finance chart API regular close at inputs.price_as_of; 52-week range 92.99-140.30
financials: research/MHK/Reports/MHK_Metrics.csv (SEC XBRL companyfacts, FY2007-Q2 2026; the feed's 'Q2 2026'/'Q3 2026' rows are Q1/Q2 2026). Balance sheet and share count from the Q2-2026 10-Q (quarter ended 2026-06-27); FY0 flows from the FY2025 10-K.
qualitative: research/MHK/Reports/MHK_Analysis.json (2026-10-02): segment mix, $285m restructuring program, $460m FY2026 capex guide, $500m buyback authorisation, Q3-2026 adjusted EPS guide $2.38-2.48 ex tariff refunds</t>
  </si>
  <si>
    <t xml:space="preserve">Scenario narrative: bear</t>
  </si>
  <si>
    <t xml:space="preserve">Rates stay higher for longer, the consumer weakens, and 2027 brings a housing and remodeling recession that takes revenue down 4% then 1% while fixed-cost ceramic kilns and carpet plants deleverage the margin below 10%. Tariff costs cannot be fully passed through against imported LVT, the FY2025-26 tariff refunds do not recur, and restructuring charges extend past 2027. Recovery is a 2% nominal grind as soft flooring keeps losing share. Mohawk's balance sheet (net debt ~0.9x EBITDA, $850m cash) means this is an earnings-power problem and not a solvency one: FCF actually holds up in the downturn year as working capital releases and capex is cut, exactly as in FY2020. Terminal cap 12x.</t>
  </si>
  <si>
    <t xml:space="preserve">Scenario narrative: base</t>
  </si>
  <si>
    <t xml:space="preserve">Flooring demand is at a cyclical trough (existing-home sales near 30-year lows, European construction flat), and Mohawk is using the trough to cut $285m of structural cost. The base case assumes no boom: FY2026 revenue +5% on translation and tariff-driven pricing, then 3-3.5% as housing turnover slowly normalises, with the EBITDA margin recovering from 11.8% to a 13.5% mid-cycle by FY2031 -- well below the 19% FY2016-17 peak, because the carpet-to-LVT mix shift and Asian/European import pressure in ceramic and resilient are structural. Capex drifts back up toward D&amp;A (4.1% -&gt; 5.2%) so the model does not capitalise an under-investment phase. Terminal value is capped at 14x owner FCF, which binds (Gordon at 9%/2.5% would be 15.8x). The result is a business worth roughly its decade-average owner FCF of ~5.6% of revenue capitalised at a cyclical multiple.</t>
  </si>
  <si>
    <t xml:space="preserve">Scenario narrative: bull</t>
  </si>
  <si>
    <t xml:space="preserve">Mortgage rates ease through 2027, unlocking the pent-up remodeling demand from an aging housing stock and record home equity, and the US housing supply deficit lifts new construction. Mohawk's USMCA-exempt Mexican ceramic and LVT plants take share from tariff-exposed importers, and the full $285m of restructuring savings drops through on rising volume, lifting the EBITDA margin to 15% (FY2019-21 range plus savings). Revenue compounds ~5% for three years before fading to 3%. The $500m buyback authorisation keeps shrinking the count, which this model treats as value-neutral; a reader who credits buybacks per share would add to this case. Terminal cap 15x.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</si>
  <si>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</si>
  <si>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</si>
  <si>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</si>
  <si>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</si>
  <si>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</si>
  <si>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</si>
  <si>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</si>
  <si>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</si>
  <si>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</si>
  <si>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</si>
  <si>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</si>
  <si>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</si>
  <si>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</si>
  <si>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</si>
  <si>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</si>
  <si>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</si>
  <si>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</si>
  <si>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</si>
  <si>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</si>
  <si>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</si>
  <si>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</si>
  <si>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</si>
  <si>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</si>
  <si>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</si>
  <si>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</si>
  <si>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</si>
  <si>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</si>
  <si>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</si>
  <si>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</si>
  <si>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</si>
  <si>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</si>
  <si>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</si>
  <si>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</si>
  <si>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</si>
  <si>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</si>
  <si>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</si>
  <si>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</si>
  <si>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</si>
  <si>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</si>
  <si>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</si>
  <si>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</si>
  <si>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</si>
  <si>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</si>
  <si>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</si>
  <si>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</si>
  <si>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</si>
  <si>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</si>
  <si>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</si>
  <si>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</si>
  <si>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</si>
  <si>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</si>
  <si>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</si>
  <si>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</si>
  <si>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</si>
  <si>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</si>
  <si>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</si>
  <si>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</si>
  <si>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</si>
  <si>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</si>
  <si>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</si>
  <si>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</si>
  <si>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</si>
  <si>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</si>
  <si>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</si>
  <si>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</si>
  <si>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</si>
  <si>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</si>
  <si>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</si>
  <si>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</si>
  <si>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</si>
  <si>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</si>
  <si>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</si>
  <si>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</si>
  <si>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</si>
  <si>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</si>
  <si>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</si>
  <si>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</si>
  <si>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</si>
  <si>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</si>
  <si>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</si>
  <si>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</si>
  <si>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</si>
  <si>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</si>
  <si>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</si>
  <si>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</si>
  <si>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</si>
  <si>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</si>
  <si>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</si>
  <si>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</si>
  <si>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</si>
  <si>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</si>
  <si>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</si>
  <si>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</si>
  <si>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</si>
  <si>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</si>
  <si>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</si>
  <si>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</si>
  <si>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</si>
  <si>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</si>
  <si>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</si>
  <si>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</si>
  <si>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</si>
  <si>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</si>
  <si>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</si>
  <si>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</si>
  <si>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</si>
  <si>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</si>
  <si>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</si>
  <si>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</si>
  <si>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</si>
  <si>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</si>
  <si>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</si>
  <si>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</si>
  <si>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</si>
  <si>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MHK owner-FCF component DCF: base case (millions, USD)</t>
  </si>
  <si>
    <t xml:space="preserve">MHK owner-FCF component DCF: bull case (millions, USD)</t>
  </si>
  <si>
    <t xml:space="preserve">MHK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</si>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</sst>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125.12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4707.357</v>
      </c>
      <c r="S2" s="0" t="n">
        <v>89.604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1737.764</v>
      </c>
      <c r="F3" s="0" t="n">
        <v>-1124.134</v>
      </c>
      <c r="H3" s="0" t="n">
        <v>-829.08</v>
      </c>
      <c r="I3" s="0" t="n">
        <v>-1458.228</v>
      </c>
      <c r="K3" s="0" t="n">
        <v>-21.32</v>
      </c>
      <c r="L3" s="0" t="n">
        <v>576.086</v>
      </c>
      <c r="M3" s="0" t="n">
        <v>217.824</v>
      </c>
      <c r="N3" s="0" t="n">
        <v>358.262</v>
      </c>
      <c r="O3" s="0" t="n">
        <v>3153.803</v>
      </c>
      <c r="S3" s="0" t="n">
        <v>93.519</v>
      </c>
      <c r="U3" s="0" t="n">
        <v>11.991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1232.23</v>
      </c>
      <c r="F4" s="0" t="n">
        <v>43.73</v>
      </c>
      <c r="H4" s="0" t="n">
        <v>346.734</v>
      </c>
      <c r="I4" s="0" t="n">
        <v>-5.499</v>
      </c>
      <c r="K4" s="0" t="n">
        <v>-0.08</v>
      </c>
      <c r="L4" s="0" t="n">
        <v>672.205</v>
      </c>
      <c r="M4" s="0" t="n">
        <v>108.925</v>
      </c>
      <c r="N4" s="0" t="n">
        <v>563.28</v>
      </c>
      <c r="O4" s="0" t="n">
        <v>3234.282</v>
      </c>
      <c r="P4" s="0" t="n">
        <v>6391.446</v>
      </c>
      <c r="Q4" s="0" t="n">
        <v>3157.164</v>
      </c>
      <c r="R4" s="0" t="n">
        <v>1854.479</v>
      </c>
      <c r="S4" s="0" t="n">
        <v>531.458</v>
      </c>
      <c r="T4" s="0" t="n">
        <v>68.452</v>
      </c>
      <c r="U4" s="0" t="n">
        <v>9.653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1402.6</v>
      </c>
      <c r="F5" s="0" t="n">
        <v>314.169</v>
      </c>
      <c r="H5" s="0" t="n">
        <v>610.942</v>
      </c>
      <c r="I5" s="0" t="n">
        <v>189.935</v>
      </c>
      <c r="K5" s="0" t="n">
        <v>2.66</v>
      </c>
      <c r="L5" s="0" t="n">
        <v>319.712</v>
      </c>
      <c r="M5" s="0" t="n">
        <v>156.18</v>
      </c>
      <c r="N5" s="0" t="n">
        <v>163.532</v>
      </c>
      <c r="O5" s="0" t="n">
        <v>3271.556</v>
      </c>
      <c r="P5" s="0" t="n">
        <v>6098.926</v>
      </c>
      <c r="Q5" s="0" t="n">
        <v>2791.929</v>
      </c>
      <c r="R5" s="0" t="n">
        <v>1653.582</v>
      </c>
      <c r="S5" s="0" t="n">
        <v>354.217</v>
      </c>
      <c r="T5" s="0" t="n">
        <v>68.784</v>
      </c>
      <c r="U5" s="0" t="n">
        <v>6.888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-84.496</v>
      </c>
      <c r="D6" s="0" t="n">
        <v>1416.879</v>
      </c>
      <c r="E6" s="0" t="n">
        <v>-1676.85925960992</v>
      </c>
      <c r="F6" s="0" t="n">
        <v>315.542</v>
      </c>
      <c r="G6" s="0" t="n">
        <v>-373.440162847945</v>
      </c>
      <c r="H6" s="0" t="n">
        <v>613.276</v>
      </c>
      <c r="I6" s="0" t="n">
        <v>178.225</v>
      </c>
      <c r="J6" s="0" t="n">
        <v>-210.927144480212</v>
      </c>
      <c r="K6" s="0" t="n">
        <v>2.53</v>
      </c>
      <c r="L6" s="0" t="n">
        <v>300.993</v>
      </c>
      <c r="M6" s="0" t="n">
        <v>275.573</v>
      </c>
      <c r="N6" s="0" t="n">
        <v>25.42</v>
      </c>
      <c r="O6" s="0" t="n">
        <v>3415.785</v>
      </c>
      <c r="P6" s="0" t="n">
        <v>6206.228</v>
      </c>
      <c r="Q6" s="0" t="n">
        <v>2756.72</v>
      </c>
      <c r="R6" s="0" t="n">
        <v>1586.439</v>
      </c>
      <c r="S6" s="0" t="n">
        <v>311.945</v>
      </c>
      <c r="T6" s="0" t="n">
        <v>68.964</v>
      </c>
      <c r="U6" s="0" t="n">
        <v>10.159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-90.807</v>
      </c>
      <c r="D7" s="0" t="n">
        <v>1490.058</v>
      </c>
      <c r="E7" s="0" t="n">
        <v>-1640.90653804222</v>
      </c>
      <c r="F7" s="0" t="n">
        <v>379.508</v>
      </c>
      <c r="G7" s="0" t="n">
        <v>-417.928133293689</v>
      </c>
      <c r="H7" s="0" t="n">
        <v>659.801</v>
      </c>
      <c r="I7" s="0" t="n">
        <v>250.893</v>
      </c>
      <c r="J7" s="0" t="n">
        <v>-276.292576563481</v>
      </c>
      <c r="K7" s="0" t="n">
        <v>3.63</v>
      </c>
      <c r="L7" s="0" t="n">
        <v>587.59</v>
      </c>
      <c r="M7" s="0" t="n">
        <v>208.294</v>
      </c>
      <c r="N7" s="0" t="n">
        <v>379.296</v>
      </c>
      <c r="O7" s="0" t="n">
        <v>3719.617</v>
      </c>
      <c r="P7" s="0" t="n">
        <v>6303.684</v>
      </c>
      <c r="Q7" s="0" t="n">
        <v>2584.067</v>
      </c>
      <c r="R7" s="0" t="n">
        <v>1382.942</v>
      </c>
      <c r="S7" s="0" t="n">
        <v>477.672</v>
      </c>
      <c r="T7" s="0" t="n">
        <v>69.306</v>
      </c>
      <c r="U7" s="0" t="n">
        <v>14.082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-106.66</v>
      </c>
      <c r="D8" s="0" t="n">
        <v>1920.809</v>
      </c>
      <c r="E8" s="0" t="n">
        <v>-1800.870991937</v>
      </c>
      <c r="F8" s="0" t="n">
        <v>546.931</v>
      </c>
      <c r="G8" s="0" t="n">
        <v>-512.779861241328</v>
      </c>
      <c r="H8" s="0" t="n">
        <v>855.802</v>
      </c>
      <c r="I8" s="0" t="n">
        <v>349.291</v>
      </c>
      <c r="J8" s="0" t="n">
        <v>-327.480780048753</v>
      </c>
      <c r="K8" s="0" t="n">
        <v>4.86</v>
      </c>
      <c r="L8" s="0" t="n">
        <v>525.163</v>
      </c>
      <c r="M8" s="0" t="n">
        <v>366.55</v>
      </c>
      <c r="N8" s="0" t="n">
        <v>158.613</v>
      </c>
      <c r="O8" s="0" t="n">
        <v>4470.306</v>
      </c>
      <c r="P8" s="0" t="n">
        <v>8494.176</v>
      </c>
      <c r="Q8" s="0" t="n">
        <v>4023.871</v>
      </c>
      <c r="R8" s="0" t="n">
        <v>2260.008</v>
      </c>
      <c r="S8" s="0" t="n">
        <v>54.066</v>
      </c>
      <c r="T8" s="0" t="n">
        <v>72.301</v>
      </c>
      <c r="U8" s="0" t="n">
        <v>18.311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-116.348</v>
      </c>
      <c r="D9" s="0" t="n">
        <v>2154.192</v>
      </c>
      <c r="E9" s="0" t="n">
        <v>-1851.50754632654</v>
      </c>
      <c r="F9" s="0" t="n">
        <v>772.796</v>
      </c>
      <c r="G9" s="0" t="n">
        <v>-664.210815828377</v>
      </c>
      <c r="H9" s="0" t="n">
        <v>1118.366</v>
      </c>
      <c r="I9" s="0" t="n">
        <v>532.254</v>
      </c>
      <c r="J9" s="0" t="n">
        <v>-457.467253412177</v>
      </c>
      <c r="K9" s="0" t="n">
        <v>7.3</v>
      </c>
      <c r="L9" s="0" t="n">
        <v>662.188</v>
      </c>
      <c r="M9" s="0" t="n">
        <v>561.804</v>
      </c>
      <c r="N9" s="0" t="n">
        <v>100.384</v>
      </c>
      <c r="O9" s="0" t="n">
        <v>4422.813</v>
      </c>
      <c r="P9" s="0" t="n">
        <v>8285.544</v>
      </c>
      <c r="Q9" s="0" t="n">
        <v>3862.731</v>
      </c>
      <c r="R9" s="0" t="n">
        <v>2253.44</v>
      </c>
      <c r="S9" s="0" t="n">
        <v>97.877</v>
      </c>
      <c r="T9" s="0" t="n">
        <v>73.363</v>
      </c>
      <c r="U9" s="0" t="n">
        <v>27.961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2410.686</v>
      </c>
      <c r="F10" s="0" t="n">
        <v>837.566</v>
      </c>
      <c r="H10" s="0" t="n">
        <v>1200.213</v>
      </c>
      <c r="I10" s="0" t="n">
        <v>616.986</v>
      </c>
      <c r="K10" s="0" t="n">
        <v>8.37</v>
      </c>
      <c r="L10" s="0" t="n">
        <v>929.152</v>
      </c>
      <c r="M10" s="0" t="n">
        <v>503.657</v>
      </c>
      <c r="N10" s="0" t="n">
        <v>425.495</v>
      </c>
      <c r="O10" s="0" t="n">
        <v>4860.863</v>
      </c>
      <c r="P10" s="0" t="n">
        <v>9934.4</v>
      </c>
      <c r="Q10" s="0" t="n">
        <v>5051.585</v>
      </c>
      <c r="R10" s="0" t="n">
        <v>3191.967</v>
      </c>
      <c r="S10" s="0" t="n">
        <v>81.692</v>
      </c>
      <c r="T10" s="0" t="n">
        <v>74.043</v>
      </c>
      <c r="U10" s="0" t="n">
        <v>32.552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8959.087</v>
      </c>
      <c r="C11" s="0" t="n">
        <v>6146.262</v>
      </c>
      <c r="D11" s="0" t="n">
        <v>2812.825</v>
      </c>
      <c r="E11" s="0" t="n">
        <v>31.3963353631905</v>
      </c>
      <c r="F11" s="0" t="n">
        <v>1279.943</v>
      </c>
      <c r="G11" s="0" t="n">
        <v>14.2865338845353</v>
      </c>
      <c r="H11" s="0" t="n">
        <v>1689.41</v>
      </c>
      <c r="I11" s="0" t="n">
        <v>933.566</v>
      </c>
      <c r="J11" s="0" t="n">
        <v>10.420325196083</v>
      </c>
      <c r="K11" s="0" t="n">
        <v>12.55</v>
      </c>
      <c r="L11" s="0" t="n">
        <v>1345.289</v>
      </c>
      <c r="M11" s="0" t="n">
        <v>672.125</v>
      </c>
      <c r="N11" s="0" t="n">
        <v>673.164</v>
      </c>
      <c r="O11" s="0" t="n">
        <v>5783.487</v>
      </c>
      <c r="P11" s="0" t="n">
        <v>10230.596</v>
      </c>
      <c r="Q11" s="0" t="n">
        <v>4423.413</v>
      </c>
      <c r="R11" s="0" t="n">
        <v>2511.485</v>
      </c>
      <c r="S11" s="0" t="n">
        <v>121.665</v>
      </c>
      <c r="T11" s="0" t="n">
        <v>74.568</v>
      </c>
      <c r="U11" s="0" t="n">
        <v>35.059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9491.29</v>
      </c>
      <c r="C12" s="0" t="n">
        <v>6494.876</v>
      </c>
      <c r="D12" s="0" t="n">
        <v>2996.414</v>
      </c>
      <c r="E12" s="0" t="n">
        <v>31.5701448380568</v>
      </c>
      <c r="F12" s="0" t="n">
        <v>1354.173</v>
      </c>
      <c r="G12" s="0" t="n">
        <v>14.26753370722</v>
      </c>
      <c r="H12" s="0" t="n">
        <v>1800.845</v>
      </c>
      <c r="I12" s="0" t="n">
        <v>974.692</v>
      </c>
      <c r="J12" s="0" t="n">
        <v>10.26933114466</v>
      </c>
      <c r="K12" s="0" t="n">
        <v>13.07</v>
      </c>
      <c r="L12" s="0" t="n">
        <v>1193.595</v>
      </c>
      <c r="M12" s="0" t="n">
        <v>905.998</v>
      </c>
      <c r="N12" s="0" t="n">
        <v>287.597</v>
      </c>
      <c r="O12" s="0" t="n">
        <v>7067.009</v>
      </c>
      <c r="P12" s="0" t="n">
        <v>12094.853</v>
      </c>
      <c r="Q12" s="0" t="n">
        <v>4998.381</v>
      </c>
      <c r="R12" s="0" t="n">
        <v>2763.578</v>
      </c>
      <c r="S12" s="0" t="n">
        <v>84.884</v>
      </c>
      <c r="T12" s="0" t="n">
        <v>74.839</v>
      </c>
      <c r="U12" s="0" t="n">
        <v>36.322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9983.634</v>
      </c>
      <c r="C13" s="0" t="n">
        <v>7145.564</v>
      </c>
      <c r="D13" s="0" t="n">
        <v>2838.07</v>
      </c>
      <c r="E13" s="0" t="n">
        <v>28.4272239947899</v>
      </c>
      <c r="F13" s="0" t="n">
        <v>1095.326</v>
      </c>
      <c r="G13" s="0" t="n">
        <v>10.971215491273</v>
      </c>
      <c r="H13" s="0" t="n">
        <v>1617.091</v>
      </c>
      <c r="I13" s="0" t="n">
        <v>864.855</v>
      </c>
      <c r="J13" s="0" t="n">
        <v>8.66272741969507</v>
      </c>
      <c r="K13" s="0" t="n">
        <v>11.53</v>
      </c>
      <c r="L13" s="0" t="n">
        <v>1181.344</v>
      </c>
      <c r="M13" s="0" t="n">
        <v>794.11</v>
      </c>
      <c r="N13" s="0" t="n">
        <v>387.234</v>
      </c>
      <c r="O13" s="0" t="n">
        <v>7440.059</v>
      </c>
      <c r="P13" s="0" t="n">
        <v>13099.123</v>
      </c>
      <c r="Q13" s="0" t="n">
        <v>5659.064</v>
      </c>
      <c r="R13" s="0" t="n">
        <v>3257.974</v>
      </c>
      <c r="S13" s="0" t="n">
        <v>119.05</v>
      </c>
      <c r="T13" s="0" t="n">
        <v>74.773</v>
      </c>
      <c r="U13" s="0" t="n">
        <v>31.382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9970.672</v>
      </c>
      <c r="C14" s="0" t="n">
        <v>7294.629</v>
      </c>
      <c r="D14" s="0" t="n">
        <v>2676.043</v>
      </c>
      <c r="E14" s="0" t="n">
        <v>26.8391438410571</v>
      </c>
      <c r="F14" s="0" t="n">
        <v>827.224</v>
      </c>
      <c r="G14" s="0" t="n">
        <v>8.29657218690977</v>
      </c>
      <c r="H14" s="0" t="n">
        <v>1403.676</v>
      </c>
      <c r="I14" s="0" t="n">
        <v>744.571</v>
      </c>
      <c r="J14" s="0" t="n">
        <v>7.46761100956887</v>
      </c>
      <c r="K14" s="0" t="n">
        <v>10.34</v>
      </c>
      <c r="L14" s="0" t="n">
        <v>1418.761</v>
      </c>
      <c r="M14" s="0" t="n">
        <v>545.462</v>
      </c>
      <c r="N14" s="0" t="n">
        <v>873.299</v>
      </c>
      <c r="O14" s="0" t="n">
        <v>8126.448</v>
      </c>
      <c r="P14" s="0" t="n">
        <v>13386.68</v>
      </c>
      <c r="Q14" s="0" t="n">
        <v>5260.232</v>
      </c>
      <c r="R14" s="0" t="n">
        <v>2569.886</v>
      </c>
      <c r="S14" s="0" t="n">
        <v>134.785</v>
      </c>
      <c r="T14" s="0" t="n">
        <v>72.264</v>
      </c>
      <c r="U14" s="0" t="n">
        <v>23.62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9552.197</v>
      </c>
      <c r="C15" s="0" t="n">
        <v>7121.507</v>
      </c>
      <c r="D15" s="0" t="n">
        <v>2430.69</v>
      </c>
      <c r="E15" s="0" t="n">
        <v>25.4463973052482</v>
      </c>
      <c r="F15" s="0" t="n">
        <v>636.002</v>
      </c>
      <c r="G15" s="0" t="n">
        <v>6.65817507741936</v>
      </c>
      <c r="H15" s="0" t="n">
        <v>1243.509</v>
      </c>
      <c r="I15" s="0" t="n">
        <v>515.727</v>
      </c>
      <c r="J15" s="0" t="n">
        <v>5.39904066048889</v>
      </c>
      <c r="K15" s="0" t="n">
        <v>7.24</v>
      </c>
      <c r="L15" s="0" t="n">
        <v>1769.839</v>
      </c>
      <c r="M15" s="0" t="n">
        <v>425.557</v>
      </c>
      <c r="N15" s="0" t="n">
        <v>1344.282</v>
      </c>
      <c r="O15" s="0" t="n">
        <v>8541.158</v>
      </c>
      <c r="P15" s="0" t="n">
        <v>14327.751</v>
      </c>
      <c r="Q15" s="0" t="n">
        <v>5786.593</v>
      </c>
      <c r="R15" s="0" t="n">
        <v>2734.142</v>
      </c>
      <c r="S15" s="0" t="n">
        <v>768.625</v>
      </c>
      <c r="T15" s="0" t="n">
        <v>77.624</v>
      </c>
      <c r="U15" s="0" t="n">
        <v>19.697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11200.613</v>
      </c>
      <c r="C16" s="0" t="n">
        <v>7931.879</v>
      </c>
      <c r="D16" s="0" t="n">
        <v>3268.734</v>
      </c>
      <c r="E16" s="0" t="n">
        <v>29.1835277229916</v>
      </c>
      <c r="F16" s="0" t="n">
        <v>1335.011</v>
      </c>
      <c r="G16" s="0" t="n">
        <v>11.9190887141623</v>
      </c>
      <c r="H16" s="0" t="n">
        <v>1926.722</v>
      </c>
      <c r="I16" s="0" t="n">
        <v>1033.548</v>
      </c>
      <c r="J16" s="0" t="n">
        <v>9.22760209642097</v>
      </c>
      <c r="K16" s="0" t="n">
        <v>15.01</v>
      </c>
      <c r="L16" s="0" t="n">
        <v>1309.119</v>
      </c>
      <c r="M16" s="0" t="n">
        <v>676.12</v>
      </c>
      <c r="N16" s="0" t="n">
        <v>632.999</v>
      </c>
      <c r="O16" s="0" t="n">
        <v>8428.2</v>
      </c>
      <c r="P16" s="0" t="n">
        <v>14224.517</v>
      </c>
      <c r="Q16" s="0" t="n">
        <v>5796.301</v>
      </c>
      <c r="R16" s="0" t="n">
        <v>2324.785</v>
      </c>
      <c r="S16" s="0" t="n">
        <v>268.895</v>
      </c>
      <c r="T16" s="0" t="n">
        <v>72.952</v>
      </c>
      <c r="U16" s="0" t="n">
        <v>25.651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11737.1</v>
      </c>
      <c r="C17" s="0" t="n">
        <v>8793.7</v>
      </c>
      <c r="D17" s="0" t="n">
        <v>2943.4</v>
      </c>
      <c r="E17" s="0" t="n">
        <v>25.0777449284747</v>
      </c>
      <c r="F17" s="0" t="n">
        <v>244.2</v>
      </c>
      <c r="G17" s="0" t="n">
        <v>2.08058208586448</v>
      </c>
      <c r="H17" s="0" t="n">
        <v>839.7</v>
      </c>
      <c r="I17" s="0" t="n">
        <v>25.8</v>
      </c>
      <c r="J17" s="0" t="n">
        <v>0.219815797769466</v>
      </c>
      <c r="K17" s="0" t="n">
        <v>0.4</v>
      </c>
      <c r="L17" s="0" t="n">
        <v>669.2</v>
      </c>
      <c r="M17" s="0" t="n">
        <v>580.7</v>
      </c>
      <c r="N17" s="0" t="n">
        <v>88.5</v>
      </c>
      <c r="O17" s="0" t="n">
        <v>7988.3</v>
      </c>
      <c r="P17" s="0" t="n">
        <v>14120.4</v>
      </c>
      <c r="Q17" s="0" t="n">
        <v>6102.518</v>
      </c>
      <c r="R17" s="0" t="n">
        <v>2819.134</v>
      </c>
      <c r="S17" s="0" t="n">
        <v>509.623</v>
      </c>
      <c r="T17" s="0" t="n">
        <v>70.875</v>
      </c>
      <c r="U17" s="0" t="n">
        <v>22.4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11135.1</v>
      </c>
      <c r="C18" s="0" t="n">
        <v>8429.6</v>
      </c>
      <c r="D18" s="0" t="n">
        <v>2705.5</v>
      </c>
      <c r="E18" s="0" t="n">
        <v>24.2970426848434</v>
      </c>
      <c r="F18" s="0" t="n">
        <v>-291.9</v>
      </c>
      <c r="G18" s="0" t="n">
        <v>-2.62144031036991</v>
      </c>
      <c r="H18" s="0" t="n">
        <v>338.4</v>
      </c>
      <c r="I18" s="0" t="n">
        <v>-449</v>
      </c>
      <c r="J18" s="0" t="n">
        <v>-4.0322942766567</v>
      </c>
      <c r="K18" s="0" t="n">
        <v>-7.05</v>
      </c>
      <c r="L18" s="0" t="n">
        <v>1329.2</v>
      </c>
      <c r="M18" s="0" t="n">
        <v>612.9</v>
      </c>
      <c r="N18" s="0" t="n">
        <v>716.3</v>
      </c>
      <c r="O18" s="0" t="n">
        <v>7590</v>
      </c>
      <c r="P18" s="0" t="n">
        <v>13520.7</v>
      </c>
      <c r="Q18" s="0" t="n">
        <v>5930.7</v>
      </c>
      <c r="R18" s="0" t="n">
        <v>2703.5</v>
      </c>
      <c r="S18" s="0" t="n">
        <v>642.6</v>
      </c>
      <c r="T18" s="0" t="n">
        <v>71.024</v>
      </c>
      <c r="U18" s="0" t="n">
        <v>20.9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10836.9</v>
      </c>
      <c r="C19" s="0" t="n">
        <v>8150.4</v>
      </c>
      <c r="D19" s="0" t="n">
        <v>2686.5</v>
      </c>
      <c r="E19" s="0" t="n">
        <v>24.790299808986</v>
      </c>
      <c r="F19" s="0" t="n">
        <v>693.5</v>
      </c>
      <c r="G19" s="0" t="n">
        <v>6.39943157175945</v>
      </c>
      <c r="H19" s="0" t="n">
        <v>1331.8</v>
      </c>
      <c r="I19" s="0" t="n">
        <v>514.8</v>
      </c>
      <c r="J19" s="0" t="n">
        <v>4.75043601029815</v>
      </c>
      <c r="K19" s="0" t="n">
        <v>8.13</v>
      </c>
      <c r="L19" s="0" t="n">
        <v>1133.9</v>
      </c>
      <c r="M19" s="0" t="n">
        <v>454.4</v>
      </c>
      <c r="N19" s="0" t="n">
        <v>679.5</v>
      </c>
      <c r="O19" s="0" t="n">
        <v>7514.8</v>
      </c>
      <c r="P19" s="0" t="n">
        <v>12736.5</v>
      </c>
      <c r="Q19" s="0" t="n">
        <v>5221.7</v>
      </c>
      <c r="R19" s="0" t="n">
        <v>2236.8</v>
      </c>
      <c r="S19" s="0" t="n">
        <v>666.6</v>
      </c>
      <c r="T19" s="0" t="n">
        <v>63.6</v>
      </c>
      <c r="U19" s="0" t="n">
        <v>27.5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10785.4</v>
      </c>
      <c r="C20" s="0" t="n">
        <v>8210.7</v>
      </c>
      <c r="D20" s="0" t="n">
        <v>2574.7</v>
      </c>
      <c r="E20" s="0" t="n">
        <v>23.8720863389397</v>
      </c>
      <c r="F20" s="0" t="n">
        <v>489.8</v>
      </c>
      <c r="G20" s="0" t="n">
        <v>4.54132438296215</v>
      </c>
      <c r="H20" s="0" t="n">
        <v>1142.4</v>
      </c>
      <c r="I20" s="0" t="n">
        <v>369.9</v>
      </c>
      <c r="J20" s="0" t="n">
        <v>3.4296363602648</v>
      </c>
      <c r="K20" s="0" t="n">
        <v>5.96</v>
      </c>
      <c r="L20" s="0" t="n">
        <v>1056.2</v>
      </c>
      <c r="M20" s="0" t="n">
        <v>440</v>
      </c>
      <c r="N20" s="0" t="n">
        <v>616.2</v>
      </c>
      <c r="O20" s="0" t="n">
        <v>8378.7</v>
      </c>
      <c r="P20" s="0" t="n">
        <v>13687.3</v>
      </c>
      <c r="Q20" s="0" t="n">
        <v>5308.6</v>
      </c>
      <c r="R20" s="0" t="n">
        <v>2326.1</v>
      </c>
      <c r="S20" s="0" t="n">
        <v>856.1</v>
      </c>
      <c r="T20" s="0" t="n">
        <v>62.4</v>
      </c>
      <c r="U20" s="0" t="n">
        <v>30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125.12</v>
      </c>
    </row>
    <row r="3" customFormat="false" ht="15" hidden="false" customHeight="false" outlineLevel="0" collapsed="false">
      <c r="A3" s="0" t="s">
        <v>85</v>
      </c>
      <c r="B3" s="3" t="n">
        <v>61.2</v>
      </c>
    </row>
    <row r="4" customFormat="false" ht="15" hidden="false" customHeight="false" outlineLevel="0" collapsed="false">
      <c r="A4" s="0" t="s">
        <v>86</v>
      </c>
      <c r="B4" s="3" t="n">
        <v>1066.9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10785.4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-4</v>
      </c>
      <c r="E13" s="3" t="n">
        <v>-1</v>
      </c>
      <c r="F13" s="3" t="n">
        <v>2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11.3</v>
      </c>
      <c r="D14" s="3" t="n">
        <v>9.8</v>
      </c>
      <c r="E14" s="3" t="n">
        <v>10.3</v>
      </c>
      <c r="F14" s="3" t="n">
        <v>11</v>
      </c>
      <c r="G14" s="3" t="n">
        <v>11.3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107</v>
      </c>
      <c r="C15" s="3" t="n">
        <v>0.28</v>
      </c>
      <c r="D15" s="3" t="n">
        <v>0.29</v>
      </c>
      <c r="E15" s="3" t="n">
        <v>0.29</v>
      </c>
      <c r="F15" s="3" t="n">
        <v>0.28</v>
      </c>
      <c r="G15" s="3" t="n">
        <v>0.27</v>
      </c>
      <c r="H15" s="3" t="n">
        <v>0.27</v>
      </c>
      <c r="I15" s="3" t="n">
        <v>0.26</v>
      </c>
      <c r="J15" s="3" t="n">
        <v>0.26</v>
      </c>
      <c r="K15" s="3" t="n">
        <v>0.26</v>
      </c>
      <c r="L15" s="3" t="n">
        <v>0.26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5.8</v>
      </c>
      <c r="D17" s="3" t="n">
        <v>6</v>
      </c>
      <c r="E17" s="3" t="n">
        <v>5.9</v>
      </c>
      <c r="F17" s="3" t="n">
        <v>5.8</v>
      </c>
      <c r="G17" s="3" t="n">
        <v>5.7</v>
      </c>
      <c r="H17" s="3" t="n">
        <v>5.6</v>
      </c>
      <c r="I17" s="3" t="n">
        <v>5.5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110</v>
      </c>
      <c r="C18" s="3" t="n">
        <v>4.1</v>
      </c>
      <c r="D18" s="3" t="n">
        <v>3.8</v>
      </c>
      <c r="E18" s="3" t="n">
        <v>4</v>
      </c>
      <c r="F18" s="3" t="n">
        <v>4.3</v>
      </c>
      <c r="G18" s="3" t="n">
        <v>4.6</v>
      </c>
      <c r="H18" s="3" t="n">
        <v>4.8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-20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5</v>
      </c>
      <c r="D27" s="3" t="n">
        <v>3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11.8</v>
      </c>
      <c r="D28" s="3" t="n">
        <v>12.3</v>
      </c>
      <c r="E28" s="3" t="n">
        <v>12.8</v>
      </c>
      <c r="F28" s="3" t="n">
        <v>13.1</v>
      </c>
      <c r="G28" s="3" t="n">
        <v>13.3</v>
      </c>
      <c r="H28" s="3" t="n">
        <v>13.5</v>
      </c>
      <c r="I28" s="3" t="n">
        <v>13.5</v>
      </c>
      <c r="J28" s="3" t="n">
        <v>13.5</v>
      </c>
      <c r="K28" s="3" t="n">
        <v>13.5</v>
      </c>
      <c r="L28" s="3" t="n">
        <v>13.5</v>
      </c>
    </row>
    <row r="29" customFormat="false" ht="15" hidden="false" customHeight="false" outlineLevel="0" collapsed="false">
      <c r="A29" s="0" t="s">
        <v>107</v>
      </c>
      <c r="C29" s="3" t="n">
        <v>0.28</v>
      </c>
      <c r="D29" s="3" t="n">
        <v>0.28</v>
      </c>
      <c r="E29" s="3" t="n">
        <v>0.27</v>
      </c>
      <c r="F29" s="3" t="n">
        <v>0.27</v>
      </c>
      <c r="G29" s="3" t="n">
        <v>0.26</v>
      </c>
      <c r="H29" s="3" t="n">
        <v>0.26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5.8</v>
      </c>
      <c r="D31" s="3" t="n">
        <v>5.7</v>
      </c>
      <c r="E31" s="3" t="n">
        <v>5.6</v>
      </c>
      <c r="F31" s="3" t="n">
        <v>5.5</v>
      </c>
      <c r="G31" s="3" t="n">
        <v>5.4</v>
      </c>
      <c r="H31" s="3" t="n">
        <v>5.3</v>
      </c>
      <c r="I31" s="3" t="n">
        <v>5.3</v>
      </c>
      <c r="J31" s="3" t="n">
        <v>5.3</v>
      </c>
      <c r="K31" s="3" t="n">
        <v>5.3</v>
      </c>
      <c r="L31" s="3" t="n">
        <v>5.3</v>
      </c>
    </row>
    <row r="32" customFormat="false" ht="15" hidden="false" customHeight="false" outlineLevel="0" collapsed="false">
      <c r="A32" s="0" t="s">
        <v>110</v>
      </c>
      <c r="C32" s="3" t="n">
        <v>4.1</v>
      </c>
      <c r="D32" s="3" t="n">
        <v>4.3</v>
      </c>
      <c r="E32" s="3" t="n">
        <v>4.5</v>
      </c>
      <c r="F32" s="3" t="n">
        <v>4.7</v>
      </c>
      <c r="G32" s="3" t="n">
        <v>4.9</v>
      </c>
      <c r="H32" s="3" t="n">
        <v>5</v>
      </c>
      <c r="I32" s="3" t="n">
        <v>5.1</v>
      </c>
      <c r="J32" s="3" t="n">
        <v>5.2</v>
      </c>
      <c r="K32" s="3" t="n">
        <v>5.2</v>
      </c>
      <c r="L32" s="3" t="n">
        <v>5.2</v>
      </c>
    </row>
    <row r="33" customFormat="false" ht="15" hidden="false" customHeight="false" outlineLevel="0" collapsed="false">
      <c r="A33" s="0" t="s">
        <v>111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14</v>
      </c>
    </row>
    <row r="37" customFormat="false" ht="15" hidden="false" customHeight="false" outlineLevel="0" collapsed="false">
      <c r="A37" s="0" t="s">
        <v>115</v>
      </c>
      <c r="B37" s="3" t="n">
        <v>-20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6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12.2</v>
      </c>
      <c r="D42" s="3" t="n">
        <v>13</v>
      </c>
      <c r="E42" s="3" t="n">
        <v>13.8</v>
      </c>
      <c r="F42" s="3" t="n">
        <v>14.4</v>
      </c>
      <c r="G42" s="3" t="n">
        <v>14.8</v>
      </c>
      <c r="H42" s="3" t="n">
        <v>15</v>
      </c>
      <c r="I42" s="3" t="n">
        <v>15</v>
      </c>
      <c r="J42" s="3" t="n">
        <v>15</v>
      </c>
      <c r="K42" s="3" t="n">
        <v>15</v>
      </c>
      <c r="L42" s="3" t="n">
        <v>15</v>
      </c>
    </row>
    <row r="43" customFormat="false" ht="15" hidden="false" customHeight="false" outlineLevel="0" collapsed="false">
      <c r="A43" s="0" t="s">
        <v>107</v>
      </c>
      <c r="C43" s="3" t="n">
        <v>0.28</v>
      </c>
      <c r="D43" s="3" t="n">
        <v>0.28</v>
      </c>
      <c r="E43" s="3" t="n">
        <v>0.27</v>
      </c>
      <c r="F43" s="3" t="n">
        <v>0.27</v>
      </c>
      <c r="G43" s="3" t="n">
        <v>0.26</v>
      </c>
      <c r="H43" s="3" t="n">
        <v>0.26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5.8</v>
      </c>
      <c r="D45" s="3" t="n">
        <v>5.7</v>
      </c>
      <c r="E45" s="3" t="n">
        <v>5.6</v>
      </c>
      <c r="F45" s="3" t="n">
        <v>5.5</v>
      </c>
      <c r="G45" s="3" t="n">
        <v>5.4</v>
      </c>
      <c r="H45" s="3" t="n">
        <v>5.3</v>
      </c>
      <c r="I45" s="3" t="n">
        <v>5.3</v>
      </c>
      <c r="J45" s="3" t="n">
        <v>5.3</v>
      </c>
      <c r="K45" s="3" t="n">
        <v>5.3</v>
      </c>
      <c r="L45" s="3" t="n">
        <v>5.3</v>
      </c>
    </row>
    <row r="46" customFormat="false" ht="15" hidden="false" customHeight="false" outlineLevel="0" collapsed="false">
      <c r="A46" s="0" t="s">
        <v>110</v>
      </c>
      <c r="C46" s="3" t="n">
        <v>4.1</v>
      </c>
      <c r="D46" s="3" t="n">
        <v>4.4</v>
      </c>
      <c r="E46" s="3" t="n">
        <v>4.7</v>
      </c>
      <c r="F46" s="3" t="n">
        <v>5</v>
      </c>
      <c r="G46" s="3" t="n">
        <v>5.2</v>
      </c>
      <c r="H46" s="3" t="n">
        <v>5.3</v>
      </c>
      <c r="I46" s="3" t="n">
        <v>5.3</v>
      </c>
      <c r="J46" s="3" t="n">
        <v>5.3</v>
      </c>
      <c r="K46" s="3" t="n">
        <v>5.3</v>
      </c>
      <c r="L46" s="3" t="n">
        <v>5.3</v>
      </c>
    </row>
    <row r="47" customFormat="false" ht="15" hidden="false" customHeight="false" outlineLevel="0" collapsed="false">
      <c r="A47" s="0" t="s">
        <v>111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-20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-4</v>
      </c>
      <c r="E5" s="4" t="n">
        <f aca="false">Assumptions!E13</f>
        <v>-1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10785.4</v>
      </c>
      <c r="C6" s="0" t="n">
        <f aca="false">B6*(1+C5/100)</f>
        <v>11108.962</v>
      </c>
      <c r="D6" s="0" t="n">
        <f aca="false">C6*(1+D5/100)</f>
        <v>10664.60352</v>
      </c>
      <c r="E6" s="0" t="n">
        <f aca="false">D6*(1+E5/100)</f>
        <v>10557.9574848</v>
      </c>
      <c r="F6" s="0" t="n">
        <f aca="false">E6*(1+F5/100)</f>
        <v>10769.116634496</v>
      </c>
      <c r="G6" s="0" t="n">
        <f aca="false">F6*(1+G5/100)</f>
        <v>11038.3445503584</v>
      </c>
      <c r="H6" s="0" t="n">
        <f aca="false">G6*(1+H5/100)</f>
        <v>11259.1114413656</v>
      </c>
      <c r="I6" s="0" t="n">
        <f aca="false">H6*(1+I5/100)</f>
        <v>11484.2936701929</v>
      </c>
      <c r="J6" s="0" t="n">
        <f aca="false">I6*(1+J5/100)</f>
        <v>11713.9795435967</v>
      </c>
      <c r="K6" s="0" t="n">
        <f aca="false">J6*(1+K5/100)</f>
        <v>11948.2591344687</v>
      </c>
      <c r="L6" s="0" t="n">
        <f aca="false">K6*(1+L5/100)</f>
        <v>12187.224317158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11.3</v>
      </c>
      <c r="D7" s="4" t="n">
        <f aca="false">Assumptions!D14</f>
        <v>9.8</v>
      </c>
      <c r="E7" s="4" t="n">
        <f aca="false">Assumptions!E14</f>
        <v>10.3</v>
      </c>
      <c r="F7" s="4" t="n">
        <f aca="false">Assumptions!F14</f>
        <v>11</v>
      </c>
      <c r="G7" s="4" t="n">
        <f aca="false">Assumptions!G14</f>
        <v>11.3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1255.312706</v>
      </c>
      <c r="D8" s="0" t="n">
        <f aca="false">D6*D7/100</f>
        <v>1045.13114496</v>
      </c>
      <c r="E8" s="0" t="n">
        <f aca="false">E6*E7/100</f>
        <v>1087.4696209344</v>
      </c>
      <c r="F8" s="0" t="n">
        <f aca="false">F6*F7/100</f>
        <v>1184.60282979456</v>
      </c>
      <c r="G8" s="0" t="n">
        <f aca="false">G6*G7/100</f>
        <v>1247.3329341905</v>
      </c>
      <c r="H8" s="0" t="n">
        <f aca="false">H6*H7/100</f>
        <v>1294.79781575704</v>
      </c>
      <c r="I8" s="0" t="n">
        <f aca="false">I6*I7/100</f>
        <v>1320.69377207218</v>
      </c>
      <c r="J8" s="0" t="n">
        <f aca="false">J6*J7/100</f>
        <v>1347.10764751362</v>
      </c>
      <c r="K8" s="0" t="n">
        <f aca="false">K6*K7/100</f>
        <v>1374.0498004639</v>
      </c>
      <c r="L8" s="0" t="n">
        <f aca="false">L6*L7/100</f>
        <v>1401.53079647318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0.28</v>
      </c>
      <c r="D9" s="4" t="n">
        <f aca="false">Assumptions!D15</f>
        <v>0.29</v>
      </c>
      <c r="E9" s="4" t="n">
        <f aca="false">Assumptions!E15</f>
        <v>0.29</v>
      </c>
      <c r="F9" s="4" t="n">
        <f aca="false">Assumptions!F15</f>
        <v>0.28</v>
      </c>
      <c r="G9" s="4" t="n">
        <f aca="false">Assumptions!G15</f>
        <v>0.27</v>
      </c>
      <c r="H9" s="4" t="n">
        <f aca="false">Assumptions!H15</f>
        <v>0.27</v>
      </c>
      <c r="I9" s="4" t="n">
        <f aca="false">Assumptions!I15</f>
        <v>0.26</v>
      </c>
      <c r="J9" s="4" t="n">
        <f aca="false">Assumptions!J15</f>
        <v>0.26</v>
      </c>
      <c r="K9" s="4" t="n">
        <f aca="false">Assumptions!K15</f>
        <v>0.26</v>
      </c>
      <c r="L9" s="4" t="n">
        <f aca="false">Assumptions!L15</f>
        <v>0.26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-31.1050936</v>
      </c>
      <c r="D10" s="0" t="n">
        <f aca="false">-D6*D9/100</f>
        <v>-30.927350208</v>
      </c>
      <c r="E10" s="0" t="n">
        <f aca="false">-E6*E9/100</f>
        <v>-30.61807670592</v>
      </c>
      <c r="F10" s="0" t="n">
        <f aca="false">-F6*F9/100</f>
        <v>-30.1535265765888</v>
      </c>
      <c r="G10" s="0" t="n">
        <f aca="false">-G6*G9/100</f>
        <v>-29.8035302859677</v>
      </c>
      <c r="H10" s="0" t="n">
        <f aca="false">-H6*H9/100</f>
        <v>-30.399600891687</v>
      </c>
      <c r="I10" s="0" t="n">
        <f aca="false">-I6*I9/100</f>
        <v>-29.8591635425015</v>
      </c>
      <c r="J10" s="0" t="n">
        <f aca="false">-J6*J9/100</f>
        <v>-30.4563468133515</v>
      </c>
      <c r="K10" s="0" t="n">
        <f aca="false">-K6*K9/100</f>
        <v>-31.0654737496185</v>
      </c>
      <c r="L10" s="0" t="n">
        <f aca="false">-L6*L9/100</f>
        <v>-31.6867832246109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1224.2076124</v>
      </c>
      <c r="D11" s="0" t="n">
        <f aca="false">D8+D10+D24</f>
        <v>1014.203794752</v>
      </c>
      <c r="E11" s="0" t="n">
        <f aca="false">E8+E10+E24</f>
        <v>1056.85154422848</v>
      </c>
      <c r="F11" s="0" t="n">
        <f aca="false">F8+F10+F24</f>
        <v>1154.44930321797</v>
      </c>
      <c r="G11" s="0" t="n">
        <f aca="false">G8+G10+G24</f>
        <v>1217.52940390453</v>
      </c>
      <c r="H11" s="0" t="n">
        <f aca="false">H8+H10+H24</f>
        <v>1264.39821486535</v>
      </c>
      <c r="I11" s="0" t="n">
        <f aca="false">I8+I10+I24</f>
        <v>1290.83460852968</v>
      </c>
      <c r="J11" s="0" t="n">
        <f aca="false">J8+J10+J24</f>
        <v>1316.65130070027</v>
      </c>
      <c r="K11" s="0" t="n">
        <f aca="false">K8+K10+K24</f>
        <v>1342.98432671428</v>
      </c>
      <c r="L11" s="0" t="n">
        <f aca="false">L8+L10+L24</f>
        <v>1369.84401324856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-644.319796</v>
      </c>
      <c r="D12" s="4" t="n">
        <f aca="false">-D6*Assumptions!D17/100</f>
        <v>-639.8762112</v>
      </c>
      <c r="E12" s="4" t="n">
        <f aca="false">-E6*Assumptions!E17/100</f>
        <v>-622.9194916032</v>
      </c>
      <c r="F12" s="4" t="n">
        <f aca="false">-F6*Assumptions!F17/100</f>
        <v>-624.608764800768</v>
      </c>
      <c r="G12" s="4" t="n">
        <f aca="false">-G6*Assumptions!G17/100</f>
        <v>-629.185639370429</v>
      </c>
      <c r="H12" s="4" t="n">
        <f aca="false">-H6*Assumptions!H17/100</f>
        <v>-630.510240716472</v>
      </c>
      <c r="I12" s="4" t="n">
        <f aca="false">-I6*Assumptions!I17/100</f>
        <v>-631.636151860608</v>
      </c>
      <c r="J12" s="4" t="n">
        <f aca="false">-J6*Assumptions!J17/100</f>
        <v>-644.268874897821</v>
      </c>
      <c r="K12" s="4" t="n">
        <f aca="false">-K6*Assumptions!K17/100</f>
        <v>-657.154252395777</v>
      </c>
      <c r="L12" s="4" t="n">
        <f aca="false">-L6*Assumptions!L17/100</f>
        <v>-670.297337443693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579.8878164</v>
      </c>
      <c r="D13" s="0" t="n">
        <f aca="false">D11+D12</f>
        <v>374.327583552</v>
      </c>
      <c r="E13" s="0" t="n">
        <f aca="false">E11+E12</f>
        <v>433.93205262528</v>
      </c>
      <c r="F13" s="0" t="n">
        <f aca="false">F11+F12</f>
        <v>529.840538417203</v>
      </c>
      <c r="G13" s="0" t="n">
        <f aca="false">G11+G12</f>
        <v>588.343764534103</v>
      </c>
      <c r="H13" s="0" t="n">
        <f aca="false">H11+H12</f>
        <v>633.887974148882</v>
      </c>
      <c r="I13" s="0" t="n">
        <f aca="false">I11+I12</f>
        <v>659.198456669071</v>
      </c>
      <c r="J13" s="0" t="n">
        <f aca="false">J11+J12</f>
        <v>672.382425802453</v>
      </c>
      <c r="K13" s="0" t="n">
        <f aca="false">K11+K12</f>
        <v>685.830074318502</v>
      </c>
      <c r="L13" s="0" t="n">
        <f aca="false">L11+L12</f>
        <v>699.546675804872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446.513618628</v>
      </c>
      <c r="D15" s="0" t="n">
        <f aca="false">D13-MAX(0,D13)*D14/100</f>
        <v>288.23223933504</v>
      </c>
      <c r="E15" s="0" t="n">
        <f aca="false">E13-MAX(0,E13)*E14/100</f>
        <v>334.127680521466</v>
      </c>
      <c r="F15" s="0" t="n">
        <f aca="false">F13-MAX(0,F13)*F14/100</f>
        <v>407.977214581247</v>
      </c>
      <c r="G15" s="0" t="n">
        <f aca="false">G13-MAX(0,G13)*G14/100</f>
        <v>453.024698691259</v>
      </c>
      <c r="H15" s="0" t="n">
        <f aca="false">H13-MAX(0,H13)*H14/100</f>
        <v>488.093740094639</v>
      </c>
      <c r="I15" s="0" t="n">
        <f aca="false">I13-MAX(0,I13)*I14/100</f>
        <v>507.582811635185</v>
      </c>
      <c r="J15" s="0" t="n">
        <f aca="false">J13-MAX(0,J13)*J14/100</f>
        <v>517.734467867889</v>
      </c>
      <c r="K15" s="0" t="n">
        <f aca="false">K13-MAX(0,K13)*K14/100</f>
        <v>528.089157225246</v>
      </c>
      <c r="L15" s="0" t="n">
        <f aca="false">L13-MAX(0,L13)*L14/100</f>
        <v>538.650940369751</v>
      </c>
    </row>
    <row r="16" customFormat="false" ht="15" hidden="false" customHeight="false" outlineLevel="0" collapsed="false">
      <c r="A16" s="0" t="s">
        <v>127</v>
      </c>
      <c r="C16" s="0" t="n">
        <f aca="false">-C12</f>
        <v>644.319796</v>
      </c>
      <c r="D16" s="0" t="n">
        <f aca="false">-D12</f>
        <v>639.8762112</v>
      </c>
      <c r="E16" s="0" t="n">
        <f aca="false">-E12</f>
        <v>622.9194916032</v>
      </c>
      <c r="F16" s="0" t="n">
        <f aca="false">-F12</f>
        <v>624.608764800768</v>
      </c>
      <c r="G16" s="0" t="n">
        <f aca="false">-G12</f>
        <v>629.185639370429</v>
      </c>
      <c r="H16" s="0" t="n">
        <f aca="false">-H12</f>
        <v>630.510240716472</v>
      </c>
      <c r="I16" s="0" t="n">
        <f aca="false">-I12</f>
        <v>631.636151860608</v>
      </c>
      <c r="J16" s="0" t="n">
        <f aca="false">-J12</f>
        <v>644.268874897821</v>
      </c>
      <c r="K16" s="0" t="n">
        <f aca="false">-K12</f>
        <v>657.154252395777</v>
      </c>
      <c r="L16" s="0" t="n">
        <f aca="false">-L12</f>
        <v>670.297337443693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-455.467442</v>
      </c>
      <c r="D17" s="4" t="n">
        <f aca="false">-D6*Assumptions!D18/100</f>
        <v>-405.25493376</v>
      </c>
      <c r="E17" s="4" t="n">
        <f aca="false">-E6*Assumptions!E18/100</f>
        <v>-422.318299392</v>
      </c>
      <c r="F17" s="4" t="n">
        <f aca="false">-F6*Assumptions!F18/100</f>
        <v>-463.072015283328</v>
      </c>
      <c r="G17" s="4" t="n">
        <f aca="false">-G6*Assumptions!G18/100</f>
        <v>-507.763849316486</v>
      </c>
      <c r="H17" s="4" t="n">
        <f aca="false">-H6*Assumptions!H18/100</f>
        <v>-540.437349185547</v>
      </c>
      <c r="I17" s="4" t="n">
        <f aca="false">-I6*Assumptions!I18/100</f>
        <v>-574.214683509644</v>
      </c>
      <c r="J17" s="4" t="n">
        <f aca="false">-J6*Assumptions!J18/100</f>
        <v>-585.698977179837</v>
      </c>
      <c r="K17" s="4" t="n">
        <f aca="false">-K6*Assumptions!K18/100</f>
        <v>-597.412956723434</v>
      </c>
      <c r="L17" s="4" t="n">
        <f aca="false">-L6*Assumptions!L18/100</f>
        <v>-609.361215857902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-64.7124</v>
      </c>
      <c r="D18" s="4" t="n">
        <f aca="false">(D6-C6)*Assumptions!$B$23/100</f>
        <v>88.8716960000002</v>
      </c>
      <c r="E18" s="4" t="n">
        <f aca="false">(E6-D6)*Assumptions!$B$23/100</f>
        <v>21.3292070399999</v>
      </c>
      <c r="F18" s="4" t="n">
        <f aca="false">(F6-E6)*Assumptions!$B$23/100</f>
        <v>-42.2318299392002</v>
      </c>
      <c r="G18" s="4" t="n">
        <f aca="false">(G6-F6)*Assumptions!$B$23/100</f>
        <v>-53.8455831724798</v>
      </c>
      <c r="H18" s="4" t="n">
        <f aca="false">(H6-G6)*Assumptions!$B$23/100</f>
        <v>-44.1533782014336</v>
      </c>
      <c r="I18" s="4" t="n">
        <f aca="false">(I6-H6)*Assumptions!$B$23/100</f>
        <v>-45.0364457654625</v>
      </c>
      <c r="J18" s="4" t="n">
        <f aca="false">(J6-I6)*Assumptions!$B$23/100</f>
        <v>-45.9371746807716</v>
      </c>
      <c r="K18" s="4" t="n">
        <f aca="false">(K6-J6)*Assumptions!$B$23/100</f>
        <v>-46.8559181743869</v>
      </c>
      <c r="L18" s="4" t="n">
        <f aca="false">(L6-K6)*Assumptions!$B$23/100</f>
        <v>-47.7930365378747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570.653572628</v>
      </c>
      <c r="D19" s="0" t="n">
        <f aca="false">D15+D16+D17+D18</f>
        <v>611.72521277504</v>
      </c>
      <c r="E19" s="0" t="n">
        <f aca="false">E15+E16+E17+E18</f>
        <v>556.058079772666</v>
      </c>
      <c r="F19" s="0" t="n">
        <f aca="false">F15+F16+F17+F18</f>
        <v>527.282134159486</v>
      </c>
      <c r="G19" s="0" t="n">
        <f aca="false">G15+G16+G17+G18</f>
        <v>520.600905572722</v>
      </c>
      <c r="H19" s="0" t="n">
        <f aca="false">H15+H16+H17+H18</f>
        <v>534.01325342413</v>
      </c>
      <c r="I19" s="0" t="n">
        <f aca="false">I15+I16+I17+I18</f>
        <v>519.967834220687</v>
      </c>
      <c r="J19" s="0" t="n">
        <f aca="false">J15+J16+J17+J18</f>
        <v>530.367190905101</v>
      </c>
      <c r="K19" s="0" t="n">
        <f aca="false">K15+K16+K17+K18</f>
        <v>540.974534723203</v>
      </c>
      <c r="L19" s="0" t="n">
        <f aca="false">L15+L16+L17+L18</f>
        <v>551.794025417667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523.53538773211</v>
      </c>
      <c r="D21" s="0" t="n">
        <f aca="false">D19*D20</f>
        <v>514.876872969481</v>
      </c>
      <c r="E21" s="0" t="n">
        <f aca="false">E19*E20</f>
        <v>429.37886315493</v>
      </c>
      <c r="F21" s="0" t="n">
        <f aca="false">F19*F20</f>
        <v>373.539957182841</v>
      </c>
      <c r="G21" s="0" t="n">
        <f aca="false">G19*G20</f>
        <v>338.354868267053</v>
      </c>
      <c r="H21" s="0" t="n">
        <f aca="false">H19*H20</f>
        <v>318.414655137279</v>
      </c>
      <c r="I21" s="0" t="n">
        <f aca="false">I19*I20</f>
        <v>284.440211535729</v>
      </c>
      <c r="J21" s="0" t="n">
        <f aca="false">J19*J20</f>
        <v>266.17340896004</v>
      </c>
      <c r="K21" s="0" t="n">
        <f aca="false">K19*K20</f>
        <v>249.079703797468</v>
      </c>
      <c r="L21" s="0" t="n">
        <f aca="false">L19*L20</f>
        <v>233.083759516897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3530.87768825383</v>
      </c>
    </row>
    <row r="31" customFormat="false" ht="15" hidden="false" customHeight="false" outlineLevel="0" collapsed="false">
      <c r="A31" s="0" t="s">
        <v>136</v>
      </c>
      <c r="B31" s="0" t="n">
        <f aca="false">L19</f>
        <v>551.794025417667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8040.42722751458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6621.528305012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6621.528305012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2797.00511420276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6327.88280245659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5260.98280245659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85.9637712819704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-0.312949398321848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196.375790220008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195.036235189049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92.3593926121838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4329.46081481554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45.3899978230667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5</v>
      </c>
      <c r="D5" s="4" t="n">
        <f aca="false">Assumptions!D27</f>
        <v>3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10785.4</v>
      </c>
      <c r="C6" s="0" t="n">
        <f aca="false">B6*(1+C5/100)</f>
        <v>11324.67</v>
      </c>
      <c r="D6" s="0" t="n">
        <f aca="false">C6*(1+D5/100)</f>
        <v>11664.4101</v>
      </c>
      <c r="E6" s="0" t="n">
        <f aca="false">D6*(1+E5/100)</f>
        <v>12072.6644535</v>
      </c>
      <c r="F6" s="0" t="n">
        <f aca="false">E6*(1+F5/100)</f>
        <v>12434.844387105</v>
      </c>
      <c r="G6" s="0" t="n">
        <f aca="false">F6*(1+G5/100)</f>
        <v>12807.8897187182</v>
      </c>
      <c r="H6" s="0" t="n">
        <f aca="false">G6*(1+H5/100)</f>
        <v>13128.0869616861</v>
      </c>
      <c r="I6" s="0" t="n">
        <f aca="false">H6*(1+I5/100)</f>
        <v>13456.2891357283</v>
      </c>
      <c r="J6" s="0" t="n">
        <f aca="false">I6*(1+J5/100)</f>
        <v>13792.6963641215</v>
      </c>
      <c r="K6" s="0" t="n">
        <f aca="false">J6*(1+K5/100)</f>
        <v>14137.5137732245</v>
      </c>
      <c r="L6" s="0" t="n">
        <f aca="false">K6*(1+L5/100)</f>
        <v>14490.9516175551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11.8</v>
      </c>
      <c r="D7" s="4" t="n">
        <f aca="false">Assumptions!D28</f>
        <v>12.3</v>
      </c>
      <c r="E7" s="4" t="n">
        <f aca="false">Assumptions!E28</f>
        <v>12.8</v>
      </c>
      <c r="F7" s="4" t="n">
        <f aca="false">Assumptions!F28</f>
        <v>13.1</v>
      </c>
      <c r="G7" s="4" t="n">
        <f aca="false">Assumptions!G28</f>
        <v>13.3</v>
      </c>
      <c r="H7" s="4" t="n">
        <f aca="false">Assumptions!H28</f>
        <v>13.5</v>
      </c>
      <c r="I7" s="4" t="n">
        <f aca="false">Assumptions!I28</f>
        <v>13.5</v>
      </c>
      <c r="J7" s="4" t="n">
        <f aca="false">Assumptions!J28</f>
        <v>13.5</v>
      </c>
      <c r="K7" s="4" t="n">
        <f aca="false">Assumptions!K28</f>
        <v>13.5</v>
      </c>
      <c r="L7" s="4" t="n">
        <f aca="false">Assumptions!L28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1336.31106</v>
      </c>
      <c r="D8" s="0" t="n">
        <f aca="false">D6*D7/100</f>
        <v>1434.7224423</v>
      </c>
      <c r="E8" s="0" t="n">
        <f aca="false">E6*E7/100</f>
        <v>1545.301050048</v>
      </c>
      <c r="F8" s="0" t="n">
        <f aca="false">F6*F7/100</f>
        <v>1628.96461471076</v>
      </c>
      <c r="G8" s="0" t="n">
        <f aca="false">G6*G7/100</f>
        <v>1703.44933258951</v>
      </c>
      <c r="H8" s="0" t="n">
        <f aca="false">H6*H7/100</f>
        <v>1772.29173982762</v>
      </c>
      <c r="I8" s="0" t="n">
        <f aca="false">I6*I7/100</f>
        <v>1816.59903332331</v>
      </c>
      <c r="J8" s="0" t="n">
        <f aca="false">J6*J7/100</f>
        <v>1862.0140091564</v>
      </c>
      <c r="K8" s="0" t="n">
        <f aca="false">K6*K7/100</f>
        <v>1908.56435938531</v>
      </c>
      <c r="L8" s="0" t="n">
        <f aca="false">L6*L7/100</f>
        <v>1956.27846836994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0.27</v>
      </c>
      <c r="F9" s="4" t="n">
        <f aca="false">Assumptions!F29</f>
        <v>0.27</v>
      </c>
      <c r="G9" s="4" t="n">
        <f aca="false">Assumptions!G29</f>
        <v>0.26</v>
      </c>
      <c r="H9" s="4" t="n">
        <f aca="false">Assumptions!H29</f>
        <v>0.26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-31.709076</v>
      </c>
      <c r="D10" s="0" t="n">
        <f aca="false">-D6*D9/100</f>
        <v>-32.66034828</v>
      </c>
      <c r="E10" s="0" t="n">
        <f aca="false">-E6*E9/100</f>
        <v>-32.59619402445</v>
      </c>
      <c r="F10" s="0" t="n">
        <f aca="false">-F6*F9/100</f>
        <v>-33.5740798451835</v>
      </c>
      <c r="G10" s="0" t="n">
        <f aca="false">-G6*G9/100</f>
        <v>-33.3005132686672</v>
      </c>
      <c r="H10" s="0" t="n">
        <f aca="false">-H6*H9/100</f>
        <v>-34.1330261003839</v>
      </c>
      <c r="I10" s="0" t="n">
        <f aca="false">-I6*I9/100</f>
        <v>-33.6407228393206</v>
      </c>
      <c r="J10" s="0" t="n">
        <f aca="false">-J6*J9/100</f>
        <v>-34.4817409103037</v>
      </c>
      <c r="K10" s="0" t="n">
        <f aca="false">-K6*K9/100</f>
        <v>-35.3437844330612</v>
      </c>
      <c r="L10" s="0" t="n">
        <f aca="false">-L6*L9/100</f>
        <v>-36.2273790438878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1304.601984</v>
      </c>
      <c r="D11" s="0" t="n">
        <f aca="false">D8+D10+D24</f>
        <v>1402.06209402</v>
      </c>
      <c r="E11" s="0" t="n">
        <f aca="false">E8+E10+E24</f>
        <v>1512.70485602355</v>
      </c>
      <c r="F11" s="0" t="n">
        <f aca="false">F8+F10+F24</f>
        <v>1595.39053486557</v>
      </c>
      <c r="G11" s="0" t="n">
        <f aca="false">G8+G10+G24</f>
        <v>1670.14881932085</v>
      </c>
      <c r="H11" s="0" t="n">
        <f aca="false">H8+H10+H24</f>
        <v>1738.15871372724</v>
      </c>
      <c r="I11" s="0" t="n">
        <f aca="false">I8+I10+I24</f>
        <v>1782.95831048399</v>
      </c>
      <c r="J11" s="0" t="n">
        <f aca="false">J8+J10+J24</f>
        <v>1827.53226824609</v>
      </c>
      <c r="K11" s="0" t="n">
        <f aca="false">K8+K10+K24</f>
        <v>1873.22057495225</v>
      </c>
      <c r="L11" s="0" t="n">
        <f aca="false">L8+L10+L24</f>
        <v>1920.05108932605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-656.83086</v>
      </c>
      <c r="D12" s="4" t="n">
        <f aca="false">-D6*Assumptions!D31/100</f>
        <v>-664.8713757</v>
      </c>
      <c r="E12" s="4" t="n">
        <f aca="false">-E6*Assumptions!E31/100</f>
        <v>-676.069209396</v>
      </c>
      <c r="F12" s="4" t="n">
        <f aca="false">-F6*Assumptions!F31/100</f>
        <v>-683.916441290775</v>
      </c>
      <c r="G12" s="4" t="n">
        <f aca="false">-G6*Assumptions!G31/100</f>
        <v>-691.62604481078</v>
      </c>
      <c r="H12" s="4" t="n">
        <f aca="false">-H6*Assumptions!H31/100</f>
        <v>-695.788608969363</v>
      </c>
      <c r="I12" s="4" t="n">
        <f aca="false">-I6*Assumptions!I31/100</f>
        <v>-713.183324193597</v>
      </c>
      <c r="J12" s="4" t="n">
        <f aca="false">-J6*Assumptions!J31/100</f>
        <v>-731.012907298437</v>
      </c>
      <c r="K12" s="4" t="n">
        <f aca="false">-K6*Assumptions!K31/100</f>
        <v>-749.288229980898</v>
      </c>
      <c r="L12" s="4" t="n">
        <f aca="false">-L6*Assumptions!L31/100</f>
        <v>-768.020435730421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647.771124</v>
      </c>
      <c r="D13" s="0" t="n">
        <f aca="false">D11+D12</f>
        <v>737.19071832</v>
      </c>
      <c r="E13" s="0" t="n">
        <f aca="false">E11+E12</f>
        <v>836.63564662755</v>
      </c>
      <c r="F13" s="0" t="n">
        <f aca="false">F11+F12</f>
        <v>911.474093574797</v>
      </c>
      <c r="G13" s="0" t="n">
        <f aca="false">G11+G12</f>
        <v>978.522774510067</v>
      </c>
      <c r="H13" s="0" t="n">
        <f aca="false">H11+H12</f>
        <v>1042.37010475788</v>
      </c>
      <c r="I13" s="0" t="n">
        <f aca="false">I11+I12</f>
        <v>1069.7749862904</v>
      </c>
      <c r="J13" s="0" t="n">
        <f aca="false">J11+J12</f>
        <v>1096.51936094766</v>
      </c>
      <c r="K13" s="0" t="n">
        <f aca="false">K11+K12</f>
        <v>1123.93234497135</v>
      </c>
      <c r="L13" s="0" t="n">
        <f aca="false">L11+L12</f>
        <v>1152.03065359563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498.78376548</v>
      </c>
      <c r="D15" s="0" t="n">
        <f aca="false">D13-MAX(0,D13)*D14/100</f>
        <v>567.6368531064</v>
      </c>
      <c r="E15" s="0" t="n">
        <f aca="false">E13-MAX(0,E13)*E14/100</f>
        <v>644.209447903214</v>
      </c>
      <c r="F15" s="0" t="n">
        <f aca="false">F13-MAX(0,F13)*F14/100</f>
        <v>701.835052052594</v>
      </c>
      <c r="G15" s="0" t="n">
        <f aca="false">G13-MAX(0,G13)*G14/100</f>
        <v>753.462536372751</v>
      </c>
      <c r="H15" s="0" t="n">
        <f aca="false">H13-MAX(0,H13)*H14/100</f>
        <v>802.624980663565</v>
      </c>
      <c r="I15" s="0" t="n">
        <f aca="false">I13-MAX(0,I13)*I14/100</f>
        <v>823.726739443605</v>
      </c>
      <c r="J15" s="0" t="n">
        <f aca="false">J13-MAX(0,J13)*J14/100</f>
        <v>844.319907929695</v>
      </c>
      <c r="K15" s="0" t="n">
        <f aca="false">K13-MAX(0,K13)*K14/100</f>
        <v>865.427905627938</v>
      </c>
      <c r="L15" s="0" t="n">
        <f aca="false">L13-MAX(0,L13)*L14/100</f>
        <v>887.063603268636</v>
      </c>
    </row>
    <row r="16" customFormat="false" ht="15" hidden="false" customHeight="false" outlineLevel="0" collapsed="false">
      <c r="A16" s="0" t="s">
        <v>127</v>
      </c>
      <c r="C16" s="0" t="n">
        <f aca="false">-C12</f>
        <v>656.83086</v>
      </c>
      <c r="D16" s="0" t="n">
        <f aca="false">-D12</f>
        <v>664.8713757</v>
      </c>
      <c r="E16" s="0" t="n">
        <f aca="false">-E12</f>
        <v>676.069209396</v>
      </c>
      <c r="F16" s="0" t="n">
        <f aca="false">-F12</f>
        <v>683.916441290775</v>
      </c>
      <c r="G16" s="0" t="n">
        <f aca="false">-G12</f>
        <v>691.62604481078</v>
      </c>
      <c r="H16" s="0" t="n">
        <f aca="false">-H12</f>
        <v>695.788608969363</v>
      </c>
      <c r="I16" s="0" t="n">
        <f aca="false">-I12</f>
        <v>713.183324193597</v>
      </c>
      <c r="J16" s="0" t="n">
        <f aca="false">-J12</f>
        <v>731.012907298437</v>
      </c>
      <c r="K16" s="0" t="n">
        <f aca="false">-K12</f>
        <v>749.288229980898</v>
      </c>
      <c r="L16" s="0" t="n">
        <f aca="false">-L12</f>
        <v>768.020435730421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-464.31147</v>
      </c>
      <c r="D17" s="4" t="n">
        <f aca="false">-D6*Assumptions!D32/100</f>
        <v>-501.5696343</v>
      </c>
      <c r="E17" s="4" t="n">
        <f aca="false">-E6*Assumptions!E32/100</f>
        <v>-543.2699004075</v>
      </c>
      <c r="F17" s="4" t="n">
        <f aca="false">-F6*Assumptions!F32/100</f>
        <v>-584.437686193935</v>
      </c>
      <c r="G17" s="4" t="n">
        <f aca="false">-G6*Assumptions!G32/100</f>
        <v>-627.58659621719</v>
      </c>
      <c r="H17" s="4" t="n">
        <f aca="false">-H6*Assumptions!H32/100</f>
        <v>-656.404348084305</v>
      </c>
      <c r="I17" s="4" t="n">
        <f aca="false">-I6*Assumptions!I32/100</f>
        <v>-686.270745922141</v>
      </c>
      <c r="J17" s="4" t="n">
        <f aca="false">-J6*Assumptions!J32/100</f>
        <v>-717.220210934316</v>
      </c>
      <c r="K17" s="4" t="n">
        <f aca="false">-K6*Assumptions!K32/100</f>
        <v>-735.150716207674</v>
      </c>
      <c r="L17" s="4" t="n">
        <f aca="false">-L6*Assumptions!L32/100</f>
        <v>-753.529484112866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-107.854</v>
      </c>
      <c r="D18" s="4" t="n">
        <f aca="false">(D6-C6)*Assumptions!$B$37/100</f>
        <v>-67.9480200000002</v>
      </c>
      <c r="E18" s="4" t="n">
        <f aca="false">(E6-D6)*Assumptions!$B$37/100</f>
        <v>-81.6508706999997</v>
      </c>
      <c r="F18" s="4" t="n">
        <f aca="false">(F6-E6)*Assumptions!$B$37/100</f>
        <v>-72.4359867210002</v>
      </c>
      <c r="G18" s="4" t="n">
        <f aca="false">(G6-F6)*Assumptions!$B$37/100</f>
        <v>-74.60906632263</v>
      </c>
      <c r="H18" s="4" t="n">
        <f aca="false">(H6-G6)*Assumptions!$B$37/100</f>
        <v>-64.0394485935904</v>
      </c>
      <c r="I18" s="4" t="n">
        <f aca="false">(I6-H6)*Assumptions!$B$37/100</f>
        <v>-65.6404348084303</v>
      </c>
      <c r="J18" s="4" t="n">
        <f aca="false">(J6-I6)*Assumptions!$B$37/100</f>
        <v>-67.2814456786411</v>
      </c>
      <c r="K18" s="4" t="n">
        <f aca="false">(K6-J6)*Assumptions!$B$37/100</f>
        <v>-68.9634818206072</v>
      </c>
      <c r="L18" s="4" t="n">
        <f aca="false">(L6-K6)*Assumptions!$B$37/100</f>
        <v>-70.6875688661221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583.44915548</v>
      </c>
      <c r="D19" s="0" t="n">
        <f aca="false">D15+D16+D17+D18</f>
        <v>662.9905745064</v>
      </c>
      <c r="E19" s="0" t="n">
        <f aca="false">E15+E16+E17+E18</f>
        <v>695.357886191714</v>
      </c>
      <c r="F19" s="0" t="n">
        <f aca="false">F15+F16+F17+F18</f>
        <v>728.877820428433</v>
      </c>
      <c r="G19" s="0" t="n">
        <f aca="false">G15+G16+G17+G18</f>
        <v>742.892918643712</v>
      </c>
      <c r="H19" s="0" t="n">
        <f aca="false">H15+H16+H17+H18</f>
        <v>777.969792955033</v>
      </c>
      <c r="I19" s="0" t="n">
        <f aca="false">I15+I16+I17+I18</f>
        <v>784.998882906631</v>
      </c>
      <c r="J19" s="0" t="n">
        <f aca="false">J15+J16+J17+J18</f>
        <v>790.831158615176</v>
      </c>
      <c r="K19" s="0" t="n">
        <f aca="false">K15+K16+K17+K18</f>
        <v>810.601937580555</v>
      </c>
      <c r="L19" s="0" t="n">
        <f aca="false">L15+L16+L17+L18</f>
        <v>830.866986020069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535.274454568807</v>
      </c>
      <c r="D21" s="0" t="n">
        <f aca="false">D19*D20</f>
        <v>558.025902286339</v>
      </c>
      <c r="E21" s="0" t="n">
        <f aca="false">E19*E20</f>
        <v>536.943872447423</v>
      </c>
      <c r="F21" s="0" t="n">
        <f aca="false">F19*F20</f>
        <v>516.355423777753</v>
      </c>
      <c r="G21" s="0" t="n">
        <f aca="false">G19*G20</f>
        <v>482.829424485332</v>
      </c>
      <c r="H21" s="0" t="n">
        <f aca="false">H19*H20</f>
        <v>463.877968838074</v>
      </c>
      <c r="I21" s="0" t="n">
        <f aca="false">I19*I20</f>
        <v>429.421271113677</v>
      </c>
      <c r="J21" s="0" t="n">
        <f aca="false">J19*J20</f>
        <v>396.891491423503</v>
      </c>
      <c r="K21" s="0" t="n">
        <f aca="false">K19*K20</f>
        <v>373.223650191826</v>
      </c>
      <c r="L21" s="0" t="n">
        <f aca="false">L19*L20</f>
        <v>350.967193987726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4643.81065312046</v>
      </c>
    </row>
    <row r="31" customFormat="false" ht="15" hidden="false" customHeight="false" outlineLevel="0" collapsed="false">
      <c r="A31" s="0" t="s">
        <v>136</v>
      </c>
      <c r="B31" s="0" t="n">
        <f aca="false">L19</f>
        <v>830.866986020069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13102.1332410857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11632.137804281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11632.137804281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4913.54071582817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9557.35136894863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8490.45136894863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138.732865505697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0.108798477507165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214.8148282983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241.313958830549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146.185950262704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6813.10928536456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68.5445982765345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10785.4</v>
      </c>
      <c r="C6" s="0" t="n">
        <f aca="false">B6*(1+C5/100)</f>
        <v>11432.524</v>
      </c>
      <c r="D6" s="0" t="n">
        <f aca="false">C6*(1+D5/100)</f>
        <v>12004.1502</v>
      </c>
      <c r="E6" s="0" t="n">
        <f aca="false">D6*(1+E5/100)</f>
        <v>12604.35771</v>
      </c>
      <c r="F6" s="0" t="n">
        <f aca="false">E6*(1+F5/100)</f>
        <v>13171.55380695</v>
      </c>
      <c r="G6" s="0" t="n">
        <f aca="false">F6*(1+G5/100)</f>
        <v>13698.415959228</v>
      </c>
      <c r="H6" s="0" t="n">
        <f aca="false">G6*(1+H5/100)</f>
        <v>14177.860517801</v>
      </c>
      <c r="I6" s="0" t="n">
        <f aca="false">H6*(1+I5/100)</f>
        <v>14603.196333335</v>
      </c>
      <c r="J6" s="0" t="n">
        <f aca="false">I6*(1+J5/100)</f>
        <v>15041.2922233351</v>
      </c>
      <c r="K6" s="0" t="n">
        <f aca="false">J6*(1+K5/100)</f>
        <v>15492.5309900351</v>
      </c>
      <c r="L6" s="0" t="n">
        <f aca="false">K6*(1+L5/100)</f>
        <v>15957.3069197362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12.2</v>
      </c>
      <c r="D7" s="4" t="n">
        <f aca="false">Assumptions!D42</f>
        <v>13</v>
      </c>
      <c r="E7" s="4" t="n">
        <f aca="false">Assumptions!E42</f>
        <v>13.8</v>
      </c>
      <c r="F7" s="4" t="n">
        <f aca="false">Assumptions!F42</f>
        <v>14.4</v>
      </c>
      <c r="G7" s="4" t="n">
        <f aca="false">Assumptions!G42</f>
        <v>14.8</v>
      </c>
      <c r="H7" s="4" t="n">
        <f aca="false">Assumptions!H42</f>
        <v>15</v>
      </c>
      <c r="I7" s="4" t="n">
        <f aca="false">Assumptions!I42</f>
        <v>15</v>
      </c>
      <c r="J7" s="4" t="n">
        <f aca="false">Assumptions!J42</f>
        <v>15</v>
      </c>
      <c r="K7" s="4" t="n">
        <f aca="false">Assumptions!K42</f>
        <v>15</v>
      </c>
      <c r="L7" s="4" t="n">
        <f aca="false">Assumptions!L42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1394.767928</v>
      </c>
      <c r="D8" s="0" t="n">
        <f aca="false">D6*D7/100</f>
        <v>1560.539526</v>
      </c>
      <c r="E8" s="0" t="n">
        <f aca="false">E6*E7/100</f>
        <v>1739.40136398</v>
      </c>
      <c r="F8" s="0" t="n">
        <f aca="false">F6*F7/100</f>
        <v>1896.7037482008</v>
      </c>
      <c r="G8" s="0" t="n">
        <f aca="false">G6*G7/100</f>
        <v>2027.36556196574</v>
      </c>
      <c r="H8" s="0" t="n">
        <f aca="false">H6*H7/100</f>
        <v>2126.67907767015</v>
      </c>
      <c r="I8" s="0" t="n">
        <f aca="false">I6*I7/100</f>
        <v>2190.47945000025</v>
      </c>
      <c r="J8" s="0" t="n">
        <f aca="false">J6*J7/100</f>
        <v>2256.19383350026</v>
      </c>
      <c r="K8" s="0" t="n">
        <f aca="false">K6*K7/100</f>
        <v>2323.87964850527</v>
      </c>
      <c r="L8" s="0" t="n">
        <f aca="false">L6*L7/100</f>
        <v>2393.59603796043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0.28</v>
      </c>
      <c r="D9" s="4" t="n">
        <f aca="false">Assumptions!D43</f>
        <v>0.28</v>
      </c>
      <c r="E9" s="4" t="n">
        <f aca="false">Assumptions!E43</f>
        <v>0.27</v>
      </c>
      <c r="F9" s="4" t="n">
        <f aca="false">Assumptions!F43</f>
        <v>0.27</v>
      </c>
      <c r="G9" s="4" t="n">
        <f aca="false">Assumptions!G43</f>
        <v>0.26</v>
      </c>
      <c r="H9" s="4" t="n">
        <f aca="false">Assumptions!H43</f>
        <v>0.26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-32.0110672</v>
      </c>
      <c r="D10" s="0" t="n">
        <f aca="false">-D6*D9/100</f>
        <v>-33.61162056</v>
      </c>
      <c r="E10" s="0" t="n">
        <f aca="false">-E6*E9/100</f>
        <v>-34.031765817</v>
      </c>
      <c r="F10" s="0" t="n">
        <f aca="false">-F6*F9/100</f>
        <v>-35.563195278765</v>
      </c>
      <c r="G10" s="0" t="n">
        <f aca="false">-G6*G9/100</f>
        <v>-35.6158814939928</v>
      </c>
      <c r="H10" s="0" t="n">
        <f aca="false">-H6*H9/100</f>
        <v>-36.8624373462826</v>
      </c>
      <c r="I10" s="0" t="n">
        <f aca="false">-I6*I9/100</f>
        <v>-36.5079908333375</v>
      </c>
      <c r="J10" s="0" t="n">
        <f aca="false">-J6*J9/100</f>
        <v>-37.6032305583377</v>
      </c>
      <c r="K10" s="0" t="n">
        <f aca="false">-K6*K9/100</f>
        <v>-38.7313274750878</v>
      </c>
      <c r="L10" s="0" t="n">
        <f aca="false">-L6*L9/100</f>
        <v>-39.8932672993404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1362.7568608</v>
      </c>
      <c r="D11" s="0" t="n">
        <f aca="false">D8+D10+D24</f>
        <v>1526.92790544</v>
      </c>
      <c r="E11" s="0" t="n">
        <f aca="false">E8+E10+E24</f>
        <v>1705.369598163</v>
      </c>
      <c r="F11" s="0" t="n">
        <f aca="false">F8+F10+F24</f>
        <v>1861.14055292203</v>
      </c>
      <c r="G11" s="0" t="n">
        <f aca="false">G8+G10+G24</f>
        <v>1991.74968047175</v>
      </c>
      <c r="H11" s="0" t="n">
        <f aca="false">H8+H10+H24</f>
        <v>2089.81664032386</v>
      </c>
      <c r="I11" s="0" t="n">
        <f aca="false">I8+I10+I24</f>
        <v>2153.97145916691</v>
      </c>
      <c r="J11" s="0" t="n">
        <f aca="false">J8+J10+J24</f>
        <v>2218.59060294192</v>
      </c>
      <c r="K11" s="0" t="n">
        <f aca="false">K8+K10+K24</f>
        <v>2285.14832103018</v>
      </c>
      <c r="L11" s="0" t="n">
        <f aca="false">L8+L10+L24</f>
        <v>2353.70277066108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-663.086392</v>
      </c>
      <c r="D12" s="4" t="n">
        <f aca="false">-D6*Assumptions!D45/100</f>
        <v>-684.2365614</v>
      </c>
      <c r="E12" s="4" t="n">
        <f aca="false">-E6*Assumptions!E45/100</f>
        <v>-705.84403176</v>
      </c>
      <c r="F12" s="4" t="n">
        <f aca="false">-F6*Assumptions!F45/100</f>
        <v>-724.43545938225</v>
      </c>
      <c r="G12" s="4" t="n">
        <f aca="false">-G6*Assumptions!G45/100</f>
        <v>-739.714461798312</v>
      </c>
      <c r="H12" s="4" t="n">
        <f aca="false">-H6*Assumptions!H45/100</f>
        <v>-751.426607443452</v>
      </c>
      <c r="I12" s="4" t="n">
        <f aca="false">-I6*Assumptions!I45/100</f>
        <v>-773.969405666756</v>
      </c>
      <c r="J12" s="4" t="n">
        <f aca="false">-J6*Assumptions!J45/100</f>
        <v>-797.188487836758</v>
      </c>
      <c r="K12" s="4" t="n">
        <f aca="false">-K6*Assumptions!K45/100</f>
        <v>-821.104142471861</v>
      </c>
      <c r="L12" s="4" t="n">
        <f aca="false">-L6*Assumptions!L45/100</f>
        <v>-845.737266746017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699.6704688</v>
      </c>
      <c r="D13" s="0" t="n">
        <f aca="false">D11+D12</f>
        <v>842.69134404</v>
      </c>
      <c r="E13" s="0" t="n">
        <f aca="false">E11+E12</f>
        <v>999.525566403</v>
      </c>
      <c r="F13" s="0" t="n">
        <f aca="false">F11+F12</f>
        <v>1136.70509353979</v>
      </c>
      <c r="G13" s="0" t="n">
        <f aca="false">G11+G12</f>
        <v>1252.03521867344</v>
      </c>
      <c r="H13" s="0" t="n">
        <f aca="false">H11+H12</f>
        <v>1338.39003288041</v>
      </c>
      <c r="I13" s="0" t="n">
        <f aca="false">I11+I12</f>
        <v>1380.00205350016</v>
      </c>
      <c r="J13" s="0" t="n">
        <f aca="false">J11+J12</f>
        <v>1421.40211510516</v>
      </c>
      <c r="K13" s="0" t="n">
        <f aca="false">K11+K12</f>
        <v>1464.04417855832</v>
      </c>
      <c r="L13" s="0" t="n">
        <f aca="false">L11+L12</f>
        <v>1507.96550391507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538.746260976</v>
      </c>
      <c r="D15" s="0" t="n">
        <f aca="false">D13-MAX(0,D13)*D14/100</f>
        <v>648.8723349108</v>
      </c>
      <c r="E15" s="0" t="n">
        <f aca="false">E13-MAX(0,E13)*E14/100</f>
        <v>769.63468613031</v>
      </c>
      <c r="F15" s="0" t="n">
        <f aca="false">F13-MAX(0,F13)*F14/100</f>
        <v>875.262922025635</v>
      </c>
      <c r="G15" s="0" t="n">
        <f aca="false">G13-MAX(0,G13)*G14/100</f>
        <v>964.067118378548</v>
      </c>
      <c r="H15" s="0" t="n">
        <f aca="false">H13-MAX(0,H13)*H14/100</f>
        <v>1030.56032531792</v>
      </c>
      <c r="I15" s="0" t="n">
        <f aca="false">I13-MAX(0,I13)*I14/100</f>
        <v>1062.60158119512</v>
      </c>
      <c r="J15" s="0" t="n">
        <f aca="false">J13-MAX(0,J13)*J14/100</f>
        <v>1094.47962863098</v>
      </c>
      <c r="K15" s="0" t="n">
        <f aca="false">K13-MAX(0,K13)*K14/100</f>
        <v>1127.31401748991</v>
      </c>
      <c r="L15" s="0" t="n">
        <f aca="false">L13-MAX(0,L13)*L14/100</f>
        <v>1161.1334380146</v>
      </c>
    </row>
    <row r="16" customFormat="false" ht="15" hidden="false" customHeight="false" outlineLevel="0" collapsed="false">
      <c r="A16" s="0" t="s">
        <v>127</v>
      </c>
      <c r="C16" s="0" t="n">
        <f aca="false">-C12</f>
        <v>663.086392</v>
      </c>
      <c r="D16" s="0" t="n">
        <f aca="false">-D12</f>
        <v>684.2365614</v>
      </c>
      <c r="E16" s="0" t="n">
        <f aca="false">-E12</f>
        <v>705.84403176</v>
      </c>
      <c r="F16" s="0" t="n">
        <f aca="false">-F12</f>
        <v>724.43545938225</v>
      </c>
      <c r="G16" s="0" t="n">
        <f aca="false">-G12</f>
        <v>739.714461798312</v>
      </c>
      <c r="H16" s="0" t="n">
        <f aca="false">-H12</f>
        <v>751.426607443452</v>
      </c>
      <c r="I16" s="0" t="n">
        <f aca="false">-I12</f>
        <v>773.969405666756</v>
      </c>
      <c r="J16" s="0" t="n">
        <f aca="false">-J12</f>
        <v>797.188487836758</v>
      </c>
      <c r="K16" s="0" t="n">
        <f aca="false">-K12</f>
        <v>821.104142471861</v>
      </c>
      <c r="L16" s="0" t="n">
        <f aca="false">-L12</f>
        <v>845.737266746017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-468.733484</v>
      </c>
      <c r="D17" s="4" t="n">
        <f aca="false">-D6*Assumptions!D46/100</f>
        <v>-528.1826088</v>
      </c>
      <c r="E17" s="4" t="n">
        <f aca="false">-E6*Assumptions!E46/100</f>
        <v>-592.40481237</v>
      </c>
      <c r="F17" s="4" t="n">
        <f aca="false">-F6*Assumptions!F46/100</f>
        <v>-658.5776903475</v>
      </c>
      <c r="G17" s="4" t="n">
        <f aca="false">-G6*Assumptions!G46/100</f>
        <v>-712.317629879856</v>
      </c>
      <c r="H17" s="4" t="n">
        <f aca="false">-H6*Assumptions!H46/100</f>
        <v>-751.426607443452</v>
      </c>
      <c r="I17" s="4" t="n">
        <f aca="false">-I6*Assumptions!I46/100</f>
        <v>-773.969405666756</v>
      </c>
      <c r="J17" s="4" t="n">
        <f aca="false">-J6*Assumptions!J46/100</f>
        <v>-797.188487836758</v>
      </c>
      <c r="K17" s="4" t="n">
        <f aca="false">-K6*Assumptions!K46/100</f>
        <v>-821.104142471861</v>
      </c>
      <c r="L17" s="4" t="n">
        <f aca="false">-L6*Assumptions!L46/100</f>
        <v>-845.737266746017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-129.4248</v>
      </c>
      <c r="D18" s="4" t="n">
        <f aca="false">(D6-C6)*Assumptions!$B$51/100</f>
        <v>-114.32524</v>
      </c>
      <c r="E18" s="4" t="n">
        <f aca="false">(E6-D6)*Assumptions!$B$51/100</f>
        <v>-120.041502</v>
      </c>
      <c r="F18" s="4" t="n">
        <f aca="false">(F6-E6)*Assumptions!$B$51/100</f>
        <v>-113.43921939</v>
      </c>
      <c r="G18" s="4" t="n">
        <f aca="false">(G6-F6)*Assumptions!$B$51/100</f>
        <v>-105.3724304556</v>
      </c>
      <c r="H18" s="4" t="n">
        <f aca="false">(H6-G6)*Assumptions!$B$51/100</f>
        <v>-95.8889117145958</v>
      </c>
      <c r="I18" s="4" t="n">
        <f aca="false">(I6-H6)*Assumptions!$B$51/100</f>
        <v>-85.067163106806</v>
      </c>
      <c r="J18" s="4" t="n">
        <f aca="false">(J6-I6)*Assumptions!$B$51/100</f>
        <v>-87.6191780000103</v>
      </c>
      <c r="K18" s="4" t="n">
        <f aca="false">(K6-J6)*Assumptions!$B$51/100</f>
        <v>-90.2477533400106</v>
      </c>
      <c r="L18" s="4" t="n">
        <f aca="false">(L6-K6)*Assumptions!$B$51/100</f>
        <v>-92.9551859402109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603.674368976</v>
      </c>
      <c r="D19" s="0" t="n">
        <f aca="false">D15+D16+D17+D18</f>
        <v>690.6010475108</v>
      </c>
      <c r="E19" s="0" t="n">
        <f aca="false">E15+E16+E17+E18</f>
        <v>763.03240352031</v>
      </c>
      <c r="F19" s="0" t="n">
        <f aca="false">F15+F16+F17+F18</f>
        <v>827.681471670384</v>
      </c>
      <c r="G19" s="0" t="n">
        <f aca="false">G15+G16+G17+G18</f>
        <v>886.091519841404</v>
      </c>
      <c r="H19" s="0" t="n">
        <f aca="false">H15+H16+H17+H18</f>
        <v>934.671413603322</v>
      </c>
      <c r="I19" s="0" t="n">
        <f aca="false">I15+I16+I17+I18</f>
        <v>977.534418088316</v>
      </c>
      <c r="J19" s="0" t="n">
        <f aca="false">J15+J16+J17+J18</f>
        <v>1006.86045063097</v>
      </c>
      <c r="K19" s="0" t="n">
        <f aca="false">K15+K16+K17+K18</f>
        <v>1037.06626414989</v>
      </c>
      <c r="L19" s="0" t="n">
        <f aca="false">L15+L16+L17+L18</f>
        <v>1068.17825207439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553.829696308257</v>
      </c>
      <c r="D21" s="0" t="n">
        <f aca="false">D19*D20</f>
        <v>581.265085018769</v>
      </c>
      <c r="E21" s="0" t="n">
        <f aca="false">E19*E20</f>
        <v>589.201016749671</v>
      </c>
      <c r="F21" s="0" t="n">
        <f aca="false">F19*F20</f>
        <v>586.350421262844</v>
      </c>
      <c r="G21" s="0" t="n">
        <f aca="false">G19*G20</f>
        <v>575.898689877731</v>
      </c>
      <c r="H21" s="0" t="n">
        <f aca="false">H19*H20</f>
        <v>557.31402529967</v>
      </c>
      <c r="I21" s="0" t="n">
        <f aca="false">I19*I20</f>
        <v>534.744802207294</v>
      </c>
      <c r="J21" s="0" t="n">
        <f aca="false">J19*J20</f>
        <v>505.30930850781</v>
      </c>
      <c r="K21" s="0" t="n">
        <f aca="false">K19*K20</f>
        <v>477.494117213802</v>
      </c>
      <c r="L21" s="0" t="n">
        <f aca="false">L19*L20</f>
        <v>451.21003736717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5412.61719981302</v>
      </c>
    </row>
    <row r="31" customFormat="false" ht="15" hidden="false" customHeight="false" outlineLevel="0" collapsed="false">
      <c r="A31" s="0" t="s">
        <v>136</v>
      </c>
      <c r="B31" s="0" t="n">
        <f aca="false">L19</f>
        <v>1068.17825207439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18337.0599939437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16022.6737811159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16022.6737811159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6768.15056050755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12180.7677603206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11113.8677603206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181.599146410467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0.451399827449383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227.785798778252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289.28146077514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190.047957841078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9168.52999697186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86.9539947144109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85.9637712819704</v>
      </c>
      <c r="C4" s="0" t="n">
        <f aca="false">B4/Assumptions!$B$2-1</f>
        <v>-0.312949398321848</v>
      </c>
      <c r="D4" s="4" t="n">
        <f aca="false">Assumptions!$B$24</f>
        <v>0.25</v>
      </c>
      <c r="E4" s="4" t="n">
        <f aca="false">DCF_Bear!$B$43</f>
        <v>92.3593926121838</v>
      </c>
      <c r="F4" s="4" t="n">
        <f aca="false">DCF_Bear!$B$47</f>
        <v>45.3899978230667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138.732865505697</v>
      </c>
      <c r="C5" s="0" t="n">
        <f aca="false">B5/Assumptions!$B$2-1</f>
        <v>0.108798477507165</v>
      </c>
      <c r="D5" s="4" t="n">
        <f aca="false">Assumptions!$B$38</f>
        <v>0.5</v>
      </c>
      <c r="E5" s="4" t="n">
        <f aca="false">DCF_Base!$B$43</f>
        <v>146.185950262704</v>
      </c>
      <c r="F5" s="4" t="n">
        <f aca="false">DCF_Base!$B$47</f>
        <v>68.5445982765345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181.599146410467</v>
      </c>
      <c r="C6" s="0" t="n">
        <f aca="false">B6/Assumptions!$B$2-1</f>
        <v>0.451399827449383</v>
      </c>
      <c r="D6" s="4" t="n">
        <f aca="false">Assumptions!$B$52</f>
        <v>0.25</v>
      </c>
      <c r="E6" s="4" t="n">
        <f aca="false">DCF_Bull!$B$43</f>
        <v>190.047957841078</v>
      </c>
      <c r="F6" s="4" t="n">
        <f aca="false">DCF_Bull!$B$47</f>
        <v>86.9539947144109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136.257162175958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143.694812744667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0.0817363432358546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-149.740325564792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67.3582972726367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138.732865505697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126.567044240558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109.503402972496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96.0310295290254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68.5445982765345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162.66023684586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162.66023684586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162.66023684586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162.66023684586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162.66023684586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150.145789439606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150.145789439606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150.145789439606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150.145789439606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150.145789439606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136.056645072239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138.732865505697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138.732865505697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138.732865505697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138.732865505697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117.535422814044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121.768995357722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126.567044240558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128.311789288862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128.311789288862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102.930900764709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106.03458236283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109.503402972496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113.40582615837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117.828572435694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2026-10-02T00:58:25Z</dcterms:created>
  <dc:creator>openpyxl</dc:creator>
  <dc:description/>
  <dc:language>en-NZ</dc:language>
  <cp:lastModifiedBy/>
  <dcterms:modified xsi:type="dcterms:W3CDTF">2026-10-02T00:58:25Z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