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CC"/>
    </font>
    <font>
      <color rgb="00007700"/>
    </font>
  </fonts>
  <fills count="4">
    <fill>
      <patternFill/>
    </fill>
    <fill>
      <patternFill patternType="gray125"/>
    </fill>
    <fill>
      <patternFill patternType="solid">
        <fgColor rgb="00FFF2AB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BioSyent Inc. (RX.V, TSX Venture, CAD) -- Owner-FCF DCF Model, version 1 (fresh build; supersedes nothing)</t>
        </is>
      </c>
    </row>
    <row r="2">
      <c r="A2" t="inlineStr"/>
    </row>
    <row r="3">
      <c r="A3" t="inlineStr">
        <is>
          <t>Built by: dcf-analyst agent (Claude, Fable 5), 2026-08-27, at the orchestrator's request. All figures in CAD millions unless noted.</t>
        </is>
      </c>
    </row>
    <row r="4">
      <c r="A4" t="inlineStr">
        <is>
          <t>FIGURES GO STALE. Refresh after every results print. Next: Q3-2026 (approx Nov-2026) -- refresh price, the net-debt bridge (acquisition loan paydown, contingent consideration remeasurement), Oral Health margin trend, and Thyconvi launch traction.</t>
        </is>
      </c>
    </row>
    <row r="5">
      <c r="A5" t="inlineStr"/>
    </row>
    <row r="6">
      <c r="A6" t="inlineStr">
        <is>
          <t>DATA VINTAGE</t>
        </is>
      </c>
    </row>
    <row r="7">
      <c r="A7" t="inlineStr">
        <is>
          <t xml:space="preserve">  Price: CAD 15.70 working price per orchestrator (Yahoo regular close 2026-08-26 was 15.84; 52w range 10.65-15.96).</t>
        </is>
      </c>
    </row>
    <row r="8">
      <c r="A8" t="inlineStr">
        <is>
          <t xml:space="preserve">  Balance sheet: 2026-06-30 (Q2-2026 interim). The FY2025 (Dec-2025) balance sheet is STALE -- the 2026-03-01 Oral Science acquisition cut net cash from $31.1m to ~$6.4m.</t>
        </is>
      </c>
    </row>
    <row r="9">
      <c r="A9" t="inlineStr">
        <is>
          <t xml:space="preserve">  Share count: 11,393,271 = Q2-2026 basic weighted average, includes the 234,192 Oral Science consideration shares. Held FLAT (SBC fully expensed; NCIB funds the flat count).</t>
        </is>
      </c>
    </row>
    <row r="10">
      <c r="A10" t="inlineStr">
        <is>
          <t xml:space="preserve">  Guidance: none numeric (company issues no formal guidance). Q2-2026 MD&amp;A: higher H2-2026 selling/marketing spend for the Thyconvi pre-launch; no significant tariff impact on COGS expected.</t>
        </is>
      </c>
    </row>
    <row r="11">
      <c r="A11" t="inlineStr"/>
    </row>
    <row r="12">
      <c r="A12" t="inlineStr">
        <is>
          <t>METHODOLOGY CHOICES (each charged once)</t>
        </is>
      </c>
    </row>
    <row r="13">
      <c r="A13" t="inlineStr">
        <is>
          <t xml:space="preserve">  Model: owner-FCF DCF, component build, 10-year horizon -- operating company (specialty pharma in-licensor/distributor); routed via dcf-methods SKILL.md; owner-fcf.md section 7 applied (non-US filer).</t>
        </is>
      </c>
    </row>
    <row r="14">
      <c r="A14" t="inlineStr">
        <is>
          <t xml:space="preserve">  Margins: built from the POST-ACQUISITION blend (H1-2026 GM 71.5% / OM 21.0% / EBITDA ~25.5%), never from FY2025's pre-deal 76.6%/26.0%. H1-2026 revenue +59.7% but net income only +19.7% -- the deal bought revenue at lower margin.</t>
        </is>
      </c>
    </row>
    <row r="15">
      <c r="A15" t="inlineStr">
        <is>
          <t xml:space="preserve">  Mid-cycling: FY2025 owner FCF $7.80m is a PEAK (1.8x the FY2019-25 median ~$4.3m; OCF conversion and capex both flattering). The model projects from revenue x normalized components (Y1 owner-FCF margin 12.7% vs 18.1% actual), with reinvestment normalized at 2% of revenue (product-rights purchases are lumpy: FY2024 $4.63m vs FY2025 $0.34m).</t>
        </is>
      </c>
    </row>
    <row r="16">
      <c r="A16" t="inlineStr">
        <is>
          <t xml:space="preserve">  Leases: treatment (B) -- lease cost charged in the flows at 0.4% of revenue; lease liabilities ($1.14m) EXCLUDED from net debt.</t>
        </is>
      </c>
    </row>
    <row r="17">
      <c r="A17" t="inlineStr">
        <is>
          <t xml:space="preserve">  Finance income: reported OCF already EXCLUDES net finance income (IFRS presentation) -- nothing stripped (stripping again would double-deduct); the matching assets (cash+ST+LT investments $12.24m) sit in the net-debt bridge.</t>
        </is>
      </c>
    </row>
    <row r="18">
      <c r="A18" t="inlineStr">
        <is>
          <t xml:space="preserve">  Net debt (Jun-2026, treatment B): -(12.237 liquid) + 2.000 bank debt + 3.846 contingent consideration = net CASH 6.391. Contingent consideration (Oral Science royalty to 2033, max $6.0m) is debt-like.</t>
        </is>
      </c>
    </row>
    <row r="19">
      <c r="A19" t="inlineStr">
        <is>
          <t xml:space="preserve">  WACC 13.5% (CAD-built): 10.5% Canadian small-cap base + 2.0% customer concentration (four customers = 77.1% of FY2025 revenue, largest 34.2%) + 1.0% TSXV micro-cap illiquidity. Same WACC in all scenarios.</t>
        </is>
      </c>
    </row>
    <row r="20">
      <c r="A20" t="inlineStr">
        <is>
          <t xml:space="preserve">  Risk placement: concentration + illiquidity live in the WACC; licence-termination / launch-failure / PPA-impairment risk lives in the BEAR flows and its elevated 25% weight. Nothing is charged twice.</t>
        </is>
      </c>
    </row>
    <row r="21">
      <c r="A21" t="inlineStr">
        <is>
          <t xml:space="preserve">  Terminal value: MAX(0, MIN(Gordon, 15x FCF10)) -- 15x cap (slower-growth business). Gordon binds in all three scenarios.</t>
        </is>
      </c>
    </row>
    <row r="22">
      <c r="A22" t="inlineStr">
        <is>
          <t xml:space="preserve">  Scenario drivers: agent judgment, set 2026-08-27, from the verified ValuationContext and Analysis JSON (orchestrator-verified figures).</t>
        </is>
      </c>
    </row>
    <row r="23">
      <c r="A23" t="inlineStr"/>
    </row>
    <row r="24">
      <c r="A24" t="inlineStr">
        <is>
          <t>CELL COLOUR LEGEND</t>
        </is>
      </c>
    </row>
    <row r="25">
      <c r="A25" t="inlineStr">
        <is>
          <t xml:space="preserve">  Blue font = hardcoded input.  Yellow fill = key driver row (the only hardcoded rows on DCF tabs: growth, EBITDA margin, SBC %, tax).  Black = formula.  Green font = cross-sheet link.  Green fill = the value-per-share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Reported history (CAD millions; source: annual filings / Metrics.csv, verified in RX.V_ValuationContext.md)</t>
        </is>
      </c>
    </row>
    <row r="3">
      <c r="A3" s="2" t="inlineStr"/>
      <c r="B3" s="2" t="inlineStr">
        <is>
          <t>FY2019</t>
        </is>
      </c>
      <c r="C3" s="2" t="inlineStr">
        <is>
          <t>FY2020</t>
        </is>
      </c>
      <c r="D3" s="2" t="inlineStr">
        <is>
          <t>FY2021</t>
        </is>
      </c>
      <c r="E3" s="2" t="inlineStr">
        <is>
          <t>FY2022</t>
        </is>
      </c>
      <c r="F3" s="2" t="inlineStr">
        <is>
          <t>FY2023</t>
        </is>
      </c>
      <c r="G3" s="2" t="inlineStr">
        <is>
          <t>FY2024</t>
        </is>
      </c>
      <c r="H3" s="2" t="inlineStr">
        <is>
          <t>FY2025</t>
        </is>
      </c>
      <c r="I3" s="2" t="inlineStr">
        <is>
          <t>H1-2026</t>
        </is>
      </c>
    </row>
    <row r="4">
      <c r="A4" t="inlineStr">
        <is>
          <t>Revenue</t>
        </is>
      </c>
      <c r="B4" s="3" t="n">
        <v>21.424</v>
      </c>
      <c r="C4" s="3" t="n">
        <v>22.332</v>
      </c>
      <c r="D4" s="3" t="n">
        <v>28.618</v>
      </c>
      <c r="E4" s="3" t="n">
        <v>27.925</v>
      </c>
      <c r="F4" s="3" t="n">
        <v>31.59</v>
      </c>
      <c r="G4" s="3" t="n">
        <v>35.031</v>
      </c>
      <c r="H4" s="3" t="n">
        <v>43.052</v>
      </c>
      <c r="I4" s="3" t="n">
        <v>33.781</v>
      </c>
    </row>
    <row r="5">
      <c r="A5" t="inlineStr">
        <is>
          <t>EBITDA</t>
        </is>
      </c>
      <c r="B5" s="3" t="n">
        <v>5.68</v>
      </c>
      <c r="C5" s="3" t="n">
        <v>5.54</v>
      </c>
      <c r="D5" s="3" t="n">
        <v>8.640000000000001</v>
      </c>
      <c r="E5" s="3" t="n">
        <v>7.433</v>
      </c>
      <c r="F5" s="3" t="n">
        <v>7.926</v>
      </c>
      <c r="G5" s="3" t="n">
        <v>9.343</v>
      </c>
      <c r="H5" s="3" t="n">
        <v>12.045</v>
      </c>
      <c r="I5" s="3" t="n">
        <v>8.615</v>
      </c>
    </row>
    <row r="6">
      <c r="A6" t="inlineStr">
        <is>
          <t>Net income</t>
        </is>
      </c>
      <c r="B6" s="3" t="n">
        <v>4.369</v>
      </c>
      <c r="C6" s="3" t="n">
        <v>3.795</v>
      </c>
      <c r="D6" s="3" t="n">
        <v>6.282</v>
      </c>
      <c r="E6" s="3" t="n">
        <v>5.458</v>
      </c>
      <c r="F6" s="3" t="n">
        <v>6.46</v>
      </c>
      <c r="G6" s="3" t="n">
        <v>7.27</v>
      </c>
      <c r="H6" s="3" t="n">
        <v>9.012</v>
      </c>
      <c r="I6" s="3" t="n">
        <v>5.194</v>
      </c>
    </row>
    <row r="7">
      <c r="A7" t="inlineStr">
        <is>
          <t>Basic EPS ($)</t>
        </is>
      </c>
      <c r="B7" s="3" t="n">
        <v>0.31</v>
      </c>
      <c r="C7" s="3" t="n">
        <v>0.29</v>
      </c>
      <c r="D7" s="3" t="n">
        <v>0.495</v>
      </c>
      <c r="E7" s="3" t="n">
        <v>0.444</v>
      </c>
      <c r="F7" s="3" t="n">
        <v>0.541</v>
      </c>
      <c r="G7" s="3" t="n">
        <v>0.627</v>
      </c>
      <c r="H7" s="3" t="n">
        <v>0.8</v>
      </c>
      <c r="I7" s="3" t="n">
        <v>0.457</v>
      </c>
    </row>
    <row r="8">
      <c r="A8" t="inlineStr">
        <is>
          <t>Operating cash flow</t>
        </is>
      </c>
      <c r="B8" s="3" t="n">
        <v>4.402</v>
      </c>
      <c r="C8" s="3" t="n">
        <v>6.894</v>
      </c>
      <c r="D8" s="3" t="n">
        <v>4.675</v>
      </c>
      <c r="E8" s="3" t="n">
        <v>4.949</v>
      </c>
      <c r="F8" s="3" t="n">
        <v>5.055</v>
      </c>
      <c r="G8" s="3" t="n">
        <v>8.663</v>
      </c>
      <c r="H8" s="3" t="n">
        <v>9.009</v>
      </c>
      <c r="I8" s="3" t="n">
        <v>5.248</v>
      </c>
    </row>
    <row r="9">
      <c r="A9" t="inlineStr">
        <is>
          <t>Capex (PP&amp;E+intangibles)</t>
        </is>
      </c>
      <c r="B9" s="3" t="n">
        <v>0.504</v>
      </c>
      <c r="C9" s="3" t="n">
        <v>0.014</v>
      </c>
      <c r="D9" s="3" t="n">
        <v>0.08500000000000001</v>
      </c>
      <c r="E9" s="3" t="n">
        <v>0.047</v>
      </c>
      <c r="F9" s="3" t="n">
        <v>0.06</v>
      </c>
      <c r="G9" s="3" t="n">
        <v>4.67</v>
      </c>
      <c r="H9" s="3" t="n">
        <v>0.39</v>
      </c>
      <c r="I9" s="3" t="n">
        <v>0.045</v>
      </c>
    </row>
    <row r="10">
      <c r="A10" t="inlineStr">
        <is>
          <t>Share-based payments</t>
        </is>
      </c>
      <c r="B10" s="3" t="n">
        <v>0.263</v>
      </c>
      <c r="C10" s="3" t="n">
        <v>0.266</v>
      </c>
      <c r="D10" s="3" t="n">
        <v>0.334</v>
      </c>
      <c r="E10" s="3" t="n">
        <v>0.44</v>
      </c>
      <c r="F10" s="3" t="n">
        <v>0.513</v>
      </c>
      <c r="G10" s="3" t="n">
        <v>0.554</v>
      </c>
      <c r="H10" s="3" t="n">
        <v>0.625</v>
      </c>
      <c r="I10" s="3" t="n">
        <v>0.369</v>
      </c>
    </row>
    <row r="11">
      <c r="A11" t="inlineStr">
        <is>
          <t>Shareholders' equity</t>
        </is>
      </c>
      <c r="B11" s="3" t="n">
        <v>25.795</v>
      </c>
      <c r="C11" s="3" t="n">
        <v>26.796</v>
      </c>
      <c r="D11" s="3" t="n">
        <v>31.555</v>
      </c>
      <c r="E11" s="3" t="n">
        <v>33.363</v>
      </c>
      <c r="F11" s="3" t="n">
        <v>34.76</v>
      </c>
      <c r="G11" s="3" t="n">
        <v>35.003</v>
      </c>
      <c r="H11" s="3" t="n">
        <v>41.466</v>
      </c>
      <c r="I11" s="3" t="n">
        <v>45.843</v>
      </c>
    </row>
    <row r="12">
      <c r="A12" t="inlineStr">
        <is>
          <t>Shares wavg (m)</t>
        </is>
      </c>
      <c r="B12" s="3" t="n">
        <v>13.945</v>
      </c>
      <c r="C12" s="3" t="n">
        <v>12.997</v>
      </c>
      <c r="D12" s="3" t="n">
        <v>12.689</v>
      </c>
      <c r="E12" s="3" t="n">
        <v>12.303</v>
      </c>
      <c r="F12" s="3" t="n">
        <v>11.95</v>
      </c>
      <c r="G12" s="3" t="n">
        <v>11.587</v>
      </c>
      <c r="H12" s="3" t="n">
        <v>11.262</v>
      </c>
      <c r="I12" s="3" t="n">
        <v>11.393</v>
      </c>
    </row>
    <row r="14">
      <c r="A14" t="inlineStr">
        <is>
          <t>Balance sheet 2026-06-30 (whole-dollar filings scaled to millions): cash 5.692 + ST inv 3.251 + LT inv 3.294 = liquid 12.237; ST bank debt 2.000; lease liabilities 1.141 (excluded from net debt, treatment B); contingent consideration 3.846; equity 45.843; BVPS 4.02.</t>
        </is>
      </c>
    </row>
    <row r="15">
      <c r="A15" t="inlineStr">
        <is>
          <t>Oral Science acquisition closed 2026-03-01: total consideration $31.48m (cash 24.309 + 234,192 shares at FV 3.474 + contingent 3.846 - WC adj 0.147); 72.7% of PPA is intangibles+goodwill, PROVISIONAL.</t>
        </is>
      </c>
    </row>
    <row r="16">
      <c r="A16" t="inlineStr">
        <is>
          <t>H1-2026 vs H1-2025: revenue +59.7% (33.78 vs 21.16) but net income +19.7% (5.19 vs 4.34); GM 71.5% vs 76.8%; OM 21.0% vs 26.2% -- the acquisition structurally reset margins DOWN.</t>
        </is>
      </c>
    </row>
    <row r="17">
      <c r="A17" t="inlineStr">
        <is>
          <t>Customer concentration FY2025: four customers = $33.18m = 77.1% of revenue; largest single customer 34.2%.</t>
        </is>
      </c>
    </row>
    <row r="18">
      <c r="A18" t="inlineStr">
        <is>
          <t>Dividend $0.055/quarter ($0.22/yr, ~1.4%); H1-2026 buybacks $3.09m (14x FY2025's $0.215m); $6m of the $8m acquisition facilities repaid in H1-2026.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00" customWidth="1" min="5" max="5"/>
  </cols>
  <sheetData>
    <row r="1">
      <c r="A1" s="1" t="inlineStr">
        <is>
          <t>Global assumptions (blue = input)</t>
        </is>
      </c>
    </row>
    <row r="2">
      <c r="A2" t="inlineStr">
        <is>
          <t>WACC (%)</t>
        </is>
      </c>
      <c r="B2" s="4" t="n">
        <v>13.5</v>
      </c>
      <c r="E2" t="inlineStr">
        <is>
          <t>CAD-built: 10.5% Canadian small-cap base (GoC 10y ~3.4% + ERP ~5.5% + size) + 2.0% customer concentration + 1.0% TSXV illiquidity. Same for all scenarios (risk charged once).</t>
        </is>
      </c>
    </row>
    <row r="3">
      <c r="A3" t="inlineStr">
        <is>
          <t>D&amp;A (% of revenue)</t>
        </is>
      </c>
      <c r="B3" s="4" t="n">
        <v>2</v>
      </c>
      <c r="E3" t="inlineStr">
        <is>
          <t>Tax-deductible depreciation + amortization of directly purchased product rights. Excludes non-deductible PPA amortization of acquired intangibles (~$3.6m/yr run-rate), which is non-cash AND non-tax-deductible, hence value-irrelevant here.</t>
        </is>
      </c>
    </row>
    <row r="4">
      <c r="A4" t="inlineStr">
        <is>
          <t>Capex (% of revenue)</t>
        </is>
      </c>
      <c r="B4" s="4" t="n">
        <v>2</v>
      </c>
      <c r="E4" t="inlineStr">
        <is>
          <t>NORMALIZED reinvestment. FY2025's $0.39m (0.9%) understates the recurring cost of periodically buying product rights (FY2024: $4.63m). 2% of revenue ~= $1.4-2.2m/yr across the horizon.</t>
        </is>
      </c>
    </row>
    <row r="5">
      <c r="A5" t="inlineStr">
        <is>
          <t>WC capture (% of rev change)</t>
        </is>
      </c>
      <c r="B5" s="4" t="n">
        <v>-8</v>
      </c>
      <c r="E5" t="inlineStr">
        <is>
          <t>Distributor economics: growth consumes receivables+inventory. Negative = cash drag on the CHANGE in revenue. Mid-cycles FY2025's unusually favourable OCF conversion.</t>
        </is>
      </c>
    </row>
    <row r="6">
      <c r="A6" t="inlineStr">
        <is>
          <t>Lease cost (% of revenue)</t>
        </is>
      </c>
      <c r="B6" s="4" t="n">
        <v>0.4</v>
      </c>
      <c r="E6" t="inlineStr">
        <is>
          <t>Treatment (B): IFRS-16 lease cost charged in the flows (~$0.3m/yr on the post-acquisition footprint); lease liabilities excluded from net debt.</t>
        </is>
      </c>
    </row>
    <row r="7">
      <c r="A7" t="inlineStr">
        <is>
          <t>Cash tax rate (%)</t>
        </is>
      </c>
      <c r="B7" s="4" t="n">
        <v>26</v>
      </c>
      <c r="E7" t="inlineStr">
        <is>
          <t>Canadian combined statutory ~26.5%; FY2025 effective ~25.4%. No abnormal items to ramp from.</t>
        </is>
      </c>
    </row>
    <row r="8">
      <c r="A8" t="inlineStr">
        <is>
          <t>Net debt (negative = net cash)</t>
        </is>
      </c>
      <c r="B8" s="4" t="n">
        <v>-6.391</v>
      </c>
      <c r="E8" t="inlineStr">
        <is>
          <t>2026-06-30: -(cash 5.692 + ST inv 3.251 + LT inv 3.294) + bank debt 2.000 + contingent consideration 3.846. Leases excluded (treatment B). NOT the stale Dec-2025 figure of -31.1.</t>
        </is>
      </c>
    </row>
    <row r="9">
      <c r="A9" t="inlineStr">
        <is>
          <t>Shares outstanding (m)</t>
        </is>
      </c>
      <c r="B9" s="4" t="n">
        <v>11.393271</v>
      </c>
      <c r="E9" t="inlineStr">
        <is>
          <t>Q2-2026 basic wavg incl. 234,192 consideration shares; held flat (SBC expensed; diluted ~11.5m would be ~1% lower per share).</t>
        </is>
      </c>
    </row>
    <row r="10">
      <c r="A10" t="inlineStr">
        <is>
          <t>Current price (CAD)</t>
        </is>
      </c>
      <c r="B10" s="4" t="n">
        <v>15.7</v>
      </c>
      <c r="E10" t="inlineStr">
        <is>
          <t>Working price per orchestrator; Yahoo regular close 2026-08-26 was 15.84 (99th percentile of the 10y range 3.61-15.84).</t>
        </is>
      </c>
    </row>
    <row r="11">
      <c r="A11" t="inlineStr">
        <is>
          <t>Terminal cap multiple (x FCF10)</t>
        </is>
      </c>
      <c r="B11" s="4" t="n">
        <v>15</v>
      </c>
      <c r="E11" t="inlineStr">
        <is>
          <t>Lower cap for a structurally slower business. Gordon binds in all scenarios anyway.</t>
        </is>
      </c>
    </row>
    <row r="12">
      <c r="A12" t="inlineStr">
        <is>
          <t>FY0 (FY2025) revenue</t>
        </is>
      </c>
      <c r="B12" s="4" t="n">
        <v>43.052</v>
      </c>
      <c r="E12" t="inlineStr">
        <is>
          <t>Reported FY2025 revenue. Y1 growth of ~62-70% is mostly the Oral Science annualization, locked in by H1-2026 (+59.7%).</t>
        </is>
      </c>
    </row>
    <row r="13">
      <c r="A13" t="inlineStr">
        <is>
          <t>Hurdle rate (%)</t>
        </is>
      </c>
      <c r="B13" s="4" t="n">
        <v>15</v>
      </c>
      <c r="E13" t="inlineStr">
        <is>
          <t>Entry-price IRR hurdle.</t>
        </is>
      </c>
    </row>
    <row r="16">
      <c r="A16" s="2" t="inlineStr">
        <is>
          <t>Per scenario</t>
        </is>
      </c>
      <c r="B16" s="2" t="inlineStr">
        <is>
          <t>Bear</t>
        </is>
      </c>
      <c r="C16" s="2" t="inlineStr">
        <is>
          <t>Base</t>
        </is>
      </c>
      <c r="D16" s="2" t="inlineStr">
        <is>
          <t>Bull</t>
        </is>
      </c>
    </row>
    <row r="17">
      <c r="A17" t="inlineStr">
        <is>
          <t>Terminal growth (%)</t>
        </is>
      </c>
      <c r="B17" s="4" t="n">
        <v>1.5</v>
      </c>
      <c r="C17" s="4" t="n">
        <v>2.5</v>
      </c>
      <c r="D17" s="4" t="n">
        <v>3</v>
      </c>
      <c r="E17" t="inlineStr">
        <is>
          <t>Bear 1.5 / Base 2.5 / Bull 3.0.</t>
        </is>
      </c>
    </row>
    <row r="18">
      <c r="A18" t="inlineStr">
        <is>
          <t>Probability weight</t>
        </is>
      </c>
      <c r="B18" s="4" t="n">
        <v>0.25</v>
      </c>
      <c r="C18" s="4" t="n">
        <v>0.5</v>
      </c>
      <c r="D18" s="4" t="n">
        <v>0.25</v>
      </c>
      <c r="E18" t="inlineStr">
        <is>
          <t>Bear raised to 25% (in-licensed portfolio terminable; mixed launch record: Gelclair discontinued, Combogesic returned; provisional PPA 72.7% intangibles+goodwill). Bull cut to 25% (needs Thyconvi + integration + FeraMAX defence simultaneously).</t>
        </is>
      </c>
    </row>
    <row r="19">
      <c r="A19" t="inlineStr">
        <is>
          <t>Weights sum (must be 1.0)</t>
        </is>
      </c>
      <c r="B19">
        <f>SUM(B18:D18)</f>
        <v/>
      </c>
    </row>
    <row r="21">
      <c r="A21" t="inlineStr">
        <is>
          <t>BEAR: the Gelclair/Combogesic pattern repeats -- Thyconvi does not convert, a licensor repatriates a meaningful product, private label clips FeraMAX to zero growth, Oral Science proves ex-growth with partial impairment of the provisional intangibles. Margin compresses to 22% EBITDA.</t>
        </is>
      </c>
    </row>
    <row r="22">
      <c r="A22" t="inlineStr">
        <is>
          <t>BASE: Oral Science annualizes (+67% FY2026) at the new blended ~25% EBITDA margin, then organic mid-single-digit growth (FeraMAX defended, Thyconvi modest, Oral Health at category rates); margins hold ~26%; reinvestment normalized at 2% of revenue.</t>
        </is>
      </c>
    </row>
    <row r="23">
      <c r="A23" t="inlineStr">
        <is>
          <t>BULL: Thyconvi (only liquid levothyroxine in Canada) becomes a durable franchise, Oral Science cross-selling lifts EBITDA margin back toward 28%, international compounds; high-single/low-double-digit growth for five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>
      <c r="A1" s="1" t="inlineStr">
        <is>
          <t>Bear scenario -- component owner-FCF build (CAD m). Drivers (yellow): rows 5, 7, 9, 16.</t>
        </is>
      </c>
    </row>
    <row r="3">
      <c r="B3" s="2" t="inlineStr">
        <is>
          <t>2025A</t>
        </is>
      </c>
      <c r="C3" s="2" t="inlineStr">
        <is>
          <t>2026E</t>
        </is>
      </c>
      <c r="D3" s="2" t="inlineStr">
        <is>
          <t>2027E</t>
        </is>
      </c>
      <c r="E3" s="2" t="inlineStr">
        <is>
          <t>2028E</t>
        </is>
      </c>
      <c r="F3" s="2" t="inlineStr">
        <is>
          <t>2029E</t>
        </is>
      </c>
      <c r="G3" s="2" t="inlineStr">
        <is>
          <t>2030E</t>
        </is>
      </c>
      <c r="H3" s="2" t="inlineStr">
        <is>
          <t>2031E</t>
        </is>
      </c>
      <c r="I3" s="2" t="inlineStr">
        <is>
          <t>2032E</t>
        </is>
      </c>
      <c r="J3" s="2" t="inlineStr">
        <is>
          <t>2033E</t>
        </is>
      </c>
      <c r="K3" s="2" t="inlineStr">
        <is>
          <t>2034E</t>
        </is>
      </c>
      <c r="L3" s="2" t="inlineStr">
        <is>
          <t>2035E</t>
        </is>
      </c>
    </row>
    <row r="4">
      <c r="A4" t="inlineStr">
        <is>
          <t>Year index (discount exponent)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(%)</t>
        </is>
      </c>
      <c r="C5" s="4" t="n">
        <v>62</v>
      </c>
      <c r="D5" s="4" t="n">
        <v>3</v>
      </c>
      <c r="E5" s="4" t="n">
        <v>1</v>
      </c>
      <c r="F5" s="4" t="n">
        <v>0</v>
      </c>
      <c r="G5" s="4" t="n">
        <v>1</v>
      </c>
      <c r="H5" s="4" t="n">
        <v>1.5</v>
      </c>
      <c r="I5" s="4" t="n">
        <v>1.5</v>
      </c>
      <c r="J5" s="4" t="n">
        <v>1.5</v>
      </c>
      <c r="K5" s="4" t="n">
        <v>1.5</v>
      </c>
      <c r="L5" s="4" t="n">
        <v>1.5</v>
      </c>
    </row>
    <row r="6">
      <c r="A6" t="inlineStr">
        <is>
          <t>Revenue</t>
        </is>
      </c>
      <c r="B6" s="3" t="n">
        <v>43.052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(%)</t>
        </is>
      </c>
      <c r="C7" s="4" t="n">
        <v>24</v>
      </c>
      <c r="D7" s="4" t="n">
        <v>23.5</v>
      </c>
      <c r="E7" s="4" t="n">
        <v>23</v>
      </c>
      <c r="F7" s="4" t="n">
        <v>22.5</v>
      </c>
      <c r="G7" s="4" t="n">
        <v>22</v>
      </c>
      <c r="H7" s="4" t="n">
        <v>22</v>
      </c>
      <c r="I7" s="4" t="n">
        <v>22</v>
      </c>
      <c r="J7" s="4" t="n">
        <v>22</v>
      </c>
      <c r="K7" s="4" t="n">
        <v>22</v>
      </c>
      <c r="L7" s="4" t="n">
        <v>22</v>
      </c>
    </row>
    <row r="8">
      <c r="A8" t="inlineStr">
        <is>
          <t>Adjusted 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of revenue</t>
        </is>
      </c>
      <c r="C9" s="4" t="n">
        <v>1.1</v>
      </c>
      <c r="D9" s="4" t="n">
        <v>1.1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</row>
    <row r="10">
      <c r="A10" t="inlineStr">
        <is>
          <t>SBC $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(SBC expensed)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Lease cost % of revenue</t>
        </is>
      </c>
      <c r="C12" s="5">
        <f>Assumptions!$B$6</f>
        <v/>
      </c>
      <c r="D12" s="5">
        <f>Assumptions!$B$6</f>
        <v/>
      </c>
      <c r="E12" s="5">
        <f>Assumptions!$B$6</f>
        <v/>
      </c>
      <c r="F12" s="5">
        <f>Assumptions!$B$6</f>
        <v/>
      </c>
      <c r="G12" s="5">
        <f>Assumptions!$B$6</f>
        <v/>
      </c>
      <c r="H12" s="5">
        <f>Assumptions!$B$6</f>
        <v/>
      </c>
      <c r="I12" s="5">
        <f>Assumptions!$B$6</f>
        <v/>
      </c>
      <c r="J12" s="5">
        <f>Assumptions!$B$6</f>
        <v/>
      </c>
      <c r="K12" s="5">
        <f>Assumptions!$B$6</f>
        <v/>
      </c>
      <c r="L12" s="5">
        <f>Assumptions!$B$6</f>
        <v/>
      </c>
    </row>
    <row r="13">
      <c r="A13" t="inlineStr">
        <is>
          <t>Lease cost $</t>
        </is>
      </c>
      <c r="C13">
        <f>-C6*C12/100</f>
        <v/>
      </c>
      <c r="D13">
        <f>-D6*D12/100</f>
        <v/>
      </c>
      <c r="E13">
        <f>-E6*E12/100</f>
        <v/>
      </c>
      <c r="F13">
        <f>-F6*F12/100</f>
        <v/>
      </c>
      <c r="G13">
        <f>-G6*G12/100</f>
        <v/>
      </c>
      <c r="H13">
        <f>-H6*H12/100</f>
        <v/>
      </c>
      <c r="I13">
        <f>-I6*I12/100</f>
        <v/>
      </c>
      <c r="J13">
        <f>-J6*J12/100</f>
        <v/>
      </c>
      <c r="K13">
        <f>-K6*K12/100</f>
        <v/>
      </c>
      <c r="L13">
        <f>-L6*L12/100</f>
        <v/>
      </c>
    </row>
    <row r="14">
      <c r="A14" t="inlineStr">
        <is>
          <t>D&amp;A $</t>
        </is>
      </c>
      <c r="C14">
        <f>-C6*Assumptions!$B$3/100</f>
        <v/>
      </c>
      <c r="D14">
        <f>-D6*Assumptions!$B$3/100</f>
        <v/>
      </c>
      <c r="E14">
        <f>-E6*Assumptions!$B$3/100</f>
        <v/>
      </c>
      <c r="F14">
        <f>-F6*Assumptions!$B$3/100</f>
        <v/>
      </c>
      <c r="G14">
        <f>-G6*Assumptions!$B$3/100</f>
        <v/>
      </c>
      <c r="H14">
        <f>-H6*Assumptions!$B$3/100</f>
        <v/>
      </c>
      <c r="I14">
        <f>-I6*Assumptions!$B$3/100</f>
        <v/>
      </c>
      <c r="J14">
        <f>-J6*Assumptions!$B$3/100</f>
        <v/>
      </c>
      <c r="K14">
        <f>-K6*Assumptions!$B$3/100</f>
        <v/>
      </c>
      <c r="L14">
        <f>-L6*Assumptions!$B$3/100</f>
        <v/>
      </c>
    </row>
    <row r="15">
      <c r="A15" t="inlineStr">
        <is>
          <t>EBIT (SBC+lease expensed)</t>
        </is>
      </c>
      <c r="C15">
        <f>C11+C13+C14</f>
        <v/>
      </c>
      <c r="D15">
        <f>D11+D13+D14</f>
        <v/>
      </c>
      <c r="E15">
        <f>E11+E13+E14</f>
        <v/>
      </c>
      <c r="F15">
        <f>F11+F13+F14</f>
        <v/>
      </c>
      <c r="G15">
        <f>G11+G13+G14</f>
        <v/>
      </c>
      <c r="H15">
        <f>H11+H13+H14</f>
        <v/>
      </c>
      <c r="I15">
        <f>I11+I13+I14</f>
        <v/>
      </c>
      <c r="J15">
        <f>J11+J13+J14</f>
        <v/>
      </c>
      <c r="K15">
        <f>K11+K13+K14</f>
        <v/>
      </c>
      <c r="L15">
        <f>L11+L13+L14</f>
        <v/>
      </c>
    </row>
    <row r="16">
      <c r="A16" t="inlineStr">
        <is>
          <t>Cash tax rate (%)</t>
        </is>
      </c>
      <c r="C16" s="4" t="n">
        <v>26</v>
      </c>
      <c r="D16" s="4" t="n">
        <v>26</v>
      </c>
      <c r="E16" s="4" t="n">
        <v>26</v>
      </c>
      <c r="F16" s="4" t="n">
        <v>26</v>
      </c>
      <c r="G16" s="4" t="n">
        <v>26</v>
      </c>
      <c r="H16" s="4" t="n">
        <v>26</v>
      </c>
      <c r="I16" s="4" t="n">
        <v>26</v>
      </c>
      <c r="J16" s="4" t="n">
        <v>26</v>
      </c>
      <c r="K16" s="4" t="n">
        <v>26</v>
      </c>
      <c r="L16" s="4" t="n">
        <v>26</v>
      </c>
    </row>
    <row r="17">
      <c r="A17" t="inlineStr">
        <is>
          <t>NOPAT</t>
        </is>
      </c>
      <c r="C17">
        <f>C15*(1-C16/100)</f>
        <v/>
      </c>
      <c r="D17">
        <f>D15*(1-D16/100)</f>
        <v/>
      </c>
      <c r="E17">
        <f>E15*(1-E16/100)</f>
        <v/>
      </c>
      <c r="F17">
        <f>F15*(1-F16/100)</f>
        <v/>
      </c>
      <c r="G17">
        <f>G15*(1-G16/100)</f>
        <v/>
      </c>
      <c r="H17">
        <f>H15*(1-H16/100)</f>
        <v/>
      </c>
      <c r="I17">
        <f>I15*(1-I16/100)</f>
        <v/>
      </c>
      <c r="J17">
        <f>J15*(1-J16/100)</f>
        <v/>
      </c>
      <c r="K17">
        <f>K15*(1-K16/100)</f>
        <v/>
      </c>
      <c r="L17">
        <f>L15*(1-L16/100)</f>
        <v/>
      </c>
    </row>
    <row r="18">
      <c r="A18" t="inlineStr">
        <is>
          <t>add back D&amp;A</t>
        </is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less capex</t>
        </is>
      </c>
      <c r="C19">
        <f>-C6*Assumptions!$B$4/100</f>
        <v/>
      </c>
      <c r="D19">
        <f>-D6*Assumptions!$B$4/100</f>
        <v/>
      </c>
      <c r="E19">
        <f>-E6*Assumptions!$B$4/100</f>
        <v/>
      </c>
      <c r="F19">
        <f>-F6*Assumptions!$B$4/100</f>
        <v/>
      </c>
      <c r="G19">
        <f>-G6*Assumptions!$B$4/100</f>
        <v/>
      </c>
      <c r="H19">
        <f>-H6*Assumptions!$B$4/100</f>
        <v/>
      </c>
      <c r="I19">
        <f>-I6*Assumptions!$B$4/100</f>
        <v/>
      </c>
      <c r="J19">
        <f>-J6*Assumptions!$B$4/100</f>
        <v/>
      </c>
      <c r="K19">
        <f>-K6*Assumptions!$B$4/100</f>
        <v/>
      </c>
      <c r="L19">
        <f>-L6*Assumptions!$B$4/100</f>
        <v/>
      </c>
    </row>
    <row r="20">
      <c r="A20" t="inlineStr">
        <is>
          <t>add working capital (on change)</t>
        </is>
      </c>
      <c r="C20">
        <f>Assumptions!$B$5/100*(C6-B6)</f>
        <v/>
      </c>
      <c r="D20">
        <f>Assumptions!$B$5/100*(D6-C6)</f>
        <v/>
      </c>
      <c r="E20">
        <f>Assumptions!$B$5/100*(E6-D6)</f>
        <v/>
      </c>
      <c r="F20">
        <f>Assumptions!$B$5/100*(F6-E6)</f>
        <v/>
      </c>
      <c r="G20">
        <f>Assumptions!$B$5/100*(G6-F6)</f>
        <v/>
      </c>
      <c r="H20">
        <f>Assumptions!$B$5/100*(H6-G6)</f>
        <v/>
      </c>
      <c r="I20">
        <f>Assumptions!$B$5/100*(I6-H6)</f>
        <v/>
      </c>
      <c r="J20">
        <f>Assumptions!$B$5/100*(J6-I6)</f>
        <v/>
      </c>
      <c r="K20">
        <f>Assumptions!$B$5/100*(K6-J6)</f>
        <v/>
      </c>
      <c r="L20">
        <f>Assumptions!$B$5/100*(L6-K6)</f>
        <v/>
      </c>
    </row>
    <row r="21">
      <c r="A21" t="inlineStr">
        <is>
          <t>Unlevered owner FCF</t>
        </is>
      </c>
      <c r="C21" s="2">
        <f>C17+C18+C19+C20</f>
        <v/>
      </c>
      <c r="D21" s="2">
        <f>D17+D18+D19+D20</f>
        <v/>
      </c>
      <c r="E21" s="2">
        <f>E17+E18+E19+E20</f>
        <v/>
      </c>
      <c r="F21" s="2">
        <f>F17+F18+F19+F20</f>
        <v/>
      </c>
      <c r="G21" s="2">
        <f>G17+G18+G19+G20</f>
        <v/>
      </c>
      <c r="H21" s="2">
        <f>H17+H18+H19+H20</f>
        <v/>
      </c>
      <c r="I21" s="2">
        <f>I17+I18+I19+I20</f>
        <v/>
      </c>
      <c r="J21" s="2">
        <f>J17+J18+J19+J20</f>
        <v/>
      </c>
      <c r="K21" s="2">
        <f>K17+K18+K19+K20</f>
        <v/>
      </c>
      <c r="L21" s="2">
        <f>L17+L18+L19+L20</f>
        <v/>
      </c>
    </row>
    <row r="22">
      <c r="A22" t="inlineStr">
        <is>
          <t>Discount factor</t>
        </is>
      </c>
      <c r="C22">
        <f>1/(1+Assumptions!$B$2/100)^C4</f>
        <v/>
      </c>
      <c r="D22">
        <f>1/(1+Assumptions!$B$2/100)^D4</f>
        <v/>
      </c>
      <c r="E22">
        <f>1/(1+Assumptions!$B$2/100)^E4</f>
        <v/>
      </c>
      <c r="F22">
        <f>1/(1+Assumptions!$B$2/100)^F4</f>
        <v/>
      </c>
      <c r="G22">
        <f>1/(1+Assumptions!$B$2/100)^G4</f>
        <v/>
      </c>
      <c r="H22">
        <f>1/(1+Assumptions!$B$2/100)^H4</f>
        <v/>
      </c>
      <c r="I22">
        <f>1/(1+Assumptions!$B$2/100)^I4</f>
        <v/>
      </c>
      <c r="J22">
        <f>1/(1+Assumptions!$B$2/100)^J4</f>
        <v/>
      </c>
      <c r="K22">
        <f>1/(1+Assumptions!$B$2/100)^K4</f>
        <v/>
      </c>
      <c r="L22">
        <f>1/(1+Assumptions!$B$2/100)^L4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 (company-style)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owner-FCF margin</t>
        </is>
      </c>
      <c r="C26" s="6">
        <f>C21/C6</f>
        <v/>
      </c>
      <c r="D26" s="6">
        <f>D21/D6</f>
        <v/>
      </c>
      <c r="E26" s="6">
        <f>E21/E6</f>
        <v/>
      </c>
      <c r="F26" s="6">
        <f>F21/F6</f>
        <v/>
      </c>
      <c r="G26" s="6">
        <f>G21/G6</f>
        <v/>
      </c>
      <c r="H26" s="6">
        <f>H21/H6</f>
        <v/>
      </c>
      <c r="I26" s="6">
        <f>I21/I6</f>
        <v/>
      </c>
      <c r="J26" s="6">
        <f>J21/J6</f>
        <v/>
      </c>
      <c r="K26" s="6">
        <f>K21/K6</f>
        <v/>
      </c>
      <c r="L26" s="6">
        <f>L21/L6</f>
        <v/>
      </c>
    </row>
    <row r="28">
      <c r="A28" t="inlineStr">
        <is>
          <t>Sum of PV of FCF</t>
        </is>
      </c>
      <c r="B28">
        <f>SUM(C23:L23)</f>
        <v/>
      </c>
    </row>
    <row r="29">
      <c r="A29" t="inlineStr">
        <is>
          <t>Terminal growth (%)</t>
        </is>
      </c>
      <c r="B29" s="5">
        <f>Assumptions!$B$17</f>
        <v/>
      </c>
    </row>
    <row r="30">
      <c r="A30" t="inlineStr">
        <is>
          <t>Terminal-year FCF x (1+g)</t>
        </is>
      </c>
      <c r="B30">
        <f>L21*(1+B29/100)</f>
        <v/>
      </c>
    </row>
    <row r="31">
      <c r="A31" t="inlineStr">
        <is>
          <t>Gordon terminal value</t>
        </is>
      </c>
      <c r="B31">
        <f>B30/((Assumptions!$B$2-B29)/100)</f>
        <v/>
      </c>
    </row>
    <row r="32">
      <c r="A32" t="inlineStr">
        <is>
          <t>Cap terminal value (15x FCF10)</t>
        </is>
      </c>
      <c r="B32">
        <f>Assumptions!$B$11*L21</f>
        <v/>
      </c>
    </row>
    <row r="33">
      <c r="A33" t="inlineStr">
        <is>
          <t>Terminal value used</t>
        </is>
      </c>
      <c r="B33">
        <f>MAX(0,MIN(B31,B32))</f>
        <v/>
      </c>
    </row>
    <row r="34">
      <c r="A34" t="inlineStr">
        <is>
          <t>Implied exit multiple (x FCF10)</t>
        </is>
      </c>
      <c r="B34">
        <f>B33/L21</f>
        <v/>
      </c>
    </row>
    <row r="35">
      <c r="A35" t="inlineStr">
        <is>
          <t>PV of terminal value</t>
        </is>
      </c>
      <c r="B35">
        <f>B33*L22</f>
        <v/>
      </c>
    </row>
    <row r="36">
      <c r="A36" t="inlineStr">
        <is>
          <t>Enterprise value</t>
        </is>
      </c>
      <c r="B36">
        <f>B28+B35</f>
        <v/>
      </c>
    </row>
    <row r="37">
      <c r="A37" t="inlineStr">
        <is>
          <t>add net cash (less net debt)</t>
        </is>
      </c>
      <c r="B37" s="5">
        <f>-Assumptions!$B$8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Shares (m)</t>
        </is>
      </c>
      <c r="B39" s="5">
        <f>Assumptions!$B$9</f>
        <v/>
      </c>
    </row>
    <row r="40">
      <c r="A40" t="inlineStr">
        <is>
          <t>VALUE PER SHARE (CAD)</t>
        </is>
      </c>
      <c r="B40" s="7">
        <f>B38/B39</f>
        <v/>
      </c>
    </row>
    <row r="41">
      <c r="A41" t="inlineStr">
        <is>
          <t>Upside vs current price</t>
        </is>
      </c>
      <c r="B41" s="6">
        <f>B40/Assumptions!$B$10-1</f>
        <v/>
      </c>
    </row>
    <row r="43">
      <c r="A43" t="inlineStr">
        <is>
          <t>Street memo: PV of explicit SBC</t>
        </is>
      </c>
      <c r="B43">
        <f>SUMPRODUCT(-C10:L10/(1+Assumptions!$B$2/100)^C4:L4)</f>
        <v/>
      </c>
    </row>
    <row r="44">
      <c r="A44" t="inlineStr">
        <is>
          <t>Street memo: PV of terminal SBC</t>
        </is>
      </c>
      <c r="B44">
        <f>(-L10*(1+B29/100)/((Assumptions!$B$2-B29)/100))*L22</f>
        <v/>
      </c>
    </row>
    <row r="45">
      <c r="A45" t="inlineStr">
        <is>
          <t>Street value per share</t>
        </is>
      </c>
      <c r="B45">
        <f>(B38+B43+B44)/B39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>
      <c r="A1" s="1" t="inlineStr">
        <is>
          <t>Base scenario -- component owner-FCF build (CAD m). Drivers (yellow): rows 5, 7, 9, 16.</t>
        </is>
      </c>
    </row>
    <row r="3">
      <c r="B3" s="2" t="inlineStr">
        <is>
          <t>2025A</t>
        </is>
      </c>
      <c r="C3" s="2" t="inlineStr">
        <is>
          <t>2026E</t>
        </is>
      </c>
      <c r="D3" s="2" t="inlineStr">
        <is>
          <t>2027E</t>
        </is>
      </c>
      <c r="E3" s="2" t="inlineStr">
        <is>
          <t>2028E</t>
        </is>
      </c>
      <c r="F3" s="2" t="inlineStr">
        <is>
          <t>2029E</t>
        </is>
      </c>
      <c r="G3" s="2" t="inlineStr">
        <is>
          <t>2030E</t>
        </is>
      </c>
      <c r="H3" s="2" t="inlineStr">
        <is>
          <t>2031E</t>
        </is>
      </c>
      <c r="I3" s="2" t="inlineStr">
        <is>
          <t>2032E</t>
        </is>
      </c>
      <c r="J3" s="2" t="inlineStr">
        <is>
          <t>2033E</t>
        </is>
      </c>
      <c r="K3" s="2" t="inlineStr">
        <is>
          <t>2034E</t>
        </is>
      </c>
      <c r="L3" s="2" t="inlineStr">
        <is>
          <t>2035E</t>
        </is>
      </c>
    </row>
    <row r="4">
      <c r="A4" t="inlineStr">
        <is>
          <t>Year index (discount exponent)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(%)</t>
        </is>
      </c>
      <c r="C5" s="4" t="n">
        <v>67</v>
      </c>
      <c r="D5" s="4" t="n">
        <v>8</v>
      </c>
      <c r="E5" s="4" t="n">
        <v>7</v>
      </c>
      <c r="F5" s="4" t="n">
        <v>6</v>
      </c>
      <c r="G5" s="4" t="n">
        <v>5</v>
      </c>
      <c r="H5" s="4" t="n">
        <v>5</v>
      </c>
      <c r="I5" s="4" t="n">
        <v>4.5</v>
      </c>
      <c r="J5" s="4" t="n">
        <v>4</v>
      </c>
      <c r="K5" s="4" t="n">
        <v>3.5</v>
      </c>
      <c r="L5" s="4" t="n">
        <v>3</v>
      </c>
    </row>
    <row r="6">
      <c r="A6" t="inlineStr">
        <is>
          <t>Revenue</t>
        </is>
      </c>
      <c r="B6" s="3" t="n">
        <v>43.052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(%)</t>
        </is>
      </c>
      <c r="C7" s="4" t="n">
        <v>25</v>
      </c>
      <c r="D7" s="4" t="n">
        <v>25.5</v>
      </c>
      <c r="E7" s="4" t="n">
        <v>25.5</v>
      </c>
      <c r="F7" s="4" t="n">
        <v>26</v>
      </c>
      <c r="G7" s="4" t="n">
        <v>26</v>
      </c>
      <c r="H7" s="4" t="n">
        <v>26</v>
      </c>
      <c r="I7" s="4" t="n">
        <v>26</v>
      </c>
      <c r="J7" s="4" t="n">
        <v>26</v>
      </c>
      <c r="K7" s="4" t="n">
        <v>26</v>
      </c>
      <c r="L7" s="4" t="n">
        <v>26</v>
      </c>
    </row>
    <row r="8">
      <c r="A8" t="inlineStr">
        <is>
          <t>Adjusted 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of revenue</t>
        </is>
      </c>
      <c r="C9" s="4" t="n">
        <v>1.1</v>
      </c>
      <c r="D9" s="4" t="n">
        <v>1.1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</row>
    <row r="10">
      <c r="A10" t="inlineStr">
        <is>
          <t>SBC $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(SBC expensed)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Lease cost % of revenue</t>
        </is>
      </c>
      <c r="C12" s="5">
        <f>Assumptions!$B$6</f>
        <v/>
      </c>
      <c r="D12" s="5">
        <f>Assumptions!$B$6</f>
        <v/>
      </c>
      <c r="E12" s="5">
        <f>Assumptions!$B$6</f>
        <v/>
      </c>
      <c r="F12" s="5">
        <f>Assumptions!$B$6</f>
        <v/>
      </c>
      <c r="G12" s="5">
        <f>Assumptions!$B$6</f>
        <v/>
      </c>
      <c r="H12" s="5">
        <f>Assumptions!$B$6</f>
        <v/>
      </c>
      <c r="I12" s="5">
        <f>Assumptions!$B$6</f>
        <v/>
      </c>
      <c r="J12" s="5">
        <f>Assumptions!$B$6</f>
        <v/>
      </c>
      <c r="K12" s="5">
        <f>Assumptions!$B$6</f>
        <v/>
      </c>
      <c r="L12" s="5">
        <f>Assumptions!$B$6</f>
        <v/>
      </c>
    </row>
    <row r="13">
      <c r="A13" t="inlineStr">
        <is>
          <t>Lease cost $</t>
        </is>
      </c>
      <c r="C13">
        <f>-C6*C12/100</f>
        <v/>
      </c>
      <c r="D13">
        <f>-D6*D12/100</f>
        <v/>
      </c>
      <c r="E13">
        <f>-E6*E12/100</f>
        <v/>
      </c>
      <c r="F13">
        <f>-F6*F12/100</f>
        <v/>
      </c>
      <c r="G13">
        <f>-G6*G12/100</f>
        <v/>
      </c>
      <c r="H13">
        <f>-H6*H12/100</f>
        <v/>
      </c>
      <c r="I13">
        <f>-I6*I12/100</f>
        <v/>
      </c>
      <c r="J13">
        <f>-J6*J12/100</f>
        <v/>
      </c>
      <c r="K13">
        <f>-K6*K12/100</f>
        <v/>
      </c>
      <c r="L13">
        <f>-L6*L12/100</f>
        <v/>
      </c>
    </row>
    <row r="14">
      <c r="A14" t="inlineStr">
        <is>
          <t>D&amp;A $</t>
        </is>
      </c>
      <c r="C14">
        <f>-C6*Assumptions!$B$3/100</f>
        <v/>
      </c>
      <c r="D14">
        <f>-D6*Assumptions!$B$3/100</f>
        <v/>
      </c>
      <c r="E14">
        <f>-E6*Assumptions!$B$3/100</f>
        <v/>
      </c>
      <c r="F14">
        <f>-F6*Assumptions!$B$3/100</f>
        <v/>
      </c>
      <c r="G14">
        <f>-G6*Assumptions!$B$3/100</f>
        <v/>
      </c>
      <c r="H14">
        <f>-H6*Assumptions!$B$3/100</f>
        <v/>
      </c>
      <c r="I14">
        <f>-I6*Assumptions!$B$3/100</f>
        <v/>
      </c>
      <c r="J14">
        <f>-J6*Assumptions!$B$3/100</f>
        <v/>
      </c>
      <c r="K14">
        <f>-K6*Assumptions!$B$3/100</f>
        <v/>
      </c>
      <c r="L14">
        <f>-L6*Assumptions!$B$3/100</f>
        <v/>
      </c>
    </row>
    <row r="15">
      <c r="A15" t="inlineStr">
        <is>
          <t>EBIT (SBC+lease expensed)</t>
        </is>
      </c>
      <c r="C15">
        <f>C11+C13+C14</f>
        <v/>
      </c>
      <c r="D15">
        <f>D11+D13+D14</f>
        <v/>
      </c>
      <c r="E15">
        <f>E11+E13+E14</f>
        <v/>
      </c>
      <c r="F15">
        <f>F11+F13+F14</f>
        <v/>
      </c>
      <c r="G15">
        <f>G11+G13+G14</f>
        <v/>
      </c>
      <c r="H15">
        <f>H11+H13+H14</f>
        <v/>
      </c>
      <c r="I15">
        <f>I11+I13+I14</f>
        <v/>
      </c>
      <c r="J15">
        <f>J11+J13+J14</f>
        <v/>
      </c>
      <c r="K15">
        <f>K11+K13+K14</f>
        <v/>
      </c>
      <c r="L15">
        <f>L11+L13+L14</f>
        <v/>
      </c>
    </row>
    <row r="16">
      <c r="A16" t="inlineStr">
        <is>
          <t>Cash tax rate (%)</t>
        </is>
      </c>
      <c r="C16" s="4" t="n">
        <v>26</v>
      </c>
      <c r="D16" s="4" t="n">
        <v>26</v>
      </c>
      <c r="E16" s="4" t="n">
        <v>26</v>
      </c>
      <c r="F16" s="4" t="n">
        <v>26</v>
      </c>
      <c r="G16" s="4" t="n">
        <v>26</v>
      </c>
      <c r="H16" s="4" t="n">
        <v>26</v>
      </c>
      <c r="I16" s="4" t="n">
        <v>26</v>
      </c>
      <c r="J16" s="4" t="n">
        <v>26</v>
      </c>
      <c r="K16" s="4" t="n">
        <v>26</v>
      </c>
      <c r="L16" s="4" t="n">
        <v>26</v>
      </c>
    </row>
    <row r="17">
      <c r="A17" t="inlineStr">
        <is>
          <t>NOPAT</t>
        </is>
      </c>
      <c r="C17">
        <f>C15*(1-C16/100)</f>
        <v/>
      </c>
      <c r="D17">
        <f>D15*(1-D16/100)</f>
        <v/>
      </c>
      <c r="E17">
        <f>E15*(1-E16/100)</f>
        <v/>
      </c>
      <c r="F17">
        <f>F15*(1-F16/100)</f>
        <v/>
      </c>
      <c r="G17">
        <f>G15*(1-G16/100)</f>
        <v/>
      </c>
      <c r="H17">
        <f>H15*(1-H16/100)</f>
        <v/>
      </c>
      <c r="I17">
        <f>I15*(1-I16/100)</f>
        <v/>
      </c>
      <c r="J17">
        <f>J15*(1-J16/100)</f>
        <v/>
      </c>
      <c r="K17">
        <f>K15*(1-K16/100)</f>
        <v/>
      </c>
      <c r="L17">
        <f>L15*(1-L16/100)</f>
        <v/>
      </c>
    </row>
    <row r="18">
      <c r="A18" t="inlineStr">
        <is>
          <t>add back D&amp;A</t>
        </is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less capex</t>
        </is>
      </c>
      <c r="C19">
        <f>-C6*Assumptions!$B$4/100</f>
        <v/>
      </c>
      <c r="D19">
        <f>-D6*Assumptions!$B$4/100</f>
        <v/>
      </c>
      <c r="E19">
        <f>-E6*Assumptions!$B$4/100</f>
        <v/>
      </c>
      <c r="F19">
        <f>-F6*Assumptions!$B$4/100</f>
        <v/>
      </c>
      <c r="G19">
        <f>-G6*Assumptions!$B$4/100</f>
        <v/>
      </c>
      <c r="H19">
        <f>-H6*Assumptions!$B$4/100</f>
        <v/>
      </c>
      <c r="I19">
        <f>-I6*Assumptions!$B$4/100</f>
        <v/>
      </c>
      <c r="J19">
        <f>-J6*Assumptions!$B$4/100</f>
        <v/>
      </c>
      <c r="K19">
        <f>-K6*Assumptions!$B$4/100</f>
        <v/>
      </c>
      <c r="L19">
        <f>-L6*Assumptions!$B$4/100</f>
        <v/>
      </c>
    </row>
    <row r="20">
      <c r="A20" t="inlineStr">
        <is>
          <t>add working capital (on change)</t>
        </is>
      </c>
      <c r="C20">
        <f>Assumptions!$B$5/100*(C6-B6)</f>
        <v/>
      </c>
      <c r="D20">
        <f>Assumptions!$B$5/100*(D6-C6)</f>
        <v/>
      </c>
      <c r="E20">
        <f>Assumptions!$B$5/100*(E6-D6)</f>
        <v/>
      </c>
      <c r="F20">
        <f>Assumptions!$B$5/100*(F6-E6)</f>
        <v/>
      </c>
      <c r="G20">
        <f>Assumptions!$B$5/100*(G6-F6)</f>
        <v/>
      </c>
      <c r="H20">
        <f>Assumptions!$B$5/100*(H6-G6)</f>
        <v/>
      </c>
      <c r="I20">
        <f>Assumptions!$B$5/100*(I6-H6)</f>
        <v/>
      </c>
      <c r="J20">
        <f>Assumptions!$B$5/100*(J6-I6)</f>
        <v/>
      </c>
      <c r="K20">
        <f>Assumptions!$B$5/100*(K6-J6)</f>
        <v/>
      </c>
      <c r="L20">
        <f>Assumptions!$B$5/100*(L6-K6)</f>
        <v/>
      </c>
    </row>
    <row r="21">
      <c r="A21" t="inlineStr">
        <is>
          <t>Unlevered owner FCF</t>
        </is>
      </c>
      <c r="C21" s="2">
        <f>C17+C18+C19+C20</f>
        <v/>
      </c>
      <c r="D21" s="2">
        <f>D17+D18+D19+D20</f>
        <v/>
      </c>
      <c r="E21" s="2">
        <f>E17+E18+E19+E20</f>
        <v/>
      </c>
      <c r="F21" s="2">
        <f>F17+F18+F19+F20</f>
        <v/>
      </c>
      <c r="G21" s="2">
        <f>G17+G18+G19+G20</f>
        <v/>
      </c>
      <c r="H21" s="2">
        <f>H17+H18+H19+H20</f>
        <v/>
      </c>
      <c r="I21" s="2">
        <f>I17+I18+I19+I20</f>
        <v/>
      </c>
      <c r="J21" s="2">
        <f>J17+J18+J19+J20</f>
        <v/>
      </c>
      <c r="K21" s="2">
        <f>K17+K18+K19+K20</f>
        <v/>
      </c>
      <c r="L21" s="2">
        <f>L17+L18+L19+L20</f>
        <v/>
      </c>
    </row>
    <row r="22">
      <c r="A22" t="inlineStr">
        <is>
          <t>Discount factor</t>
        </is>
      </c>
      <c r="C22">
        <f>1/(1+Assumptions!$B$2/100)^C4</f>
        <v/>
      </c>
      <c r="D22">
        <f>1/(1+Assumptions!$B$2/100)^D4</f>
        <v/>
      </c>
      <c r="E22">
        <f>1/(1+Assumptions!$B$2/100)^E4</f>
        <v/>
      </c>
      <c r="F22">
        <f>1/(1+Assumptions!$B$2/100)^F4</f>
        <v/>
      </c>
      <c r="G22">
        <f>1/(1+Assumptions!$B$2/100)^G4</f>
        <v/>
      </c>
      <c r="H22">
        <f>1/(1+Assumptions!$B$2/100)^H4</f>
        <v/>
      </c>
      <c r="I22">
        <f>1/(1+Assumptions!$B$2/100)^I4</f>
        <v/>
      </c>
      <c r="J22">
        <f>1/(1+Assumptions!$B$2/100)^J4</f>
        <v/>
      </c>
      <c r="K22">
        <f>1/(1+Assumptions!$B$2/100)^K4</f>
        <v/>
      </c>
      <c r="L22">
        <f>1/(1+Assumptions!$B$2/100)^L4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 (company-style)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owner-FCF margin</t>
        </is>
      </c>
      <c r="C26" s="6">
        <f>C21/C6</f>
        <v/>
      </c>
      <c r="D26" s="6">
        <f>D21/D6</f>
        <v/>
      </c>
      <c r="E26" s="6">
        <f>E21/E6</f>
        <v/>
      </c>
      <c r="F26" s="6">
        <f>F21/F6</f>
        <v/>
      </c>
      <c r="G26" s="6">
        <f>G21/G6</f>
        <v/>
      </c>
      <c r="H26" s="6">
        <f>H21/H6</f>
        <v/>
      </c>
      <c r="I26" s="6">
        <f>I21/I6</f>
        <v/>
      </c>
      <c r="J26" s="6">
        <f>J21/J6</f>
        <v/>
      </c>
      <c r="K26" s="6">
        <f>K21/K6</f>
        <v/>
      </c>
      <c r="L26" s="6">
        <f>L21/L6</f>
        <v/>
      </c>
    </row>
    <row r="28">
      <c r="A28" t="inlineStr">
        <is>
          <t>Sum of PV of FCF</t>
        </is>
      </c>
      <c r="B28">
        <f>SUM(C23:L23)</f>
        <v/>
      </c>
    </row>
    <row r="29">
      <c r="A29" t="inlineStr">
        <is>
          <t>Terminal growth (%)</t>
        </is>
      </c>
      <c r="B29" s="5">
        <f>Assumptions!$C$17</f>
        <v/>
      </c>
    </row>
    <row r="30">
      <c r="A30" t="inlineStr">
        <is>
          <t>Terminal-year FCF x (1+g)</t>
        </is>
      </c>
      <c r="B30">
        <f>L21*(1+B29/100)</f>
        <v/>
      </c>
    </row>
    <row r="31">
      <c r="A31" t="inlineStr">
        <is>
          <t>Gordon terminal value</t>
        </is>
      </c>
      <c r="B31">
        <f>B30/((Assumptions!$B$2-B29)/100)</f>
        <v/>
      </c>
    </row>
    <row r="32">
      <c r="A32" t="inlineStr">
        <is>
          <t>Cap terminal value (15x FCF10)</t>
        </is>
      </c>
      <c r="B32">
        <f>Assumptions!$B$11*L21</f>
        <v/>
      </c>
    </row>
    <row r="33">
      <c r="A33" t="inlineStr">
        <is>
          <t>Terminal value used</t>
        </is>
      </c>
      <c r="B33">
        <f>MAX(0,MIN(B31,B32))</f>
        <v/>
      </c>
    </row>
    <row r="34">
      <c r="A34" t="inlineStr">
        <is>
          <t>Implied exit multiple (x FCF10)</t>
        </is>
      </c>
      <c r="B34">
        <f>B33/L21</f>
        <v/>
      </c>
    </row>
    <row r="35">
      <c r="A35" t="inlineStr">
        <is>
          <t>PV of terminal value</t>
        </is>
      </c>
      <c r="B35">
        <f>B33*L22</f>
        <v/>
      </c>
    </row>
    <row r="36">
      <c r="A36" t="inlineStr">
        <is>
          <t>Enterprise value</t>
        </is>
      </c>
      <c r="B36">
        <f>B28+B35</f>
        <v/>
      </c>
    </row>
    <row r="37">
      <c r="A37" t="inlineStr">
        <is>
          <t>add net cash (less net debt)</t>
        </is>
      </c>
      <c r="B37" s="5">
        <f>-Assumptions!$B$8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Shares (m)</t>
        </is>
      </c>
      <c r="B39" s="5">
        <f>Assumptions!$B$9</f>
        <v/>
      </c>
    </row>
    <row r="40">
      <c r="A40" t="inlineStr">
        <is>
          <t>VALUE PER SHARE (CAD)</t>
        </is>
      </c>
      <c r="B40" s="7">
        <f>B38/B39</f>
        <v/>
      </c>
    </row>
    <row r="41">
      <c r="A41" t="inlineStr">
        <is>
          <t>Upside vs current price</t>
        </is>
      </c>
      <c r="B41" s="6">
        <f>B40/Assumptions!$B$10-1</f>
        <v/>
      </c>
    </row>
    <row r="43">
      <c r="A43" t="inlineStr">
        <is>
          <t>Street memo: PV of explicit SBC</t>
        </is>
      </c>
      <c r="B43">
        <f>SUMPRODUCT(-C10:L10/(1+Assumptions!$B$2/100)^C4:L4)</f>
        <v/>
      </c>
    </row>
    <row r="44">
      <c r="A44" t="inlineStr">
        <is>
          <t>Street memo: PV of terminal SBC</t>
        </is>
      </c>
      <c r="B44">
        <f>(-L10*(1+B29/100)/((Assumptions!$B$2-B29)/100))*L22</f>
        <v/>
      </c>
    </row>
    <row r="45">
      <c r="A45" t="inlineStr">
        <is>
          <t>Street value per share</t>
        </is>
      </c>
      <c r="B45">
        <f>(B38+B43+B44)/B39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>
      <c r="A1" s="1" t="inlineStr">
        <is>
          <t>Bull scenario -- component owner-FCF build (CAD m). Drivers (yellow): rows 5, 7, 9, 16.</t>
        </is>
      </c>
    </row>
    <row r="3">
      <c r="B3" s="2" t="inlineStr">
        <is>
          <t>2025A</t>
        </is>
      </c>
      <c r="C3" s="2" t="inlineStr">
        <is>
          <t>2026E</t>
        </is>
      </c>
      <c r="D3" s="2" t="inlineStr">
        <is>
          <t>2027E</t>
        </is>
      </c>
      <c r="E3" s="2" t="inlineStr">
        <is>
          <t>2028E</t>
        </is>
      </c>
      <c r="F3" s="2" t="inlineStr">
        <is>
          <t>2029E</t>
        </is>
      </c>
      <c r="G3" s="2" t="inlineStr">
        <is>
          <t>2030E</t>
        </is>
      </c>
      <c r="H3" s="2" t="inlineStr">
        <is>
          <t>2031E</t>
        </is>
      </c>
      <c r="I3" s="2" t="inlineStr">
        <is>
          <t>2032E</t>
        </is>
      </c>
      <c r="J3" s="2" t="inlineStr">
        <is>
          <t>2033E</t>
        </is>
      </c>
      <c r="K3" s="2" t="inlineStr">
        <is>
          <t>2034E</t>
        </is>
      </c>
      <c r="L3" s="2" t="inlineStr">
        <is>
          <t>2035E</t>
        </is>
      </c>
    </row>
    <row r="4">
      <c r="A4" t="inlineStr">
        <is>
          <t>Year index (discount exponent)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(%)</t>
        </is>
      </c>
      <c r="C5" s="4" t="n">
        <v>70</v>
      </c>
      <c r="D5" s="4" t="n">
        <v>12</v>
      </c>
      <c r="E5" s="4" t="n">
        <v>10</v>
      </c>
      <c r="F5" s="4" t="n">
        <v>9</v>
      </c>
      <c r="G5" s="4" t="n">
        <v>8</v>
      </c>
      <c r="H5" s="4" t="n">
        <v>7</v>
      </c>
      <c r="I5" s="4" t="n">
        <v>6</v>
      </c>
      <c r="J5" s="4" t="n">
        <v>5</v>
      </c>
      <c r="K5" s="4" t="n">
        <v>4.5</v>
      </c>
      <c r="L5" s="4" t="n">
        <v>4</v>
      </c>
    </row>
    <row r="6">
      <c r="A6" t="inlineStr">
        <is>
          <t>Revenue</t>
        </is>
      </c>
      <c r="B6" s="3" t="n">
        <v>43.052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(%)</t>
        </is>
      </c>
      <c r="C7" s="4" t="n">
        <v>25.5</v>
      </c>
      <c r="D7" s="4" t="n">
        <v>26.5</v>
      </c>
      <c r="E7" s="4" t="n">
        <v>27</v>
      </c>
      <c r="F7" s="4" t="n">
        <v>27.5</v>
      </c>
      <c r="G7" s="4" t="n">
        <v>28</v>
      </c>
      <c r="H7" s="4" t="n">
        <v>28</v>
      </c>
      <c r="I7" s="4" t="n">
        <v>28</v>
      </c>
      <c r="J7" s="4" t="n">
        <v>28</v>
      </c>
      <c r="K7" s="4" t="n">
        <v>28</v>
      </c>
      <c r="L7" s="4" t="n">
        <v>28</v>
      </c>
    </row>
    <row r="8">
      <c r="A8" t="inlineStr">
        <is>
          <t>Adjusted 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of revenue</t>
        </is>
      </c>
      <c r="C9" s="4" t="n">
        <v>1.1</v>
      </c>
      <c r="D9" s="4" t="n">
        <v>1.1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</row>
    <row r="10">
      <c r="A10" t="inlineStr">
        <is>
          <t>SBC $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(SBC expensed)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Lease cost % of revenue</t>
        </is>
      </c>
      <c r="C12" s="5">
        <f>Assumptions!$B$6</f>
        <v/>
      </c>
      <c r="D12" s="5">
        <f>Assumptions!$B$6</f>
        <v/>
      </c>
      <c r="E12" s="5">
        <f>Assumptions!$B$6</f>
        <v/>
      </c>
      <c r="F12" s="5">
        <f>Assumptions!$B$6</f>
        <v/>
      </c>
      <c r="G12" s="5">
        <f>Assumptions!$B$6</f>
        <v/>
      </c>
      <c r="H12" s="5">
        <f>Assumptions!$B$6</f>
        <v/>
      </c>
      <c r="I12" s="5">
        <f>Assumptions!$B$6</f>
        <v/>
      </c>
      <c r="J12" s="5">
        <f>Assumptions!$B$6</f>
        <v/>
      </c>
      <c r="K12" s="5">
        <f>Assumptions!$B$6</f>
        <v/>
      </c>
      <c r="L12" s="5">
        <f>Assumptions!$B$6</f>
        <v/>
      </c>
    </row>
    <row r="13">
      <c r="A13" t="inlineStr">
        <is>
          <t>Lease cost $</t>
        </is>
      </c>
      <c r="C13">
        <f>-C6*C12/100</f>
        <v/>
      </c>
      <c r="D13">
        <f>-D6*D12/100</f>
        <v/>
      </c>
      <c r="E13">
        <f>-E6*E12/100</f>
        <v/>
      </c>
      <c r="F13">
        <f>-F6*F12/100</f>
        <v/>
      </c>
      <c r="G13">
        <f>-G6*G12/100</f>
        <v/>
      </c>
      <c r="H13">
        <f>-H6*H12/100</f>
        <v/>
      </c>
      <c r="I13">
        <f>-I6*I12/100</f>
        <v/>
      </c>
      <c r="J13">
        <f>-J6*J12/100</f>
        <v/>
      </c>
      <c r="K13">
        <f>-K6*K12/100</f>
        <v/>
      </c>
      <c r="L13">
        <f>-L6*L12/100</f>
        <v/>
      </c>
    </row>
    <row r="14">
      <c r="A14" t="inlineStr">
        <is>
          <t>D&amp;A $</t>
        </is>
      </c>
      <c r="C14">
        <f>-C6*Assumptions!$B$3/100</f>
        <v/>
      </c>
      <c r="D14">
        <f>-D6*Assumptions!$B$3/100</f>
        <v/>
      </c>
      <c r="E14">
        <f>-E6*Assumptions!$B$3/100</f>
        <v/>
      </c>
      <c r="F14">
        <f>-F6*Assumptions!$B$3/100</f>
        <v/>
      </c>
      <c r="G14">
        <f>-G6*Assumptions!$B$3/100</f>
        <v/>
      </c>
      <c r="H14">
        <f>-H6*Assumptions!$B$3/100</f>
        <v/>
      </c>
      <c r="I14">
        <f>-I6*Assumptions!$B$3/100</f>
        <v/>
      </c>
      <c r="J14">
        <f>-J6*Assumptions!$B$3/100</f>
        <v/>
      </c>
      <c r="K14">
        <f>-K6*Assumptions!$B$3/100</f>
        <v/>
      </c>
      <c r="L14">
        <f>-L6*Assumptions!$B$3/100</f>
        <v/>
      </c>
    </row>
    <row r="15">
      <c r="A15" t="inlineStr">
        <is>
          <t>EBIT (SBC+lease expensed)</t>
        </is>
      </c>
      <c r="C15">
        <f>C11+C13+C14</f>
        <v/>
      </c>
      <c r="D15">
        <f>D11+D13+D14</f>
        <v/>
      </c>
      <c r="E15">
        <f>E11+E13+E14</f>
        <v/>
      </c>
      <c r="F15">
        <f>F11+F13+F14</f>
        <v/>
      </c>
      <c r="G15">
        <f>G11+G13+G14</f>
        <v/>
      </c>
      <c r="H15">
        <f>H11+H13+H14</f>
        <v/>
      </c>
      <c r="I15">
        <f>I11+I13+I14</f>
        <v/>
      </c>
      <c r="J15">
        <f>J11+J13+J14</f>
        <v/>
      </c>
      <c r="K15">
        <f>K11+K13+K14</f>
        <v/>
      </c>
      <c r="L15">
        <f>L11+L13+L14</f>
        <v/>
      </c>
    </row>
    <row r="16">
      <c r="A16" t="inlineStr">
        <is>
          <t>Cash tax rate (%)</t>
        </is>
      </c>
      <c r="C16" s="4" t="n">
        <v>26</v>
      </c>
      <c r="D16" s="4" t="n">
        <v>26</v>
      </c>
      <c r="E16" s="4" t="n">
        <v>26</v>
      </c>
      <c r="F16" s="4" t="n">
        <v>26</v>
      </c>
      <c r="G16" s="4" t="n">
        <v>26</v>
      </c>
      <c r="H16" s="4" t="n">
        <v>26</v>
      </c>
      <c r="I16" s="4" t="n">
        <v>26</v>
      </c>
      <c r="J16" s="4" t="n">
        <v>26</v>
      </c>
      <c r="K16" s="4" t="n">
        <v>26</v>
      </c>
      <c r="L16" s="4" t="n">
        <v>26</v>
      </c>
    </row>
    <row r="17">
      <c r="A17" t="inlineStr">
        <is>
          <t>NOPAT</t>
        </is>
      </c>
      <c r="C17">
        <f>C15*(1-C16/100)</f>
        <v/>
      </c>
      <c r="D17">
        <f>D15*(1-D16/100)</f>
        <v/>
      </c>
      <c r="E17">
        <f>E15*(1-E16/100)</f>
        <v/>
      </c>
      <c r="F17">
        <f>F15*(1-F16/100)</f>
        <v/>
      </c>
      <c r="G17">
        <f>G15*(1-G16/100)</f>
        <v/>
      </c>
      <c r="H17">
        <f>H15*(1-H16/100)</f>
        <v/>
      </c>
      <c r="I17">
        <f>I15*(1-I16/100)</f>
        <v/>
      </c>
      <c r="J17">
        <f>J15*(1-J16/100)</f>
        <v/>
      </c>
      <c r="K17">
        <f>K15*(1-K16/100)</f>
        <v/>
      </c>
      <c r="L17">
        <f>L15*(1-L16/100)</f>
        <v/>
      </c>
    </row>
    <row r="18">
      <c r="A18" t="inlineStr">
        <is>
          <t>add back D&amp;A</t>
        </is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less capex</t>
        </is>
      </c>
      <c r="C19">
        <f>-C6*Assumptions!$B$4/100</f>
        <v/>
      </c>
      <c r="D19">
        <f>-D6*Assumptions!$B$4/100</f>
        <v/>
      </c>
      <c r="E19">
        <f>-E6*Assumptions!$B$4/100</f>
        <v/>
      </c>
      <c r="F19">
        <f>-F6*Assumptions!$B$4/100</f>
        <v/>
      </c>
      <c r="G19">
        <f>-G6*Assumptions!$B$4/100</f>
        <v/>
      </c>
      <c r="H19">
        <f>-H6*Assumptions!$B$4/100</f>
        <v/>
      </c>
      <c r="I19">
        <f>-I6*Assumptions!$B$4/100</f>
        <v/>
      </c>
      <c r="J19">
        <f>-J6*Assumptions!$B$4/100</f>
        <v/>
      </c>
      <c r="K19">
        <f>-K6*Assumptions!$B$4/100</f>
        <v/>
      </c>
      <c r="L19">
        <f>-L6*Assumptions!$B$4/100</f>
        <v/>
      </c>
    </row>
    <row r="20">
      <c r="A20" t="inlineStr">
        <is>
          <t>add working capital (on change)</t>
        </is>
      </c>
      <c r="C20">
        <f>Assumptions!$B$5/100*(C6-B6)</f>
        <v/>
      </c>
      <c r="D20">
        <f>Assumptions!$B$5/100*(D6-C6)</f>
        <v/>
      </c>
      <c r="E20">
        <f>Assumptions!$B$5/100*(E6-D6)</f>
        <v/>
      </c>
      <c r="F20">
        <f>Assumptions!$B$5/100*(F6-E6)</f>
        <v/>
      </c>
      <c r="G20">
        <f>Assumptions!$B$5/100*(G6-F6)</f>
        <v/>
      </c>
      <c r="H20">
        <f>Assumptions!$B$5/100*(H6-G6)</f>
        <v/>
      </c>
      <c r="I20">
        <f>Assumptions!$B$5/100*(I6-H6)</f>
        <v/>
      </c>
      <c r="J20">
        <f>Assumptions!$B$5/100*(J6-I6)</f>
        <v/>
      </c>
      <c r="K20">
        <f>Assumptions!$B$5/100*(K6-J6)</f>
        <v/>
      </c>
      <c r="L20">
        <f>Assumptions!$B$5/100*(L6-K6)</f>
        <v/>
      </c>
    </row>
    <row r="21">
      <c r="A21" t="inlineStr">
        <is>
          <t>Unlevered owner FCF</t>
        </is>
      </c>
      <c r="C21" s="2">
        <f>C17+C18+C19+C20</f>
        <v/>
      </c>
      <c r="D21" s="2">
        <f>D17+D18+D19+D20</f>
        <v/>
      </c>
      <c r="E21" s="2">
        <f>E17+E18+E19+E20</f>
        <v/>
      </c>
      <c r="F21" s="2">
        <f>F17+F18+F19+F20</f>
        <v/>
      </c>
      <c r="G21" s="2">
        <f>G17+G18+G19+G20</f>
        <v/>
      </c>
      <c r="H21" s="2">
        <f>H17+H18+H19+H20</f>
        <v/>
      </c>
      <c r="I21" s="2">
        <f>I17+I18+I19+I20</f>
        <v/>
      </c>
      <c r="J21" s="2">
        <f>J17+J18+J19+J20</f>
        <v/>
      </c>
      <c r="K21" s="2">
        <f>K17+K18+K19+K20</f>
        <v/>
      </c>
      <c r="L21" s="2">
        <f>L17+L18+L19+L20</f>
        <v/>
      </c>
    </row>
    <row r="22">
      <c r="A22" t="inlineStr">
        <is>
          <t>Discount factor</t>
        </is>
      </c>
      <c r="C22">
        <f>1/(1+Assumptions!$B$2/100)^C4</f>
        <v/>
      </c>
      <c r="D22">
        <f>1/(1+Assumptions!$B$2/100)^D4</f>
        <v/>
      </c>
      <c r="E22">
        <f>1/(1+Assumptions!$B$2/100)^E4</f>
        <v/>
      </c>
      <c r="F22">
        <f>1/(1+Assumptions!$B$2/100)^F4</f>
        <v/>
      </c>
      <c r="G22">
        <f>1/(1+Assumptions!$B$2/100)^G4</f>
        <v/>
      </c>
      <c r="H22">
        <f>1/(1+Assumptions!$B$2/100)^H4</f>
        <v/>
      </c>
      <c r="I22">
        <f>1/(1+Assumptions!$B$2/100)^I4</f>
        <v/>
      </c>
      <c r="J22">
        <f>1/(1+Assumptions!$B$2/100)^J4</f>
        <v/>
      </c>
      <c r="K22">
        <f>1/(1+Assumptions!$B$2/100)^K4</f>
        <v/>
      </c>
      <c r="L22">
        <f>1/(1+Assumptions!$B$2/100)^L4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 (company-style)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owner-FCF margin</t>
        </is>
      </c>
      <c r="C26" s="6">
        <f>C21/C6</f>
        <v/>
      </c>
      <c r="D26" s="6">
        <f>D21/D6</f>
        <v/>
      </c>
      <c r="E26" s="6">
        <f>E21/E6</f>
        <v/>
      </c>
      <c r="F26" s="6">
        <f>F21/F6</f>
        <v/>
      </c>
      <c r="G26" s="6">
        <f>G21/G6</f>
        <v/>
      </c>
      <c r="H26" s="6">
        <f>H21/H6</f>
        <v/>
      </c>
      <c r="I26" s="6">
        <f>I21/I6</f>
        <v/>
      </c>
      <c r="J26" s="6">
        <f>J21/J6</f>
        <v/>
      </c>
      <c r="K26" s="6">
        <f>K21/K6</f>
        <v/>
      </c>
      <c r="L26" s="6">
        <f>L21/L6</f>
        <v/>
      </c>
    </row>
    <row r="28">
      <c r="A28" t="inlineStr">
        <is>
          <t>Sum of PV of FCF</t>
        </is>
      </c>
      <c r="B28">
        <f>SUM(C23:L23)</f>
        <v/>
      </c>
    </row>
    <row r="29">
      <c r="A29" t="inlineStr">
        <is>
          <t>Terminal growth (%)</t>
        </is>
      </c>
      <c r="B29" s="5">
        <f>Assumptions!$D$17</f>
        <v/>
      </c>
    </row>
    <row r="30">
      <c r="A30" t="inlineStr">
        <is>
          <t>Terminal-year FCF x (1+g)</t>
        </is>
      </c>
      <c r="B30">
        <f>L21*(1+B29/100)</f>
        <v/>
      </c>
    </row>
    <row r="31">
      <c r="A31" t="inlineStr">
        <is>
          <t>Gordon terminal value</t>
        </is>
      </c>
      <c r="B31">
        <f>B30/((Assumptions!$B$2-B29)/100)</f>
        <v/>
      </c>
    </row>
    <row r="32">
      <c r="A32" t="inlineStr">
        <is>
          <t>Cap terminal value (15x FCF10)</t>
        </is>
      </c>
      <c r="B32">
        <f>Assumptions!$B$11*L21</f>
        <v/>
      </c>
    </row>
    <row r="33">
      <c r="A33" t="inlineStr">
        <is>
          <t>Terminal value used</t>
        </is>
      </c>
      <c r="B33">
        <f>MAX(0,MIN(B31,B32))</f>
        <v/>
      </c>
    </row>
    <row r="34">
      <c r="A34" t="inlineStr">
        <is>
          <t>Implied exit multiple (x FCF10)</t>
        </is>
      </c>
      <c r="B34">
        <f>B33/L21</f>
        <v/>
      </c>
    </row>
    <row r="35">
      <c r="A35" t="inlineStr">
        <is>
          <t>PV of terminal value</t>
        </is>
      </c>
      <c r="B35">
        <f>B33*L22</f>
        <v/>
      </c>
    </row>
    <row r="36">
      <c r="A36" t="inlineStr">
        <is>
          <t>Enterprise value</t>
        </is>
      </c>
      <c r="B36">
        <f>B28+B35</f>
        <v/>
      </c>
    </row>
    <row r="37">
      <c r="A37" t="inlineStr">
        <is>
          <t>add net cash (less net debt)</t>
        </is>
      </c>
      <c r="B37" s="5">
        <f>-Assumptions!$B$8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Shares (m)</t>
        </is>
      </c>
      <c r="B39" s="5">
        <f>Assumptions!$B$9</f>
        <v/>
      </c>
    </row>
    <row r="40">
      <c r="A40" t="inlineStr">
        <is>
          <t>VALUE PER SHARE (CAD)</t>
        </is>
      </c>
      <c r="B40" s="7">
        <f>B38/B39</f>
        <v/>
      </c>
    </row>
    <row r="41">
      <c r="A41" t="inlineStr">
        <is>
          <t>Upside vs current price</t>
        </is>
      </c>
      <c r="B41" s="6">
        <f>B40/Assumptions!$B$10-1</f>
        <v/>
      </c>
    </row>
    <row r="43">
      <c r="A43" t="inlineStr">
        <is>
          <t>Street memo: PV of explicit SBC</t>
        </is>
      </c>
      <c r="B43">
        <f>SUMPRODUCT(-C10:L10/(1+Assumptions!$B$2/100)^C4:L4)</f>
        <v/>
      </c>
    </row>
    <row r="44">
      <c r="A44" t="inlineStr">
        <is>
          <t>Street memo: PV of terminal SBC</t>
        </is>
      </c>
      <c r="B44">
        <f>(-L10*(1+B29/100)/((Assumptions!$B$2-B29)/100))*L22</f>
        <v/>
      </c>
    </row>
    <row r="45">
      <c r="A45" t="inlineStr">
        <is>
          <t>Street value per share</t>
        </is>
      </c>
      <c r="B45">
        <f>(B38+B43+B44)/B39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Reported FCF reconciled to owner FCF (CAD m). FY2025 is a PEAK -- the model does not project from it.</t>
        </is>
      </c>
    </row>
    <row r="3">
      <c r="B3" s="2" t="inlineStr">
        <is>
          <t>FY2019</t>
        </is>
      </c>
      <c r="C3" s="2" t="inlineStr">
        <is>
          <t>FY2020</t>
        </is>
      </c>
      <c r="D3" s="2" t="inlineStr">
        <is>
          <t>FY2021</t>
        </is>
      </c>
      <c r="E3" s="2" t="inlineStr">
        <is>
          <t>FY2022</t>
        </is>
      </c>
      <c r="F3" s="2" t="inlineStr">
        <is>
          <t>FY2023</t>
        </is>
      </c>
      <c r="G3" s="2" t="inlineStr">
        <is>
          <t>FY2024</t>
        </is>
      </c>
      <c r="H3" s="2" t="inlineStr">
        <is>
          <t>FY2025</t>
        </is>
      </c>
    </row>
    <row r="4">
      <c r="A4" t="inlineStr">
        <is>
          <t>Operating cash flow (already excl. finance income)</t>
        </is>
      </c>
      <c r="B4" s="3" t="n">
        <v>4.402</v>
      </c>
      <c r="C4" s="3" t="n">
        <v>6.894</v>
      </c>
      <c r="D4" s="3" t="n">
        <v>4.675</v>
      </c>
      <c r="E4" s="3" t="n">
        <v>4.949</v>
      </c>
      <c r="F4" s="3" t="n">
        <v>5.055</v>
      </c>
      <c r="G4" s="3" t="n">
        <v>8.663</v>
      </c>
      <c r="H4" s="3" t="n">
        <v>9.009</v>
      </c>
    </row>
    <row r="5">
      <c r="A5" t="inlineStr">
        <is>
          <t>less: capex incl. intangible/product-rights additions</t>
        </is>
      </c>
      <c r="B5" s="3" t="n">
        <v>0.504</v>
      </c>
      <c r="C5" s="3" t="n">
        <v>0.014</v>
      </c>
      <c r="D5" s="3" t="n">
        <v>0.08500000000000001</v>
      </c>
      <c r="E5" s="3" t="n">
        <v>0.047</v>
      </c>
      <c r="F5" s="3" t="n">
        <v>0.06</v>
      </c>
      <c r="G5" s="3" t="n">
        <v>4.67</v>
      </c>
      <c r="H5" s="3" t="n">
        <v>0.39</v>
      </c>
    </row>
    <row r="6">
      <c r="A6" t="inlineStr">
        <is>
          <t>less: share-based payments</t>
        </is>
      </c>
      <c r="B6" s="3" t="n">
        <v>0.263</v>
      </c>
      <c r="C6" s="3" t="n">
        <v>0.266</v>
      </c>
      <c r="D6" s="3" t="n">
        <v>0.334</v>
      </c>
      <c r="E6" s="3" t="n">
        <v>0.44</v>
      </c>
      <c r="F6" s="3" t="n">
        <v>0.513</v>
      </c>
      <c r="G6" s="3" t="n">
        <v>0.554</v>
      </c>
      <c r="H6" s="3" t="n">
        <v>0.625</v>
      </c>
    </row>
    <row r="7">
      <c r="A7" t="inlineStr">
        <is>
          <t>less: lease principal (est. 2019-23)</t>
        </is>
      </c>
      <c r="B7" s="3" t="n">
        <v>0.18</v>
      </c>
      <c r="C7" s="3" t="n">
        <v>0.185</v>
      </c>
      <c r="D7" s="3" t="n">
        <v>0.19</v>
      </c>
      <c r="E7" s="3" t="n">
        <v>0.19</v>
      </c>
      <c r="F7" s="3" t="n">
        <v>0.19</v>
      </c>
      <c r="G7" s="3" t="n">
        <v>0.183</v>
      </c>
      <c r="H7" s="3" t="n">
        <v>0.197</v>
      </c>
    </row>
    <row r="8">
      <c r="A8" t="inlineStr">
        <is>
          <t>Revenue</t>
        </is>
      </c>
      <c r="B8" s="3" t="n">
        <v>21.424</v>
      </c>
      <c r="C8" s="3" t="n">
        <v>22.332</v>
      </c>
      <c r="D8" s="3" t="n">
        <v>28.618</v>
      </c>
      <c r="E8" s="3" t="n">
        <v>27.925</v>
      </c>
      <c r="F8" s="3" t="n">
        <v>31.59</v>
      </c>
      <c r="G8" s="3" t="n">
        <v>35.031</v>
      </c>
      <c r="H8" s="3" t="n">
        <v>43.052</v>
      </c>
    </row>
    <row r="9">
      <c r="A9" s="2" t="inlineStr">
        <is>
          <t>Owner FCF (OCF - capex - SBC - lease)</t>
        </is>
      </c>
      <c r="B9" s="2">
        <f>B4-B5-B6-B7</f>
        <v/>
      </c>
      <c r="C9" s="2">
        <f>C4-C5-C6-C7</f>
        <v/>
      </c>
      <c r="D9" s="2">
        <f>D4-D5-D6-D7</f>
        <v/>
      </c>
      <c r="E9" s="2">
        <f>E4-E5-E6-E7</f>
        <v/>
      </c>
      <c r="F9" s="2">
        <f>F4-F5-F6-F7</f>
        <v/>
      </c>
      <c r="G9" s="2">
        <f>G4-G5-G6-G7</f>
        <v/>
      </c>
      <c r="H9" s="2">
        <f>H4-H5-H6-H7</f>
        <v/>
      </c>
    </row>
    <row r="10">
      <c r="A10" t="inlineStr">
        <is>
          <t>Reported FCF (OCF - capex)</t>
        </is>
      </c>
      <c r="B10">
        <f>B4-B5</f>
        <v/>
      </c>
      <c r="C10">
        <f>C4-C5</f>
        <v/>
      </c>
      <c r="D10">
        <f>D4-D5</f>
        <v/>
      </c>
      <c r="E10">
        <f>E4-E5</f>
        <v/>
      </c>
      <c r="F10">
        <f>F4-F5</f>
        <v/>
      </c>
      <c r="G10">
        <f>G4-G5</f>
        <v/>
      </c>
      <c r="H10">
        <f>H4-H5</f>
        <v/>
      </c>
    </row>
    <row r="11">
      <c r="A11" t="inlineStr">
        <is>
          <t>Owner FCF margin</t>
        </is>
      </c>
      <c r="B11" s="6">
        <f>B9/B8</f>
        <v/>
      </c>
      <c r="C11" s="6">
        <f>C9/C8</f>
        <v/>
      </c>
      <c r="D11" s="6">
        <f>D9/D8</f>
        <v/>
      </c>
      <c r="E11" s="6">
        <f>E9/E8</f>
        <v/>
      </c>
      <c r="F11" s="6">
        <f>F9/F8</f>
        <v/>
      </c>
      <c r="G11" s="6">
        <f>G9/G8</f>
        <v/>
      </c>
      <c r="H11" s="6">
        <f>H9/H8</f>
        <v/>
      </c>
    </row>
    <row r="12">
      <c r="A12" t="inlineStr">
        <is>
          <t>Reported FCF margin</t>
        </is>
      </c>
      <c r="B12" s="6">
        <f>B10/B8</f>
        <v/>
      </c>
      <c r="C12" s="6">
        <f>C10/C8</f>
        <v/>
      </c>
      <c r="D12" s="6">
        <f>D10/D8</f>
        <v/>
      </c>
      <c r="E12" s="6">
        <f>E10/E8</f>
        <v/>
      </c>
      <c r="F12" s="6">
        <f>F10/F8</f>
        <v/>
      </c>
      <c r="G12" s="6">
        <f>G10/G8</f>
        <v/>
      </c>
      <c r="H12" s="6">
        <f>H10/H8</f>
        <v/>
      </c>
    </row>
    <row r="14">
      <c r="A14" t="inlineStr">
        <is>
          <t>Memo: FY2025 owner FCF $7.80m = 1.8x the FY2019-25 median (~$4.3m). Conversion was peak (favourable WC) and capex trough ($0.39m vs FY2024's $4.67m of product-rights purchases -- real, recurring, lumpy reinvestment).</t>
        </is>
      </c>
    </row>
    <row r="15">
      <c r="A15" t="inlineStr">
        <is>
          <t>Memo: cash tax rate normal throughout (~25-26%); no abnormal releases to ramp from.</t>
        </is>
      </c>
    </row>
    <row r="16">
      <c r="A16" t="inlineStr">
        <is>
          <t>Memo: finance income (FY2025 $0.886m) is excluded from OCF by presentation; its matching assets ($12.24m liquid at Jun-2026) are in the net-debt bridge, so it is not double-counted.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Valuation summary (CAD/share)</t>
        </is>
      </c>
    </row>
    <row r="3">
      <c r="A3" s="2" t="inlineStr">
        <is>
          <t>Scenario</t>
        </is>
      </c>
      <c r="B3" s="2" t="inlineStr">
        <is>
          <t>Value/share</t>
        </is>
      </c>
      <c r="C3" s="2" t="inlineStr">
        <is>
          <t>Upside</t>
        </is>
      </c>
      <c r="D3" s="2" t="inlineStr">
        <is>
          <t>Weight</t>
        </is>
      </c>
      <c r="E3" s="2" t="inlineStr">
        <is>
          <t>Street value</t>
        </is>
      </c>
      <c r="F3" s="2" t="inlineStr">
        <is>
          <t>Entry @15%</t>
        </is>
      </c>
    </row>
    <row r="4">
      <c r="A4" t="inlineStr">
        <is>
          <t>Bear</t>
        </is>
      </c>
      <c r="B4" s="5">
        <f>DCF_Bear!$B$40</f>
        <v/>
      </c>
      <c r="C4" s="6">
        <f>B4/Assumptions!$B$10-1</f>
        <v/>
      </c>
      <c r="D4" s="5">
        <f>Assumptions!$B$18</f>
        <v/>
      </c>
      <c r="E4" s="5">
        <f>DCF_Bear!$B$45</f>
        <v/>
      </c>
      <c r="F4">
        <f>(SUMPRODUCT(DCF_Bear!$C$21:$L$21/(1+Assumptions!$B$13/100)^DCF_Bear!$C$4:$L$4)+DCF_Bear!$B$33/(1+Assumptions!$B$13/100)^10-Assumptions!$B$8)/Assumptions!$B$9</f>
        <v/>
      </c>
    </row>
    <row r="5">
      <c r="A5" t="inlineStr">
        <is>
          <t>Base</t>
        </is>
      </c>
      <c r="B5" s="5">
        <f>DCF_Base!$B$40</f>
        <v/>
      </c>
      <c r="C5" s="6">
        <f>B5/Assumptions!$B$10-1</f>
        <v/>
      </c>
      <c r="D5" s="5">
        <f>Assumptions!$C$18</f>
        <v/>
      </c>
      <c r="E5" s="5">
        <f>DCF_Base!$B$45</f>
        <v/>
      </c>
      <c r="F5">
        <f>(SUMPRODUCT(DCF_Base!$C$21:$L$21/(1+Assumptions!$B$13/100)^DCF_Base!$C$4:$L$4)+DCF_Base!$B$33/(1+Assumptions!$B$13/100)^10-Assumptions!$B$8)/Assumptions!$B$9</f>
        <v/>
      </c>
    </row>
    <row r="6">
      <c r="A6" t="inlineStr">
        <is>
          <t>Bull</t>
        </is>
      </c>
      <c r="B6" s="5">
        <f>DCF_Bull!$B$40</f>
        <v/>
      </c>
      <c r="C6" s="6">
        <f>B6/Assumptions!$B$10-1</f>
        <v/>
      </c>
      <c r="D6" s="5">
        <f>Assumptions!$D$18</f>
        <v/>
      </c>
      <c r="E6" s="5">
        <f>DCF_Bull!$B$45</f>
        <v/>
      </c>
      <c r="F6">
        <f>(SUMPRODUCT(DCF_Bull!$C$21:$L$21/(1+Assumptions!$B$13/100)^DCF_Bull!$C$4:$L$4)+DCF_Bull!$B$33/(1+Assumptions!$B$13/100)^10-Assumptions!$B$8)/Assumptions!$B$9</f>
        <v/>
      </c>
    </row>
    <row r="8">
      <c r="A8" s="2" t="inlineStr">
        <is>
          <t>Probability-weighted IV</t>
        </is>
      </c>
      <c r="B8" s="7">
        <f>SUMPRODUCT(B4:B6,D4:D6)</f>
        <v/>
      </c>
    </row>
    <row r="9">
      <c r="A9" t="inlineStr">
        <is>
          <t>Street weighted IV</t>
        </is>
      </c>
      <c r="B9">
        <f>SUMPRODUCT(E4:E6,D4:D6)</f>
        <v/>
      </c>
    </row>
    <row r="10">
      <c r="A10" t="inlineStr">
        <is>
          <t>Weighted entry price (buy-below)</t>
        </is>
      </c>
      <c r="B10" s="8">
        <f>SUMPRODUCT(F4:F6,D4:D6)</f>
        <v/>
      </c>
    </row>
    <row r="11">
      <c r="A11" t="inlineStr">
        <is>
          <t>Margin of safety at current price</t>
        </is>
      </c>
      <c r="B11" s="6">
        <f>1-Assumptions!$B$10/B8</f>
        <v/>
      </c>
    </row>
    <row r="12">
      <c r="A12" t="inlineStr">
        <is>
          <t>Band position (house-&gt;street)</t>
        </is>
      </c>
      <c r="B12">
        <f>(Assumptions!$B$10-B8)/(B9-B8)</f>
        <v/>
      </c>
    </row>
    <row r="13">
      <c r="A13" t="inlineStr">
        <is>
          <t>Band note: SBC ~1% of revenue, so the house/street band is only ~$0.7 wide; price sits far above BOTH -- the gap is valuation, not SBC accounting.</t>
        </is>
      </c>
    </row>
    <row r="15">
      <c r="A15" s="2" t="inlineStr">
        <is>
          <t>Required-return table (base case; TV computed at model WACC, discounted at r)</t>
        </is>
      </c>
    </row>
    <row r="16">
      <c r="A16" t="inlineStr">
        <is>
          <t>Required return r (%)</t>
        </is>
      </c>
      <c r="B16" s="3" t="n">
        <v>9</v>
      </c>
      <c r="C16" s="3" t="n">
        <v>10</v>
      </c>
      <c r="D16" s="3" t="n">
        <v>11</v>
      </c>
      <c r="E16" s="3" t="n">
        <v>12</v>
      </c>
      <c r="F16" s="3" t="n">
        <v>13.5</v>
      </c>
      <c r="G16" s="3" t="n">
        <v>15</v>
      </c>
    </row>
    <row r="17">
      <c r="A17" t="inlineStr">
        <is>
          <t>Value per share</t>
        </is>
      </c>
      <c r="B17">
        <f>(SUMPRODUCT(DCF_Base!$C$21:$L$21/(1+B$16/100)^DCF_Base!$C$4:$L$4)+DCF_Base!$B$33/(1+B$16/100)^10-Assumptions!$B$8)/Assumptions!$B$9</f>
        <v/>
      </c>
      <c r="C17">
        <f>(SUMPRODUCT(DCF_Base!$C$21:$L$21/(1+C$16/100)^DCF_Base!$C$4:$L$4)+DCF_Base!$B$33/(1+C$16/100)^10-Assumptions!$B$8)/Assumptions!$B$9</f>
        <v/>
      </c>
      <c r="D17">
        <f>(SUMPRODUCT(DCF_Base!$C$21:$L$21/(1+D$16/100)^DCF_Base!$C$4:$L$4)+DCF_Base!$B$33/(1+D$16/100)^10-Assumptions!$B$8)/Assumptions!$B$9</f>
        <v/>
      </c>
      <c r="E17">
        <f>(SUMPRODUCT(DCF_Base!$C$21:$L$21/(1+E$16/100)^DCF_Base!$C$4:$L$4)+DCF_Base!$B$33/(1+E$16/100)^10-Assumptions!$B$8)/Assumptions!$B$9</f>
        <v/>
      </c>
      <c r="F17">
        <f>(SUMPRODUCT(DCF_Base!$C$21:$L$21/(1+F$16/100)^DCF_Base!$C$4:$L$4)+DCF_Base!$B$33/(1+F$16/100)^10-Assumptions!$B$8)/Assumptions!$B$9</f>
        <v/>
      </c>
      <c r="G17">
        <f>(SUMPRODUCT(DCF_Base!$C$21:$L$21/(1+G$16/100)^DCF_Base!$C$4:$L$4)+DCF_Base!$B$33/(1+G$16/100)^10-Assumptions!$B$8)/Assumptions!$B$9</f>
        <v/>
      </c>
    </row>
    <row r="18">
      <c r="A18" t="inlineStr">
        <is>
          <t>Note: 13.5% is the model's own WACC. Today's $15.70 implies roughly an 8.5-9% forward return on the base path.</t>
        </is>
      </c>
    </row>
    <row r="20">
      <c r="A20" s="2" t="inlineStr">
        <is>
          <t>Sensitivity: WACC (rows) x terminal growth (cols), base case</t>
        </is>
      </c>
    </row>
    <row r="21">
      <c r="B21" s="3" t="n">
        <v>1.5</v>
      </c>
      <c r="C21" s="3" t="n">
        <v>2</v>
      </c>
      <c r="D21" s="3" t="n">
        <v>2.5</v>
      </c>
      <c r="E21" s="3" t="n">
        <v>3</v>
      </c>
      <c r="F21" s="3" t="n">
        <v>3.5</v>
      </c>
    </row>
    <row r="22">
      <c r="A22" s="3" t="n">
        <v>11.5</v>
      </c>
      <c r="B22">
        <f>IF($A22&gt;B$21,(SUMPRODUCT(DCF_Base!$C$21:$L$21/(1+$A22/100)^DCF_Base!$C$4:$L$4)+MAX(0,MIN(DCF_Base!$L$21*(1+B$21/100)/(($A22-B$21)/100),Assumptions!$B$11*DCF_Base!$L$21))/(1+$A22/100)^10-Assumptions!$B$8)/Assumptions!$B$9,"n/a")</f>
        <v/>
      </c>
      <c r="C22">
        <f>IF($A22&gt;C$21,(SUMPRODUCT(DCF_Base!$C$21:$L$21/(1+$A22/100)^DCF_Base!$C$4:$L$4)+MAX(0,MIN(DCF_Base!$L$21*(1+C$21/100)/(($A22-C$21)/100),Assumptions!$B$11*DCF_Base!$L$21))/(1+$A22/100)^10-Assumptions!$B$8)/Assumptions!$B$9,"n/a")</f>
        <v/>
      </c>
      <c r="D22">
        <f>IF($A22&gt;D$21,(SUMPRODUCT(DCF_Base!$C$21:$L$21/(1+$A22/100)^DCF_Base!$C$4:$L$4)+MAX(0,MIN(DCF_Base!$L$21*(1+D$21/100)/(($A22-D$21)/100),Assumptions!$B$11*DCF_Base!$L$21))/(1+$A22/100)^10-Assumptions!$B$8)/Assumptions!$B$9,"n/a")</f>
        <v/>
      </c>
      <c r="E22">
        <f>IF($A22&gt;E$21,(SUMPRODUCT(DCF_Base!$C$21:$L$21/(1+$A22/100)^DCF_Base!$C$4:$L$4)+MAX(0,MIN(DCF_Base!$L$21*(1+E$21/100)/(($A22-E$21)/100),Assumptions!$B$11*DCF_Base!$L$21))/(1+$A22/100)^10-Assumptions!$B$8)/Assumptions!$B$9,"n/a")</f>
        <v/>
      </c>
      <c r="F22">
        <f>IF($A22&gt;F$21,(SUMPRODUCT(DCF_Base!$C$21:$L$21/(1+$A22/100)^DCF_Base!$C$4:$L$4)+MAX(0,MIN(DCF_Base!$L$21*(1+F$21/100)/(($A22-F$21)/100),Assumptions!$B$11*DCF_Base!$L$21))/(1+$A22/100)^10-Assumptions!$B$8)/Assumptions!$B$9,"n/a")</f>
        <v/>
      </c>
    </row>
    <row r="23">
      <c r="A23" s="3" t="n">
        <v>12.5</v>
      </c>
      <c r="B23">
        <f>IF($A23&gt;B$21,(SUMPRODUCT(DCF_Base!$C$21:$L$21/(1+$A23/100)^DCF_Base!$C$4:$L$4)+MAX(0,MIN(DCF_Base!$L$21*(1+B$21/100)/(($A23-B$21)/100),Assumptions!$B$11*DCF_Base!$L$21))/(1+$A23/100)^10-Assumptions!$B$8)/Assumptions!$B$9,"n/a")</f>
        <v/>
      </c>
      <c r="C23">
        <f>IF($A23&gt;C$21,(SUMPRODUCT(DCF_Base!$C$21:$L$21/(1+$A23/100)^DCF_Base!$C$4:$L$4)+MAX(0,MIN(DCF_Base!$L$21*(1+C$21/100)/(($A23-C$21)/100),Assumptions!$B$11*DCF_Base!$L$21))/(1+$A23/100)^10-Assumptions!$B$8)/Assumptions!$B$9,"n/a")</f>
        <v/>
      </c>
      <c r="D23">
        <f>IF($A23&gt;D$21,(SUMPRODUCT(DCF_Base!$C$21:$L$21/(1+$A23/100)^DCF_Base!$C$4:$L$4)+MAX(0,MIN(DCF_Base!$L$21*(1+D$21/100)/(($A23-D$21)/100),Assumptions!$B$11*DCF_Base!$L$21))/(1+$A23/100)^10-Assumptions!$B$8)/Assumptions!$B$9,"n/a")</f>
        <v/>
      </c>
      <c r="E23">
        <f>IF($A23&gt;E$21,(SUMPRODUCT(DCF_Base!$C$21:$L$21/(1+$A23/100)^DCF_Base!$C$4:$L$4)+MAX(0,MIN(DCF_Base!$L$21*(1+E$21/100)/(($A23-E$21)/100),Assumptions!$B$11*DCF_Base!$L$21))/(1+$A23/100)^10-Assumptions!$B$8)/Assumptions!$B$9,"n/a")</f>
        <v/>
      </c>
      <c r="F23">
        <f>IF($A23&gt;F$21,(SUMPRODUCT(DCF_Base!$C$21:$L$21/(1+$A23/100)^DCF_Base!$C$4:$L$4)+MAX(0,MIN(DCF_Base!$L$21*(1+F$21/100)/(($A23-F$21)/100),Assumptions!$B$11*DCF_Base!$L$21))/(1+$A23/100)^10-Assumptions!$B$8)/Assumptions!$B$9,"n/a")</f>
        <v/>
      </c>
    </row>
    <row r="24">
      <c r="A24" s="3" t="n">
        <v>13.5</v>
      </c>
      <c r="B24">
        <f>IF($A24&gt;B$21,(SUMPRODUCT(DCF_Base!$C$21:$L$21/(1+$A24/100)^DCF_Base!$C$4:$L$4)+MAX(0,MIN(DCF_Base!$L$21*(1+B$21/100)/(($A24-B$21)/100),Assumptions!$B$11*DCF_Base!$L$21))/(1+$A24/100)^10-Assumptions!$B$8)/Assumptions!$B$9,"n/a")</f>
        <v/>
      </c>
      <c r="C24">
        <f>IF($A24&gt;C$21,(SUMPRODUCT(DCF_Base!$C$21:$L$21/(1+$A24/100)^DCF_Base!$C$4:$L$4)+MAX(0,MIN(DCF_Base!$L$21*(1+C$21/100)/(($A24-C$21)/100),Assumptions!$B$11*DCF_Base!$L$21))/(1+$A24/100)^10-Assumptions!$B$8)/Assumptions!$B$9,"n/a")</f>
        <v/>
      </c>
      <c r="D24">
        <f>IF($A24&gt;D$21,(SUMPRODUCT(DCF_Base!$C$21:$L$21/(1+$A24/100)^DCF_Base!$C$4:$L$4)+MAX(0,MIN(DCF_Base!$L$21*(1+D$21/100)/(($A24-D$21)/100),Assumptions!$B$11*DCF_Base!$L$21))/(1+$A24/100)^10-Assumptions!$B$8)/Assumptions!$B$9,"n/a")</f>
        <v/>
      </c>
      <c r="E24">
        <f>IF($A24&gt;E$21,(SUMPRODUCT(DCF_Base!$C$21:$L$21/(1+$A24/100)^DCF_Base!$C$4:$L$4)+MAX(0,MIN(DCF_Base!$L$21*(1+E$21/100)/(($A24-E$21)/100),Assumptions!$B$11*DCF_Base!$L$21))/(1+$A24/100)^10-Assumptions!$B$8)/Assumptions!$B$9,"n/a")</f>
        <v/>
      </c>
      <c r="F24">
        <f>IF($A24&gt;F$21,(SUMPRODUCT(DCF_Base!$C$21:$L$21/(1+$A24/100)^DCF_Base!$C$4:$L$4)+MAX(0,MIN(DCF_Base!$L$21*(1+F$21/100)/(($A24-F$21)/100),Assumptions!$B$11*DCF_Base!$L$21))/(1+$A24/100)^10-Assumptions!$B$8)/Assumptions!$B$9,"n/a")</f>
        <v/>
      </c>
    </row>
    <row r="25">
      <c r="A25" s="3" t="n">
        <v>14.5</v>
      </c>
      <c r="B25">
        <f>IF($A25&gt;B$21,(SUMPRODUCT(DCF_Base!$C$21:$L$21/(1+$A25/100)^DCF_Base!$C$4:$L$4)+MAX(0,MIN(DCF_Base!$L$21*(1+B$21/100)/(($A25-B$21)/100),Assumptions!$B$11*DCF_Base!$L$21))/(1+$A25/100)^10-Assumptions!$B$8)/Assumptions!$B$9,"n/a")</f>
        <v/>
      </c>
      <c r="C25">
        <f>IF($A25&gt;C$21,(SUMPRODUCT(DCF_Base!$C$21:$L$21/(1+$A25/100)^DCF_Base!$C$4:$L$4)+MAX(0,MIN(DCF_Base!$L$21*(1+C$21/100)/(($A25-C$21)/100),Assumptions!$B$11*DCF_Base!$L$21))/(1+$A25/100)^10-Assumptions!$B$8)/Assumptions!$B$9,"n/a")</f>
        <v/>
      </c>
      <c r="D25">
        <f>IF($A25&gt;D$21,(SUMPRODUCT(DCF_Base!$C$21:$L$21/(1+$A25/100)^DCF_Base!$C$4:$L$4)+MAX(0,MIN(DCF_Base!$L$21*(1+D$21/100)/(($A25-D$21)/100),Assumptions!$B$11*DCF_Base!$L$21))/(1+$A25/100)^10-Assumptions!$B$8)/Assumptions!$B$9,"n/a")</f>
        <v/>
      </c>
      <c r="E25">
        <f>IF($A25&gt;E$21,(SUMPRODUCT(DCF_Base!$C$21:$L$21/(1+$A25/100)^DCF_Base!$C$4:$L$4)+MAX(0,MIN(DCF_Base!$L$21*(1+E$21/100)/(($A25-E$21)/100),Assumptions!$B$11*DCF_Base!$L$21))/(1+$A25/100)^10-Assumptions!$B$8)/Assumptions!$B$9,"n/a")</f>
        <v/>
      </c>
      <c r="F25">
        <f>IF($A25&gt;F$21,(SUMPRODUCT(DCF_Base!$C$21:$L$21/(1+$A25/100)^DCF_Base!$C$4:$L$4)+MAX(0,MIN(DCF_Base!$L$21*(1+F$21/100)/(($A25-F$21)/100),Assumptions!$B$11*DCF_Base!$L$21))/(1+$A25/100)^10-Assumptions!$B$8)/Assumptions!$B$9,"n/a")</f>
        <v/>
      </c>
    </row>
    <row r="26">
      <c r="A26" s="3" t="n">
        <v>15.5</v>
      </c>
      <c r="B26">
        <f>IF($A26&gt;B$21,(SUMPRODUCT(DCF_Base!$C$21:$L$21/(1+$A26/100)^DCF_Base!$C$4:$L$4)+MAX(0,MIN(DCF_Base!$L$21*(1+B$21/100)/(($A26-B$21)/100),Assumptions!$B$11*DCF_Base!$L$21))/(1+$A26/100)^10-Assumptions!$B$8)/Assumptions!$B$9,"n/a")</f>
        <v/>
      </c>
      <c r="C26">
        <f>IF($A26&gt;C$21,(SUMPRODUCT(DCF_Base!$C$21:$L$21/(1+$A26/100)^DCF_Base!$C$4:$L$4)+MAX(0,MIN(DCF_Base!$L$21*(1+C$21/100)/(($A26-C$21)/100),Assumptions!$B$11*DCF_Base!$L$21))/(1+$A26/100)^10-Assumptions!$B$8)/Assumptions!$B$9,"n/a")</f>
        <v/>
      </c>
      <c r="D26">
        <f>IF($A26&gt;D$21,(SUMPRODUCT(DCF_Base!$C$21:$L$21/(1+$A26/100)^DCF_Base!$C$4:$L$4)+MAX(0,MIN(DCF_Base!$L$21*(1+D$21/100)/(($A26-D$21)/100),Assumptions!$B$11*DCF_Base!$L$21))/(1+$A26/100)^10-Assumptions!$B$8)/Assumptions!$B$9,"n/a")</f>
        <v/>
      </c>
      <c r="E26">
        <f>IF($A26&gt;E$21,(SUMPRODUCT(DCF_Base!$C$21:$L$21/(1+$A26/100)^DCF_Base!$C$4:$L$4)+MAX(0,MIN(DCF_Base!$L$21*(1+E$21/100)/(($A26-E$21)/100),Assumptions!$B$11*DCF_Base!$L$21))/(1+$A26/100)^10-Assumptions!$B$8)/Assumptions!$B$9,"n/a")</f>
        <v/>
      </c>
      <c r="F26">
        <f>IF($A26&gt;F$21,(SUMPRODUCT(DCF_Base!$C$21:$L$21/(1+$A26/100)^DCF_Base!$C$4:$L$4)+MAX(0,MIN(DCF_Base!$L$21*(1+F$21/100)/(($A26-F$21)/100),Assumptions!$B$11*DCF_Base!$L$21))/(1+$A26/100)^10-Assumptions!$B$8)/Assumptions!$B$9,"n/a")</f>
        <v/>
      </c>
    </row>
    <row r="28">
      <c r="A28" t="inlineStr">
        <is>
          <t>Sanity check: base IV $11.39 implies 15.3x FY2025 SBC-adj P/E (hist avg 19.7x), 2.83x Jun-2026 book (hist max 4.27x), 10.8x EV/EBITDA -- PASS. Price $15.70 = 19.6x P/E and 4.26x P/B, the 10-year book-multiple maximum.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2026-08-26T21:23:25Z</dcterms:created>
  <dcterms:modified xsi:type="dcterms:W3CDTF">2026-08-26T21:23:25Z</dcterms:modified>
</cp:coreProperties>
</file>