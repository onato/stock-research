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_Info" sheetId="1" state="visible" r:id="rId3"/>
    <sheet name="Actuals_Data"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<sst xmlns="http://schemas.openxmlformats.org/spreadsheetml/2006/main" count="433" uniqueCount="292">
  <si>
    <t xml:space="preserve">NETFLIX (NFLX) - OWNER-FCF DCF MODEL</t>
  </si>
  <si>
    <t xml:space="preserve">Lineage</t>
  </si>
  <si>
    <t xml:space="preserve">v1.0 - FRESH BUILD, 9-Aug-2026. No prior NFLX workbook existed in this workspace, so all ten forecast years are newly constructed (nothing to reconcile against). Built by Claude (Opus 5) via claude.ai chat at Stephen's request, using the house tech-dcf-workbook engine (openpyxl; recalculated in LibreOffice; per-share outputs hand-checked against an independent Python model before delivery). Supersedes nothing.</t>
  </si>
  <si>
    <t xml:space="preserve">DATA VINTAGE</t>
  </si>
  <si>
    <t xml:space="preserve">FY0 actuals (FY2025)</t>
  </si>
  <si>
    <t xml:space="preserve">Netflix Q4'25 shareholder letter, 20-Jan-2026 (ir.netflix.net): revenue $45,183.0m, operating income $13,326.6m (29.5%), net income $10,981.2m, OCF $10,149.3m, PP&amp;E capex $688.2m, FCF $9,461.1m, SBC $368.4m, additions to content assets $17,096.6m, change in content liabilities -$610.8m, content amortisation $16,422.2m, tax provision $1,741.4m of which deferred -$442.1m.</t>
  </si>
  <si>
    <t xml:space="preserve">Latest print (Q2 FY2026)</t>
  </si>
  <si>
    <t xml:space="preserve">Netflix Q2'26 shareholder letter, 16-Jul-2026: revenue $12,559.9m (+13.4%), operating income $4,192.6m (33.4%), net income $3,401.4m, diluted EPS $0.80, FCF $1,525.2m, SBC $131.3m (H1'26 $271.7m), diluted shares 4,261.3m.</t>
  </si>
  <si>
    <t xml:space="preserve">FY1 guidance (FY2026E)</t>
  </si>
  <si>
    <t xml:space="preserve">Same letter: revenue $51.0-51.4bn (13-14% growth) - midpoint $51.2bn used; operating margin 31.5%; FCF ~$12.5bn; cash content spend / content amortisation ~1.1x; content amortisation +~10% y/y; ads revenue ~$3bn (roughly double 2025's $1.5bn). Q3'26 guide: revenue $12,860m (+11.7%), operating margin 33.2%.</t>
  </si>
  <si>
    <t xml:space="preserve">Balance sheet</t>
  </si>
  <si>
    <t xml:space="preserve">30-Jun-2026 (Q2'26 letter): cash &amp; equivalents $9,099.2m, short-term investments $28.7m, total debt $14,309.3m. Netflix's own non-GAAP reconciliation gives NET DEBT of $5,244.2m - used here as a NEGATIVE net-cash input. Total streaming content obligations $25,106.7m (incl. off-balance-sheet) - disclosed on Actuals_Data but deliberately NOT added to the bridge (see methodology).</t>
  </si>
  <si>
    <t xml:space="preserve">Share count</t>
  </si>
  <si>
    <t xml:space="preserve">4,261.3m fully diluted, Q2'26 letter summary table (weighted average for the quarter). Period-end diluted is somewhat lower after the $4.7bn Q2 buyback, so this input is mildly conservative.</t>
  </si>
  <si>
    <t xml:space="preserve">Price</t>
  </si>
  <si>
    <t xml:space="preserve">$74.14 - last regular close, Friday 7-Aug-2026 (Macrotrends daily history; Robinhood quoted $74.16 over the same weekend). 52-week range $65.08-$126.71; all-time-high close $133.91 on 30-Jun-2025. Refresh at the next regular close before acting on any output.</t>
  </si>
  <si>
    <t xml:space="preserve">Split</t>
  </si>
  <si>
    <t xml:space="preserve">All share and per-share figures reflect the 10-for-1 forward split effected 14-Nov-2025.</t>
  </si>
  <si>
    <t xml:space="preserve">METHODOLOGY</t>
  </si>
  <si>
    <t xml:space="preserve">Owner-FCF basis</t>
  </si>
  <si>
    <t xml:space="preserve">SBC fully expensed and projected as its OWN driver row (row 9, % of revenue, per scenario-year) - never folded into a net margin. INTEREST EXCLUDED from flows: Netflix runs a net interest COST (~$0.6bn/yr), and the balance-sheet position is carried separately as net debt; including both would double-count. Cash taxes modelled explicitly and ramped (row 14). Diluted share count held FLAT - expensing SBC substitutes for modelling grant dilution; buybacks are treated as value-neutral. Terminal value = Gordon growth, capped at 20x terminal-year owner FCF. End-of-year discounting, 10-year explicit horizon, FY1 = 2026E. Street-convention values (SBC added back as non-cash) are carried as memos - the house/street pair is the accounting-regime band around the price.</t>
  </si>
  <si>
    <t xml:space="preserve">Content treatment (key)</t>
  </si>
  <si>
    <t xml:space="preserve">For Netflix the dominant investment flows are content amortisation (P&amp;L) and content cash spend (cash), not PP&amp;E. They are therefore mapped into the engine's D&amp;A and capex lines: row 12 D&amp;A = revenue x (content amortisation % + PP&amp;E D&amp;A %); row 17 capex = revenue x (content amortisation % x cash-spend/amortisation ratio + PP&amp;E capex %). Those four inputs are per-year, per-scenario blue driver rows 46-49 on each DCF tab (a documented extension to the shipped engine, which carries single global D&amp;A/capex percentages - too coarse here, because the CONVERGENCE of the cash/amortisation ratio toward 1.0x is the single biggest swing factor in the model). Rows 1-43 keep the published engine row map unchanged. By construction row 13 EBIT then equals reported GAAP operating income.</t>
  </si>
  <si>
    <t xml:space="preserve">FY2025 tie-out</t>
  </si>
  <si>
    <t xml:space="preserve">Applying this mapping to FY2025 actuals produces owner FCF of $9,503m against reported FCF of $9,461m - a $42m difference, being the net of excluding interest (+$0.6bn), expensing SBC (-$0.37bn) and excluding non-recurring/other non-cash items (-$0.2bn). See the bridge at the foot of Actuals_Data. The close tie is the main evidence that the content mapping is right.</t>
  </si>
  <si>
    <t xml:space="preserve">Warner Bros. termination fee</t>
  </si>
  <si>
    <t xml:space="preserve">EXCLUDED from every flow in this model. The $2.8bn fee Netflix received on the collapsed WBD deal sits in Q1'26 'interest and other income' - below operating income - so it never enters row 13 EBIT. It is worth roughly $2.1bn after tax (~17% of the $12.5bn FY26 FCF guide and ~$0.50 of 2026 EPS), and it is also why 2026-27 consensus EPS growth looks weak: ex-fee, 2026-&gt;2027 is ~+24%, not ~+7%. Any comparison of this model against guided FCF or reported EPS must strip it first.</t>
  </si>
  <si>
    <t xml:space="preserve">Cash tax</t>
  </si>
  <si>
    <t xml:space="preserve">FY0 cash tax rate 16.4% of EBIT (book provision $1,741.4m less the -$442.1m deferred component = $2,183.5m current tax). Netflix's low rate is structural (FDII, foreign mix, option exercises) rather than an expiring NOL, so it is more durable than DUOL's shelter was - but house rule is to normalise, and OECD Pillar Two plus digital-services taxes are live risks. Ramped to 21% by 2030 (Base/Bull) and 22% (Bear). Holding the Base terminal rate at 18% instead of 21% would add ~$2/share; this is a deliberate conservatism, not a forecast.</t>
  </si>
  <si>
    <t xml:space="preserve">Working capital</t>
  </si>
  <si>
    <t xml:space="preserve">Set NEGATIVE (per scenario: Bear -6%, Base -4%, Bull -2% of the YoY revenue increase). The prepaid-subscription deferred-revenue float is real but small (+$254.9m in FY25) and has been more than offset by other operating assets and liabilities (FY25 net working-capital movement -$456.3m on a $6,182m revenue increase, i.e. -7.4%). The ~$700m Brazilian tax-dispute deposit that slipped from 2025 into 2026 is treated as a one-off and is NOT in the run-rate. Note the content-spend wedge - the item that would sit in working capital for most businesses - is modelled inside capex instead (see above).</t>
  </si>
  <si>
    <t xml:space="preserve">Net debt, not net cash</t>
  </si>
  <si>
    <t xml:space="preserve">Deviation from the house default (cash + short-term investments), and deliberate: Netflix carries $14.3bn of real debt against $9.1bn of cash. The Assumptions net-cash cell is therefore NEGATIVE $5,244.2m, taken from Netflix's own non-GAAP net-debt reconciliation at 30-Jun-2026. The $25.1bn of total streaming content obligations (including amounts not yet on the balance sheet) are NOT treated as debt-like, per Stephen's sign-off on 9-Aug-2026: that spend is already fully modelled through the content capex line, so adding it to the bridge would double-count it.</t>
  </si>
  <si>
    <t xml:space="preserve">WACC</t>
  </si>
  <si>
    <t xml:space="preserve">House default 10.5% retained. Defensible on CAPM for a name with realised beta above 1 that has just drawn down ~45%, but it is the single most powerful input in the file: Base ranges from $77.85 at 8.5% to $44.82 at 12%. The required-return table and the WACC x terminal-growth grid on the Valuation tab exist precisely so this can be re-read at another hurdle rate. Terminal growth 1.5/3.0/3.5% (Bear/Base/Bull), house defaults.</t>
  </si>
  <si>
    <t xml:space="preserve">Scenario drivers</t>
  </si>
  <si>
    <t xml:space="preserve">All ten forecast years for all three scenarios are Claude's judgment, constructed 9-Aug-2026 from the deep dive of the same date and signed off at architecture level by Stephen ('go with your intuition'), who approved the Bear/Base/Bull axes and the house 15/50/35 weights. Year 1 (2026E) is company guidance in every scenario - the scenarios only diverge from 2027. The axes are: hours-per-member (falling: +2% total view hours in H1'26 on a faster-growing member base); whether the ~14-month price ladder keeps clearing at ~2% monthly churn (Antenna; peers 5-8%); advertising scaling from ~$3bn (2026E) toward the company's ~$9bn 2030 ambition; operating leverage on the ~31% non-content cost base; and the content cash-spend / amortisation ratio. Nothing here has been reconciled against a prior file because none exists - treat every 2027+ column as a first draft to be argued with.</t>
  </si>
  <si>
    <t xml:space="preserve">UPDATE INSTRUCTIONS</t>
  </si>
  <si>
    <t xml:space="preserve">Each quarter</t>
  </si>
  <si>
    <t xml:space="preserve">Next print is Q3'26, expected ~20-Oct-2026 (unconfirmed; Netflix normally announces the date in mid-September). Refresh: price, net debt + date, diluted shares, buyback usage and remaining authorisation, and the 2026E guidance columns. Then reassess blue rows 5/7/9/14 and 46-49 per scenario ONLY where the print gives evidence - leave later-year judgments alone and say so. Add a Reconciliation tab (prior per-share values hardcoded blue with their date and price, current version as green links, plus an approximate $/share bridge), and increment the version above.</t>
  </si>
  <si>
    <t xml:space="preserve">What to watch on the print</t>
  </si>
  <si>
    <t xml:space="preserve">UCAN growth with the March-2026 price rise fully flowed through (Q2 was only +10% on a partial quarter - it needs to reaccelerate); operating margin against the implied H2 step-up (33.2% guided for Q3 vs 28.2% a year earlier, driven by content amortisation growth slowing in H2); whether ads closed the ~$3bn year and what the US upfront settled at; the free-trial retest; any read on the 3-Aug publisher short-form launch; and the FY27 framework, which is the first year with no termination fee in the base. From 2027 Netflix reports view hours annually, not half-yearly - the engagement axis gets harder to track exactly when it is under most scrutiny.</t>
  </si>
  <si>
    <t xml:space="preserve">What would move the drivers</t>
  </si>
  <si>
    <t xml:space="preserve">Rows 46/48 (content): evidence that the cash-spend/amortisation ratio is converging (Bull) or stuck (Bear) - management guides this ratio explicitly each January. Row 5 (growth): UCAN reacceleration, ad-market expansion to the 15 new countries from 2027, aggregation deals of the TF1 type. Row 7 (margin): whether live-sports rights and aggregation revenue-shares dilute the mix. Row 14 (tax): Pillar Two and DST developments. Structural wildcard: if the Paramount-WBD deal is blocked on antitrust (it can run to June 2027), those assets return to play and Netflix's capital-allocation discipline gets retested.</t>
  </si>
  <si>
    <t xml:space="preserve">Conventions</t>
  </si>
  <si>
    <t xml:space="preserve">Blue = hardcoded input. Yellow fill = key lever. Black = formula. Green = cross-sheet link. All $ in millions unless stated. Percentages stored as fractions.</t>
  </si>
  <si>
    <t xml:space="preserve">NOT INVESTMENT ADVICE</t>
  </si>
  <si>
    <t xml:space="preserve">This is Stephen's own framework computed at the inputs above. Every 2027+ number is a judgment, and the output is only as good as those judgments.</t>
  </si>
  <si>
    <t xml:space="preserve">NFLX - Reported Actuals &amp; Guidance (all hardcoded, blue)</t>
  </si>
  <si>
    <t xml:space="preserve">Every figure below is taken from a Netflix shareholder letter. $ in millions except per-share.</t>
  </si>
  <si>
    <t xml:space="preserve">Quarterly</t>
  </si>
  <si>
    <t xml:space="preserve">Q2'25A</t>
  </si>
  <si>
    <t xml:space="preserve">Q3'25A</t>
  </si>
  <si>
    <t xml:space="preserve">Q4'25A</t>
  </si>
  <si>
    <t xml:space="preserve">Q1'26A</t>
  </si>
  <si>
    <t xml:space="preserve">Q2'26A</t>
  </si>
  <si>
    <t xml:space="preserve">Q3'26G</t>
  </si>
  <si>
    <t xml:space="preserve">Source</t>
  </si>
  <si>
    <t xml:space="preserve">Revenue</t>
  </si>
  <si>
    <t xml:space="preserve">Q2'26 letter summary table (Q1'26 shown as reported $12,249.8m)</t>
  </si>
  <si>
    <t xml:space="preserve">Revenue growth y/y</t>
  </si>
  <si>
    <t xml:space="preserve">Third consecutive quarter of deceleration</t>
  </si>
  <si>
    <t xml:space="preserve">Operating income</t>
  </si>
  <si>
    <t xml:space="preserve">Q2'26 letter</t>
  </si>
  <si>
    <t xml:space="preserve">Operating margin</t>
  </si>
  <si>
    <t xml:space="preserve">Q4 is seasonally lowest (marketing + content timing)</t>
  </si>
  <si>
    <t xml:space="preserve">Net income</t>
  </si>
  <si>
    <t xml:space="preserve">Q1'26 includes the $2.8bn WBD termination fee in other income</t>
  </si>
  <si>
    <t xml:space="preserve">Diluted EPS</t>
  </si>
  <si>
    <t xml:space="preserve">Restated for the 10-for-1 split of 14-Nov-2025</t>
  </si>
  <si>
    <t xml:space="preserve">Free cash flow</t>
  </si>
  <si>
    <t xml:space="preserve">Q2'26 hit by cash taxes on the termination fee</t>
  </si>
  <si>
    <t xml:space="preserve">Diluted shares (mm)</t>
  </si>
  <si>
    <t xml:space="preserve">Falling ~2%/yr on buybacks</t>
  </si>
  <si>
    <t xml:space="preserve">Annual</t>
  </si>
  <si>
    <t xml:space="preserve">FY2024A</t>
  </si>
  <si>
    <t xml:space="preserve">FY2025A</t>
  </si>
  <si>
    <t xml:space="preserve">FY2026G</t>
  </si>
  <si>
    <t xml:space="preserve">Source / note</t>
  </si>
  <si>
    <t xml:space="preserve">FY26 = midpoint of the $51.0-51.4bn guide</t>
  </si>
  <si>
    <t xml:space="preserve">FY26 guide 13-14% reported, ~12% FX-neutral</t>
  </si>
  <si>
    <t xml:space="preserve">FY26 derived as 31.5% x guided revenue midpoint</t>
  </si>
  <si>
    <t xml:space="preserve">Guided; implies operating income growth of 20%+ in 2026</t>
  </si>
  <si>
    <t xml:space="preserve">FY26 not guided; would include the termination fee</t>
  </si>
  <si>
    <t xml:space="preserve">Consensus FY26 ~$3.59 incl. fee, ~$3.09 ex-fee</t>
  </si>
  <si>
    <t xml:space="preserve">Operating cash flow</t>
  </si>
  <si>
    <t xml:space="preserve">FY25 letter cash-flow statement</t>
  </si>
  <si>
    <t xml:space="preserve">Capex - property &amp; equipment</t>
  </si>
  <si>
    <t xml:space="preserve">FY26 estimated from H1'26 actual of $414.8m</t>
  </si>
  <si>
    <t xml:space="preserve">Free cash flow (reported)</t>
  </si>
  <si>
    <t xml:space="preserve">FY26 guided ~$12.5bn - INCLUDES the WBD fee</t>
  </si>
  <si>
    <t xml:space="preserve">  less: WBD termination fee, after tax</t>
  </si>
  <si>
    <t xml:space="preserve">$2.8bn pre-tax at ~23.5%; strip before any comparison</t>
  </si>
  <si>
    <t xml:space="preserve">  underlying FCF ex-fee</t>
  </si>
  <si>
    <t xml:space="preserve">The number to compare against this model</t>
  </si>
  <si>
    <t xml:space="preserve">Stock-based compensation</t>
  </si>
  <si>
    <t xml:space="preserve">FY26 est. from H1'26 $271.7m; ~1.2% of revenue - very low for large-cap tech</t>
  </si>
  <si>
    <t xml:space="preserve">Additions to content assets</t>
  </si>
  <si>
    <t xml:space="preserve">Cash-flow statement</t>
  </si>
  <si>
    <t xml:space="preserve">Change in content liabilities</t>
  </si>
  <si>
    <t xml:space="preserve">Content cash spend (sum of the two)</t>
  </si>
  <si>
    <t xml:space="preserve">FY26 = 1.10x guided amortisation</t>
  </si>
  <si>
    <t xml:space="preserve">Content amortisation</t>
  </si>
  <si>
    <t xml:space="preserve">FY26 = +10% y/y as guided</t>
  </si>
  <si>
    <t xml:space="preserve">Content cash spend / amortisation</t>
  </si>
  <si>
    <t xml:space="preserve">Management guides ~1.1x for 2026 - the model's key lever</t>
  </si>
  <si>
    <t xml:space="preserve">Tax provision (book)</t>
  </si>
  <si>
    <t xml:space="preserve">Effective rate 12.6% (FY24) and 13.7% (FY25) - well below statutory</t>
  </si>
  <si>
    <t xml:space="preserve">  of which deferred</t>
  </si>
  <si>
    <t xml:space="preserve">Cash taxes paid (derived)</t>
  </si>
  <si>
    <t xml:space="preserve">Book provision less deferred component</t>
  </si>
  <si>
    <t xml:space="preserve">Cash tax rate on EBIT</t>
  </si>
  <si>
    <t xml:space="preserve">FY26 estimate; model row 14 starts here and ramps</t>
  </si>
  <si>
    <t xml:space="preserve">Balance sheet, 30-Jun-2026</t>
  </si>
  <si>
    <t xml:space="preserve">Cash and cash equivalents</t>
  </si>
  <si>
    <t xml:space="preserve">Short-term investments</t>
  </si>
  <si>
    <t xml:space="preserve">Total debt</t>
  </si>
  <si>
    <t xml:space="preserve">$1bn matures later in 2026 and will be refinanced</t>
  </si>
  <si>
    <t xml:space="preserve">NET DEBT (Netflix non-GAAP reconciliation)</t>
  </si>
  <si>
    <t xml:space="preserve">Enters the model as NEGATIVE net cash</t>
  </si>
  <si>
    <t xml:space="preserve">Content assets, net</t>
  </si>
  <si>
    <t xml:space="preserve">Q2'26 balance sheet</t>
  </si>
  <si>
    <t xml:space="preserve">Total streaming content obligations</t>
  </si>
  <si>
    <t xml:space="preserve">Incl. off-balance-sheet; deliberately NOT in the bridge</t>
  </si>
  <si>
    <t xml:space="preserve">Total stockholders' equity</t>
  </si>
  <si>
    <t xml:space="preserve">Q2'26 revenue by region</t>
  </si>
  <si>
    <t xml:space="preserve">y/y</t>
  </si>
  <si>
    <t xml:space="preserve">UCAN</t>
  </si>
  <si>
    <t xml:space="preserve">Only a partial-quarter impact from the March-2026 price rise</t>
  </si>
  <si>
    <t xml:space="preserve">EMEA</t>
  </si>
  <si>
    <t xml:space="preserve">+11% FX-neutral</t>
  </si>
  <si>
    <t xml:space="preserve">LATAM</t>
  </si>
  <si>
    <t xml:space="preserve">+16% FX-neutral</t>
  </si>
  <si>
    <t xml:space="preserve">APAC</t>
  </si>
  <si>
    <t xml:space="preserve">+18% FX-neutral - fastest on a constant-currency basis</t>
  </si>
  <si>
    <t xml:space="preserve">Operating metrics and capital return</t>
  </si>
  <si>
    <t xml:space="preserve">Paid memberships, end-2024 (m)</t>
  </si>
  <si>
    <t xml:space="preserve">Last full quarterly disclosure</t>
  </si>
  <si>
    <t xml:space="preserve">Paid memberships, end-2025 (m)</t>
  </si>
  <si>
    <t xml:space="preserve">Milestone disclosure only; quarterly reporting discontinued</t>
  </si>
  <si>
    <t xml:space="preserve">Advertising revenue 2025</t>
  </si>
  <si>
    <t xml:space="preserve">Third year of selling ads; grew more than 2.5x vs 2024</t>
  </si>
  <si>
    <t xml:space="preserve">Advertising revenue 2026E</t>
  </si>
  <si>
    <t xml:space="preserve">Guided to roughly double; ~6% of total revenue</t>
  </si>
  <si>
    <t xml:space="preserve">Ad-tier monthly active viewers (m)</t>
  </si>
  <si>
    <t xml:space="preserve">May-2026 upfront; a reach metric with a household multiplier, not a subscriber count</t>
  </si>
  <si>
    <t xml:space="preserve">View hours, H1 2026 (bn)</t>
  </si>
  <si>
    <t xml:space="preserve">+2% y/y, vs +1.5% in 2025 - hours per member are falling</t>
  </si>
  <si>
    <t xml:space="preserve">Monthly gross churn (Antenna, Jun-2026)</t>
  </si>
  <si>
    <t xml:space="preserve">Premium SVOD weighted average ~4%; peers 5-8%</t>
  </si>
  <si>
    <t xml:space="preserve">Buybacks FY2025</t>
  </si>
  <si>
    <t xml:space="preserve">Paused in Q4'25/Q1'26 to accumulate cash for the WBD bid</t>
  </si>
  <si>
    <t xml:space="preserve">Buybacks H1 2026</t>
  </si>
  <si>
    <t xml:space="preserve">Of which $4,714.4m in Q2'26 - the largest quarter on record</t>
  </si>
  <si>
    <t xml:space="preserve">Remaining buyback authorisation</t>
  </si>
  <si>
    <t xml:space="preserve">~9% of market capitalisation at the current price</t>
  </si>
  <si>
    <t xml:space="preserve">FY2025 owner-FCF tie-out (validates the content mapping)</t>
  </si>
  <si>
    <t xml:space="preserve">Reported free cash flow, FY2025</t>
  </si>
  <si>
    <t xml:space="preserve">Operating cash flow less PP&amp;E capex</t>
  </si>
  <si>
    <t xml:space="preserve">add back: net interest expense excluded from flows</t>
  </si>
  <si>
    <t xml:space="preserve">Interest expense $776.5m less interest and other income $172.5m</t>
  </si>
  <si>
    <t xml:space="preserve">less: SBC expensed (house basis)</t>
  </si>
  <si>
    <t xml:space="preserve">Added back in reported operating cash flow; a real cost here</t>
  </si>
  <si>
    <t xml:space="preserve">less: other non-cash and content-liability timing</t>
  </si>
  <si>
    <t xml:space="preserve">Other non-cash items, FX remeasurement, deferred-tax timing, net working capital</t>
  </si>
  <si>
    <t xml:space="preserve">Owner FCF on this model's basis, FY2025</t>
  </si>
  <si>
    <t xml:space="preserve">Independently recomputed from the drivers; difference vs reported FCF is $42m</t>
  </si>
  <si>
    <t xml:space="preserve">NFLX - Global Assumptions &amp; Scenario Parameters</t>
  </si>
  <si>
    <t xml:space="preserve">Blue = hardcoded input. Yellow = key lever. All $ in millions unless stated.</t>
  </si>
  <si>
    <t xml:space="preserve">Global inputs</t>
  </si>
  <si>
    <t xml:space="preserve">WACC / discount rate</t>
  </si>
  <si>
    <t xml:space="preserve">House default for this risk class. The most powerful single input - see the required-return table on Valuation.</t>
  </si>
  <si>
    <t xml:space="preserve">D&amp;A (% of revenue) - FY0 reference only</t>
  </si>
  <si>
    <t xml:space="preserve">NOT live. Live per-year drivers are rows 46-47 on each DCF tab. FY2025 = content amortisation 36.35% + PP&amp;E D&amp;A 0.74%.</t>
  </si>
  <si>
    <t xml:space="preserve">Capex (% of revenue) - FY0 reference only</t>
  </si>
  <si>
    <t xml:space="preserve">NOT live. Live per-year drivers are rows 46 x 48 plus 49. FY2025 = content cash spend 39.19% + PP&amp;E 1.52%.</t>
  </si>
  <si>
    <t xml:space="preserve">Working-capital capture - default</t>
  </si>
  <si>
    <t xml:space="preserve">NOT live. Live value is per scenario in the block below. Negative: the deferred-revenue float is outweighed by other operating assets and liabilities.</t>
  </si>
  <si>
    <t xml:space="preserve">Net cash / (net debt) ($mm)</t>
  </si>
  <si>
    <t xml:space="preserve">NEGATIVE - Netflix carries net debt of $5,244.2m at 30-Jun-2026 per its own non-GAAP reconciliation.</t>
  </si>
  <si>
    <t xml:space="preserve">Fully diluted shares (mm)</t>
  </si>
  <si>
    <t xml:space="preserve">Q2'26 letter, weighted average diluted. Held flat: SBC is expensed instead of modelling grant dilution.</t>
  </si>
  <si>
    <t xml:space="preserve">Current share price</t>
  </si>
  <si>
    <t xml:space="preserve">Last regular close, Friday 7-Aug-2026. Refresh before acting.</t>
  </si>
  <si>
    <t xml:space="preserve">Terminal value cap (x terminal-year owner FCF)</t>
  </si>
  <si>
    <t xml:space="preserve">House cap. Not binding in any scenario here - Gordon gives 11.3x/13.7x/14.8x.</t>
  </si>
  <si>
    <t xml:space="preserve">Scenario parameters</t>
  </si>
  <si>
    <t xml:space="preserve">Bear</t>
  </si>
  <si>
    <t xml:space="preserve">Base</t>
  </si>
  <si>
    <t xml:space="preserve">Bull</t>
  </si>
  <si>
    <t xml:space="preserve">Terminal growth rate</t>
  </si>
  <si>
    <t xml:space="preserve">Working-capital capture (% of YoY revenue incr.)</t>
  </si>
  <si>
    <t xml:space="preserve">Negative in all cases; FY2025 actual was -7.4% of the revenue increase</t>
  </si>
  <si>
    <t xml:space="preserve">Probability weight</t>
  </si>
  <si>
    <t xml:space="preserve">must sum to 100%</t>
  </si>
  <si>
    <t xml:space="preserve">Scenario narratives</t>
  </si>
  <si>
    <t xml:space="preserve">Attention loss compounds and price becomes the only lever left. Hours per member keep falling, memberships plateau, and the March-2026 style rise starts to bite - churn steps from ~2% toward 3% and the ladder stops clearing. Advertising plateaus near $5-6bn as CPM deflation outruns impression growth, and YouTube's aggregation of rival services (Peacock inside YouTube Premium from early 2027) caps Netflix's share of TV time. Netflix has to buy engagement back - sports rights, aggregation revenue shares, publisher licences - so the 31.5% margin of 2026 turns out to be the peak and drifts back toward 29%, and content cash spend stays permanently above amortisation at ~1.1x. Revenue fades to 2-3%. Not a broken business: a mature, price-led one that was mistaken for a growth stock.</t>
  </si>
  <si>
    <t xml:space="preserve">Monetisation carries the business while volume flatlines. Hours per member keep drifting down, but the price ladder keeps clearing at ~2% churn, the ad tier scales to roughly $8bn by 2030 on the 15 new markets and programmatic, and the ~31% non-content cost base leverages steadily. Revenue compounds at ~7-8% after 2026, operating margin climbs from 31.5% toward ~35% by 2030 and ~37% by 2035, and the content cash-spend ratio grinds down from 1.10x to ~1.02x as the library matures and genAI takes real cost out of post-production. Ads and aggregation (TF1-style deals, publisher short-form, podcasts, games) do enough to hold share of TV time without ever winning the attention war outright. Cash taxes normalise to 21%.</t>
  </si>
  <si>
    <t xml:space="preserve">The harness thesis works: Netflix converts from a place you watch shows into the default TV aggregation layer - third-party services, live channels, creators, publishers, podcasts and cloud games inside one interface - and takes distribution economics on content it does not have to fund. GenAI genuinely bends the content cost curve (already documented at twice the speed and half the cost on real footage), so a slowly growing budget buys a much larger slate and cash spend converges to amortisation by 2030. Advertising reaches the company's ~$9bn 2030 ambition and beyond, lifting blended margin toward 42% by 2035, revenue roughly doubles from 2024 by 2030 as management has aspired, and the $27bn buyback authorisation retires a high-single-digit share of the company at depressed prices.</t>
  </si>
  <si>
    <t xml:space="preserve">NFLX DCF - Bear - price-led maturity; engagement keeps eroding</t>
  </si>
  <si>
    <t xml:space="preserve">Owner-FCF basis: SBC fully expensed, interest excluded, share count flat. Blue rows 5/7/9/14 and 46-49 are per-year drivers (edit these).</t>
  </si>
  <si>
    <t xml:space="preserve">2025A</t>
  </si>
  <si>
    <t xml:space="preserve">2026E</t>
  </si>
  <si>
    <t xml:space="preserve">2027E</t>
  </si>
  <si>
    <t xml:space="preserve">2028E</t>
  </si>
  <si>
    <t xml:space="preserve">2029E</t>
  </si>
  <si>
    <t xml:space="preserve">2030E</t>
  </si>
  <si>
    <t xml:space="preserve">2031E</t>
  </si>
  <si>
    <t xml:space="preserve">2032E</t>
  </si>
  <si>
    <t xml:space="preserve">2033E</t>
  </si>
  <si>
    <t xml:space="preserve">2034E</t>
  </si>
  <si>
    <t xml:space="preserve">2035E</t>
  </si>
  <si>
    <t xml:space="preserve">Year index (for discounting)</t>
  </si>
  <si>
    <t xml:space="preserve">Revenue growth YoY</t>
  </si>
  <si>
    <t xml:space="preserve">Adj EBITDA margin (pre-SBC, pre-content amort)</t>
  </si>
  <si>
    <t xml:space="preserve">Adjusted EBITDA</t>
  </si>
  <si>
    <t xml:space="preserve">SBC (% of revenue)</t>
  </si>
  <si>
    <t xml:space="preserve">SBC (incl. equity-award taxes)</t>
  </si>
  <si>
    <t xml:space="preserve">EBITDA less SBC ('owner EBITDA')</t>
  </si>
  <si>
    <t xml:space="preserve">D&amp;A (content amortisation + PP&amp;E)</t>
  </si>
  <si>
    <t xml:space="preserve">EBIT (SBC expensed) = reported operating income</t>
  </si>
  <si>
    <t xml:space="preserve">NOPAT</t>
  </si>
  <si>
    <t xml:space="preserve">add: D&amp;A</t>
  </si>
  <si>
    <t xml:space="preserve">less: capex (content cash spend + PP&amp;E)</t>
  </si>
  <si>
    <t xml:space="preserve">add: working capital</t>
  </si>
  <si>
    <t xml:space="preserve">Unlevered owner FCF</t>
  </si>
  <si>
    <t xml:space="preserve">Discount factor</t>
  </si>
  <si>
    <t xml:space="preserve">PV of FCF</t>
  </si>
  <si>
    <t xml:space="preserve">Memo: FCF before SBC (company-style)</t>
  </si>
  <si>
    <t xml:space="preserve">Memo: implied owner FCF margin</t>
  </si>
  <si>
    <t xml:space="preserve">Valuation</t>
  </si>
  <si>
    <t xml:space="preserve">PV of FCF, explicit years</t>
  </si>
  <si>
    <t xml:space="preserve">Terminal-year owner FCF x (1+g)</t>
  </si>
  <si>
    <t xml:space="preserve">Terminal value - Gordon</t>
  </si>
  <si>
    <t xml:space="preserve">Terminal value - cap</t>
  </si>
  <si>
    <t xml:space="preserve">Terminal value used (lower of the two)</t>
  </si>
  <si>
    <t xml:space="preserve">Implied exit multiple</t>
  </si>
  <si>
    <t xml:space="preserve">PV of terminal value</t>
  </si>
  <si>
    <t xml:space="preserve">Enterprise value</t>
  </si>
  <si>
    <t xml:space="preserve">add: net cash / (net debt)</t>
  </si>
  <si>
    <t xml:space="preserve">Equity value</t>
  </si>
  <si>
    <t xml:space="preserve">Value per share</t>
  </si>
  <si>
    <t xml:space="preserve">Upside / (downside) vs current price</t>
  </si>
  <si>
    <t xml:space="preserve">Memo: PV of explicit-period SBC</t>
  </si>
  <si>
    <t xml:space="preserve">  plus PV of terminal SBC</t>
  </si>
  <si>
    <t xml:space="preserve">  Value per share, SBC as non-cash (street)</t>
  </si>
  <si>
    <t xml:space="preserve">INVESTMENT DRIVERS (per-year) - feed rows 12 and 17</t>
  </si>
  <si>
    <t xml:space="preserve">Content amortisation (% of revenue)</t>
  </si>
  <si>
    <t xml:space="preserve">PP&amp;E D&amp;A (% of revenue)</t>
  </si>
  <si>
    <t xml:space="preserve">Content cash spend / amortisation (x)</t>
  </si>
  <si>
    <t xml:space="preserve">PP&amp;E capex (% of revenue)</t>
  </si>
  <si>
    <t xml:space="preserve">Memo: content amortisation ($mm)</t>
  </si>
  <si>
    <t xml:space="preserve">Memo: content cash spend ($mm)</t>
  </si>
  <si>
    <t xml:space="preserve">Memo: content spend above amortisation ($mm)</t>
  </si>
  <si>
    <t xml:space="preserve">Rows 12 and 17 are driven from rows 46-49 above, not from the Assumptions tab. This is a documented deviation from the shipped engine: for Netflix, content amortisation and content cash spend dominate every other investment flow, and their convergence is the biggest single swing factor in the model, so both need to be per-year and per-scenario. Row 13 EBIT therefore reconciles to reported GAAP operating income by construction.</t>
  </si>
  <si>
    <t xml:space="preserve">NFLX DCF - Base - monetisation carries it while volume flatlines</t>
  </si>
  <si>
    <t xml:space="preserve">NFLX DCF - Bull - Netflix becomes the aggregation layer</t>
  </si>
  <si>
    <t xml:space="preserve">NFLX - Valuation Summary &amp; Sensitivity</t>
  </si>
  <si>
    <t xml:space="preserve">Owner-FCF basis (SBC expensed) unless marked street. Green = links.</t>
  </si>
  <si>
    <t xml:space="preserve">Upside / (downside) vs price</t>
  </si>
  <si>
    <t xml:space="preserve">Probability</t>
  </si>
  <si>
    <t xml:space="preserve">Value per share, SBC as non-cash (street)</t>
  </si>
  <si>
    <t xml:space="preserve">Probability-weighted value per share</t>
  </si>
  <si>
    <t xml:space="preserve">Current price</t>
  </si>
  <si>
    <t xml:space="preserve">Margin of safety vs weighted value</t>
  </si>
  <si>
    <t xml:space="preserve">negative = price is ABOVE the weighted value</t>
  </si>
  <si>
    <t xml:space="preserve">Weighted value, SBC as non-cash (street)</t>
  </si>
  <si>
    <t xml:space="preserve">Band position (0%=house, 100%=street)</t>
  </si>
  <si>
    <t xml:space="preserve">above 100% means the price exceeds even the street convention</t>
  </si>
  <si>
    <t xml:space="preserve">Base case - value per share at different required returns</t>
  </si>
  <si>
    <t xml:space="preserve">Required return</t>
  </si>
  <si>
    <t xml:space="preserve">Value / share</t>
  </si>
  <si>
    <t xml:space="preserve">vs price</t>
  </si>
  <si>
    <t xml:space="preserve">The price implies a Base-case IRR of roughly 8.8%,</t>
  </si>
  <si>
    <t xml:space="preserve">and a probability-weighted IRR of roughly 9.1%.</t>
  </si>
  <si>
    <t xml:space="preserve">That is the cleanest way to read this model:</t>
  </si>
  <si>
    <t xml:space="preserve">not 'wrong price' but 'this is the return on offer'.</t>
  </si>
  <si>
    <t xml:space="preserve">15%-hurdle entry per scenario + weighted</t>
  </si>
  <si>
    <t xml:space="preserve">model buy-below price at a 15% hurdle</t>
  </si>
  <si>
    <t xml:space="preserve">  same, street basis</t>
  </si>
  <si>
    <t xml:space="preserve">Base case - value per share: WACC x terminal growth</t>
  </si>
  <si>
    <t xml:space="preserve">WACC \ g</t>
  </si>
  <si>
    <t xml:space="preserve">Swing factors on the Base case (computed offline, for orientation)</t>
  </si>
  <si>
    <t xml:space="preserve">Base as built</t>
  </si>
  <si>
    <t xml:space="preserve">content ratio fading 1.10x to 1.02x; cash tax to 21%</t>
  </si>
  <si>
    <t xml:space="preserve">if content cash spend stays at 1.10x forever</t>
  </si>
  <si>
    <t xml:space="preserve">the Bear content assumption applied to Base operations</t>
  </si>
  <si>
    <t xml:space="preserve">if content cash spend converges to 1.00x by 2030</t>
  </si>
  <si>
    <t xml:space="preserve">the Bull content assumption applied to Base operations</t>
  </si>
  <si>
    <t xml:space="preserve">if cash tax normalises to 18% rather than 21%</t>
  </si>
  <si>
    <t xml:space="preserve">Netflix's low rate is structural, not an expiring NOL</t>
  </si>
  <si>
    <t xml:space="preserve">The content wedge is worth about $6/share across its plausible range - real, but less than the discount rate, which moves the Base case from $77.85 at 8.5% to $44.82 at 12%.</t>
  </si>
</sst>
</file>

<file path=xl/styles.xml><?xml version="1.0" encoding="utf-8"?>
<styleSheet xmlns="http://schemas.openxmlformats.org/spreadsheetml/2006/main">
  <numFmts count="11">
    <numFmt numFmtId="164" formatCode="General"/>
    <numFmt numFmtId="165" formatCode="\$#,##0;&quot;($&quot;#,##0\);\-"/>
    <numFmt numFmtId="166" formatCode="0.0%"/>
    <numFmt numFmtId="167" formatCode="\$#,##0.00;&quot;($&quot;#,##0.00\);\-"/>
    <numFmt numFmtId="168" formatCode="#,##0.0"/>
    <numFmt numFmtId="169" formatCode="0.000\x"/>
    <numFmt numFmtId="170" formatCode="\$#,##0.0;&quot;($&quot;#,##0.0\);\-"/>
    <numFmt numFmtId="171" formatCode="0\x"/>
    <numFmt numFmtId="172" formatCode="0.00%"/>
    <numFmt numFmtId="173" formatCode="0.000"/>
    <numFmt numFmtId="174" formatCode="0.0\x"/>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i val="true"/>
      <sz val="9"/>
      <color rgb="FF404040"/>
      <name val="Arial"/>
      <family val="0"/>
      <charset val="1"/>
    </font>
    <font>
      <b val="true"/>
      <sz val="11"/>
      <name val="Arial"/>
      <family val="0"/>
      <charset val="1"/>
    </font>
    <font>
      <b val="true"/>
      <sz val="10"/>
      <color rgb="FFFFFFFF"/>
      <name val="Arial"/>
      <family val="0"/>
      <charset val="1"/>
    </font>
    <font>
      <sz val="10"/>
      <color rgb="FF0000FF"/>
      <name val="Arial"/>
      <family val="0"/>
      <charset val="1"/>
    </font>
    <font>
      <b val="true"/>
      <sz val="10"/>
      <color rgb="FF0000FF"/>
      <name val="Arial"/>
      <family val="0"/>
      <charset val="1"/>
    </font>
    <font>
      <sz val="10"/>
      <name val="Arial"/>
      <family val="0"/>
      <charset val="1"/>
    </font>
    <font>
      <i val="true"/>
      <sz val="8"/>
      <color rgb="FF808080"/>
      <name val="Arial"/>
      <family val="0"/>
      <charset val="1"/>
    </font>
    <font>
      <sz val="10"/>
      <color rgb="FF008000"/>
      <name val="Arial"/>
      <family val="0"/>
      <charset val="1"/>
    </font>
  </fonts>
  <fills count="5">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70" fontId="10" fillId="3" borderId="0" xfId="0" applyFont="true" applyBorder="false" applyAlignment="false" applyProtection="false">
      <alignment horizontal="general" vertical="bottom" textRotation="0" wrapText="false" indent="0" shrinkToFit="false"/>
      <protection locked="true" hidden="false"/>
    </xf>
    <xf numFmtId="168" fontId="10" fillId="3" borderId="0" xfId="0" applyFont="true" applyBorder="fals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71" fontId="10" fillId="3"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10" fillId="3"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16.15" hidden="false" customHeight="false" outlineLevel="0" collapsed="false">
      <c r="A1" s="1" t="s">
        <v>0</v>
      </c>
    </row>
    <row r="3" customFormat="false" ht="32.8" hidden="false" customHeight="false" outlineLevel="0" collapsed="false">
      <c r="A3" s="2" t="s">
        <v>1</v>
      </c>
      <c r="B3" s="3" t="s">
        <v>2</v>
      </c>
    </row>
    <row r="5" customFormat="false" ht="15" hidden="false" customHeight="false" outlineLevel="0" collapsed="false">
      <c r="A5" s="4" t="s">
        <v>3</v>
      </c>
    </row>
    <row r="6" customFormat="false" ht="45.75" hidden="false" customHeight="true" outlineLevel="0" collapsed="false">
      <c r="A6" s="2" t="s">
        <v>4</v>
      </c>
      <c r="B6" s="3" t="s">
        <v>5</v>
      </c>
    </row>
    <row r="7" customFormat="false" ht="45.75" hidden="false" customHeight="true" outlineLevel="0" collapsed="false">
      <c r="A7" s="2" t="s">
        <v>6</v>
      </c>
      <c r="B7" s="3" t="s">
        <v>7</v>
      </c>
    </row>
    <row r="8" customFormat="false" ht="45.75" hidden="false" customHeight="true" outlineLevel="0" collapsed="false">
      <c r="A8" s="2" t="s">
        <v>8</v>
      </c>
      <c r="B8" s="3" t="s">
        <v>9</v>
      </c>
    </row>
    <row r="9" customFormat="false" ht="45.75" hidden="false" customHeight="true" outlineLevel="0" collapsed="false">
      <c r="A9" s="2" t="s">
        <v>10</v>
      </c>
      <c r="B9" s="3" t="s">
        <v>11</v>
      </c>
    </row>
    <row r="10" customFormat="false" ht="45.75" hidden="false" customHeight="true" outlineLevel="0" collapsed="false">
      <c r="A10" s="2" t="s">
        <v>12</v>
      </c>
      <c r="B10" s="3" t="s">
        <v>13</v>
      </c>
    </row>
    <row r="11" customFormat="false" ht="45.75" hidden="false" customHeight="true" outlineLevel="0" collapsed="false">
      <c r="A11" s="2" t="s">
        <v>14</v>
      </c>
      <c r="B11" s="3" t="s">
        <v>15</v>
      </c>
    </row>
    <row r="12" customFormat="false" ht="45.75" hidden="false" customHeight="true" outlineLevel="0" collapsed="false">
      <c r="A12" s="2" t="s">
        <v>16</v>
      </c>
      <c r="B12" s="3" t="s">
        <v>17</v>
      </c>
    </row>
    <row r="14" customFormat="false" ht="15" hidden="false" customHeight="false" outlineLevel="0" collapsed="false">
      <c r="A14" s="4" t="s">
        <v>18</v>
      </c>
    </row>
    <row r="15" customFormat="false" ht="73.5" hidden="false" customHeight="true" outlineLevel="0" collapsed="false">
      <c r="A15" s="2" t="s">
        <v>19</v>
      </c>
      <c r="B15" s="3" t="s">
        <v>20</v>
      </c>
    </row>
    <row r="16" customFormat="false" ht="73.5" hidden="false" customHeight="true" outlineLevel="0" collapsed="false">
      <c r="A16" s="2" t="s">
        <v>21</v>
      </c>
      <c r="B16" s="3" t="s">
        <v>22</v>
      </c>
    </row>
    <row r="17" customFormat="false" ht="45.75" hidden="false" customHeight="true" outlineLevel="0" collapsed="false">
      <c r="A17" s="2" t="s">
        <v>23</v>
      </c>
      <c r="B17" s="3" t="s">
        <v>24</v>
      </c>
    </row>
    <row r="18" customFormat="false" ht="60" hidden="false" customHeight="true" outlineLevel="0" collapsed="false">
      <c r="A18" s="2" t="s">
        <v>25</v>
      </c>
      <c r="B18" s="3" t="s">
        <v>26</v>
      </c>
    </row>
    <row r="19" customFormat="false" ht="60" hidden="false" customHeight="true" outlineLevel="0" collapsed="false">
      <c r="A19" s="2" t="s">
        <v>27</v>
      </c>
      <c r="B19" s="3" t="s">
        <v>28</v>
      </c>
    </row>
    <row r="20" customFormat="false" ht="60" hidden="false" customHeight="true" outlineLevel="0" collapsed="false">
      <c r="A20" s="2" t="s">
        <v>29</v>
      </c>
      <c r="B20" s="3" t="s">
        <v>30</v>
      </c>
    </row>
    <row r="21" customFormat="false" ht="60" hidden="false" customHeight="true" outlineLevel="0" collapsed="false">
      <c r="A21" s="2" t="s">
        <v>31</v>
      </c>
      <c r="B21" s="3" t="s">
        <v>32</v>
      </c>
    </row>
    <row r="22" customFormat="false" ht="60" hidden="false" customHeight="true" outlineLevel="0" collapsed="false">
      <c r="A22" s="2" t="s">
        <v>33</v>
      </c>
      <c r="B22" s="3" t="s">
        <v>34</v>
      </c>
    </row>
    <row r="23" customFormat="false" ht="87.75" hidden="false" customHeight="true" outlineLevel="0" collapsed="false">
      <c r="A23" s="2" t="s">
        <v>35</v>
      </c>
      <c r="B23" s="3" t="s">
        <v>36</v>
      </c>
    </row>
    <row r="25" customFormat="false" ht="15" hidden="false" customHeight="false" outlineLevel="0" collapsed="false">
      <c r="A25" s="4" t="s">
        <v>37</v>
      </c>
    </row>
    <row r="26" customFormat="false" ht="60" hidden="false" customHeight="true" outlineLevel="0" collapsed="false">
      <c r="A26" s="2" t="s">
        <v>38</v>
      </c>
      <c r="B26" s="3" t="s">
        <v>39</v>
      </c>
    </row>
    <row r="27" customFormat="false" ht="60" hidden="false" customHeight="true" outlineLevel="0" collapsed="false">
      <c r="A27" s="2" t="s">
        <v>40</v>
      </c>
      <c r="B27" s="3" t="s">
        <v>41</v>
      </c>
    </row>
    <row r="28" customFormat="false" ht="60" hidden="false" customHeight="true" outlineLevel="0" collapsed="false">
      <c r="A28" s="2" t="s">
        <v>42</v>
      </c>
      <c r="B28" s="3" t="s">
        <v>43</v>
      </c>
    </row>
    <row r="29" customFormat="false" ht="15" hidden="false" customHeight="false" outlineLevel="0" collapsed="false">
      <c r="A29" s="2" t="s">
        <v>44</v>
      </c>
      <c r="B29" s="3" t="s">
        <v>45</v>
      </c>
    </row>
    <row r="31" customFormat="false" ht="15" hidden="false" customHeight="false" outlineLevel="0" collapsed="false">
      <c r="A31" s="2" t="s">
        <v>46</v>
      </c>
      <c r="B31" s="3"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2" style="0" width="13"/>
    <col collapsed="false" customWidth="true" hidden="false" outlineLevel="0" max="8" min="8" style="0" width="66"/>
  </cols>
  <sheetData>
    <row r="1" customFormat="false" ht="16.15" hidden="false" customHeight="false" outlineLevel="0" collapsed="false">
      <c r="A1" s="1" t="s">
        <v>48</v>
      </c>
    </row>
    <row r="2" customFormat="false" ht="15" hidden="false" customHeight="false" outlineLevel="0" collapsed="false">
      <c r="A2" s="5" t="s">
        <v>49</v>
      </c>
    </row>
    <row r="4" customFormat="false" ht="15" hidden="false" customHeight="false" outlineLevel="0" collapsed="false">
      <c r="A4" s="4" t="s">
        <v>50</v>
      </c>
      <c r="B4" s="6" t="s">
        <v>51</v>
      </c>
      <c r="C4" s="6" t="s">
        <v>52</v>
      </c>
      <c r="D4" s="6" t="s">
        <v>53</v>
      </c>
      <c r="E4" s="6" t="s">
        <v>54</v>
      </c>
      <c r="F4" s="6" t="s">
        <v>55</v>
      </c>
      <c r="G4" s="6" t="s">
        <v>56</v>
      </c>
      <c r="H4" s="6" t="s">
        <v>57</v>
      </c>
    </row>
    <row r="5" customFormat="false" ht="15" hidden="false" customHeight="false" outlineLevel="0" collapsed="false">
      <c r="A5" s="2" t="s">
        <v>58</v>
      </c>
      <c r="B5" s="7" t="n">
        <v>11079</v>
      </c>
      <c r="C5" s="7" t="n">
        <v>11510</v>
      </c>
      <c r="D5" s="7" t="n">
        <v>12051</v>
      </c>
      <c r="E5" s="7" t="n">
        <v>12250</v>
      </c>
      <c r="F5" s="7" t="n">
        <v>12560</v>
      </c>
      <c r="G5" s="7" t="n">
        <v>12860</v>
      </c>
      <c r="H5" s="5" t="s">
        <v>59</v>
      </c>
    </row>
    <row r="6" customFormat="false" ht="15" hidden="false" customHeight="false" outlineLevel="0" collapsed="false">
      <c r="A6" s="2" t="s">
        <v>60</v>
      </c>
      <c r="B6" s="8" t="n">
        <v>0.159</v>
      </c>
      <c r="C6" s="8" t="n">
        <v>0.172</v>
      </c>
      <c r="D6" s="8" t="n">
        <v>0.176</v>
      </c>
      <c r="E6" s="8" t="n">
        <v>0.162</v>
      </c>
      <c r="F6" s="8" t="n">
        <v>0.134</v>
      </c>
      <c r="G6" s="8" t="n">
        <v>0.117</v>
      </c>
      <c r="H6" s="5" t="s">
        <v>61</v>
      </c>
    </row>
    <row r="7" customFormat="false" ht="15" hidden="false" customHeight="false" outlineLevel="0" collapsed="false">
      <c r="A7" s="2" t="s">
        <v>62</v>
      </c>
      <c r="B7" s="7" t="n">
        <v>3775</v>
      </c>
      <c r="C7" s="7" t="n">
        <v>3248</v>
      </c>
      <c r="D7" s="7" t="n">
        <v>2957</v>
      </c>
      <c r="E7" s="7" t="n">
        <v>3957</v>
      </c>
      <c r="F7" s="7" t="n">
        <v>4193</v>
      </c>
      <c r="G7" s="7" t="n">
        <v>4268</v>
      </c>
      <c r="H7" s="5" t="s">
        <v>63</v>
      </c>
    </row>
    <row r="8" customFormat="false" ht="15" hidden="false" customHeight="false" outlineLevel="0" collapsed="false">
      <c r="A8" s="2" t="s">
        <v>64</v>
      </c>
      <c r="B8" s="8" t="n">
        <v>0.341</v>
      </c>
      <c r="C8" s="8" t="n">
        <v>0.282</v>
      </c>
      <c r="D8" s="8" t="n">
        <v>0.245</v>
      </c>
      <c r="E8" s="8" t="n">
        <v>0.323</v>
      </c>
      <c r="F8" s="8" t="n">
        <v>0.334</v>
      </c>
      <c r="G8" s="8" t="n">
        <v>0.332</v>
      </c>
      <c r="H8" s="5" t="s">
        <v>65</v>
      </c>
    </row>
    <row r="9" customFormat="false" ht="15" hidden="false" customHeight="false" outlineLevel="0" collapsed="false">
      <c r="A9" s="2" t="s">
        <v>66</v>
      </c>
      <c r="B9" s="7" t="n">
        <v>3125</v>
      </c>
      <c r="C9" s="7" t="n">
        <v>2547</v>
      </c>
      <c r="D9" s="7" t="n">
        <v>2419</v>
      </c>
      <c r="E9" s="7" t="n">
        <v>5283</v>
      </c>
      <c r="F9" s="7" t="n">
        <v>3401</v>
      </c>
      <c r="G9" s="7" t="n">
        <v>3452</v>
      </c>
      <c r="H9" s="5" t="s">
        <v>67</v>
      </c>
    </row>
    <row r="10" customFormat="false" ht="15" hidden="false" customHeight="false" outlineLevel="0" collapsed="false">
      <c r="A10" s="2" t="s">
        <v>68</v>
      </c>
      <c r="B10" s="9" t="n">
        <v>0.72</v>
      </c>
      <c r="C10" s="9" t="n">
        <v>0.59</v>
      </c>
      <c r="D10" s="9" t="n">
        <v>0.56</v>
      </c>
      <c r="E10" s="9" t="n">
        <v>1.23</v>
      </c>
      <c r="F10" s="9" t="n">
        <v>0.8</v>
      </c>
      <c r="G10" s="9" t="n">
        <v>0.82</v>
      </c>
      <c r="H10" s="5" t="s">
        <v>69</v>
      </c>
    </row>
    <row r="11" customFormat="false" ht="15" hidden="false" customHeight="false" outlineLevel="0" collapsed="false">
      <c r="A11" s="2" t="s">
        <v>70</v>
      </c>
      <c r="B11" s="7" t="n">
        <v>2267</v>
      </c>
      <c r="C11" s="7" t="n">
        <v>2660</v>
      </c>
      <c r="D11" s="7" t="n">
        <v>1872</v>
      </c>
      <c r="E11" s="7" t="n">
        <v>5094</v>
      </c>
      <c r="F11" s="7" t="n">
        <v>1525</v>
      </c>
      <c r="H11" s="5" t="s">
        <v>71</v>
      </c>
    </row>
    <row r="12" customFormat="false" ht="15" hidden="false" customHeight="false" outlineLevel="0" collapsed="false">
      <c r="A12" s="2" t="s">
        <v>72</v>
      </c>
      <c r="B12" s="10" t="n">
        <v>4349</v>
      </c>
      <c r="C12" s="10" t="n">
        <v>4340</v>
      </c>
      <c r="D12" s="10" t="n">
        <v>4317</v>
      </c>
      <c r="E12" s="10" t="n">
        <v>4298</v>
      </c>
      <c r="F12" s="10" t="n">
        <v>4261</v>
      </c>
      <c r="H12" s="5" t="s">
        <v>73</v>
      </c>
    </row>
    <row r="14" customFormat="false" ht="15" hidden="false" customHeight="false" outlineLevel="0" collapsed="false">
      <c r="A14" s="4" t="s">
        <v>74</v>
      </c>
      <c r="B14" s="6" t="s">
        <v>75</v>
      </c>
      <c r="C14" s="6" t="s">
        <v>76</v>
      </c>
      <c r="D14" s="6" t="s">
        <v>77</v>
      </c>
      <c r="H14" s="6" t="s">
        <v>78</v>
      </c>
    </row>
    <row r="15" customFormat="false" ht="15" hidden="false" customHeight="false" outlineLevel="0" collapsed="false">
      <c r="A15" s="2" t="s">
        <v>58</v>
      </c>
      <c r="B15" s="7" t="n">
        <v>39001</v>
      </c>
      <c r="C15" s="7" t="n">
        <v>45183</v>
      </c>
      <c r="D15" s="7" t="n">
        <v>51200</v>
      </c>
      <c r="H15" s="5" t="s">
        <v>79</v>
      </c>
    </row>
    <row r="16" customFormat="false" ht="15" hidden="false" customHeight="false" outlineLevel="0" collapsed="false">
      <c r="A16" s="2" t="s">
        <v>60</v>
      </c>
      <c r="B16" s="8" t="n">
        <v>0.16</v>
      </c>
      <c r="C16" s="8" t="n">
        <v>0.159</v>
      </c>
      <c r="D16" s="8" t="n">
        <v>0.133</v>
      </c>
      <c r="H16" s="5" t="s">
        <v>80</v>
      </c>
    </row>
    <row r="17" customFormat="false" ht="15" hidden="false" customHeight="false" outlineLevel="0" collapsed="false">
      <c r="A17" s="2" t="s">
        <v>62</v>
      </c>
      <c r="B17" s="7" t="n">
        <v>10417.6</v>
      </c>
      <c r="C17" s="7" t="n">
        <v>13326.6</v>
      </c>
      <c r="D17" s="7" t="n">
        <v>16128</v>
      </c>
      <c r="H17" s="5" t="s">
        <v>81</v>
      </c>
    </row>
    <row r="18" customFormat="false" ht="15" hidden="false" customHeight="false" outlineLevel="0" collapsed="false">
      <c r="A18" s="2" t="s">
        <v>64</v>
      </c>
      <c r="B18" s="8" t="n">
        <v>0.267</v>
      </c>
      <c r="C18" s="8" t="n">
        <v>0.295</v>
      </c>
      <c r="D18" s="8" t="n">
        <v>0.315</v>
      </c>
      <c r="H18" s="5" t="s">
        <v>82</v>
      </c>
    </row>
    <row r="19" customFormat="false" ht="15" hidden="false" customHeight="false" outlineLevel="0" collapsed="false">
      <c r="A19" s="2" t="s">
        <v>66</v>
      </c>
      <c r="B19" s="7" t="n">
        <v>8711.6</v>
      </c>
      <c r="C19" s="7" t="n">
        <v>10981.2</v>
      </c>
      <c r="H19" s="5" t="s">
        <v>83</v>
      </c>
    </row>
    <row r="20" customFormat="false" ht="15" hidden="false" customHeight="false" outlineLevel="0" collapsed="false">
      <c r="A20" s="2" t="s">
        <v>68</v>
      </c>
      <c r="B20" s="9" t="n">
        <v>1.98</v>
      </c>
      <c r="C20" s="9" t="n">
        <v>2.53</v>
      </c>
      <c r="H20" s="5" t="s">
        <v>84</v>
      </c>
    </row>
    <row r="21" customFormat="false" ht="15" hidden="false" customHeight="false" outlineLevel="0" collapsed="false">
      <c r="A21" s="2" t="s">
        <v>85</v>
      </c>
      <c r="B21" s="7" t="n">
        <v>7361.4</v>
      </c>
      <c r="C21" s="7" t="n">
        <v>10149.3</v>
      </c>
      <c r="H21" s="5" t="s">
        <v>86</v>
      </c>
    </row>
    <row r="22" customFormat="false" ht="15" hidden="false" customHeight="false" outlineLevel="0" collapsed="false">
      <c r="A22" s="2" t="s">
        <v>87</v>
      </c>
      <c r="B22" s="7" t="n">
        <v>439.5</v>
      </c>
      <c r="C22" s="7" t="n">
        <v>688.2</v>
      </c>
      <c r="D22" s="7" t="n">
        <v>900</v>
      </c>
      <c r="H22" s="5" t="s">
        <v>88</v>
      </c>
    </row>
    <row r="23" customFormat="false" ht="15" hidden="false" customHeight="false" outlineLevel="0" collapsed="false">
      <c r="A23" s="2" t="s">
        <v>89</v>
      </c>
      <c r="B23" s="7" t="n">
        <v>6921.8</v>
      </c>
      <c r="C23" s="7" t="n">
        <v>9461.1</v>
      </c>
      <c r="D23" s="7" t="n">
        <v>12500</v>
      </c>
      <c r="H23" s="5" t="s">
        <v>90</v>
      </c>
    </row>
    <row r="24" customFormat="false" ht="15" hidden="false" customHeight="false" outlineLevel="0" collapsed="false">
      <c r="A24" s="2" t="s">
        <v>91</v>
      </c>
      <c r="B24" s="7" t="n">
        <v>0</v>
      </c>
      <c r="C24" s="7" t="n">
        <v>0</v>
      </c>
      <c r="D24" s="7" t="n">
        <v>-2142</v>
      </c>
      <c r="H24" s="5" t="s">
        <v>92</v>
      </c>
    </row>
    <row r="25" customFormat="false" ht="15" hidden="false" customHeight="false" outlineLevel="0" collapsed="false">
      <c r="A25" s="2" t="s">
        <v>93</v>
      </c>
      <c r="B25" s="7" t="n">
        <v>6921.8</v>
      </c>
      <c r="C25" s="7" t="n">
        <v>9461.1</v>
      </c>
      <c r="D25" s="7" t="n">
        <v>10358</v>
      </c>
      <c r="H25" s="5" t="s">
        <v>94</v>
      </c>
    </row>
    <row r="26" customFormat="false" ht="15" hidden="false" customHeight="false" outlineLevel="0" collapsed="false">
      <c r="A26" s="2" t="s">
        <v>95</v>
      </c>
      <c r="B26" s="7" t="n">
        <v>272.6</v>
      </c>
      <c r="C26" s="7" t="n">
        <v>368.4</v>
      </c>
      <c r="D26" s="7" t="n">
        <v>620</v>
      </c>
      <c r="H26" s="5" t="s">
        <v>96</v>
      </c>
    </row>
    <row r="27" customFormat="false" ht="15" hidden="false" customHeight="false" outlineLevel="0" collapsed="false">
      <c r="A27" s="2" t="s">
        <v>97</v>
      </c>
      <c r="B27" s="7" t="n">
        <v>16223.6</v>
      </c>
      <c r="C27" s="7" t="n">
        <v>17096.6</v>
      </c>
      <c r="H27" s="5" t="s">
        <v>98</v>
      </c>
    </row>
    <row r="28" customFormat="false" ht="15" hidden="false" customHeight="false" outlineLevel="0" collapsed="false">
      <c r="A28" s="2" t="s">
        <v>99</v>
      </c>
      <c r="B28" s="7" t="n">
        <v>-779.1</v>
      </c>
      <c r="C28" s="7" t="n">
        <v>-610.8</v>
      </c>
      <c r="H28" s="5" t="s">
        <v>98</v>
      </c>
    </row>
    <row r="29" customFormat="false" ht="15" hidden="false" customHeight="false" outlineLevel="0" collapsed="false">
      <c r="A29" s="2" t="s">
        <v>100</v>
      </c>
      <c r="B29" s="7" t="n">
        <v>17002.7</v>
      </c>
      <c r="C29" s="7" t="n">
        <v>17707.4</v>
      </c>
      <c r="D29" s="7" t="n">
        <v>19870</v>
      </c>
      <c r="H29" s="5" t="s">
        <v>101</v>
      </c>
    </row>
    <row r="30" customFormat="false" ht="15" hidden="false" customHeight="false" outlineLevel="0" collapsed="false">
      <c r="A30" s="2" t="s">
        <v>102</v>
      </c>
      <c r="B30" s="7" t="n">
        <v>15301.5</v>
      </c>
      <c r="C30" s="7" t="n">
        <v>16422.2</v>
      </c>
      <c r="D30" s="7" t="n">
        <v>18064.4</v>
      </c>
      <c r="H30" s="5" t="s">
        <v>103</v>
      </c>
    </row>
    <row r="31" customFormat="false" ht="15" hidden="false" customHeight="false" outlineLevel="0" collapsed="false">
      <c r="A31" s="2" t="s">
        <v>104</v>
      </c>
      <c r="B31" s="11" t="n">
        <v>1.111</v>
      </c>
      <c r="C31" s="11" t="n">
        <v>1.078</v>
      </c>
      <c r="D31" s="11" t="n">
        <v>1.1</v>
      </c>
      <c r="H31" s="5" t="s">
        <v>105</v>
      </c>
    </row>
    <row r="32" customFormat="false" ht="15" hidden="false" customHeight="false" outlineLevel="0" collapsed="false">
      <c r="A32" s="2" t="s">
        <v>106</v>
      </c>
      <c r="B32" s="7" t="n">
        <v>1254</v>
      </c>
      <c r="C32" s="7" t="n">
        <v>1741.4</v>
      </c>
      <c r="H32" s="5" t="s">
        <v>107</v>
      </c>
    </row>
    <row r="33" customFormat="false" ht="15" hidden="false" customHeight="false" outlineLevel="0" collapsed="false">
      <c r="A33" s="2" t="s">
        <v>108</v>
      </c>
      <c r="B33" s="7" t="n">
        <v>-590.7</v>
      </c>
      <c r="C33" s="7" t="n">
        <v>-442.1</v>
      </c>
      <c r="H33" s="5" t="s">
        <v>98</v>
      </c>
    </row>
    <row r="34" customFormat="false" ht="15" hidden="false" customHeight="false" outlineLevel="0" collapsed="false">
      <c r="A34" s="2" t="s">
        <v>109</v>
      </c>
      <c r="B34" s="7" t="n">
        <v>1844.7</v>
      </c>
      <c r="C34" s="7" t="n">
        <v>2183.5</v>
      </c>
      <c r="H34" s="5" t="s">
        <v>110</v>
      </c>
    </row>
    <row r="35" customFormat="false" ht="15" hidden="false" customHeight="false" outlineLevel="0" collapsed="false">
      <c r="A35" s="2" t="s">
        <v>111</v>
      </c>
      <c r="B35" s="8" t="n">
        <v>0.177</v>
      </c>
      <c r="C35" s="8" t="n">
        <v>0.164</v>
      </c>
      <c r="D35" s="8" t="n">
        <v>0.17</v>
      </c>
      <c r="H35" s="5" t="s">
        <v>112</v>
      </c>
    </row>
    <row r="37" customFormat="false" ht="15" hidden="false" customHeight="false" outlineLevel="0" collapsed="false">
      <c r="A37" s="4" t="s">
        <v>113</v>
      </c>
    </row>
    <row r="38" customFormat="false" ht="15" hidden="false" customHeight="false" outlineLevel="0" collapsed="false">
      <c r="A38" s="2" t="s">
        <v>114</v>
      </c>
      <c r="B38" s="7" t="n">
        <v>9099.2</v>
      </c>
      <c r="H38" s="5" t="s">
        <v>63</v>
      </c>
    </row>
    <row r="39" customFormat="false" ht="15" hidden="false" customHeight="false" outlineLevel="0" collapsed="false">
      <c r="A39" s="2" t="s">
        <v>115</v>
      </c>
      <c r="B39" s="7" t="n">
        <v>28.7</v>
      </c>
      <c r="H39" s="5" t="s">
        <v>63</v>
      </c>
    </row>
    <row r="40" customFormat="false" ht="15" hidden="false" customHeight="false" outlineLevel="0" collapsed="false">
      <c r="A40" s="2" t="s">
        <v>116</v>
      </c>
      <c r="B40" s="7" t="n">
        <v>14309.3</v>
      </c>
      <c r="H40" s="5" t="s">
        <v>117</v>
      </c>
    </row>
    <row r="41" customFormat="false" ht="15" hidden="false" customHeight="false" outlineLevel="0" collapsed="false">
      <c r="A41" s="2" t="s">
        <v>118</v>
      </c>
      <c r="B41" s="7" t="n">
        <v>5244.2</v>
      </c>
      <c r="H41" s="5" t="s">
        <v>119</v>
      </c>
    </row>
    <row r="42" customFormat="false" ht="15" hidden="false" customHeight="false" outlineLevel="0" collapsed="false">
      <c r="A42" s="2" t="s">
        <v>120</v>
      </c>
      <c r="B42" s="7" t="n">
        <v>33837.6</v>
      </c>
      <c r="H42" s="5" t="s">
        <v>121</v>
      </c>
    </row>
    <row r="43" customFormat="false" ht="15" hidden="false" customHeight="false" outlineLevel="0" collapsed="false">
      <c r="A43" s="2" t="s">
        <v>122</v>
      </c>
      <c r="B43" s="7" t="n">
        <v>25106.7</v>
      </c>
      <c r="H43" s="5" t="s">
        <v>123</v>
      </c>
    </row>
    <row r="44" customFormat="false" ht="15" hidden="false" customHeight="false" outlineLevel="0" collapsed="false">
      <c r="A44" s="2" t="s">
        <v>124</v>
      </c>
      <c r="B44" s="7" t="n">
        <v>30152.1</v>
      </c>
      <c r="H44" s="5" t="s">
        <v>121</v>
      </c>
    </row>
    <row r="46" customFormat="false" ht="15" hidden="false" customHeight="false" outlineLevel="0" collapsed="false">
      <c r="A46" s="4" t="s">
        <v>125</v>
      </c>
    </row>
    <row r="47" customFormat="false" ht="15" hidden="false" customHeight="false" outlineLevel="0" collapsed="false">
      <c r="B47" s="6" t="s">
        <v>58</v>
      </c>
      <c r="C47" s="6" t="s">
        <v>126</v>
      </c>
    </row>
    <row r="48" customFormat="false" ht="15" hidden="false" customHeight="false" outlineLevel="0" collapsed="false">
      <c r="A48" s="2" t="s">
        <v>127</v>
      </c>
      <c r="B48" s="7" t="n">
        <v>5431.7</v>
      </c>
      <c r="C48" s="8" t="n">
        <v>0.1</v>
      </c>
      <c r="H48" s="5" t="s">
        <v>128</v>
      </c>
    </row>
    <row r="49" customFormat="false" ht="15" hidden="false" customHeight="false" outlineLevel="0" collapsed="false">
      <c r="A49" s="2" t="s">
        <v>129</v>
      </c>
      <c r="B49" s="7" t="n">
        <v>4033.5</v>
      </c>
      <c r="C49" s="8" t="n">
        <v>0.14</v>
      </c>
      <c r="H49" s="5" t="s">
        <v>130</v>
      </c>
    </row>
    <row r="50" customFormat="false" ht="15" hidden="false" customHeight="false" outlineLevel="0" collapsed="false">
      <c r="A50" s="2" t="s">
        <v>131</v>
      </c>
      <c r="B50" s="7" t="n">
        <v>1584.3</v>
      </c>
      <c r="C50" s="8" t="n">
        <v>0.21</v>
      </c>
      <c r="H50" s="5" t="s">
        <v>132</v>
      </c>
    </row>
    <row r="51" customFormat="false" ht="15" hidden="false" customHeight="false" outlineLevel="0" collapsed="false">
      <c r="A51" s="2" t="s">
        <v>133</v>
      </c>
      <c r="B51" s="7" t="n">
        <v>1510.5</v>
      </c>
      <c r="C51" s="8" t="n">
        <v>0.16</v>
      </c>
      <c r="H51" s="5" t="s">
        <v>134</v>
      </c>
    </row>
    <row r="53" customFormat="false" ht="15" hidden="false" customHeight="false" outlineLevel="0" collapsed="false">
      <c r="A53" s="4" t="s">
        <v>135</v>
      </c>
    </row>
    <row r="54" customFormat="false" ht="15" hidden="false" customHeight="false" outlineLevel="0" collapsed="false">
      <c r="A54" s="2" t="s">
        <v>136</v>
      </c>
      <c r="B54" s="10" t="n">
        <v>301.2</v>
      </c>
      <c r="H54" s="5" t="s">
        <v>137</v>
      </c>
    </row>
    <row r="55" customFormat="false" ht="15" hidden="false" customHeight="false" outlineLevel="0" collapsed="false">
      <c r="A55" s="2" t="s">
        <v>138</v>
      </c>
      <c r="B55" s="10" t="n">
        <v>325</v>
      </c>
      <c r="H55" s="5" t="s">
        <v>139</v>
      </c>
    </row>
    <row r="56" customFormat="false" ht="15" hidden="false" customHeight="false" outlineLevel="0" collapsed="false">
      <c r="A56" s="2" t="s">
        <v>140</v>
      </c>
      <c r="B56" s="7" t="n">
        <v>1500</v>
      </c>
      <c r="H56" s="5" t="s">
        <v>141</v>
      </c>
    </row>
    <row r="57" customFormat="false" ht="15" hidden="false" customHeight="false" outlineLevel="0" collapsed="false">
      <c r="A57" s="2" t="s">
        <v>142</v>
      </c>
      <c r="B57" s="7" t="n">
        <v>3000</v>
      </c>
      <c r="H57" s="5" t="s">
        <v>143</v>
      </c>
    </row>
    <row r="58" customFormat="false" ht="15" hidden="false" customHeight="false" outlineLevel="0" collapsed="false">
      <c r="A58" s="2" t="s">
        <v>144</v>
      </c>
      <c r="B58" s="10" t="n">
        <v>250</v>
      </c>
      <c r="H58" s="5" t="s">
        <v>145</v>
      </c>
    </row>
    <row r="59" customFormat="false" ht="15" hidden="false" customHeight="false" outlineLevel="0" collapsed="false">
      <c r="A59" s="2" t="s">
        <v>146</v>
      </c>
      <c r="B59" s="10" t="n">
        <v>97</v>
      </c>
      <c r="H59" s="5" t="s">
        <v>147</v>
      </c>
    </row>
    <row r="60" customFormat="false" ht="15" hidden="false" customHeight="false" outlineLevel="0" collapsed="false">
      <c r="A60" s="2" t="s">
        <v>148</v>
      </c>
      <c r="B60" s="8" t="n">
        <v>0.02</v>
      </c>
      <c r="H60" s="5" t="s">
        <v>149</v>
      </c>
    </row>
    <row r="61" customFormat="false" ht="15" hidden="false" customHeight="false" outlineLevel="0" collapsed="false">
      <c r="A61" s="2" t="s">
        <v>150</v>
      </c>
      <c r="B61" s="7" t="n">
        <v>9127.2</v>
      </c>
      <c r="H61" s="5" t="s">
        <v>151</v>
      </c>
    </row>
    <row r="62" customFormat="false" ht="15" hidden="false" customHeight="false" outlineLevel="0" collapsed="false">
      <c r="A62" s="2" t="s">
        <v>152</v>
      </c>
      <c r="B62" s="7" t="n">
        <v>5985</v>
      </c>
      <c r="H62" s="5" t="s">
        <v>153</v>
      </c>
    </row>
    <row r="63" customFormat="false" ht="15" hidden="false" customHeight="false" outlineLevel="0" collapsed="false">
      <c r="A63" s="2" t="s">
        <v>154</v>
      </c>
      <c r="B63" s="7" t="n">
        <v>27100</v>
      </c>
      <c r="H63" s="5" t="s">
        <v>155</v>
      </c>
    </row>
    <row r="65" customFormat="false" ht="15" hidden="false" customHeight="false" outlineLevel="0" collapsed="false">
      <c r="A65" s="4" t="s">
        <v>156</v>
      </c>
    </row>
    <row r="66" customFormat="false" ht="15" hidden="false" customHeight="false" outlineLevel="0" collapsed="false">
      <c r="A66" s="2" t="s">
        <v>157</v>
      </c>
      <c r="B66" s="7" t="n">
        <v>9461.1</v>
      </c>
      <c r="H66" s="5" t="s">
        <v>158</v>
      </c>
    </row>
    <row r="67" customFormat="false" ht="15" hidden="false" customHeight="false" outlineLevel="0" collapsed="false">
      <c r="A67" s="2" t="s">
        <v>159</v>
      </c>
      <c r="B67" s="7" t="n">
        <v>604.1</v>
      </c>
      <c r="H67" s="5" t="s">
        <v>160</v>
      </c>
    </row>
    <row r="68" customFormat="false" ht="15" hidden="false" customHeight="false" outlineLevel="0" collapsed="false">
      <c r="A68" s="2" t="s">
        <v>161</v>
      </c>
      <c r="B68" s="7" t="n">
        <v>-368.4</v>
      </c>
      <c r="H68" s="5" t="s">
        <v>162</v>
      </c>
    </row>
    <row r="69" customFormat="false" ht="15" hidden="false" customHeight="false" outlineLevel="0" collapsed="false">
      <c r="A69" s="2" t="s">
        <v>163</v>
      </c>
      <c r="B69" s="7" t="n">
        <v>-193.8</v>
      </c>
      <c r="H69" s="5" t="s">
        <v>164</v>
      </c>
    </row>
    <row r="70" customFormat="false" ht="15" hidden="false" customHeight="false" outlineLevel="0" collapsed="false">
      <c r="A70" s="2" t="s">
        <v>165</v>
      </c>
      <c r="B70" s="7" t="n">
        <v>9503</v>
      </c>
      <c r="H70" s="5"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2" style="0" width="13"/>
    <col collapsed="false" customWidth="true" hidden="false" outlineLevel="0" max="8" min="8" style="0" width="68"/>
  </cols>
  <sheetData>
    <row r="1" customFormat="false" ht="16.15" hidden="false" customHeight="false" outlineLevel="0" collapsed="false">
      <c r="A1" s="1" t="s">
        <v>167</v>
      </c>
    </row>
    <row r="2" customFormat="false" ht="15" hidden="false" customHeight="false" outlineLevel="0" collapsed="false">
      <c r="A2" s="5" t="s">
        <v>168</v>
      </c>
    </row>
    <row r="4" customFormat="false" ht="15" hidden="false" customHeight="false" outlineLevel="0" collapsed="false">
      <c r="A4" s="4" t="s">
        <v>169</v>
      </c>
    </row>
    <row r="5" customFormat="false" ht="15" hidden="false" customHeight="false" outlineLevel="0" collapsed="false">
      <c r="A5" s="2" t="s">
        <v>170</v>
      </c>
      <c r="B5" s="12" t="n">
        <v>0.105</v>
      </c>
      <c r="H5" s="5" t="s">
        <v>171</v>
      </c>
    </row>
    <row r="6" customFormat="false" ht="15" hidden="false" customHeight="false" outlineLevel="0" collapsed="false">
      <c r="A6" s="2" t="s">
        <v>172</v>
      </c>
      <c r="B6" s="12" t="n">
        <v>0.3709</v>
      </c>
      <c r="H6" s="5" t="s">
        <v>173</v>
      </c>
    </row>
    <row r="7" customFormat="false" ht="15" hidden="false" customHeight="false" outlineLevel="0" collapsed="false">
      <c r="A7" s="2" t="s">
        <v>174</v>
      </c>
      <c r="B7" s="12" t="n">
        <v>0.407053</v>
      </c>
      <c r="H7" s="5" t="s">
        <v>175</v>
      </c>
    </row>
    <row r="8" customFormat="false" ht="15" hidden="false" customHeight="false" outlineLevel="0" collapsed="false">
      <c r="A8" s="2" t="s">
        <v>176</v>
      </c>
      <c r="B8" s="12" t="n">
        <v>-0.04</v>
      </c>
      <c r="H8" s="5" t="s">
        <v>177</v>
      </c>
    </row>
    <row r="9" customFormat="false" ht="15" hidden="false" customHeight="false" outlineLevel="0" collapsed="false">
      <c r="A9" s="2" t="s">
        <v>178</v>
      </c>
      <c r="B9" s="13" t="n">
        <v>-5244.2</v>
      </c>
      <c r="H9" s="5" t="s">
        <v>179</v>
      </c>
    </row>
    <row r="10" customFormat="false" ht="15" hidden="false" customHeight="false" outlineLevel="0" collapsed="false">
      <c r="A10" s="2" t="s">
        <v>180</v>
      </c>
      <c r="B10" s="14" t="n">
        <v>4261.3</v>
      </c>
      <c r="H10" s="5" t="s">
        <v>181</v>
      </c>
    </row>
    <row r="11" customFormat="false" ht="15" hidden="false" customHeight="false" outlineLevel="0" collapsed="false">
      <c r="A11" s="2" t="s">
        <v>182</v>
      </c>
      <c r="B11" s="15" t="n">
        <v>74.14</v>
      </c>
      <c r="H11" s="5" t="s">
        <v>183</v>
      </c>
    </row>
    <row r="12" customFormat="false" ht="15" hidden="false" customHeight="false" outlineLevel="0" collapsed="false">
      <c r="A12" s="2" t="s">
        <v>184</v>
      </c>
      <c r="B12" s="16" t="n">
        <v>20</v>
      </c>
      <c r="H12" s="5" t="s">
        <v>185</v>
      </c>
    </row>
    <row r="14" customFormat="false" ht="15" hidden="false" customHeight="false" outlineLevel="0" collapsed="false">
      <c r="A14" s="4" t="s">
        <v>186</v>
      </c>
      <c r="C14" s="6" t="s">
        <v>187</v>
      </c>
      <c r="D14" s="6" t="s">
        <v>188</v>
      </c>
      <c r="E14" s="6" t="s">
        <v>189</v>
      </c>
    </row>
    <row r="15" customFormat="false" ht="15" hidden="false" customHeight="false" outlineLevel="0" collapsed="false">
      <c r="A15" s="2" t="s">
        <v>190</v>
      </c>
      <c r="C15" s="12" t="n">
        <v>0.015</v>
      </c>
      <c r="D15" s="12" t="n">
        <v>0.03</v>
      </c>
      <c r="E15" s="12" t="n">
        <v>0.035</v>
      </c>
    </row>
    <row r="16" customFormat="false" ht="15" hidden="false" customHeight="false" outlineLevel="0" collapsed="false">
      <c r="A16" s="2" t="s">
        <v>191</v>
      </c>
      <c r="C16" s="12" t="n">
        <v>-0.06</v>
      </c>
      <c r="D16" s="12" t="n">
        <v>-0.04</v>
      </c>
      <c r="E16" s="12" t="n">
        <v>-0.02</v>
      </c>
      <c r="H16" s="5" t="s">
        <v>192</v>
      </c>
    </row>
    <row r="17" customFormat="false" ht="15" hidden="false" customHeight="false" outlineLevel="0" collapsed="false">
      <c r="A17" s="2" t="s">
        <v>193</v>
      </c>
      <c r="C17" s="12" t="n">
        <v>0.15</v>
      </c>
      <c r="D17" s="12" t="n">
        <v>0.5</v>
      </c>
      <c r="E17" s="12" t="n">
        <v>0.35</v>
      </c>
      <c r="F17" s="17" t="n">
        <f aca="false">SUM(C17:E17)</f>
        <v>1</v>
      </c>
      <c r="G17" s="5" t="s">
        <v>194</v>
      </c>
    </row>
    <row r="19" customFormat="false" ht="15" hidden="false" customHeight="false" outlineLevel="0" collapsed="false">
      <c r="A19" s="4" t="s">
        <v>195</v>
      </c>
    </row>
    <row r="20" customFormat="false" ht="96" hidden="false" customHeight="true" outlineLevel="0" collapsed="false">
      <c r="A20" s="2" t="s">
        <v>187</v>
      </c>
      <c r="B20" s="18" t="s">
        <v>196</v>
      </c>
      <c r="C20" s="18"/>
      <c r="D20" s="18"/>
      <c r="E20" s="18"/>
      <c r="F20" s="18"/>
      <c r="G20" s="18"/>
      <c r="H20" s="18"/>
    </row>
    <row r="21" customFormat="false" ht="96" hidden="false" customHeight="true" outlineLevel="0" collapsed="false">
      <c r="A21" s="2" t="s">
        <v>188</v>
      </c>
      <c r="B21" s="18" t="s">
        <v>197</v>
      </c>
      <c r="C21" s="18"/>
      <c r="D21" s="18"/>
      <c r="E21" s="18"/>
      <c r="F21" s="18"/>
      <c r="G21" s="18"/>
      <c r="H21" s="18"/>
    </row>
    <row r="22" customFormat="false" ht="96" hidden="false" customHeight="true" outlineLevel="0" collapsed="false">
      <c r="A22" s="2" t="s">
        <v>189</v>
      </c>
      <c r="B22" s="18" t="s">
        <v>198</v>
      </c>
      <c r="C22" s="18"/>
      <c r="D22" s="18"/>
      <c r="E22" s="18"/>
      <c r="F22" s="18"/>
      <c r="G22" s="18"/>
      <c r="H22" s="18"/>
    </row>
  </sheetData>
  <mergeCells count="3">
    <mergeCell ref="B20:H20"/>
    <mergeCell ref="B21:H21"/>
    <mergeCell ref="B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2" min="2" style="0" width="10.51"/>
  </cols>
  <sheetData>
    <row r="1" customFormat="false" ht="16.15" hidden="false" customHeight="false" outlineLevel="0" collapsed="false">
      <c r="A1" s="1" t="s">
        <v>199</v>
      </c>
    </row>
    <row r="2" customFormat="false" ht="15" hidden="false" customHeight="false" outlineLevel="0" collapsed="false">
      <c r="A2" s="5" t="s">
        <v>200</v>
      </c>
    </row>
    <row r="3" customFormat="false" ht="15" hidden="false" customHeight="false" outlineLevel="0" collapsed="false">
      <c r="B3" s="6" t="s">
        <v>201</v>
      </c>
      <c r="C3" s="6" t="s">
        <v>202</v>
      </c>
      <c r="D3" s="6" t="s">
        <v>203</v>
      </c>
      <c r="E3" s="6" t="s">
        <v>204</v>
      </c>
      <c r="F3" s="6" t="s">
        <v>205</v>
      </c>
      <c r="G3" s="6" t="s">
        <v>206</v>
      </c>
      <c r="H3" s="6" t="s">
        <v>207</v>
      </c>
      <c r="I3" s="6" t="s">
        <v>208</v>
      </c>
      <c r="J3" s="6" t="s">
        <v>209</v>
      </c>
      <c r="K3" s="6" t="s">
        <v>210</v>
      </c>
      <c r="L3" s="6" t="s">
        <v>211</v>
      </c>
    </row>
    <row r="4" customFormat="false" ht="15" hidden="false" customHeight="false" outlineLevel="0" collapsed="false">
      <c r="A4" s="19" t="s">
        <v>212</v>
      </c>
      <c r="B4" s="19" t="n">
        <v>0</v>
      </c>
      <c r="C4" s="19" t="n">
        <v>1</v>
      </c>
      <c r="D4" s="19" t="n">
        <v>2</v>
      </c>
      <c r="E4" s="19" t="n">
        <v>3</v>
      </c>
      <c r="F4" s="19" t="n">
        <v>4</v>
      </c>
      <c r="G4" s="19" t="n">
        <v>5</v>
      </c>
      <c r="H4" s="19" t="n">
        <v>6</v>
      </c>
      <c r="I4" s="19" t="n">
        <v>7</v>
      </c>
      <c r="J4" s="19" t="n">
        <v>8</v>
      </c>
      <c r="K4" s="19" t="n">
        <v>9</v>
      </c>
      <c r="L4" s="19" t="n">
        <v>10</v>
      </c>
    </row>
    <row r="5" customFormat="false" ht="15" hidden="false" customHeight="false" outlineLevel="0" collapsed="false">
      <c r="A5" s="2" t="s">
        <v>213</v>
      </c>
      <c r="C5" s="12" t="n">
        <v>0.133</v>
      </c>
      <c r="D5" s="12" t="n">
        <v>0.08</v>
      </c>
      <c r="E5" s="12" t="n">
        <v>0.06</v>
      </c>
      <c r="F5" s="12" t="n">
        <v>0.05</v>
      </c>
      <c r="G5" s="12" t="n">
        <v>0.04</v>
      </c>
      <c r="H5" s="12" t="n">
        <v>0.035</v>
      </c>
      <c r="I5" s="12" t="n">
        <v>0.03</v>
      </c>
      <c r="J5" s="12" t="n">
        <v>0.025</v>
      </c>
      <c r="K5" s="12" t="n">
        <v>0.025</v>
      </c>
      <c r="L5" s="12" t="n">
        <v>0.02</v>
      </c>
    </row>
    <row r="6" customFormat="false" ht="15" hidden="false" customHeight="false" outlineLevel="0" collapsed="false">
      <c r="A6" s="2" t="s">
        <v>58</v>
      </c>
      <c r="B6" s="7" t="n">
        <v>45183</v>
      </c>
      <c r="C6" s="20" t="n">
        <f aca="false">B6*(1+C5)</f>
        <v>51192.339</v>
      </c>
      <c r="D6" s="20" t="n">
        <f aca="false">C6*(1+D5)</f>
        <v>55287.72612</v>
      </c>
      <c r="E6" s="20" t="n">
        <f aca="false">D6*(1+E5)</f>
        <v>58604.9896872</v>
      </c>
      <c r="F6" s="20" t="n">
        <f aca="false">E6*(1+F5)</f>
        <v>61535.23917156</v>
      </c>
      <c r="G6" s="20" t="n">
        <f aca="false">F6*(1+G5)</f>
        <v>63996.6487384224</v>
      </c>
      <c r="H6" s="20" t="n">
        <f aca="false">G6*(1+H5)</f>
        <v>66236.5314442672</v>
      </c>
      <c r="I6" s="20" t="n">
        <f aca="false">H6*(1+I5)</f>
        <v>68223.6273875952</v>
      </c>
      <c r="J6" s="20" t="n">
        <f aca="false">I6*(1+J5)</f>
        <v>69929.2180722851</v>
      </c>
      <c r="K6" s="20" t="n">
        <f aca="false">J6*(1+K5)</f>
        <v>71677.4485240922</v>
      </c>
      <c r="L6" s="20" t="n">
        <f aca="false">K6*(1+L5)</f>
        <v>73110.9974945741</v>
      </c>
    </row>
    <row r="7" customFormat="false" ht="15" hidden="false" customHeight="false" outlineLevel="0" collapsed="false">
      <c r="A7" s="2" t="s">
        <v>214</v>
      </c>
      <c r="B7" s="8" t="n">
        <v>0.6739</v>
      </c>
      <c r="C7" s="12" t="n">
        <v>0.6878</v>
      </c>
      <c r="D7" s="12" t="n">
        <v>0.69</v>
      </c>
      <c r="E7" s="12" t="n">
        <v>0.69</v>
      </c>
      <c r="F7" s="12" t="n">
        <v>0.689</v>
      </c>
      <c r="G7" s="12" t="n">
        <v>0.687</v>
      </c>
      <c r="H7" s="12" t="n">
        <v>0.685</v>
      </c>
      <c r="I7" s="12" t="n">
        <v>0.683</v>
      </c>
      <c r="J7" s="12" t="n">
        <v>0.682</v>
      </c>
      <c r="K7" s="12" t="n">
        <v>0.681</v>
      </c>
      <c r="L7" s="12" t="n">
        <v>0.68</v>
      </c>
    </row>
    <row r="8" customFormat="false" ht="15" hidden="false" customHeight="false" outlineLevel="0" collapsed="false">
      <c r="A8" s="2" t="s">
        <v>215</v>
      </c>
      <c r="C8" s="20" t="n">
        <f aca="false">C6*C7</f>
        <v>35210.0907642</v>
      </c>
      <c r="D8" s="20" t="n">
        <f aca="false">D6*D7</f>
        <v>38148.5310228</v>
      </c>
      <c r="E8" s="20" t="n">
        <f aca="false">E6*E7</f>
        <v>40437.442884168</v>
      </c>
      <c r="F8" s="20" t="n">
        <f aca="false">F6*F7</f>
        <v>42397.7797892048</v>
      </c>
      <c r="G8" s="20" t="n">
        <f aca="false">G6*G7</f>
        <v>43965.6976832962</v>
      </c>
      <c r="H8" s="20" t="n">
        <f aca="false">H6*H7</f>
        <v>45372.024039323</v>
      </c>
      <c r="I8" s="20" t="n">
        <f aca="false">I6*I7</f>
        <v>46596.7375057275</v>
      </c>
      <c r="J8" s="20" t="n">
        <f aca="false">J6*J7</f>
        <v>47691.7267252984</v>
      </c>
      <c r="K8" s="20" t="n">
        <f aca="false">K6*K7</f>
        <v>48812.3424449068</v>
      </c>
      <c r="L8" s="20" t="n">
        <f aca="false">L6*L7</f>
        <v>49715.4782963104</v>
      </c>
    </row>
    <row r="9" customFormat="false" ht="15" hidden="false" customHeight="false" outlineLevel="0" collapsed="false">
      <c r="A9" s="2" t="s">
        <v>216</v>
      </c>
      <c r="B9" s="21" t="n">
        <v>0.0082</v>
      </c>
      <c r="C9" s="22" t="n">
        <v>0.012</v>
      </c>
      <c r="D9" s="22" t="n">
        <v>0.014</v>
      </c>
      <c r="E9" s="22" t="n">
        <v>0.0155</v>
      </c>
      <c r="F9" s="22" t="n">
        <v>0.017</v>
      </c>
      <c r="G9" s="22" t="n">
        <v>0.018</v>
      </c>
      <c r="H9" s="22" t="n">
        <v>0.019</v>
      </c>
      <c r="I9" s="22" t="n">
        <v>0.02</v>
      </c>
      <c r="J9" s="22" t="n">
        <v>0.0205</v>
      </c>
      <c r="K9" s="22" t="n">
        <v>0.021</v>
      </c>
      <c r="L9" s="22" t="n">
        <v>0.0215</v>
      </c>
    </row>
    <row r="10" customFormat="false" ht="15" hidden="false" customHeight="false" outlineLevel="0" collapsed="false">
      <c r="A10" s="2" t="s">
        <v>217</v>
      </c>
      <c r="C10" s="20" t="n">
        <f aca="false">-C6*C9</f>
        <v>-614.308068</v>
      </c>
      <c r="D10" s="20" t="n">
        <f aca="false">-D6*D9</f>
        <v>-774.02816568</v>
      </c>
      <c r="E10" s="20" t="n">
        <f aca="false">-E6*E9</f>
        <v>-908.3773401516</v>
      </c>
      <c r="F10" s="20" t="n">
        <f aca="false">-F6*F9</f>
        <v>-1046.09906591652</v>
      </c>
      <c r="G10" s="20" t="n">
        <f aca="false">-G6*G9</f>
        <v>-1151.9396772916</v>
      </c>
      <c r="H10" s="20" t="n">
        <f aca="false">-H6*H9</f>
        <v>-1258.49409744108</v>
      </c>
      <c r="I10" s="20" t="n">
        <f aca="false">-I6*I9</f>
        <v>-1364.4725477519</v>
      </c>
      <c r="J10" s="20" t="n">
        <f aca="false">-J6*J9</f>
        <v>-1433.54897048184</v>
      </c>
      <c r="K10" s="20" t="n">
        <f aca="false">-K6*K9</f>
        <v>-1505.22641900594</v>
      </c>
      <c r="L10" s="20" t="n">
        <f aca="false">-L6*L9</f>
        <v>-1571.88644613334</v>
      </c>
    </row>
    <row r="11" customFormat="false" ht="15" hidden="false" customHeight="false" outlineLevel="0" collapsed="false">
      <c r="A11" s="2" t="s">
        <v>218</v>
      </c>
      <c r="C11" s="20" t="n">
        <f aca="false">C8+C10</f>
        <v>34595.7826962</v>
      </c>
      <c r="D11" s="20" t="n">
        <f aca="false">D8+D10</f>
        <v>37374.50285712</v>
      </c>
      <c r="E11" s="20" t="n">
        <f aca="false">E8+E10</f>
        <v>39529.0655440164</v>
      </c>
      <c r="F11" s="20" t="n">
        <f aca="false">F8+F10</f>
        <v>41351.6807232883</v>
      </c>
      <c r="G11" s="20" t="n">
        <f aca="false">G8+G10</f>
        <v>42813.7580060046</v>
      </c>
      <c r="H11" s="20" t="n">
        <f aca="false">H8+H10</f>
        <v>44113.529941882</v>
      </c>
      <c r="I11" s="20" t="n">
        <f aca="false">I8+I10</f>
        <v>45232.2649579756</v>
      </c>
      <c r="J11" s="20" t="n">
        <f aca="false">J8+J10</f>
        <v>46258.1777548166</v>
      </c>
      <c r="K11" s="20" t="n">
        <f aca="false">K8+K10</f>
        <v>47307.1160259009</v>
      </c>
      <c r="L11" s="20" t="n">
        <f aca="false">L8+L10</f>
        <v>48143.591850177</v>
      </c>
    </row>
    <row r="12" customFormat="false" ht="15" hidden="false" customHeight="false" outlineLevel="0" collapsed="false">
      <c r="A12" s="2" t="s">
        <v>219</v>
      </c>
      <c r="C12" s="20" t="n">
        <f aca="false">-C6*(C46+C47)</f>
        <v>-18470.1959112</v>
      </c>
      <c r="D12" s="20" t="n">
        <f aca="false">-D6*(D46+D47)</f>
        <v>-19804.063496184</v>
      </c>
      <c r="E12" s="20" t="n">
        <f aca="false">-E6*(E46+E47)</f>
        <v>-21004.0283038925</v>
      </c>
      <c r="F12" s="20" t="n">
        <f aca="false">-F6*(F46+F47)</f>
        <v>-22183.4537213474</v>
      </c>
      <c r="G12" s="20" t="n">
        <f aca="false">-G6*(G46+G47)</f>
        <v>-23205.184832552</v>
      </c>
      <c r="H12" s="20" t="n">
        <f aca="false">-H6*(H46+H47)</f>
        <v>-24156.4630177242</v>
      </c>
      <c r="I12" s="20" t="n">
        <f aca="false">-I6*(I46+I47)</f>
        <v>-25024.4265257699</v>
      </c>
      <c r="J12" s="20" t="n">
        <f aca="false">-J6*(J46+J47)</f>
        <v>-25789.8956250587</v>
      </c>
      <c r="K12" s="20" t="n">
        <f aca="false">-K6*(K46+K47)</f>
        <v>-26513.4882090617</v>
      </c>
      <c r="L12" s="20" t="n">
        <f aca="false">-L6*(L46+L47)</f>
        <v>-27124.180070487</v>
      </c>
    </row>
    <row r="13" customFormat="false" ht="15" hidden="false" customHeight="false" outlineLevel="0" collapsed="false">
      <c r="A13" s="2" t="s">
        <v>220</v>
      </c>
      <c r="C13" s="20" t="n">
        <f aca="false">C11+C12</f>
        <v>16125.586785</v>
      </c>
      <c r="D13" s="20" t="n">
        <f aca="false">D11+D12</f>
        <v>17570.439360936</v>
      </c>
      <c r="E13" s="20" t="n">
        <f aca="false">E11+E12</f>
        <v>18525.0372401239</v>
      </c>
      <c r="F13" s="20" t="n">
        <f aca="false">F11+F12</f>
        <v>19168.2270019409</v>
      </c>
      <c r="G13" s="20" t="n">
        <f aca="false">G11+G12</f>
        <v>19608.5731734526</v>
      </c>
      <c r="H13" s="20" t="n">
        <f aca="false">H11+H12</f>
        <v>19957.0669241577</v>
      </c>
      <c r="I13" s="20" t="n">
        <f aca="false">I11+I12</f>
        <v>20207.8384322057</v>
      </c>
      <c r="J13" s="20" t="n">
        <f aca="false">J11+J12</f>
        <v>20468.2821297579</v>
      </c>
      <c r="K13" s="20" t="n">
        <f aca="false">K11+K12</f>
        <v>20793.6278168392</v>
      </c>
      <c r="L13" s="20" t="n">
        <f aca="false">L11+L12</f>
        <v>21019.41177969</v>
      </c>
    </row>
    <row r="14" customFormat="false" ht="15" hidden="false" customHeight="false" outlineLevel="0" collapsed="false">
      <c r="A14" s="2" t="s">
        <v>111</v>
      </c>
      <c r="B14" s="8" t="n">
        <v>0.1638</v>
      </c>
      <c r="C14" s="12" t="n">
        <v>0.17</v>
      </c>
      <c r="D14" s="12" t="n">
        <v>0.185</v>
      </c>
      <c r="E14" s="12" t="n">
        <v>0.2</v>
      </c>
      <c r="F14" s="12" t="n">
        <v>0.215</v>
      </c>
      <c r="G14" s="12" t="n">
        <v>0.22</v>
      </c>
      <c r="H14" s="12" t="n">
        <v>0.22</v>
      </c>
      <c r="I14" s="12" t="n">
        <v>0.22</v>
      </c>
      <c r="J14" s="12" t="n">
        <v>0.22</v>
      </c>
      <c r="K14" s="12" t="n">
        <v>0.22</v>
      </c>
      <c r="L14" s="12" t="n">
        <v>0.22</v>
      </c>
    </row>
    <row r="15" customFormat="false" ht="15" hidden="false" customHeight="false" outlineLevel="0" collapsed="false">
      <c r="A15" s="2" t="s">
        <v>221</v>
      </c>
      <c r="C15" s="20" t="n">
        <f aca="false">C13*(1-C14)</f>
        <v>13384.23703155</v>
      </c>
      <c r="D15" s="20" t="n">
        <f aca="false">D13*(1-D14)</f>
        <v>14319.9080791628</v>
      </c>
      <c r="E15" s="20" t="n">
        <f aca="false">E13*(1-E14)</f>
        <v>14820.0297920991</v>
      </c>
      <c r="F15" s="20" t="n">
        <f aca="false">F13*(1-F14)</f>
        <v>15047.0581965236</v>
      </c>
      <c r="G15" s="20" t="n">
        <f aca="false">G13*(1-G14)</f>
        <v>15294.6870752931</v>
      </c>
      <c r="H15" s="20" t="n">
        <f aca="false">H13*(1-H14)</f>
        <v>15566.512200843</v>
      </c>
      <c r="I15" s="20" t="n">
        <f aca="false">I13*(1-I14)</f>
        <v>15762.1139771205</v>
      </c>
      <c r="J15" s="20" t="n">
        <f aca="false">J13*(1-J14)</f>
        <v>15965.2600612111</v>
      </c>
      <c r="K15" s="20" t="n">
        <f aca="false">K13*(1-K14)</f>
        <v>16219.0296971345</v>
      </c>
      <c r="L15" s="20" t="n">
        <f aca="false">L13*(1-L14)</f>
        <v>16395.1411881582</v>
      </c>
    </row>
    <row r="16" customFormat="false" ht="15" hidden="false" customHeight="false" outlineLevel="0" collapsed="false">
      <c r="A16" s="2" t="s">
        <v>222</v>
      </c>
      <c r="C16" s="20" t="n">
        <f aca="false">-C12</f>
        <v>18470.1959112</v>
      </c>
      <c r="D16" s="20" t="n">
        <f aca="false">-D12</f>
        <v>19804.063496184</v>
      </c>
      <c r="E16" s="20" t="n">
        <f aca="false">-E12</f>
        <v>21004.0283038925</v>
      </c>
      <c r="F16" s="20" t="n">
        <f aca="false">-F12</f>
        <v>22183.4537213474</v>
      </c>
      <c r="G16" s="20" t="n">
        <f aca="false">-G12</f>
        <v>23205.184832552</v>
      </c>
      <c r="H16" s="20" t="n">
        <f aca="false">-H12</f>
        <v>24156.4630177242</v>
      </c>
      <c r="I16" s="20" t="n">
        <f aca="false">-I12</f>
        <v>25024.4265257699</v>
      </c>
      <c r="J16" s="20" t="n">
        <f aca="false">-J12</f>
        <v>25789.8956250587</v>
      </c>
      <c r="K16" s="20" t="n">
        <f aca="false">-K12</f>
        <v>26513.4882090617</v>
      </c>
      <c r="L16" s="20" t="n">
        <f aca="false">-L12</f>
        <v>27124.180070487</v>
      </c>
    </row>
    <row r="17" customFormat="false" ht="15" hidden="false" customHeight="false" outlineLevel="0" collapsed="false">
      <c r="A17" s="2" t="s">
        <v>223</v>
      </c>
      <c r="C17" s="20" t="n">
        <f aca="false">-C6*(C46*C48+C49)</f>
        <v>-20767.70808552</v>
      </c>
      <c r="D17" s="20" t="n">
        <f aca="false">-D6*(D46*D48+D49)</f>
        <v>-22214.608355016</v>
      </c>
      <c r="E17" s="20" t="n">
        <f aca="false">-E6*(E46*E48+E49)</f>
        <v>-23717.4393264098</v>
      </c>
      <c r="F17" s="20" t="n">
        <f aca="false">-F6*(F46*F48+F49)</f>
        <v>-25015.3054280226</v>
      </c>
      <c r="G17" s="20" t="n">
        <f aca="false">-G6*(G46*G48+G49)</f>
        <v>-26365.3393472553</v>
      </c>
      <c r="H17" s="20" t="n">
        <f aca="false">-H6*(H46*H48+H49)</f>
        <v>-27416.6250954111</v>
      </c>
      <c r="I17" s="20" t="n">
        <f aca="false">-I6*(I46*I48+I49)</f>
        <v>-28378.3000481441</v>
      </c>
      <c r="J17" s="20" t="n">
        <f aca="false">-J6*(J46*J48+J49)</f>
        <v>-29244.3989978296</v>
      </c>
      <c r="K17" s="20" t="n">
        <f aca="false">-K6*(K46*K48+K49)</f>
        <v>-30041.4522254175</v>
      </c>
      <c r="L17" s="20" t="n">
        <f aca="false">-L6*(L46*L48+L49)</f>
        <v>-30724.1655871198</v>
      </c>
    </row>
    <row r="18" customFormat="false" ht="15" hidden="false" customHeight="false" outlineLevel="0" collapsed="false">
      <c r="A18" s="2" t="s">
        <v>224</v>
      </c>
      <c r="C18" s="23" t="n">
        <f aca="false">Assumptions!$C$16*(C6-B6)</f>
        <v>-360.56034</v>
      </c>
      <c r="D18" s="23" t="n">
        <f aca="false">Assumptions!$C$16*(D6-C6)</f>
        <v>-245.7232272</v>
      </c>
      <c r="E18" s="23" t="n">
        <f aca="false">Assumptions!$C$16*(E6-D6)</f>
        <v>-199.035814032</v>
      </c>
      <c r="F18" s="23" t="n">
        <f aca="false">Assumptions!$C$16*(F6-E6)</f>
        <v>-175.8149690616</v>
      </c>
      <c r="G18" s="23" t="n">
        <f aca="false">Assumptions!$C$16*(G6-F6)</f>
        <v>-147.684574011744</v>
      </c>
      <c r="H18" s="23" t="n">
        <f aca="false">Assumptions!$C$16*(H6-G6)</f>
        <v>-134.392962350687</v>
      </c>
      <c r="I18" s="23" t="n">
        <f aca="false">Assumptions!$C$16*(I6-H6)</f>
        <v>-119.225756599681</v>
      </c>
      <c r="J18" s="23" t="n">
        <f aca="false">Assumptions!$C$16*(J6-I6)</f>
        <v>-102.335441081392</v>
      </c>
      <c r="K18" s="23" t="n">
        <f aca="false">Assumptions!$C$16*(K6-J6)</f>
        <v>-104.893827108427</v>
      </c>
      <c r="L18" s="23" t="n">
        <f aca="false">Assumptions!$C$16*(L6-K6)</f>
        <v>-86.0129382289108</v>
      </c>
    </row>
    <row r="19" customFormat="false" ht="15" hidden="false" customHeight="false" outlineLevel="0" collapsed="false">
      <c r="A19" s="2" t="s">
        <v>225</v>
      </c>
      <c r="C19" s="24" t="n">
        <f aca="false">C15+C16+C17+C18</f>
        <v>10726.16451723</v>
      </c>
      <c r="D19" s="24" t="n">
        <f aca="false">D15+D16+D17+D18</f>
        <v>11663.6399931308</v>
      </c>
      <c r="E19" s="24" t="n">
        <f aca="false">E15+E16+E17+E18</f>
        <v>11907.5829555498</v>
      </c>
      <c r="F19" s="24" t="n">
        <f aca="false">F15+F16+F17+F18</f>
        <v>12039.3915207869</v>
      </c>
      <c r="G19" s="24" t="n">
        <f aca="false">G15+G16+G17+G18</f>
        <v>11986.847986578</v>
      </c>
      <c r="H19" s="24" t="n">
        <f aca="false">H15+H16+H17+H18</f>
        <v>12171.9571608055</v>
      </c>
      <c r="I19" s="24" t="n">
        <f aca="false">I15+I16+I17+I18</f>
        <v>12289.0146981466</v>
      </c>
      <c r="J19" s="24" t="n">
        <f aca="false">J15+J16+J17+J18</f>
        <v>12408.4212473588</v>
      </c>
      <c r="K19" s="24" t="n">
        <f aca="false">K15+K16+K17+K18</f>
        <v>12586.1718536703</v>
      </c>
      <c r="L19" s="24" t="n">
        <f aca="false">L15+L16+L17+L18</f>
        <v>12709.1427332965</v>
      </c>
    </row>
    <row r="20" customFormat="false" ht="15" hidden="false" customHeight="false" outlineLevel="0" collapsed="false">
      <c r="A20" s="2" t="s">
        <v>226</v>
      </c>
      <c r="C20" s="25" t="n">
        <f aca="false">1/(1+Assumptions!$B$5)^C4</f>
        <v>0.904977375565611</v>
      </c>
      <c r="D20" s="25" t="n">
        <f aca="false">1/(1+Assumptions!$B$5)^D4</f>
        <v>0.818984050285621</v>
      </c>
      <c r="E20" s="25" t="n">
        <f aca="false">1/(1+Assumptions!$B$5)^E4</f>
        <v>0.741162036457575</v>
      </c>
      <c r="F20" s="25" t="n">
        <f aca="false">1/(1+Assumptions!$B$5)^F4</f>
        <v>0.67073487462224</v>
      </c>
      <c r="G20" s="25" t="n">
        <f aca="false">1/(1+Assumptions!$B$5)^G4</f>
        <v>0.606999886535964</v>
      </c>
      <c r="H20" s="25" t="n">
        <f aca="false">1/(1+Assumptions!$B$5)^H4</f>
        <v>0.54932116428594</v>
      </c>
      <c r="I20" s="25" t="n">
        <f aca="false">1/(1+Assumptions!$B$5)^I4</f>
        <v>0.497123225598136</v>
      </c>
      <c r="J20" s="25" t="n">
        <f aca="false">1/(1+Assumptions!$B$5)^J4</f>
        <v>0.449885272034512</v>
      </c>
      <c r="K20" s="25" t="n">
        <f aca="false">1/(1+Assumptions!$B$5)^K4</f>
        <v>0.407135992791414</v>
      </c>
      <c r="L20" s="25" t="n">
        <f aca="false">1/(1+Assumptions!$B$5)^L4</f>
        <v>0.368448862254673</v>
      </c>
    </row>
    <row r="21" customFormat="false" ht="15" hidden="false" customHeight="false" outlineLevel="0" collapsed="false">
      <c r="A21" s="2" t="s">
        <v>227</v>
      </c>
      <c r="C21" s="20" t="n">
        <f aca="false">C19*C20</f>
        <v>9706.93621468778</v>
      </c>
      <c r="D21" s="20" t="n">
        <f aca="false">D19*D20</f>
        <v>9552.33512264764</v>
      </c>
      <c r="E21" s="20" t="n">
        <f aca="false">E19*E20</f>
        <v>8825.44843262279</v>
      </c>
      <c r="F21" s="20" t="n">
        <f aca="false">F19*F20</f>
        <v>8075.23976222303</v>
      </c>
      <c r="G21" s="20" t="n">
        <f aca="false">G19*G20</f>
        <v>7276.0153677767</v>
      </c>
      <c r="H21" s="20" t="n">
        <f aca="false">H19*H20</f>
        <v>6686.31367921226</v>
      </c>
      <c r="I21" s="20" t="n">
        <f aca="false">I19*I20</f>
        <v>6109.15462616554</v>
      </c>
      <c r="J21" s="20" t="n">
        <f aca="false">J19*J20</f>
        <v>5582.36596838686</v>
      </c>
      <c r="K21" s="20" t="n">
        <f aca="false">K19*K20</f>
        <v>5124.2835730874</v>
      </c>
      <c r="L21" s="20" t="n">
        <f aca="false">L19*L20</f>
        <v>4682.66918031534</v>
      </c>
    </row>
    <row r="23" customFormat="false" ht="15" hidden="false" customHeight="false" outlineLevel="0" collapsed="false">
      <c r="A23" s="2" t="s">
        <v>228</v>
      </c>
      <c r="C23" s="20" t="n">
        <f aca="false">C19-C10</f>
        <v>11340.47258523</v>
      </c>
      <c r="D23" s="20" t="n">
        <f aca="false">D19-D10</f>
        <v>12437.6681588108</v>
      </c>
      <c r="E23" s="20" t="n">
        <f aca="false">E19-E10</f>
        <v>12815.9602957014</v>
      </c>
      <c r="F23" s="20" t="n">
        <f aca="false">F19-F10</f>
        <v>13085.4905867034</v>
      </c>
      <c r="G23" s="20" t="n">
        <f aca="false">G19-G10</f>
        <v>13138.7876638696</v>
      </c>
      <c r="H23" s="20" t="n">
        <f aca="false">H19-H10</f>
        <v>13430.4512582466</v>
      </c>
      <c r="I23" s="20" t="n">
        <f aca="false">I19-I10</f>
        <v>13653.4872458985</v>
      </c>
      <c r="J23" s="20" t="n">
        <f aca="false">J19-J10</f>
        <v>13841.9702178407</v>
      </c>
      <c r="K23" s="20" t="n">
        <f aca="false">K19-K10</f>
        <v>14091.3982726762</v>
      </c>
      <c r="L23" s="20" t="n">
        <f aca="false">L19-L10</f>
        <v>14281.0291794298</v>
      </c>
    </row>
    <row r="24" customFormat="false" ht="15" hidden="false" customHeight="false" outlineLevel="0" collapsed="false">
      <c r="A24" s="2" t="s">
        <v>229</v>
      </c>
      <c r="C24" s="17" t="n">
        <f aca="false">C19/C6</f>
        <v>0.209526751985878</v>
      </c>
      <c r="D24" s="17" t="n">
        <f aca="false">D19/D6</f>
        <v>0.210962555555556</v>
      </c>
      <c r="E24" s="17" t="n">
        <f aca="false">E19/E6</f>
        <v>0.203183773584906</v>
      </c>
      <c r="F24" s="17" t="n">
        <f aca="false">F19/F6</f>
        <v>0.195650357142857</v>
      </c>
      <c r="G24" s="17" t="n">
        <f aca="false">G19/G6</f>
        <v>0.187304307692308</v>
      </c>
      <c r="H24" s="17" t="n">
        <f aca="false">H19/H6</f>
        <v>0.183765014492754</v>
      </c>
      <c r="I24" s="17" t="n">
        <f aca="false">I19/I6</f>
        <v>0.180128427184466</v>
      </c>
      <c r="J24" s="17" t="n">
        <f aca="false">J19/J6</f>
        <v>0.177442585365854</v>
      </c>
      <c r="K24" s="17" t="n">
        <f aca="false">K19/K6</f>
        <v>0.175594585365854</v>
      </c>
      <c r="L24" s="17" t="n">
        <f aca="false">L19/L6</f>
        <v>0.173833529411765</v>
      </c>
    </row>
    <row r="25" customFormat="false" ht="15" hidden="false" customHeight="false" outlineLevel="0" collapsed="false">
      <c r="A25" s="4" t="s">
        <v>230</v>
      </c>
    </row>
    <row r="26" customFormat="false" ht="15" hidden="false" customHeight="false" outlineLevel="0" collapsed="false">
      <c r="A26" s="2" t="s">
        <v>231</v>
      </c>
      <c r="B26" s="20" t="n">
        <f aca="false">SUM(C21:L21)</f>
        <v>71620.7619271253</v>
      </c>
    </row>
    <row r="27" customFormat="false" ht="15" hidden="false" customHeight="false" outlineLevel="0" collapsed="false">
      <c r="A27" s="2" t="s">
        <v>190</v>
      </c>
      <c r="B27" s="26" t="n">
        <f aca="false">Assumptions!$C$15</f>
        <v>0.015</v>
      </c>
    </row>
    <row r="28" customFormat="false" ht="15" hidden="false" customHeight="false" outlineLevel="0" collapsed="false">
      <c r="A28" s="2" t="s">
        <v>232</v>
      </c>
      <c r="B28" s="20" t="n">
        <f aca="false">L19*(1+B27)</f>
        <v>12899.7798742959</v>
      </c>
    </row>
    <row r="29" customFormat="false" ht="15" hidden="false" customHeight="false" outlineLevel="0" collapsed="false">
      <c r="A29" s="2" t="s">
        <v>233</v>
      </c>
      <c r="B29" s="20" t="n">
        <f aca="false">B28/(Assumptions!$B$5-B27)</f>
        <v>143330.887492177</v>
      </c>
    </row>
    <row r="30" customFormat="false" ht="15" hidden="false" customHeight="false" outlineLevel="0" collapsed="false">
      <c r="A30" s="2" t="s">
        <v>234</v>
      </c>
      <c r="B30" s="23" t="n">
        <f aca="false">Assumptions!$B$12*L19</f>
        <v>254182.85466593</v>
      </c>
    </row>
    <row r="31" customFormat="false" ht="15" hidden="false" customHeight="false" outlineLevel="0" collapsed="false">
      <c r="A31" s="2" t="s">
        <v>235</v>
      </c>
      <c r="B31" s="20" t="n">
        <f aca="false">MIN(B29,B30)</f>
        <v>143330.887492177</v>
      </c>
    </row>
    <row r="32" customFormat="false" ht="15" hidden="false" customHeight="false" outlineLevel="0" collapsed="false">
      <c r="A32" s="2" t="s">
        <v>236</v>
      </c>
      <c r="B32" s="27" t="n">
        <f aca="false">B31/L19</f>
        <v>11.2777777777778</v>
      </c>
    </row>
    <row r="33" customFormat="false" ht="15" hidden="false" customHeight="false" outlineLevel="0" collapsed="false">
      <c r="A33" s="2" t="s">
        <v>237</v>
      </c>
      <c r="B33" s="20" t="n">
        <f aca="false">B31*L20</f>
        <v>52810.1024224452</v>
      </c>
    </row>
    <row r="34" customFormat="false" ht="15" hidden="false" customHeight="false" outlineLevel="0" collapsed="false">
      <c r="A34" s="2" t="s">
        <v>238</v>
      </c>
      <c r="B34" s="20" t="n">
        <f aca="false">B26+B33</f>
        <v>124430.864349571</v>
      </c>
    </row>
    <row r="35" customFormat="false" ht="15" hidden="false" customHeight="false" outlineLevel="0" collapsed="false">
      <c r="A35" s="2" t="s">
        <v>239</v>
      </c>
      <c r="B35" s="23" t="n">
        <f aca="false">Assumptions!$B$9</f>
        <v>-5244.2</v>
      </c>
    </row>
    <row r="36" customFormat="false" ht="15" hidden="false" customHeight="false" outlineLevel="0" collapsed="false">
      <c r="A36" s="2" t="s">
        <v>240</v>
      </c>
      <c r="B36" s="20" t="n">
        <f aca="false">B34+B35</f>
        <v>119186.664349571</v>
      </c>
    </row>
    <row r="37" customFormat="false" ht="15" hidden="false" customHeight="false" outlineLevel="0" collapsed="false">
      <c r="A37" s="2" t="s">
        <v>180</v>
      </c>
      <c r="B37" s="28" t="n">
        <f aca="false">Assumptions!$B$10</f>
        <v>4261.3</v>
      </c>
    </row>
    <row r="38" customFormat="false" ht="15" hidden="false" customHeight="false" outlineLevel="0" collapsed="false">
      <c r="A38" s="2" t="s">
        <v>241</v>
      </c>
      <c r="B38" s="29" t="n">
        <f aca="false">B36/B37</f>
        <v>27.9695549127192</v>
      </c>
    </row>
    <row r="39" customFormat="false" ht="15" hidden="false" customHeight="false" outlineLevel="0" collapsed="false">
      <c r="A39" s="2" t="s">
        <v>242</v>
      </c>
      <c r="B39" s="17" t="n">
        <f aca="false">B38/Assumptions!$B$11-1</f>
        <v>-0.622746764058278</v>
      </c>
    </row>
    <row r="41" customFormat="false" ht="15" hidden="false" customHeight="false" outlineLevel="0" collapsed="false">
      <c r="A41" s="2" t="s">
        <v>243</v>
      </c>
      <c r="B41" s="20" t="n">
        <f aca="false">SUMPRODUCT(-C10:L10/(1+Assumptions!$B$5)^C4:L4)</f>
        <v>6470.54143460318</v>
      </c>
    </row>
    <row r="42" customFormat="false" ht="15" hidden="false" customHeight="false" outlineLevel="0" collapsed="false">
      <c r="A42" s="2" t="s">
        <v>244</v>
      </c>
      <c r="B42" s="20" t="n">
        <f aca="false">(-L10*(1+B27)/(Assumptions!$B$5-B27))*L20</f>
        <v>6531.63521401602</v>
      </c>
    </row>
    <row r="43" customFormat="false" ht="15" hidden="false" customHeight="false" outlineLevel="0" collapsed="false">
      <c r="A43" s="2" t="s">
        <v>245</v>
      </c>
      <c r="B43" s="30" t="n">
        <f aca="false">(B36+B41+B42)/B37</f>
        <v>31.0207779311923</v>
      </c>
    </row>
    <row r="45" customFormat="false" ht="15" hidden="false" customHeight="false" outlineLevel="0" collapsed="false">
      <c r="A45" s="4" t="s">
        <v>246</v>
      </c>
    </row>
    <row r="46" customFormat="false" ht="15" hidden="false" customHeight="false" outlineLevel="0" collapsed="false">
      <c r="A46" s="2" t="s">
        <v>247</v>
      </c>
      <c r="B46" s="8" t="n">
        <v>0.3635</v>
      </c>
      <c r="C46" s="12" t="n">
        <v>0.3528</v>
      </c>
      <c r="D46" s="12" t="n">
        <v>0.35</v>
      </c>
      <c r="E46" s="12" t="n">
        <v>0.35</v>
      </c>
      <c r="F46" s="12" t="n">
        <v>0.352</v>
      </c>
      <c r="G46" s="12" t="n">
        <v>0.354</v>
      </c>
      <c r="H46" s="12" t="n">
        <v>0.356</v>
      </c>
      <c r="I46" s="12" t="n">
        <v>0.358</v>
      </c>
      <c r="J46" s="12" t="n">
        <v>0.36</v>
      </c>
      <c r="K46" s="12" t="n">
        <v>0.361</v>
      </c>
      <c r="L46" s="12" t="n">
        <v>0.362</v>
      </c>
    </row>
    <row r="47" customFormat="false" ht="15" hidden="false" customHeight="false" outlineLevel="0" collapsed="false">
      <c r="A47" s="2" t="s">
        <v>248</v>
      </c>
      <c r="B47" s="21" t="n">
        <v>0.0074</v>
      </c>
      <c r="C47" s="22" t="n">
        <v>0.008</v>
      </c>
      <c r="D47" s="22" t="n">
        <v>0.0082</v>
      </c>
      <c r="E47" s="22" t="n">
        <v>0.0084</v>
      </c>
      <c r="F47" s="22" t="n">
        <v>0.0085</v>
      </c>
      <c r="G47" s="22" t="n">
        <v>0.0086</v>
      </c>
      <c r="H47" s="22" t="n">
        <v>0.0087</v>
      </c>
      <c r="I47" s="22" t="n">
        <v>0.0088</v>
      </c>
      <c r="J47" s="22" t="n">
        <v>0.0088</v>
      </c>
      <c r="K47" s="22" t="n">
        <v>0.0089</v>
      </c>
      <c r="L47" s="22" t="n">
        <v>0.009</v>
      </c>
    </row>
    <row r="48" customFormat="false" ht="15" hidden="false" customHeight="false" outlineLevel="0" collapsed="false">
      <c r="A48" s="2" t="s">
        <v>249</v>
      </c>
      <c r="B48" s="11" t="n">
        <v>1.078</v>
      </c>
      <c r="C48" s="31" t="n">
        <v>1.1</v>
      </c>
      <c r="D48" s="31" t="n">
        <v>1.1</v>
      </c>
      <c r="E48" s="31" t="n">
        <v>1.11</v>
      </c>
      <c r="F48" s="31" t="n">
        <v>1.11</v>
      </c>
      <c r="G48" s="31" t="n">
        <v>1.12</v>
      </c>
      <c r="H48" s="31" t="n">
        <v>1.12</v>
      </c>
      <c r="I48" s="31" t="n">
        <v>1.12</v>
      </c>
      <c r="J48" s="31" t="n">
        <v>1.12</v>
      </c>
      <c r="K48" s="31" t="n">
        <v>1.12</v>
      </c>
      <c r="L48" s="31" t="n">
        <v>1.12</v>
      </c>
    </row>
    <row r="49" customFormat="false" ht="15" hidden="false" customHeight="false" outlineLevel="0" collapsed="false">
      <c r="A49" s="2" t="s">
        <v>250</v>
      </c>
      <c r="B49" s="21" t="n">
        <v>0.0152</v>
      </c>
      <c r="C49" s="22" t="n">
        <v>0.0176</v>
      </c>
      <c r="D49" s="22" t="n">
        <v>0.0168</v>
      </c>
      <c r="E49" s="22" t="n">
        <v>0.0162</v>
      </c>
      <c r="F49" s="22" t="n">
        <v>0.0158</v>
      </c>
      <c r="G49" s="22" t="n">
        <v>0.0155</v>
      </c>
      <c r="H49" s="22" t="n">
        <v>0.0152</v>
      </c>
      <c r="I49" s="22" t="n">
        <v>0.015</v>
      </c>
      <c r="J49" s="22" t="n">
        <v>0.015</v>
      </c>
      <c r="K49" s="22" t="n">
        <v>0.0148</v>
      </c>
      <c r="L49" s="22" t="n">
        <v>0.0148</v>
      </c>
    </row>
    <row r="51" customFormat="false" ht="15" hidden="false" customHeight="false" outlineLevel="0" collapsed="false">
      <c r="A51" s="2" t="s">
        <v>251</v>
      </c>
      <c r="C51" s="20" t="n">
        <f aca="false">C6*C46</f>
        <v>18060.6571992</v>
      </c>
      <c r="D51" s="20" t="n">
        <f aca="false">D6*D46</f>
        <v>19350.704142</v>
      </c>
      <c r="E51" s="20" t="n">
        <f aca="false">E6*E46</f>
        <v>20511.74639052</v>
      </c>
      <c r="F51" s="20" t="n">
        <f aca="false">F6*F46</f>
        <v>21660.4041883891</v>
      </c>
      <c r="G51" s="20" t="n">
        <f aca="false">G6*G46</f>
        <v>22654.8136534015</v>
      </c>
      <c r="H51" s="20" t="n">
        <f aca="false">H6*H46</f>
        <v>23580.2051941591</v>
      </c>
      <c r="I51" s="20" t="n">
        <f aca="false">I6*I46</f>
        <v>24424.0586047591</v>
      </c>
      <c r="J51" s="20" t="n">
        <f aca="false">J6*J46</f>
        <v>25174.5185060226</v>
      </c>
      <c r="K51" s="20" t="n">
        <f aca="false">K6*K46</f>
        <v>25875.5589171973</v>
      </c>
      <c r="L51" s="20" t="n">
        <f aca="false">L6*L46</f>
        <v>26466.1810930358</v>
      </c>
    </row>
    <row r="52" customFormat="false" ht="15" hidden="false" customHeight="false" outlineLevel="0" collapsed="false">
      <c r="A52" s="2" t="s">
        <v>252</v>
      </c>
      <c r="C52" s="20" t="n">
        <f aca="false">C6*C46*C48</f>
        <v>19866.72291912</v>
      </c>
      <c r="D52" s="20" t="n">
        <f aca="false">D6*D46*D48</f>
        <v>21285.7745562</v>
      </c>
      <c r="E52" s="20" t="n">
        <f aca="false">E6*E46*E48</f>
        <v>22768.0384934772</v>
      </c>
      <c r="F52" s="20" t="n">
        <f aca="false">F6*F46*F48</f>
        <v>24043.0486491119</v>
      </c>
      <c r="G52" s="20" t="n">
        <f aca="false">G6*G46*G48</f>
        <v>25373.3912918097</v>
      </c>
      <c r="H52" s="20" t="n">
        <f aca="false">H6*H46*H48</f>
        <v>26409.8298174582</v>
      </c>
      <c r="I52" s="20" t="n">
        <f aca="false">I6*I46*I48</f>
        <v>27354.9456373302</v>
      </c>
      <c r="J52" s="20" t="n">
        <f aca="false">J6*J46*J48</f>
        <v>28195.4607267454</v>
      </c>
      <c r="K52" s="20" t="n">
        <f aca="false">K6*K46*K48</f>
        <v>28980.625987261</v>
      </c>
      <c r="L52" s="20" t="n">
        <f aca="false">L6*L46*L48</f>
        <v>29642.1228242001</v>
      </c>
    </row>
    <row r="53" customFormat="false" ht="15" hidden="false" customHeight="false" outlineLevel="0" collapsed="false">
      <c r="A53" s="2" t="s">
        <v>253</v>
      </c>
      <c r="C53" s="20" t="n">
        <f aca="false">C52-C51</f>
        <v>1806.06571992</v>
      </c>
      <c r="D53" s="20" t="n">
        <f aca="false">D52-D51</f>
        <v>1935.0704142</v>
      </c>
      <c r="E53" s="20" t="n">
        <f aca="false">E52-E51</f>
        <v>2256.2921029572</v>
      </c>
      <c r="F53" s="20" t="n">
        <f aca="false">F52-F51</f>
        <v>2382.6444607228</v>
      </c>
      <c r="G53" s="20" t="n">
        <f aca="false">G52-G51</f>
        <v>2718.57763840819</v>
      </c>
      <c r="H53" s="20" t="n">
        <f aca="false">H52-H51</f>
        <v>2829.6246232991</v>
      </c>
      <c r="I53" s="20" t="n">
        <f aca="false">I52-I51</f>
        <v>2930.88703257109</v>
      </c>
      <c r="J53" s="20" t="n">
        <f aca="false">J52-J51</f>
        <v>3020.94222072272</v>
      </c>
      <c r="K53" s="20" t="n">
        <f aca="false">K52-K51</f>
        <v>3105.06707006368</v>
      </c>
      <c r="L53" s="20" t="n">
        <f aca="false">L52-L51</f>
        <v>3175.9417311643</v>
      </c>
    </row>
    <row r="55" customFormat="false" ht="15" hidden="false" customHeight="true" outlineLevel="0" collapsed="false">
      <c r="A55" s="18" t="s">
        <v>254</v>
      </c>
      <c r="B55" s="18"/>
      <c r="C55" s="18"/>
      <c r="D55" s="18"/>
      <c r="E55" s="18"/>
      <c r="F55" s="18"/>
      <c r="G55" s="18"/>
      <c r="H55" s="18"/>
      <c r="I55" s="18"/>
      <c r="J55" s="18"/>
      <c r="K55" s="18"/>
      <c r="L55" s="18"/>
    </row>
    <row r="56" customFormat="false" ht="15" hidden="false" customHeight="false" outlineLevel="0" collapsed="false">
      <c r="A56" s="18"/>
      <c r="B56" s="18"/>
      <c r="C56" s="18"/>
      <c r="D56" s="18"/>
      <c r="E56" s="18"/>
      <c r="F56" s="18"/>
      <c r="G56" s="18"/>
      <c r="H56" s="18"/>
      <c r="I56" s="18"/>
      <c r="J56" s="18"/>
      <c r="K56" s="18"/>
      <c r="L56" s="18"/>
    </row>
    <row r="57" customFormat="false" ht="15" hidden="false" customHeight="false" outlineLevel="0" collapsed="false">
      <c r="A57" s="18"/>
      <c r="B57" s="18"/>
      <c r="C57" s="18"/>
      <c r="D57" s="18"/>
      <c r="E57" s="18"/>
      <c r="F57" s="18"/>
      <c r="G57" s="18"/>
      <c r="H57" s="18"/>
      <c r="I57" s="18"/>
      <c r="J57" s="18"/>
      <c r="K57" s="18"/>
      <c r="L57" s="18"/>
    </row>
  </sheetData>
  <mergeCells count="1">
    <mergeCell ref="A55:L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2" min="2" style="0" width="10.51"/>
  </cols>
  <sheetData>
    <row r="1" customFormat="false" ht="16.15" hidden="false" customHeight="false" outlineLevel="0" collapsed="false">
      <c r="A1" s="1" t="s">
        <v>255</v>
      </c>
    </row>
    <row r="2" customFormat="false" ht="15" hidden="false" customHeight="false" outlineLevel="0" collapsed="false">
      <c r="A2" s="5" t="s">
        <v>200</v>
      </c>
    </row>
    <row r="3" customFormat="false" ht="15" hidden="false" customHeight="false" outlineLevel="0" collapsed="false">
      <c r="B3" s="6" t="s">
        <v>201</v>
      </c>
      <c r="C3" s="6" t="s">
        <v>202</v>
      </c>
      <c r="D3" s="6" t="s">
        <v>203</v>
      </c>
      <c r="E3" s="6" t="s">
        <v>204</v>
      </c>
      <c r="F3" s="6" t="s">
        <v>205</v>
      </c>
      <c r="G3" s="6" t="s">
        <v>206</v>
      </c>
      <c r="H3" s="6" t="s">
        <v>207</v>
      </c>
      <c r="I3" s="6" t="s">
        <v>208</v>
      </c>
      <c r="J3" s="6" t="s">
        <v>209</v>
      </c>
      <c r="K3" s="6" t="s">
        <v>210</v>
      </c>
      <c r="L3" s="6" t="s">
        <v>211</v>
      </c>
    </row>
    <row r="4" customFormat="false" ht="15" hidden="false" customHeight="false" outlineLevel="0" collapsed="false">
      <c r="A4" s="19" t="s">
        <v>212</v>
      </c>
      <c r="B4" s="19" t="n">
        <v>0</v>
      </c>
      <c r="C4" s="19" t="n">
        <v>1</v>
      </c>
      <c r="D4" s="19" t="n">
        <v>2</v>
      </c>
      <c r="E4" s="19" t="n">
        <v>3</v>
      </c>
      <c r="F4" s="19" t="n">
        <v>4</v>
      </c>
      <c r="G4" s="19" t="n">
        <v>5</v>
      </c>
      <c r="H4" s="19" t="n">
        <v>6</v>
      </c>
      <c r="I4" s="19" t="n">
        <v>7</v>
      </c>
      <c r="J4" s="19" t="n">
        <v>8</v>
      </c>
      <c r="K4" s="19" t="n">
        <v>9</v>
      </c>
      <c r="L4" s="19" t="n">
        <v>10</v>
      </c>
    </row>
    <row r="5" customFormat="false" ht="15" hidden="false" customHeight="false" outlineLevel="0" collapsed="false">
      <c r="A5" s="2" t="s">
        <v>213</v>
      </c>
      <c r="C5" s="12" t="n">
        <v>0.133</v>
      </c>
      <c r="D5" s="12" t="n">
        <v>0.105</v>
      </c>
      <c r="E5" s="12" t="n">
        <v>0.095</v>
      </c>
      <c r="F5" s="12" t="n">
        <v>0.085</v>
      </c>
      <c r="G5" s="12" t="n">
        <v>0.075</v>
      </c>
      <c r="H5" s="12" t="n">
        <v>0.065</v>
      </c>
      <c r="I5" s="12" t="n">
        <v>0.06</v>
      </c>
      <c r="J5" s="12" t="n">
        <v>0.055</v>
      </c>
      <c r="K5" s="12" t="n">
        <v>0.05</v>
      </c>
      <c r="L5" s="12" t="n">
        <v>0.045</v>
      </c>
    </row>
    <row r="6" customFormat="false" ht="15" hidden="false" customHeight="false" outlineLevel="0" collapsed="false">
      <c r="A6" s="2" t="s">
        <v>58</v>
      </c>
      <c r="B6" s="7" t="n">
        <v>45183</v>
      </c>
      <c r="C6" s="20" t="n">
        <f aca="false">B6*(1+C5)</f>
        <v>51192.339</v>
      </c>
      <c r="D6" s="20" t="n">
        <f aca="false">C6*(1+D5)</f>
        <v>56567.534595</v>
      </c>
      <c r="E6" s="20" t="n">
        <f aca="false">D6*(1+E5)</f>
        <v>61941.450381525</v>
      </c>
      <c r="F6" s="20" t="n">
        <f aca="false">E6*(1+F5)</f>
        <v>67206.4736639546</v>
      </c>
      <c r="G6" s="20" t="n">
        <f aca="false">F6*(1+G5)</f>
        <v>72246.9591887512</v>
      </c>
      <c r="H6" s="20" t="n">
        <f aca="false">G6*(1+H5)</f>
        <v>76943.01153602</v>
      </c>
      <c r="I6" s="20" t="n">
        <f aca="false">H6*(1+I5)</f>
        <v>81559.5922281812</v>
      </c>
      <c r="J6" s="20" t="n">
        <f aca="false">I6*(1+J5)</f>
        <v>86045.3698007312</v>
      </c>
      <c r="K6" s="20" t="n">
        <f aca="false">J6*(1+K5)</f>
        <v>90347.6382907678</v>
      </c>
      <c r="L6" s="20" t="n">
        <f aca="false">K6*(1+L5)</f>
        <v>94413.2820138523</v>
      </c>
    </row>
    <row r="7" customFormat="false" ht="15" hidden="false" customHeight="false" outlineLevel="0" collapsed="false">
      <c r="A7" s="2" t="s">
        <v>214</v>
      </c>
      <c r="B7" s="8" t="n">
        <v>0.6739</v>
      </c>
      <c r="C7" s="12" t="n">
        <v>0.6878</v>
      </c>
      <c r="D7" s="12" t="n">
        <v>0.692</v>
      </c>
      <c r="E7" s="12" t="n">
        <v>0.696</v>
      </c>
      <c r="F7" s="12" t="n">
        <v>0.7</v>
      </c>
      <c r="G7" s="12" t="n">
        <v>0.703</v>
      </c>
      <c r="H7" s="12" t="n">
        <v>0.706</v>
      </c>
      <c r="I7" s="12" t="n">
        <v>0.709</v>
      </c>
      <c r="J7" s="12" t="n">
        <v>0.711</v>
      </c>
      <c r="K7" s="12" t="n">
        <v>0.713</v>
      </c>
      <c r="L7" s="12" t="n">
        <v>0.715</v>
      </c>
    </row>
    <row r="8" customFormat="false" ht="15" hidden="false" customHeight="false" outlineLevel="0" collapsed="false">
      <c r="A8" s="2" t="s">
        <v>215</v>
      </c>
      <c r="C8" s="20" t="n">
        <f aca="false">C6*C7</f>
        <v>35210.0907642</v>
      </c>
      <c r="D8" s="20" t="n">
        <f aca="false">D6*D7</f>
        <v>39144.73393974</v>
      </c>
      <c r="E8" s="20" t="n">
        <f aca="false">E6*E7</f>
        <v>43111.2494655414</v>
      </c>
      <c r="F8" s="20" t="n">
        <f aca="false">F6*F7</f>
        <v>47044.5315647682</v>
      </c>
      <c r="G8" s="20" t="n">
        <f aca="false">G6*G7</f>
        <v>50789.6123096921</v>
      </c>
      <c r="H8" s="20" t="n">
        <f aca="false">H6*H7</f>
        <v>54321.7661444301</v>
      </c>
      <c r="I8" s="20" t="n">
        <f aca="false">I6*I7</f>
        <v>57825.7508897805</v>
      </c>
      <c r="J8" s="20" t="n">
        <f aca="false">J6*J7</f>
        <v>61178.2579283199</v>
      </c>
      <c r="K8" s="20" t="n">
        <f aca="false">K6*K7</f>
        <v>64417.8661013174</v>
      </c>
      <c r="L8" s="20" t="n">
        <f aca="false">L6*L7</f>
        <v>67505.4966399044</v>
      </c>
    </row>
    <row r="9" customFormat="false" ht="15" hidden="false" customHeight="false" outlineLevel="0" collapsed="false">
      <c r="A9" s="2" t="s">
        <v>216</v>
      </c>
      <c r="B9" s="21" t="n">
        <v>0.0082</v>
      </c>
      <c r="C9" s="22" t="n">
        <v>0.012</v>
      </c>
      <c r="D9" s="22" t="n">
        <v>0.013</v>
      </c>
      <c r="E9" s="22" t="n">
        <v>0.014</v>
      </c>
      <c r="F9" s="22" t="n">
        <v>0.0145</v>
      </c>
      <c r="G9" s="22" t="n">
        <v>0.015</v>
      </c>
      <c r="H9" s="22" t="n">
        <v>0.0155</v>
      </c>
      <c r="I9" s="22" t="n">
        <v>0.016</v>
      </c>
      <c r="J9" s="22" t="n">
        <v>0.016</v>
      </c>
      <c r="K9" s="22" t="n">
        <v>0.0165</v>
      </c>
      <c r="L9" s="22" t="n">
        <v>0.0165</v>
      </c>
    </row>
    <row r="10" customFormat="false" ht="15" hidden="false" customHeight="false" outlineLevel="0" collapsed="false">
      <c r="A10" s="2" t="s">
        <v>217</v>
      </c>
      <c r="C10" s="20" t="n">
        <f aca="false">-C6*C9</f>
        <v>-614.308068</v>
      </c>
      <c r="D10" s="20" t="n">
        <f aca="false">-D6*D9</f>
        <v>-735.377949735</v>
      </c>
      <c r="E10" s="20" t="n">
        <f aca="false">-E6*E9</f>
        <v>-867.18030534135</v>
      </c>
      <c r="F10" s="20" t="n">
        <f aca="false">-F6*F9</f>
        <v>-974.493868127342</v>
      </c>
      <c r="G10" s="20" t="n">
        <f aca="false">-G6*G9</f>
        <v>-1083.70438783127</v>
      </c>
      <c r="H10" s="20" t="n">
        <f aca="false">-H6*H9</f>
        <v>-1192.61667880831</v>
      </c>
      <c r="I10" s="20" t="n">
        <f aca="false">-I6*I9</f>
        <v>-1304.9534756509</v>
      </c>
      <c r="J10" s="20" t="n">
        <f aca="false">-J6*J9</f>
        <v>-1376.7259168117</v>
      </c>
      <c r="K10" s="20" t="n">
        <f aca="false">-K6*K9</f>
        <v>-1490.73603179767</v>
      </c>
      <c r="L10" s="20" t="n">
        <f aca="false">-L6*L9</f>
        <v>-1557.81915322856</v>
      </c>
    </row>
    <row r="11" customFormat="false" ht="15" hidden="false" customHeight="false" outlineLevel="0" collapsed="false">
      <c r="A11" s="2" t="s">
        <v>218</v>
      </c>
      <c r="C11" s="20" t="n">
        <f aca="false">C8+C10</f>
        <v>34595.7826962</v>
      </c>
      <c r="D11" s="20" t="n">
        <f aca="false">D8+D10</f>
        <v>38409.355990005</v>
      </c>
      <c r="E11" s="20" t="n">
        <f aca="false">E8+E10</f>
        <v>42244.0691602</v>
      </c>
      <c r="F11" s="20" t="n">
        <f aca="false">F8+F10</f>
        <v>46070.0376966409</v>
      </c>
      <c r="G11" s="20" t="n">
        <f aca="false">G8+G10</f>
        <v>49705.9079218608</v>
      </c>
      <c r="H11" s="20" t="n">
        <f aca="false">H8+H10</f>
        <v>53129.1494656218</v>
      </c>
      <c r="I11" s="20" t="n">
        <f aca="false">I8+I10</f>
        <v>56520.7974141296</v>
      </c>
      <c r="J11" s="20" t="n">
        <f aca="false">J8+J10</f>
        <v>59801.5320115082</v>
      </c>
      <c r="K11" s="20" t="n">
        <f aca="false">K8+K10</f>
        <v>62927.1300695198</v>
      </c>
      <c r="L11" s="20" t="n">
        <f aca="false">L8+L10</f>
        <v>65947.6774866759</v>
      </c>
    </row>
    <row r="12" customFormat="false" ht="15" hidden="false" customHeight="false" outlineLevel="0" collapsed="false">
      <c r="A12" s="2" t="s">
        <v>219</v>
      </c>
      <c r="C12" s="20" t="n">
        <f aca="false">-C6*(C46+C47)</f>
        <v>-18470.1959112</v>
      </c>
      <c r="D12" s="20" t="n">
        <f aca="false">-D6*(D46+D47)</f>
        <v>-20036.220753549</v>
      </c>
      <c r="E12" s="20" t="n">
        <f aca="false">-E6*(E46+E47)</f>
        <v>-21580.4013129233</v>
      </c>
      <c r="F12" s="20" t="n">
        <f aca="false">-F6*(F46+F47)</f>
        <v>-23085.4237035684</v>
      </c>
      <c r="G12" s="20" t="n">
        <f aca="false">-G6*(G46+G47)</f>
        <v>-24462.8203813112</v>
      </c>
      <c r="H12" s="20" t="n">
        <f aca="false">-H6*(H46+H47)</f>
        <v>-25752.8259611059</v>
      </c>
      <c r="I12" s="20" t="n">
        <f aca="false">-I6*(I46+I47)</f>
        <v>-27061.4727013105</v>
      </c>
      <c r="J12" s="20" t="n">
        <f aca="false">-J6*(J46+J47)</f>
        <v>-28291.7175904804</v>
      </c>
      <c r="K12" s="20" t="n">
        <f aca="false">-K6*(K46+K47)</f>
        <v>-29534.642957252</v>
      </c>
      <c r="L12" s="20" t="n">
        <f aca="false">-L6*(L46+L47)</f>
        <v>-30684.316654502</v>
      </c>
    </row>
    <row r="13" customFormat="false" ht="15" hidden="false" customHeight="false" outlineLevel="0" collapsed="false">
      <c r="A13" s="2" t="s">
        <v>220</v>
      </c>
      <c r="C13" s="20" t="n">
        <f aca="false">C11+C12</f>
        <v>16125.586785</v>
      </c>
      <c r="D13" s="20" t="n">
        <f aca="false">D11+D12</f>
        <v>18373.135236456</v>
      </c>
      <c r="E13" s="20" t="n">
        <f aca="false">E11+E12</f>
        <v>20663.6678472767</v>
      </c>
      <c r="F13" s="20" t="n">
        <f aca="false">F11+F12</f>
        <v>22984.6139930725</v>
      </c>
      <c r="G13" s="20" t="n">
        <f aca="false">G11+G12</f>
        <v>25243.0875405497</v>
      </c>
      <c r="H13" s="20" t="n">
        <f aca="false">H11+H12</f>
        <v>27376.3235045159</v>
      </c>
      <c r="I13" s="20" t="n">
        <f aca="false">I11+I12</f>
        <v>29459.3247128191</v>
      </c>
      <c r="J13" s="20" t="n">
        <f aca="false">J11+J12</f>
        <v>31509.8144210278</v>
      </c>
      <c r="K13" s="20" t="n">
        <f aca="false">K11+K12</f>
        <v>33392.4871122678</v>
      </c>
      <c r="L13" s="20" t="n">
        <f aca="false">L11+L12</f>
        <v>35263.3608321738</v>
      </c>
    </row>
    <row r="14" customFormat="false" ht="15" hidden="false" customHeight="false" outlineLevel="0" collapsed="false">
      <c r="A14" s="2" t="s">
        <v>111</v>
      </c>
      <c r="B14" s="8" t="n">
        <v>0.1638</v>
      </c>
      <c r="C14" s="12" t="n">
        <v>0.17</v>
      </c>
      <c r="D14" s="12" t="n">
        <v>0.18</v>
      </c>
      <c r="E14" s="12" t="n">
        <v>0.19</v>
      </c>
      <c r="F14" s="12" t="n">
        <v>0.2</v>
      </c>
      <c r="G14" s="12" t="n">
        <v>0.21</v>
      </c>
      <c r="H14" s="12" t="n">
        <v>0.21</v>
      </c>
      <c r="I14" s="12" t="n">
        <v>0.21</v>
      </c>
      <c r="J14" s="12" t="n">
        <v>0.21</v>
      </c>
      <c r="K14" s="12" t="n">
        <v>0.21</v>
      </c>
      <c r="L14" s="12" t="n">
        <v>0.21</v>
      </c>
    </row>
    <row r="15" customFormat="false" ht="15" hidden="false" customHeight="false" outlineLevel="0" collapsed="false">
      <c r="A15" s="2" t="s">
        <v>221</v>
      </c>
      <c r="C15" s="20" t="n">
        <f aca="false">C13*(1-C14)</f>
        <v>13384.23703155</v>
      </c>
      <c r="D15" s="20" t="n">
        <f aca="false">D13*(1-D14)</f>
        <v>15065.9708938939</v>
      </c>
      <c r="E15" s="20" t="n">
        <f aca="false">E13*(1-E14)</f>
        <v>16737.5709562942</v>
      </c>
      <c r="F15" s="20" t="n">
        <f aca="false">F13*(1-F14)</f>
        <v>18387.691194458</v>
      </c>
      <c r="G15" s="20" t="n">
        <f aca="false">G13*(1-G14)</f>
        <v>19942.0391570342</v>
      </c>
      <c r="H15" s="20" t="n">
        <f aca="false">H13*(1-H14)</f>
        <v>21627.2955685676</v>
      </c>
      <c r="I15" s="20" t="n">
        <f aca="false">I13*(1-I14)</f>
        <v>23272.8665231271</v>
      </c>
      <c r="J15" s="20" t="n">
        <f aca="false">J13*(1-J14)</f>
        <v>24892.7533926119</v>
      </c>
      <c r="K15" s="20" t="n">
        <f aca="false">K13*(1-K14)</f>
        <v>26380.0648186915</v>
      </c>
      <c r="L15" s="20" t="n">
        <f aca="false">L13*(1-L14)</f>
        <v>27858.0550574173</v>
      </c>
    </row>
    <row r="16" customFormat="false" ht="15" hidden="false" customHeight="false" outlineLevel="0" collapsed="false">
      <c r="A16" s="2" t="s">
        <v>222</v>
      </c>
      <c r="C16" s="20" t="n">
        <f aca="false">-C12</f>
        <v>18470.1959112</v>
      </c>
      <c r="D16" s="20" t="n">
        <f aca="false">-D12</f>
        <v>20036.220753549</v>
      </c>
      <c r="E16" s="20" t="n">
        <f aca="false">-E12</f>
        <v>21580.4013129233</v>
      </c>
      <c r="F16" s="20" t="n">
        <f aca="false">-F12</f>
        <v>23085.4237035684</v>
      </c>
      <c r="G16" s="20" t="n">
        <f aca="false">-G12</f>
        <v>24462.8203813112</v>
      </c>
      <c r="H16" s="20" t="n">
        <f aca="false">-H12</f>
        <v>25752.8259611059</v>
      </c>
      <c r="I16" s="20" t="n">
        <f aca="false">-I12</f>
        <v>27061.4727013105</v>
      </c>
      <c r="J16" s="20" t="n">
        <f aca="false">-J12</f>
        <v>28291.7175904804</v>
      </c>
      <c r="K16" s="20" t="n">
        <f aca="false">-K12</f>
        <v>29534.642957252</v>
      </c>
      <c r="L16" s="20" t="n">
        <f aca="false">-L12</f>
        <v>30684.316654502</v>
      </c>
    </row>
    <row r="17" customFormat="false" ht="15" hidden="false" customHeight="false" outlineLevel="0" collapsed="false">
      <c r="A17" s="2" t="s">
        <v>223</v>
      </c>
      <c r="C17" s="20" t="n">
        <f aca="false">-C6*(C46*C48+C49)</f>
        <v>-20767.70808552</v>
      </c>
      <c r="D17" s="20" t="n">
        <f aca="false">-D6*(D46*D48+D49)</f>
        <v>-22099.8044155746</v>
      </c>
      <c r="E17" s="20" t="n">
        <f aca="false">-E6*(E46*E48+E49)</f>
        <v>-23345.7326487968</v>
      </c>
      <c r="F17" s="20" t="n">
        <f aca="false">-F6*(F46*F48+F49)</f>
        <v>-24715.1806899193</v>
      </c>
      <c r="G17" s="20" t="n">
        <f aca="false">-G6*(G46*G48+G49)</f>
        <v>-25936.6583487617</v>
      </c>
      <c r="H17" s="20" t="n">
        <f aca="false">-H6*(H46*H48+H49)</f>
        <v>-27028.5410923731</v>
      </c>
      <c r="I17" s="20" t="n">
        <f aca="false">-I6*(I46*I48+I49)</f>
        <v>-28398.2344179304</v>
      </c>
      <c r="J17" s="20" t="n">
        <f aca="false">-J6*(J46*J48+J49)</f>
        <v>-29393.0983239298</v>
      </c>
      <c r="K17" s="20" t="n">
        <f aca="false">-K6*(K46*K48+K49)</f>
        <v>-30660.374530355</v>
      </c>
      <c r="L17" s="20" t="n">
        <f aca="false">-L6*(L46*L48+L49)</f>
        <v>-31847.4882889127</v>
      </c>
    </row>
    <row r="18" customFormat="false" ht="15" hidden="false" customHeight="false" outlineLevel="0" collapsed="false">
      <c r="A18" s="2" t="s">
        <v>224</v>
      </c>
      <c r="C18" s="23" t="n">
        <f aca="false">Assumptions!$D$16*(C6-B6)</f>
        <v>-240.37356</v>
      </c>
      <c r="D18" s="23" t="n">
        <f aca="false">Assumptions!$D$16*(D6-C6)</f>
        <v>-215.0078238</v>
      </c>
      <c r="E18" s="23" t="n">
        <f aca="false">Assumptions!$D$16*(E6-D6)</f>
        <v>-214.956631461</v>
      </c>
      <c r="F18" s="23" t="n">
        <f aca="false">Assumptions!$D$16*(F6-E6)</f>
        <v>-210.600931297185</v>
      </c>
      <c r="G18" s="23" t="n">
        <f aca="false">Assumptions!$D$16*(G6-F6)</f>
        <v>-201.619420991864</v>
      </c>
      <c r="H18" s="23" t="n">
        <f aca="false">Assumptions!$D$16*(H6-G6)</f>
        <v>-187.842093890753</v>
      </c>
      <c r="I18" s="23" t="n">
        <f aca="false">Assumptions!$D$16*(I6-H6)</f>
        <v>-184.663227686448</v>
      </c>
      <c r="J18" s="23" t="n">
        <f aca="false">Assumptions!$D$16*(J6-I6)</f>
        <v>-179.431102901999</v>
      </c>
      <c r="K18" s="23" t="n">
        <f aca="false">Assumptions!$D$16*(K6-J6)</f>
        <v>-172.090739601463</v>
      </c>
      <c r="L18" s="23" t="n">
        <f aca="false">Assumptions!$D$16*(L6-K6)</f>
        <v>-162.625748923382</v>
      </c>
    </row>
    <row r="19" customFormat="false" ht="15" hidden="false" customHeight="false" outlineLevel="0" collapsed="false">
      <c r="A19" s="2" t="s">
        <v>225</v>
      </c>
      <c r="C19" s="24" t="n">
        <f aca="false">C15+C16+C17+C18</f>
        <v>10846.35129723</v>
      </c>
      <c r="D19" s="24" t="n">
        <f aca="false">D15+D16+D17+D18</f>
        <v>12787.3794080683</v>
      </c>
      <c r="E19" s="24" t="n">
        <f aca="false">E15+E16+E17+E18</f>
        <v>14757.2829889597</v>
      </c>
      <c r="F19" s="24" t="n">
        <f aca="false">F15+F16+F17+F18</f>
        <v>16547.3332768099</v>
      </c>
      <c r="G19" s="24" t="n">
        <f aca="false">G15+G16+G17+G18</f>
        <v>18266.5817685919</v>
      </c>
      <c r="H19" s="24" t="n">
        <f aca="false">H15+H16+H17+H18</f>
        <v>20163.7383434096</v>
      </c>
      <c r="I19" s="24" t="n">
        <f aca="false">I15+I16+I17+I18</f>
        <v>21751.4415788207</v>
      </c>
      <c r="J19" s="24" t="n">
        <f aca="false">J15+J16+J17+J18</f>
        <v>23611.9415562606</v>
      </c>
      <c r="K19" s="24" t="n">
        <f aca="false">K15+K16+K17+K18</f>
        <v>25082.2425059871</v>
      </c>
      <c r="L19" s="24" t="n">
        <f aca="false">L15+L16+L17+L18</f>
        <v>26532.2576740833</v>
      </c>
    </row>
    <row r="20" customFormat="false" ht="15" hidden="false" customHeight="false" outlineLevel="0" collapsed="false">
      <c r="A20" s="2" t="s">
        <v>226</v>
      </c>
      <c r="C20" s="25" t="n">
        <f aca="false">1/(1+Assumptions!$B$5)^C4</f>
        <v>0.904977375565611</v>
      </c>
      <c r="D20" s="25" t="n">
        <f aca="false">1/(1+Assumptions!$B$5)^D4</f>
        <v>0.818984050285621</v>
      </c>
      <c r="E20" s="25" t="n">
        <f aca="false">1/(1+Assumptions!$B$5)^E4</f>
        <v>0.741162036457575</v>
      </c>
      <c r="F20" s="25" t="n">
        <f aca="false">1/(1+Assumptions!$B$5)^F4</f>
        <v>0.67073487462224</v>
      </c>
      <c r="G20" s="25" t="n">
        <f aca="false">1/(1+Assumptions!$B$5)^G4</f>
        <v>0.606999886535964</v>
      </c>
      <c r="H20" s="25" t="n">
        <f aca="false">1/(1+Assumptions!$B$5)^H4</f>
        <v>0.54932116428594</v>
      </c>
      <c r="I20" s="25" t="n">
        <f aca="false">1/(1+Assumptions!$B$5)^I4</f>
        <v>0.497123225598136</v>
      </c>
      <c r="J20" s="25" t="n">
        <f aca="false">1/(1+Assumptions!$B$5)^J4</f>
        <v>0.449885272034512</v>
      </c>
      <c r="K20" s="25" t="n">
        <f aca="false">1/(1+Assumptions!$B$5)^K4</f>
        <v>0.407135992791414</v>
      </c>
      <c r="L20" s="25" t="n">
        <f aca="false">1/(1+Assumptions!$B$5)^L4</f>
        <v>0.368448862254673</v>
      </c>
    </row>
    <row r="21" customFormat="false" ht="15" hidden="false" customHeight="false" outlineLevel="0" collapsed="false">
      <c r="A21" s="2" t="s">
        <v>227</v>
      </c>
      <c r="C21" s="20" t="n">
        <f aca="false">C19*C20</f>
        <v>9815.70253142986</v>
      </c>
      <c r="D21" s="20" t="n">
        <f aca="false">D19*D20</f>
        <v>10472.6597801587</v>
      </c>
      <c r="E21" s="20" t="n">
        <f aca="false">E19*E20</f>
        <v>10937.5379126781</v>
      </c>
      <c r="F21" s="20" t="n">
        <f aca="false">F19*F20</f>
        <v>11098.8735107535</v>
      </c>
      <c r="G21" s="20" t="n">
        <f aca="false">G19*G20</f>
        <v>11087.8130609352</v>
      </c>
      <c r="H21" s="20" t="n">
        <f aca="false">H19*H20</f>
        <v>11076.3682231588</v>
      </c>
      <c r="I21" s="20" t="n">
        <f aca="false">I19*I20</f>
        <v>10813.1467990728</v>
      </c>
      <c r="J21" s="20" t="n">
        <f aca="false">J19*J20</f>
        <v>10622.6647503013</v>
      </c>
      <c r="K21" s="20" t="n">
        <f aca="false">K19*K20</f>
        <v>10211.8837041101</v>
      </c>
      <c r="L21" s="20" t="n">
        <f aca="false">L19*L20</f>
        <v>9775.78015306381</v>
      </c>
    </row>
    <row r="23" customFormat="false" ht="15" hidden="false" customHeight="false" outlineLevel="0" collapsed="false">
      <c r="A23" s="2" t="s">
        <v>228</v>
      </c>
      <c r="C23" s="20" t="n">
        <f aca="false">C19-C10</f>
        <v>11460.65936523</v>
      </c>
      <c r="D23" s="20" t="n">
        <f aca="false">D19-D10</f>
        <v>13522.7573578033</v>
      </c>
      <c r="E23" s="20" t="n">
        <f aca="false">E19-E10</f>
        <v>15624.463294301</v>
      </c>
      <c r="F23" s="20" t="n">
        <f aca="false">F19-F10</f>
        <v>17521.8271449372</v>
      </c>
      <c r="G23" s="20" t="n">
        <f aca="false">G19-G10</f>
        <v>19350.2861564231</v>
      </c>
      <c r="H23" s="20" t="n">
        <f aca="false">H19-H10</f>
        <v>21356.3550222179</v>
      </c>
      <c r="I23" s="20" t="n">
        <f aca="false">I19-I10</f>
        <v>23056.3950544716</v>
      </c>
      <c r="J23" s="20" t="n">
        <f aca="false">J19-J10</f>
        <v>24988.6674730723</v>
      </c>
      <c r="K23" s="20" t="n">
        <f aca="false">K19-K10</f>
        <v>26572.9785377848</v>
      </c>
      <c r="L23" s="20" t="n">
        <f aca="false">L19-L10</f>
        <v>28090.0768273119</v>
      </c>
    </row>
    <row r="24" customFormat="false" ht="15" hidden="false" customHeight="false" outlineLevel="0" collapsed="false">
      <c r="A24" s="2" t="s">
        <v>229</v>
      </c>
      <c r="C24" s="17" t="n">
        <f aca="false">C19/C6</f>
        <v>0.211874501323919</v>
      </c>
      <c r="D24" s="17" t="n">
        <f aca="false">D19/D6</f>
        <v>0.226055095022624</v>
      </c>
      <c r="E24" s="17" t="n">
        <f aca="false">E19/E6</f>
        <v>0.238245680365297</v>
      </c>
      <c r="F24" s="17" t="n">
        <f aca="false">F19/F6</f>
        <v>0.246216359447005</v>
      </c>
      <c r="G24" s="17" t="n">
        <f aca="false">G19/G6</f>
        <v>0.252835302325581</v>
      </c>
      <c r="H24" s="17" t="n">
        <f aca="false">H19/H6</f>
        <v>0.262060685446009</v>
      </c>
      <c r="I24" s="17" t="n">
        <f aca="false">I19/I6</f>
        <v>0.266693849056604</v>
      </c>
      <c r="J24" s="17" t="n">
        <f aca="false">J19/J6</f>
        <v>0.274412691943128</v>
      </c>
      <c r="K24" s="17" t="n">
        <f aca="false">K19/K6</f>
        <v>0.277619238095238</v>
      </c>
      <c r="L24" s="17" t="n">
        <f aca="false">L19/L6</f>
        <v>0.281022511961723</v>
      </c>
    </row>
    <row r="25" customFormat="false" ht="15" hidden="false" customHeight="false" outlineLevel="0" collapsed="false">
      <c r="A25" s="4" t="s">
        <v>230</v>
      </c>
    </row>
    <row r="26" customFormat="false" ht="15" hidden="false" customHeight="false" outlineLevel="0" collapsed="false">
      <c r="A26" s="2" t="s">
        <v>231</v>
      </c>
      <c r="B26" s="20" t="n">
        <f aca="false">SUM(C21:L21)</f>
        <v>105912.430425662</v>
      </c>
    </row>
    <row r="27" customFormat="false" ht="15" hidden="false" customHeight="false" outlineLevel="0" collapsed="false">
      <c r="A27" s="2" t="s">
        <v>190</v>
      </c>
      <c r="B27" s="26" t="n">
        <f aca="false">Assumptions!$D$15</f>
        <v>0.03</v>
      </c>
    </row>
    <row r="28" customFormat="false" ht="15" hidden="false" customHeight="false" outlineLevel="0" collapsed="false">
      <c r="A28" s="2" t="s">
        <v>232</v>
      </c>
      <c r="B28" s="20" t="n">
        <f aca="false">L19*(1+B27)</f>
        <v>27328.2254043058</v>
      </c>
    </row>
    <row r="29" customFormat="false" ht="15" hidden="false" customHeight="false" outlineLevel="0" collapsed="false">
      <c r="A29" s="2" t="s">
        <v>233</v>
      </c>
      <c r="B29" s="20" t="n">
        <f aca="false">B28/(Assumptions!$B$5-B27)</f>
        <v>364376.338724077</v>
      </c>
    </row>
    <row r="30" customFormat="false" ht="15" hidden="false" customHeight="false" outlineLevel="0" collapsed="false">
      <c r="A30" s="2" t="s">
        <v>234</v>
      </c>
      <c r="B30" s="23" t="n">
        <f aca="false">Assumptions!$B$12*L19</f>
        <v>530645.153481666</v>
      </c>
    </row>
    <row r="31" customFormat="false" ht="15" hidden="false" customHeight="false" outlineLevel="0" collapsed="false">
      <c r="A31" s="2" t="s">
        <v>235</v>
      </c>
      <c r="B31" s="20" t="n">
        <f aca="false">MIN(B29,B30)</f>
        <v>364376.338724077</v>
      </c>
    </row>
    <row r="32" customFormat="false" ht="15" hidden="false" customHeight="false" outlineLevel="0" collapsed="false">
      <c r="A32" s="2" t="s">
        <v>236</v>
      </c>
      <c r="B32" s="27" t="n">
        <f aca="false">B31/L19</f>
        <v>13.7333333333333</v>
      </c>
    </row>
    <row r="33" customFormat="false" ht="15" hidden="false" customHeight="false" outlineLevel="0" collapsed="false">
      <c r="A33" s="2" t="s">
        <v>237</v>
      </c>
      <c r="B33" s="20" t="n">
        <f aca="false">B31*L20</f>
        <v>134254.04743541</v>
      </c>
    </row>
    <row r="34" customFormat="false" ht="15" hidden="false" customHeight="false" outlineLevel="0" collapsed="false">
      <c r="A34" s="2" t="s">
        <v>238</v>
      </c>
      <c r="B34" s="20" t="n">
        <f aca="false">B26+B33</f>
        <v>240166.477861072</v>
      </c>
    </row>
    <row r="35" customFormat="false" ht="15" hidden="false" customHeight="false" outlineLevel="0" collapsed="false">
      <c r="A35" s="2" t="s">
        <v>239</v>
      </c>
      <c r="B35" s="23" t="n">
        <f aca="false">Assumptions!$B$9</f>
        <v>-5244.2</v>
      </c>
    </row>
    <row r="36" customFormat="false" ht="15" hidden="false" customHeight="false" outlineLevel="0" collapsed="false">
      <c r="A36" s="2" t="s">
        <v>240</v>
      </c>
      <c r="B36" s="20" t="n">
        <f aca="false">B34+B35</f>
        <v>234922.277861072</v>
      </c>
    </row>
    <row r="37" customFormat="false" ht="15" hidden="false" customHeight="false" outlineLevel="0" collapsed="false">
      <c r="A37" s="2" t="s">
        <v>180</v>
      </c>
      <c r="B37" s="28" t="n">
        <f aca="false">Assumptions!$B$10</f>
        <v>4261.3</v>
      </c>
    </row>
    <row r="38" customFormat="false" ht="15" hidden="false" customHeight="false" outlineLevel="0" collapsed="false">
      <c r="A38" s="2" t="s">
        <v>241</v>
      </c>
      <c r="B38" s="29" t="n">
        <f aca="false">B36/B37</f>
        <v>55.1292511348818</v>
      </c>
    </row>
    <row r="39" customFormat="false" ht="15" hidden="false" customHeight="false" outlineLevel="0" collapsed="false">
      <c r="A39" s="2" t="s">
        <v>242</v>
      </c>
      <c r="B39" s="17" t="n">
        <f aca="false">B38/Assumptions!$B$11-1</f>
        <v>-0.256416898639307</v>
      </c>
    </row>
    <row r="41" customFormat="false" ht="15" hidden="false" customHeight="false" outlineLevel="0" collapsed="false">
      <c r="A41" s="2" t="s">
        <v>243</v>
      </c>
      <c r="B41" s="20" t="n">
        <f aca="false">SUMPRODUCT(-C10:L10/(1+Assumptions!$B$5)^C4:L4)</f>
        <v>6216.48426504962</v>
      </c>
    </row>
    <row r="42" customFormat="false" ht="15" hidden="false" customHeight="false" outlineLevel="0" collapsed="false">
      <c r="A42" s="2" t="s">
        <v>244</v>
      </c>
      <c r="B42" s="20" t="n">
        <f aca="false">(-L10*(1+B27)/(Assumptions!$B$5-B27))*L20</f>
        <v>7882.61327258361</v>
      </c>
    </row>
    <row r="43" customFormat="false" ht="15" hidden="false" customHeight="false" outlineLevel="0" collapsed="false">
      <c r="A43" s="2" t="s">
        <v>245</v>
      </c>
      <c r="B43" s="30" t="n">
        <f aca="false">(B36+B41+B42)/B37</f>
        <v>58.437888766035</v>
      </c>
    </row>
    <row r="45" customFormat="false" ht="15" hidden="false" customHeight="false" outlineLevel="0" collapsed="false">
      <c r="A45" s="4" t="s">
        <v>246</v>
      </c>
    </row>
    <row r="46" customFormat="false" ht="15" hidden="false" customHeight="false" outlineLevel="0" collapsed="false">
      <c r="A46" s="2" t="s">
        <v>247</v>
      </c>
      <c r="B46" s="8" t="n">
        <v>0.3635</v>
      </c>
      <c r="C46" s="12" t="n">
        <v>0.3528</v>
      </c>
      <c r="D46" s="12" t="n">
        <v>0.346</v>
      </c>
      <c r="E46" s="12" t="n">
        <v>0.34</v>
      </c>
      <c r="F46" s="12" t="n">
        <v>0.335</v>
      </c>
      <c r="G46" s="12" t="n">
        <v>0.33</v>
      </c>
      <c r="H46" s="12" t="n">
        <v>0.326</v>
      </c>
      <c r="I46" s="12" t="n">
        <v>0.323</v>
      </c>
      <c r="J46" s="12" t="n">
        <v>0.32</v>
      </c>
      <c r="K46" s="12" t="n">
        <v>0.318</v>
      </c>
      <c r="L46" s="12" t="n">
        <v>0.316</v>
      </c>
    </row>
    <row r="47" customFormat="false" ht="15" hidden="false" customHeight="false" outlineLevel="0" collapsed="false">
      <c r="A47" s="2" t="s">
        <v>248</v>
      </c>
      <c r="B47" s="21" t="n">
        <v>0.0074</v>
      </c>
      <c r="C47" s="22" t="n">
        <v>0.008</v>
      </c>
      <c r="D47" s="22" t="n">
        <v>0.0082</v>
      </c>
      <c r="E47" s="22" t="n">
        <v>0.0084</v>
      </c>
      <c r="F47" s="22" t="n">
        <v>0.0085</v>
      </c>
      <c r="G47" s="22" t="n">
        <v>0.0086</v>
      </c>
      <c r="H47" s="22" t="n">
        <v>0.0087</v>
      </c>
      <c r="I47" s="22" t="n">
        <v>0.0088</v>
      </c>
      <c r="J47" s="22" t="n">
        <v>0.0088</v>
      </c>
      <c r="K47" s="22" t="n">
        <v>0.0089</v>
      </c>
      <c r="L47" s="22" t="n">
        <v>0.009</v>
      </c>
    </row>
    <row r="48" customFormat="false" ht="15" hidden="false" customHeight="false" outlineLevel="0" collapsed="false">
      <c r="A48" s="2" t="s">
        <v>249</v>
      </c>
      <c r="B48" s="11" t="n">
        <v>1.078</v>
      </c>
      <c r="C48" s="31" t="n">
        <v>1.1</v>
      </c>
      <c r="D48" s="31" t="n">
        <v>1.08</v>
      </c>
      <c r="E48" s="31" t="n">
        <v>1.06</v>
      </c>
      <c r="F48" s="31" t="n">
        <v>1.05</v>
      </c>
      <c r="G48" s="31" t="n">
        <v>1.04</v>
      </c>
      <c r="H48" s="31" t="n">
        <v>1.03</v>
      </c>
      <c r="I48" s="31" t="n">
        <v>1.03</v>
      </c>
      <c r="J48" s="31" t="n">
        <v>1.02</v>
      </c>
      <c r="K48" s="31" t="n">
        <v>1.02</v>
      </c>
      <c r="L48" s="31" t="n">
        <v>1.02</v>
      </c>
    </row>
    <row r="49" customFormat="false" ht="15" hidden="false" customHeight="false" outlineLevel="0" collapsed="false">
      <c r="A49" s="2" t="s">
        <v>250</v>
      </c>
      <c r="B49" s="21" t="n">
        <v>0.0152</v>
      </c>
      <c r="C49" s="22" t="n">
        <v>0.0176</v>
      </c>
      <c r="D49" s="22" t="n">
        <v>0.017</v>
      </c>
      <c r="E49" s="22" t="n">
        <v>0.0165</v>
      </c>
      <c r="F49" s="22" t="n">
        <v>0.016</v>
      </c>
      <c r="G49" s="22" t="n">
        <v>0.0158</v>
      </c>
      <c r="H49" s="22" t="n">
        <v>0.0155</v>
      </c>
      <c r="I49" s="22" t="n">
        <v>0.0155</v>
      </c>
      <c r="J49" s="22" t="n">
        <v>0.0152</v>
      </c>
      <c r="K49" s="22" t="n">
        <v>0.015</v>
      </c>
      <c r="L49" s="22" t="n">
        <v>0.015</v>
      </c>
    </row>
    <row r="51" customFormat="false" ht="15" hidden="false" customHeight="false" outlineLevel="0" collapsed="false">
      <c r="A51" s="2" t="s">
        <v>251</v>
      </c>
      <c r="C51" s="20" t="n">
        <f aca="false">C6*C46</f>
        <v>18060.6571992</v>
      </c>
      <c r="D51" s="20" t="n">
        <f aca="false">D6*D46</f>
        <v>19572.36696987</v>
      </c>
      <c r="E51" s="20" t="n">
        <f aca="false">E6*E46</f>
        <v>21060.0931297185</v>
      </c>
      <c r="F51" s="20" t="n">
        <f aca="false">F6*F46</f>
        <v>22514.1686774248</v>
      </c>
      <c r="G51" s="20" t="n">
        <f aca="false">G6*G46</f>
        <v>23841.4965322879</v>
      </c>
      <c r="H51" s="20" t="n">
        <f aca="false">H6*H46</f>
        <v>25083.4217607425</v>
      </c>
      <c r="I51" s="20" t="n">
        <f aca="false">I6*I46</f>
        <v>26343.7482897025</v>
      </c>
      <c r="J51" s="20" t="n">
        <f aca="false">J6*J46</f>
        <v>27534.518336234</v>
      </c>
      <c r="K51" s="20" t="n">
        <f aca="false">K6*K46</f>
        <v>28730.5489764642</v>
      </c>
      <c r="L51" s="20" t="n">
        <f aca="false">L6*L46</f>
        <v>29834.5971163773</v>
      </c>
    </row>
    <row r="52" customFormat="false" ht="15" hidden="false" customHeight="false" outlineLevel="0" collapsed="false">
      <c r="A52" s="2" t="s">
        <v>252</v>
      </c>
      <c r="C52" s="20" t="n">
        <f aca="false">C6*C46*C48</f>
        <v>19866.72291912</v>
      </c>
      <c r="D52" s="20" t="n">
        <f aca="false">D6*D46*D48</f>
        <v>21138.1563274596</v>
      </c>
      <c r="E52" s="20" t="n">
        <f aca="false">E6*E46*E48</f>
        <v>22323.6987175016</v>
      </c>
      <c r="F52" s="20" t="n">
        <f aca="false">F6*F46*F48</f>
        <v>23639.877111296</v>
      </c>
      <c r="G52" s="20" t="n">
        <f aca="false">G6*G46*G48</f>
        <v>24795.1563935794</v>
      </c>
      <c r="H52" s="20" t="n">
        <f aca="false">H6*H46*H48</f>
        <v>25835.9244135648</v>
      </c>
      <c r="I52" s="20" t="n">
        <f aca="false">I6*I46*I48</f>
        <v>27134.0607383936</v>
      </c>
      <c r="J52" s="20" t="n">
        <f aca="false">J6*J46*J48</f>
        <v>28085.2087029587</v>
      </c>
      <c r="K52" s="20" t="n">
        <f aca="false">K6*K46*K48</f>
        <v>29305.1599559934</v>
      </c>
      <c r="L52" s="20" t="n">
        <f aca="false">L6*L46*L48</f>
        <v>30431.2890587049</v>
      </c>
    </row>
    <row r="53" customFormat="false" ht="15" hidden="false" customHeight="false" outlineLevel="0" collapsed="false">
      <c r="A53" s="2" t="s">
        <v>253</v>
      </c>
      <c r="C53" s="20" t="n">
        <f aca="false">C52-C51</f>
        <v>1806.06571992</v>
      </c>
      <c r="D53" s="20" t="n">
        <f aca="false">D52-D51</f>
        <v>1565.7893575896</v>
      </c>
      <c r="E53" s="20" t="n">
        <f aca="false">E52-E51</f>
        <v>1263.60558778311</v>
      </c>
      <c r="F53" s="20" t="n">
        <f aca="false">F52-F51</f>
        <v>1125.70843387124</v>
      </c>
      <c r="G53" s="20" t="n">
        <f aca="false">G52-G51</f>
        <v>953.659861291519</v>
      </c>
      <c r="H53" s="20" t="n">
        <f aca="false">H52-H51</f>
        <v>752.502652822277</v>
      </c>
      <c r="I53" s="20" t="n">
        <f aca="false">I52-I51</f>
        <v>790.312448691078</v>
      </c>
      <c r="J53" s="20" t="n">
        <f aca="false">J52-J51</f>
        <v>550.690366724681</v>
      </c>
      <c r="K53" s="20" t="n">
        <f aca="false">K52-K51</f>
        <v>574.610979529283</v>
      </c>
      <c r="L53" s="20" t="n">
        <f aca="false">L52-L51</f>
        <v>596.691942327547</v>
      </c>
    </row>
    <row r="55" customFormat="false" ht="15" hidden="false" customHeight="true" outlineLevel="0" collapsed="false">
      <c r="A55" s="18" t="s">
        <v>254</v>
      </c>
      <c r="B55" s="18"/>
      <c r="C55" s="18"/>
      <c r="D55" s="18"/>
      <c r="E55" s="18"/>
      <c r="F55" s="18"/>
      <c r="G55" s="18"/>
      <c r="H55" s="18"/>
      <c r="I55" s="18"/>
      <c r="J55" s="18"/>
      <c r="K55" s="18"/>
      <c r="L55" s="18"/>
    </row>
    <row r="56" customFormat="false" ht="15" hidden="false" customHeight="false" outlineLevel="0" collapsed="false">
      <c r="A56" s="18"/>
      <c r="B56" s="18"/>
      <c r="C56" s="18"/>
      <c r="D56" s="18"/>
      <c r="E56" s="18"/>
      <c r="F56" s="18"/>
      <c r="G56" s="18"/>
      <c r="H56" s="18"/>
      <c r="I56" s="18"/>
      <c r="J56" s="18"/>
      <c r="K56" s="18"/>
      <c r="L56" s="18"/>
    </row>
    <row r="57" customFormat="false" ht="15" hidden="false" customHeight="false" outlineLevel="0" collapsed="false">
      <c r="A57" s="18"/>
      <c r="B57" s="18"/>
      <c r="C57" s="18"/>
      <c r="D57" s="18"/>
      <c r="E57" s="18"/>
      <c r="F57" s="18"/>
      <c r="G57" s="18"/>
      <c r="H57" s="18"/>
      <c r="I57" s="18"/>
      <c r="J57" s="18"/>
      <c r="K57" s="18"/>
      <c r="L57" s="18"/>
    </row>
  </sheetData>
  <mergeCells count="1">
    <mergeCell ref="A55:L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2" min="2" style="0" width="10.51"/>
  </cols>
  <sheetData>
    <row r="1" customFormat="false" ht="16.15" hidden="false" customHeight="false" outlineLevel="0" collapsed="false">
      <c r="A1" s="1" t="s">
        <v>256</v>
      </c>
    </row>
    <row r="2" customFormat="false" ht="15" hidden="false" customHeight="false" outlineLevel="0" collapsed="false">
      <c r="A2" s="5" t="s">
        <v>200</v>
      </c>
    </row>
    <row r="3" customFormat="false" ht="15" hidden="false" customHeight="false" outlineLevel="0" collapsed="false">
      <c r="B3" s="6" t="s">
        <v>201</v>
      </c>
      <c r="C3" s="6" t="s">
        <v>202</v>
      </c>
      <c r="D3" s="6" t="s">
        <v>203</v>
      </c>
      <c r="E3" s="6" t="s">
        <v>204</v>
      </c>
      <c r="F3" s="6" t="s">
        <v>205</v>
      </c>
      <c r="G3" s="6" t="s">
        <v>206</v>
      </c>
      <c r="H3" s="6" t="s">
        <v>207</v>
      </c>
      <c r="I3" s="6" t="s">
        <v>208</v>
      </c>
      <c r="J3" s="6" t="s">
        <v>209</v>
      </c>
      <c r="K3" s="6" t="s">
        <v>210</v>
      </c>
      <c r="L3" s="6" t="s">
        <v>211</v>
      </c>
    </row>
    <row r="4" customFormat="false" ht="15" hidden="false" customHeight="false" outlineLevel="0" collapsed="false">
      <c r="A4" s="19" t="s">
        <v>212</v>
      </c>
      <c r="B4" s="19" t="n">
        <v>0</v>
      </c>
      <c r="C4" s="19" t="n">
        <v>1</v>
      </c>
      <c r="D4" s="19" t="n">
        <v>2</v>
      </c>
      <c r="E4" s="19" t="n">
        <v>3</v>
      </c>
      <c r="F4" s="19" t="n">
        <v>4</v>
      </c>
      <c r="G4" s="19" t="n">
        <v>5</v>
      </c>
      <c r="H4" s="19" t="n">
        <v>6</v>
      </c>
      <c r="I4" s="19" t="n">
        <v>7</v>
      </c>
      <c r="J4" s="19" t="n">
        <v>8</v>
      </c>
      <c r="K4" s="19" t="n">
        <v>9</v>
      </c>
      <c r="L4" s="19" t="n">
        <v>10</v>
      </c>
    </row>
    <row r="5" customFormat="false" ht="15" hidden="false" customHeight="false" outlineLevel="0" collapsed="false">
      <c r="A5" s="2" t="s">
        <v>213</v>
      </c>
      <c r="C5" s="12" t="n">
        <v>0.133</v>
      </c>
      <c r="D5" s="12" t="n">
        <v>0.125</v>
      </c>
      <c r="E5" s="12" t="n">
        <v>0.12</v>
      </c>
      <c r="F5" s="12" t="n">
        <v>0.11</v>
      </c>
      <c r="G5" s="12" t="n">
        <v>0.1</v>
      </c>
      <c r="H5" s="12" t="n">
        <v>0.09</v>
      </c>
      <c r="I5" s="12" t="n">
        <v>0.08</v>
      </c>
      <c r="J5" s="12" t="n">
        <v>0.07</v>
      </c>
      <c r="K5" s="12" t="n">
        <v>0.065</v>
      </c>
      <c r="L5" s="12" t="n">
        <v>0.06</v>
      </c>
    </row>
    <row r="6" customFormat="false" ht="15" hidden="false" customHeight="false" outlineLevel="0" collapsed="false">
      <c r="A6" s="2" t="s">
        <v>58</v>
      </c>
      <c r="B6" s="7" t="n">
        <v>45183</v>
      </c>
      <c r="C6" s="20" t="n">
        <f aca="false">B6*(1+C5)</f>
        <v>51192.339</v>
      </c>
      <c r="D6" s="20" t="n">
        <f aca="false">C6*(1+D5)</f>
        <v>57591.381375</v>
      </c>
      <c r="E6" s="20" t="n">
        <f aca="false">D6*(1+E5)</f>
        <v>64502.34714</v>
      </c>
      <c r="F6" s="20" t="n">
        <f aca="false">E6*(1+F5)</f>
        <v>71597.6053254</v>
      </c>
      <c r="G6" s="20" t="n">
        <f aca="false">F6*(1+G5)</f>
        <v>78757.36585794</v>
      </c>
      <c r="H6" s="20" t="n">
        <f aca="false">G6*(1+H5)</f>
        <v>85845.5287851546</v>
      </c>
      <c r="I6" s="20" t="n">
        <f aca="false">H6*(1+I5)</f>
        <v>92713.171087967</v>
      </c>
      <c r="J6" s="20" t="n">
        <f aca="false">I6*(1+J5)</f>
        <v>99203.0930641247</v>
      </c>
      <c r="K6" s="20" t="n">
        <f aca="false">J6*(1+K5)</f>
        <v>105651.294113293</v>
      </c>
      <c r="L6" s="20" t="n">
        <f aca="false">K6*(1+L5)</f>
        <v>111990.37176009</v>
      </c>
    </row>
    <row r="7" customFormat="false" ht="15" hidden="false" customHeight="false" outlineLevel="0" collapsed="false">
      <c r="A7" s="2" t="s">
        <v>214</v>
      </c>
      <c r="B7" s="8" t="n">
        <v>0.6739</v>
      </c>
      <c r="C7" s="12" t="n">
        <v>0.6878</v>
      </c>
      <c r="D7" s="12" t="n">
        <v>0.695</v>
      </c>
      <c r="E7" s="12" t="n">
        <v>0.702</v>
      </c>
      <c r="F7" s="12" t="n">
        <v>0.709</v>
      </c>
      <c r="G7" s="12" t="n">
        <v>0.715</v>
      </c>
      <c r="H7" s="12" t="n">
        <v>0.72</v>
      </c>
      <c r="I7" s="12" t="n">
        <v>0.725</v>
      </c>
      <c r="J7" s="12" t="n">
        <v>0.729</v>
      </c>
      <c r="K7" s="12" t="n">
        <v>0.732</v>
      </c>
      <c r="L7" s="12" t="n">
        <v>0.735</v>
      </c>
    </row>
    <row r="8" customFormat="false" ht="15" hidden="false" customHeight="false" outlineLevel="0" collapsed="false">
      <c r="A8" s="2" t="s">
        <v>215</v>
      </c>
      <c r="C8" s="20" t="n">
        <f aca="false">C6*C7</f>
        <v>35210.0907642</v>
      </c>
      <c r="D8" s="20" t="n">
        <f aca="false">D6*D7</f>
        <v>40026.010055625</v>
      </c>
      <c r="E8" s="20" t="n">
        <f aca="false">E6*E7</f>
        <v>45280.64769228</v>
      </c>
      <c r="F8" s="20" t="n">
        <f aca="false">F6*F7</f>
        <v>50762.7021757086</v>
      </c>
      <c r="G8" s="20" t="n">
        <f aca="false">G6*G7</f>
        <v>56311.5165884271</v>
      </c>
      <c r="H8" s="20" t="n">
        <f aca="false">H6*H7</f>
        <v>61808.7807253113</v>
      </c>
      <c r="I8" s="20" t="n">
        <f aca="false">I6*I7</f>
        <v>67217.0490387761</v>
      </c>
      <c r="J8" s="20" t="n">
        <f aca="false">J6*J7</f>
        <v>72319.0548437469</v>
      </c>
      <c r="K8" s="20" t="n">
        <f aca="false">K6*K7</f>
        <v>77336.7472909303</v>
      </c>
      <c r="L8" s="20" t="n">
        <f aca="false">L6*L7</f>
        <v>82312.9232436664</v>
      </c>
    </row>
    <row r="9" customFormat="false" ht="15" hidden="false" customHeight="false" outlineLevel="0" collapsed="false">
      <c r="A9" s="2" t="s">
        <v>216</v>
      </c>
      <c r="B9" s="21" t="n">
        <v>0.0082</v>
      </c>
      <c r="C9" s="22" t="n">
        <v>0.012</v>
      </c>
      <c r="D9" s="22" t="n">
        <v>0.0125</v>
      </c>
      <c r="E9" s="22" t="n">
        <v>0.013</v>
      </c>
      <c r="F9" s="22" t="n">
        <v>0.013</v>
      </c>
      <c r="G9" s="22" t="n">
        <v>0.0135</v>
      </c>
      <c r="H9" s="22" t="n">
        <v>0.0135</v>
      </c>
      <c r="I9" s="22" t="n">
        <v>0.014</v>
      </c>
      <c r="J9" s="22" t="n">
        <v>0.014</v>
      </c>
      <c r="K9" s="22" t="n">
        <v>0.014</v>
      </c>
      <c r="L9" s="22" t="n">
        <v>0.014</v>
      </c>
    </row>
    <row r="10" customFormat="false" ht="15" hidden="false" customHeight="false" outlineLevel="0" collapsed="false">
      <c r="A10" s="2" t="s">
        <v>217</v>
      </c>
      <c r="C10" s="20" t="n">
        <f aca="false">-C6*C9</f>
        <v>-614.308068</v>
      </c>
      <c r="D10" s="20" t="n">
        <f aca="false">-D6*D9</f>
        <v>-719.8922671875</v>
      </c>
      <c r="E10" s="20" t="n">
        <f aca="false">-E6*E9</f>
        <v>-838.53051282</v>
      </c>
      <c r="F10" s="20" t="n">
        <f aca="false">-F6*F9</f>
        <v>-930.7688692302</v>
      </c>
      <c r="G10" s="20" t="n">
        <f aca="false">-G6*G9</f>
        <v>-1063.22443908219</v>
      </c>
      <c r="H10" s="20" t="n">
        <f aca="false">-H6*H9</f>
        <v>-1158.91463859959</v>
      </c>
      <c r="I10" s="20" t="n">
        <f aca="false">-I6*I9</f>
        <v>-1297.98439523154</v>
      </c>
      <c r="J10" s="20" t="n">
        <f aca="false">-J6*J9</f>
        <v>-1388.84330289775</v>
      </c>
      <c r="K10" s="20" t="n">
        <f aca="false">-K6*K9</f>
        <v>-1479.1181175861</v>
      </c>
      <c r="L10" s="20" t="n">
        <f aca="false">-L6*L9</f>
        <v>-1567.86520464127</v>
      </c>
    </row>
    <row r="11" customFormat="false" ht="15" hidden="false" customHeight="false" outlineLevel="0" collapsed="false">
      <c r="A11" s="2" t="s">
        <v>218</v>
      </c>
      <c r="C11" s="20" t="n">
        <f aca="false">C8+C10</f>
        <v>34595.7826962</v>
      </c>
      <c r="D11" s="20" t="n">
        <f aca="false">D8+D10</f>
        <v>39306.1177884375</v>
      </c>
      <c r="E11" s="20" t="n">
        <f aca="false">E8+E10</f>
        <v>44442.11717946</v>
      </c>
      <c r="F11" s="20" t="n">
        <f aca="false">F8+F10</f>
        <v>49831.9333064784</v>
      </c>
      <c r="G11" s="20" t="n">
        <f aca="false">G8+G10</f>
        <v>55248.2921493449</v>
      </c>
      <c r="H11" s="20" t="n">
        <f aca="false">H8+H10</f>
        <v>60649.8660867118</v>
      </c>
      <c r="I11" s="20" t="n">
        <f aca="false">I8+I10</f>
        <v>65919.0646435445</v>
      </c>
      <c r="J11" s="20" t="n">
        <f aca="false">J8+J10</f>
        <v>70930.2115408492</v>
      </c>
      <c r="K11" s="20" t="n">
        <f aca="false">K8+K10</f>
        <v>75857.6291733442</v>
      </c>
      <c r="L11" s="20" t="n">
        <f aca="false">L8+L10</f>
        <v>80745.0580390252</v>
      </c>
    </row>
    <row r="12" customFormat="false" ht="15" hidden="false" customHeight="false" outlineLevel="0" collapsed="false">
      <c r="A12" s="2" t="s">
        <v>219</v>
      </c>
      <c r="C12" s="20" t="n">
        <f aca="false">-C6*(C46+C47)</f>
        <v>-18470.1959112</v>
      </c>
      <c r="D12" s="20" t="n">
        <f aca="false">-D6*(D46+D47)</f>
        <v>-20168.501757525</v>
      </c>
      <c r="E12" s="20" t="n">
        <f aca="false">-E6*(E46+E47)</f>
        <v>-21956.598966456</v>
      </c>
      <c r="F12" s="20" t="n">
        <f aca="false">-F6*(F46+F47)</f>
        <v>-23734.6061653701</v>
      </c>
      <c r="G12" s="20" t="n">
        <f aca="false">-G6*(G46+G47)</f>
        <v>-25485.8835916294</v>
      </c>
      <c r="H12" s="20" t="n">
        <f aca="false">-H6*(H46+H47)</f>
        <v>-27187.2789662585</v>
      </c>
      <c r="I12" s="20" t="n">
        <f aca="false">-I6*(I46+I47)</f>
        <v>-28815.2535741401</v>
      </c>
      <c r="J12" s="20" t="n">
        <f aca="false">-J6*(J46+J47)</f>
        <v>-30336.3058590093</v>
      </c>
      <c r="K12" s="20" t="n">
        <f aca="false">-K6*(K46+K47)</f>
        <v>-31896.1256928031</v>
      </c>
      <c r="L12" s="20" t="n">
        <f aca="false">-L6*(L46+L47)</f>
        <v>-33485.121156267</v>
      </c>
    </row>
    <row r="13" customFormat="false" ht="15" hidden="false" customHeight="false" outlineLevel="0" collapsed="false">
      <c r="A13" s="2" t="s">
        <v>220</v>
      </c>
      <c r="C13" s="20" t="n">
        <f aca="false">C11+C12</f>
        <v>16125.586785</v>
      </c>
      <c r="D13" s="20" t="n">
        <f aca="false">D11+D12</f>
        <v>19137.6160309125</v>
      </c>
      <c r="E13" s="20" t="n">
        <f aca="false">E11+E12</f>
        <v>22485.518213004</v>
      </c>
      <c r="F13" s="20" t="n">
        <f aca="false">F11+F12</f>
        <v>26097.3271411083</v>
      </c>
      <c r="G13" s="20" t="n">
        <f aca="false">G11+G12</f>
        <v>29762.4085577155</v>
      </c>
      <c r="H13" s="20" t="n">
        <f aca="false">H11+H12</f>
        <v>33462.5871204533</v>
      </c>
      <c r="I13" s="20" t="n">
        <f aca="false">I11+I12</f>
        <v>37103.8110694044</v>
      </c>
      <c r="J13" s="20" t="n">
        <f aca="false">J11+J12</f>
        <v>40593.9056818398</v>
      </c>
      <c r="K13" s="20" t="n">
        <f aca="false">K11+K12</f>
        <v>43961.5034805411</v>
      </c>
      <c r="L13" s="20" t="n">
        <f aca="false">L11+L12</f>
        <v>47259.9368827581</v>
      </c>
    </row>
    <row r="14" customFormat="false" ht="15" hidden="false" customHeight="false" outlineLevel="0" collapsed="false">
      <c r="A14" s="2" t="s">
        <v>111</v>
      </c>
      <c r="B14" s="8" t="n">
        <v>0.1638</v>
      </c>
      <c r="C14" s="12" t="n">
        <v>0.17</v>
      </c>
      <c r="D14" s="12" t="n">
        <v>0.175</v>
      </c>
      <c r="E14" s="12" t="n">
        <v>0.185</v>
      </c>
      <c r="F14" s="12" t="n">
        <v>0.195</v>
      </c>
      <c r="G14" s="12" t="n">
        <v>0.205</v>
      </c>
      <c r="H14" s="12" t="n">
        <v>0.21</v>
      </c>
      <c r="I14" s="12" t="n">
        <v>0.21</v>
      </c>
      <c r="J14" s="12" t="n">
        <v>0.21</v>
      </c>
      <c r="K14" s="12" t="n">
        <v>0.21</v>
      </c>
      <c r="L14" s="12" t="n">
        <v>0.21</v>
      </c>
    </row>
    <row r="15" customFormat="false" ht="15" hidden="false" customHeight="false" outlineLevel="0" collapsed="false">
      <c r="A15" s="2" t="s">
        <v>221</v>
      </c>
      <c r="C15" s="20" t="n">
        <f aca="false">C13*(1-C14)</f>
        <v>13384.23703155</v>
      </c>
      <c r="D15" s="20" t="n">
        <f aca="false">D13*(1-D14)</f>
        <v>15788.5332255028</v>
      </c>
      <c r="E15" s="20" t="n">
        <f aca="false">E13*(1-E14)</f>
        <v>18325.6973435983</v>
      </c>
      <c r="F15" s="20" t="n">
        <f aca="false">F13*(1-F14)</f>
        <v>21008.3483485922</v>
      </c>
      <c r="G15" s="20" t="n">
        <f aca="false">G13*(1-G14)</f>
        <v>23661.1148033839</v>
      </c>
      <c r="H15" s="20" t="n">
        <f aca="false">H13*(1-H14)</f>
        <v>26435.4438251581</v>
      </c>
      <c r="I15" s="20" t="n">
        <f aca="false">I13*(1-I14)</f>
        <v>29312.0107448295</v>
      </c>
      <c r="J15" s="20" t="n">
        <f aca="false">J13*(1-J14)</f>
        <v>32069.1854886535</v>
      </c>
      <c r="K15" s="20" t="n">
        <f aca="false">K13*(1-K14)</f>
        <v>34729.5877496275</v>
      </c>
      <c r="L15" s="20" t="n">
        <f aca="false">L13*(1-L14)</f>
        <v>37335.3501373789</v>
      </c>
    </row>
    <row r="16" customFormat="false" ht="15" hidden="false" customHeight="false" outlineLevel="0" collapsed="false">
      <c r="A16" s="2" t="s">
        <v>222</v>
      </c>
      <c r="C16" s="20" t="n">
        <f aca="false">-C12</f>
        <v>18470.1959112</v>
      </c>
      <c r="D16" s="20" t="n">
        <f aca="false">-D12</f>
        <v>20168.501757525</v>
      </c>
      <c r="E16" s="20" t="n">
        <f aca="false">-E12</f>
        <v>21956.598966456</v>
      </c>
      <c r="F16" s="20" t="n">
        <f aca="false">-F12</f>
        <v>23734.6061653701</v>
      </c>
      <c r="G16" s="20" t="n">
        <f aca="false">-G12</f>
        <v>25485.8835916294</v>
      </c>
      <c r="H16" s="20" t="n">
        <f aca="false">-H12</f>
        <v>27187.2789662585</v>
      </c>
      <c r="I16" s="20" t="n">
        <f aca="false">-I12</f>
        <v>28815.2535741401</v>
      </c>
      <c r="J16" s="20" t="n">
        <f aca="false">-J12</f>
        <v>30336.3058590093</v>
      </c>
      <c r="K16" s="20" t="n">
        <f aca="false">-K12</f>
        <v>31896.1256928031</v>
      </c>
      <c r="L16" s="20" t="n">
        <f aca="false">-L12</f>
        <v>33485.121156267</v>
      </c>
    </row>
    <row r="17" customFormat="false" ht="15" hidden="false" customHeight="false" outlineLevel="0" collapsed="false">
      <c r="A17" s="2" t="s">
        <v>223</v>
      </c>
      <c r="C17" s="20" t="n">
        <f aca="false">-C6*(C46*C48+C49)</f>
        <v>-20767.70808552</v>
      </c>
      <c r="D17" s="20" t="n">
        <f aca="false">-D6*(D46*D48+D49)</f>
        <v>-22065.5618600175</v>
      </c>
      <c r="E17" s="20" t="n">
        <f aca="false">-E6*(E46*E48+E49)</f>
        <v>-23355.0098524512</v>
      </c>
      <c r="F17" s="20" t="n">
        <f aca="false">-F6*(F46*F48+F49)</f>
        <v>-24769.9075383754</v>
      </c>
      <c r="G17" s="20" t="n">
        <f aca="false">-G6*(G46*G48+G49)</f>
        <v>-26084.4395721497</v>
      </c>
      <c r="H17" s="20" t="n">
        <f aca="false">-H6*(H46*H48+H49)</f>
        <v>-27813.9513263901</v>
      </c>
      <c r="I17" s="20" t="n">
        <f aca="false">-I6*(I46*I48+I49)</f>
        <v>-29464.2457717559</v>
      </c>
      <c r="J17" s="20" t="n">
        <f aca="false">-J6*(J46*J48+J49)</f>
        <v>-31010.8868918454</v>
      </c>
      <c r="K17" s="20" t="n">
        <f aca="false">-K6*(K46*K48+K49)</f>
        <v>-32593.4242339508</v>
      </c>
      <c r="L17" s="20" t="n">
        <f aca="false">-L6*(L46*L48+L49)</f>
        <v>-34213.0585727076</v>
      </c>
    </row>
    <row r="18" customFormat="false" ht="15" hidden="false" customHeight="false" outlineLevel="0" collapsed="false">
      <c r="A18" s="2" t="s">
        <v>224</v>
      </c>
      <c r="C18" s="23" t="n">
        <f aca="false">Assumptions!$E$16*(C6-B6)</f>
        <v>-120.18678</v>
      </c>
      <c r="D18" s="23" t="n">
        <f aca="false">Assumptions!$E$16*(D6-C6)</f>
        <v>-127.9808475</v>
      </c>
      <c r="E18" s="23" t="n">
        <f aca="false">Assumptions!$E$16*(E6-D6)</f>
        <v>-138.2193153</v>
      </c>
      <c r="F18" s="23" t="n">
        <f aca="false">Assumptions!$E$16*(F6-E6)</f>
        <v>-141.905163708</v>
      </c>
      <c r="G18" s="23" t="n">
        <f aca="false">Assumptions!$E$16*(G6-F6)</f>
        <v>-143.1952106508</v>
      </c>
      <c r="H18" s="23" t="n">
        <f aca="false">Assumptions!$E$16*(H6-G6)</f>
        <v>-141.763258544292</v>
      </c>
      <c r="I18" s="23" t="n">
        <f aca="false">Assumptions!$E$16*(I6-H6)</f>
        <v>-137.352846056248</v>
      </c>
      <c r="J18" s="23" t="n">
        <f aca="false">Assumptions!$E$16*(J6-I6)</f>
        <v>-129.798439523154</v>
      </c>
      <c r="K18" s="23" t="n">
        <f aca="false">Assumptions!$E$16*(K6-J6)</f>
        <v>-128.964020983362</v>
      </c>
      <c r="L18" s="23" t="n">
        <f aca="false">Assumptions!$E$16*(L6-K6)</f>
        <v>-126.781552935952</v>
      </c>
    </row>
    <row r="19" customFormat="false" ht="15" hidden="false" customHeight="false" outlineLevel="0" collapsed="false">
      <c r="A19" s="2" t="s">
        <v>225</v>
      </c>
      <c r="C19" s="24" t="n">
        <f aca="false">C15+C16+C17+C18</f>
        <v>10966.53807723</v>
      </c>
      <c r="D19" s="24" t="n">
        <f aca="false">D15+D16+D17+D18</f>
        <v>13763.4922755103</v>
      </c>
      <c r="E19" s="24" t="n">
        <f aca="false">E15+E16+E17+E18</f>
        <v>16789.0671423031</v>
      </c>
      <c r="F19" s="24" t="n">
        <f aca="false">F15+F16+F17+F18</f>
        <v>19831.1418118789</v>
      </c>
      <c r="G19" s="24" t="n">
        <f aca="false">G15+G16+G17+G18</f>
        <v>22919.3636122127</v>
      </c>
      <c r="H19" s="24" t="n">
        <f aca="false">H15+H16+H17+H18</f>
        <v>25667.0082064822</v>
      </c>
      <c r="I19" s="24" t="n">
        <f aca="false">I15+I16+I17+I18</f>
        <v>28525.6657011575</v>
      </c>
      <c r="J19" s="24" t="n">
        <f aca="false">J15+J16+J17+J18</f>
        <v>31264.8060162943</v>
      </c>
      <c r="K19" s="24" t="n">
        <f aca="false">K15+K16+K17+K18</f>
        <v>33903.3251874964</v>
      </c>
      <c r="L19" s="24" t="n">
        <f aca="false">L15+L16+L17+L18</f>
        <v>36480.6311680024</v>
      </c>
    </row>
    <row r="20" customFormat="false" ht="15" hidden="false" customHeight="false" outlineLevel="0" collapsed="false">
      <c r="A20" s="2" t="s">
        <v>226</v>
      </c>
      <c r="C20" s="25" t="n">
        <f aca="false">1/(1+Assumptions!$B$5)^C4</f>
        <v>0.904977375565611</v>
      </c>
      <c r="D20" s="25" t="n">
        <f aca="false">1/(1+Assumptions!$B$5)^D4</f>
        <v>0.818984050285621</v>
      </c>
      <c r="E20" s="25" t="n">
        <f aca="false">1/(1+Assumptions!$B$5)^E4</f>
        <v>0.741162036457575</v>
      </c>
      <c r="F20" s="25" t="n">
        <f aca="false">1/(1+Assumptions!$B$5)^F4</f>
        <v>0.67073487462224</v>
      </c>
      <c r="G20" s="25" t="n">
        <f aca="false">1/(1+Assumptions!$B$5)^G4</f>
        <v>0.606999886535964</v>
      </c>
      <c r="H20" s="25" t="n">
        <f aca="false">1/(1+Assumptions!$B$5)^H4</f>
        <v>0.54932116428594</v>
      </c>
      <c r="I20" s="25" t="n">
        <f aca="false">1/(1+Assumptions!$B$5)^I4</f>
        <v>0.497123225598136</v>
      </c>
      <c r="J20" s="25" t="n">
        <f aca="false">1/(1+Assumptions!$B$5)^J4</f>
        <v>0.449885272034512</v>
      </c>
      <c r="K20" s="25" t="n">
        <f aca="false">1/(1+Assumptions!$B$5)^K4</f>
        <v>0.407135992791414</v>
      </c>
      <c r="L20" s="25" t="n">
        <f aca="false">1/(1+Assumptions!$B$5)^L4</f>
        <v>0.368448862254673</v>
      </c>
    </row>
    <row r="21" customFormat="false" ht="15" hidden="false" customHeight="false" outlineLevel="0" collapsed="false">
      <c r="A21" s="2" t="s">
        <v>227</v>
      </c>
      <c r="C21" s="20" t="n">
        <f aca="false">C19*C20</f>
        <v>9924.46884817194</v>
      </c>
      <c r="D21" s="20" t="n">
        <f aca="false">D19*D20</f>
        <v>11272.0806498723</v>
      </c>
      <c r="E21" s="20" t="n">
        <f aca="false">E19*E20</f>
        <v>12443.4191934123</v>
      </c>
      <c r="F21" s="20" t="n">
        <f aca="false">F19*F20</f>
        <v>13301.4384168064</v>
      </c>
      <c r="G21" s="20" t="n">
        <f aca="false">G19*G20</f>
        <v>13912.0511120896</v>
      </c>
      <c r="H21" s="20" t="n">
        <f aca="false">H19*H20</f>
        <v>14099.4308317216</v>
      </c>
      <c r="I21" s="20" t="n">
        <f aca="false">I19*I20</f>
        <v>14180.7709456935</v>
      </c>
      <c r="J21" s="20" t="n">
        <f aca="false">J19*J20</f>
        <v>14065.5757597468</v>
      </c>
      <c r="K21" s="20" t="n">
        <f aca="false">K19*K20</f>
        <v>13803.2639591415</v>
      </c>
      <c r="L21" s="20" t="n">
        <f aca="false">L19*L20</f>
        <v>13441.2470481829</v>
      </c>
    </row>
    <row r="23" customFormat="false" ht="15" hidden="false" customHeight="false" outlineLevel="0" collapsed="false">
      <c r="A23" s="2" t="s">
        <v>228</v>
      </c>
      <c r="C23" s="20" t="n">
        <f aca="false">C19-C10</f>
        <v>11580.84614523</v>
      </c>
      <c r="D23" s="20" t="n">
        <f aca="false">D19-D10</f>
        <v>14483.3845426978</v>
      </c>
      <c r="E23" s="20" t="n">
        <f aca="false">E19-E10</f>
        <v>17627.5976551231</v>
      </c>
      <c r="F23" s="20" t="n">
        <f aca="false">F19-F10</f>
        <v>20761.9106811091</v>
      </c>
      <c r="G23" s="20" t="n">
        <f aca="false">G19-G10</f>
        <v>23982.5880512949</v>
      </c>
      <c r="H23" s="20" t="n">
        <f aca="false">H19-H10</f>
        <v>26825.9228450818</v>
      </c>
      <c r="I23" s="20" t="n">
        <f aca="false">I19-I10</f>
        <v>29823.650096389</v>
      </c>
      <c r="J23" s="20" t="n">
        <f aca="false">J19-J10</f>
        <v>32653.649319192</v>
      </c>
      <c r="K23" s="20" t="n">
        <f aca="false">K19-K10</f>
        <v>35382.4433050825</v>
      </c>
      <c r="L23" s="20" t="n">
        <f aca="false">L19-L10</f>
        <v>38048.4963726437</v>
      </c>
    </row>
    <row r="24" customFormat="false" ht="15" hidden="false" customHeight="false" outlineLevel="0" collapsed="false">
      <c r="A24" s="2" t="s">
        <v>229</v>
      </c>
      <c r="C24" s="17" t="n">
        <f aca="false">C19/C6</f>
        <v>0.214222250661959</v>
      </c>
      <c r="D24" s="17" t="n">
        <f aca="false">D19/D6</f>
        <v>0.238985277777778</v>
      </c>
      <c r="E24" s="17" t="n">
        <f aca="false">E19/E6</f>
        <v>0.260286142857143</v>
      </c>
      <c r="F24" s="17" t="n">
        <f aca="false">F19/F6</f>
        <v>0.276980518018018</v>
      </c>
      <c r="G24" s="17" t="n">
        <f aca="false">G19/G6</f>
        <v>0.291012318181818</v>
      </c>
      <c r="H24" s="17" t="n">
        <f aca="false">H19/H6</f>
        <v>0.298990623853211</v>
      </c>
      <c r="I24" s="17" t="n">
        <f aca="false">I19/I6</f>
        <v>0.307676518518518</v>
      </c>
      <c r="J24" s="17" t="n">
        <f aca="false">J19/J6</f>
        <v>0.315159588785047</v>
      </c>
      <c r="K24" s="17" t="n">
        <f aca="false">K19/K6</f>
        <v>0.320898342723005</v>
      </c>
      <c r="L24" s="17" t="n">
        <f aca="false">L19/L6</f>
        <v>0.325747924528302</v>
      </c>
    </row>
    <row r="25" customFormat="false" ht="15" hidden="false" customHeight="false" outlineLevel="0" collapsed="false">
      <c r="A25" s="4" t="s">
        <v>230</v>
      </c>
    </row>
    <row r="26" customFormat="false" ht="15" hidden="false" customHeight="false" outlineLevel="0" collapsed="false">
      <c r="A26" s="2" t="s">
        <v>231</v>
      </c>
      <c r="B26" s="20" t="n">
        <f aca="false">SUM(C21:L21)</f>
        <v>130443.746764839</v>
      </c>
    </row>
    <row r="27" customFormat="false" ht="15" hidden="false" customHeight="false" outlineLevel="0" collapsed="false">
      <c r="A27" s="2" t="s">
        <v>190</v>
      </c>
      <c r="B27" s="26" t="n">
        <f aca="false">Assumptions!$E$15</f>
        <v>0.035</v>
      </c>
    </row>
    <row r="28" customFormat="false" ht="15" hidden="false" customHeight="false" outlineLevel="0" collapsed="false">
      <c r="A28" s="2" t="s">
        <v>232</v>
      </c>
      <c r="B28" s="20" t="n">
        <f aca="false">L19*(1+B27)</f>
        <v>37757.4532588825</v>
      </c>
    </row>
    <row r="29" customFormat="false" ht="15" hidden="false" customHeight="false" outlineLevel="0" collapsed="false">
      <c r="A29" s="2" t="s">
        <v>233</v>
      </c>
      <c r="B29" s="20" t="n">
        <f aca="false">B28/(Assumptions!$B$5-B27)</f>
        <v>539392.189412607</v>
      </c>
    </row>
    <row r="30" customFormat="false" ht="15" hidden="false" customHeight="false" outlineLevel="0" collapsed="false">
      <c r="A30" s="2" t="s">
        <v>234</v>
      </c>
      <c r="B30" s="23" t="n">
        <f aca="false">Assumptions!$B$12*L19</f>
        <v>729612.623360048</v>
      </c>
    </row>
    <row r="31" customFormat="false" ht="15" hidden="false" customHeight="false" outlineLevel="0" collapsed="false">
      <c r="A31" s="2" t="s">
        <v>235</v>
      </c>
      <c r="B31" s="20" t="n">
        <f aca="false">MIN(B29,B30)</f>
        <v>539392.189412607</v>
      </c>
    </row>
    <row r="32" customFormat="false" ht="15" hidden="false" customHeight="false" outlineLevel="0" collapsed="false">
      <c r="A32" s="2" t="s">
        <v>236</v>
      </c>
      <c r="B32" s="27" t="n">
        <f aca="false">B31/L19</f>
        <v>14.7857142857143</v>
      </c>
    </row>
    <row r="33" customFormat="false" ht="15" hidden="false" customHeight="false" outlineLevel="0" collapsed="false">
      <c r="A33" s="2" t="s">
        <v>237</v>
      </c>
      <c r="B33" s="20" t="n">
        <f aca="false">B31*L20</f>
        <v>198738.438498132</v>
      </c>
    </row>
    <row r="34" customFormat="false" ht="15" hidden="false" customHeight="false" outlineLevel="0" collapsed="false">
      <c r="A34" s="2" t="s">
        <v>238</v>
      </c>
      <c r="B34" s="20" t="n">
        <f aca="false">B26+B33</f>
        <v>329182.185262971</v>
      </c>
    </row>
    <row r="35" customFormat="false" ht="15" hidden="false" customHeight="false" outlineLevel="0" collapsed="false">
      <c r="A35" s="2" t="s">
        <v>239</v>
      </c>
      <c r="B35" s="23" t="n">
        <f aca="false">Assumptions!$B$9</f>
        <v>-5244.2</v>
      </c>
    </row>
    <row r="36" customFormat="false" ht="15" hidden="false" customHeight="false" outlineLevel="0" collapsed="false">
      <c r="A36" s="2" t="s">
        <v>240</v>
      </c>
      <c r="B36" s="20" t="n">
        <f aca="false">B34+B35</f>
        <v>323937.985262971</v>
      </c>
    </row>
    <row r="37" customFormat="false" ht="15" hidden="false" customHeight="false" outlineLevel="0" collapsed="false">
      <c r="A37" s="2" t="s">
        <v>180</v>
      </c>
      <c r="B37" s="28" t="n">
        <f aca="false">Assumptions!$B$10</f>
        <v>4261.3</v>
      </c>
    </row>
    <row r="38" customFormat="false" ht="15" hidden="false" customHeight="false" outlineLevel="0" collapsed="false">
      <c r="A38" s="2" t="s">
        <v>241</v>
      </c>
      <c r="B38" s="29" t="n">
        <f aca="false">B36/B37</f>
        <v>76.018582419208</v>
      </c>
    </row>
    <row r="39" customFormat="false" ht="15" hidden="false" customHeight="false" outlineLevel="0" collapsed="false">
      <c r="A39" s="2" t="s">
        <v>242</v>
      </c>
      <c r="B39" s="17" t="n">
        <f aca="false">B38/Assumptions!$B$11-1</f>
        <v>0.0253383115620174</v>
      </c>
    </row>
    <row r="41" customFormat="false" ht="15" hidden="false" customHeight="false" outlineLevel="0" collapsed="false">
      <c r="A41" s="2" t="s">
        <v>243</v>
      </c>
      <c r="B41" s="20" t="n">
        <f aca="false">SUMPRODUCT(-C10:L10/(1+Assumptions!$B$5)^C4:L4)</f>
        <v>6123.25347425448</v>
      </c>
    </row>
    <row r="42" customFormat="false" ht="15" hidden="false" customHeight="false" outlineLevel="0" collapsed="false">
      <c r="A42" s="2" t="s">
        <v>244</v>
      </c>
      <c r="B42" s="20" t="n">
        <f aca="false">(-L10*(1+B27)/(Assumptions!$B$5-B27))*L20</f>
        <v>8541.38408710602</v>
      </c>
    </row>
    <row r="43" customFormat="false" ht="15" hidden="false" customHeight="false" outlineLevel="0" collapsed="false">
      <c r="A43" s="2" t="s">
        <v>245</v>
      </c>
      <c r="B43" s="30" t="n">
        <f aca="false">(B36+B41+B42)/B37</f>
        <v>79.4599354244788</v>
      </c>
    </row>
    <row r="45" customFormat="false" ht="15" hidden="false" customHeight="false" outlineLevel="0" collapsed="false">
      <c r="A45" s="4" t="s">
        <v>246</v>
      </c>
    </row>
    <row r="46" customFormat="false" ht="15" hidden="false" customHeight="false" outlineLevel="0" collapsed="false">
      <c r="A46" s="2" t="s">
        <v>247</v>
      </c>
      <c r="B46" s="8" t="n">
        <v>0.3635</v>
      </c>
      <c r="C46" s="12" t="n">
        <v>0.3528</v>
      </c>
      <c r="D46" s="12" t="n">
        <v>0.342</v>
      </c>
      <c r="E46" s="12" t="n">
        <v>0.332</v>
      </c>
      <c r="F46" s="12" t="n">
        <v>0.323</v>
      </c>
      <c r="G46" s="12" t="n">
        <v>0.315</v>
      </c>
      <c r="H46" s="12" t="n">
        <v>0.308</v>
      </c>
      <c r="I46" s="12" t="n">
        <v>0.302</v>
      </c>
      <c r="J46" s="12" t="n">
        <v>0.297</v>
      </c>
      <c r="K46" s="12" t="n">
        <v>0.293</v>
      </c>
      <c r="L46" s="12" t="n">
        <v>0.29</v>
      </c>
    </row>
    <row r="47" customFormat="false" ht="15" hidden="false" customHeight="false" outlineLevel="0" collapsed="false">
      <c r="A47" s="2" t="s">
        <v>248</v>
      </c>
      <c r="B47" s="21" t="n">
        <v>0.0074</v>
      </c>
      <c r="C47" s="22" t="n">
        <v>0.008</v>
      </c>
      <c r="D47" s="22" t="n">
        <v>0.0082</v>
      </c>
      <c r="E47" s="22" t="n">
        <v>0.0084</v>
      </c>
      <c r="F47" s="22" t="n">
        <v>0.0085</v>
      </c>
      <c r="G47" s="22" t="n">
        <v>0.0086</v>
      </c>
      <c r="H47" s="22" t="n">
        <v>0.0087</v>
      </c>
      <c r="I47" s="22" t="n">
        <v>0.0088</v>
      </c>
      <c r="J47" s="22" t="n">
        <v>0.0088</v>
      </c>
      <c r="K47" s="22" t="n">
        <v>0.0089</v>
      </c>
      <c r="L47" s="22" t="n">
        <v>0.009</v>
      </c>
    </row>
    <row r="48" customFormat="false" ht="15" hidden="false" customHeight="false" outlineLevel="0" collapsed="false">
      <c r="A48" s="2" t="s">
        <v>249</v>
      </c>
      <c r="B48" s="11" t="n">
        <v>1.078</v>
      </c>
      <c r="C48" s="31" t="n">
        <v>1.1</v>
      </c>
      <c r="D48" s="31" t="n">
        <v>1.07</v>
      </c>
      <c r="E48" s="31" t="n">
        <v>1.04</v>
      </c>
      <c r="F48" s="31" t="n">
        <v>1.02</v>
      </c>
      <c r="G48" s="31" t="n">
        <v>1</v>
      </c>
      <c r="H48" s="31" t="n">
        <v>1</v>
      </c>
      <c r="I48" s="31" t="n">
        <v>1</v>
      </c>
      <c r="J48" s="31" t="n">
        <v>1</v>
      </c>
      <c r="K48" s="31" t="n">
        <v>1</v>
      </c>
      <c r="L48" s="31" t="n">
        <v>1</v>
      </c>
    </row>
    <row r="49" customFormat="false" ht="15" hidden="false" customHeight="false" outlineLevel="0" collapsed="false">
      <c r="A49" s="2" t="s">
        <v>250</v>
      </c>
      <c r="B49" s="21" t="n">
        <v>0.0152</v>
      </c>
      <c r="C49" s="22" t="n">
        <v>0.0176</v>
      </c>
      <c r="D49" s="22" t="n">
        <v>0.0172</v>
      </c>
      <c r="E49" s="22" t="n">
        <v>0.0168</v>
      </c>
      <c r="F49" s="22" t="n">
        <v>0.0165</v>
      </c>
      <c r="G49" s="22" t="n">
        <v>0.0162</v>
      </c>
      <c r="H49" s="22" t="n">
        <v>0.016</v>
      </c>
      <c r="I49" s="22" t="n">
        <v>0.0158</v>
      </c>
      <c r="J49" s="22" t="n">
        <v>0.0156</v>
      </c>
      <c r="K49" s="22" t="n">
        <v>0.0155</v>
      </c>
      <c r="L49" s="22" t="n">
        <v>0.0155</v>
      </c>
    </row>
    <row r="51" customFormat="false" ht="15" hidden="false" customHeight="false" outlineLevel="0" collapsed="false">
      <c r="A51" s="2" t="s">
        <v>251</v>
      </c>
      <c r="C51" s="20" t="n">
        <f aca="false">C6*C46</f>
        <v>18060.6571992</v>
      </c>
      <c r="D51" s="20" t="n">
        <f aca="false">D6*D46</f>
        <v>19696.25243025</v>
      </c>
      <c r="E51" s="20" t="n">
        <f aca="false">E6*E46</f>
        <v>21414.77925048</v>
      </c>
      <c r="F51" s="20" t="n">
        <f aca="false">F6*F46</f>
        <v>23126.0265201042</v>
      </c>
      <c r="G51" s="20" t="n">
        <f aca="false">G6*G46</f>
        <v>24808.5702452511</v>
      </c>
      <c r="H51" s="20" t="n">
        <f aca="false">H6*H46</f>
        <v>26440.4228658276</v>
      </c>
      <c r="I51" s="20" t="n">
        <f aca="false">I6*I46</f>
        <v>27999.377668566</v>
      </c>
      <c r="J51" s="20" t="n">
        <f aca="false">J6*J46</f>
        <v>29463.318640045</v>
      </c>
      <c r="K51" s="20" t="n">
        <f aca="false">K6*K46</f>
        <v>30955.8291751948</v>
      </c>
      <c r="L51" s="20" t="n">
        <f aca="false">L6*L46</f>
        <v>32477.2078104262</v>
      </c>
    </row>
    <row r="52" customFormat="false" ht="15" hidden="false" customHeight="false" outlineLevel="0" collapsed="false">
      <c r="A52" s="2" t="s">
        <v>252</v>
      </c>
      <c r="C52" s="20" t="n">
        <f aca="false">C6*C46*C48</f>
        <v>19866.72291912</v>
      </c>
      <c r="D52" s="20" t="n">
        <f aca="false">D6*D46*D48</f>
        <v>21074.9901003675</v>
      </c>
      <c r="E52" s="20" t="n">
        <f aca="false">E6*E46*E48</f>
        <v>22271.3704204992</v>
      </c>
      <c r="F52" s="20" t="n">
        <f aca="false">F6*F46*F48</f>
        <v>23588.5470505063</v>
      </c>
      <c r="G52" s="20" t="n">
        <f aca="false">G6*G46*G48</f>
        <v>24808.5702452511</v>
      </c>
      <c r="H52" s="20" t="n">
        <f aca="false">H6*H46*H48</f>
        <v>26440.4228658276</v>
      </c>
      <c r="I52" s="20" t="n">
        <f aca="false">I6*I46*I48</f>
        <v>27999.377668566</v>
      </c>
      <c r="J52" s="20" t="n">
        <f aca="false">J6*J46*J48</f>
        <v>29463.318640045</v>
      </c>
      <c r="K52" s="20" t="n">
        <f aca="false">K6*K46*K48</f>
        <v>30955.8291751948</v>
      </c>
      <c r="L52" s="20" t="n">
        <f aca="false">L6*L46*L48</f>
        <v>32477.2078104262</v>
      </c>
    </row>
    <row r="53" customFormat="false" ht="15" hidden="false" customHeight="false" outlineLevel="0" collapsed="false">
      <c r="A53" s="2" t="s">
        <v>253</v>
      </c>
      <c r="C53" s="20" t="n">
        <f aca="false">C52-C51</f>
        <v>1806.06571992</v>
      </c>
      <c r="D53" s="20" t="n">
        <f aca="false">D52-D51</f>
        <v>1378.7376701175</v>
      </c>
      <c r="E53" s="20" t="n">
        <f aca="false">E52-E51</f>
        <v>856.591170019201</v>
      </c>
      <c r="F53" s="20" t="n">
        <f aca="false">F52-F51</f>
        <v>462.520530402086</v>
      </c>
      <c r="G53" s="20" t="n">
        <f aca="false">G52-G51</f>
        <v>0</v>
      </c>
      <c r="H53" s="20" t="n">
        <f aca="false">H52-H51</f>
        <v>0</v>
      </c>
      <c r="I53" s="20" t="n">
        <f aca="false">I52-I51</f>
        <v>0</v>
      </c>
      <c r="J53" s="20" t="n">
        <f aca="false">J52-J51</f>
        <v>0</v>
      </c>
      <c r="K53" s="20" t="n">
        <f aca="false">K52-K51</f>
        <v>0</v>
      </c>
      <c r="L53" s="20" t="n">
        <f aca="false">L52-L51</f>
        <v>0</v>
      </c>
    </row>
    <row r="55" customFormat="false" ht="15" hidden="false" customHeight="true" outlineLevel="0" collapsed="false">
      <c r="A55" s="18" t="s">
        <v>254</v>
      </c>
      <c r="B55" s="18"/>
      <c r="C55" s="18"/>
      <c r="D55" s="18"/>
      <c r="E55" s="18"/>
      <c r="F55" s="18"/>
      <c r="G55" s="18"/>
      <c r="H55" s="18"/>
      <c r="I55" s="18"/>
      <c r="J55" s="18"/>
      <c r="K55" s="18"/>
      <c r="L55" s="18"/>
    </row>
    <row r="56" customFormat="false" ht="15" hidden="false" customHeight="false" outlineLevel="0" collapsed="false">
      <c r="A56" s="18"/>
      <c r="B56" s="18"/>
      <c r="C56" s="18"/>
      <c r="D56" s="18"/>
      <c r="E56" s="18"/>
      <c r="F56" s="18"/>
      <c r="G56" s="18"/>
      <c r="H56" s="18"/>
      <c r="I56" s="18"/>
      <c r="J56" s="18"/>
      <c r="K56" s="18"/>
      <c r="L56" s="18"/>
    </row>
    <row r="57" customFormat="false" ht="15" hidden="false" customHeight="false" outlineLevel="0" collapsed="false">
      <c r="A57" s="18"/>
      <c r="B57" s="18"/>
      <c r="C57" s="18"/>
      <c r="D57" s="18"/>
      <c r="E57" s="18"/>
      <c r="F57" s="18"/>
      <c r="G57" s="18"/>
      <c r="H57" s="18"/>
      <c r="I57" s="18"/>
      <c r="J57" s="18"/>
      <c r="K57" s="18"/>
      <c r="L57" s="18"/>
    </row>
  </sheetData>
  <mergeCells count="1">
    <mergeCell ref="A55:L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3"/>
    <col collapsed="false" customWidth="true" hidden="false" outlineLevel="0" max="7" min="7" style="0" width="46"/>
  </cols>
  <sheetData>
    <row r="1" customFormat="false" ht="16.15" hidden="false" customHeight="false" outlineLevel="0" collapsed="false">
      <c r="A1" s="1" t="s">
        <v>257</v>
      </c>
    </row>
    <row r="2" customFormat="false" ht="15" hidden="false" customHeight="false" outlineLevel="0" collapsed="false">
      <c r="A2" s="5" t="s">
        <v>258</v>
      </c>
    </row>
    <row r="4" customFormat="false" ht="15" hidden="false" customHeight="false" outlineLevel="0" collapsed="false">
      <c r="B4" s="6" t="s">
        <v>187</v>
      </c>
      <c r="C4" s="6" t="s">
        <v>188</v>
      </c>
      <c r="D4" s="6" t="s">
        <v>189</v>
      </c>
    </row>
    <row r="5" customFormat="false" ht="15" hidden="false" customHeight="false" outlineLevel="0" collapsed="false">
      <c r="A5" s="2" t="s">
        <v>241</v>
      </c>
      <c r="B5" s="32" t="n">
        <f aca="false">DCF_Bear!$B$38</f>
        <v>27.9695549127192</v>
      </c>
      <c r="C5" s="32" t="n">
        <f aca="false">DCF_Base!$B$38</f>
        <v>55.1292511348818</v>
      </c>
      <c r="D5" s="32" t="n">
        <f aca="false">DCF_Bull!$B$38</f>
        <v>76.018582419208</v>
      </c>
    </row>
    <row r="6" customFormat="false" ht="15" hidden="false" customHeight="false" outlineLevel="0" collapsed="false">
      <c r="A6" s="2" t="s">
        <v>259</v>
      </c>
      <c r="B6" s="17" t="n">
        <f aca="false">B5/Assumptions!$B$11-1</f>
        <v>-0.622746764058278</v>
      </c>
      <c r="C6" s="17" t="n">
        <f aca="false">C5/Assumptions!$B$11-1</f>
        <v>-0.256416898639307</v>
      </c>
      <c r="D6" s="17" t="n">
        <f aca="false">D5/Assumptions!$B$11-1</f>
        <v>0.0253383115620174</v>
      </c>
    </row>
    <row r="7" customFormat="false" ht="15" hidden="false" customHeight="false" outlineLevel="0" collapsed="false">
      <c r="A7" s="2" t="s">
        <v>260</v>
      </c>
      <c r="B7" s="26" t="n">
        <f aca="false">Assumptions!$C$17</f>
        <v>0.15</v>
      </c>
      <c r="C7" s="26" t="n">
        <f aca="false">Assumptions!$D$17</f>
        <v>0.5</v>
      </c>
      <c r="D7" s="26" t="n">
        <f aca="false">Assumptions!$E$17</f>
        <v>0.35</v>
      </c>
    </row>
    <row r="8" customFormat="false" ht="15" hidden="false" customHeight="false" outlineLevel="0" collapsed="false">
      <c r="A8" s="2" t="s">
        <v>261</v>
      </c>
      <c r="B8" s="32" t="n">
        <f aca="false">DCF_Bear!$B$43</f>
        <v>31.0207779311923</v>
      </c>
      <c r="C8" s="32" t="n">
        <f aca="false">DCF_Base!$B$43</f>
        <v>58.437888766035</v>
      </c>
      <c r="D8" s="32" t="n">
        <f aca="false">DCF_Bull!$B$43</f>
        <v>79.4599354244788</v>
      </c>
    </row>
    <row r="10" customFormat="false" ht="15" hidden="false" customHeight="false" outlineLevel="0" collapsed="false">
      <c r="A10" s="2" t="s">
        <v>262</v>
      </c>
      <c r="B10" s="29" t="n">
        <f aca="false">SUMPRODUCT(B5:D5,B7:D7)</f>
        <v>58.3665626510716</v>
      </c>
    </row>
    <row r="11" customFormat="false" ht="15" hidden="false" customHeight="false" outlineLevel="0" collapsed="false">
      <c r="A11" s="2" t="s">
        <v>263</v>
      </c>
      <c r="B11" s="32" t="n">
        <f aca="false">Assumptions!$B$11</f>
        <v>74.14</v>
      </c>
    </row>
    <row r="12" customFormat="false" ht="15" hidden="false" customHeight="false" outlineLevel="0" collapsed="false">
      <c r="A12" s="2" t="s">
        <v>264</v>
      </c>
      <c r="B12" s="17" t="n">
        <f aca="false">1-B11/B10</f>
        <v>-0.270247837674211</v>
      </c>
      <c r="G12" s="5" t="s">
        <v>265</v>
      </c>
    </row>
    <row r="13" customFormat="false" ht="15" hidden="false" customHeight="false" outlineLevel="0" collapsed="false">
      <c r="A13" s="2" t="s">
        <v>266</v>
      </c>
      <c r="B13" s="30" t="n">
        <f aca="false">SUMPRODUCT(B8:D8,B7:D7)</f>
        <v>61.6830384712639</v>
      </c>
    </row>
    <row r="14" customFormat="false" ht="15" hidden="false" customHeight="false" outlineLevel="0" collapsed="false">
      <c r="A14" s="2" t="s">
        <v>267</v>
      </c>
      <c r="B14" s="17" t="n">
        <f aca="false">(Assumptions!$B$11-B10)/(B13-B10)</f>
        <v>4.75608392887772</v>
      </c>
      <c r="G14" s="5" t="s">
        <v>268</v>
      </c>
    </row>
    <row r="17" customFormat="false" ht="15" hidden="false" customHeight="false" outlineLevel="0" collapsed="false">
      <c r="A17" s="4" t="s">
        <v>269</v>
      </c>
    </row>
    <row r="18" customFormat="false" ht="15" hidden="false" customHeight="false" outlineLevel="0" collapsed="false">
      <c r="A18" s="6" t="s">
        <v>270</v>
      </c>
      <c r="B18" s="6" t="s">
        <v>271</v>
      </c>
      <c r="C18" s="6" t="s">
        <v>272</v>
      </c>
    </row>
    <row r="19" customFormat="false" ht="15" hidden="false" customHeight="false" outlineLevel="0" collapsed="false">
      <c r="A19" s="8" t="n">
        <v>0.085</v>
      </c>
      <c r="B19" s="30" t="n">
        <f aca="false">(SUMPRODUCT(DCF_Base!$C$19:$L$19/(1+$A19)^DCF_Base!$C$4:$L$4)+MIN(DCF_Base!$L$19*(1+Assumptions!$D$15)/($A19-Assumptions!$D$15),Assumptions!$B$12*DCF_Base!$L$19)/(1+$A19)^10+Assumptions!$B$9)/Assumptions!$B$10</f>
        <v>77.8472491531304</v>
      </c>
      <c r="C19" s="17" t="n">
        <f aca="false">B19/Assumptions!$B$11-1</f>
        <v>0.0500033605763475</v>
      </c>
      <c r="G19" s="5" t="s">
        <v>273</v>
      </c>
    </row>
    <row r="20" customFormat="false" ht="15" hidden="false" customHeight="false" outlineLevel="0" collapsed="false">
      <c r="A20" s="8" t="n">
        <v>0.09</v>
      </c>
      <c r="B20" s="30" t="n">
        <f aca="false">(SUMPRODUCT(DCF_Base!$C$19:$L$19/(1+$A20)^DCF_Base!$C$4:$L$4)+MIN(DCF_Base!$L$19*(1+Assumptions!$D$15)/($A20-Assumptions!$D$15),Assumptions!$B$12*DCF_Base!$L$19)/(1+$A20)^10+Assumptions!$B$9)/Assumptions!$B$10</f>
        <v>70.7255689916578</v>
      </c>
      <c r="C20" s="17" t="n">
        <f aca="false">B20/Assumptions!$B$11-1</f>
        <v>-0.0460538307032933</v>
      </c>
      <c r="G20" s="5" t="s">
        <v>274</v>
      </c>
    </row>
    <row r="21" customFormat="false" ht="15" hidden="false" customHeight="false" outlineLevel="0" collapsed="false">
      <c r="A21" s="8" t="n">
        <v>0.095</v>
      </c>
      <c r="B21" s="30" t="n">
        <f aca="false">(SUMPRODUCT(DCF_Base!$C$19:$L$19/(1+$A21)^DCF_Base!$C$4:$L$4)+MIN(DCF_Base!$L$19*(1+Assumptions!$D$15)/($A21-Assumptions!$D$15),Assumptions!$B$12*DCF_Base!$L$19)/(1+$A21)^10+Assumptions!$B$9)/Assumptions!$B$10</f>
        <v>64.7135990777328</v>
      </c>
      <c r="C21" s="17" t="n">
        <f aca="false">B21/Assumptions!$B$11-1</f>
        <v>-0.127143254953699</v>
      </c>
      <c r="G21" s="5" t="s">
        <v>275</v>
      </c>
    </row>
    <row r="22" customFormat="false" ht="15" hidden="false" customHeight="false" outlineLevel="0" collapsed="false">
      <c r="A22" s="8" t="n">
        <v>0.1</v>
      </c>
      <c r="B22" s="30" t="n">
        <f aca="false">(SUMPRODUCT(DCF_Base!$C$19:$L$19/(1+$A22)^DCF_Base!$C$4:$L$4)+MIN(DCF_Base!$L$19*(1+Assumptions!$D$15)/($A22-Assumptions!$D$15),Assumptions!$B$12*DCF_Base!$L$19)/(1+$A22)^10+Assumptions!$B$9)/Assumptions!$B$10</f>
        <v>59.5730648804996</v>
      </c>
      <c r="C22" s="17" t="n">
        <f aca="false">B22/Assumptions!$B$11-1</f>
        <v>-0.196478758018619</v>
      </c>
      <c r="G22" s="5" t="s">
        <v>276</v>
      </c>
    </row>
    <row r="23" customFormat="false" ht="15" hidden="false" customHeight="false" outlineLevel="0" collapsed="false">
      <c r="A23" s="8" t="n">
        <v>0.105</v>
      </c>
      <c r="B23" s="30" t="n">
        <f aca="false">(SUMPRODUCT(DCF_Base!$C$19:$L$19/(1+$A23)^DCF_Base!$C$4:$L$4)+MIN(DCF_Base!$L$19*(1+Assumptions!$D$15)/($A23-Assumptions!$D$15),Assumptions!$B$12*DCF_Base!$L$19)/(1+$A23)^10+Assumptions!$B$9)/Assumptions!$B$10</f>
        <v>55.1292511348818</v>
      </c>
      <c r="C23" s="17" t="n">
        <f aca="false">B23/Assumptions!$B$11-1</f>
        <v>-0.256416898639307</v>
      </c>
    </row>
    <row r="24" customFormat="false" ht="15" hidden="false" customHeight="false" outlineLevel="0" collapsed="false">
      <c r="A24" s="8" t="n">
        <v>0.11</v>
      </c>
      <c r="B24" s="30" t="n">
        <f aca="false">(SUMPRODUCT(DCF_Base!$C$19:$L$19/(1+$A24)^DCF_Base!$C$4:$L$4)+MIN(DCF_Base!$L$19*(1+Assumptions!$D$15)/($A24-Assumptions!$D$15),Assumptions!$B$12*DCF_Base!$L$19)/(1+$A24)^10+Assumptions!$B$9)/Assumptions!$B$10</f>
        <v>51.2511386773095</v>
      </c>
      <c r="C24" s="17" t="n">
        <f aca="false">B24/Assumptions!$B$11-1</f>
        <v>-0.308724862728493</v>
      </c>
    </row>
    <row r="25" customFormat="false" ht="15" hidden="false" customHeight="false" outlineLevel="0" collapsed="false">
      <c r="A25" s="8" t="n">
        <v>0.12</v>
      </c>
      <c r="B25" s="30" t="n">
        <f aca="false">(SUMPRODUCT(DCF_Base!$C$19:$L$19/(1+$A25)^DCF_Base!$C$4:$L$4)+MIN(DCF_Base!$L$19*(1+Assumptions!$D$15)/($A25-Assumptions!$D$15),Assumptions!$B$12*DCF_Base!$L$19)/(1+$A25)^10+Assumptions!$B$9)/Assumptions!$B$10</f>
        <v>44.813590177764</v>
      </c>
      <c r="C25" s="17" t="n">
        <f aca="false">B25/Assumptions!$B$11-1</f>
        <v>-0.395554489104883</v>
      </c>
    </row>
    <row r="26" customFormat="false" ht="15" hidden="false" customHeight="false" outlineLevel="0" collapsed="false">
      <c r="A26" s="8" t="n">
        <v>0.15</v>
      </c>
      <c r="B26" s="30" t="n">
        <f aca="false">(SUMPRODUCT(DCF_Base!$C$19:$L$19/(1+$A26)^DCF_Base!$C$4:$L$4)+MIN(DCF_Base!$L$19*(1+Assumptions!$D$15)/($A26-Assumptions!$D$15),Assumptions!$B$12*DCF_Base!$L$19)/(1+$A26)^10+Assumptions!$B$9)/Assumptions!$B$10</f>
        <v>32.0786231907563</v>
      </c>
      <c r="C26" s="17" t="n">
        <f aca="false">B26/Assumptions!$B$11-1</f>
        <v>-0.567323668859505</v>
      </c>
    </row>
    <row r="28" customFormat="false" ht="15" hidden="false" customHeight="false" outlineLevel="0" collapsed="false">
      <c r="A28" s="2" t="s">
        <v>277</v>
      </c>
      <c r="B28" s="30" t="n">
        <f aca="false">(SUMPRODUCT(DCF_Bear!$C$19:$L$19/(1+0.15)^DCF_Bear!$C$4:$L$4)+MIN(DCF_Bear!$L$19*(1+Assumptions!$C$15)/(0.15-Assumptions!$C$15),Assumptions!$B$12*DCF_Bear!$L$19)/(1+0.15)^10+Assumptions!$B$9)/Assumptions!$B$10</f>
        <v>18.2695687134317</v>
      </c>
      <c r="C28" s="30" t="n">
        <f aca="false">(SUMPRODUCT(DCF_Base!$C$19:$L$19/(1+0.15)^DCF_Base!$C$4:$L$4)+MIN(DCF_Base!$L$19*(1+Assumptions!$D$15)/(0.15-Assumptions!$D$15),Assumptions!$B$12*DCF_Base!$L$19)/(1+0.15)^10+Assumptions!$B$9)/Assumptions!$B$10</f>
        <v>32.0786231907563</v>
      </c>
      <c r="D28" s="30" t="n">
        <f aca="false">(SUMPRODUCT(DCF_Bull!$C$19:$L$19/(1+0.15)^DCF_Bull!$C$4:$L$4)+MIN(DCF_Bull!$L$19*(1+Assumptions!$E$15)/(0.15-Assumptions!$E$15),Assumptions!$B$12*DCF_Bull!$L$19)/(1+0.15)^10+Assumptions!$B$9)/Assumptions!$B$10</f>
        <v>42.3168020549101</v>
      </c>
      <c r="E28" s="29" t="n">
        <f aca="false">SUMPRODUCT(B28:D28,$B$7:$D$7)</f>
        <v>33.5906276216114</v>
      </c>
      <c r="G28" s="5" t="s">
        <v>278</v>
      </c>
    </row>
    <row r="29" customFormat="false" ht="15" hidden="false" customHeight="false" outlineLevel="0" collapsed="false">
      <c r="A29" s="2" t="s">
        <v>279</v>
      </c>
      <c r="B29" s="30" t="n">
        <f aca="false">B28+(SUMPRODUCT(-DCF_Bear!$C$10:$L$10/(1+0.15)^DCF_Bear!$C$4:$L$4)+(-DCF_Bear!$L$10*(1+Assumptions!$C$15)/(0.15-Assumptions!$C$15))/(1+0.15)^10)/Assumptions!$B$10</f>
        <v>20.1823520582692</v>
      </c>
      <c r="C29" s="30" t="n">
        <f aca="false">C28+(SUMPRODUCT(-DCF_Base!$C$10:$L$10/(1+0.15)^DCF_Base!$C$4:$L$4)+(-DCF_Base!$L$10*(1+Assumptions!$D$15)/(0.15-Assumptions!$D$15))/(1+0.15)^10)/Assumptions!$B$10</f>
        <v>34.0326327981984</v>
      </c>
      <c r="D29" s="30" t="n">
        <f aca="false">D28+(SUMPRODUCT(-DCF_Bull!$C$10:$L$10/(1+0.15)^DCF_Bull!$C$4:$L$4)+(-DCF_Bull!$L$10*(1+Assumptions!$E$15)/(0.15-Assumptions!$E$15))/(1+0.15)^10)/Assumptions!$B$10</f>
        <v>44.2949866749079</v>
      </c>
      <c r="E29" s="30" t="n">
        <f aca="false">SUMPRODUCT(B29:D29,$B$7:$D$7)</f>
        <v>35.5469145440573</v>
      </c>
    </row>
    <row r="31" customFormat="false" ht="15" hidden="false" customHeight="false" outlineLevel="0" collapsed="false">
      <c r="A31" s="4" t="s">
        <v>280</v>
      </c>
    </row>
    <row r="32" customFormat="false" ht="15" hidden="false" customHeight="false" outlineLevel="0" collapsed="false">
      <c r="A32" s="6" t="s">
        <v>281</v>
      </c>
      <c r="B32" s="33" t="n">
        <v>0.02</v>
      </c>
      <c r="C32" s="33" t="n">
        <v>0.025</v>
      </c>
      <c r="D32" s="33" t="n">
        <v>0.03</v>
      </c>
      <c r="E32" s="33" t="n">
        <v>0.035</v>
      </c>
      <c r="F32" s="33" t="n">
        <v>0.04</v>
      </c>
    </row>
    <row r="33" customFormat="false" ht="15" hidden="false" customHeight="false" outlineLevel="0" collapsed="false">
      <c r="A33" s="33" t="n">
        <v>0.085</v>
      </c>
      <c r="B33" s="30" t="n">
        <f aca="false">IF($A33&gt;B$32,(SUMPRODUCT(DCF_Base!$C$19:$L$19/(1+$A33)^DCF_Base!$C$4:$L$4)+MIN(DCF_Base!$L$19*(1+B$32)/($A33-B$32),Assumptions!$B$12*DCF_Base!$L$19)/(1+$A33)^10+Assumptions!$B$9)/Assumptions!$B$10,"n/a")</f>
        <v>69.4895178143641</v>
      </c>
      <c r="C33" s="30" t="n">
        <f aca="false">IF($A33&gt;C$32,(SUMPRODUCT(DCF_Base!$C$19:$L$19/(1+$A33)^DCF_Base!$C$4:$L$4)+MIN(DCF_Base!$L$19*(1+C$32)/($A33-C$32),Assumptions!$B$12*DCF_Base!$L$19)/(1+$A33)^10+Assumptions!$B$9)/Assumptions!$B$10,"n/a")</f>
        <v>73.3201446779653</v>
      </c>
      <c r="D33" s="30" t="n">
        <f aca="false">IF($A33&gt;D$32,(SUMPRODUCT(DCF_Base!$C$19:$L$19/(1+$A33)^DCF_Base!$C$4:$L$4)+MIN(DCF_Base!$L$19*(1+D$32)/($A33-D$32),Assumptions!$B$12*DCF_Base!$L$19)/(1+$A33)^10+Assumptions!$B$9)/Assumptions!$B$10,"n/a")</f>
        <v>77.8472491531304</v>
      </c>
      <c r="E33" s="30" t="n">
        <f aca="false">IF($A33&gt;E$32,(SUMPRODUCT(DCF_Base!$C$19:$L$19/(1+$A33)^DCF_Base!$C$4:$L$4)+MIN(DCF_Base!$L$19*(1+E$32)/($A33-E$32),Assumptions!$B$12*DCF_Base!$L$19)/(1+$A33)^10+Assumptions!$B$9)/Assumptions!$B$10,"n/a")</f>
        <v>81.3521042306776</v>
      </c>
      <c r="F33" s="30" t="n">
        <f aca="false">IF($A33&gt;F$32,(SUMPRODUCT(DCF_Base!$C$19:$L$19/(1+$A33)^DCF_Base!$C$4:$L$4)+MIN(DCF_Base!$L$19*(1+F$32)/($A33-F$32),Assumptions!$B$12*DCF_Base!$L$19)/(1+$A33)^10+Assumptions!$B$9)/Assumptions!$B$10,"n/a")</f>
        <v>81.3521042306776</v>
      </c>
    </row>
    <row r="34" customFormat="false" ht="15" hidden="false" customHeight="false" outlineLevel="0" collapsed="false">
      <c r="A34" s="33" t="n">
        <v>0.09</v>
      </c>
      <c r="B34" s="30" t="n">
        <f aca="false">IF($A34&gt;B$32,(SUMPRODUCT(DCF_Base!$C$19:$L$19/(1+$A34)^DCF_Base!$C$4:$L$4)+MIN(DCF_Base!$L$19*(1+B$32)/($A34-B$32),Assumptions!$B$12*DCF_Base!$L$19)/(1+$A34)^10+Assumptions!$B$9)/Assumptions!$B$10,"n/a")</f>
        <v>63.8999141297766</v>
      </c>
      <c r="C34" s="30" t="n">
        <f aca="false">IF($A34&gt;C$32,(SUMPRODUCT(DCF_Base!$C$19:$L$19/(1+$A34)^DCF_Base!$C$4:$L$4)+MIN(DCF_Base!$L$19*(1+C$32)/($A34-C$32),Assumptions!$B$12*DCF_Base!$L$19)/(1+$A34)^10+Assumptions!$B$9)/Assumptions!$B$10,"n/a")</f>
        <v>67.0502163737218</v>
      </c>
      <c r="D34" s="30" t="n">
        <f aca="false">IF($A34&gt;D$32,(SUMPRODUCT(DCF_Base!$C$19:$L$19/(1+$A34)^DCF_Base!$C$4:$L$4)+MIN(DCF_Base!$L$19*(1+D$32)/($A34-D$32),Assumptions!$B$12*DCF_Base!$L$19)/(1+$A34)^10+Assumptions!$B$9)/Assumptions!$B$10,"n/a")</f>
        <v>70.7255689916578</v>
      </c>
      <c r="E34" s="30" t="n">
        <f aca="false">IF($A34&gt;E$32,(SUMPRODUCT(DCF_Base!$C$19:$L$19/(1+$A34)^DCF_Base!$C$4:$L$4)+MIN(DCF_Base!$L$19*(1+E$32)/($A34-E$32),Assumptions!$B$12*DCF_Base!$L$19)/(1+$A34)^10+Assumptions!$B$9)/Assumptions!$B$10,"n/a")</f>
        <v>75.0691675401277</v>
      </c>
      <c r="F34" s="30" t="n">
        <f aca="false">IF($A34&gt;F$32,(SUMPRODUCT(DCF_Base!$C$19:$L$19/(1+$A34)^DCF_Base!$C$4:$L$4)+MIN(DCF_Base!$L$19*(1+F$32)/($A34-F$32),Assumptions!$B$12*DCF_Base!$L$19)/(1+$A34)^10+Assumptions!$B$9)/Assumptions!$B$10,"n/a")</f>
        <v>78.1774307216016</v>
      </c>
    </row>
    <row r="35" customFormat="false" ht="15" hidden="false" customHeight="false" outlineLevel="0" collapsed="false">
      <c r="A35" s="33" t="n">
        <v>0.095</v>
      </c>
      <c r="B35" s="30" t="n">
        <f aca="false">IF($A35&gt;B$32,(SUMPRODUCT(DCF_Base!$C$19:$L$19/(1+$A35)^DCF_Base!$C$4:$L$4)+MIN(DCF_Base!$L$19*(1+B$32)/($A35-B$32),Assumptions!$B$12*DCF_Base!$L$19)/(1+$A35)^10+Assumptions!$B$9)/Assumptions!$B$10,"n/a")</f>
        <v>59.0703346093348</v>
      </c>
      <c r="C35" s="30" t="n">
        <f aca="false">IF($A35&gt;C$32,(SUMPRODUCT(DCF_Base!$C$19:$L$19/(1+$A35)^DCF_Base!$C$4:$L$4)+MIN(DCF_Base!$L$19*(1+C$32)/($A35-C$32),Assumptions!$B$12*DCF_Base!$L$19)/(1+$A35)^10+Assumptions!$B$9)/Assumptions!$B$10,"n/a")</f>
        <v>61.6904216839481</v>
      </c>
      <c r="D35" s="30" t="n">
        <f aca="false">IF($A35&gt;D$32,(SUMPRODUCT(DCF_Base!$C$19:$L$19/(1+$A35)^DCF_Base!$C$4:$L$4)+MIN(DCF_Base!$L$19*(1+D$32)/($A35-D$32),Assumptions!$B$12*DCF_Base!$L$19)/(1+$A35)^10+Assumptions!$B$9)/Assumptions!$B$10,"n/a")</f>
        <v>64.7135990777328</v>
      </c>
      <c r="E35" s="30" t="n">
        <f aca="false">IF($A35&gt;E$32,(SUMPRODUCT(DCF_Base!$C$19:$L$19/(1+$A35)^DCF_Base!$C$4:$L$4)+MIN(DCF_Base!$L$19*(1+E$32)/($A35-E$32),Assumptions!$B$12*DCF_Base!$L$19)/(1+$A35)^10+Assumptions!$B$9)/Assumptions!$B$10,"n/a")</f>
        <v>68.2406393704816</v>
      </c>
      <c r="F35" s="30" t="n">
        <f aca="false">IF($A35&gt;F$32,(SUMPRODUCT(DCF_Base!$C$19:$L$19/(1+$A35)^DCF_Base!$C$4:$L$4)+MIN(DCF_Base!$L$19*(1+F$32)/($A35-F$32),Assumptions!$B$12*DCF_Base!$L$19)/(1+$A35)^10+Assumptions!$B$9)/Assumptions!$B$10,"n/a")</f>
        <v>72.4089597164574</v>
      </c>
    </row>
    <row r="36" customFormat="false" ht="15" hidden="false" customHeight="false" outlineLevel="0" collapsed="false">
      <c r="A36" s="33" t="n">
        <v>0.1</v>
      </c>
      <c r="B36" s="30" t="n">
        <f aca="false">IF($A36&gt;B$32,(SUMPRODUCT(DCF_Base!$C$19:$L$19/(1+$A36)^DCF_Base!$C$4:$L$4)+MIN(DCF_Base!$L$19*(1+B$32)/($A36-B$32),Assumptions!$B$12*DCF_Base!$L$19)/(1+$A36)^10+Assumptions!$B$9)/Assumptions!$B$10,"n/a")</f>
        <v>54.8577586486556</v>
      </c>
      <c r="C36" s="30" t="n">
        <f aca="false">IF($A36&gt;C$32,(SUMPRODUCT(DCF_Base!$C$19:$L$19/(1+$A36)^DCF_Base!$C$4:$L$4)+MIN(DCF_Base!$L$19*(1+C$32)/($A36-C$32),Assumptions!$B$12*DCF_Base!$L$19)/(1+$A36)^10+Assumptions!$B$9)/Assumptions!$B$10,"n/a")</f>
        <v>57.0582348901828</v>
      </c>
      <c r="D36" s="30" t="n">
        <f aca="false">IF($A36&gt;D$32,(SUMPRODUCT(DCF_Base!$C$19:$L$19/(1+$A36)^DCF_Base!$C$4:$L$4)+MIN(DCF_Base!$L$19*(1+D$32)/($A36-D$32),Assumptions!$B$12*DCF_Base!$L$19)/(1+$A36)^10+Assumptions!$B$9)/Assumptions!$B$10,"n/a")</f>
        <v>59.5730648804996</v>
      </c>
      <c r="E36" s="30" t="n">
        <f aca="false">IF($A36&gt;E$32,(SUMPRODUCT(DCF_Base!$C$19:$L$19/(1+$A36)^DCF_Base!$C$4:$L$4)+MIN(DCF_Base!$L$19*(1+E$32)/($A36-E$32),Assumptions!$B$12*DCF_Base!$L$19)/(1+$A36)^10+Assumptions!$B$9)/Assumptions!$B$10,"n/a")</f>
        <v>62.4747917924036</v>
      </c>
      <c r="F36" s="30" t="n">
        <f aca="false">IF($A36&gt;F$32,(SUMPRODUCT(DCF_Base!$C$19:$L$19/(1+$A36)^DCF_Base!$C$4:$L$4)+MIN(DCF_Base!$L$19*(1+F$32)/($A36-F$32),Assumptions!$B$12*DCF_Base!$L$19)/(1+$A36)^10+Assumptions!$B$9)/Assumptions!$B$10,"n/a")</f>
        <v>65.8601398562916</v>
      </c>
    </row>
    <row r="37" customFormat="false" ht="15" hidden="false" customHeight="false" outlineLevel="0" collapsed="false">
      <c r="A37" s="33" t="n">
        <v>0.105</v>
      </c>
      <c r="B37" s="30" t="n">
        <f aca="false">IF($A37&gt;B$32,(SUMPRODUCT(DCF_Base!$C$19:$L$19/(1+$A37)^DCF_Base!$C$4:$L$4)+MIN(DCF_Base!$L$19*(1+B$32)/($A37-B$32),Assumptions!$B$12*DCF_Base!$L$19)/(1+$A37)^10+Assumptions!$B$9)/Assumptions!$B$10,"n/a")</f>
        <v>51.1528388666435</v>
      </c>
      <c r="C37" s="30" t="n">
        <f aca="false">IF($A37&gt;C$32,(SUMPRODUCT(DCF_Base!$C$19:$L$19/(1+$A37)^DCF_Base!$C$4:$L$4)+MIN(DCF_Base!$L$19*(1+C$32)/($A37-C$32),Assumptions!$B$12*DCF_Base!$L$19)/(1+$A37)^10+Assumptions!$B$9)/Assumptions!$B$10,"n/a")</f>
        <v>53.0167821173802</v>
      </c>
      <c r="D37" s="29" t="n">
        <f aca="false">IF($A37&gt;D$32,(SUMPRODUCT(DCF_Base!$C$19:$L$19/(1+$A37)^DCF_Base!$C$4:$L$4)+MIN(DCF_Base!$L$19*(1+D$32)/($A37-D$32),Assumptions!$B$12*DCF_Base!$L$19)/(1+$A37)^10+Assumptions!$B$9)/Assumptions!$B$10,"n/a")</f>
        <v>55.1292511348818</v>
      </c>
      <c r="E37" s="30" t="n">
        <f aca="false">IF($A37&gt;E$32,(SUMPRODUCT(DCF_Base!$C$19:$L$19/(1+$A37)^DCF_Base!$C$4:$L$4)+MIN(DCF_Base!$L$19*(1+E$32)/($A37-E$32),Assumptions!$B$12*DCF_Base!$L$19)/(1+$A37)^10+Assumptions!$B$9)/Assumptions!$B$10,"n/a")</f>
        <v>57.5435014405979</v>
      </c>
      <c r="F37" s="30" t="n">
        <f aca="false">IF($A37&gt;F$32,(SUMPRODUCT(DCF_Base!$C$19:$L$19/(1+$A37)^DCF_Base!$C$4:$L$4)+MIN(DCF_Base!$L$19*(1+F$32)/($A37-F$32),Assumptions!$B$12*DCF_Base!$L$19)/(1+$A37)^10+Assumptions!$B$9)/Assumptions!$B$10,"n/a")</f>
        <v>60.3291748702703</v>
      </c>
    </row>
    <row r="38" customFormat="false" ht="15" hidden="false" customHeight="false" outlineLevel="0" collapsed="false">
      <c r="A38" s="33" t="n">
        <v>0.11</v>
      </c>
      <c r="B38" s="30" t="n">
        <f aca="false">IF($A38&gt;B$32,(SUMPRODUCT(DCF_Base!$C$19:$L$19/(1+$A38)^DCF_Base!$C$4:$L$4)+MIN(DCF_Base!$L$19*(1+B$32)/($A38-B$32),Assumptions!$B$12*DCF_Base!$L$19)/(1+$A38)^10+Assumptions!$B$9)/Assumptions!$B$10,"n/a")</f>
        <v>47.8705464326961</v>
      </c>
      <c r="C38" s="30" t="n">
        <f aca="false">IF($A38&gt;C$32,(SUMPRODUCT(DCF_Base!$C$19:$L$19/(1+$A38)^DCF_Base!$C$4:$L$4)+MIN(DCF_Base!$L$19*(1+C$32)/($A38-C$32),Assumptions!$B$12*DCF_Base!$L$19)/(1+$A38)^10+Assumptions!$B$9)/Assumptions!$B$10,"n/a")</f>
        <v>49.4614133713377</v>
      </c>
      <c r="D38" s="30" t="n">
        <f aca="false">IF($A38&gt;D$32,(SUMPRODUCT(DCF_Base!$C$19:$L$19/(1+$A38)^DCF_Base!$C$4:$L$4)+MIN(DCF_Base!$L$19*(1+D$32)/($A38-D$32),Assumptions!$B$12*DCF_Base!$L$19)/(1+$A38)^10+Assumptions!$B$9)/Assumptions!$B$10,"n/a")</f>
        <v>51.2511386773095</v>
      </c>
      <c r="E38" s="30" t="n">
        <f aca="false">IF($A38&gt;E$32,(SUMPRODUCT(DCF_Base!$C$19:$L$19/(1+$A38)^DCF_Base!$C$4:$L$4)+MIN(DCF_Base!$L$19*(1+E$32)/($A38-E$32),Assumptions!$B$12*DCF_Base!$L$19)/(1+$A38)^10+Assumptions!$B$9)/Assumptions!$B$10,"n/a")</f>
        <v>53.2794940240775</v>
      </c>
      <c r="F38" s="30" t="n">
        <f aca="false">IF($A38&gt;F$32,(SUMPRODUCT(DCF_Base!$C$19:$L$19/(1+$A38)^DCF_Base!$C$4:$L$4)+MIN(DCF_Base!$L$19*(1+F$32)/($A38-F$32),Assumptions!$B$12*DCF_Base!$L$19)/(1+$A38)^10+Assumptions!$B$9)/Assumptions!$B$10,"n/a")</f>
        <v>55.5976144203839</v>
      </c>
    </row>
    <row r="39" customFormat="false" ht="15" hidden="false" customHeight="false" outlineLevel="0" collapsed="false">
      <c r="A39" s="33" t="n">
        <v>0.115</v>
      </c>
      <c r="B39" s="30" t="n">
        <f aca="false">IF($A39&gt;B$32,(SUMPRODUCT(DCF_Base!$C$19:$L$19/(1+$A39)^DCF_Base!$C$4:$L$4)+MIN(DCF_Base!$L$19*(1+B$32)/($A39-B$32),Assumptions!$B$12*DCF_Base!$L$19)/(1+$A39)^10+Assumptions!$B$9)/Assumptions!$B$10,"n/a")</f>
        <v>44.943770553148</v>
      </c>
      <c r="C39" s="30" t="n">
        <f aca="false">IF($A39&gt;C$32,(SUMPRODUCT(DCF_Base!$C$19:$L$19/(1+$A39)^DCF_Base!$C$4:$L$4)+MIN(DCF_Base!$L$19*(1+C$32)/($A39-C$32),Assumptions!$B$12*DCF_Base!$L$19)/(1+$A39)^10+Assumptions!$B$9)/Assumptions!$B$10,"n/a")</f>
        <v>46.3107506127639</v>
      </c>
      <c r="D39" s="30" t="n">
        <f aca="false">IF($A39&gt;D$32,(SUMPRODUCT(DCF_Base!$C$19:$L$19/(1+$A39)^DCF_Base!$C$4:$L$4)+MIN(DCF_Base!$L$19*(1+D$32)/($A39-D$32),Assumptions!$B$12*DCF_Base!$L$19)/(1+$A39)^10+Assumptions!$B$9)/Assumptions!$B$10,"n/a")</f>
        <v>47.8385518558641</v>
      </c>
      <c r="E39" s="30" t="n">
        <f aca="false">IF($A39&gt;E$32,(SUMPRODUCT(DCF_Base!$C$19:$L$19/(1+$A39)^DCF_Base!$C$4:$L$4)+MIN(DCF_Base!$L$19*(1+E$32)/($A39-E$32),Assumptions!$B$12*DCF_Base!$L$19)/(1+$A39)^10+Assumptions!$B$9)/Assumptions!$B$10,"n/a")</f>
        <v>49.5573282543518</v>
      </c>
      <c r="F39" s="30" t="n">
        <f aca="false">IF($A39&gt;F$32,(SUMPRODUCT(DCF_Base!$C$19:$L$19/(1+$A39)^DCF_Base!$C$4:$L$4)+MIN(DCF_Base!$L$19*(1+F$32)/($A39-F$32),Assumptions!$B$12*DCF_Base!$L$19)/(1+$A39)^10+Assumptions!$B$9)/Assumptions!$B$10,"n/a")</f>
        <v>51.5052748393045</v>
      </c>
    </row>
    <row r="41" customFormat="false" ht="15" hidden="false" customHeight="false" outlineLevel="0" collapsed="false">
      <c r="A41" s="4" t="s">
        <v>282</v>
      </c>
    </row>
    <row r="42" customFormat="false" ht="15" hidden="false" customHeight="false" outlineLevel="0" collapsed="false">
      <c r="A42" s="34" t="s">
        <v>283</v>
      </c>
      <c r="B42" s="9" t="n">
        <v>55.13</v>
      </c>
      <c r="G42" s="5" t="s">
        <v>284</v>
      </c>
    </row>
    <row r="43" customFormat="false" ht="15" hidden="false" customHeight="false" outlineLevel="0" collapsed="false">
      <c r="A43" s="34" t="s">
        <v>285</v>
      </c>
      <c r="B43" s="9" t="n">
        <v>50.59</v>
      </c>
      <c r="G43" s="5" t="s">
        <v>286</v>
      </c>
    </row>
    <row r="44" customFormat="false" ht="15" hidden="false" customHeight="false" outlineLevel="0" collapsed="false">
      <c r="A44" s="34" t="s">
        <v>287</v>
      </c>
      <c r="B44" s="9" t="n">
        <v>56.47</v>
      </c>
      <c r="G44" s="5" t="s">
        <v>288</v>
      </c>
    </row>
    <row r="45" customFormat="false" ht="15" hidden="false" customHeight="false" outlineLevel="0" collapsed="false">
      <c r="A45" s="34" t="s">
        <v>289</v>
      </c>
      <c r="B45" s="9" t="n">
        <v>57.12</v>
      </c>
      <c r="G45" s="5" t="s">
        <v>290</v>
      </c>
    </row>
    <row r="46" customFormat="false" ht="15" hidden="false" customHeight="true" outlineLevel="0" collapsed="false">
      <c r="A46" s="18" t="s">
        <v>291</v>
      </c>
      <c r="B46" s="18"/>
      <c r="C46" s="18"/>
      <c r="D46" s="18"/>
      <c r="E46" s="18"/>
      <c r="F46" s="18"/>
      <c r="G46" s="18"/>
    </row>
    <row r="47" customFormat="false" ht="15" hidden="false" customHeight="false" outlineLevel="0" collapsed="false">
      <c r="A47" s="18"/>
      <c r="B47" s="18"/>
      <c r="C47" s="18"/>
      <c r="D47" s="18"/>
      <c r="E47" s="18"/>
      <c r="F47" s="18"/>
      <c r="G47" s="18"/>
    </row>
  </sheetData>
  <mergeCells count="1">
    <mergeCell ref="A46:G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2026-08-08T23:10:11Z</dcterms:created>
  <dc:creator>openpyxl</dc:creator>
  <dc:description/>
  <dc:language>en-US</dc:language>
  <cp:lastModifiedBy/>
  <dcterms:modified xsi:type="dcterms:W3CDTF">2026-08-08T23:10:11Z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