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Historical" sheetId="4" r:id="rId4"/>
  </sheets>
  <calcPr calcId="124519" fullCalcOnLoad="1"/>
</workbook>
</file>

<file path=xl/sharedStrings.xml><?xml version="1.0" encoding="utf-8"?>
<sst xmlns="http://schemas.openxmlformats.org/spreadsheetml/2006/main" count="101" uniqueCount="71">
  <si>
    <t>NFLX DCF Valuation Model - Base Case</t>
  </si>
  <si>
    <t>Gray cells are INPUTS - adjust to see valuation change</t>
  </si>
  <si>
    <t>KEY INPUTS</t>
  </si>
  <si>
    <t>Current Stock Price</t>
  </si>
  <si>
    <t>Shares Outstanding (M)</t>
  </si>
  <si>
    <t>Cash &amp; Equivalents (M)</t>
  </si>
  <si>
    <t>Total Debt (M)</t>
  </si>
  <si>
    <t>Net Debt (M) [grossed up for Q2 buybacks]</t>
  </si>
  <si>
    <t>Base Year FCF (M) - Normalized/Mid-Cycle</t>
  </si>
  <si>
    <t>Note: Base FCF excludes Q1-2026 WBD fee</t>
  </si>
  <si>
    <t>Note: Base FCF is normalized mid-cycle, excludes Q1-2026 $2.8B WBD fee distortion and Q2-2026 related cash tax drag</t>
  </si>
  <si>
    <t>WACC</t>
  </si>
  <si>
    <t>Terminal Growth Rate</t>
  </si>
  <si>
    <t>GROWTH ASSUMPTIONS</t>
  </si>
  <si>
    <t>FCF Growth Rate</t>
  </si>
  <si>
    <t>Year 1</t>
  </si>
  <si>
    <t>Year 2</t>
  </si>
  <si>
    <t>Year 3</t>
  </si>
  <si>
    <t>Year 4</t>
  </si>
  <si>
    <t>Year 5</t>
  </si>
  <si>
    <t>PROJECTIONS</t>
  </si>
  <si>
    <t>Base</t>
  </si>
  <si>
    <t>Free Cash Flow</t>
  </si>
  <si>
    <t>Discount Factor</t>
  </si>
  <si>
    <t>PV of FCF</t>
  </si>
  <si>
    <t>VALUATION</t>
  </si>
  <si>
    <t>Sum of PV of FCF</t>
  </si>
  <si>
    <t>Terminal FCF (Year 5 * (1+g))</t>
  </si>
  <si>
    <t>Terminal Value</t>
  </si>
  <si>
    <t>PV of Terminal Value</t>
  </si>
  <si>
    <t>Enterprise Value</t>
  </si>
  <si>
    <t>Less: Net Debt</t>
  </si>
  <si>
    <t>Equity Value</t>
  </si>
  <si>
    <t>INTRINSIC VALUE/SHARE</t>
  </si>
  <si>
    <t>ENTRY PRICE (15% CAGR Target)</t>
  </si>
  <si>
    <t>Terminal Value per Share</t>
  </si>
  <si>
    <t>Entry Price (15% CAGR)</t>
  </si>
  <si>
    <t>Upside to Intrinsic Value</t>
  </si>
  <si>
    <t>Upside to Entry Price (discount needed)</t>
  </si>
  <si>
    <t>NFLX DCF - Bull &amp; Bear Scenarios (static)</t>
  </si>
  <si>
    <t>BULL CASE</t>
  </si>
  <si>
    <t>Terminal Growth</t>
  </si>
  <si>
    <t>Growth Rates (Y1-Y5)</t>
  </si>
  <si>
    <t>Sum PV of FCF</t>
  </si>
  <si>
    <t>Intrinsic Value/Share</t>
  </si>
  <si>
    <t>Upside vs Current Price</t>
  </si>
  <si>
    <t>BASE CASE</t>
  </si>
  <si>
    <t>BEAR CASE</t>
  </si>
  <si>
    <t>PROBABILITY-WEIGHTED INTRINSIC VALUE</t>
  </si>
  <si>
    <t>Weights (Bull/Base/Bear)</t>
  </si>
  <si>
    <t>25% / 50% / 25%</t>
  </si>
  <si>
    <t>Sensitivity Analysis</t>
  </si>
  <si>
    <t>Intrinsic Value by WACC &amp; Terminal Growth (Base Case Growth Rates)</t>
  </si>
  <si>
    <t>WACC \ Term G</t>
  </si>
  <si>
    <t>Note: Table shows PV of Terminal Value per share only (excl. explicit FCF PVs &amp; net debt), consistent with the reference template. See DCF Model tab for full intrinsic value build.</t>
  </si>
  <si>
    <t>Note: Table shows PV of Terminal Value per share only (excl. explicit-period FCF PVs &amp; net debt adjustment), consistent with the reference template methodology. See DCF Model tab for the full intrinsic value build including explicit FCF and net debt.</t>
  </si>
  <si>
    <t>Historical Growth Rates</t>
  </si>
  <si>
    <t>Metric</t>
  </si>
  <si>
    <t>3-Year CAGR</t>
  </si>
  <si>
    <t>5-Year CAGR</t>
  </si>
  <si>
    <t>Revenue</t>
  </si>
  <si>
    <t>EPS</t>
  </si>
  <si>
    <t>Equity</t>
  </si>
  <si>
    <t>FCF</t>
  </si>
  <si>
    <t>Selected Growth Rate:</t>
  </si>
  <si>
    <t>Source:</t>
  </si>
  <si>
    <t>revenue_cagr_normalized</t>
  </si>
  <si>
    <t>Growth Divergence Warning:</t>
  </si>
  <si>
    <t>Equity 5yr CAGR (9.9%) diverges over 100% from EPS 5yr CAGR (33.0%), and raw FCF CAGRs (37.5% 5yr / 77.6% 3yr) are not meaningful because they compound off a depressed FY2020/FY2022 FCF trough caused by content-spend timing (near-zero cash FCF in those years), mechanically inflating the CAGR. Equity CAGR is also buyback-distorted (similar to Visa) since Netflix has aggressively repurchased shares (record $4.7B in Q2-2026 alone), suppressing book equity growth relative to true value creation. Given these distortions, revenue CAGR (approximately 12.6%, stable and consistent across both 3yr/5yr windows) is used as the primary anchor for Year-1 FCF growth in the base case rather than equity or raw FCF CAGRs.</t>
  </si>
  <si>
    <t>Mid-Cycle FCF Note:</t>
  </si>
  <si>
    <t>last_fcf ($10,200M) is a normalized mid-cycle base-year FCF, NOT reported Q1-2026 FCF ($5,094M, inflated by the $2.8B WBD termination fee) or FY2026 guidance (~$12.5B, which nets the fee benefit against the associated Q2-2026 cash tax drag). FY2025 actual FCF was $9,461M; the normalized base assumes an underlying uplift off that base, stripped of one-off distortions.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</si>
</sst>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0" fontId="2" fillId="0" borderId="0" xfId="0" applyFont="1" applyAlignment="1">
      <alignment wrapText="1"/>
    </xf>
    <xf numFmtId="165" fontId="0" fillId="2" borderId="2" xfId="0" applyNumberFormat="1" applyFill="1" applyBorder="1"/>
    <xf numFmtId="0" fontId="4" fillId="3" borderId="2" xfId="0" applyFont="1" applyFill="1" applyBorder="1"/>
    <xf numFmtId="164" fontId="0" fillId="0" borderId="2" xfId="0" applyNumberFormat="1" applyBorder="1"/>
    <xf numFmtId="0" fontId="5" fillId="0" borderId="0" xfId="0" applyFont="1"/>
    <xf numFmtId="166" fontId="4" fillId="4" borderId="2" xfId="0" applyNumberFormat="1" applyFont="1" applyFill="1" applyBorder="1"/>
    <xf numFmtId="166" fontId="0" fillId="0" borderId="2" xfId="0" applyNumberFormat="1" applyBorder="1"/>
    <xf numFmtId="165" fontId="0" fillId="0" borderId="2" xfId="0" applyNumberFormat="1" applyBorder="1"/>
    <xf numFmtId="165" fontId="4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6">
      <c r="A1" s="1" t="s">
        <v>0</v>
      </c>
    </row>
    <row r="2" spans="1:6">
      <c r="A2" s="2" t="s">
        <v>1</v>
      </c>
    </row>
    <row r="4" spans="1:6">
      <c r="A4" s="3" t="s">
        <v>2</v>
      </c>
    </row>
    <row r="5" spans="1:6">
      <c r="A5" t="s">
        <v>3</v>
      </c>
      <c r="B5" s="4">
        <v>74.34999999999999</v>
      </c>
    </row>
    <row r="6" spans="1:6">
      <c r="A6" t="s">
        <v>4</v>
      </c>
      <c r="B6" s="4">
        <v>4250</v>
      </c>
    </row>
    <row r="7" spans="1:6">
      <c r="A7" t="s">
        <v>5</v>
      </c>
      <c r="B7" s="4">
        <v>12260</v>
      </c>
    </row>
    <row r="8" spans="1:6">
      <c r="A8" t="s">
        <v>6</v>
      </c>
      <c r="B8" s="4">
        <v>14360.5</v>
      </c>
    </row>
    <row r="9" spans="1:6">
      <c r="A9" t="s">
        <v>7</v>
      </c>
      <c r="B9" s="4">
        <v>5000</v>
      </c>
    </row>
    <row r="10" spans="1:6">
      <c r="A10" t="s">
        <v>8</v>
      </c>
      <c r="B10" s="4">
        <v>10200</v>
      </c>
    </row>
    <row r="11" spans="1:6">
      <c r="A11" s="5" t="s">
        <v>10</v>
      </c>
      <c r="B11" s="5"/>
      <c r="C11" s="5"/>
      <c r="D11" s="5"/>
    </row>
    <row r="13" spans="1:6">
      <c r="A13" t="s">
        <v>11</v>
      </c>
      <c r="B13" s="6">
        <v>0.095</v>
      </c>
    </row>
    <row r="14" spans="1:6">
      <c r="A14" t="s">
        <v>12</v>
      </c>
      <c r="B14" s="6">
        <v>0.03</v>
      </c>
    </row>
    <row r="16" spans="1:6">
      <c r="A16" s="3" t="s">
        <v>13</v>
      </c>
      <c r="B16" s="7" t="s">
        <v>15</v>
      </c>
      <c r="C16" s="7" t="s">
        <v>16</v>
      </c>
      <c r="D16" s="7" t="s">
        <v>17</v>
      </c>
      <c r="E16" s="7" t="s">
        <v>18</v>
      </c>
      <c r="F16" s="7" t="s">
        <v>19</v>
      </c>
    </row>
    <row r="17" spans="1:7">
      <c r="A17" t="s">
        <v>14</v>
      </c>
      <c r="B17" s="6">
        <v>0.12</v>
      </c>
      <c r="C17" s="6">
        <v>0.1</v>
      </c>
      <c r="D17" s="6">
        <v>0.08500000000000001</v>
      </c>
      <c r="E17" s="6">
        <v>0.07000000000000001</v>
      </c>
      <c r="F17" s="6">
        <v>0.06</v>
      </c>
    </row>
    <row r="19" spans="1:7">
      <c r="A19" s="3" t="s">
        <v>20</v>
      </c>
    </row>
    <row r="20" spans="1:7">
      <c r="A20" s="7"/>
      <c r="B20" s="7" t="s">
        <v>21</v>
      </c>
      <c r="C20" s="7" t="s">
        <v>15</v>
      </c>
      <c r="D20" s="7" t="s">
        <v>16</v>
      </c>
      <c r="E20" s="7" t="s">
        <v>17</v>
      </c>
      <c r="F20" s="7" t="s">
        <v>18</v>
      </c>
      <c r="G20" s="7" t="s">
        <v>19</v>
      </c>
    </row>
    <row r="21" spans="1:7">
      <c r="A21" t="s">
        <v>22</v>
      </c>
      <c r="B21" s="8">
        <f>B10</f>
        <v>0</v>
      </c>
      <c r="C21" s="8">
        <f>B21*(1+B17)</f>
        <v>0</v>
      </c>
      <c r="D21" s="8">
        <f>C21*(1+C17)</f>
        <v>0</v>
      </c>
      <c r="E21" s="8">
        <f>D21*(1+D17)</f>
        <v>0</v>
      </c>
      <c r="F21" s="8">
        <f>E21*(1+E17)</f>
        <v>0</v>
      </c>
      <c r="G21" s="8">
        <f>F21*(1+F17)</f>
        <v>0</v>
      </c>
    </row>
    <row r="22" spans="1:7">
      <c r="A22" t="s">
        <v>23</v>
      </c>
      <c r="C22" s="8">
        <f>1/(1+$B$13)^1</f>
        <v>0</v>
      </c>
      <c r="D22" s="8">
        <f>1/(1+$B$13)^2</f>
        <v>0</v>
      </c>
      <c r="E22" s="8">
        <f>1/(1+$B$13)^3</f>
        <v>0</v>
      </c>
      <c r="F22" s="8">
        <f>1/(1+$B$13)^4</f>
        <v>0</v>
      </c>
      <c r="G22" s="8">
        <f>1/(1+$B$13)^5</f>
        <v>0</v>
      </c>
    </row>
    <row r="23" spans="1:7">
      <c r="A23" t="s">
        <v>24</v>
      </c>
      <c r="C23" s="8">
        <f>C21*C22</f>
        <v>0</v>
      </c>
      <c r="D23" s="8">
        <f>D21*D22</f>
        <v>0</v>
      </c>
      <c r="E23" s="8">
        <f>E21*E22</f>
        <v>0</v>
      </c>
      <c r="F23" s="8">
        <f>F21*F22</f>
        <v>0</v>
      </c>
      <c r="G23" s="8">
        <f>G21*G22</f>
        <v>0</v>
      </c>
    </row>
    <row r="25" spans="1:7">
      <c r="A25" s="3" t="s">
        <v>25</v>
      </c>
    </row>
    <row r="26" spans="1:7">
      <c r="A26" t="s">
        <v>26</v>
      </c>
      <c r="B26" s="8">
        <f>SUM(C23:G23)</f>
        <v>0</v>
      </c>
    </row>
    <row r="27" spans="1:7">
      <c r="A27" t="s">
        <v>27</v>
      </c>
      <c r="B27" s="8">
        <f>G21*(1+$B$14)</f>
        <v>0</v>
      </c>
    </row>
    <row r="28" spans="1:7">
      <c r="A28" t="s">
        <v>28</v>
      </c>
      <c r="B28" s="8">
        <f>B27/($B$13-$B$14)</f>
        <v>0</v>
      </c>
    </row>
    <row r="29" spans="1:7">
      <c r="A29" t="s">
        <v>29</v>
      </c>
      <c r="B29" s="8">
        <f>B28*G22</f>
        <v>0</v>
      </c>
    </row>
    <row r="30" spans="1:7">
      <c r="A30" t="s">
        <v>30</v>
      </c>
      <c r="B30" s="8">
        <f>B26+B29</f>
        <v>0</v>
      </c>
    </row>
    <row r="31" spans="1:7">
      <c r="A31" t="s">
        <v>31</v>
      </c>
      <c r="B31" s="8">
        <f>B9</f>
        <v>0</v>
      </c>
    </row>
    <row r="32" spans="1:7">
      <c r="A32" t="s">
        <v>32</v>
      </c>
      <c r="B32" s="8">
        <f>B30-B31</f>
        <v>0</v>
      </c>
    </row>
    <row r="33" spans="1:2">
      <c r="A33" s="9" t="s">
        <v>33</v>
      </c>
      <c r="B33" s="10">
        <f>B32/B6</f>
        <v>0</v>
      </c>
    </row>
    <row r="35" spans="1:2">
      <c r="A35" s="3" t="s">
        <v>34</v>
      </c>
    </row>
    <row r="36" spans="1:2">
      <c r="A36" t="s">
        <v>35</v>
      </c>
      <c r="B36" s="11">
        <f>B28/B6</f>
        <v>0</v>
      </c>
    </row>
    <row r="37" spans="1:2">
      <c r="A37" t="s">
        <v>36</v>
      </c>
      <c r="B37" s="10">
        <f>B36/(1.15^5)</f>
        <v>0</v>
      </c>
    </row>
    <row r="39" spans="1:2">
      <c r="A39" t="s">
        <v>37</v>
      </c>
      <c r="B39" s="12">
        <f>(B33-B5)/B5</f>
        <v>0</v>
      </c>
    </row>
    <row r="40" spans="1:2">
      <c r="A40" t="s">
        <v>38</v>
      </c>
      <c r="B40" s="12">
        <f>(B5-B37)/B5</f>
        <v>0</v>
      </c>
    </row>
  </sheetData>
  <mergeCells count="1">
    <mergeCell ref="A11:D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3"/>
  <sheetViews>
    <sheetView workbookViewId="0"/>
  </sheetViews>
  <sheetFormatPr defaultRowHeight="15"/>
  <cols>
    <col min="1" max="1" width="28.7109375" customWidth="1"/>
    <col min="2" max="8" width="14.7109375" customWidth="1"/>
  </cols>
  <sheetData>
    <row r="1" spans="1:6">
      <c r="A1" s="1" t="s">
        <v>39</v>
      </c>
    </row>
    <row r="3" spans="1:6">
      <c r="A3" s="3" t="s">
        <v>40</v>
      </c>
    </row>
    <row r="4" spans="1:6">
      <c r="A4" t="s">
        <v>11</v>
      </c>
      <c r="B4" s="12">
        <v>0.09</v>
      </c>
    </row>
    <row r="5" spans="1:6">
      <c r="A5" t="s">
        <v>41</v>
      </c>
      <c r="B5" s="12">
        <v>0.035</v>
      </c>
    </row>
    <row r="6" spans="1:6">
      <c r="A6" t="s">
        <v>42</v>
      </c>
      <c r="B6" s="12">
        <v>0.16</v>
      </c>
      <c r="C6" s="12">
        <v>0.14</v>
      </c>
      <c r="D6" s="12">
        <v>0.12</v>
      </c>
      <c r="E6" s="12">
        <v>0.105</v>
      </c>
      <c r="F6" s="12">
        <v>0.09</v>
      </c>
    </row>
    <row r="7" spans="1:6">
      <c r="A7" t="s">
        <v>43</v>
      </c>
      <c r="B7" s="8">
        <v>57525.5</v>
      </c>
    </row>
    <row r="8" spans="1:6">
      <c r="A8" t="s">
        <v>28</v>
      </c>
      <c r="B8" s="8">
        <v>342410.8</v>
      </c>
    </row>
    <row r="9" spans="1:6">
      <c r="A9" t="s">
        <v>29</v>
      </c>
      <c r="B9" s="8">
        <v>222543.5</v>
      </c>
    </row>
    <row r="10" spans="1:6">
      <c r="A10" t="s">
        <v>30</v>
      </c>
      <c r="B10" s="8">
        <v>280069</v>
      </c>
    </row>
    <row r="11" spans="1:6">
      <c r="A11" t="s">
        <v>32</v>
      </c>
      <c r="B11" s="8">
        <v>275069</v>
      </c>
    </row>
    <row r="12" spans="1:6">
      <c r="A12" s="9" t="s">
        <v>44</v>
      </c>
      <c r="B12" s="10">
        <v>64.72</v>
      </c>
    </row>
    <row r="13" spans="1:6">
      <c r="A13" t="s">
        <v>45</v>
      </c>
      <c r="B13" s="12">
        <v>-0.129</v>
      </c>
    </row>
    <row r="16" spans="1:6">
      <c r="A16" s="3" t="s">
        <v>46</v>
      </c>
    </row>
    <row r="17" spans="1:6">
      <c r="A17" t="s">
        <v>11</v>
      </c>
      <c r="B17" s="12">
        <v>0.095</v>
      </c>
    </row>
    <row r="18" spans="1:6">
      <c r="A18" t="s">
        <v>41</v>
      </c>
      <c r="B18" s="12">
        <v>0.03</v>
      </c>
    </row>
    <row r="19" spans="1:6">
      <c r="A19" t="s">
        <v>42</v>
      </c>
      <c r="B19" s="12">
        <v>0.12</v>
      </c>
      <c r="C19" s="12">
        <v>0.1</v>
      </c>
      <c r="D19" s="12">
        <v>0.08500000000000001</v>
      </c>
      <c r="E19" s="12">
        <v>0.07000000000000001</v>
      </c>
      <c r="F19" s="12">
        <v>0.06</v>
      </c>
    </row>
    <row r="20" spans="1:6">
      <c r="A20" t="s">
        <v>43</v>
      </c>
      <c r="B20" s="8">
        <v>51269.3</v>
      </c>
    </row>
    <row r="21" spans="1:6">
      <c r="A21" t="s">
        <v>28</v>
      </c>
      <c r="B21" s="8">
        <v>245049.7</v>
      </c>
    </row>
    <row r="22" spans="1:6">
      <c r="A22" t="s">
        <v>29</v>
      </c>
      <c r="B22" s="8">
        <v>155662.3</v>
      </c>
    </row>
    <row r="23" spans="1:6">
      <c r="A23" t="s">
        <v>30</v>
      </c>
      <c r="B23" s="8">
        <v>206931.6</v>
      </c>
    </row>
    <row r="24" spans="1:6">
      <c r="A24" t="s">
        <v>32</v>
      </c>
      <c r="B24" s="8">
        <v>201931.6</v>
      </c>
    </row>
    <row r="25" spans="1:6">
      <c r="A25" s="9" t="s">
        <v>44</v>
      </c>
      <c r="B25" s="10">
        <v>47.51</v>
      </c>
    </row>
    <row r="26" spans="1:6">
      <c r="A26" t="s">
        <v>45</v>
      </c>
      <c r="B26" s="12">
        <v>-0.361</v>
      </c>
    </row>
    <row r="29" spans="1:6">
      <c r="A29" s="3" t="s">
        <v>47</v>
      </c>
    </row>
    <row r="30" spans="1:6">
      <c r="A30" t="s">
        <v>11</v>
      </c>
      <c r="B30" s="12">
        <v>0.105</v>
      </c>
    </row>
    <row r="31" spans="1:6">
      <c r="A31" t="s">
        <v>41</v>
      </c>
      <c r="B31" s="12">
        <v>0.025</v>
      </c>
    </row>
    <row r="32" spans="1:6">
      <c r="A32" t="s">
        <v>42</v>
      </c>
      <c r="B32" s="12">
        <v>0.08</v>
      </c>
      <c r="C32" s="12">
        <v>0.065</v>
      </c>
      <c r="D32" s="12">
        <v>0.05</v>
      </c>
      <c r="E32" s="12">
        <v>0.04</v>
      </c>
      <c r="F32" s="12">
        <v>0.03</v>
      </c>
    </row>
    <row r="33" spans="1:2">
      <c r="A33" t="s">
        <v>43</v>
      </c>
      <c r="B33" s="8">
        <v>45310.5</v>
      </c>
    </row>
    <row r="34" spans="1:2">
      <c r="A34" t="s">
        <v>28</v>
      </c>
      <c r="B34" s="8">
        <v>169070.3</v>
      </c>
    </row>
    <row r="35" spans="1:2">
      <c r="A35" t="s">
        <v>29</v>
      </c>
      <c r="B35" s="8">
        <v>102625.6</v>
      </c>
    </row>
    <row r="36" spans="1:2">
      <c r="A36" t="s">
        <v>30</v>
      </c>
      <c r="B36" s="8">
        <v>147936.2</v>
      </c>
    </row>
    <row r="37" spans="1:2">
      <c r="A37" t="s">
        <v>32</v>
      </c>
      <c r="B37" s="8">
        <v>142936.2</v>
      </c>
    </row>
    <row r="38" spans="1:2">
      <c r="A38" s="9" t="s">
        <v>44</v>
      </c>
      <c r="B38" s="10">
        <v>33.63</v>
      </c>
    </row>
    <row r="39" spans="1:2">
      <c r="A39" t="s">
        <v>45</v>
      </c>
      <c r="B39" s="12">
        <v>-0.5479999999999999</v>
      </c>
    </row>
    <row r="42" spans="1:2">
      <c r="A42" s="9" t="s">
        <v>48</v>
      </c>
      <c r="B42" s="10">
        <v>48.35</v>
      </c>
    </row>
    <row r="43" spans="1:2">
      <c r="A43" t="s">
        <v>49</v>
      </c>
      <c r="B43" t="s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7">
      <c r="A1" s="1" t="s">
        <v>51</v>
      </c>
    </row>
    <row r="2" spans="1:7">
      <c r="A2" t="s">
        <v>52</v>
      </c>
    </row>
    <row r="4" spans="1:7">
      <c r="A4" s="7" t="s">
        <v>53</v>
      </c>
      <c r="B4" s="13">
        <v>0.02</v>
      </c>
      <c r="C4" s="13">
        <v>0.025</v>
      </c>
      <c r="D4" s="13">
        <v>0.03</v>
      </c>
      <c r="E4" s="13">
        <v>0.035</v>
      </c>
      <c r="F4" s="13">
        <v>0.04</v>
      </c>
    </row>
    <row r="5" spans="1:7">
      <c r="A5" s="13">
        <v>0.075</v>
      </c>
      <c r="B5" s="11">
        <f>('DCF Model'!$B$10*(1+'DCF Model'!$B$17)*(1+'DCF Model'!$C$17)*(1+'DCF Model'!$D$17)*(1+'DCF Model'!$E$17)*(1+'DCF Model'!$F$17)*(1+0.02)/(0.075-0.02))/(1+0.075)^5/'DCF Model'!$B$6</f>
        <v>0</v>
      </c>
      <c r="C5" s="11">
        <f>('DCF Model'!$B$10*(1+'DCF Model'!$B$17)*(1+'DCF Model'!$C$17)*(1+'DCF Model'!$D$17)*(1+'DCF Model'!$E$17)*(1+'DCF Model'!$F$17)*(1+0.025)/(0.075-0.025))/(1+0.075)^5/'DCF Model'!$B$6</f>
        <v>0</v>
      </c>
      <c r="D5" s="11">
        <f>('DCF Model'!$B$10*(1+'DCF Model'!$B$17)*(1+'DCF Model'!$C$17)*(1+'DCF Model'!$D$17)*(1+'DCF Model'!$E$17)*(1+'DCF Model'!$F$17)*(1+0.03)/(0.075-0.03))/(1+0.075)^5/'DCF Model'!$B$6</f>
        <v>0</v>
      </c>
      <c r="E5" s="11">
        <f>('DCF Model'!$B$10*(1+'DCF Model'!$B$17)*(1+'DCF Model'!$C$17)*(1+'DCF Model'!$D$17)*(1+'DCF Model'!$E$17)*(1+'DCF Model'!$F$17)*(1+0.035)/(0.075-0.035))/(1+0.075)^5/'DCF Model'!$B$6</f>
        <v>0</v>
      </c>
      <c r="F5" s="11">
        <f>('DCF Model'!$B$10*(1+'DCF Model'!$B$17)*(1+'DCF Model'!$C$17)*(1+'DCF Model'!$D$17)*(1+'DCF Model'!$E$17)*(1+'DCF Model'!$F$17)*(1+0.04)/(0.075-0.04))/(1+0.075)^5/'DCF Model'!$B$6</f>
        <v>0</v>
      </c>
    </row>
    <row r="6" spans="1:7">
      <c r="A6" s="13">
        <v>0.08500000000000001</v>
      </c>
      <c r="B6" s="11">
        <f>('DCF Model'!$B$10*(1+'DCF Model'!$B$17)*(1+'DCF Model'!$C$17)*(1+'DCF Model'!$D$17)*(1+'DCF Model'!$E$17)*(1+'DCF Model'!$F$17)*(1+0.02)/(0.085-0.02))/(1+0.085)^5/'DCF Model'!$B$6</f>
        <v>0</v>
      </c>
      <c r="C6" s="11">
        <f>('DCF Model'!$B$10*(1+'DCF Model'!$B$17)*(1+'DCF Model'!$C$17)*(1+'DCF Model'!$D$17)*(1+'DCF Model'!$E$17)*(1+'DCF Model'!$F$17)*(1+0.025)/(0.085-0.025))/(1+0.085)^5/'DCF Model'!$B$6</f>
        <v>0</v>
      </c>
      <c r="D6" s="11">
        <f>('DCF Model'!$B$10*(1+'DCF Model'!$B$17)*(1+'DCF Model'!$C$17)*(1+'DCF Model'!$D$17)*(1+'DCF Model'!$E$17)*(1+'DCF Model'!$F$17)*(1+0.03)/(0.085-0.03))/(1+0.085)^5/'DCF Model'!$B$6</f>
        <v>0</v>
      </c>
      <c r="E6" s="11">
        <f>('DCF Model'!$B$10*(1+'DCF Model'!$B$17)*(1+'DCF Model'!$C$17)*(1+'DCF Model'!$D$17)*(1+'DCF Model'!$E$17)*(1+'DCF Model'!$F$17)*(1+0.035)/(0.085-0.035))/(1+0.085)^5/'DCF Model'!$B$6</f>
        <v>0</v>
      </c>
      <c r="F6" s="11">
        <f>('DCF Model'!$B$10*(1+'DCF Model'!$B$17)*(1+'DCF Model'!$C$17)*(1+'DCF Model'!$D$17)*(1+'DCF Model'!$E$17)*(1+'DCF Model'!$F$17)*(1+0.04)/(0.085-0.04))/(1+0.085)^5/'DCF Model'!$B$6</f>
        <v>0</v>
      </c>
    </row>
    <row r="7" spans="1:7">
      <c r="A7" s="13">
        <v>0.095</v>
      </c>
      <c r="B7" s="11">
        <f>('DCF Model'!$B$10*(1+'DCF Model'!$B$17)*(1+'DCF Model'!$C$17)*(1+'DCF Model'!$D$17)*(1+'DCF Model'!$E$17)*(1+'DCF Model'!$F$17)*(1+0.02)/(0.095-0.02))/(1+0.095)^5/'DCF Model'!$B$6</f>
        <v>0</v>
      </c>
      <c r="C7" s="11">
        <f>('DCF Model'!$B$10*(1+'DCF Model'!$B$17)*(1+'DCF Model'!$C$17)*(1+'DCF Model'!$D$17)*(1+'DCF Model'!$E$17)*(1+'DCF Model'!$F$17)*(1+0.025)/(0.095-0.025))/(1+0.095)^5/'DCF Model'!$B$6</f>
        <v>0</v>
      </c>
      <c r="D7" s="11">
        <f>('DCF Model'!$B$10*(1+'DCF Model'!$B$17)*(1+'DCF Model'!$C$17)*(1+'DCF Model'!$D$17)*(1+'DCF Model'!$E$17)*(1+'DCF Model'!$F$17)*(1+0.03)/(0.095-0.03))/(1+0.095)^5/'DCF Model'!$B$6</f>
        <v>0</v>
      </c>
      <c r="E7" s="11">
        <f>('DCF Model'!$B$10*(1+'DCF Model'!$B$17)*(1+'DCF Model'!$C$17)*(1+'DCF Model'!$D$17)*(1+'DCF Model'!$E$17)*(1+'DCF Model'!$F$17)*(1+0.035)/(0.095-0.035))/(1+0.095)^5/'DCF Model'!$B$6</f>
        <v>0</v>
      </c>
      <c r="F7" s="11">
        <f>('DCF Model'!$B$10*(1+'DCF Model'!$B$17)*(1+'DCF Model'!$C$17)*(1+'DCF Model'!$D$17)*(1+'DCF Model'!$E$17)*(1+'DCF Model'!$F$17)*(1+0.04)/(0.095-0.04))/(1+0.095)^5/'DCF Model'!$B$6</f>
        <v>0</v>
      </c>
    </row>
    <row r="8" spans="1:7">
      <c r="A8" s="13">
        <v>0.105</v>
      </c>
      <c r="B8" s="11">
        <f>('DCF Model'!$B$10*(1+'DCF Model'!$B$17)*(1+'DCF Model'!$C$17)*(1+'DCF Model'!$D$17)*(1+'DCF Model'!$E$17)*(1+'DCF Model'!$F$17)*(1+0.02)/(0.105-0.02))/(1+0.105)^5/'DCF Model'!$B$6</f>
        <v>0</v>
      </c>
      <c r="C8" s="11">
        <f>('DCF Model'!$B$10*(1+'DCF Model'!$B$17)*(1+'DCF Model'!$C$17)*(1+'DCF Model'!$D$17)*(1+'DCF Model'!$E$17)*(1+'DCF Model'!$F$17)*(1+0.025)/(0.105-0.025))/(1+0.105)^5/'DCF Model'!$B$6</f>
        <v>0</v>
      </c>
      <c r="D8" s="11">
        <f>('DCF Model'!$B$10*(1+'DCF Model'!$B$17)*(1+'DCF Model'!$C$17)*(1+'DCF Model'!$D$17)*(1+'DCF Model'!$E$17)*(1+'DCF Model'!$F$17)*(1+0.03)/(0.105-0.03))/(1+0.105)^5/'DCF Model'!$B$6</f>
        <v>0</v>
      </c>
      <c r="E8" s="11">
        <f>('DCF Model'!$B$10*(1+'DCF Model'!$B$17)*(1+'DCF Model'!$C$17)*(1+'DCF Model'!$D$17)*(1+'DCF Model'!$E$17)*(1+'DCF Model'!$F$17)*(1+0.035)/(0.105-0.035))/(1+0.105)^5/'DCF Model'!$B$6</f>
        <v>0</v>
      </c>
      <c r="F8" s="11">
        <f>('DCF Model'!$B$10*(1+'DCF Model'!$B$17)*(1+'DCF Model'!$C$17)*(1+'DCF Model'!$D$17)*(1+'DCF Model'!$E$17)*(1+'DCF Model'!$F$17)*(1+0.04)/(0.105-0.04))/(1+0.105)^5/'DCF Model'!$B$6</f>
        <v>0</v>
      </c>
    </row>
    <row r="9" spans="1:7">
      <c r="A9" s="13">
        <v>0.115</v>
      </c>
      <c r="B9" s="11">
        <f>('DCF Model'!$B$10*(1+'DCF Model'!$B$17)*(1+'DCF Model'!$C$17)*(1+'DCF Model'!$D$17)*(1+'DCF Model'!$E$17)*(1+'DCF Model'!$F$17)*(1+0.02)/(0.115-0.02))/(1+0.115)^5/'DCF Model'!$B$6</f>
        <v>0</v>
      </c>
      <c r="C9" s="11">
        <f>('DCF Model'!$B$10*(1+'DCF Model'!$B$17)*(1+'DCF Model'!$C$17)*(1+'DCF Model'!$D$17)*(1+'DCF Model'!$E$17)*(1+'DCF Model'!$F$17)*(1+0.025)/(0.115-0.025))/(1+0.115)^5/'DCF Model'!$B$6</f>
        <v>0</v>
      </c>
      <c r="D9" s="11">
        <f>('DCF Model'!$B$10*(1+'DCF Model'!$B$17)*(1+'DCF Model'!$C$17)*(1+'DCF Model'!$D$17)*(1+'DCF Model'!$E$17)*(1+'DCF Model'!$F$17)*(1+0.03)/(0.115-0.03))/(1+0.115)^5/'DCF Model'!$B$6</f>
        <v>0</v>
      </c>
      <c r="E9" s="11">
        <f>('DCF Model'!$B$10*(1+'DCF Model'!$B$17)*(1+'DCF Model'!$C$17)*(1+'DCF Model'!$D$17)*(1+'DCF Model'!$E$17)*(1+'DCF Model'!$F$17)*(1+0.035)/(0.115-0.035))/(1+0.115)^5/'DCF Model'!$B$6</f>
        <v>0</v>
      </c>
      <c r="F9" s="11">
        <f>('DCF Model'!$B$10*(1+'DCF Model'!$B$17)*(1+'DCF Model'!$C$17)*(1+'DCF Model'!$D$17)*(1+'DCF Model'!$E$17)*(1+'DCF Model'!$F$17)*(1+0.04)/(0.115-0.04))/(1+0.115)^5/'DCF Model'!$B$6</f>
        <v>0</v>
      </c>
    </row>
    <row r="11" spans="1:7">
      <c r="A11" s="5" t="s">
        <v>55</v>
      </c>
      <c r="B11" s="5"/>
      <c r="C11" s="5"/>
      <c r="D11" s="5"/>
      <c r="E11" s="5"/>
      <c r="F11" s="5"/>
      <c r="G11" s="5"/>
    </row>
    <row r="12" spans="1:7">
      <c r="A12" s="5"/>
      <c r="B12" s="5"/>
      <c r="C12" s="5"/>
      <c r="D12" s="5"/>
      <c r="E12" s="5"/>
      <c r="F12" s="5"/>
      <c r="G12" s="5"/>
    </row>
  </sheetData>
  <mergeCells count="1">
    <mergeCell ref="A11:G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0"/>
  <sheetViews>
    <sheetView workbookViewId="0"/>
  </sheetViews>
  <sheetFormatPr defaultRowHeight="15"/>
  <cols>
    <col min="1" max="1" width="24.7109375" customWidth="1"/>
    <col min="2" max="3" width="15.7109375" customWidth="1"/>
  </cols>
  <sheetData>
    <row r="1" spans="1:5">
      <c r="A1" s="1" t="s">
        <v>56</v>
      </c>
    </row>
    <row r="3" spans="1:5">
      <c r="A3" s="7" t="s">
        <v>57</v>
      </c>
      <c r="B3" s="7" t="s">
        <v>58</v>
      </c>
      <c r="C3" s="7" t="s">
        <v>59</v>
      </c>
    </row>
    <row r="4" spans="1:5">
      <c r="A4" t="s">
        <v>60</v>
      </c>
      <c r="B4" s="12">
        <v>0.1264</v>
      </c>
      <c r="C4" s="12">
        <v>0.1257</v>
      </c>
    </row>
    <row r="5" spans="1:5">
      <c r="A5" t="s">
        <v>61</v>
      </c>
      <c r="B5" s="12">
        <v>0.3649</v>
      </c>
      <c r="C5" s="12">
        <v>0.33</v>
      </c>
    </row>
    <row r="6" spans="1:5">
      <c r="A6" t="s">
        <v>62</v>
      </c>
      <c r="B6" s="12">
        <v>0.08599999999999999</v>
      </c>
      <c r="C6" s="12">
        <v>0.09910000000000001</v>
      </c>
    </row>
    <row r="7" spans="1:5">
      <c r="A7" t="s">
        <v>63</v>
      </c>
      <c r="B7" s="12">
        <v>0.7757999999999999</v>
      </c>
      <c r="C7" s="12">
        <v>0.375</v>
      </c>
    </row>
    <row r="9" spans="1:5">
      <c r="A9" s="9" t="s">
        <v>64</v>
      </c>
      <c r="B9" s="12">
        <v>0.12</v>
      </c>
    </row>
    <row r="10" spans="1:5">
      <c r="A10" t="s">
        <v>65</v>
      </c>
      <c r="B10" t="s">
        <v>66</v>
      </c>
    </row>
    <row r="12" spans="1:5">
      <c r="A12" s="9" t="s">
        <v>67</v>
      </c>
    </row>
    <row r="13" spans="1:5">
      <c r="A13" s="5" t="s">
        <v>68</v>
      </c>
      <c r="B13" s="5"/>
      <c r="C13" s="5"/>
      <c r="D13" s="5"/>
      <c r="E13" s="5"/>
    </row>
    <row r="14" spans="1:5">
      <c r="A14" s="5"/>
      <c r="B14" s="5"/>
      <c r="C14" s="5"/>
      <c r="D14" s="5"/>
      <c r="E14" s="5"/>
    </row>
    <row r="15" spans="1:5">
      <c r="A15" s="5"/>
      <c r="B15" s="5"/>
      <c r="C15" s="5"/>
      <c r="D15" s="5"/>
      <c r="E15" s="5"/>
    </row>
    <row r="16" spans="1:5">
      <c r="A16" s="5"/>
      <c r="B16" s="5"/>
      <c r="C16" s="5"/>
      <c r="D16" s="5"/>
      <c r="E16" s="5"/>
    </row>
    <row r="17" spans="1:5">
      <c r="A17" s="5"/>
      <c r="B17" s="5"/>
      <c r="C17" s="5"/>
      <c r="D17" s="5"/>
      <c r="E17" s="5"/>
    </row>
    <row r="18" spans="1:5">
      <c r="A18" s="5"/>
      <c r="B18" s="5"/>
      <c r="C18" s="5"/>
      <c r="D18" s="5"/>
      <c r="E18" s="5"/>
    </row>
    <row r="19" spans="1:5">
      <c r="A19" s="5"/>
      <c r="B19" s="5"/>
      <c r="C19" s="5"/>
      <c r="D19" s="5"/>
      <c r="E19" s="5"/>
    </row>
    <row r="20" spans="1:5">
      <c r="A20" s="5"/>
      <c r="B20" s="5"/>
      <c r="C20" s="5"/>
      <c r="D20" s="5"/>
      <c r="E20" s="5"/>
    </row>
    <row r="22" spans="1:5">
      <c r="A22" s="9" t="s">
        <v>69</v>
      </c>
    </row>
    <row r="23" spans="1:5">
      <c r="A23" s="5" t="s">
        <v>70</v>
      </c>
      <c r="B23" s="5"/>
      <c r="C23" s="5"/>
      <c r="D23" s="5"/>
      <c r="E23" s="5"/>
    </row>
    <row r="24" spans="1:5">
      <c r="A24" s="5"/>
      <c r="B24" s="5"/>
      <c r="C24" s="5"/>
      <c r="D24" s="5"/>
      <c r="E24" s="5"/>
    </row>
    <row r="25" spans="1:5">
      <c r="A25" s="5"/>
      <c r="B25" s="5"/>
      <c r="C25" s="5"/>
      <c r="D25" s="5"/>
      <c r="E25" s="5"/>
    </row>
    <row r="26" spans="1:5">
      <c r="A26" s="5"/>
      <c r="B26" s="5"/>
      <c r="C26" s="5"/>
      <c r="D26" s="5"/>
      <c r="E26" s="5"/>
    </row>
    <row r="27" spans="1:5">
      <c r="A27" s="5"/>
      <c r="B27" s="5"/>
      <c r="C27" s="5"/>
      <c r="D27" s="5"/>
      <c r="E27" s="5"/>
    </row>
    <row r="28" spans="1:5">
      <c r="A28" s="5"/>
      <c r="B28" s="5"/>
      <c r="C28" s="5"/>
      <c r="D28" s="5"/>
      <c r="E28" s="5"/>
    </row>
    <row r="29" spans="1:5">
      <c r="A29" s="5"/>
      <c r="B29" s="5"/>
      <c r="C29" s="5"/>
      <c r="D29" s="5"/>
      <c r="E29" s="5"/>
    </row>
    <row r="30" spans="1:5">
      <c r="A30" s="5"/>
      <c r="B30" s="5"/>
      <c r="C30" s="5"/>
      <c r="D30" s="5"/>
      <c r="E30" s="5"/>
    </row>
  </sheetData>
  <mergeCells count="2">
    <mergeCell ref="A13:E20"/>
    <mergeCell ref="A23:E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Scenarios</vt:lpstr>
      <vt:lpstr>Sensitivity</vt:lpstr>
      <vt:lpstr>Historical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2026-07-17T09:43:22Z</dcterms:created>
  <dcterms:modified xsi:type="dcterms:W3CDTF">2026-07-17T09:43:22Z</dcterms:modified>
</cp:coreProperties>
</file>