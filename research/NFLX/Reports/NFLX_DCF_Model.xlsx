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FCF Quality" sheetId="4" r:id="rId4"/>
    <sheet name="Historical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<sst xmlns="http://schemas.openxmlformats.org/spreadsheetml/2006/main" count="200" uniqueCount="180">
  <si>
    <t>NFLX DCF Valuation Model (Base Case)</t>
  </si>
  <si>
    <t>Gray cells are INPUTS - adjust to see valuation change. Owner FCF is built directly as Revenue x Owner-FCF-Margin (component rationale in Model_Info).</t>
  </si>
  <si>
    <t>KEY INPUTS</t>
  </si>
  <si>
    <t>Current Stock Price</t>
  </si>
  <si>
    <t>Shares Outstanding (M) - current</t>
  </si>
  <si>
    <t>Cash &amp; Equivalents (M)</t>
  </si>
  <si>
    <t>Total Debt (M)</t>
  </si>
  <si>
    <t>Net Debt (M)</t>
  </si>
  <si>
    <t>Reported FCF FY2025 (M)</t>
  </si>
  <si>
    <t>Less: SBC incl. equity-award taxes (M)</t>
  </si>
  <si>
    <t>FY2025 Owner FCF (M)</t>
  </si>
  <si>
    <t>Annual Share Growth (uncovered dilution)</t>
  </si>
  <si>
    <t>(negative = buyback-driven shrinkage)</t>
  </si>
  <si>
    <t>WACC (base case)</t>
  </si>
  <si>
    <t>Terminal Growth Rate (base case)</t>
  </si>
  <si>
    <t>Terminal Cap Multiple (x FCF)</t>
  </si>
  <si>
    <t>REVENUE GROWTH ASSUMPTIONS (base case)</t>
  </si>
  <si>
    <t>FY2026</t>
  </si>
  <si>
    <t>FY2027</t>
  </si>
  <si>
    <t>FY2028</t>
  </si>
  <si>
    <t>FY2029</t>
  </si>
  <si>
    <t>FY2030</t>
  </si>
  <si>
    <t>Revenue Growth Rate</t>
  </si>
  <si>
    <t>Owner FCF Margin (% of revenue)</t>
  </si>
  <si>
    <t>SBC (% of revenue)</t>
  </si>
  <si>
    <t>PROJECTIONS</t>
  </si>
  <si>
    <t>FY2025A</t>
  </si>
  <si>
    <t>Revenue</t>
  </si>
  <si>
    <t>Owner Free Cash Flow</t>
  </si>
  <si>
    <t>SBC (memo, informational)</t>
  </si>
  <si>
    <t>Shares Outstanding (M)</t>
  </si>
  <si>
    <t>Discount Factor</t>
  </si>
  <si>
    <t>PV of Owner FCF</t>
  </si>
  <si>
    <t>VALUATION</t>
  </si>
  <si>
    <t>Sum of PV of FCF (Yrs 1-5)</t>
  </si>
  <si>
    <t>Terminal FCF (Year 5 x (1+g))</t>
  </si>
  <si>
    <t>Terminal Value - Gordon Growth</t>
  </si>
  <si>
    <t>Terminal Value - 20x Cap</t>
  </si>
  <si>
    <t>Terminal Value USED (lower of the two)</t>
  </si>
  <si>
    <t>PV of Terminal Value</t>
  </si>
  <si>
    <t>Enterprise Value</t>
  </si>
  <si>
    <t>Less: Net Debt</t>
  </si>
  <si>
    <t>Equity Value</t>
  </si>
  <si>
    <t>INTRINSIC VALUE/SHARE (Yr-5 diluted count)</t>
  </si>
  <si>
    <t>ENTRY PRICE (15% IRR Target)</t>
  </si>
  <si>
    <t>PV of Yrs 1-5 Owner FCF @15%</t>
  </si>
  <si>
    <t>PV of Gordon Terminal Value @15%</t>
  </si>
  <si>
    <t>Entry Price (15% CAGR target)</t>
  </si>
  <si>
    <t>Upside to Intrinsic Value</t>
  </si>
  <si>
    <t>Upside to Entry Price (current vs entry)</t>
  </si>
  <si>
    <t>Scenario Comparison</t>
  </si>
  <si>
    <t>Bear</t>
  </si>
  <si>
    <t>Base</t>
  </si>
  <si>
    <t>Bull</t>
  </si>
  <si>
    <t>WACC</t>
  </si>
  <si>
    <t>Terminal Growth</t>
  </si>
  <si>
    <t>Year-5 Revenue ($M)</t>
  </si>
  <si>
    <t>Year-5 Owner FCF ($M)</t>
  </si>
  <si>
    <t>Year-5 Owner FCF Margin</t>
  </si>
  <si>
    <t>Terminal Value Bound</t>
  </si>
  <si>
    <t>gordon</t>
  </si>
  <si>
    <t>Terminal % of Value</t>
  </si>
  <si>
    <t>Implied Exit Multiple</t>
  </si>
  <si>
    <t>Intrinsic Value/Share</t>
  </si>
  <si>
    <t>Upside vs Current ($74.14)</t>
  </si>
  <si>
    <t>Entry Price (15% IRR)</t>
  </si>
  <si>
    <t>Probability Weighted IV</t>
  </si>
  <si>
    <t>Weights (Bear/Base/Bull)</t>
  </si>
  <si>
    <t>25% / 50% / 25%</t>
  </si>
  <si>
    <t>SBC Non-Cash Memo Value/Share</t>
  </si>
  <si>
    <t>Actual Base IV (SBC as real cost)</t>
  </si>
  <si>
    <t>Spread (SBC treatment sensitivity)</t>
  </si>
  <si>
    <t>Sensitivity Analysis - Base Case Intrinsic Value</t>
  </si>
  <si>
    <t>IV by WACC &amp; Terminal Growth (base-case owner FCF path, 20x cap applied)</t>
  </si>
  <si>
    <t>WACC \ Term G</t>
  </si>
  <si>
    <t>FCF Quality: Reported -&gt; Owner FCF Reconciliation</t>
  </si>
  <si>
    <t>All figures in $M unless noted. Source: NFLX_Metrics.csv + NFLX.duckdb kpis table.</t>
  </si>
  <si>
    <t>Metric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</si>
  <si>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</si>
  <si>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</si>
  <si>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</si>
  <si>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</si>
  <si>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</si>
  <si>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</si>
  <si>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</si>
  <si>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</si>
  <si>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Reported FCF (company definition)</t>
  </si>
  <si>
    <t>Less: SBC (cash flow add-back)</t>
  </si>
  <si>
    <t>Less: Equity-award cash taxes (financing)</t>
  </si>
  <si>
    <t>Less: SBC incl. equity-award taxes (total)</t>
  </si>
  <si>
    <t>Owner FCF</t>
  </si>
  <si>
    <t>Reported FCF Margin</t>
  </si>
  <si>
    <t>Owner FCF Margin</t>
  </si>
  <si>
    <t>Memo: Deferred Revenue Increase (WC tailwind, $M)</t>
  </si>
  <si>
    <t>Memo: Deferred Rev Increase as % of Reported FCF</t>
  </si>
  <si>
    <t>Memo: Cash Tax Rate (cash taxes paid / operating income), FY2023-25 only</t>
  </si>
  <si>
    <t>Note: FY2025 effective cash tax rate (16.7%) is BELOW a normalized 21-23% rate -- ramped up in projections, not assumed to persist.</t>
  </si>
  <si>
    <t>Note: FY2018/19/21 Owner FCF is NEGATIVE (content-investment build years). Any FCF CAGR computed off these bases is not meaningful -- Revenue CAGR is used as the growth driver instead (see historical_growth in DCF JSON).</t>
  </si>
  <si>
    <t>Historical Growth Rates &amp; Sanity-Check Multiples</t>
  </si>
  <si>
    <t>3-Year CAGR</t>
  </si>
  <si>
    <t>5-Year CAGR</t>
  </si>
  <si>
    <t>EPS</t>
  </si>
  <si>
    <t>Equity</t>
  </si>
  <si>
    <t>FCF CAGR: N/A (owner FCF negative in FY2018/19/21)</t>
  </si>
  <si>
    <t>Selected Growth Rate:</t>
  </si>
  <si>
    <t>Source:</t>
  </si>
  <si>
    <t>revenue_3yr_and_5yr_cagr (converge at ~12.6%)</t>
  </si>
  <si>
    <t>Historical FY-End Multiples (post-split-adjusted price)</t>
  </si>
  <si>
    <t>FY</t>
  </si>
  <si>
    <t>Price</t>
  </si>
  <si>
    <t>P/E</t>
  </si>
  <si>
    <t>P/B</t>
  </si>
  <si>
    <t>EV/EBITDA</t>
  </si>
  <si>
    <t>P/S</t>
  </si>
  <si>
    <t>FY2016</t>
  </si>
  <si>
    <t>FY2017</t>
  </si>
  <si>
    <t>FY2016-2020 excluded from averages as hypergrowth-era outliers (P/E ran 78-288x). FY2021+ is the relevant anchor era (avg P/E ~41.2x, max ~53.6x).</t>
  </si>
  <si>
    <t>FY2021+ Avg P/E</t>
  </si>
  <si>
    <t>FY2021+ Avg P/B</t>
  </si>
  <si>
    <t>FY2021+ Avg EV/EBITDA</t>
  </si>
  <si>
    <t>FY2021+ Avg P/S</t>
  </si>
  <si>
    <t>Sanity Check Verdict</t>
  </si>
  <si>
    <t>PASS -- no trip rules fired, no auto-fix applied. The base-case DCF ($56.90, -23.25% vs current $74.14) sits below the market's current price, which itself already trades at a discount to its own FY2021+ average multiples following the 2026 selloff. This is an internally consistent, conservative result: the model does not require multiple expansion to reach fair value (implied exit multiple 15.85x is roughly half the current 33.9x EV/FCF), and the downside case reflects deceleration risk (revenue growth guided to 11.7% for Q3-2026, the slowest since Q3-2023) being modeled through rather than a broken assumption.</t>
  </si>
  <si>
    <t>NFLX DCF Model - Provenance &amp; Methodology</t>
  </si>
  <si>
    <t>Built by: Claude Code DCF-generation workflow, session 2026-08-09.</t>
  </si>
  <si>
    <t>Valuation date: 2026-08-09. Current price $74.14 verified via Yahoo Finance chart API on 2026-08-09.</t>
  </si>
  <si>
    <t>52-week range: $65.08 - $126.71 (post-10:1-split basis; split effective 2025-11-17).</t>
  </si>
  <si>
    <t>DATA VINTAGE:</t>
  </si>
  <si>
    <t>- NFLX_Metrics.csv: 110 periods, FY2006-FY2025 annual + quarterlies through Q2-2026, refreshed 2026-08-09.</t>
  </si>
  <si>
    <t>- NFLX_Analysis.json: refreshed 2026-08-09 (post Q2-2026 earnings, 2026-07-16; post WBD-fee disclosure).</t>
  </si>
  <si>
    <t>- NFLX.duckdb kpis table: ContentAmortization, EquityAwardTaxes, ShareRepurchases, CashTaxesPaid,</t>
  </si>
  <si>
    <t xml:space="preserve">  DeferredRevenue, DandAPropertyAndEquipment, InterestAndOtherIncomeExpense -- all queried directly for this model.</t>
  </si>
  <si>
    <t>- Base year for the DCF build is FY2025 (a clean year with no WBD termination fee).</t>
  </si>
  <si>
    <t>KEY METHODOLOGY CHOICES (see NFLX_DCF.json "methodology_notes" and "key_judgment_calls" for full detail):</t>
  </si>
  <si>
    <t>1. WBD termination fee ($2.8B, landed in Q1-2026 "Interest and other income") is normalized OUT of the</t>
  </si>
  <si>
    <t xml:space="preserve">   Year-1 sanity anchor (FY2026 guided $12.5B FCF -&gt; ~$10.2B normalized), but the DCF itself is built</t>
  </si>
  <si>
    <t xml:space="preserve">   from the clean FY2025 base year forward, so no fee-contaminated year enters the historical CAGR calcs.</t>
  </si>
  <si>
    <t>2. Growth driver = REVENUE CAGR (~12.6%, converged 3yr/5yr), NOT equity CAGR (buyback-distorted) and</t>
  </si>
  <si>
    <t xml:space="preserve">   NOT FCF CAGR (owner FCF was negative in FY2018/19/21 -- any CAGR off that base is undefined/meaningless).</t>
  </si>
  <si>
    <t>3. Owner FCF = Reported FCF - SBC (incl. cash taxes on equity awards from EquityAwardTaxes in kpis).</t>
  </si>
  <si>
    <t xml:space="preserve">   Interest income/other is NOT stripped -- Netflix is a NET-DEBT company (~$5.2B at Q2-2026), so the</t>
  </si>
  <si>
    <t xml:space="preserve">   double-count rationale that motivates stripping interest income for net-cash companies does not apply.</t>
  </si>
  <si>
    <t>4. Owner-FCF margin is built as a single blended path per year (NOT a literal EBITDA-&gt;capex bridge)</t>
  </si>
  <si>
    <t xml:space="preserve">   because content amortization sits inside GAAP operating income while cash content spend sits inside</t>
  </si>
  <si>
    <t xml:space="preserve">   OCF -- a generic bridge misrepresents this business. The path is anchored to a FY2025 NOPAT-vs-actual-FCF</t>
  </si>
  <si>
    <t xml:space="preserve">   reconciliation (a -3.64%-of-revenue drag from content-spend-timing/other WC) and to the WBD-fee-normalized</t>
  </si>
  <si>
    <t xml:space="preserve">   FY2026 guidance (~19.1% margin, essentially FLAT vs FY2025 actual of 20.02% -- NOT extrapolated upward).</t>
  </si>
  <si>
    <t>5. WACC = 9.5% (base), derived from CAPM (rf 4.3%, ERP 5.0%, beta 1.30 -&gt; cost of equity 10.8%) blended</t>
  </si>
  <si>
    <t xml:space="preserve">   with an after-tax cost of debt (5.5% pretax, 23% tax -&gt; 4.235%) at current market-value weights</t>
  </si>
  <si>
    <t xml:space="preserve">   (95.7% equity / 4.3% debt), giving a pure CAPM WACC of 10.52%. The 9.5% used is below that CAPM figure</t>
  </si>
  <si>
    <t xml:space="preserve">   (mega-cap, IG debt, no small-cap premia) but above the range midpoint (AI-disruption + confirmed</t>
  </si>
  <si>
    <t xml:space="preserve">   2-quarter growth deceleration risk).</t>
  </si>
  <si>
    <t>6. Terminal value = lower of Gordon Growth and 20x terminal-year owner FCF. Gordon binds in all three</t>
  </si>
  <si>
    <t xml:space="preserve">   central scenarios (cap only binds in low-WACC/high-growth sensitivity corners).</t>
  </si>
  <si>
    <t>7. Share count shrinks -2.0%/yr (base), conservative vs. FY2023-2025 realized buyback pace and well</t>
  </si>
  <si>
    <t xml:space="preserve">   below the record Q2-2026 $4.7B buyback quarter (treated as a temporary, partly WBD-fee-funded peak).</t>
  </si>
  <si>
    <t>8. Entry price = PV(Yrs1-5 owner FCF @15%) + PV(Gordon TV @15%, TV itself computed at WACC) - net debt,</t>
  </si>
  <si>
    <t xml:space="preserve">   all / Year-5 share count. NOT terminal-value-only.</t>
  </si>
  <si>
    <t>9. Sanity check (Step 8c): base-case implied multiples (P/E 22.5x, EV/EBITDA 18.5x, P/S 5.5x) are all</t>
  </si>
  <si>
    <t xml:space="preserve">   BELOW both current trading multiples and the FY2021+ historical average -- no trip rules fired, no</t>
  </si>
  <si>
    <t xml:space="preserve">   auto-fix applied.</t>
  </si>
  <si>
    <t>WHAT TO REFRESH AFTER THE NEXT EARNINGS PRINT (Q3-2026, expected mid-October 2026):</t>
  </si>
  <si>
    <t>- Re-verify current_price and 52-week range.</t>
  </si>
  <si>
    <t>- Check whether Q3-2026 revenue growth actually landed near the guided 11.7% YoY, and whether Q4-2026</t>
  </si>
  <si>
    <t xml:space="preserve">  guidance implies further deceleration or stabilization -- update the base-case growth path accordingly.</t>
  </si>
  <si>
    <t>- Check FY2026 actual FCF once fully reported; compare against the ~$10.2B normalized figure used here</t>
  </si>
  <si>
    <t xml:space="preserve">  as the Year-1 sanity anchor, and re-anchor Year-1 of the NEXT model to the new FY2026 actual (clean of</t>
  </si>
  <si>
    <t xml:space="preserve">  one-offs) rather than reusing this FY2025-anchored build indefinitely.</t>
  </si>
  <si>
    <t>- Re-check the Paramount-WBD antitrust trial status (set for mid-2027) -- a ruling either way materially</t>
  </si>
  <si>
    <t xml:space="preserve">  changes the competitive-threat assumptions embedded in the bull/base/bear narratives.</t>
  </si>
  <si>
    <t>- Re-verify buyback pace (Q2-2026 was a $4.7B record, partly WBD-fee-funded) -- confirm -2.0%/yr share</t>
  </si>
  <si>
    <t xml:space="preserve">  shrinkage remains conservative and not stale.</t>
  </si>
  <si>
    <t>- Re-run beta and risk-free rate for the WACC build.</t>
  </si>
  <si>
    <t>CELL COLOUR CONVENTIONS (DCF Model sheet):</t>
  </si>
  <si>
    <t>- Gray-filled cells = INPUTS (safe to edit; formulas recalculate automatically).</t>
  </si>
  <si>
    <t>- White cells with borders = FORMULAS (derived; do not hand-edit, edit the upstream input instead).</t>
  </si>
  <si>
    <t>- Green-filled bold cells = KEY OUTPUTS (Intrinsic Value/Share, Entry Price).</t>
  </si>
  <si>
    <t>STALENESS WARNING: All figures in this model reflect data as of 2026-08-09. Stock prices, guidance,</t>
  </si>
  <si>
    <t>and the competitive/regulatory situation (esp. the Paramount-WBD litigation) will move. Re-verify before</t>
  </si>
  <si>
    <t>relying on this model for a decision more than a few weeks old.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</si>
</sst>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165" fontId="4" fillId="3" borderId="0" xfId="0" applyNumberFormat="1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width="30.7109375" customWidth="1"/>
    <col min="2" max="8" width="14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t="s">
        <v>3</v>
      </c>
      <c r="B5" s="4">
        <v>74.14</v>
      </c>
    </row>
    <row r="6" spans="1:3">
      <c r="A6" t="s">
        <v>4</v>
      </c>
      <c r="B6" s="4">
        <v>4261.3</v>
      </c>
    </row>
    <row r="7" spans="1:3">
      <c r="A7" t="s">
        <v>5</v>
      </c>
      <c r="B7" s="4">
        <v>9099.232</v>
      </c>
    </row>
    <row r="8" spans="1:3">
      <c r="A8" t="s">
        <v>6</v>
      </c>
      <c r="B8" s="4">
        <v>14309.306</v>
      </c>
    </row>
    <row r="9" spans="1:3">
      <c r="A9" t="s">
        <v>7</v>
      </c>
      <c r="B9" s="5">
        <f>B8-B7</f>
        <v>0</v>
      </c>
    </row>
    <row r="10" spans="1:3">
      <c r="A10" t="s">
        <v>8</v>
      </c>
      <c r="B10" s="4">
        <v>9461.053</v>
      </c>
    </row>
    <row r="11" spans="1:3">
      <c r="A11" t="s">
        <v>9</v>
      </c>
      <c r="B11" s="4">
        <v>414.614</v>
      </c>
    </row>
    <row r="12" spans="1:3">
      <c r="A12" t="s">
        <v>10</v>
      </c>
      <c r="B12" s="5">
        <f>B10-B11</f>
        <v>0</v>
      </c>
    </row>
    <row r="13" spans="1:3">
      <c r="A13" t="s">
        <v>11</v>
      </c>
      <c r="B13" s="6">
        <v>-0.02</v>
      </c>
      <c r="C13" s="2" t="s">
        <v>12</v>
      </c>
    </row>
    <row r="15" spans="1:3">
      <c r="A15" t="s">
        <v>13</v>
      </c>
      <c r="B15" s="6">
        <v>0.095</v>
      </c>
    </row>
    <row r="16" spans="1:3">
      <c r="A16" t="s">
        <v>14</v>
      </c>
      <c r="B16" s="6">
        <v>0.03</v>
      </c>
    </row>
    <row r="17" spans="1:7">
      <c r="A17" t="s">
        <v>15</v>
      </c>
      <c r="B17" s="4">
        <v>20</v>
      </c>
    </row>
    <row r="19" spans="1:7">
      <c r="A19" s="3" t="s">
        <v>16</v>
      </c>
      <c r="B19" s="7" t="s">
        <v>17</v>
      </c>
      <c r="C19" s="7" t="s">
        <v>18</v>
      </c>
      <c r="D19" s="7" t="s">
        <v>19</v>
      </c>
      <c r="E19" s="7" t="s">
        <v>20</v>
      </c>
      <c r="F19" s="7" t="s">
        <v>21</v>
      </c>
    </row>
    <row r="20" spans="1:7">
      <c r="A20" t="s">
        <v>22</v>
      </c>
      <c r="B20" s="6">
        <v>0.133</v>
      </c>
      <c r="C20" s="6">
        <v>0.11</v>
      </c>
      <c r="D20" s="6">
        <v>0.095</v>
      </c>
      <c r="E20" s="6">
        <v>0.08</v>
      </c>
      <c r="F20" s="6">
        <v>0.07000000000000001</v>
      </c>
    </row>
    <row r="21" spans="1:7">
      <c r="A21" t="s">
        <v>23</v>
      </c>
    </row>
    <row r="22" spans="1:7">
      <c r="B22" s="6">
        <v>0.191</v>
      </c>
      <c r="C22" s="6">
        <v>0.205</v>
      </c>
      <c r="D22" s="6">
        <v>0.218</v>
      </c>
      <c r="E22" s="6">
        <v>0.23</v>
      </c>
      <c r="F22" s="6">
        <v>0.24</v>
      </c>
    </row>
    <row r="23" spans="1:7">
      <c r="A23" t="s">
        <v>24</v>
      </c>
    </row>
    <row r="24" spans="1:7">
      <c r="B24" s="6">
        <v>0.008500000000000001</v>
      </c>
      <c r="C24" s="6">
        <v>0.008500000000000001</v>
      </c>
      <c r="D24" s="6">
        <v>0.008</v>
      </c>
      <c r="E24" s="6">
        <v>0.007800000000000001</v>
      </c>
      <c r="F24" s="6">
        <v>0.0075</v>
      </c>
    </row>
    <row r="26" spans="1:7">
      <c r="A26" s="3" t="s">
        <v>25</v>
      </c>
    </row>
    <row r="27" spans="1:7">
      <c r="A27" s="7"/>
      <c r="B27" s="7" t="s">
        <v>26</v>
      </c>
      <c r="C27" s="7" t="s">
        <v>17</v>
      </c>
      <c r="D27" s="7" t="s">
        <v>18</v>
      </c>
      <c r="E27" s="7" t="s">
        <v>19</v>
      </c>
      <c r="F27" s="7" t="s">
        <v>20</v>
      </c>
      <c r="G27" s="7" t="s">
        <v>21</v>
      </c>
    </row>
    <row r="28" spans="1:7">
      <c r="A28" t="s">
        <v>27</v>
      </c>
      <c r="B28" s="5">
        <v>45183.036</v>
      </c>
      <c r="C28" s="5">
        <f>B28*(1+C20)</f>
        <v>0</v>
      </c>
      <c r="D28" s="5">
        <f>C28*(1+D20)</f>
        <v>0</v>
      </c>
      <c r="E28" s="5">
        <f>D28*(1+E20)</f>
        <v>0</v>
      </c>
      <c r="F28" s="5">
        <f>E28*(1+F20)</f>
        <v>0</v>
      </c>
      <c r="G28" s="5">
        <f>F28*(1+G20)</f>
        <v>0</v>
      </c>
    </row>
    <row r="29" spans="1:7">
      <c r="A29" t="s">
        <v>28</v>
      </c>
      <c r="C29" s="5">
        <f>C28*C22</f>
        <v>0</v>
      </c>
      <c r="D29" s="5">
        <f>D28*D22</f>
        <v>0</v>
      </c>
      <c r="E29" s="5">
        <f>E28*E22</f>
        <v>0</v>
      </c>
      <c r="F29" s="5">
        <f>F28*F22</f>
        <v>0</v>
      </c>
      <c r="G29" s="5">
        <f>G28*G22</f>
        <v>0</v>
      </c>
    </row>
    <row r="30" spans="1:7">
      <c r="A30" t="s">
        <v>29</v>
      </c>
      <c r="C30" s="5">
        <f>C28*C24</f>
        <v>0</v>
      </c>
      <c r="D30" s="5">
        <f>D28*D24</f>
        <v>0</v>
      </c>
      <c r="E30" s="5">
        <f>E28*E24</f>
        <v>0</v>
      </c>
      <c r="F30" s="5">
        <f>F28*F24</f>
        <v>0</v>
      </c>
      <c r="G30" s="5">
        <f>G28*G24</f>
        <v>0</v>
      </c>
    </row>
    <row r="31" spans="1:7">
      <c r="A31" t="s">
        <v>30</v>
      </c>
      <c r="B31" s="5">
        <f>B6</f>
        <v>0</v>
      </c>
      <c r="C31" s="5">
        <f>B31*(1+$B$13)</f>
        <v>0</v>
      </c>
      <c r="D31" s="5">
        <f>C31*(1+$B$13)</f>
        <v>0</v>
      </c>
      <c r="E31" s="5">
        <f>D31*(1+$B$13)</f>
        <v>0</v>
      </c>
      <c r="F31" s="5">
        <f>E31*(1+$B$13)</f>
        <v>0</v>
      </c>
      <c r="G31" s="5">
        <f>F31*(1+$B$13)</f>
        <v>0</v>
      </c>
    </row>
    <row r="32" spans="1:7">
      <c r="A32" t="s">
        <v>31</v>
      </c>
      <c r="C32" s="5">
        <f>1/(1+$B$15)^1</f>
        <v>0</v>
      </c>
      <c r="D32" s="5">
        <f>1/(1+$B$15)^2</f>
        <v>0</v>
      </c>
      <c r="E32" s="5">
        <f>1/(1+$B$15)^3</f>
        <v>0</v>
      </c>
      <c r="F32" s="5">
        <f>1/(1+$B$15)^4</f>
        <v>0</v>
      </c>
      <c r="G32" s="5">
        <f>1/(1+$B$15)^5</f>
        <v>0</v>
      </c>
    </row>
    <row r="33" spans="1:7">
      <c r="A33" t="s">
        <v>32</v>
      </c>
      <c r="C33" s="5">
        <f>C29*C32</f>
        <v>0</v>
      </c>
      <c r="D33" s="5">
        <f>D29*D32</f>
        <v>0</v>
      </c>
      <c r="E33" s="5">
        <f>E29*E32</f>
        <v>0</v>
      </c>
      <c r="F33" s="5">
        <f>F29*F32</f>
        <v>0</v>
      </c>
      <c r="G33" s="5">
        <f>G29*G32</f>
        <v>0</v>
      </c>
    </row>
    <row r="35" spans="1:7">
      <c r="A35" s="3" t="s">
        <v>33</v>
      </c>
    </row>
    <row r="36" spans="1:7">
      <c r="A36" t="s">
        <v>34</v>
      </c>
      <c r="B36" s="5">
        <f>SUM(C33:G33)</f>
        <v>0</v>
      </c>
    </row>
    <row r="37" spans="1:7">
      <c r="A37" t="s">
        <v>35</v>
      </c>
      <c r="B37" s="5">
        <f>G29*(1+$B$16)</f>
        <v>0</v>
      </c>
    </row>
    <row r="38" spans="1:7">
      <c r="A38" t="s">
        <v>36</v>
      </c>
      <c r="B38" s="5">
        <f>B37/($B$15-$B$16)</f>
        <v>0</v>
      </c>
    </row>
    <row r="39" spans="1:7">
      <c r="A39" t="s">
        <v>37</v>
      </c>
      <c r="B39" s="5">
        <f>G29*$B$17</f>
        <v>0</v>
      </c>
    </row>
    <row r="40" spans="1:7">
      <c r="A40" t="s">
        <v>38</v>
      </c>
      <c r="B40" s="5">
        <f>MIN(B38,B39)</f>
        <v>0</v>
      </c>
    </row>
    <row r="41" spans="1:7">
      <c r="A41" t="s">
        <v>39</v>
      </c>
      <c r="B41" s="5">
        <f>B40*G32</f>
        <v>0</v>
      </c>
    </row>
    <row r="42" spans="1:7">
      <c r="A42" t="s">
        <v>40</v>
      </c>
      <c r="B42" s="5">
        <f>B36+B41</f>
        <v>0</v>
      </c>
    </row>
    <row r="43" spans="1:7">
      <c r="A43" t="s">
        <v>41</v>
      </c>
      <c r="B43" s="5">
        <f>B9</f>
        <v>0</v>
      </c>
    </row>
    <row r="44" spans="1:7">
      <c r="A44" t="s">
        <v>42</v>
      </c>
      <c r="B44" s="5">
        <f>B42-B43</f>
        <v>0</v>
      </c>
    </row>
    <row r="45" spans="1:7">
      <c r="A45" s="8" t="s">
        <v>43</v>
      </c>
      <c r="B45" s="9">
        <f>B44/G31</f>
        <v>0</v>
      </c>
    </row>
    <row r="47" spans="1:7">
      <c r="A47" s="3" t="s">
        <v>44</v>
      </c>
    </row>
    <row r="48" spans="1:7">
      <c r="A48" t="s">
        <v>45</v>
      </c>
      <c r="B48" s="5">
        <f>NPV(0.15,C29:G29)</f>
        <v>0</v>
      </c>
    </row>
    <row r="49" spans="1:2">
      <c r="A49" t="s">
        <v>46</v>
      </c>
      <c r="B49" s="5">
        <f>B38/(1.15^5)</f>
        <v>0</v>
      </c>
    </row>
    <row r="50" spans="1:2">
      <c r="A50" t="s">
        <v>41</v>
      </c>
      <c r="B50" s="5">
        <f>B9</f>
        <v>0</v>
      </c>
    </row>
    <row r="51" spans="1:2">
      <c r="A51" t="s">
        <v>47</v>
      </c>
      <c r="B51" s="9">
        <f>(B48+B49-B50)/G31</f>
        <v>0</v>
      </c>
    </row>
    <row r="53" spans="1:2">
      <c r="A53" t="s">
        <v>48</v>
      </c>
      <c r="B53" s="10">
        <f>(B45-B5)/B5</f>
        <v>0</v>
      </c>
    </row>
    <row r="54" spans="1:2">
      <c r="A54" t="s">
        <v>49</v>
      </c>
      <c r="B54" s="10">
        <f>(B5-B51)/B5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30.7109375" customWidth="1"/>
    <col min="2" max="4" width="16.7109375" customWidth="1"/>
  </cols>
  <sheetData>
    <row r="1" spans="1:4">
      <c r="A1" s="1" t="s">
        <v>50</v>
      </c>
    </row>
    <row r="3" spans="1:4">
      <c r="A3" s="7"/>
      <c r="B3" s="7" t="s">
        <v>51</v>
      </c>
      <c r="C3" s="7" t="s">
        <v>52</v>
      </c>
      <c r="D3" s="7" t="s">
        <v>53</v>
      </c>
    </row>
    <row r="4" spans="1:4">
      <c r="A4" s="8" t="s">
        <v>54</v>
      </c>
      <c r="B4" s="10">
        <v>0.11</v>
      </c>
      <c r="C4" s="10">
        <v>0.095</v>
      </c>
      <c r="D4" s="10">
        <v>0.09</v>
      </c>
    </row>
    <row r="5" spans="1:4">
      <c r="A5" s="8" t="s">
        <v>55</v>
      </c>
      <c r="B5" s="10">
        <v>0.02</v>
      </c>
      <c r="C5" s="10">
        <v>0.03</v>
      </c>
      <c r="D5" s="10">
        <v>0.035</v>
      </c>
    </row>
    <row r="6" spans="1:4">
      <c r="A6" s="8" t="s">
        <v>56</v>
      </c>
      <c r="B6" s="5">
        <v>63311</v>
      </c>
      <c r="C6" s="5">
        <v>71903</v>
      </c>
      <c r="D6" s="5">
        <v>79574</v>
      </c>
    </row>
    <row r="7" spans="1:4">
      <c r="A7" s="8" t="s">
        <v>57</v>
      </c>
      <c r="B7" s="5">
        <v>12789</v>
      </c>
      <c r="C7" s="5">
        <v>17257</v>
      </c>
      <c r="D7" s="5">
        <v>21883</v>
      </c>
    </row>
    <row r="8" spans="1:4">
      <c r="A8" s="8" t="s">
        <v>58</v>
      </c>
      <c r="B8" s="10">
        <v>0.202</v>
      </c>
      <c r="C8" s="10">
        <v>0.24</v>
      </c>
      <c r="D8" s="10">
        <v>0.275</v>
      </c>
    </row>
    <row r="9" spans="1:4">
      <c r="A9" s="8" t="s">
        <v>59</v>
      </c>
      <c r="B9" t="s">
        <v>60</v>
      </c>
      <c r="C9" t="s">
        <v>60</v>
      </c>
      <c r="D9" t="s">
        <v>60</v>
      </c>
    </row>
    <row r="10" spans="1:4">
      <c r="A10" s="8" t="s">
        <v>61</v>
      </c>
      <c r="B10" s="10">
        <v>0.6823</v>
      </c>
      <c r="C10" s="10">
        <v>0.7741</v>
      </c>
      <c r="D10" s="10">
        <v>0.8175</v>
      </c>
    </row>
    <row r="11" spans="1:4">
      <c r="A11" s="8" t="s">
        <v>62</v>
      </c>
      <c r="B11" s="5">
        <v>11.33</v>
      </c>
      <c r="C11" s="5">
        <v>15.85</v>
      </c>
      <c r="D11" s="5">
        <v>18.82</v>
      </c>
    </row>
    <row r="12" spans="1:4">
      <c r="A12" s="8" t="s">
        <v>63</v>
      </c>
      <c r="B12" s="11">
        <v>29.82</v>
      </c>
      <c r="C12" s="11">
        <v>56.9</v>
      </c>
      <c r="D12" s="11">
        <v>84.94</v>
      </c>
    </row>
    <row r="13" spans="1:4">
      <c r="A13" s="8" t="s">
        <v>64</v>
      </c>
      <c r="B13" s="10">
        <v>-0.5977</v>
      </c>
      <c r="C13" s="10">
        <v>-0.2325</v>
      </c>
      <c r="D13" s="10">
        <v>0.1456</v>
      </c>
    </row>
    <row r="14" spans="1:4">
      <c r="A14" s="8" t="s">
        <v>65</v>
      </c>
      <c r="B14" s="11">
        <v>25.41</v>
      </c>
      <c r="C14" s="11">
        <v>45.27</v>
      </c>
      <c r="D14" s="11">
        <v>65.91</v>
      </c>
    </row>
    <row r="16" spans="1:4">
      <c r="A16" s="8" t="s">
        <v>66</v>
      </c>
      <c r="B16" s="11">
        <v>57.14</v>
      </c>
    </row>
    <row r="17" spans="1:2">
      <c r="A17" t="s">
        <v>67</v>
      </c>
      <c r="B17" t="s">
        <v>68</v>
      </c>
    </row>
    <row r="19" spans="1:2">
      <c r="A19" s="8" t="s">
        <v>69</v>
      </c>
      <c r="B19" s="11">
        <v>58.8</v>
      </c>
    </row>
    <row r="20" spans="1:2">
      <c r="A20" t="s">
        <v>70</v>
      </c>
      <c r="B20" s="11">
        <v>56.9</v>
      </c>
    </row>
    <row r="21" spans="1:2">
      <c r="A21" t="s">
        <v>71</v>
      </c>
      <c r="B21" s="11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72</v>
      </c>
    </row>
    <row r="2" spans="1:6">
      <c r="A2" t="s">
        <v>73</v>
      </c>
    </row>
    <row r="4" spans="1:6">
      <c r="A4" s="7" t="s">
        <v>74</v>
      </c>
      <c r="B4" s="12">
        <v>0.02</v>
      </c>
      <c r="C4" s="12">
        <v>0.025</v>
      </c>
      <c r="D4" s="12">
        <v>0.03</v>
      </c>
      <c r="E4" s="12">
        <v>0.035</v>
      </c>
      <c r="F4" s="12">
        <v>0.04</v>
      </c>
    </row>
    <row r="5" spans="1:6">
      <c r="A5" s="12">
        <v>0.075</v>
      </c>
      <c r="B5" s="11">
        <f>(MIN((17257*(1+0.02))/(0.075-0.02),17257*20)/(1+0.075)^5 + (9778/(1+0.075)^1+11649/(1+0.075)^2+13564/(1+0.075)^3+15456/(1+0.075)^4+17257/(1+0.075)^5) - 5210.074)/3851.9</f>
        <v>0</v>
      </c>
      <c r="C5" s="11">
        <f>(MIN((17257*(1+0.025))/(0.075-0.025),17257*20)/(1+0.075)^5 + (9778/(1+0.075)^1+11649/(1+0.075)^2+13564/(1+0.075)^3+15456/(1+0.075)^4+17257/(1+0.075)^5) - 5210.074)/3851.9</f>
        <v>0</v>
      </c>
      <c r="D5" s="11">
        <f>(MIN((17257*(1+0.03))/(0.075-0.03),17257*20)/(1+0.075)^5 + (9778/(1+0.075)^1+11649/(1+0.075)^2+13564/(1+0.075)^3+15456/(1+0.075)^4+17257/(1+0.075)^5) - 5210.074)/3851.9</f>
        <v>0</v>
      </c>
      <c r="E5" s="11">
        <f>(MIN((17257*(1+0.035))/(0.075-0.035),17257*20)/(1+0.075)^5 + (9778/(1+0.075)^1+11649/(1+0.075)^2+13564/(1+0.075)^3+15456/(1+0.075)^4+17257/(1+0.075)^5) - 5210.074)/3851.9</f>
        <v>0</v>
      </c>
      <c r="F5" s="11">
        <f>(MIN((17257*(1+0.04))/(0.075-0.04),17257*20)/(1+0.075)^5 + (9778/(1+0.075)^1+11649/(1+0.075)^2+13564/(1+0.075)^3+15456/(1+0.075)^4+17257/(1+0.075)^5) - 5210.074)/3851.9</f>
        <v>0</v>
      </c>
    </row>
    <row r="6" spans="1:6">
      <c r="A6" s="12">
        <v>0.08500000000000001</v>
      </c>
      <c r="B6" s="11">
        <f>(MIN((17257*(1+0.02))/(0.085-0.02),17257*20)/(1+0.085)^5 + (9778/(1+0.085)^1+11649/(1+0.085)^2+13564/(1+0.085)^3+15456/(1+0.085)^4+17257/(1+0.085)^5) - 5210.074)/3851.9</f>
        <v>0</v>
      </c>
      <c r="C6" s="11">
        <f>(MIN((17257*(1+0.025))/(0.085-0.025),17257*20)/(1+0.085)^5 + (9778/(1+0.085)^1+11649/(1+0.085)^2+13564/(1+0.085)^3+15456/(1+0.085)^4+17257/(1+0.085)^5) - 5210.074)/3851.9</f>
        <v>0</v>
      </c>
      <c r="D6" s="11">
        <f>(MIN((17257*(1+0.03))/(0.085-0.03),17257*20)/(1+0.085)^5 + (9778/(1+0.085)^1+11649/(1+0.085)^2+13564/(1+0.085)^3+15456/(1+0.085)^4+17257/(1+0.085)^5) - 5210.074)/3851.9</f>
        <v>0</v>
      </c>
      <c r="E6" s="11">
        <f>(MIN((17257*(1+0.035))/(0.085-0.035),17257*20)/(1+0.085)^5 + (9778/(1+0.085)^1+11649/(1+0.085)^2+13564/(1+0.085)^3+15456/(1+0.085)^4+17257/(1+0.085)^5) - 5210.074)/3851.9</f>
        <v>0</v>
      </c>
      <c r="F6" s="11">
        <f>(MIN((17257*(1+0.04))/(0.085-0.04),17257*20)/(1+0.085)^5 + (9778/(1+0.085)^1+11649/(1+0.085)^2+13564/(1+0.085)^3+15456/(1+0.085)^4+17257/(1+0.085)^5) - 5210.074)/3851.9</f>
        <v>0</v>
      </c>
    </row>
    <row r="7" spans="1:6">
      <c r="A7" s="12">
        <v>0.095</v>
      </c>
      <c r="B7" s="11">
        <f>(MIN((17257*(1+0.02))/(0.095-0.02),17257*20)/(1+0.095)^5 + (9778/(1+0.095)^1+11649/(1+0.095)^2+13564/(1+0.095)^3+15456/(1+0.095)^4+17257/(1+0.095)^5) - 5210.074)/3851.9</f>
        <v>0</v>
      </c>
      <c r="C7" s="11">
        <f>(MIN((17257*(1+0.025))/(0.095-0.025),17257*20)/(1+0.095)^5 + (9778/(1+0.095)^1+11649/(1+0.095)^2+13564/(1+0.095)^3+15456/(1+0.095)^4+17257/(1+0.095)^5) - 5210.074)/3851.9</f>
        <v>0</v>
      </c>
      <c r="D7" s="11">
        <f>(MIN((17257*(1+0.03))/(0.095-0.03),17257*20)/(1+0.095)^5 + (9778/(1+0.095)^1+11649/(1+0.095)^2+13564/(1+0.095)^3+15456/(1+0.095)^4+17257/(1+0.095)^5) - 5210.074)/3851.9</f>
        <v>0</v>
      </c>
      <c r="E7" s="11">
        <f>(MIN((17257*(1+0.035))/(0.095-0.035),17257*20)/(1+0.095)^5 + (9778/(1+0.095)^1+11649/(1+0.095)^2+13564/(1+0.095)^3+15456/(1+0.095)^4+17257/(1+0.095)^5) - 5210.074)/3851.9</f>
        <v>0</v>
      </c>
      <c r="F7" s="11">
        <f>(MIN((17257*(1+0.04))/(0.095-0.04),17257*20)/(1+0.095)^5 + (9778/(1+0.095)^1+11649/(1+0.095)^2+13564/(1+0.095)^3+15456/(1+0.095)^4+17257/(1+0.095)^5) - 5210.074)/3851.9</f>
        <v>0</v>
      </c>
    </row>
    <row r="8" spans="1:6">
      <c r="A8" s="12">
        <v>0.105</v>
      </c>
      <c r="B8" s="11">
        <f>(MIN((17257*(1+0.02))/(0.105-0.02),17257*20)/(1+0.105)^5 + (9778/(1+0.105)^1+11649/(1+0.105)^2+13564/(1+0.105)^3+15456/(1+0.105)^4+17257/(1+0.105)^5) - 5210.074)/3851.9</f>
        <v>0</v>
      </c>
      <c r="C8" s="11">
        <f>(MIN((17257*(1+0.025))/(0.105-0.025),17257*20)/(1+0.105)^5 + (9778/(1+0.105)^1+11649/(1+0.105)^2+13564/(1+0.105)^3+15456/(1+0.105)^4+17257/(1+0.105)^5) - 5210.074)/3851.9</f>
        <v>0</v>
      </c>
      <c r="D8" s="11">
        <f>(MIN((17257*(1+0.03))/(0.105-0.03),17257*20)/(1+0.105)^5 + (9778/(1+0.105)^1+11649/(1+0.105)^2+13564/(1+0.105)^3+15456/(1+0.105)^4+17257/(1+0.105)^5) - 5210.074)/3851.9</f>
        <v>0</v>
      </c>
      <c r="E8" s="11">
        <f>(MIN((17257*(1+0.035))/(0.105-0.035),17257*20)/(1+0.105)^5 + (9778/(1+0.105)^1+11649/(1+0.105)^2+13564/(1+0.105)^3+15456/(1+0.105)^4+17257/(1+0.105)^5) - 5210.074)/3851.9</f>
        <v>0</v>
      </c>
      <c r="F8" s="11">
        <f>(MIN((17257*(1+0.04))/(0.105-0.04),17257*20)/(1+0.105)^5 + (9778/(1+0.105)^1+11649/(1+0.105)^2+13564/(1+0.105)^3+15456/(1+0.105)^4+17257/(1+0.105)^5) - 5210.074)/3851.9</f>
        <v>0</v>
      </c>
    </row>
    <row r="9" spans="1:6">
      <c r="A9" s="12">
        <v>0.115</v>
      </c>
      <c r="B9" s="11">
        <f>(MIN((17257*(1+0.02))/(0.115-0.02),17257*20)/(1+0.115)^5 + (9778/(1+0.115)^1+11649/(1+0.115)^2+13564/(1+0.115)^3+15456/(1+0.115)^4+17257/(1+0.115)^5) - 5210.074)/3851.9</f>
        <v>0</v>
      </c>
      <c r="C9" s="11">
        <f>(MIN((17257*(1+0.025))/(0.115-0.025),17257*20)/(1+0.115)^5 + (9778/(1+0.115)^1+11649/(1+0.115)^2+13564/(1+0.115)^3+15456/(1+0.115)^4+17257/(1+0.115)^5) - 5210.074)/3851.9</f>
        <v>0</v>
      </c>
      <c r="D9" s="11">
        <f>(MIN((17257*(1+0.03))/(0.115-0.03),17257*20)/(1+0.115)^5 + (9778/(1+0.115)^1+11649/(1+0.115)^2+13564/(1+0.115)^3+15456/(1+0.115)^4+17257/(1+0.115)^5) - 5210.074)/3851.9</f>
        <v>0</v>
      </c>
      <c r="E9" s="11">
        <f>(MIN((17257*(1+0.035))/(0.115-0.035),17257*20)/(1+0.115)^5 + (9778/(1+0.115)^1+11649/(1+0.115)^2+13564/(1+0.115)^3+15456/(1+0.115)^4+17257/(1+0.115)^5) - 5210.074)/3851.9</f>
        <v>0</v>
      </c>
      <c r="F9" s="11">
        <f>(MIN((17257*(1+0.04))/(0.115-0.04),17257*20)/(1+0.115)^5 + (9778/(1+0.115)^1+11649/(1+0.115)^2+13564/(1+0.115)^3+15456/(1+0.115)^4+17257/(1+0.115)^5) - 5210.074)/3851.9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cols>
    <col min="1" max="1" width="34.7109375" customWidth="1"/>
    <col min="2" max="9" width="12.7109375" customWidth="1"/>
  </cols>
  <sheetData>
    <row r="1" spans="1:9">
      <c r="A1" s="1" t="s">
        <v>75</v>
      </c>
    </row>
    <row r="2" spans="1:9">
      <c r="A2" t="s">
        <v>76</v>
      </c>
    </row>
    <row r="4" spans="1:9">
      <c r="A4" s="7" t="s">
        <v>77</v>
      </c>
      <c r="B4" s="7" t="s">
        <v>78</v>
      </c>
      <c r="C4" s="7" t="s">
        <v>79</v>
      </c>
      <c r="D4" s="7" t="s">
        <v>80</v>
      </c>
      <c r="E4" s="7" t="s">
        <v>81</v>
      </c>
      <c r="F4" s="7" t="s">
        <v>82</v>
      </c>
      <c r="G4" s="7" t="s">
        <v>83</v>
      </c>
      <c r="H4" s="7" t="s">
        <v>84</v>
      </c>
      <c r="I4" s="7" t="s">
        <v>85</v>
      </c>
    </row>
    <row r="5" spans="1:9">
      <c r="A5" s="8" t="s">
        <v>27</v>
      </c>
      <c r="B5" s="5">
        <v>15794.341</v>
      </c>
      <c r="C5" s="5">
        <v>20156.447</v>
      </c>
      <c r="D5" s="5">
        <v>24996.056</v>
      </c>
      <c r="E5" s="5">
        <v>29697.844</v>
      </c>
      <c r="F5" s="5">
        <v>31615.55</v>
      </c>
      <c r="G5" s="5">
        <v>33723.297</v>
      </c>
      <c r="H5" s="5">
        <v>39000.966</v>
      </c>
      <c r="I5" s="5">
        <v>45183.036</v>
      </c>
    </row>
    <row r="6" spans="1:9">
      <c r="A6" s="8" t="s">
        <v>86</v>
      </c>
      <c r="B6" s="5">
        <v>-2854.425</v>
      </c>
      <c r="C6" s="5">
        <v>-3140.357</v>
      </c>
      <c r="D6" s="5">
        <v>1929.154</v>
      </c>
      <c r="E6" s="5">
        <v>-131.975</v>
      </c>
      <c r="F6" s="5">
        <v>1618.528</v>
      </c>
      <c r="G6" s="5">
        <v>6925.749</v>
      </c>
      <c r="H6" s="5">
        <v>6921.826</v>
      </c>
      <c r="I6" s="5">
        <v>9461.053</v>
      </c>
    </row>
    <row r="7" spans="1:9">
      <c r="A7" s="8" t="s">
        <v>87</v>
      </c>
      <c r="B7" s="5">
        <v>320.657</v>
      </c>
      <c r="C7" s="5">
        <v>405.376</v>
      </c>
      <c r="D7" s="5">
        <v>415.18</v>
      </c>
      <c r="E7" s="5">
        <v>403.22</v>
      </c>
      <c r="F7" s="5">
        <v>575.452</v>
      </c>
      <c r="G7" s="5">
        <v>339.368</v>
      </c>
      <c r="H7" s="5">
        <v>272.588</v>
      </c>
      <c r="I7" s="5">
        <v>368.449</v>
      </c>
    </row>
    <row r="8" spans="1:9">
      <c r="A8" s="8" t="s">
        <v>88</v>
      </c>
      <c r="B8" s="5">
        <v>0</v>
      </c>
      <c r="C8" s="5">
        <v>0</v>
      </c>
      <c r="D8" s="5">
        <v>0</v>
      </c>
      <c r="E8" s="5">
        <v>224.168</v>
      </c>
      <c r="F8" s="5">
        <v>0</v>
      </c>
      <c r="G8" s="5">
        <v>0</v>
      </c>
      <c r="H8" s="5">
        <v>8.285</v>
      </c>
      <c r="I8" s="5">
        <v>46.165</v>
      </c>
    </row>
    <row r="9" spans="1:9">
      <c r="A9" s="8" t="s">
        <v>89</v>
      </c>
      <c r="B9" s="5">
        <v>320.657</v>
      </c>
      <c r="C9" s="5">
        <v>405.376</v>
      </c>
      <c r="D9" s="5">
        <v>415.18</v>
      </c>
      <c r="E9" s="5">
        <v>627.388</v>
      </c>
      <c r="F9" s="5">
        <v>575.452</v>
      </c>
      <c r="G9" s="5">
        <v>339.368</v>
      </c>
      <c r="H9" s="5">
        <v>280.873</v>
      </c>
      <c r="I9" s="5">
        <v>414.614</v>
      </c>
    </row>
    <row r="10" spans="1:9">
      <c r="A10" s="8" t="s">
        <v>90</v>
      </c>
      <c r="B10" s="5">
        <v>-3175.082</v>
      </c>
      <c r="C10" s="5">
        <v>-3545.733</v>
      </c>
      <c r="D10" s="5">
        <v>1513.974</v>
      </c>
      <c r="E10" s="5">
        <v>-759.3630000000001</v>
      </c>
      <c r="F10" s="5">
        <v>1043.076</v>
      </c>
      <c r="G10" s="5">
        <v>6586.380999999999</v>
      </c>
      <c r="H10" s="5">
        <v>6640.953</v>
      </c>
      <c r="I10" s="5">
        <v>9046.439</v>
      </c>
    </row>
    <row r="11" spans="1:9">
      <c r="A11" s="8" t="s">
        <v>91</v>
      </c>
      <c r="B11" s="10">
        <v>-0.1807245392511153</v>
      </c>
      <c r="C11" s="10">
        <v>-0.1557991346391554</v>
      </c>
      <c r="D11" s="10">
        <v>0.07717833565423281</v>
      </c>
      <c r="E11" s="10">
        <v>-0.004443925289660758</v>
      </c>
      <c r="F11" s="10">
        <v>0.05119404849828644</v>
      </c>
      <c r="G11" s="10">
        <v>0.2053698664160862</v>
      </c>
      <c r="H11" s="10">
        <v>0.1774783219472051</v>
      </c>
      <c r="I11" s="10">
        <v>0.2093939194347188</v>
      </c>
    </row>
    <row r="12" spans="1:9">
      <c r="A12" s="8" t="s">
        <v>92</v>
      </c>
      <c r="B12" s="10">
        <v>-0.2010265575499478</v>
      </c>
      <c r="C12" s="10">
        <v>-0.1759106155960919</v>
      </c>
      <c r="D12" s="10">
        <v>0.06056851528897198</v>
      </c>
      <c r="E12" s="10">
        <v>-0.0255696339437974</v>
      </c>
      <c r="F12" s="10">
        <v>0.03299249894434859</v>
      </c>
      <c r="G12" s="10">
        <v>0.1953065561768768</v>
      </c>
      <c r="H12" s="10">
        <v>0.1702766285327394</v>
      </c>
      <c r="I12" s="10">
        <v>0.2002175993662755</v>
      </c>
    </row>
    <row r="14" spans="1:9">
      <c r="A14" s="8" t="s">
        <v>93</v>
      </c>
      <c r="C14" s="5">
        <v>163.846</v>
      </c>
      <c r="D14" s="5">
        <v>193.247</v>
      </c>
      <c r="E14" s="5">
        <v>91.35000000000014</v>
      </c>
      <c r="F14" s="5">
        <v>55.31899999999996</v>
      </c>
      <c r="G14" s="5">
        <v>178.308</v>
      </c>
      <c r="H14" s="5">
        <v>77.84400000000005</v>
      </c>
      <c r="I14" s="5">
        <v>254.9169999999999</v>
      </c>
    </row>
    <row r="15" spans="1:9">
      <c r="A15" s="8" t="s">
        <v>94</v>
      </c>
      <c r="C15" s="10">
        <v>-0.05217432285564985</v>
      </c>
      <c r="D15" s="10">
        <v>0.1001718888175853</v>
      </c>
      <c r="E15" s="10">
        <v>-0.6921765485887489</v>
      </c>
      <c r="F15" s="10">
        <v>0.0341785869629688</v>
      </c>
      <c r="G15" s="10">
        <v>0.02574566303225832</v>
      </c>
      <c r="H15" s="10">
        <v>0.011246165390462</v>
      </c>
      <c r="I15" s="10">
        <v>0.02694382961389181</v>
      </c>
    </row>
    <row r="17" spans="1:9">
      <c r="A17" s="8" t="s">
        <v>95</v>
      </c>
      <c r="G17" s="10">
        <v>0.1660913865006961</v>
      </c>
      <c r="H17" s="10">
        <v>0.1576176656190179</v>
      </c>
      <c r="I17" s="10">
        <v>0.166612902027621</v>
      </c>
    </row>
    <row r="18" spans="1:9">
      <c r="A18" s="13" t="s">
        <v>96</v>
      </c>
    </row>
    <row r="20" spans="1:9">
      <c r="A20" s="13" t="s">
        <v>97</v>
      </c>
      <c r="B20" s="13"/>
      <c r="C20" s="13"/>
      <c r="D20" s="13"/>
      <c r="E20" s="13"/>
      <c r="F20" s="13"/>
      <c r="G20" s="13"/>
      <c r="H20" s="13"/>
      <c r="I20" s="13"/>
    </row>
  </sheetData>
  <mergeCells count="1">
    <mergeCell ref="A20:I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1" max="1" width="22.7109375" customWidth="1"/>
    <col min="2" max="6" width="13.7109375" customWidth="1"/>
  </cols>
  <sheetData>
    <row r="1" spans="1:6">
      <c r="A1" s="1" t="s">
        <v>98</v>
      </c>
    </row>
    <row r="3" spans="1:6">
      <c r="A3" s="7" t="s">
        <v>77</v>
      </c>
      <c r="B3" s="7" t="s">
        <v>99</v>
      </c>
      <c r="C3" s="7" t="s">
        <v>100</v>
      </c>
    </row>
    <row r="4" spans="1:6">
      <c r="A4" t="s">
        <v>27</v>
      </c>
      <c r="B4" s="10">
        <v>0.1264</v>
      </c>
      <c r="C4" s="10">
        <v>0.1257</v>
      </c>
    </row>
    <row r="5" spans="1:6">
      <c r="A5" t="s">
        <v>101</v>
      </c>
      <c r="B5" s="10">
        <v>0.3649</v>
      </c>
      <c r="C5" s="10">
        <v>0.33</v>
      </c>
    </row>
    <row r="6" spans="1:6">
      <c r="A6" t="s">
        <v>102</v>
      </c>
      <c r="B6" s="10">
        <v>0.08599999999999999</v>
      </c>
      <c r="C6" s="10">
        <v>0.1919</v>
      </c>
    </row>
    <row r="7" spans="1:6">
      <c r="A7" t="s">
        <v>103</v>
      </c>
    </row>
    <row r="9" spans="1:6">
      <c r="A9" s="8" t="s">
        <v>104</v>
      </c>
      <c r="B9" s="10">
        <v>0.126</v>
      </c>
    </row>
    <row r="10" spans="1:6">
      <c r="A10" t="s">
        <v>105</v>
      </c>
      <c r="B10" t="s">
        <v>106</v>
      </c>
    </row>
    <row r="12" spans="1:6">
      <c r="A12" s="3" t="s">
        <v>107</v>
      </c>
    </row>
    <row r="13" spans="1:6">
      <c r="A13" s="7" t="s">
        <v>108</v>
      </c>
      <c r="B13" s="7" t="s">
        <v>109</v>
      </c>
      <c r="C13" s="7" t="s">
        <v>110</v>
      </c>
      <c r="D13" s="7" t="s">
        <v>111</v>
      </c>
      <c r="E13" s="7" t="s">
        <v>112</v>
      </c>
      <c r="F13" s="7" t="s">
        <v>113</v>
      </c>
    </row>
    <row r="15" spans="1:6">
      <c r="A15" t="s">
        <v>114</v>
      </c>
      <c r="B15" s="11">
        <v>12.38</v>
      </c>
      <c r="C15" s="5">
        <v>287.9</v>
      </c>
      <c r="D15" s="5">
        <v>20.26</v>
      </c>
      <c r="E15" s="5">
        <v>128.51</v>
      </c>
      <c r="F15" s="5">
        <v>6.15</v>
      </c>
    </row>
    <row r="16" spans="1:6">
      <c r="A16" t="s">
        <v>115</v>
      </c>
      <c r="B16" s="11">
        <v>19.2</v>
      </c>
      <c r="C16" s="5">
        <v>153.6</v>
      </c>
      <c r="D16" s="5">
        <v>23.95</v>
      </c>
      <c r="E16" s="5">
        <v>98.25</v>
      </c>
      <c r="F16" s="5">
        <v>7.34</v>
      </c>
    </row>
    <row r="17" spans="1:6">
      <c r="A17" t="s">
        <v>78</v>
      </c>
      <c r="B17" s="11">
        <v>26.77</v>
      </c>
      <c r="C17" s="5">
        <v>99.90000000000001</v>
      </c>
      <c r="D17" s="5">
        <v>23.06</v>
      </c>
      <c r="E17" s="5">
        <v>75.44</v>
      </c>
      <c r="F17" s="5">
        <v>7.65</v>
      </c>
    </row>
    <row r="18" spans="1:6">
      <c r="A18" t="s">
        <v>79</v>
      </c>
      <c r="B18" s="11">
        <v>32.36</v>
      </c>
      <c r="C18" s="5">
        <v>78.40000000000001</v>
      </c>
      <c r="D18" s="5">
        <v>19.28</v>
      </c>
      <c r="E18" s="5">
        <v>57.59</v>
      </c>
      <c r="F18" s="5">
        <v>7.25</v>
      </c>
    </row>
    <row r="19" spans="1:6">
      <c r="A19" t="s">
        <v>80</v>
      </c>
      <c r="B19" s="11">
        <v>54.07</v>
      </c>
      <c r="C19" s="5">
        <v>88.90000000000001</v>
      </c>
      <c r="D19" s="5">
        <v>22.19</v>
      </c>
      <c r="E19" s="5">
        <v>53.97</v>
      </c>
      <c r="F19" s="5">
        <v>9.83</v>
      </c>
    </row>
    <row r="20" spans="1:6">
      <c r="A20" t="s">
        <v>81</v>
      </c>
      <c r="B20" s="11">
        <v>60.24</v>
      </c>
      <c r="C20" s="5">
        <v>53.6</v>
      </c>
      <c r="D20" s="5">
        <v>17.31</v>
      </c>
      <c r="E20" s="5">
        <v>44.3</v>
      </c>
      <c r="F20" s="5">
        <v>9.24</v>
      </c>
    </row>
    <row r="21" spans="1:6">
      <c r="A21" t="s">
        <v>82</v>
      </c>
      <c r="B21" s="11">
        <v>29.49</v>
      </c>
      <c r="C21" s="5">
        <v>29.6</v>
      </c>
      <c r="D21" s="5">
        <v>6.41</v>
      </c>
      <c r="E21" s="5">
        <v>23.84</v>
      </c>
      <c r="F21" s="5">
        <v>4.21</v>
      </c>
    </row>
    <row r="22" spans="1:6">
      <c r="A22" t="s">
        <v>83</v>
      </c>
      <c r="B22" s="11">
        <v>48.69</v>
      </c>
      <c r="C22" s="5">
        <v>40.6</v>
      </c>
      <c r="D22" s="5">
        <v>10.63</v>
      </c>
      <c r="E22" s="5">
        <v>30.95</v>
      </c>
      <c r="F22" s="5">
        <v>6.49</v>
      </c>
    </row>
    <row r="23" spans="1:6">
      <c r="A23" t="s">
        <v>84</v>
      </c>
      <c r="B23" s="11">
        <v>89.13</v>
      </c>
      <c r="C23" s="5">
        <v>45</v>
      </c>
      <c r="D23" s="5">
        <v>15.82</v>
      </c>
      <c r="E23" s="5">
        <v>37.16</v>
      </c>
      <c r="F23" s="5">
        <v>10.04</v>
      </c>
    </row>
    <row r="24" spans="1:6">
      <c r="A24" t="s">
        <v>85</v>
      </c>
      <c r="B24" s="11">
        <v>93.76000000000001</v>
      </c>
      <c r="C24" s="5">
        <v>37.1</v>
      </c>
      <c r="D24" s="5">
        <v>15.3</v>
      </c>
      <c r="E24" s="5">
        <v>30.21</v>
      </c>
      <c r="F24" s="5">
        <v>9.01</v>
      </c>
    </row>
    <row r="26" spans="1:6">
      <c r="A26" s="13" t="s">
        <v>116</v>
      </c>
      <c r="B26" s="13"/>
      <c r="C26" s="13"/>
      <c r="D26" s="13"/>
      <c r="E26" s="13"/>
      <c r="F26" s="13"/>
    </row>
    <row r="28" spans="1:6">
      <c r="A28" s="8" t="s">
        <v>117</v>
      </c>
      <c r="B28" s="5">
        <v>41.2</v>
      </c>
    </row>
    <row r="29" spans="1:6">
      <c r="A29" s="8" t="s">
        <v>118</v>
      </c>
      <c r="B29" s="5">
        <v>13.09</v>
      </c>
    </row>
    <row r="30" spans="1:6">
      <c r="A30" s="8" t="s">
        <v>119</v>
      </c>
      <c r="B30" s="5">
        <v>33.29</v>
      </c>
    </row>
    <row r="31" spans="1:6">
      <c r="A31" s="8" t="s">
        <v>120</v>
      </c>
      <c r="B31" s="5">
        <v>7.8</v>
      </c>
    </row>
    <row r="33" spans="1:6">
      <c r="A33" s="8" t="s">
        <v>121</v>
      </c>
      <c r="B33" s="13" t="s">
        <v>122</v>
      </c>
      <c r="C33" s="13"/>
      <c r="D33" s="13"/>
      <c r="E33" s="13"/>
      <c r="F33" s="13"/>
    </row>
  </sheetData>
  <mergeCells count="2">
    <mergeCell ref="A26:F26"/>
    <mergeCell ref="B33:F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3"/>
  <sheetViews>
    <sheetView workbookViewId="0"/>
  </sheetViews>
  <sheetFormatPr defaultRowHeight="15"/>
  <cols>
    <col min="1" max="1" width="100.7109375" customWidth="1"/>
  </cols>
  <sheetData>
    <row r="1" spans="1:1">
      <c r="A1" s="1" t="s">
        <v>123</v>
      </c>
    </row>
    <row r="3" spans="1:1">
      <c r="A3" t="s">
        <v>124</v>
      </c>
    </row>
    <row r="4" spans="1:1">
      <c r="A4" t="s">
        <v>125</v>
      </c>
    </row>
    <row r="5" spans="1:1">
      <c r="A5" t="s">
        <v>126</v>
      </c>
    </row>
    <row r="7" spans="1:1">
      <c r="A7" t="s">
        <v>127</v>
      </c>
    </row>
    <row r="8" spans="1:1">
      <c r="A8" t="s">
        <v>128</v>
      </c>
    </row>
    <row r="9" spans="1:1">
      <c r="A9" t="s">
        <v>129</v>
      </c>
    </row>
    <row r="10" spans="1:1">
      <c r="A10" t="s">
        <v>130</v>
      </c>
    </row>
    <row r="11" spans="1:1">
      <c r="A11" t="s">
        <v>131</v>
      </c>
    </row>
    <row r="12" spans="1:1">
      <c r="A12" t="s">
        <v>132</v>
      </c>
    </row>
    <row r="14" spans="1:1">
      <c r="A14" t="s">
        <v>133</v>
      </c>
    </row>
    <row r="15" spans="1:1">
      <c r="A15" t="s">
        <v>134</v>
      </c>
    </row>
    <row r="16" spans="1:1">
      <c r="A16" t="s">
        <v>135</v>
      </c>
    </row>
    <row r="17" spans="1:1">
      <c r="A17" t="s">
        <v>136</v>
      </c>
    </row>
    <row r="18" spans="1:1">
      <c r="A18" t="s">
        <v>137</v>
      </c>
    </row>
    <row r="19" spans="1:1">
      <c r="A19" t="s">
        <v>138</v>
      </c>
    </row>
    <row r="20" spans="1:1">
      <c r="A20" t="s">
        <v>139</v>
      </c>
    </row>
    <row r="21" spans="1:1">
      <c r="A21" t="s">
        <v>140</v>
      </c>
    </row>
    <row r="22" spans="1:1">
      <c r="A22" t="s">
        <v>141</v>
      </c>
    </row>
    <row r="23" spans="1:1">
      <c r="A23" t="s">
        <v>142</v>
      </c>
    </row>
    <row r="24" spans="1:1">
      <c r="A24" t="s">
        <v>143</v>
      </c>
    </row>
    <row r="25" spans="1:1">
      <c r="A25" t="s">
        <v>144</v>
      </c>
    </row>
    <row r="26" spans="1:1">
      <c r="A26" t="s">
        <v>145</v>
      </c>
    </row>
    <row r="27" spans="1:1">
      <c r="A27" t="s">
        <v>146</v>
      </c>
    </row>
    <row r="28" spans="1:1">
      <c r="A28" t="s">
        <v>147</v>
      </c>
    </row>
    <row r="29" spans="1:1">
      <c r="A29" t="s">
        <v>148</v>
      </c>
    </row>
    <row r="30" spans="1:1">
      <c r="A30" t="s">
        <v>149</v>
      </c>
    </row>
    <row r="31" spans="1:1">
      <c r="A31" t="s">
        <v>150</v>
      </c>
    </row>
    <row r="32" spans="1:1">
      <c r="A32" t="s">
        <v>151</v>
      </c>
    </row>
    <row r="33" spans="1:1">
      <c r="A33" t="s">
        <v>152</v>
      </c>
    </row>
    <row r="34" spans="1:1">
      <c r="A34" t="s">
        <v>153</v>
      </c>
    </row>
    <row r="35" spans="1:1">
      <c r="A35" t="s">
        <v>154</v>
      </c>
    </row>
    <row r="36" spans="1:1">
      <c r="A36" t="s">
        <v>155</v>
      </c>
    </row>
    <row r="37" spans="1:1">
      <c r="A37" t="s">
        <v>156</v>
      </c>
    </row>
    <row r="38" spans="1:1">
      <c r="A38" t="s">
        <v>157</v>
      </c>
    </row>
    <row r="39" spans="1:1">
      <c r="A39" t="s">
        <v>158</v>
      </c>
    </row>
    <row r="40" spans="1:1">
      <c r="A40" t="s">
        <v>159</v>
      </c>
    </row>
    <row r="41" spans="1:1">
      <c r="A41" t="s">
        <v>160</v>
      </c>
    </row>
    <row r="43" spans="1:1">
      <c r="A43" t="s">
        <v>161</v>
      </c>
    </row>
    <row r="44" spans="1:1">
      <c r="A44" t="s">
        <v>162</v>
      </c>
    </row>
    <row r="45" spans="1:1">
      <c r="A45" t="s">
        <v>163</v>
      </c>
    </row>
    <row r="46" spans="1:1">
      <c r="A46" t="s">
        <v>164</v>
      </c>
    </row>
    <row r="47" spans="1:1">
      <c r="A47" t="s">
        <v>165</v>
      </c>
    </row>
    <row r="48" spans="1:1">
      <c r="A48" t="s">
        <v>166</v>
      </c>
    </row>
    <row r="49" spans="1:1">
      <c r="A49" t="s">
        <v>167</v>
      </c>
    </row>
    <row r="50" spans="1:1">
      <c r="A50" t="s">
        <v>168</v>
      </c>
    </row>
    <row r="51" spans="1:1">
      <c r="A51" t="s">
        <v>169</v>
      </c>
    </row>
    <row r="52" spans="1:1">
      <c r="A52" t="s">
        <v>170</v>
      </c>
    </row>
    <row r="53" spans="1:1">
      <c r="A53" t="s">
        <v>171</v>
      </c>
    </row>
    <row r="54" spans="1:1">
      <c r="A54" t="s">
        <v>172</v>
      </c>
    </row>
    <row r="56" spans="1:1">
      <c r="A56" t="s">
        <v>173</v>
      </c>
    </row>
    <row r="57" spans="1:1">
      <c r="A57" t="s">
        <v>174</v>
      </c>
    </row>
    <row r="58" spans="1:1">
      <c r="A58" t="s">
        <v>175</v>
      </c>
    </row>
    <row r="59" spans="1:1">
      <c r="A59" t="s">
        <v>176</v>
      </c>
    </row>
    <row r="61" spans="1:1">
      <c r="A61" t="s">
        <v>177</v>
      </c>
    </row>
    <row r="62" spans="1:1">
      <c r="A62" t="s">
        <v>178</v>
      </c>
    </row>
    <row r="63" spans="1:1">
      <c r="A6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Scenarios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2026-08-08T23:09:56Z</dcterms:created>
  <dcterms:modified xsi:type="dcterms:W3CDTF">2026-08-08T23:09:56Z</dcterms:modified>
</cp:coreProperties>
</file>