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<sst xmlns="http://schemas.openxmlformats.org/spreadsheetml/2006/main" count="387" uniqueCount="175">
  <si>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</si>
  <si>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HRL</t>
  </si>
  <si>
    <t xml:space="preserve">Company</t>
  </si>
  <si>
    <t xml:space="preserve">Hormel Foods Corporation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</si>
  <si>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</si>
  <si>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</si>
  <si>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</si>
  <si>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</si>
  <si>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2026-09-28T20:04:08Z regular close (Yahoo Finance chart API)</t>
  </si>
  <si>
    <t xml:space="preserve">Balance sheet date</t>
  </si>
  <si>
    <t xml:space="preserve">2026-07-26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</si>
  <si>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</si>
  <si>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</si>
  <si>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</si>
  <si>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</si>
  <si>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</si>
  <si>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</si>
  <si>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</si>
  <si>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</si>
  <si>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</si>
  <si>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</si>
  <si>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2026-09-28T21:24:53Z</t>
  </si>
  <si>
    <t xml:space="preserve">Drivers file</t>
  </si>
  <si>
    <t xml:space="preserve">HRL_Drivers.json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</si>
  <si>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</si>
  <si>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</si>
  <si>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</si>
  <si>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Hormel as a mid-cycle owner-FCF stream, not at the FY2025/Q3 FY26 GAAP trough and not at the FY2016-19 peak. The margin is component-built each year from the adjusted FY26 run-rate that guidance implies; charges that will not repeat (affiliate impairments, restructuring, Q3 FY26 items) are excluded from the anchor but their recurrence is priced through a 25% bear weight and a 13x bear terminal cap. Risk is charged once -- in the scenario flows and weights -- with one 7% USD WACC across scenarios. Equity-method affiliates are outside the flows and added at book; leases are inside EBITDA and outside net debt; SBC is expensed and the count held flat.
key_risks_to_valuation: Margin anchor: the FY26 adjusted EBITDA (~10%) is inferred from guided adjusted EPS/operating-income growth, not a reported adjusted EBITDA line; if FY25 adjusted EPS was lower than the ~$1.37 implied by '6-10% growth to $1.45-1.51', the whole path shifts down; Terminal value is ~55-60% of EV and the 16x cap binds; at a 14x cap base IV falls roughly $2/share; Working-capital swings (FY24 +$0.5B release, FY25 build) make any single-year FCF a poor anchor; the TTM $781m reported FCF sits mid-range but is not guaranteed; Commodity shocks (avian flu, ASF, beef) can take 200-300bp off margin for 1-2 years at a time, as FY2023-25 showed; $505m of notes mature in FY2027 and refinance at ~4.5-5% vs 1.7-3.05% coupons: ~$15-20m/yr of extra interest (outside the unlevered flows, but relevant to EPS and the dividend cover); Dividend at ~85% of owner FCF: any further FCF decline forces a payout-ratio breach or debt-funded dividends</t>
  </si>
  <si>
    <t xml:space="preserve">Data sources</t>
  </si>
  <si>
    <t xml:space="preserve">price: Yahoo Finance chart API at inputs.price_as_of; 52-week range 19.42-26.60
financials: SEC XBRL companyfacts (CIK 0000048465): 10-K FY2025 (year ended 2026-10-26 comparatives), 10-Q Q3 FY2026 (quarter ended 2026-07-26) for diluted shares, debt, cash, affiliates, NCI, D&amp;A, restructuring, equity-method income, tax; HRL_Metrics.csv for the FY2007-FY2025 history and TTM reconstruction
qualitative: HRL_Analysis.json (2026-09-29): Q3 FY26 guidance (net sales $12.1-12.2B, adj operating income +6-10%, adj EPS $1.45-1.51), commodity outlook, CEO transition, T&amp;M and restructuring</t>
  </si>
  <si>
    <t xml:space="preserve">Scenario narrative: bear</t>
  </si>
  <si>
    <t xml:space="preserve">The three-CEO transition in 18 months does not fix a structurally weaker portfolio: another avian-flu or ASF shock hits Jennie-O/pork in FY27-28, beef costs stay elevated, private-label trade-down continues in center-of-store, and the guidance-reset pattern of 2023-2025 repeats. Revenue barely grows (0.5-1.5%) and adjusted EBITDA margin never recovers past ~9.8% -- the FY26 guided level minus another cost cycle. The ~85% dividend payout leaves no capacity to buy back stock or de-lever meaningfully, so the market keeps applying a commodity-processor multiple: 13x terminal cap and 1.5% terminal growth.</t>
  </si>
  <si>
    <t xml:space="preserve">Scenario narrative: base</t>
  </si>
  <si>
    <t xml:space="preserve">Hormel is a mature branded-protein company whose FY2025 and Q3 FY26 GAAP numbers are a trough, not a run-rate. Revenue grows 2-2.5% (branded foodservice, Applegate and Jennie-O ground turkey offsetting the deliberate exits from whole-bird turkey, private-label nuts and contract manufacturing), and adjusted EBITDA margin climbs from the ~10% guided FY26 level to 11.5% by FY31 as pork costs moderate from the FY25 peak, avian-flu turkey supply normalises after 1H FY26, and Transform &amp; Modernize plus the November-2025 corporate restructuring (~250 roles) deliver structural savings. It does NOT assume a return to the FY2016-19 14-15% margins: the Planters/Jennie-O mix, elevated beef costs and private-label pressure cap the recovery at roughly the FY2022-24 adjusted range. Terminal value at 16x owner FCF (cap binds over Gordon).</t>
  </si>
  <si>
    <t xml:space="preserve">Scenario narrative: bull</t>
  </si>
  <si>
    <t xml:space="preserve">Incoming CEO John Ghingo (Mondelez/Planters brand-builder, from 2026-10-26) executes a brand-led plan: innovation and marketing lift Retail mix, foodservice premium prepared proteins keep compounding, the International/China JV drag is fixed or exited, and T&amp;M savings flow to margin rather than being reinvested against commodity inflation. Revenue grows 3-3.5% in the early years and adjusted EBITDA margin reaches 13% by FY32 -- a full recovery to FY2022 and beyond, though still short of the pre-Planters peak. The re-rating from a 13x forward P/E toward the staples-peer high-teens is captured by the 18x terminal cap and 2.5% terminal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</si>
  <si>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</si>
  <si>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</si>
  <si>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</si>
  <si>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</si>
  <si>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</si>
  <si>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</si>
  <si>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</si>
  <si>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</si>
  <si>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</si>
  <si>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</si>
  <si>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</si>
  <si>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</si>
  <si>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</si>
  <si>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</si>
  <si>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</si>
  <si>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</si>
  <si>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</si>
  <si>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</si>
  <si>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</si>
  <si>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</si>
  <si>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</si>
  <si>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</si>
  <si>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</si>
  <si>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</si>
  <si>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</si>
  <si>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</si>
  <si>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</si>
  <si>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</si>
  <si>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</si>
  <si>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</si>
  <si>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</si>
  <si>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</si>
  <si>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</si>
  <si>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</si>
  <si>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</si>
  <si>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</si>
  <si>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</si>
  <si>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</si>
  <si>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</si>
  <si>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</si>
  <si>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</si>
  <si>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</si>
  <si>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</si>
  <si>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</si>
  <si>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</si>
  <si>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</si>
  <si>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</si>
  <si>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</si>
  <si>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</si>
  <si>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</si>
  <si>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</si>
  <si>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</si>
  <si>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</si>
  <si>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</si>
  <si>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</si>
  <si>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</si>
  <si>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</si>
  <si>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</si>
  <si>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</si>
  <si>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</si>
  <si>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</si>
  <si>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</si>
  <si>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</si>
  <si>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</si>
  <si>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</si>
  <si>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</si>
  <si>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</si>
  <si>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</si>
  <si>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</si>
  <si>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</si>
  <si>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</si>
  <si>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</si>
  <si>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</si>
  <si>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</si>
  <si>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</si>
  <si>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</si>
  <si>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</si>
  <si>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</si>
  <si>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</si>
  <si>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</si>
  <si>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</si>
  <si>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</si>
  <si>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</si>
  <si>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</si>
  <si>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HRL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</si>
  <si>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</si>
  <si>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</si>
  <si>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</si>
  <si>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</si>
  <si>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</si>
  <si>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</si>
  <si>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</si>
  <si>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</si>
  <si>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</si>
  <si>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</si>
  <si>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</si>
  <si>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</si>
  <si>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</si>
  <si>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</si>
  <si>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</si>
  <si>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</si>
  <si>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</si>
  <si>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</si>
  <si>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</si>
  <si>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</si>
  <si>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</si>
  <si>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</si>
  <si>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</si>
  <si>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</si>
  <si>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</si>
  <si>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</si>
  <si>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</si>
  <si>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</si>
  <si>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</si>
  <si>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</si>
  <si>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HRL owner-FCF component DCF: base case (millions, USD)</t>
  </si>
  <si>
    <t xml:space="preserve">HRL owner-FCF component DCF: bull case (millions, USD)</t>
  </si>
  <si>
    <t xml:space="preserve">HRL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</si>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</sst>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19.97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1887.351</v>
      </c>
      <c r="S2" s="0" t="n">
        <v>149.749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6754.903</v>
      </c>
      <c r="D3" s="0" t="n">
        <v>1061.929</v>
      </c>
      <c r="E3" s="0" t="n">
        <v>15.7208623129007</v>
      </c>
      <c r="I3" s="0" t="n">
        <v>288.635</v>
      </c>
      <c r="J3" s="0" t="n">
        <v>4.27297031504375</v>
      </c>
      <c r="K3" s="0" t="n">
        <v>2.11</v>
      </c>
      <c r="L3" s="0" t="n">
        <v>271.622</v>
      </c>
      <c r="M3" s="0" t="n">
        <v>125.89</v>
      </c>
      <c r="N3" s="0" t="n">
        <v>145.732</v>
      </c>
      <c r="O3" s="0" t="n">
        <v>2013.275</v>
      </c>
      <c r="S3" s="0" t="n">
        <v>154.778</v>
      </c>
      <c r="T3" s="0" t="n">
        <v>137.128</v>
      </c>
      <c r="U3" s="0" t="n">
        <v>14.46</v>
      </c>
      <c r="V3" s="0" t="n">
        <v>0.74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6533.671</v>
      </c>
      <c r="D4" s="0" t="n">
        <v>1098.871</v>
      </c>
      <c r="E4" s="0" t="n">
        <v>16.8185848353858</v>
      </c>
      <c r="I4" s="0" t="n">
        <v>345.978</v>
      </c>
      <c r="J4" s="0" t="n">
        <v>5.29530795168597</v>
      </c>
      <c r="K4" s="0" t="n">
        <v>1.28</v>
      </c>
      <c r="L4" s="0" t="n">
        <v>558.768</v>
      </c>
      <c r="M4" s="0" t="n">
        <v>96.961</v>
      </c>
      <c r="N4" s="0" t="n">
        <v>461.807</v>
      </c>
      <c r="O4" s="0" t="n">
        <v>2124.321</v>
      </c>
      <c r="P4" s="0" t="n">
        <v>3692.055</v>
      </c>
      <c r="R4" s="0" t="n">
        <v>350</v>
      </c>
      <c r="S4" s="0" t="n">
        <v>385.252</v>
      </c>
      <c r="T4" s="0" t="n">
        <v>270.979</v>
      </c>
      <c r="U4" s="0" t="n">
        <v>12.054</v>
      </c>
      <c r="V4" s="0" t="n">
        <v>0.38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7220.719</v>
      </c>
      <c r="D5" s="0" t="n">
        <v>1238.742</v>
      </c>
      <c r="E5" s="0" t="n">
        <v>17.1553830027176</v>
      </c>
      <c r="I5" s="0" t="n">
        <v>399.776</v>
      </c>
      <c r="J5" s="0" t="n">
        <v>5.53651236116514</v>
      </c>
      <c r="K5" s="0" t="n">
        <v>1.48</v>
      </c>
      <c r="L5" s="0" t="n">
        <v>485.532</v>
      </c>
      <c r="M5" s="0" t="n">
        <v>89.823</v>
      </c>
      <c r="N5" s="0" t="n">
        <v>395.709</v>
      </c>
      <c r="O5" s="0" t="n">
        <v>2406.639</v>
      </c>
      <c r="P5" s="0" t="n">
        <v>4053.918</v>
      </c>
      <c r="R5" s="0" t="n">
        <v>350</v>
      </c>
      <c r="S5" s="0" t="n">
        <v>467.845</v>
      </c>
      <c r="T5" s="0" t="n">
        <v>270.698</v>
      </c>
      <c r="U5" s="0" t="n">
        <v>14.402</v>
      </c>
      <c r="V5" s="0" t="n">
        <v>0.42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7895.089</v>
      </c>
      <c r="D6" s="0" t="n">
        <v>1334.113</v>
      </c>
      <c r="E6" s="0" t="n">
        <v>16.898010902727</v>
      </c>
      <c r="I6" s="0" t="n">
        <v>479.196</v>
      </c>
      <c r="J6" s="0" t="n">
        <v>6.06954525781787</v>
      </c>
      <c r="K6" s="0" t="n">
        <v>1.78</v>
      </c>
      <c r="M6" s="0" t="n">
        <v>96.911</v>
      </c>
      <c r="O6" s="0" t="n">
        <v>2659.816</v>
      </c>
      <c r="P6" s="0" t="n">
        <v>4244.391</v>
      </c>
      <c r="R6" s="0" t="n">
        <v>250</v>
      </c>
      <c r="S6" s="0" t="n">
        <v>463.13</v>
      </c>
      <c r="T6" s="0" t="n">
        <v>271.915</v>
      </c>
      <c r="U6" s="0" t="n">
        <v>17.229</v>
      </c>
      <c r="V6" s="0" t="n">
        <v>0.51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8230.67</v>
      </c>
      <c r="D7" s="0" t="n">
        <v>1331.851</v>
      </c>
      <c r="E7" s="0" t="n">
        <v>16.1815623758455</v>
      </c>
      <c r="F7" s="0" t="n">
        <v>781.192</v>
      </c>
      <c r="G7" s="0" t="n">
        <v>9.49123218401418</v>
      </c>
      <c r="H7" s="0" t="n">
        <v>900.686</v>
      </c>
      <c r="I7" s="0" t="n">
        <v>504.961</v>
      </c>
      <c r="J7" s="0" t="n">
        <v>6.13511415231081</v>
      </c>
      <c r="K7" s="0" t="n">
        <v>1.9</v>
      </c>
      <c r="M7" s="0" t="n">
        <v>132.303</v>
      </c>
      <c r="O7" s="0" t="n">
        <v>2824.925</v>
      </c>
      <c r="P7" s="0" t="n">
        <v>4563.966</v>
      </c>
      <c r="R7" s="0" t="n">
        <v>250</v>
      </c>
      <c r="S7" s="0" t="n">
        <v>682.388</v>
      </c>
      <c r="T7" s="0" t="n">
        <v>268.891</v>
      </c>
      <c r="U7" s="0" t="n">
        <v>16.71</v>
      </c>
      <c r="V7" s="0" t="n">
        <v>0.6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8751.654</v>
      </c>
      <c r="D8" s="0" t="n">
        <v>1412.816</v>
      </c>
      <c r="E8" s="0" t="n">
        <v>16.1434170043743</v>
      </c>
      <c r="F8" s="0" t="n">
        <v>805.989</v>
      </c>
      <c r="G8" s="0" t="n">
        <v>9.20956198679701</v>
      </c>
      <c r="H8" s="0" t="n">
        <v>930.839</v>
      </c>
      <c r="I8" s="0" t="n">
        <v>530.076</v>
      </c>
      <c r="J8" s="0" t="n">
        <v>6.05686650774814</v>
      </c>
      <c r="K8" s="0" t="n">
        <v>1.99</v>
      </c>
      <c r="M8" s="0" t="n">
        <v>106.762</v>
      </c>
      <c r="O8" s="0" t="n">
        <v>3316.579</v>
      </c>
      <c r="P8" s="0" t="n">
        <v>4915.88</v>
      </c>
      <c r="R8" s="0" t="n">
        <v>250</v>
      </c>
      <c r="S8" s="0" t="n">
        <v>434.014</v>
      </c>
      <c r="T8" s="0" t="n">
        <v>270.224</v>
      </c>
      <c r="U8" s="0" t="n">
        <v>17.596</v>
      </c>
      <c r="V8" s="0" t="n">
        <v>0.68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9316.256</v>
      </c>
      <c r="D9" s="0" t="n">
        <v>1564.983</v>
      </c>
      <c r="E9" s="0" t="n">
        <v>16.7984112931203</v>
      </c>
      <c r="F9" s="0" t="n">
        <v>931.62</v>
      </c>
      <c r="G9" s="0" t="n">
        <v>9.9999398900159</v>
      </c>
      <c r="H9" s="0" t="n">
        <v>1061.664</v>
      </c>
      <c r="I9" s="0" t="n">
        <v>606.026</v>
      </c>
      <c r="J9" s="0" t="n">
        <v>6.50503807538135</v>
      </c>
      <c r="K9" s="0" t="n">
        <v>1.14</v>
      </c>
      <c r="M9" s="0" t="n">
        <v>159.138</v>
      </c>
      <c r="O9" s="0" t="n">
        <v>3612.056</v>
      </c>
      <c r="P9" s="0" t="n">
        <v>5455.619</v>
      </c>
      <c r="R9" s="0" t="n">
        <v>250</v>
      </c>
      <c r="S9" s="0" t="n">
        <v>334.174</v>
      </c>
      <c r="T9" s="0" t="n">
        <v>540.431</v>
      </c>
      <c r="U9" s="0" t="n">
        <v>14.393</v>
      </c>
      <c r="V9" s="0" t="n">
        <v>0.4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9263.863</v>
      </c>
      <c r="D10" s="0" t="n">
        <v>1808.581</v>
      </c>
      <c r="E10" s="0" t="n">
        <v>19.5229679022671</v>
      </c>
      <c r="F10" s="0" t="n">
        <v>1067.32</v>
      </c>
      <c r="G10" s="0" t="n">
        <v>11.5213275498569</v>
      </c>
      <c r="H10" s="0" t="n">
        <v>1200.754</v>
      </c>
      <c r="I10" s="0" t="n">
        <v>687.264</v>
      </c>
      <c r="J10" s="0" t="n">
        <v>7.41876256157933</v>
      </c>
      <c r="K10" s="0" t="n">
        <v>1.3</v>
      </c>
      <c r="L10" s="0" t="n">
        <v>991.992</v>
      </c>
      <c r="M10" s="0" t="n">
        <v>144.063</v>
      </c>
      <c r="N10" s="0" t="n">
        <v>847.929</v>
      </c>
      <c r="O10" s="0" t="n">
        <v>4001.393</v>
      </c>
      <c r="P10" s="0" t="n">
        <v>6139.831</v>
      </c>
      <c r="R10" s="0" t="n">
        <v>250</v>
      </c>
      <c r="S10" s="0" t="n">
        <v>347.239</v>
      </c>
      <c r="T10" s="0" t="n">
        <v>541.002</v>
      </c>
      <c r="U10" s="0" t="n">
        <v>15.717</v>
      </c>
      <c r="V10" s="0" t="n">
        <v>0.5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9523.224</v>
      </c>
      <c r="C11" s="0" t="n">
        <v>7365.049</v>
      </c>
      <c r="D11" s="0" t="n">
        <v>2158.175</v>
      </c>
      <c r="E11" s="0" t="n">
        <v>22.662230773948</v>
      </c>
      <c r="F11" s="0" t="n">
        <v>1323.895</v>
      </c>
      <c r="G11" s="0" t="n">
        <v>13.901752179724</v>
      </c>
      <c r="H11" s="0" t="n">
        <v>1455.863</v>
      </c>
      <c r="I11" s="0" t="n">
        <v>890.517</v>
      </c>
      <c r="J11" s="0" t="n">
        <v>9.35100339968901</v>
      </c>
      <c r="K11" s="0" t="n">
        <v>1.68</v>
      </c>
      <c r="L11" s="0" t="n">
        <v>1040.02</v>
      </c>
      <c r="M11" s="0" t="n">
        <v>255.524</v>
      </c>
      <c r="N11" s="0" t="n">
        <v>784.496</v>
      </c>
      <c r="O11" s="0" t="n">
        <v>4451.406</v>
      </c>
      <c r="P11" s="0" t="n">
        <v>6975.908</v>
      </c>
      <c r="R11" s="0" t="n">
        <v>250</v>
      </c>
      <c r="S11" s="0" t="n">
        <v>415.143</v>
      </c>
      <c r="T11" s="0" t="n">
        <v>542.473</v>
      </c>
      <c r="U11" s="0" t="n">
        <v>17.829</v>
      </c>
      <c r="V11" s="0" t="n">
        <v>0.58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9167.519</v>
      </c>
      <c r="C12" s="0" t="n">
        <v>7170.883</v>
      </c>
      <c r="D12" s="0" t="n">
        <v>1996.636</v>
      </c>
      <c r="E12" s="0" t="n">
        <v>21.7794585427093</v>
      </c>
      <c r="F12" s="0" t="n">
        <v>1276.742</v>
      </c>
      <c r="G12" s="0" t="n">
        <v>13.9267996063057</v>
      </c>
      <c r="H12" s="0" t="n">
        <v>1407.719</v>
      </c>
      <c r="I12" s="0" t="n">
        <v>847.103</v>
      </c>
      <c r="J12" s="0" t="n">
        <v>9.24026445977369</v>
      </c>
      <c r="K12" s="0" t="n">
        <v>1.6</v>
      </c>
      <c r="L12" s="0" t="n">
        <v>1033.885</v>
      </c>
      <c r="M12" s="0" t="n">
        <v>221.286</v>
      </c>
      <c r="N12" s="0" t="n">
        <v>812.599</v>
      </c>
      <c r="O12" s="0" t="n">
        <v>4939.697</v>
      </c>
      <c r="P12" s="0" t="n">
        <v>6975.908</v>
      </c>
      <c r="R12" s="0" t="n">
        <v>250</v>
      </c>
      <c r="S12" s="0" t="n">
        <v>444.122</v>
      </c>
      <c r="T12" s="0" t="n">
        <v>539.116</v>
      </c>
      <c r="U12" s="0" t="n">
        <v>15.6</v>
      </c>
      <c r="V12" s="0" t="n">
        <v>0.68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9545.7</v>
      </c>
      <c r="C13" s="0" t="n">
        <v>7566.227</v>
      </c>
      <c r="D13" s="0" t="n">
        <v>1979.473</v>
      </c>
      <c r="E13" s="0" t="n">
        <v>20.7368029584001</v>
      </c>
      <c r="F13" s="0" t="n">
        <v>1179.961</v>
      </c>
      <c r="G13" s="0" t="n">
        <v>12.3611783316048</v>
      </c>
      <c r="H13" s="0" t="n">
        <v>1341.819</v>
      </c>
      <c r="I13" s="0" t="n">
        <v>1012.582</v>
      </c>
      <c r="J13" s="0" t="n">
        <v>10.6077291345842</v>
      </c>
      <c r="K13" s="0" t="n">
        <v>1.91</v>
      </c>
      <c r="L13" s="0" t="n">
        <v>1241.729</v>
      </c>
      <c r="M13" s="0" t="n">
        <v>389.607</v>
      </c>
      <c r="N13" s="0" t="n">
        <v>852.122</v>
      </c>
      <c r="O13" s="0" t="n">
        <v>5604.818</v>
      </c>
      <c r="P13" s="0" t="n">
        <v>8142.292</v>
      </c>
      <c r="R13" s="0" t="n">
        <v>624.84</v>
      </c>
      <c r="S13" s="0" t="n">
        <v>459.136</v>
      </c>
      <c r="T13" s="0" t="n">
        <v>543.869</v>
      </c>
      <c r="U13" s="0" t="n">
        <v>20.6</v>
      </c>
      <c r="V13" s="0" t="n">
        <v>0.75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9497.317</v>
      </c>
      <c r="C14" s="0" t="n">
        <v>7612.669</v>
      </c>
      <c r="D14" s="0" t="n">
        <v>1884.648</v>
      </c>
      <c r="E14" s="0" t="n">
        <v>19.8440043646011</v>
      </c>
      <c r="F14" s="0" t="n">
        <v>1196.265</v>
      </c>
      <c r="G14" s="0" t="n">
        <v>12.5958204827742</v>
      </c>
      <c r="H14" s="0" t="n">
        <v>1361.475</v>
      </c>
      <c r="I14" s="0" t="n">
        <v>979.148</v>
      </c>
      <c r="J14" s="0" t="n">
        <v>10.3097327382039</v>
      </c>
      <c r="K14" s="0" t="n">
        <v>1.83</v>
      </c>
      <c r="L14" s="0" t="n">
        <v>922.996</v>
      </c>
      <c r="M14" s="0" t="n">
        <v>293.838</v>
      </c>
      <c r="N14" s="0" t="n">
        <v>629.158</v>
      </c>
      <c r="O14" s="0" t="n">
        <v>5925.535</v>
      </c>
      <c r="P14" s="0" t="n">
        <v>8109.004</v>
      </c>
      <c r="R14" s="0" t="n">
        <v>250</v>
      </c>
      <c r="S14" s="0" t="n">
        <v>672.901</v>
      </c>
      <c r="T14" s="0" t="n">
        <v>545.232</v>
      </c>
      <c r="U14" s="0" t="n">
        <v>19.707</v>
      </c>
      <c r="V14" s="0" t="n">
        <v>0.84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9608.462</v>
      </c>
      <c r="C15" s="0" t="n">
        <v>7782.498</v>
      </c>
      <c r="D15" s="0" t="n">
        <v>1825.963</v>
      </c>
      <c r="E15" s="0" t="n">
        <v>19.0036969496263</v>
      </c>
      <c r="F15" s="0" t="n">
        <v>1100.22</v>
      </c>
      <c r="G15" s="0" t="n">
        <v>11.4505318332944</v>
      </c>
      <c r="H15" s="0" t="n">
        <v>1306.001</v>
      </c>
      <c r="I15" s="0" t="n">
        <v>908.354</v>
      </c>
      <c r="J15" s="0" t="n">
        <v>9.45368780144002</v>
      </c>
      <c r="K15" s="0" t="n">
        <v>1.69</v>
      </c>
      <c r="L15" s="0" t="n">
        <v>1128.024</v>
      </c>
      <c r="M15" s="0" t="n">
        <v>367.501</v>
      </c>
      <c r="N15" s="0" t="n">
        <v>760.523</v>
      </c>
      <c r="O15" s="0" t="n">
        <v>6430.326</v>
      </c>
      <c r="P15" s="0" t="n">
        <v>9908.282</v>
      </c>
      <c r="R15" s="0" t="n">
        <v>1303.627</v>
      </c>
      <c r="S15" s="0" t="n">
        <v>1714.309</v>
      </c>
      <c r="T15" s="0" t="n">
        <v>546.592</v>
      </c>
      <c r="U15" s="0" t="n">
        <v>22.5</v>
      </c>
      <c r="V15" s="0" t="n">
        <v>0.93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11386.189</v>
      </c>
      <c r="C16" s="0" t="n">
        <v>9458.283</v>
      </c>
      <c r="D16" s="0" t="n">
        <v>1927.906</v>
      </c>
      <c r="E16" s="0" t="n">
        <v>16.931969072356</v>
      </c>
      <c r="F16" s="0" t="n">
        <v>1122.599</v>
      </c>
      <c r="G16" s="0" t="n">
        <v>9.85930410956642</v>
      </c>
      <c r="H16" s="0" t="n">
        <v>1331.908</v>
      </c>
      <c r="I16" s="0" t="n">
        <v>909.14</v>
      </c>
      <c r="J16" s="0" t="n">
        <v>7.98458553603844</v>
      </c>
      <c r="K16" s="0" t="n">
        <v>1.68</v>
      </c>
      <c r="L16" s="0" t="n">
        <v>1001.934</v>
      </c>
      <c r="M16" s="0" t="n">
        <v>232.416</v>
      </c>
      <c r="N16" s="0" t="n">
        <v>769.518</v>
      </c>
      <c r="O16" s="0" t="n">
        <v>6978.36</v>
      </c>
      <c r="P16" s="0" t="n">
        <v>12696.329</v>
      </c>
      <c r="R16" s="0" t="n">
        <v>3323.903</v>
      </c>
      <c r="S16" s="0" t="n">
        <v>613.53</v>
      </c>
      <c r="T16" s="0" t="n">
        <v>547.58</v>
      </c>
      <c r="U16" s="0" t="n">
        <v>24.744</v>
      </c>
      <c r="V16" s="0" t="n">
        <v>0.98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12458.806</v>
      </c>
      <c r="C17" s="0" t="n">
        <v>10294.12</v>
      </c>
      <c r="D17" s="0" t="n">
        <v>2164.686</v>
      </c>
      <c r="E17" s="0" t="n">
        <v>17.3747468256589</v>
      </c>
      <c r="F17" s="0" t="n">
        <v>1312.607</v>
      </c>
      <c r="G17" s="0" t="n">
        <v>10.5355762020855</v>
      </c>
      <c r="H17" s="0" t="n">
        <v>1548.492</v>
      </c>
      <c r="I17" s="0" t="n">
        <v>1000.226</v>
      </c>
      <c r="J17" s="0" t="n">
        <v>8.02826530889076</v>
      </c>
      <c r="K17" s="0" t="n">
        <v>1.84</v>
      </c>
      <c r="L17" s="0" t="n">
        <v>1134.977</v>
      </c>
      <c r="M17" s="0" t="n">
        <v>278.918</v>
      </c>
      <c r="N17" s="0" t="n">
        <v>856.059</v>
      </c>
      <c r="O17" s="0" t="n">
        <v>7540.219</v>
      </c>
      <c r="P17" s="0" t="n">
        <v>13306.919</v>
      </c>
      <c r="R17" s="0" t="n">
        <v>3299.345</v>
      </c>
      <c r="S17" s="0" t="n">
        <v>982.107</v>
      </c>
      <c r="T17" s="0" t="n">
        <v>549.566</v>
      </c>
      <c r="U17" s="0" t="n">
        <v>24.943</v>
      </c>
      <c r="V17" s="0" t="n">
        <v>1.04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12110.01</v>
      </c>
      <c r="C18" s="0" t="n">
        <v>10110.169</v>
      </c>
      <c r="D18" s="0" t="n">
        <v>1999.841</v>
      </c>
      <c r="E18" s="0" t="n">
        <v>16.5139500297688</v>
      </c>
      <c r="F18" s="0" t="n">
        <v>1072.046</v>
      </c>
      <c r="G18" s="0" t="n">
        <v>8.85256081539156</v>
      </c>
      <c r="H18" s="0" t="n">
        <v>1325.357</v>
      </c>
      <c r="I18" s="0" t="n">
        <v>793.572</v>
      </c>
      <c r="J18" s="0" t="n">
        <v>6.55302514201062</v>
      </c>
      <c r="K18" s="0" t="n">
        <v>1.45</v>
      </c>
      <c r="L18" s="0" t="n">
        <v>1047.847</v>
      </c>
      <c r="M18" s="0" t="n">
        <v>270.211</v>
      </c>
      <c r="N18" s="0" t="n">
        <v>777.636</v>
      </c>
      <c r="O18" s="0" t="n">
        <v>7738.985</v>
      </c>
      <c r="P18" s="0" t="n">
        <v>13448.772</v>
      </c>
      <c r="R18" s="0" t="n">
        <v>3309.248</v>
      </c>
      <c r="S18" s="0" t="n">
        <v>736.532</v>
      </c>
      <c r="T18" s="0" t="n">
        <v>548.982</v>
      </c>
      <c r="U18" s="0" t="n">
        <v>24.1</v>
      </c>
      <c r="V18" s="0" t="n">
        <v>1.1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11920.797</v>
      </c>
      <c r="C19" s="0" t="n">
        <v>9898.659</v>
      </c>
      <c r="D19" s="0" t="n">
        <v>2022.138</v>
      </c>
      <c r="E19" s="0" t="n">
        <v>16.9631107718721</v>
      </c>
      <c r="F19" s="0" t="n">
        <v>1067.932</v>
      </c>
      <c r="G19" s="0" t="n">
        <v>8.95856208271981</v>
      </c>
      <c r="H19" s="0" t="n">
        <v>1325.688</v>
      </c>
      <c r="I19" s="0" t="n">
        <v>805.038</v>
      </c>
      <c r="J19" s="0" t="n">
        <v>6.75322295984069</v>
      </c>
      <c r="K19" s="0" t="n">
        <v>1.47</v>
      </c>
      <c r="L19" s="0" t="n">
        <v>1266.738</v>
      </c>
      <c r="M19" s="0" t="n">
        <v>256.441</v>
      </c>
      <c r="N19" s="0" t="n">
        <v>1010.297</v>
      </c>
      <c r="O19" s="0" t="n">
        <v>8004.011</v>
      </c>
      <c r="P19" s="0" t="n">
        <v>13434.729</v>
      </c>
      <c r="R19" s="0" t="n">
        <v>2858.757</v>
      </c>
      <c r="S19" s="0" t="n">
        <v>741.881</v>
      </c>
      <c r="T19" s="0" t="n">
        <v>548.832</v>
      </c>
      <c r="U19" s="0" t="n">
        <v>23.233</v>
      </c>
      <c r="V19" s="0" t="n">
        <v>1.13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12106.16</v>
      </c>
      <c r="C20" s="0" t="n">
        <v>10214.344</v>
      </c>
      <c r="D20" s="0" t="n">
        <v>1891.816</v>
      </c>
      <c r="E20" s="0" t="n">
        <v>15.6268874688588</v>
      </c>
      <c r="F20" s="0" t="n">
        <v>718.603</v>
      </c>
      <c r="G20" s="0" t="n">
        <v>5.93584588341803</v>
      </c>
      <c r="H20" s="0" t="n">
        <v>982.504</v>
      </c>
      <c r="I20" s="0" t="n">
        <v>478.197</v>
      </c>
      <c r="J20" s="0" t="n">
        <v>3.95003039774792</v>
      </c>
      <c r="K20" s="0" t="n">
        <v>0.87</v>
      </c>
      <c r="L20" s="0" t="n">
        <v>845.251</v>
      </c>
      <c r="M20" s="0" t="n">
        <v>310.902</v>
      </c>
      <c r="N20" s="0" t="n">
        <v>534.349</v>
      </c>
      <c r="O20" s="0" t="n">
        <v>7915.815</v>
      </c>
      <c r="P20" s="0" t="n">
        <v>13393.119</v>
      </c>
      <c r="R20" s="0" t="n">
        <v>2857.424</v>
      </c>
      <c r="S20" s="0" t="n">
        <v>670.679</v>
      </c>
      <c r="T20" s="0" t="n">
        <v>550.496</v>
      </c>
      <c r="U20" s="0" t="n">
        <v>25.602</v>
      </c>
      <c r="V20" s="0" t="n">
        <v>1.16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19.97</v>
      </c>
    </row>
    <row r="3" customFormat="false" ht="15" hidden="false" customHeight="false" outlineLevel="0" collapsed="false">
      <c r="A3" s="0" t="s">
        <v>85</v>
      </c>
      <c r="B3" s="3" t="n">
        <v>551.1</v>
      </c>
    </row>
    <row r="4" customFormat="false" ht="15" hidden="false" customHeight="false" outlineLevel="0" collapsed="false">
      <c r="A4" s="0" t="s">
        <v>86</v>
      </c>
      <c r="B4" s="3" t="n">
        <v>2015.5</v>
      </c>
    </row>
    <row r="5" customFormat="false" ht="15" hidden="false" customHeight="false" outlineLevel="0" collapsed="false">
      <c r="A5" s="0" t="s">
        <v>87</v>
      </c>
      <c r="B5" s="3" t="n">
        <v>511.7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12150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0.5</v>
      </c>
      <c r="D13" s="3" t="n">
        <v>1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9.8</v>
      </c>
      <c r="D14" s="3" t="n">
        <v>9.5</v>
      </c>
      <c r="E14" s="3" t="n">
        <v>9.6</v>
      </c>
      <c r="F14" s="3" t="n">
        <v>9.8</v>
      </c>
      <c r="G14" s="3" t="n">
        <v>9.8</v>
      </c>
      <c r="H14" s="3" t="n">
        <v>9.8</v>
      </c>
      <c r="I14" s="3" t="n">
        <v>9.8</v>
      </c>
      <c r="J14" s="3" t="n">
        <v>9.8</v>
      </c>
      <c r="K14" s="3" t="n">
        <v>9.8</v>
      </c>
      <c r="L14" s="3" t="n">
        <v>9.8</v>
      </c>
    </row>
    <row r="15" customFormat="false" ht="15" hidden="false" customHeight="false" outlineLevel="0" collapsed="false">
      <c r="A15" s="0" t="s">
        <v>108</v>
      </c>
      <c r="C15" s="3" t="n">
        <v>0.21</v>
      </c>
      <c r="D15" s="3" t="n">
        <v>0.21</v>
      </c>
      <c r="E15" s="3" t="n">
        <v>0.21</v>
      </c>
      <c r="F15" s="3" t="n">
        <v>0.21</v>
      </c>
      <c r="G15" s="3" t="n">
        <v>0.21</v>
      </c>
      <c r="H15" s="3" t="n">
        <v>0.21</v>
      </c>
      <c r="I15" s="3" t="n">
        <v>0.21</v>
      </c>
      <c r="J15" s="3" t="n">
        <v>0.21</v>
      </c>
      <c r="K15" s="3" t="n">
        <v>0.21</v>
      </c>
      <c r="L15" s="3" t="n">
        <v>0.21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2.2</v>
      </c>
      <c r="D17" s="3" t="n">
        <v>2.2</v>
      </c>
      <c r="E17" s="3" t="n">
        <v>2.2</v>
      </c>
      <c r="F17" s="3" t="n">
        <v>2.2</v>
      </c>
      <c r="G17" s="3" t="n">
        <v>2.2</v>
      </c>
      <c r="H17" s="3" t="n">
        <v>2.2</v>
      </c>
      <c r="I17" s="3" t="n">
        <v>2.2</v>
      </c>
      <c r="J17" s="3" t="n">
        <v>2.2</v>
      </c>
      <c r="K17" s="3" t="n">
        <v>2.2</v>
      </c>
      <c r="L17" s="3" t="n">
        <v>2.2</v>
      </c>
    </row>
    <row r="18" customFormat="false" ht="15" hidden="false" customHeight="false" outlineLevel="0" collapsed="false">
      <c r="A18" s="0" t="s">
        <v>111</v>
      </c>
      <c r="C18" s="3" t="n">
        <v>2.3</v>
      </c>
      <c r="D18" s="3" t="n">
        <v>2.3</v>
      </c>
      <c r="E18" s="3" t="n">
        <v>2.3</v>
      </c>
      <c r="F18" s="3" t="n">
        <v>2.3</v>
      </c>
      <c r="G18" s="3" t="n">
        <v>2.3</v>
      </c>
      <c r="H18" s="3" t="n">
        <v>2.3</v>
      </c>
      <c r="I18" s="3" t="n">
        <v>2.3</v>
      </c>
      <c r="J18" s="3" t="n">
        <v>2.3</v>
      </c>
      <c r="K18" s="3" t="n">
        <v>2.3</v>
      </c>
      <c r="L18" s="3" t="n">
        <v>2.3</v>
      </c>
    </row>
    <row r="19" customFormat="false" ht="15" hidden="false" customHeight="false" outlineLevel="0" collapsed="false">
      <c r="A19" s="0" t="s">
        <v>112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7</v>
      </c>
    </row>
    <row r="21" customFormat="false" ht="15" hidden="false" customHeight="false" outlineLevel="0" collapsed="false">
      <c r="A21" s="0" t="s">
        <v>114</v>
      </c>
      <c r="B21" s="3" t="n">
        <v>1.5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-12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</v>
      </c>
      <c r="D27" s="3" t="n">
        <v>2.5</v>
      </c>
      <c r="E27" s="3" t="n">
        <v>2.5</v>
      </c>
      <c r="F27" s="3" t="n">
        <v>2.5</v>
      </c>
      <c r="G27" s="3" t="n">
        <v>2.5</v>
      </c>
      <c r="H27" s="3" t="n">
        <v>2.5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10.2</v>
      </c>
      <c r="D28" s="3" t="n">
        <v>10.6</v>
      </c>
      <c r="E28" s="3" t="n">
        <v>11</v>
      </c>
      <c r="F28" s="3" t="n">
        <v>11.3</v>
      </c>
      <c r="G28" s="3" t="n">
        <v>11.5</v>
      </c>
      <c r="H28" s="3" t="n">
        <v>11.5</v>
      </c>
      <c r="I28" s="3" t="n">
        <v>11.5</v>
      </c>
      <c r="J28" s="3" t="n">
        <v>11.5</v>
      </c>
      <c r="K28" s="3" t="n">
        <v>11.5</v>
      </c>
      <c r="L28" s="3" t="n">
        <v>11.5</v>
      </c>
    </row>
    <row r="29" customFormat="false" ht="15" hidden="false" customHeight="false" outlineLevel="0" collapsed="false">
      <c r="A29" s="0" t="s">
        <v>108</v>
      </c>
      <c r="C29" s="3" t="n">
        <v>0.21</v>
      </c>
      <c r="D29" s="3" t="n">
        <v>0.21</v>
      </c>
      <c r="E29" s="3" t="n">
        <v>0.21</v>
      </c>
      <c r="F29" s="3" t="n">
        <v>0.21</v>
      </c>
      <c r="G29" s="3" t="n">
        <v>0.21</v>
      </c>
      <c r="H29" s="3" t="n">
        <v>0.21</v>
      </c>
      <c r="I29" s="3" t="n">
        <v>0.21</v>
      </c>
      <c r="J29" s="3" t="n">
        <v>0.21</v>
      </c>
      <c r="K29" s="3" t="n">
        <v>0.21</v>
      </c>
      <c r="L29" s="3" t="n">
        <v>0.21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2.2</v>
      </c>
      <c r="D31" s="3" t="n">
        <v>2.2</v>
      </c>
      <c r="E31" s="3" t="n">
        <v>2.2</v>
      </c>
      <c r="F31" s="3" t="n">
        <v>2.2</v>
      </c>
      <c r="G31" s="3" t="n">
        <v>2.2</v>
      </c>
      <c r="H31" s="3" t="n">
        <v>2.2</v>
      </c>
      <c r="I31" s="3" t="n">
        <v>2.2</v>
      </c>
      <c r="J31" s="3" t="n">
        <v>2.2</v>
      </c>
      <c r="K31" s="3" t="n">
        <v>2.2</v>
      </c>
      <c r="L31" s="3" t="n">
        <v>2.2</v>
      </c>
    </row>
    <row r="32" customFormat="false" ht="15" hidden="false" customHeight="false" outlineLevel="0" collapsed="false">
      <c r="A32" s="0" t="s">
        <v>111</v>
      </c>
      <c r="C32" s="3" t="n">
        <v>2.4</v>
      </c>
      <c r="D32" s="3" t="n">
        <v>2.4</v>
      </c>
      <c r="E32" s="3" t="n">
        <v>2.4</v>
      </c>
      <c r="F32" s="3" t="n">
        <v>2.4</v>
      </c>
      <c r="G32" s="3" t="n">
        <v>2.4</v>
      </c>
      <c r="H32" s="3" t="n">
        <v>2.4</v>
      </c>
      <c r="I32" s="3" t="n">
        <v>2.4</v>
      </c>
      <c r="J32" s="3" t="n">
        <v>2.4</v>
      </c>
      <c r="K32" s="3" t="n">
        <v>2.4</v>
      </c>
      <c r="L32" s="3" t="n">
        <v>2.4</v>
      </c>
    </row>
    <row r="33" customFormat="false" ht="15" hidden="false" customHeight="false" outlineLevel="0" collapsed="false">
      <c r="A33" s="0" t="s">
        <v>112</v>
      </c>
      <c r="C33" s="3" t="n">
        <v>22.5</v>
      </c>
      <c r="D33" s="3" t="n">
        <v>22.5</v>
      </c>
      <c r="E33" s="3" t="n">
        <v>22.5</v>
      </c>
      <c r="F33" s="3" t="n">
        <v>22.5</v>
      </c>
      <c r="G33" s="3" t="n">
        <v>22.5</v>
      </c>
      <c r="H33" s="3" t="n">
        <v>22.5</v>
      </c>
      <c r="I33" s="3" t="n">
        <v>22.5</v>
      </c>
      <c r="J33" s="3" t="n">
        <v>22.5</v>
      </c>
      <c r="K33" s="3" t="n">
        <v>22.5</v>
      </c>
      <c r="L33" s="3" t="n">
        <v>22.5</v>
      </c>
    </row>
    <row r="34" customFormat="false" ht="15" hidden="false" customHeight="false" outlineLevel="0" collapsed="false">
      <c r="A34" s="0" t="s">
        <v>113</v>
      </c>
      <c r="B34" s="3" t="n">
        <v>7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-12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</v>
      </c>
      <c r="D41" s="3" t="n">
        <v>3.5</v>
      </c>
      <c r="E41" s="3" t="n">
        <v>3.5</v>
      </c>
      <c r="F41" s="3" t="n">
        <v>3.5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107</v>
      </c>
      <c r="C42" s="3" t="n">
        <v>10.5</v>
      </c>
      <c r="D42" s="3" t="n">
        <v>11.2</v>
      </c>
      <c r="E42" s="3" t="n">
        <v>11.8</v>
      </c>
      <c r="F42" s="3" t="n">
        <v>12.3</v>
      </c>
      <c r="G42" s="3" t="n">
        <v>12.7</v>
      </c>
      <c r="H42" s="3" t="n">
        <v>13</v>
      </c>
      <c r="I42" s="3" t="n">
        <v>13</v>
      </c>
      <c r="J42" s="3" t="n">
        <v>13</v>
      </c>
      <c r="K42" s="3" t="n">
        <v>13</v>
      </c>
      <c r="L42" s="3" t="n">
        <v>13</v>
      </c>
    </row>
    <row r="43" customFormat="false" ht="15" hidden="false" customHeight="false" outlineLevel="0" collapsed="false">
      <c r="A43" s="0" t="s">
        <v>108</v>
      </c>
      <c r="C43" s="3" t="n">
        <v>0.21</v>
      </c>
      <c r="D43" s="3" t="n">
        <v>0.21</v>
      </c>
      <c r="E43" s="3" t="n">
        <v>0.21</v>
      </c>
      <c r="F43" s="3" t="n">
        <v>0.21</v>
      </c>
      <c r="G43" s="3" t="n">
        <v>0.21</v>
      </c>
      <c r="H43" s="3" t="n">
        <v>0.21</v>
      </c>
      <c r="I43" s="3" t="n">
        <v>0.21</v>
      </c>
      <c r="J43" s="3" t="n">
        <v>0.21</v>
      </c>
      <c r="K43" s="3" t="n">
        <v>0.21</v>
      </c>
      <c r="L43" s="3" t="n">
        <v>0.21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2.2</v>
      </c>
      <c r="D45" s="3" t="n">
        <v>2.2</v>
      </c>
      <c r="E45" s="3" t="n">
        <v>2.2</v>
      </c>
      <c r="F45" s="3" t="n">
        <v>2.2</v>
      </c>
      <c r="G45" s="3" t="n">
        <v>2.2</v>
      </c>
      <c r="H45" s="3" t="n">
        <v>2.2</v>
      </c>
      <c r="I45" s="3" t="n">
        <v>2.2</v>
      </c>
      <c r="J45" s="3" t="n">
        <v>2.2</v>
      </c>
      <c r="K45" s="3" t="n">
        <v>2.2</v>
      </c>
      <c r="L45" s="3" t="n">
        <v>2.2</v>
      </c>
    </row>
    <row r="46" customFormat="false" ht="15" hidden="false" customHeight="false" outlineLevel="0" collapsed="false">
      <c r="A46" s="0" t="s">
        <v>111</v>
      </c>
      <c r="C46" s="3" t="n">
        <v>2.5</v>
      </c>
      <c r="D46" s="3" t="n">
        <v>2.5</v>
      </c>
      <c r="E46" s="3" t="n">
        <v>2.5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112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7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-12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0.5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12150</v>
      </c>
      <c r="C6" s="0" t="n">
        <f aca="false">B6*(1+C5/100)</f>
        <v>12210.75</v>
      </c>
      <c r="D6" s="0" t="n">
        <f aca="false">C6*(1+D5/100)</f>
        <v>12332.8575</v>
      </c>
      <c r="E6" s="0" t="n">
        <f aca="false">D6*(1+E5/100)</f>
        <v>12456.186075</v>
      </c>
      <c r="F6" s="0" t="n">
        <f aca="false">E6*(1+F5/100)</f>
        <v>12643.028866125</v>
      </c>
      <c r="G6" s="0" t="n">
        <f aca="false">F6*(1+G5/100)</f>
        <v>12832.6742991169</v>
      </c>
      <c r="H6" s="0" t="n">
        <f aca="false">G6*(1+H5/100)</f>
        <v>13025.1644136036</v>
      </c>
      <c r="I6" s="0" t="n">
        <f aca="false">H6*(1+I5/100)</f>
        <v>13220.5418798077</v>
      </c>
      <c r="J6" s="0" t="n">
        <f aca="false">I6*(1+J5/100)</f>
        <v>13418.8500080048</v>
      </c>
      <c r="K6" s="0" t="n">
        <f aca="false">J6*(1+K5/100)</f>
        <v>13620.1327581249</v>
      </c>
      <c r="L6" s="0" t="n">
        <f aca="false">K6*(1+L5/100)</f>
        <v>13824.4347494967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9.8</v>
      </c>
      <c r="D7" s="4" t="n">
        <f aca="false">Assumptions!D14</f>
        <v>9.5</v>
      </c>
      <c r="E7" s="4" t="n">
        <f aca="false">Assumptions!E14</f>
        <v>9.6</v>
      </c>
      <c r="F7" s="4" t="n">
        <f aca="false">Assumptions!F14</f>
        <v>9.8</v>
      </c>
      <c r="G7" s="4" t="n">
        <f aca="false">Assumptions!G14</f>
        <v>9.8</v>
      </c>
      <c r="H7" s="4" t="n">
        <f aca="false">Assumptions!H14</f>
        <v>9.8</v>
      </c>
      <c r="I7" s="4" t="n">
        <f aca="false">Assumptions!I14</f>
        <v>9.8</v>
      </c>
      <c r="J7" s="4" t="n">
        <f aca="false">Assumptions!J14</f>
        <v>9.8</v>
      </c>
      <c r="K7" s="4" t="n">
        <f aca="false">Assumptions!K14</f>
        <v>9.8</v>
      </c>
      <c r="L7" s="4" t="n">
        <f aca="false">Assumptions!L14</f>
        <v>9.8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1196.6535</v>
      </c>
      <c r="D8" s="0" t="n">
        <f aca="false">D6*D7/100</f>
        <v>1171.6214625</v>
      </c>
      <c r="E8" s="0" t="n">
        <f aca="false">E6*E7/100</f>
        <v>1195.7938632</v>
      </c>
      <c r="F8" s="0" t="n">
        <f aca="false">F6*F7/100</f>
        <v>1239.01682888025</v>
      </c>
      <c r="G8" s="0" t="n">
        <f aca="false">G6*G7/100</f>
        <v>1257.60208131345</v>
      </c>
      <c r="H8" s="0" t="n">
        <f aca="false">H6*H7/100</f>
        <v>1276.46611253316</v>
      </c>
      <c r="I8" s="0" t="n">
        <f aca="false">I6*I7/100</f>
        <v>1295.61310422115</v>
      </c>
      <c r="J8" s="0" t="n">
        <f aca="false">J6*J7/100</f>
        <v>1315.04730078447</v>
      </c>
      <c r="K8" s="0" t="n">
        <f aca="false">K6*K7/100</f>
        <v>1334.77301029624</v>
      </c>
      <c r="L8" s="0" t="n">
        <f aca="false">L6*L7/100</f>
        <v>1354.79460545068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0.21</v>
      </c>
      <c r="D9" s="4" t="n">
        <f aca="false">Assumptions!D15</f>
        <v>0.21</v>
      </c>
      <c r="E9" s="4" t="n">
        <f aca="false">Assumptions!E15</f>
        <v>0.21</v>
      </c>
      <c r="F9" s="4" t="n">
        <f aca="false">Assumptions!F15</f>
        <v>0.21</v>
      </c>
      <c r="G9" s="4" t="n">
        <f aca="false">Assumptions!G15</f>
        <v>0.21</v>
      </c>
      <c r="H9" s="4" t="n">
        <f aca="false">Assumptions!H15</f>
        <v>0.21</v>
      </c>
      <c r="I9" s="4" t="n">
        <f aca="false">Assumptions!I15</f>
        <v>0.21</v>
      </c>
      <c r="J9" s="4" t="n">
        <f aca="false">Assumptions!J15</f>
        <v>0.21</v>
      </c>
      <c r="K9" s="4" t="n">
        <f aca="false">Assumptions!K15</f>
        <v>0.21</v>
      </c>
      <c r="L9" s="4" t="n">
        <f aca="false">Assumptions!L15</f>
        <v>0.21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-25.642575</v>
      </c>
      <c r="D10" s="0" t="n">
        <f aca="false">-D6*D9/100</f>
        <v>-25.89900075</v>
      </c>
      <c r="E10" s="0" t="n">
        <f aca="false">-E6*E9/100</f>
        <v>-26.1579907575</v>
      </c>
      <c r="F10" s="0" t="n">
        <f aca="false">-F6*F9/100</f>
        <v>-26.5503606188625</v>
      </c>
      <c r="G10" s="0" t="n">
        <f aca="false">-G6*G9/100</f>
        <v>-26.9486160281454</v>
      </c>
      <c r="H10" s="0" t="n">
        <f aca="false">-H6*H9/100</f>
        <v>-27.3528452685676</v>
      </c>
      <c r="I10" s="0" t="n">
        <f aca="false">-I6*I9/100</f>
        <v>-27.7631379475961</v>
      </c>
      <c r="J10" s="0" t="n">
        <f aca="false">-J6*J9/100</f>
        <v>-28.1795850168101</v>
      </c>
      <c r="K10" s="0" t="n">
        <f aca="false">-K6*K9/100</f>
        <v>-28.6022787920622</v>
      </c>
      <c r="L10" s="0" t="n">
        <f aca="false">-L6*L9/100</f>
        <v>-29.0313129739431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1171.010925</v>
      </c>
      <c r="D11" s="0" t="n">
        <f aca="false">D8+D10+D24</f>
        <v>1145.72246175</v>
      </c>
      <c r="E11" s="0" t="n">
        <f aca="false">E8+E10+E24</f>
        <v>1169.6358724425</v>
      </c>
      <c r="F11" s="0" t="n">
        <f aca="false">F8+F10+F24</f>
        <v>1212.46646826139</v>
      </c>
      <c r="G11" s="0" t="n">
        <f aca="false">G8+G10+G24</f>
        <v>1230.65346528531</v>
      </c>
      <c r="H11" s="0" t="n">
        <f aca="false">H8+H10+H24</f>
        <v>1249.11326726459</v>
      </c>
      <c r="I11" s="0" t="n">
        <f aca="false">I8+I10+I24</f>
        <v>1267.84996627356</v>
      </c>
      <c r="J11" s="0" t="n">
        <f aca="false">J8+J10+J24</f>
        <v>1286.86771576766</v>
      </c>
      <c r="K11" s="0" t="n">
        <f aca="false">K8+K10+K24</f>
        <v>1306.17073150417</v>
      </c>
      <c r="L11" s="0" t="n">
        <f aca="false">L8+L10+L24</f>
        <v>1325.76329247674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-268.6365</v>
      </c>
      <c r="D12" s="4" t="n">
        <f aca="false">-D6*Assumptions!D17/100</f>
        <v>-271.322865</v>
      </c>
      <c r="E12" s="4" t="n">
        <f aca="false">-E6*Assumptions!E17/100</f>
        <v>-274.03609365</v>
      </c>
      <c r="F12" s="4" t="n">
        <f aca="false">-F6*Assumptions!F17/100</f>
        <v>-278.14663505475</v>
      </c>
      <c r="G12" s="4" t="n">
        <f aca="false">-G6*Assumptions!G17/100</f>
        <v>-282.318834580571</v>
      </c>
      <c r="H12" s="4" t="n">
        <f aca="false">-H6*Assumptions!H17/100</f>
        <v>-286.55361709928</v>
      </c>
      <c r="I12" s="4" t="n">
        <f aca="false">-I6*Assumptions!I17/100</f>
        <v>-290.851921355769</v>
      </c>
      <c r="J12" s="4" t="n">
        <f aca="false">-J6*Assumptions!J17/100</f>
        <v>-295.214700176105</v>
      </c>
      <c r="K12" s="4" t="n">
        <f aca="false">-K6*Assumptions!K17/100</f>
        <v>-299.642920678747</v>
      </c>
      <c r="L12" s="4" t="n">
        <f aca="false">-L6*Assumptions!L17/100</f>
        <v>-304.137564488928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902.374425</v>
      </c>
      <c r="D13" s="0" t="n">
        <f aca="false">D11+D12</f>
        <v>874.39959675</v>
      </c>
      <c r="E13" s="0" t="n">
        <f aca="false">E11+E12</f>
        <v>895.5997787925</v>
      </c>
      <c r="F13" s="0" t="n">
        <f aca="false">F11+F12</f>
        <v>934.319833206637</v>
      </c>
      <c r="G13" s="0" t="n">
        <f aca="false">G11+G12</f>
        <v>948.334630704737</v>
      </c>
      <c r="H13" s="0" t="n">
        <f aca="false">H11+H12</f>
        <v>962.559650165308</v>
      </c>
      <c r="I13" s="0" t="n">
        <f aca="false">I11+I12</f>
        <v>976.998044917787</v>
      </c>
      <c r="J13" s="0" t="n">
        <f aca="false">J11+J12</f>
        <v>991.653015591554</v>
      </c>
      <c r="K13" s="0" t="n">
        <f aca="false">K11+K12</f>
        <v>1006.52781082543</v>
      </c>
      <c r="L13" s="0" t="n">
        <f aca="false">L11+L12</f>
        <v>1021.62572798781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694.82830725</v>
      </c>
      <c r="D15" s="0" t="n">
        <f aca="false">D13-MAX(0,D13)*D14/100</f>
        <v>673.2876894975</v>
      </c>
      <c r="E15" s="0" t="n">
        <f aca="false">E13-MAX(0,E13)*E14/100</f>
        <v>689.611829670225</v>
      </c>
      <c r="F15" s="0" t="n">
        <f aca="false">F13-MAX(0,F13)*F14/100</f>
        <v>719.426271569111</v>
      </c>
      <c r="G15" s="0" t="n">
        <f aca="false">G13-MAX(0,G13)*G14/100</f>
        <v>730.217665642648</v>
      </c>
      <c r="H15" s="0" t="n">
        <f aca="false">H13-MAX(0,H13)*H14/100</f>
        <v>741.170930627287</v>
      </c>
      <c r="I15" s="0" t="n">
        <f aca="false">I13-MAX(0,I13)*I14/100</f>
        <v>752.288494586696</v>
      </c>
      <c r="J15" s="0" t="n">
        <f aca="false">J13-MAX(0,J13)*J14/100</f>
        <v>763.572822005497</v>
      </c>
      <c r="K15" s="0" t="n">
        <f aca="false">K13-MAX(0,K13)*K14/100</f>
        <v>775.026414335579</v>
      </c>
      <c r="L15" s="0" t="n">
        <f aca="false">L13-MAX(0,L13)*L14/100</f>
        <v>786.651810550613</v>
      </c>
    </row>
    <row r="16" customFormat="false" ht="15" hidden="false" customHeight="false" outlineLevel="0" collapsed="false">
      <c r="A16" s="0" t="s">
        <v>128</v>
      </c>
      <c r="C16" s="0" t="n">
        <f aca="false">-C12</f>
        <v>268.6365</v>
      </c>
      <c r="D16" s="0" t="n">
        <f aca="false">-D12</f>
        <v>271.322865</v>
      </c>
      <c r="E16" s="0" t="n">
        <f aca="false">-E12</f>
        <v>274.03609365</v>
      </c>
      <c r="F16" s="0" t="n">
        <f aca="false">-F12</f>
        <v>278.14663505475</v>
      </c>
      <c r="G16" s="0" t="n">
        <f aca="false">-G12</f>
        <v>282.318834580571</v>
      </c>
      <c r="H16" s="0" t="n">
        <f aca="false">-H12</f>
        <v>286.55361709928</v>
      </c>
      <c r="I16" s="0" t="n">
        <f aca="false">-I12</f>
        <v>290.851921355769</v>
      </c>
      <c r="J16" s="0" t="n">
        <f aca="false">-J12</f>
        <v>295.214700176105</v>
      </c>
      <c r="K16" s="0" t="n">
        <f aca="false">-K12</f>
        <v>299.642920678747</v>
      </c>
      <c r="L16" s="0" t="n">
        <f aca="false">-L12</f>
        <v>304.137564488928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-280.84725</v>
      </c>
      <c r="D17" s="4" t="n">
        <f aca="false">-D6*Assumptions!D18/100</f>
        <v>-283.6557225</v>
      </c>
      <c r="E17" s="4" t="n">
        <f aca="false">-E6*Assumptions!E18/100</f>
        <v>-286.492279725</v>
      </c>
      <c r="F17" s="4" t="n">
        <f aca="false">-F6*Assumptions!F18/100</f>
        <v>-290.789663920875</v>
      </c>
      <c r="G17" s="4" t="n">
        <f aca="false">-G6*Assumptions!G18/100</f>
        <v>-295.151508879688</v>
      </c>
      <c r="H17" s="4" t="n">
        <f aca="false">-H6*Assumptions!H18/100</f>
        <v>-299.578781512883</v>
      </c>
      <c r="I17" s="4" t="n">
        <f aca="false">-I6*Assumptions!I18/100</f>
        <v>-304.072463235577</v>
      </c>
      <c r="J17" s="4" t="n">
        <f aca="false">-J6*Assumptions!J18/100</f>
        <v>-308.63355018411</v>
      </c>
      <c r="K17" s="4" t="n">
        <f aca="false">-K6*Assumptions!K18/100</f>
        <v>-313.263053436872</v>
      </c>
      <c r="L17" s="4" t="n">
        <f aca="false">-L6*Assumptions!L18/100</f>
        <v>-317.961999238425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-7.28999999999978</v>
      </c>
      <c r="D18" s="4" t="n">
        <f aca="false">(D6-C6)*Assumptions!$B$23/100</f>
        <v>-14.6529</v>
      </c>
      <c r="E18" s="4" t="n">
        <f aca="false">(E6-D6)*Assumptions!$B$23/100</f>
        <v>-14.7994289999999</v>
      </c>
      <c r="F18" s="4" t="n">
        <f aca="false">(F6-E6)*Assumptions!$B$23/100</f>
        <v>-22.4211349349998</v>
      </c>
      <c r="G18" s="4" t="n">
        <f aca="false">(G6-F6)*Assumptions!$B$23/100</f>
        <v>-22.7574519590249</v>
      </c>
      <c r="H18" s="4" t="n">
        <f aca="false">(H6-G6)*Assumptions!$B$23/100</f>
        <v>-23.0988137384103</v>
      </c>
      <c r="I18" s="4" t="n">
        <f aca="false">(I6-H6)*Assumptions!$B$23/100</f>
        <v>-23.4452959444863</v>
      </c>
      <c r="J18" s="4" t="n">
        <f aca="false">(J6-I6)*Assumptions!$B$23/100</f>
        <v>-23.7969753836536</v>
      </c>
      <c r="K18" s="4" t="n">
        <f aca="false">(K6-J6)*Assumptions!$B$23/100</f>
        <v>-24.1539300144084</v>
      </c>
      <c r="L18" s="4" t="n">
        <f aca="false">(L6-K6)*Assumptions!$B$23/100</f>
        <v>-24.5162389646245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675.32755725</v>
      </c>
      <c r="D19" s="0" t="n">
        <f aca="false">D15+D16+D17+D18</f>
        <v>646.3019319975</v>
      </c>
      <c r="E19" s="0" t="n">
        <f aca="false">E15+E16+E17+E18</f>
        <v>662.356214595225</v>
      </c>
      <c r="F19" s="0" t="n">
        <f aca="false">F15+F16+F17+F18</f>
        <v>684.362107767986</v>
      </c>
      <c r="G19" s="0" t="n">
        <f aca="false">G15+G16+G17+G18</f>
        <v>694.627539384506</v>
      </c>
      <c r="H19" s="0" t="n">
        <f aca="false">H15+H16+H17+H18</f>
        <v>705.046952475273</v>
      </c>
      <c r="I19" s="0" t="n">
        <f aca="false">I15+I16+I17+I18</f>
        <v>715.622656762402</v>
      </c>
      <c r="J19" s="0" t="n">
        <f aca="false">J15+J16+J17+J18</f>
        <v>726.356996613838</v>
      </c>
      <c r="K19" s="0" t="n">
        <f aca="false">K15+K16+K17+K18</f>
        <v>737.252351563046</v>
      </c>
      <c r="L19" s="0" t="n">
        <f aca="false">L15+L16+L17+L18</f>
        <v>748.311136836491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631.147249766355</v>
      </c>
      <c r="D21" s="0" t="n">
        <f aca="false">D19*D20</f>
        <v>564.505137564416</v>
      </c>
      <c r="E21" s="0" t="n">
        <f aca="false">E19*E20</f>
        <v>540.679971719544</v>
      </c>
      <c r="F21" s="0" t="n">
        <f aca="false">F19*F20</f>
        <v>522.096575322949</v>
      </c>
      <c r="G21" s="0" t="n">
        <f aca="false">G19*G20</f>
        <v>495.2598354699</v>
      </c>
      <c r="H21" s="0" t="n">
        <f aca="false">H19*H20</f>
        <v>469.802554207428</v>
      </c>
      <c r="I21" s="0" t="n">
        <f aca="false">I19*I20</f>
        <v>445.653824785551</v>
      </c>
      <c r="J21" s="0" t="n">
        <f aca="false">J19*J20</f>
        <v>422.746385193771</v>
      </c>
      <c r="K21" s="0" t="n">
        <f aca="false">K19*K20</f>
        <v>401.016430814651</v>
      </c>
      <c r="L21" s="0" t="n">
        <f aca="false">L19*L20</f>
        <v>380.403436707356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4873.31140155192</v>
      </c>
    </row>
    <row r="31" customFormat="false" ht="15" hidden="false" customHeight="false" outlineLevel="0" collapsed="false">
      <c r="A31" s="0" t="s">
        <v>137</v>
      </c>
      <c r="B31" s="0" t="n">
        <f aca="false">L19</f>
        <v>748.311136836491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13809.7418888916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9728.04477887439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9728.04477887439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4945.24467719563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9818.55607874755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8314.75607874755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15.0875631985984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-0.244488572929477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189.640469467969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272.353056564475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15.9258748045364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5626.1911399188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6.06210787526765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</v>
      </c>
      <c r="D5" s="4" t="n">
        <f aca="false">Assumptions!D27</f>
        <v>2.5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12150</v>
      </c>
      <c r="C6" s="0" t="n">
        <f aca="false">B6*(1+C5/100)</f>
        <v>12393</v>
      </c>
      <c r="D6" s="0" t="n">
        <f aca="false">C6*(1+D5/100)</f>
        <v>12702.825</v>
      </c>
      <c r="E6" s="0" t="n">
        <f aca="false">D6*(1+E5/100)</f>
        <v>13020.395625</v>
      </c>
      <c r="F6" s="0" t="n">
        <f aca="false">E6*(1+F5/100)</f>
        <v>13345.905515625</v>
      </c>
      <c r="G6" s="0" t="n">
        <f aca="false">F6*(1+G5/100)</f>
        <v>13679.5531535156</v>
      </c>
      <c r="H6" s="0" t="n">
        <f aca="false">G6*(1+H5/100)</f>
        <v>14021.5419823535</v>
      </c>
      <c r="I6" s="0" t="n">
        <f aca="false">H6*(1+I5/100)</f>
        <v>14301.9728220006</v>
      </c>
      <c r="J6" s="0" t="n">
        <f aca="false">I6*(1+J5/100)</f>
        <v>14588.0122784406</v>
      </c>
      <c r="K6" s="0" t="n">
        <f aca="false">J6*(1+K5/100)</f>
        <v>14879.7725240094</v>
      </c>
      <c r="L6" s="0" t="n">
        <f aca="false">K6*(1+L5/100)</f>
        <v>15177.3679744896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10.2</v>
      </c>
      <c r="D7" s="4" t="n">
        <f aca="false">Assumptions!D28</f>
        <v>10.6</v>
      </c>
      <c r="E7" s="4" t="n">
        <f aca="false">Assumptions!E28</f>
        <v>11</v>
      </c>
      <c r="F7" s="4" t="n">
        <f aca="false">Assumptions!F28</f>
        <v>11.3</v>
      </c>
      <c r="G7" s="4" t="n">
        <f aca="false">Assumptions!G28</f>
        <v>11.5</v>
      </c>
      <c r="H7" s="4" t="n">
        <f aca="false">Assumptions!H28</f>
        <v>11.5</v>
      </c>
      <c r="I7" s="4" t="n">
        <f aca="false">Assumptions!I28</f>
        <v>11.5</v>
      </c>
      <c r="J7" s="4" t="n">
        <f aca="false">Assumptions!J28</f>
        <v>11.5</v>
      </c>
      <c r="K7" s="4" t="n">
        <f aca="false">Assumptions!K28</f>
        <v>11.5</v>
      </c>
      <c r="L7" s="4" t="n">
        <f aca="false">Assumptions!L28</f>
        <v>11.5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1264.086</v>
      </c>
      <c r="D8" s="0" t="n">
        <f aca="false">D6*D7/100</f>
        <v>1346.49945</v>
      </c>
      <c r="E8" s="0" t="n">
        <f aca="false">E6*E7/100</f>
        <v>1432.24351875</v>
      </c>
      <c r="F8" s="0" t="n">
        <f aca="false">F6*F7/100</f>
        <v>1508.08732326562</v>
      </c>
      <c r="G8" s="0" t="n">
        <f aca="false">G6*G7/100</f>
        <v>1573.1486126543</v>
      </c>
      <c r="H8" s="0" t="n">
        <f aca="false">H6*H7/100</f>
        <v>1612.47732797065</v>
      </c>
      <c r="I8" s="0" t="n">
        <f aca="false">I6*I7/100</f>
        <v>1644.72687453007</v>
      </c>
      <c r="J8" s="0" t="n">
        <f aca="false">J6*J7/100</f>
        <v>1677.62141202067</v>
      </c>
      <c r="K8" s="0" t="n">
        <f aca="false">K6*K7/100</f>
        <v>1711.17384026108</v>
      </c>
      <c r="L8" s="0" t="n">
        <f aca="false">L6*L7/100</f>
        <v>1745.3973170663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0.21</v>
      </c>
      <c r="D9" s="4" t="n">
        <f aca="false">Assumptions!D29</f>
        <v>0.21</v>
      </c>
      <c r="E9" s="4" t="n">
        <f aca="false">Assumptions!E29</f>
        <v>0.21</v>
      </c>
      <c r="F9" s="4" t="n">
        <f aca="false">Assumptions!F29</f>
        <v>0.21</v>
      </c>
      <c r="G9" s="4" t="n">
        <f aca="false">Assumptions!G29</f>
        <v>0.21</v>
      </c>
      <c r="H9" s="4" t="n">
        <f aca="false">Assumptions!H29</f>
        <v>0.21</v>
      </c>
      <c r="I9" s="4" t="n">
        <f aca="false">Assumptions!I29</f>
        <v>0.21</v>
      </c>
      <c r="J9" s="4" t="n">
        <f aca="false">Assumptions!J29</f>
        <v>0.21</v>
      </c>
      <c r="K9" s="4" t="n">
        <f aca="false">Assumptions!K29</f>
        <v>0.21</v>
      </c>
      <c r="L9" s="4" t="n">
        <f aca="false">Assumptions!L29</f>
        <v>0.21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-26.0253</v>
      </c>
      <c r="D10" s="0" t="n">
        <f aca="false">-D6*D9/100</f>
        <v>-26.6759325</v>
      </c>
      <c r="E10" s="0" t="n">
        <f aca="false">-E6*E9/100</f>
        <v>-27.3428308125</v>
      </c>
      <c r="F10" s="0" t="n">
        <f aca="false">-F6*F9/100</f>
        <v>-28.0264015828125</v>
      </c>
      <c r="G10" s="0" t="n">
        <f aca="false">-G6*G9/100</f>
        <v>-28.7270616223828</v>
      </c>
      <c r="H10" s="0" t="n">
        <f aca="false">-H6*H9/100</f>
        <v>-29.4452381629424</v>
      </c>
      <c r="I10" s="0" t="n">
        <f aca="false">-I6*I9/100</f>
        <v>-30.0341429262012</v>
      </c>
      <c r="J10" s="0" t="n">
        <f aca="false">-J6*J9/100</f>
        <v>-30.6348257847252</v>
      </c>
      <c r="K10" s="0" t="n">
        <f aca="false">-K6*K9/100</f>
        <v>-31.2475223004197</v>
      </c>
      <c r="L10" s="0" t="n">
        <f aca="false">-L6*L9/100</f>
        <v>-31.8724727464281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1238.0607</v>
      </c>
      <c r="D11" s="0" t="n">
        <f aca="false">D8+D10+D24</f>
        <v>1319.8235175</v>
      </c>
      <c r="E11" s="0" t="n">
        <f aca="false">E8+E10+E24</f>
        <v>1404.9006879375</v>
      </c>
      <c r="F11" s="0" t="n">
        <f aca="false">F8+F10+F24</f>
        <v>1480.06092168281</v>
      </c>
      <c r="G11" s="0" t="n">
        <f aca="false">G8+G10+G24</f>
        <v>1544.42155103191</v>
      </c>
      <c r="H11" s="0" t="n">
        <f aca="false">H8+H10+H24</f>
        <v>1583.03208980771</v>
      </c>
      <c r="I11" s="0" t="n">
        <f aca="false">I8+I10+I24</f>
        <v>1614.69273160387</v>
      </c>
      <c r="J11" s="0" t="n">
        <f aca="false">J8+J10+J24</f>
        <v>1646.98658623594</v>
      </c>
      <c r="K11" s="0" t="n">
        <f aca="false">K8+K10+K24</f>
        <v>1679.92631796066</v>
      </c>
      <c r="L11" s="0" t="n">
        <f aca="false">L8+L10+L24</f>
        <v>1713.52484431988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-272.646</v>
      </c>
      <c r="D12" s="4" t="n">
        <f aca="false">-D6*Assumptions!D31/100</f>
        <v>-279.46215</v>
      </c>
      <c r="E12" s="4" t="n">
        <f aca="false">-E6*Assumptions!E31/100</f>
        <v>-286.44870375</v>
      </c>
      <c r="F12" s="4" t="n">
        <f aca="false">-F6*Assumptions!F31/100</f>
        <v>-293.60992134375</v>
      </c>
      <c r="G12" s="4" t="n">
        <f aca="false">-G6*Assumptions!G31/100</f>
        <v>-300.950169377344</v>
      </c>
      <c r="H12" s="4" t="n">
        <f aca="false">-H6*Assumptions!H31/100</f>
        <v>-308.473923611777</v>
      </c>
      <c r="I12" s="4" t="n">
        <f aca="false">-I6*Assumptions!I31/100</f>
        <v>-314.643402084013</v>
      </c>
      <c r="J12" s="4" t="n">
        <f aca="false">-J6*Assumptions!J31/100</f>
        <v>-320.936270125693</v>
      </c>
      <c r="K12" s="4" t="n">
        <f aca="false">-K6*Assumptions!K31/100</f>
        <v>-327.354995528207</v>
      </c>
      <c r="L12" s="4" t="n">
        <f aca="false">-L6*Assumptions!L31/100</f>
        <v>-333.902095438771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965.4147</v>
      </c>
      <c r="D13" s="0" t="n">
        <f aca="false">D11+D12</f>
        <v>1040.3613675</v>
      </c>
      <c r="E13" s="0" t="n">
        <f aca="false">E11+E12</f>
        <v>1118.4519841875</v>
      </c>
      <c r="F13" s="0" t="n">
        <f aca="false">F11+F12</f>
        <v>1186.45100033906</v>
      </c>
      <c r="G13" s="0" t="n">
        <f aca="false">G11+G12</f>
        <v>1243.47138165457</v>
      </c>
      <c r="H13" s="0" t="n">
        <f aca="false">H11+H12</f>
        <v>1274.55816619593</v>
      </c>
      <c r="I13" s="0" t="n">
        <f aca="false">I11+I12</f>
        <v>1300.04932951985</v>
      </c>
      <c r="J13" s="0" t="n">
        <f aca="false">J11+J12</f>
        <v>1326.05031611025</v>
      </c>
      <c r="K13" s="0" t="n">
        <f aca="false">K11+K12</f>
        <v>1352.57132243245</v>
      </c>
      <c r="L13" s="0" t="n">
        <f aca="false">L11+L12</f>
        <v>1379.6227488811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22.5</v>
      </c>
      <c r="H14" s="4" t="n">
        <f aca="false">Assumptions!H33</f>
        <v>22.5</v>
      </c>
      <c r="I14" s="4" t="n">
        <f aca="false">Assumptions!I33</f>
        <v>22.5</v>
      </c>
      <c r="J14" s="4" t="n">
        <f aca="false">Assumptions!J33</f>
        <v>22.5</v>
      </c>
      <c r="K14" s="4" t="n">
        <f aca="false">Assumptions!K33</f>
        <v>22.5</v>
      </c>
      <c r="L14" s="4" t="n">
        <f aca="false">Assumptions!L33</f>
        <v>22.5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748.1963925</v>
      </c>
      <c r="D15" s="0" t="n">
        <f aca="false">D13-MAX(0,D13)*D14/100</f>
        <v>806.2800598125</v>
      </c>
      <c r="E15" s="0" t="n">
        <f aca="false">E13-MAX(0,E13)*E14/100</f>
        <v>866.800287745312</v>
      </c>
      <c r="F15" s="0" t="n">
        <f aca="false">F13-MAX(0,F13)*F14/100</f>
        <v>919.499525262773</v>
      </c>
      <c r="G15" s="0" t="n">
        <f aca="false">G13-MAX(0,G13)*G14/100</f>
        <v>963.690320782292</v>
      </c>
      <c r="H15" s="0" t="n">
        <f aca="false">H13-MAX(0,H13)*H14/100</f>
        <v>987.782578801849</v>
      </c>
      <c r="I15" s="0" t="n">
        <f aca="false">I13-MAX(0,I13)*I14/100</f>
        <v>1007.53823037789</v>
      </c>
      <c r="J15" s="0" t="n">
        <f aca="false">J13-MAX(0,J13)*J14/100</f>
        <v>1027.68899498544</v>
      </c>
      <c r="K15" s="0" t="n">
        <f aca="false">K13-MAX(0,K13)*K14/100</f>
        <v>1048.24277488515</v>
      </c>
      <c r="L15" s="0" t="n">
        <f aca="false">L13-MAX(0,L13)*L14/100</f>
        <v>1069.20763038286</v>
      </c>
    </row>
    <row r="16" customFormat="false" ht="15" hidden="false" customHeight="false" outlineLevel="0" collapsed="false">
      <c r="A16" s="0" t="s">
        <v>128</v>
      </c>
      <c r="C16" s="0" t="n">
        <f aca="false">-C12</f>
        <v>272.646</v>
      </c>
      <c r="D16" s="0" t="n">
        <f aca="false">-D12</f>
        <v>279.46215</v>
      </c>
      <c r="E16" s="0" t="n">
        <f aca="false">-E12</f>
        <v>286.44870375</v>
      </c>
      <c r="F16" s="0" t="n">
        <f aca="false">-F12</f>
        <v>293.60992134375</v>
      </c>
      <c r="G16" s="0" t="n">
        <f aca="false">-G12</f>
        <v>300.950169377344</v>
      </c>
      <c r="H16" s="0" t="n">
        <f aca="false">-H12</f>
        <v>308.473923611777</v>
      </c>
      <c r="I16" s="0" t="n">
        <f aca="false">-I12</f>
        <v>314.643402084013</v>
      </c>
      <c r="J16" s="0" t="n">
        <f aca="false">-J12</f>
        <v>320.936270125693</v>
      </c>
      <c r="K16" s="0" t="n">
        <f aca="false">-K12</f>
        <v>327.354995528207</v>
      </c>
      <c r="L16" s="0" t="n">
        <f aca="false">-L12</f>
        <v>333.902095438771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-297.432</v>
      </c>
      <c r="D17" s="4" t="n">
        <f aca="false">-D6*Assumptions!D32/100</f>
        <v>-304.8678</v>
      </c>
      <c r="E17" s="4" t="n">
        <f aca="false">-E6*Assumptions!E32/100</f>
        <v>-312.489495</v>
      </c>
      <c r="F17" s="4" t="n">
        <f aca="false">-F6*Assumptions!F32/100</f>
        <v>-320.301732375</v>
      </c>
      <c r="G17" s="4" t="n">
        <f aca="false">-G6*Assumptions!G32/100</f>
        <v>-328.309275684375</v>
      </c>
      <c r="H17" s="4" t="n">
        <f aca="false">-H6*Assumptions!H32/100</f>
        <v>-336.517007576484</v>
      </c>
      <c r="I17" s="4" t="n">
        <f aca="false">-I6*Assumptions!I32/100</f>
        <v>-343.247347728014</v>
      </c>
      <c r="J17" s="4" t="n">
        <f aca="false">-J6*Assumptions!J32/100</f>
        <v>-350.112294682574</v>
      </c>
      <c r="K17" s="4" t="n">
        <f aca="false">-K6*Assumptions!K32/100</f>
        <v>-357.114540576226</v>
      </c>
      <c r="L17" s="4" t="n">
        <f aca="false">-L6*Assumptions!L32/100</f>
        <v>-364.25683138775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-29.16</v>
      </c>
      <c r="D18" s="4" t="n">
        <f aca="false">(D6-C6)*Assumptions!$B$37/100</f>
        <v>-37.1789999999999</v>
      </c>
      <c r="E18" s="4" t="n">
        <f aca="false">(E6-D6)*Assumptions!$B$37/100</f>
        <v>-38.1084749999998</v>
      </c>
      <c r="F18" s="4" t="n">
        <f aca="false">(F6-E6)*Assumptions!$B$37/100</f>
        <v>-39.0611868749998</v>
      </c>
      <c r="G18" s="4" t="n">
        <f aca="false">(G6-F6)*Assumptions!$B$37/100</f>
        <v>-40.037716546875</v>
      </c>
      <c r="H18" s="4" t="n">
        <f aca="false">(H6-G6)*Assumptions!$B$37/100</f>
        <v>-41.0386594605468</v>
      </c>
      <c r="I18" s="4" t="n">
        <f aca="false">(I6-H6)*Assumptions!$B$37/100</f>
        <v>-33.6517007576484</v>
      </c>
      <c r="J18" s="4" t="n">
        <f aca="false">(J6-I6)*Assumptions!$B$37/100</f>
        <v>-34.3247347728015</v>
      </c>
      <c r="K18" s="4" t="n">
        <f aca="false">(K6-J6)*Assumptions!$B$37/100</f>
        <v>-35.0112294682574</v>
      </c>
      <c r="L18" s="4" t="n">
        <f aca="false">(L6-K6)*Assumptions!$B$37/100</f>
        <v>-35.7114540576226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694.2503925</v>
      </c>
      <c r="D19" s="0" t="n">
        <f aca="false">D15+D16+D17+D18</f>
        <v>743.6954098125</v>
      </c>
      <c r="E19" s="0" t="n">
        <f aca="false">E15+E16+E17+E18</f>
        <v>802.651021495312</v>
      </c>
      <c r="F19" s="0" t="n">
        <f aca="false">F15+F16+F17+F18</f>
        <v>853.746527356523</v>
      </c>
      <c r="G19" s="0" t="n">
        <f aca="false">G15+G16+G17+G18</f>
        <v>896.293497928386</v>
      </c>
      <c r="H19" s="0" t="n">
        <f aca="false">H15+H16+H17+H18</f>
        <v>918.700835376595</v>
      </c>
      <c r="I19" s="0" t="n">
        <f aca="false">I15+I16+I17+I18</f>
        <v>945.282583976236</v>
      </c>
      <c r="J19" s="0" t="n">
        <f aca="false">J15+J16+J17+J18</f>
        <v>964.188235655761</v>
      </c>
      <c r="K19" s="0" t="n">
        <f aca="false">K15+K16+K17+K18</f>
        <v>983.472000368876</v>
      </c>
      <c r="L19" s="0" t="n">
        <f aca="false">L15+L16+L17+L18</f>
        <v>1003.14144037625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648.832142523365</v>
      </c>
      <c r="D21" s="0" t="n">
        <f aca="false">D19*D20</f>
        <v>649.572372969255</v>
      </c>
      <c r="E21" s="0" t="n">
        <f aca="false">E19*E20</f>
        <v>655.202324730897</v>
      </c>
      <c r="F21" s="0" t="n">
        <f aca="false">F19*F20</f>
        <v>651.319138022493</v>
      </c>
      <c r="G21" s="0" t="n">
        <f aca="false">G19*G20</f>
        <v>639.044876784013</v>
      </c>
      <c r="H21" s="0" t="n">
        <f aca="false">H19*H20</f>
        <v>612.169157666928</v>
      </c>
      <c r="I21" s="0" t="n">
        <f aca="false">I19*I20</f>
        <v>588.6744851792</v>
      </c>
      <c r="J21" s="0" t="n">
        <f aca="false">J19*J20</f>
        <v>561.166331666154</v>
      </c>
      <c r="K21" s="0" t="n">
        <f aca="false">K19*K20</f>
        <v>534.943605887361</v>
      </c>
      <c r="L21" s="0" t="n">
        <f aca="false">L19*L20</f>
        <v>509.94624112627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6050.87067655594</v>
      </c>
    </row>
    <row r="31" customFormat="false" ht="15" hidden="false" customHeight="false" outlineLevel="0" collapsed="false">
      <c r="A31" s="0" t="s">
        <v>137</v>
      </c>
      <c r="B31" s="0" t="n">
        <f aca="false">L19</f>
        <v>1003.14144037625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20464.0853836756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16050.2630460201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16050.2630460201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8159.13985802031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14210.0105345763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12706.2105345763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23.0560887943681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0.154536244084531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201.15864153886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330.527918768288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24.0208620847095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7870.80207064445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8.46407151736001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</v>
      </c>
      <c r="D5" s="4" t="n">
        <f aca="false">Assumptions!D41</f>
        <v>3.5</v>
      </c>
      <c r="E5" s="4" t="n">
        <f aca="false">Assumptions!E41</f>
        <v>3.5</v>
      </c>
      <c r="F5" s="4" t="n">
        <f aca="false">Assumptions!F41</f>
        <v>3.5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12150</v>
      </c>
      <c r="C6" s="0" t="n">
        <f aca="false">B6*(1+C5/100)</f>
        <v>12514.5</v>
      </c>
      <c r="D6" s="0" t="n">
        <f aca="false">C6*(1+D5/100)</f>
        <v>12952.5075</v>
      </c>
      <c r="E6" s="0" t="n">
        <f aca="false">D6*(1+E5/100)</f>
        <v>13405.8452625</v>
      </c>
      <c r="F6" s="0" t="n">
        <f aca="false">E6*(1+F5/100)</f>
        <v>13875.0498466875</v>
      </c>
      <c r="G6" s="0" t="n">
        <f aca="false">F6*(1+G5/100)</f>
        <v>14291.3013420881</v>
      </c>
      <c r="H6" s="0" t="n">
        <f aca="false">G6*(1+H5/100)</f>
        <v>14720.0403823508</v>
      </c>
      <c r="I6" s="0" t="n">
        <f aca="false">H6*(1+I5/100)</f>
        <v>15088.0413919095</v>
      </c>
      <c r="J6" s="0" t="n">
        <f aca="false">I6*(1+J5/100)</f>
        <v>15465.2424267073</v>
      </c>
      <c r="K6" s="0" t="n">
        <f aca="false">J6*(1+K5/100)</f>
        <v>15851.873487375</v>
      </c>
      <c r="L6" s="0" t="n">
        <f aca="false">K6*(1+L5/100)</f>
        <v>16248.1703245593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10.5</v>
      </c>
      <c r="D7" s="4" t="n">
        <f aca="false">Assumptions!D42</f>
        <v>11.2</v>
      </c>
      <c r="E7" s="4" t="n">
        <f aca="false">Assumptions!E42</f>
        <v>11.8</v>
      </c>
      <c r="F7" s="4" t="n">
        <f aca="false">Assumptions!F42</f>
        <v>12.3</v>
      </c>
      <c r="G7" s="4" t="n">
        <f aca="false">Assumptions!G42</f>
        <v>12.7</v>
      </c>
      <c r="H7" s="4" t="n">
        <f aca="false">Assumptions!H42</f>
        <v>13</v>
      </c>
      <c r="I7" s="4" t="n">
        <f aca="false">Assumptions!I42</f>
        <v>13</v>
      </c>
      <c r="J7" s="4" t="n">
        <f aca="false">Assumptions!J42</f>
        <v>13</v>
      </c>
      <c r="K7" s="4" t="n">
        <f aca="false">Assumptions!K42</f>
        <v>13</v>
      </c>
      <c r="L7" s="4" t="n">
        <f aca="false">Assumptions!L42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1314.0225</v>
      </c>
      <c r="D8" s="0" t="n">
        <f aca="false">D6*D7/100</f>
        <v>1450.68084</v>
      </c>
      <c r="E8" s="0" t="n">
        <f aca="false">E6*E7/100</f>
        <v>1581.889740975</v>
      </c>
      <c r="F8" s="0" t="n">
        <f aca="false">F6*F7/100</f>
        <v>1706.63113114256</v>
      </c>
      <c r="G8" s="0" t="n">
        <f aca="false">G6*G7/100</f>
        <v>1814.99527044519</v>
      </c>
      <c r="H8" s="0" t="n">
        <f aca="false">H6*H7/100</f>
        <v>1913.6052497056</v>
      </c>
      <c r="I8" s="0" t="n">
        <f aca="false">I6*I7/100</f>
        <v>1961.44538094824</v>
      </c>
      <c r="J8" s="0" t="n">
        <f aca="false">J6*J7/100</f>
        <v>2010.48151547195</v>
      </c>
      <c r="K8" s="0" t="n">
        <f aca="false">K6*K7/100</f>
        <v>2060.74355335874</v>
      </c>
      <c r="L8" s="0" t="n">
        <f aca="false">L6*L7/100</f>
        <v>2112.26214219271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0.21</v>
      </c>
      <c r="D9" s="4" t="n">
        <f aca="false">Assumptions!D43</f>
        <v>0.21</v>
      </c>
      <c r="E9" s="4" t="n">
        <f aca="false">Assumptions!E43</f>
        <v>0.21</v>
      </c>
      <c r="F9" s="4" t="n">
        <f aca="false">Assumptions!F43</f>
        <v>0.21</v>
      </c>
      <c r="G9" s="4" t="n">
        <f aca="false">Assumptions!G43</f>
        <v>0.21</v>
      </c>
      <c r="H9" s="4" t="n">
        <f aca="false">Assumptions!H43</f>
        <v>0.21</v>
      </c>
      <c r="I9" s="4" t="n">
        <f aca="false">Assumptions!I43</f>
        <v>0.21</v>
      </c>
      <c r="J9" s="4" t="n">
        <f aca="false">Assumptions!J43</f>
        <v>0.21</v>
      </c>
      <c r="K9" s="4" t="n">
        <f aca="false">Assumptions!K43</f>
        <v>0.21</v>
      </c>
      <c r="L9" s="4" t="n">
        <f aca="false">Assumptions!L43</f>
        <v>0.21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-26.28045</v>
      </c>
      <c r="D10" s="0" t="n">
        <f aca="false">-D6*D9/100</f>
        <v>-27.20026575</v>
      </c>
      <c r="E10" s="0" t="n">
        <f aca="false">-E6*E9/100</f>
        <v>-28.15227505125</v>
      </c>
      <c r="F10" s="0" t="n">
        <f aca="false">-F6*F9/100</f>
        <v>-29.1376046780437</v>
      </c>
      <c r="G10" s="0" t="n">
        <f aca="false">-G6*G9/100</f>
        <v>-30.0117328183851</v>
      </c>
      <c r="H10" s="0" t="n">
        <f aca="false">-H6*H9/100</f>
        <v>-30.9120848029366</v>
      </c>
      <c r="I10" s="0" t="n">
        <f aca="false">-I6*I9/100</f>
        <v>-31.68488692301</v>
      </c>
      <c r="J10" s="0" t="n">
        <f aca="false">-J6*J9/100</f>
        <v>-32.4770090960853</v>
      </c>
      <c r="K10" s="0" t="n">
        <f aca="false">-K6*K9/100</f>
        <v>-33.2889343234874</v>
      </c>
      <c r="L10" s="0" t="n">
        <f aca="false">-L6*L9/100</f>
        <v>-34.1211576815746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1287.74205</v>
      </c>
      <c r="D11" s="0" t="n">
        <f aca="false">D8+D10+D24</f>
        <v>1423.48057425</v>
      </c>
      <c r="E11" s="0" t="n">
        <f aca="false">E8+E10+E24</f>
        <v>1553.73746592375</v>
      </c>
      <c r="F11" s="0" t="n">
        <f aca="false">F8+F10+F24</f>
        <v>1677.49352646452</v>
      </c>
      <c r="G11" s="0" t="n">
        <f aca="false">G8+G10+G24</f>
        <v>1784.98353762681</v>
      </c>
      <c r="H11" s="0" t="n">
        <f aca="false">H8+H10+H24</f>
        <v>1882.69316490266</v>
      </c>
      <c r="I11" s="0" t="n">
        <f aca="false">I8+I10+I24</f>
        <v>1929.76049402523</v>
      </c>
      <c r="J11" s="0" t="n">
        <f aca="false">J8+J10+J24</f>
        <v>1978.00450637586</v>
      </c>
      <c r="K11" s="0" t="n">
        <f aca="false">K8+K10+K24</f>
        <v>2027.45461903526</v>
      </c>
      <c r="L11" s="0" t="n">
        <f aca="false">L8+L10+L24</f>
        <v>2078.14098451114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-275.319</v>
      </c>
      <c r="D12" s="4" t="n">
        <f aca="false">-D6*Assumptions!D45/100</f>
        <v>-284.955165</v>
      </c>
      <c r="E12" s="4" t="n">
        <f aca="false">-E6*Assumptions!E45/100</f>
        <v>-294.928595775</v>
      </c>
      <c r="F12" s="4" t="n">
        <f aca="false">-F6*Assumptions!F45/100</f>
        <v>-305.251096627125</v>
      </c>
      <c r="G12" s="4" t="n">
        <f aca="false">-G6*Assumptions!G45/100</f>
        <v>-314.408629525939</v>
      </c>
      <c r="H12" s="4" t="n">
        <f aca="false">-H6*Assumptions!H45/100</f>
        <v>-323.840888411717</v>
      </c>
      <c r="I12" s="4" t="n">
        <f aca="false">-I6*Assumptions!I45/100</f>
        <v>-331.93691062201</v>
      </c>
      <c r="J12" s="4" t="n">
        <f aca="false">-J6*Assumptions!J45/100</f>
        <v>-340.23533338756</v>
      </c>
      <c r="K12" s="4" t="n">
        <f aca="false">-K6*Assumptions!K45/100</f>
        <v>-348.741216722249</v>
      </c>
      <c r="L12" s="4" t="n">
        <f aca="false">-L6*Assumptions!L45/100</f>
        <v>-357.459747140305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1012.42305</v>
      </c>
      <c r="D13" s="0" t="n">
        <f aca="false">D11+D12</f>
        <v>1138.52540925</v>
      </c>
      <c r="E13" s="0" t="n">
        <f aca="false">E11+E12</f>
        <v>1258.80887014875</v>
      </c>
      <c r="F13" s="0" t="n">
        <f aca="false">F11+F12</f>
        <v>1372.24242983739</v>
      </c>
      <c r="G13" s="0" t="n">
        <f aca="false">G11+G12</f>
        <v>1470.57490810087</v>
      </c>
      <c r="H13" s="0" t="n">
        <f aca="false">H11+H12</f>
        <v>1558.85227649095</v>
      </c>
      <c r="I13" s="0" t="n">
        <f aca="false">I11+I12</f>
        <v>1597.82358340322</v>
      </c>
      <c r="J13" s="0" t="n">
        <f aca="false">J11+J12</f>
        <v>1637.7691729883</v>
      </c>
      <c r="K13" s="0" t="n">
        <f aca="false">K11+K12</f>
        <v>1678.71340231301</v>
      </c>
      <c r="L13" s="0" t="n">
        <f aca="false">L11+L12</f>
        <v>1720.68123737083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789.689979</v>
      </c>
      <c r="D15" s="0" t="n">
        <f aca="false">D13-MAX(0,D13)*D14/100</f>
        <v>888.049819215</v>
      </c>
      <c r="E15" s="0" t="n">
        <f aca="false">E13-MAX(0,E13)*E14/100</f>
        <v>981.870918716025</v>
      </c>
      <c r="F15" s="0" t="n">
        <f aca="false">F13-MAX(0,F13)*F14/100</f>
        <v>1070.34909527317</v>
      </c>
      <c r="G15" s="0" t="n">
        <f aca="false">G13-MAX(0,G13)*G14/100</f>
        <v>1147.04842831868</v>
      </c>
      <c r="H15" s="0" t="n">
        <f aca="false">H13-MAX(0,H13)*H14/100</f>
        <v>1215.90477566294</v>
      </c>
      <c r="I15" s="0" t="n">
        <f aca="false">I13-MAX(0,I13)*I14/100</f>
        <v>1246.30239505451</v>
      </c>
      <c r="J15" s="0" t="n">
        <f aca="false">J13-MAX(0,J13)*J14/100</f>
        <v>1277.45995493087</v>
      </c>
      <c r="K15" s="0" t="n">
        <f aca="false">K13-MAX(0,K13)*K14/100</f>
        <v>1309.39645380415</v>
      </c>
      <c r="L15" s="0" t="n">
        <f aca="false">L13-MAX(0,L13)*L14/100</f>
        <v>1342.13136514925</v>
      </c>
    </row>
    <row r="16" customFormat="false" ht="15" hidden="false" customHeight="false" outlineLevel="0" collapsed="false">
      <c r="A16" s="0" t="s">
        <v>128</v>
      </c>
      <c r="C16" s="0" t="n">
        <f aca="false">-C12</f>
        <v>275.319</v>
      </c>
      <c r="D16" s="0" t="n">
        <f aca="false">-D12</f>
        <v>284.955165</v>
      </c>
      <c r="E16" s="0" t="n">
        <f aca="false">-E12</f>
        <v>294.928595775</v>
      </c>
      <c r="F16" s="0" t="n">
        <f aca="false">-F12</f>
        <v>305.251096627125</v>
      </c>
      <c r="G16" s="0" t="n">
        <f aca="false">-G12</f>
        <v>314.408629525939</v>
      </c>
      <c r="H16" s="0" t="n">
        <f aca="false">-H12</f>
        <v>323.840888411717</v>
      </c>
      <c r="I16" s="0" t="n">
        <f aca="false">-I12</f>
        <v>331.93691062201</v>
      </c>
      <c r="J16" s="0" t="n">
        <f aca="false">-J12</f>
        <v>340.23533338756</v>
      </c>
      <c r="K16" s="0" t="n">
        <f aca="false">-K12</f>
        <v>348.741216722249</v>
      </c>
      <c r="L16" s="0" t="n">
        <f aca="false">-L12</f>
        <v>357.459747140305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-312.8625</v>
      </c>
      <c r="D17" s="4" t="n">
        <f aca="false">-D6*Assumptions!D46/100</f>
        <v>-323.8126875</v>
      </c>
      <c r="E17" s="4" t="n">
        <f aca="false">-E6*Assumptions!E46/100</f>
        <v>-335.1461315625</v>
      </c>
      <c r="F17" s="4" t="n">
        <f aca="false">-F6*Assumptions!F46/100</f>
        <v>-346.876246167187</v>
      </c>
      <c r="G17" s="4" t="n">
        <f aca="false">-G6*Assumptions!G46/100</f>
        <v>-357.282533552203</v>
      </c>
      <c r="H17" s="4" t="n">
        <f aca="false">-H6*Assumptions!H46/100</f>
        <v>-368.001009558769</v>
      </c>
      <c r="I17" s="4" t="n">
        <f aca="false">-I6*Assumptions!I46/100</f>
        <v>-377.201034797738</v>
      </c>
      <c r="J17" s="4" t="n">
        <f aca="false">-J6*Assumptions!J46/100</f>
        <v>-386.631060667682</v>
      </c>
      <c r="K17" s="4" t="n">
        <f aca="false">-K6*Assumptions!K46/100</f>
        <v>-396.296837184374</v>
      </c>
      <c r="L17" s="4" t="n">
        <f aca="false">-L6*Assumptions!L46/100</f>
        <v>-406.204258113983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-43.74</v>
      </c>
      <c r="D18" s="4" t="n">
        <f aca="false">(D6-C6)*Assumptions!$B$51/100</f>
        <v>-52.5609</v>
      </c>
      <c r="E18" s="4" t="n">
        <f aca="false">(E6-D6)*Assumptions!$B$51/100</f>
        <v>-54.4005314999999</v>
      </c>
      <c r="F18" s="4" t="n">
        <f aca="false">(F6-E6)*Assumptions!$B$51/100</f>
        <v>-56.3045501024999</v>
      </c>
      <c r="G18" s="4" t="n">
        <f aca="false">(G6-F6)*Assumptions!$B$51/100</f>
        <v>-49.9501794480751</v>
      </c>
      <c r="H18" s="4" t="n">
        <f aca="false">(H6-G6)*Assumptions!$B$51/100</f>
        <v>-51.4486848315173</v>
      </c>
      <c r="I18" s="4" t="n">
        <f aca="false">(I6-H6)*Assumptions!$B$51/100</f>
        <v>-44.1601211470521</v>
      </c>
      <c r="J18" s="4" t="n">
        <f aca="false">(J6-I6)*Assumptions!$B$51/100</f>
        <v>-45.2641241757285</v>
      </c>
      <c r="K18" s="4" t="n">
        <f aca="false">(K6-J6)*Assumptions!$B$51/100</f>
        <v>-46.3957272801216</v>
      </c>
      <c r="L18" s="4" t="n">
        <f aca="false">(L6-K6)*Assumptions!$B$51/100</f>
        <v>-47.5556204621247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708.406479</v>
      </c>
      <c r="D19" s="0" t="n">
        <f aca="false">D15+D16+D17+D18</f>
        <v>796.631396715</v>
      </c>
      <c r="E19" s="0" t="n">
        <f aca="false">E15+E16+E17+E18</f>
        <v>887.252851428525</v>
      </c>
      <c r="F19" s="0" t="n">
        <f aca="false">F15+F16+F17+F18</f>
        <v>972.419395630605</v>
      </c>
      <c r="G19" s="0" t="n">
        <f aca="false">G15+G16+G17+G18</f>
        <v>1054.22434484434</v>
      </c>
      <c r="H19" s="0" t="n">
        <f aca="false">H15+H16+H17+H18</f>
        <v>1120.29596968437</v>
      </c>
      <c r="I19" s="0" t="n">
        <f aca="false">I15+I16+I17+I18</f>
        <v>1156.87814973173</v>
      </c>
      <c r="J19" s="0" t="n">
        <f aca="false">J15+J16+J17+J18</f>
        <v>1185.80010347502</v>
      </c>
      <c r="K19" s="0" t="n">
        <f aca="false">K15+K16+K17+K18</f>
        <v>1215.4451060619</v>
      </c>
      <c r="L19" s="0" t="n">
        <f aca="false">L15+L16+L17+L18</f>
        <v>1245.83123371345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662.062129906542</v>
      </c>
      <c r="D21" s="0" t="n">
        <f aca="false">D19*D20</f>
        <v>695.808714049262</v>
      </c>
      <c r="E21" s="0" t="n">
        <f aca="false">E19*E20</f>
        <v>724.26261888646</v>
      </c>
      <c r="F21" s="0" t="n">
        <f aca="false">F19*F20</f>
        <v>741.854101028737</v>
      </c>
      <c r="G21" s="0" t="n">
        <f aca="false">G19*G20</f>
        <v>751.647387949237</v>
      </c>
      <c r="H21" s="0" t="n">
        <f aca="false">H19*H20</f>
        <v>746.500507772158</v>
      </c>
      <c r="I21" s="0" t="n">
        <f aca="false">I19*I20</f>
        <v>720.445569137359</v>
      </c>
      <c r="J21" s="0" t="n">
        <f aca="false">J19*J20</f>
        <v>690.146456416628</v>
      </c>
      <c r="K21" s="0" t="n">
        <f aca="false">K19*K20</f>
        <v>661.121605445836</v>
      </c>
      <c r="L21" s="0" t="n">
        <f aca="false">L19*L20</f>
        <v>633.317425777553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7027.16651636977</v>
      </c>
    </row>
    <row r="31" customFormat="false" ht="15" hidden="false" customHeight="false" outlineLevel="0" collapsed="false">
      <c r="A31" s="0" t="s">
        <v>137</v>
      </c>
      <c r="B31" s="0" t="n">
        <f aca="false">L19</f>
        <v>1245.83123371345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28377.2669901396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22424.962206842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22424.962206842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11399.7136639959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18426.8801803657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16923.0801803657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30.7078210494751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0.537697598872062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209.610604378695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395.091178068926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31.805084309224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10215.8161164503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10.6398366767155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15.0875631985984</v>
      </c>
      <c r="C4" s="0" t="n">
        <f aca="false">B4/Assumptions!$B$2-1</f>
        <v>-0.244488572929477</v>
      </c>
      <c r="D4" s="4" t="n">
        <f aca="false">Assumptions!$B$24</f>
        <v>0.25</v>
      </c>
      <c r="E4" s="4" t="n">
        <f aca="false">DCF_Bear!$B$43</f>
        <v>15.9258748045364</v>
      </c>
      <c r="F4" s="4" t="n">
        <f aca="false">DCF_Bear!$B$47</f>
        <v>6.06210787526765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23.0560887943681</v>
      </c>
      <c r="C5" s="0" t="n">
        <f aca="false">B5/Assumptions!$B$2-1</f>
        <v>0.154536244084531</v>
      </c>
      <c r="D5" s="4" t="n">
        <f aca="false">Assumptions!$B$38</f>
        <v>0.5</v>
      </c>
      <c r="E5" s="4" t="n">
        <f aca="false">DCF_Base!$B$43</f>
        <v>24.0208620847095</v>
      </c>
      <c r="F5" s="4" t="n">
        <f aca="false">DCF_Base!$B$47</f>
        <v>8.46407151736001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30.7078210494751</v>
      </c>
      <c r="C6" s="0" t="n">
        <f aca="false">B6/Assumptions!$B$2-1</f>
        <v>0.537697598872062</v>
      </c>
      <c r="D6" s="4" t="n">
        <f aca="false">Assumptions!$B$52</f>
        <v>0.25</v>
      </c>
      <c r="E6" s="4" t="n">
        <f aca="false">DCF_Bull!$B$43</f>
        <v>31.805084309224</v>
      </c>
      <c r="F6" s="4" t="n">
        <f aca="false">DCF_Bull!$B$47</f>
        <v>10.6398366767155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22.9768904592024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23.9431708207948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0.130865856915731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-311.181990105545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8.40752189667578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23.0560887943681</v>
      </c>
      <c r="C15" s="3" t="n">
        <v>7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18.4467909557588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15.7377564682926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13.6327716898803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11.9505308182091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8.46407151736001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27.2966126385232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27.2966126385232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27.2966126385232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27.2966126385232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27.2966126385232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25.075079895089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25.075079895089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25.075079895089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25.075079895089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25.075079895089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23.0560887943681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23.0560887943681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23.0560887943681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23.0560887943681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23.0560887943681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19.8940145087707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20.8946515352871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21.2189320531396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21.2189320531396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21.2189320531396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16.9501926396209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17.6486051871519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18.4467909557588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19.3677745349206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19.5452117382454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2026-09-28T21:24:53Z</dcterms:created>
  <dc:creator>openpyxl</dc:creator>
  <dc:description/>
  <dc:language>en-NZ</dc:language>
  <cp:lastModifiedBy/>
  <dcterms:modified xsi:type="dcterms:W3CDTF">2026-09-28T21:24:53Z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