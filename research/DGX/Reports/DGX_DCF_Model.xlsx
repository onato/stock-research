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<sst xmlns="http://schemas.openxmlformats.org/spreadsheetml/2006/main" count="390" uniqueCount="175">
  <si>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</si>
  <si>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DGX</t>
  </si>
  <si>
    <t xml:space="preserve">Company</t>
  </si>
  <si>
    <t xml:space="preserve">Quest Diagnostics Incorporated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</si>
  <si>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</si>
  <si>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</si>
  <si>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</si>
  <si>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</si>
  <si>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2026-09-25T20:00:02Z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</si>
  <si>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</si>
  <si>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</si>
  <si>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</si>
  <si>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</si>
  <si>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</si>
  <si>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</si>
  <si>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</si>
  <si>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</si>
  <si>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</si>
  <si>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</si>
  <si>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</si>
  <si>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</si>
  <si>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2026-09-26T01:26:54Z</t>
  </si>
  <si>
    <t xml:space="preserve">Drivers file</t>
  </si>
  <si>
    <t xml:space="preserve">DGX_Drivers.json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</si>
  <si>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</si>
  <si>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</si>
  <si>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</si>
  <si>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Quest is a mature, cash-generative US clinical lab consolidator. Value rests on durable volumes and a measured margin creep rather than growth; owner FCF charges SBC and award-withholding taxes, holds the share count flat, and deducts net debt and capitalised NCI. Reimbursement policy is the dominant swing factor, carried by the 25% bear weight rather than a WACC premium.
key_risks_to_valuation: PAMA / Medicare Clinical Lab Fee Schedule cuts (deferred repeatedly; could bite from 2027); Commercial payer rate pressure and utilisation-management denials; Competition from Labcorp and hospital systems for outreach lab books; acquisition price inflation; Wage and logistics inflation outrunning automation savings; Leverage (~2.4x net debt/EBITDA) constrains buybacks if M&amp;A continues; Cyber/IT incidents (2019 AMCA billing-vendor breach precedent)</t>
  </si>
  <si>
    <t xml:space="preserve">Data sources</t>
  </si>
  <si>
    <t xml:space="preserve">price: Yahoo Finance chart API at inputs.price_as_of; 52-week range 171.18-248.84
financials: SEC XBRL (10-K FY2006-FY2025, 10-Q through Q2 2026) via DGX_Metrics.csv / DGX.duckdb; balance sheet at 30 June 2026
qualitative: Company business mix and industry context (PAMA, outreach acquisitions, Invigorate program); DGX_Analysis.json being produced in parallel was not available at build time</t>
  </si>
  <si>
    <t xml:space="preserve">Scenario narrative: bear</t>
  </si>
  <si>
    <t xml:space="preserve">PAMA cuts of up to 15% per code finally take effect in 2027 and commercial payers follow Medicare's lead, Labcorp and hospital systems compete harder on price for outreach books, and wage/courier costs outrun productivity. Growth collapses to ~2% after the FY2026 acquisition lift and pre-SBC EBITDA margin falls to 18.5% (the FY2023-24 trough level). Terminal multiple compressed to 12x for an ex-growth, price-taker lab.</t>
  </si>
  <si>
    <t xml:space="preserve">Scenario narrative: base</t>
  </si>
  <si>
    <t xml:space="preserve">Quest keeps compounding as the national consolidator of hospital outreach labs: FY2026 lands ~+7.5% on acquired books, then growth settles at 4-5% (2-3% organic volume/mix, 1-2pp tuck-ins) fading to 3%. PAMA Medicare clinical-lab-fee cuts are either delayed again or absorbed (Medicare CLFS is a mid-single-digit share of revenue). Invigorate automation and AI-driven revenue-cycle savings (~3%/yr of cost base) roughly offset wage inflation, so pre-SBC EBITDA margin creeps from 20.1% to 21%. Capex stays elevated near 4.5% of revenue as labs are automated.</t>
  </si>
  <si>
    <t xml:space="preserve">Scenario narrative: bull</t>
  </si>
  <si>
    <t xml:space="preserve">Advanced diagnostics (brain health/AD blood tests, oncology MRD, consumer-initiated testing) and a steady cadence of health-system outreach deals push growth to 6-8% for three years; PAMA is permanently reformed (SALSA-style) removing the reimbursement overhang; automation drives margin back toward the ~22-23% pre-COVID-peak range. Buybacks and a 3%+ dividend continue, with leverage staying ~2.5x.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</si>
  <si>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</si>
  <si>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</si>
  <si>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</si>
  <si>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</si>
  <si>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</si>
  <si>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</si>
  <si>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</si>
  <si>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</si>
  <si>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</si>
  <si>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</si>
  <si>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</si>
  <si>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</si>
  <si>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</si>
  <si>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</si>
  <si>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</si>
  <si>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</si>
  <si>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</si>
  <si>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</si>
  <si>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</si>
  <si>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</si>
  <si>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</si>
  <si>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</si>
  <si>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</si>
  <si>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</si>
  <si>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</si>
  <si>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</si>
  <si>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</si>
  <si>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</si>
  <si>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</si>
  <si>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</si>
  <si>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</si>
  <si>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</si>
  <si>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</si>
  <si>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</si>
  <si>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</si>
  <si>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</si>
  <si>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</si>
  <si>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</si>
  <si>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</si>
  <si>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</si>
  <si>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</si>
  <si>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</si>
  <si>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</si>
  <si>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</si>
  <si>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</si>
  <si>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</si>
  <si>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</si>
  <si>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</si>
  <si>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</si>
  <si>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</si>
  <si>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</si>
  <si>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</si>
  <si>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</si>
  <si>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</si>
  <si>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</si>
  <si>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</si>
  <si>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</si>
  <si>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</si>
  <si>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</si>
  <si>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</si>
  <si>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</si>
  <si>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</si>
  <si>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</si>
  <si>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</si>
  <si>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</si>
  <si>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</si>
  <si>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</si>
  <si>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</si>
  <si>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</si>
  <si>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</si>
  <si>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</si>
  <si>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</si>
  <si>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</si>
  <si>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</si>
  <si>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</si>
  <si>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</si>
  <si>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</si>
  <si>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</si>
  <si>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</si>
  <si>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</si>
  <si>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</si>
  <si>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</si>
  <si>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</si>
  <si>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</si>
  <si>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DGX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</si>
  <si>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</si>
  <si>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</si>
  <si>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</si>
  <si>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</si>
  <si>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</si>
  <si>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</si>
  <si>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</si>
  <si>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</si>
  <si>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</si>
  <si>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</si>
  <si>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</si>
  <si>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</si>
  <si>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</si>
  <si>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</si>
  <si>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</si>
  <si>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</si>
  <si>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</si>
  <si>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</si>
  <si>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</si>
  <si>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</si>
  <si>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</si>
  <si>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</si>
  <si>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</si>
  <si>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</si>
  <si>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</si>
  <si>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</si>
  <si>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</si>
  <si>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</si>
  <si>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</si>
  <si>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</si>
  <si>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DGX owner-FCF component DCF: base case (millions, USD)</t>
  </si>
  <si>
    <t xml:space="preserve">DGX owner-FCF component DCF: bull case (millions, USD)</t>
  </si>
  <si>
    <t xml:space="preserve">DGX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</si>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</sst>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236.32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3038.803</v>
      </c>
      <c r="S2" s="0" t="n">
        <v>149.64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6704.907</v>
      </c>
      <c r="C3" s="0" t="n">
        <v>3969.848</v>
      </c>
      <c r="F3" s="0" t="n">
        <v>1091.336</v>
      </c>
      <c r="G3" s="0" t="n">
        <v>16.2766761716456</v>
      </c>
      <c r="H3" s="0" t="n">
        <v>1329.215</v>
      </c>
      <c r="I3" s="0" t="n">
        <v>366.449</v>
      </c>
      <c r="J3" s="0" t="n">
        <v>5.46538527678311</v>
      </c>
      <c r="K3" s="0" t="n">
        <v>1.76</v>
      </c>
      <c r="L3" s="0" t="n">
        <v>926.924</v>
      </c>
      <c r="M3" s="0" t="n">
        <v>219.101</v>
      </c>
      <c r="N3" s="0" t="n">
        <v>707.823</v>
      </c>
      <c r="O3" s="0" t="n">
        <v>3345.706</v>
      </c>
      <c r="S3" s="0" t="n">
        <v>167.594</v>
      </c>
      <c r="U3" s="0" t="n">
        <v>56.853</v>
      </c>
      <c r="V3" s="0" t="n">
        <v>0.4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7249.447</v>
      </c>
      <c r="C4" s="0" t="n">
        <v>4256.156</v>
      </c>
      <c r="F4" s="0" t="n">
        <v>1222.376</v>
      </c>
      <c r="G4" s="0" t="n">
        <v>16.8616447571794</v>
      </c>
      <c r="H4" s="0" t="n">
        <v>1486.969</v>
      </c>
      <c r="I4" s="0" t="n">
        <v>613.195</v>
      </c>
      <c r="J4" s="0" t="n">
        <v>8.45850724889774</v>
      </c>
      <c r="K4" s="0" t="n">
        <v>2.99</v>
      </c>
      <c r="L4" s="0" t="n">
        <v>1063.049</v>
      </c>
      <c r="M4" s="0" t="n">
        <v>212.681</v>
      </c>
      <c r="N4" s="0" t="n">
        <v>850.368</v>
      </c>
      <c r="O4" s="0" t="n">
        <v>3625.134</v>
      </c>
      <c r="P4" s="0" t="n">
        <v>8403.83</v>
      </c>
      <c r="R4" s="0" t="n">
        <v>3083.231</v>
      </c>
      <c r="S4" s="0" t="n">
        <v>253.946</v>
      </c>
      <c r="T4" s="0" t="n">
        <v>195.959</v>
      </c>
      <c r="U4" s="0" t="n">
        <v>70.581</v>
      </c>
      <c r="V4" s="0" t="n">
        <v>0.4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7455.243</v>
      </c>
      <c r="C5" s="0" t="n">
        <v>4321.475</v>
      </c>
      <c r="D5" s="0" t="n">
        <v>3133.768</v>
      </c>
      <c r="E5" s="0" t="n">
        <v>42.034417925747</v>
      </c>
      <c r="F5" s="0" t="n">
        <v>1359.111</v>
      </c>
      <c r="G5" s="0" t="n">
        <v>18.2302709650108</v>
      </c>
      <c r="H5" s="0" t="n">
        <v>1615.798</v>
      </c>
      <c r="I5" s="0" t="n">
        <v>766.222</v>
      </c>
      <c r="J5" s="0" t="n">
        <v>10.2776260948168</v>
      </c>
      <c r="K5" s="0" t="n">
        <v>3.91</v>
      </c>
      <c r="L5" s="0" t="n">
        <v>997.418</v>
      </c>
      <c r="M5" s="0" t="n">
        <v>166.928</v>
      </c>
      <c r="N5" s="0" t="n">
        <v>830.49</v>
      </c>
      <c r="O5" s="0" t="n">
        <v>4011.464</v>
      </c>
      <c r="P5" s="0" t="n">
        <v>8563.643</v>
      </c>
      <c r="R5" s="0" t="n">
        <v>3107.299</v>
      </c>
      <c r="S5" s="0" t="n">
        <v>534.256</v>
      </c>
      <c r="T5" s="0" t="n">
        <v>187.798</v>
      </c>
      <c r="U5" s="0" t="n">
        <v>75.059</v>
      </c>
      <c r="V5" s="0" t="n">
        <v>0.4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7260.12</v>
      </c>
      <c r="C6" s="0" t="n">
        <v>4275.535</v>
      </c>
      <c r="D6" s="0" t="n">
        <v>3051.678</v>
      </c>
      <c r="E6" s="0" t="n">
        <v>42.0334374638436</v>
      </c>
      <c r="F6" s="0" t="n">
        <v>1283.583</v>
      </c>
      <c r="G6" s="0" t="n">
        <v>17.6799143815805</v>
      </c>
      <c r="H6" s="0" t="n">
        <v>1537.547</v>
      </c>
      <c r="I6" s="0" t="n">
        <v>757.017</v>
      </c>
      <c r="J6" s="0" t="n">
        <v>10.4270590568751</v>
      </c>
      <c r="K6" s="0" t="n">
        <v>4.08</v>
      </c>
      <c r="L6" s="0" t="n">
        <v>1118.047</v>
      </c>
      <c r="M6" s="0" t="n">
        <v>205.4</v>
      </c>
      <c r="N6" s="0" t="n">
        <v>912.647</v>
      </c>
      <c r="O6" s="0" t="n">
        <v>4054</v>
      </c>
      <c r="P6" s="0" t="n">
        <v>8527.63</v>
      </c>
      <c r="R6" s="0" t="n">
        <v>2990.156</v>
      </c>
      <c r="S6" s="0" t="n">
        <v>449</v>
      </c>
      <c r="T6" s="0" t="n">
        <v>177.32</v>
      </c>
      <c r="U6" s="0" t="n">
        <v>53.927</v>
      </c>
      <c r="V6" s="0" t="n">
        <v>0.4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7392</v>
      </c>
      <c r="C7" s="0" t="n">
        <v>4363</v>
      </c>
      <c r="D7" s="0" t="n">
        <v>3029.004</v>
      </c>
      <c r="E7" s="0" t="n">
        <v>40.9767857142857</v>
      </c>
      <c r="F7" s="0" t="n">
        <v>987</v>
      </c>
      <c r="G7" s="0" t="n">
        <v>13.3522727272727</v>
      </c>
      <c r="H7" s="0" t="n">
        <v>1268</v>
      </c>
      <c r="I7" s="0" t="n">
        <v>506</v>
      </c>
      <c r="J7" s="0" t="n">
        <v>6.8452380952381</v>
      </c>
      <c r="K7" s="0" t="n">
        <v>2.95</v>
      </c>
      <c r="L7" s="0" t="n">
        <v>895</v>
      </c>
      <c r="M7" s="0" t="n">
        <v>161</v>
      </c>
      <c r="N7" s="0" t="n">
        <v>734</v>
      </c>
      <c r="O7" s="0" t="n">
        <v>3715</v>
      </c>
      <c r="P7" s="0" t="n">
        <v>9313.379</v>
      </c>
      <c r="R7" s="0" t="n">
        <v>4594.312</v>
      </c>
      <c r="S7" s="0" t="n">
        <v>165</v>
      </c>
      <c r="T7" s="0" t="n">
        <v>160</v>
      </c>
      <c r="U7" s="0" t="n">
        <v>72</v>
      </c>
      <c r="V7" s="0" t="n">
        <v>0.47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7383</v>
      </c>
      <c r="C8" s="0" t="n">
        <v>4365</v>
      </c>
      <c r="D8" s="0" t="n">
        <v>3018</v>
      </c>
      <c r="E8" s="0" t="n">
        <v>40.8776919951239</v>
      </c>
      <c r="F8" s="0" t="n">
        <v>1201</v>
      </c>
      <c r="G8" s="0" t="n">
        <v>16.2671000948124</v>
      </c>
      <c r="H8" s="0" t="n">
        <v>1488</v>
      </c>
      <c r="I8" s="0" t="n">
        <v>592</v>
      </c>
      <c r="J8" s="0" t="n">
        <v>8.01842069619396</v>
      </c>
      <c r="K8" s="0" t="n">
        <v>3.49</v>
      </c>
      <c r="L8" s="0" t="n">
        <v>1187</v>
      </c>
      <c r="M8" s="0" t="n">
        <v>182</v>
      </c>
      <c r="N8" s="0" t="n">
        <v>1005</v>
      </c>
      <c r="O8" s="0" t="n">
        <v>4186</v>
      </c>
      <c r="P8" s="0" t="n">
        <v>9284</v>
      </c>
      <c r="R8" s="0" t="n">
        <v>3374</v>
      </c>
      <c r="S8" s="0" t="n">
        <v>296</v>
      </c>
      <c r="T8" s="0" t="n">
        <v>160</v>
      </c>
      <c r="U8" s="0" t="n">
        <v>50</v>
      </c>
      <c r="V8" s="0" t="n">
        <v>0.81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7146</v>
      </c>
      <c r="C9" s="0" t="n">
        <v>4326</v>
      </c>
      <c r="D9" s="0" t="n">
        <v>2820</v>
      </c>
      <c r="E9" s="0" t="n">
        <v>39.4626364399664</v>
      </c>
      <c r="F9" s="0" t="n">
        <v>1475</v>
      </c>
      <c r="G9" s="0" t="n">
        <v>20.6409179960817</v>
      </c>
      <c r="H9" s="0" t="n">
        <v>1758</v>
      </c>
      <c r="I9" s="0" t="n">
        <v>883</v>
      </c>
      <c r="J9" s="0" t="n">
        <v>12.3565631122306</v>
      </c>
      <c r="K9" s="0" t="n">
        <v>5.58</v>
      </c>
      <c r="L9" s="0" t="n">
        <v>652</v>
      </c>
      <c r="M9" s="0" t="n">
        <v>231</v>
      </c>
      <c r="N9" s="0" t="n">
        <v>421</v>
      </c>
      <c r="O9" s="0" t="n">
        <v>3973</v>
      </c>
      <c r="P9" s="0" t="n">
        <v>8948</v>
      </c>
      <c r="R9" s="0" t="n">
        <v>3544</v>
      </c>
      <c r="S9" s="0" t="n">
        <v>187</v>
      </c>
      <c r="T9" s="0" t="n">
        <v>153</v>
      </c>
      <c r="U9" s="0" t="n">
        <v>28</v>
      </c>
      <c r="V9" s="0" t="n">
        <v>1.2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7435</v>
      </c>
      <c r="C10" s="0" t="n">
        <v>4637</v>
      </c>
      <c r="D10" s="0" t="n">
        <v>2798</v>
      </c>
      <c r="E10" s="0" t="n">
        <v>37.6328177538669</v>
      </c>
      <c r="F10" s="0" t="n">
        <v>983</v>
      </c>
      <c r="G10" s="0" t="n">
        <v>13.2212508406187</v>
      </c>
      <c r="H10" s="0" t="n">
        <v>1297</v>
      </c>
      <c r="I10" s="0" t="n">
        <v>592</v>
      </c>
      <c r="J10" s="0" t="n">
        <v>7.96234028244788</v>
      </c>
      <c r="K10" s="0" t="n">
        <v>3.83</v>
      </c>
      <c r="L10" s="0" t="n">
        <v>944</v>
      </c>
      <c r="M10" s="0" t="n">
        <v>308</v>
      </c>
      <c r="N10" s="0" t="n">
        <v>636</v>
      </c>
      <c r="O10" s="0" t="n">
        <v>4330</v>
      </c>
      <c r="P10" s="0" t="n">
        <v>9857</v>
      </c>
      <c r="R10" s="0" t="n">
        <v>4260</v>
      </c>
      <c r="S10" s="0" t="n">
        <v>192</v>
      </c>
      <c r="T10" s="0" t="n">
        <v>145</v>
      </c>
      <c r="U10" s="0" t="n">
        <v>51</v>
      </c>
      <c r="V10" s="0" t="n">
        <v>1.32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7493</v>
      </c>
      <c r="C11" s="0" t="n">
        <v>4657</v>
      </c>
      <c r="D11" s="0" t="n">
        <v>2836</v>
      </c>
      <c r="E11" s="0" t="n">
        <v>37.848658748165</v>
      </c>
      <c r="F11" s="0" t="n">
        <v>1399</v>
      </c>
      <c r="G11" s="0" t="n">
        <v>18.6707593754171</v>
      </c>
      <c r="H11" s="0" t="n">
        <v>1703</v>
      </c>
      <c r="I11" s="0" t="n">
        <v>753</v>
      </c>
      <c r="J11" s="0" t="n">
        <v>10.0493794207927</v>
      </c>
      <c r="K11" s="0" t="n">
        <v>4.92</v>
      </c>
      <c r="L11" s="0" t="n">
        <v>821</v>
      </c>
      <c r="M11" s="0" t="n">
        <v>263</v>
      </c>
      <c r="N11" s="0" t="n">
        <v>558</v>
      </c>
      <c r="O11" s="0" t="n">
        <v>4713</v>
      </c>
      <c r="P11" s="0" t="n">
        <v>9962</v>
      </c>
      <c r="R11" s="0" t="n">
        <v>3810</v>
      </c>
      <c r="S11" s="0" t="n">
        <v>133</v>
      </c>
      <c r="T11" s="0" t="n">
        <v>145</v>
      </c>
      <c r="U11" s="0" t="n">
        <v>52</v>
      </c>
      <c r="V11" s="0" t="n">
        <v>1.52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7214</v>
      </c>
      <c r="C12" s="0" t="n">
        <v>4616</v>
      </c>
      <c r="D12" s="0" t="n">
        <v>2899</v>
      </c>
      <c r="E12" s="0" t="n">
        <v>40.1857499306903</v>
      </c>
      <c r="F12" s="0" t="n">
        <v>1277</v>
      </c>
      <c r="G12" s="0" t="n">
        <v>17.7016911560854</v>
      </c>
      <c r="H12" s="0" t="n">
        <v>1526</v>
      </c>
      <c r="I12" s="0" t="n">
        <v>696</v>
      </c>
      <c r="J12" s="0" t="n">
        <v>9.64790684779595</v>
      </c>
      <c r="K12" s="0" t="n">
        <v>4.58</v>
      </c>
      <c r="L12" s="0" t="n">
        <v>1116</v>
      </c>
      <c r="M12" s="0" t="n">
        <v>293</v>
      </c>
      <c r="N12" s="0" t="n">
        <v>823</v>
      </c>
      <c r="O12" s="0" t="n">
        <v>4660</v>
      </c>
      <c r="P12" s="0" t="n">
        <v>10100</v>
      </c>
      <c r="R12" s="0" t="n">
        <v>3740</v>
      </c>
      <c r="S12" s="0" t="n">
        <v>359</v>
      </c>
      <c r="T12" s="0" t="n">
        <v>142</v>
      </c>
      <c r="U12" s="0" t="n">
        <v>69</v>
      </c>
      <c r="V12" s="0" t="n">
        <v>1.65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7402</v>
      </c>
      <c r="C13" s="0" t="n">
        <v>4719</v>
      </c>
      <c r="D13" s="0" t="n">
        <v>2683</v>
      </c>
      <c r="E13" s="0" t="n">
        <v>36.2469602810051</v>
      </c>
      <c r="F13" s="0" t="n">
        <v>1165</v>
      </c>
      <c r="G13" s="0" t="n">
        <v>15.7389894623075</v>
      </c>
      <c r="H13" s="0" t="n">
        <v>1435</v>
      </c>
      <c r="I13" s="0" t="n">
        <v>824</v>
      </c>
      <c r="J13" s="0" t="n">
        <v>11.1321264523102</v>
      </c>
      <c r="K13" s="0" t="n">
        <v>5.63</v>
      </c>
      <c r="L13" s="0" t="n">
        <v>1175</v>
      </c>
      <c r="M13" s="0" t="n">
        <v>252</v>
      </c>
      <c r="N13" s="0" t="n">
        <v>923</v>
      </c>
      <c r="O13" s="0" t="n">
        <v>4955</v>
      </c>
      <c r="P13" s="0" t="n">
        <v>10503</v>
      </c>
      <c r="R13" s="0" t="n">
        <v>3820</v>
      </c>
      <c r="S13" s="0" t="n">
        <v>137</v>
      </c>
      <c r="T13" s="0" t="n">
        <v>140</v>
      </c>
      <c r="U13" s="0" t="n">
        <v>79</v>
      </c>
      <c r="V13" s="0" t="n">
        <v>1.8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7531</v>
      </c>
      <c r="C14" s="0" t="n">
        <v>4926</v>
      </c>
      <c r="D14" s="0" t="n">
        <v>2605</v>
      </c>
      <c r="E14" s="0" t="n">
        <v>34.59035984597</v>
      </c>
      <c r="F14" s="0" t="n">
        <v>1101</v>
      </c>
      <c r="G14" s="0" t="n">
        <v>14.6195724339397</v>
      </c>
      <c r="H14" s="0" t="n">
        <v>1410</v>
      </c>
      <c r="I14" s="0" t="n">
        <v>788</v>
      </c>
      <c r="J14" s="0" t="n">
        <v>10.4634178727925</v>
      </c>
      <c r="K14" s="0" t="n">
        <v>5.39</v>
      </c>
      <c r="L14" s="0" t="n">
        <v>1200</v>
      </c>
      <c r="M14" s="0" t="n">
        <v>383</v>
      </c>
      <c r="N14" s="0" t="n">
        <v>817</v>
      </c>
      <c r="O14" s="0" t="n">
        <v>5267</v>
      </c>
      <c r="P14" s="0" t="n">
        <v>11003</v>
      </c>
      <c r="R14" s="0" t="n">
        <v>4357</v>
      </c>
      <c r="S14" s="0" t="n">
        <v>135</v>
      </c>
      <c r="T14" s="0" t="n">
        <v>139</v>
      </c>
      <c r="U14" s="0" t="n">
        <v>61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7726</v>
      </c>
      <c r="C15" s="0" t="n">
        <v>5037</v>
      </c>
      <c r="D15" s="0" t="n">
        <v>2689</v>
      </c>
      <c r="E15" s="0" t="n">
        <v>34.804556044525</v>
      </c>
      <c r="F15" s="0" t="n">
        <v>1231</v>
      </c>
      <c r="G15" s="0" t="n">
        <v>15.9332125291224</v>
      </c>
      <c r="H15" s="0" t="n">
        <v>1560</v>
      </c>
      <c r="I15" s="0" t="n">
        <v>906</v>
      </c>
      <c r="J15" s="0" t="n">
        <v>11.7266373285012</v>
      </c>
      <c r="K15" s="0" t="n">
        <v>6.36</v>
      </c>
      <c r="L15" s="0" t="n">
        <v>1243</v>
      </c>
      <c r="M15" s="0" t="n">
        <v>400</v>
      </c>
      <c r="N15" s="0" t="n">
        <v>843</v>
      </c>
      <c r="O15" s="0" t="n">
        <v>5687</v>
      </c>
      <c r="P15" s="0" t="n">
        <v>12843</v>
      </c>
      <c r="R15" s="0" t="n">
        <v>5574</v>
      </c>
      <c r="S15" s="0" t="n">
        <v>1192</v>
      </c>
      <c r="T15" s="0" t="n">
        <v>136</v>
      </c>
      <c r="U15" s="0" t="n">
        <v>56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9437</v>
      </c>
      <c r="C16" s="0" t="n">
        <v>5804</v>
      </c>
      <c r="D16" s="0" t="n">
        <v>3633</v>
      </c>
      <c r="E16" s="0" t="n">
        <v>38.4974038359648</v>
      </c>
      <c r="F16" s="0" t="n">
        <v>1971</v>
      </c>
      <c r="G16" s="0" t="n">
        <v>20.885874748331</v>
      </c>
      <c r="H16" s="0" t="n">
        <v>2332</v>
      </c>
      <c r="I16" s="0" t="n">
        <v>1499</v>
      </c>
      <c r="J16" s="0" t="n">
        <v>15.8842852601462</v>
      </c>
      <c r="K16" s="0" t="n">
        <v>10.62</v>
      </c>
      <c r="L16" s="0" t="n">
        <v>2005</v>
      </c>
      <c r="M16" s="0" t="n">
        <v>418</v>
      </c>
      <c r="N16" s="0" t="n">
        <v>1587</v>
      </c>
      <c r="O16" s="0" t="n">
        <v>6809</v>
      </c>
      <c r="P16" s="0" t="n">
        <v>14026</v>
      </c>
      <c r="R16" s="0" t="n">
        <v>4017</v>
      </c>
      <c r="S16" s="0" t="n">
        <v>1158</v>
      </c>
      <c r="T16" s="0" t="n">
        <v>136</v>
      </c>
      <c r="U16" s="0" t="n">
        <v>97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10788</v>
      </c>
      <c r="C17" s="0" t="n">
        <v>6579</v>
      </c>
      <c r="F17" s="0" t="n">
        <v>2381</v>
      </c>
      <c r="G17" s="0" t="n">
        <v>22.0708194289952</v>
      </c>
      <c r="H17" s="0" t="n">
        <v>2789</v>
      </c>
      <c r="I17" s="0" t="n">
        <v>2080</v>
      </c>
      <c r="J17" s="0" t="n">
        <v>19.2806822395254</v>
      </c>
      <c r="K17" s="0" t="n">
        <v>15.85</v>
      </c>
      <c r="L17" s="0" t="n">
        <v>2233</v>
      </c>
      <c r="M17" s="0" t="n">
        <v>403</v>
      </c>
      <c r="N17" s="0" t="n">
        <v>1830</v>
      </c>
      <c r="O17" s="0" t="n">
        <v>6483</v>
      </c>
      <c r="P17" s="0" t="n">
        <v>13611</v>
      </c>
      <c r="R17" s="0" t="n">
        <v>4014</v>
      </c>
      <c r="S17" s="0" t="n">
        <v>872</v>
      </c>
      <c r="T17" s="0" t="n">
        <v>128</v>
      </c>
      <c r="U17" s="0" t="n">
        <v>79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9883</v>
      </c>
      <c r="C18" s="0" t="n">
        <v>6450</v>
      </c>
      <c r="F18" s="0" t="n">
        <v>1428</v>
      </c>
      <c r="G18" s="0" t="n">
        <v>14.4490539309926</v>
      </c>
      <c r="H18" s="0" t="n">
        <v>1865</v>
      </c>
      <c r="I18" s="0" t="n">
        <v>1015</v>
      </c>
      <c r="J18" s="0" t="n">
        <v>10.2701608823232</v>
      </c>
      <c r="K18" s="0" t="n">
        <v>8.1</v>
      </c>
      <c r="L18" s="0" t="n">
        <v>1718</v>
      </c>
      <c r="M18" s="0" t="n">
        <v>404</v>
      </c>
      <c r="N18" s="0" t="n">
        <v>1314</v>
      </c>
      <c r="O18" s="0" t="n">
        <v>5930</v>
      </c>
      <c r="P18" s="0" t="n">
        <v>12837</v>
      </c>
      <c r="R18" s="0" t="n">
        <v>3982</v>
      </c>
      <c r="S18" s="0" t="n">
        <v>315</v>
      </c>
      <c r="T18" s="0" t="n">
        <v>118</v>
      </c>
      <c r="U18" s="0" t="n">
        <v>77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9252</v>
      </c>
      <c r="C19" s="0" t="n">
        <v>6199</v>
      </c>
      <c r="F19" s="0" t="n">
        <v>1262</v>
      </c>
      <c r="G19" s="0" t="n">
        <v>13.6402939904885</v>
      </c>
      <c r="H19" s="0" t="n">
        <v>1701</v>
      </c>
      <c r="I19" s="0" t="n">
        <v>908</v>
      </c>
      <c r="J19" s="0" t="n">
        <v>9.81409424989192</v>
      </c>
      <c r="K19" s="0" t="n">
        <v>7.59</v>
      </c>
      <c r="L19" s="0" t="n">
        <v>1272</v>
      </c>
      <c r="M19" s="0" t="n">
        <v>408</v>
      </c>
      <c r="N19" s="0" t="n">
        <v>864</v>
      </c>
      <c r="O19" s="0" t="n">
        <v>6342</v>
      </c>
      <c r="P19" s="0" t="n">
        <v>14022</v>
      </c>
      <c r="R19" s="0" t="n">
        <v>5016</v>
      </c>
      <c r="S19" s="0" t="n">
        <v>686</v>
      </c>
      <c r="T19" s="0" t="n">
        <v>113</v>
      </c>
      <c r="U19" s="0" t="n">
        <v>77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9872</v>
      </c>
      <c r="C20" s="0" t="n">
        <v>6628</v>
      </c>
      <c r="F20" s="0" t="n">
        <v>1346</v>
      </c>
      <c r="G20" s="0" t="n">
        <v>13.6345218800648</v>
      </c>
      <c r="H20" s="0" t="n">
        <v>1839</v>
      </c>
      <c r="I20" s="0" t="n">
        <v>921</v>
      </c>
      <c r="J20" s="0" t="n">
        <v>9.32941653160454</v>
      </c>
      <c r="K20" s="0" t="n">
        <v>7.78</v>
      </c>
      <c r="L20" s="0" t="n">
        <v>1334</v>
      </c>
      <c r="M20" s="0" t="n">
        <v>425</v>
      </c>
      <c r="N20" s="0" t="n">
        <v>909</v>
      </c>
      <c r="O20" s="0" t="n">
        <v>6813</v>
      </c>
      <c r="P20" s="0" t="n">
        <v>16153</v>
      </c>
      <c r="R20" s="0" t="n">
        <v>6819</v>
      </c>
      <c r="S20" s="0" t="n">
        <v>549</v>
      </c>
      <c r="T20" s="0" t="n">
        <v>113</v>
      </c>
      <c r="U20" s="0" t="n">
        <v>88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11035</v>
      </c>
      <c r="C21" s="0" t="n">
        <v>7370</v>
      </c>
      <c r="F21" s="0" t="n">
        <v>1556</v>
      </c>
      <c r="G21" s="0" t="n">
        <v>14.100589034889</v>
      </c>
      <c r="H21" s="0" t="n">
        <v>2126</v>
      </c>
      <c r="I21" s="0" t="n">
        <v>1046</v>
      </c>
      <c r="J21" s="0" t="n">
        <v>9.4789306751246</v>
      </c>
      <c r="K21" s="0" t="n">
        <v>8.87</v>
      </c>
      <c r="L21" s="0" t="n">
        <v>1886</v>
      </c>
      <c r="M21" s="0" t="n">
        <v>527</v>
      </c>
      <c r="N21" s="0" t="n">
        <v>1359</v>
      </c>
      <c r="O21" s="0" t="n">
        <v>7206</v>
      </c>
      <c r="P21" s="0" t="n">
        <v>16225</v>
      </c>
      <c r="R21" s="0" t="n">
        <v>6175</v>
      </c>
      <c r="S21" s="0" t="n">
        <v>420</v>
      </c>
      <c r="T21" s="0" t="n">
        <v>113</v>
      </c>
      <c r="U21" s="0" t="n">
        <v>88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236.32</v>
      </c>
    </row>
    <row r="3" customFormat="false" ht="15" hidden="false" customHeight="false" outlineLevel="0" collapsed="false">
      <c r="A3" s="0" t="s">
        <v>86</v>
      </c>
      <c r="B3" s="3" t="n">
        <v>112</v>
      </c>
    </row>
    <row r="4" customFormat="false" ht="15" hidden="false" customHeight="false" outlineLevel="0" collapsed="false">
      <c r="A4" s="0" t="s">
        <v>87</v>
      </c>
      <c r="B4" s="3" t="n">
        <v>5026</v>
      </c>
    </row>
    <row r="5" customFormat="false" ht="15" hidden="false" customHeight="false" outlineLevel="0" collapsed="false">
      <c r="A5" s="0" t="s">
        <v>88</v>
      </c>
      <c r="B5" s="3" t="n">
        <v>-660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11035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7</v>
      </c>
      <c r="D13" s="3" t="n">
        <v>2.5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20</v>
      </c>
      <c r="D14" s="3" t="n">
        <v>19.2</v>
      </c>
      <c r="E14" s="3" t="n">
        <v>18.8</v>
      </c>
      <c r="F14" s="3" t="n">
        <v>18.5</v>
      </c>
      <c r="G14" s="3" t="n">
        <v>18.5</v>
      </c>
      <c r="H14" s="3" t="n">
        <v>18.5</v>
      </c>
      <c r="I14" s="3" t="n">
        <v>18.5</v>
      </c>
      <c r="J14" s="3" t="n">
        <v>18.5</v>
      </c>
      <c r="K14" s="3" t="n">
        <v>18.5</v>
      </c>
      <c r="L14" s="3" t="n">
        <v>18.5</v>
      </c>
    </row>
    <row r="15" customFormat="false" ht="15" hidden="false" customHeight="false" outlineLevel="0" collapsed="false">
      <c r="A15" s="0" t="s">
        <v>108</v>
      </c>
      <c r="C15" s="3" t="n">
        <v>1.2</v>
      </c>
      <c r="D15" s="3" t="n">
        <v>1.2</v>
      </c>
      <c r="E15" s="3" t="n">
        <v>1.2</v>
      </c>
      <c r="F15" s="3" t="n">
        <v>1.2</v>
      </c>
      <c r="G15" s="3" t="n">
        <v>1.2</v>
      </c>
      <c r="H15" s="3" t="n">
        <v>1.2</v>
      </c>
      <c r="I15" s="3" t="n">
        <v>1.2</v>
      </c>
      <c r="J15" s="3" t="n">
        <v>1.2</v>
      </c>
      <c r="K15" s="3" t="n">
        <v>1.2</v>
      </c>
      <c r="L15" s="3" t="n">
        <v>1.2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5.1</v>
      </c>
      <c r="D17" s="3" t="n">
        <v>5</v>
      </c>
      <c r="E17" s="3" t="n">
        <v>4.9</v>
      </c>
      <c r="F17" s="3" t="n">
        <v>4.8</v>
      </c>
      <c r="G17" s="3" t="n">
        <v>4.7</v>
      </c>
      <c r="H17" s="3" t="n">
        <v>4.6</v>
      </c>
      <c r="I17" s="3" t="n">
        <v>4.5</v>
      </c>
      <c r="J17" s="3" t="n">
        <v>4.5</v>
      </c>
      <c r="K17" s="3" t="n">
        <v>4.4</v>
      </c>
      <c r="L17" s="3" t="n">
        <v>4.4</v>
      </c>
    </row>
    <row r="18" customFormat="false" ht="15" hidden="false" customHeight="false" outlineLevel="0" collapsed="false">
      <c r="A18" s="0" t="s">
        <v>111</v>
      </c>
      <c r="C18" s="3" t="n">
        <v>4.6</v>
      </c>
      <c r="D18" s="3" t="n">
        <v>4.6</v>
      </c>
      <c r="E18" s="3" t="n">
        <v>4.6</v>
      </c>
      <c r="F18" s="3" t="n">
        <v>4.5</v>
      </c>
      <c r="G18" s="3" t="n">
        <v>4.5</v>
      </c>
      <c r="H18" s="3" t="n">
        <v>4.5</v>
      </c>
      <c r="I18" s="3" t="n">
        <v>4.4</v>
      </c>
      <c r="J18" s="3" t="n">
        <v>4.4</v>
      </c>
      <c r="K18" s="3" t="n">
        <v>4.4</v>
      </c>
      <c r="L18" s="3" t="n">
        <v>4.4</v>
      </c>
    </row>
    <row r="19" customFormat="false" ht="15" hidden="false" customHeight="false" outlineLevel="0" collapsed="false">
      <c r="A19" s="0" t="s">
        <v>112</v>
      </c>
      <c r="C19" s="3" t="n">
        <v>21</v>
      </c>
      <c r="D19" s="3" t="n">
        <v>22</v>
      </c>
      <c r="E19" s="3" t="n">
        <v>23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113</v>
      </c>
      <c r="B20" s="3" t="n">
        <v>7.5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12</v>
      </c>
    </row>
    <row r="23" customFormat="false" ht="15" hidden="false" customHeight="false" outlineLevel="0" collapsed="false">
      <c r="A23" s="0" t="s">
        <v>116</v>
      </c>
      <c r="B23" s="3" t="n">
        <v>-6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7.5</v>
      </c>
      <c r="D27" s="3" t="n">
        <v>5</v>
      </c>
      <c r="E27" s="3" t="n">
        <v>4.5</v>
      </c>
      <c r="F27" s="3" t="n">
        <v>4</v>
      </c>
      <c r="G27" s="3" t="n">
        <v>4</v>
      </c>
      <c r="H27" s="3" t="n">
        <v>3.5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20.2</v>
      </c>
      <c r="D28" s="3" t="n">
        <v>20.4</v>
      </c>
      <c r="E28" s="3" t="n">
        <v>20.6</v>
      </c>
      <c r="F28" s="3" t="n">
        <v>20.8</v>
      </c>
      <c r="G28" s="3" t="n">
        <v>20.9</v>
      </c>
      <c r="H28" s="3" t="n">
        <v>21</v>
      </c>
      <c r="I28" s="3" t="n">
        <v>21</v>
      </c>
      <c r="J28" s="3" t="n">
        <v>21</v>
      </c>
      <c r="K28" s="3" t="n">
        <v>21</v>
      </c>
      <c r="L28" s="3" t="n">
        <v>21</v>
      </c>
    </row>
    <row r="29" customFormat="false" ht="15" hidden="false" customHeight="false" outlineLevel="0" collapsed="false">
      <c r="A29" s="0" t="s">
        <v>108</v>
      </c>
      <c r="C29" s="3" t="n">
        <v>1.2</v>
      </c>
      <c r="D29" s="3" t="n">
        <v>1.2</v>
      </c>
      <c r="E29" s="3" t="n">
        <v>1.2</v>
      </c>
      <c r="F29" s="3" t="n">
        <v>1.2</v>
      </c>
      <c r="G29" s="3" t="n">
        <v>1.2</v>
      </c>
      <c r="H29" s="3" t="n">
        <v>1.2</v>
      </c>
      <c r="I29" s="3" t="n">
        <v>1.2</v>
      </c>
      <c r="J29" s="3" t="n">
        <v>1.2</v>
      </c>
      <c r="K29" s="3" t="n">
        <v>1.2</v>
      </c>
      <c r="L29" s="3" t="n">
        <v>1.2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5.1</v>
      </c>
      <c r="D31" s="3" t="n">
        <v>5</v>
      </c>
      <c r="E31" s="3" t="n">
        <v>4.9</v>
      </c>
      <c r="F31" s="3" t="n">
        <v>4.8</v>
      </c>
      <c r="G31" s="3" t="n">
        <v>4.7</v>
      </c>
      <c r="H31" s="3" t="n">
        <v>4.6</v>
      </c>
      <c r="I31" s="3" t="n">
        <v>4.5</v>
      </c>
      <c r="J31" s="3" t="n">
        <v>4.5</v>
      </c>
      <c r="K31" s="3" t="n">
        <v>4.4</v>
      </c>
      <c r="L31" s="3" t="n">
        <v>4.4</v>
      </c>
    </row>
    <row r="32" customFormat="false" ht="15" hidden="false" customHeight="false" outlineLevel="0" collapsed="false">
      <c r="A32" s="0" t="s">
        <v>111</v>
      </c>
      <c r="C32" s="3" t="n">
        <v>4.6</v>
      </c>
      <c r="D32" s="3" t="n">
        <v>4.5</v>
      </c>
      <c r="E32" s="3" t="n">
        <v>4.5</v>
      </c>
      <c r="F32" s="3" t="n">
        <v>4.4</v>
      </c>
      <c r="G32" s="3" t="n">
        <v>4.4</v>
      </c>
      <c r="H32" s="3" t="n">
        <v>4.4</v>
      </c>
      <c r="I32" s="3" t="n">
        <v>4.4</v>
      </c>
      <c r="J32" s="3" t="n">
        <v>4.4</v>
      </c>
      <c r="K32" s="3" t="n">
        <v>4.4</v>
      </c>
      <c r="L32" s="3" t="n">
        <v>4.4</v>
      </c>
    </row>
    <row r="33" customFormat="false" ht="15" hidden="false" customHeight="false" outlineLevel="0" collapsed="false">
      <c r="A33" s="0" t="s">
        <v>112</v>
      </c>
      <c r="C33" s="3" t="n">
        <v>21</v>
      </c>
      <c r="D33" s="3" t="n">
        <v>22</v>
      </c>
      <c r="E33" s="3" t="n">
        <v>23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113</v>
      </c>
      <c r="B34" s="3" t="n">
        <v>7.5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15</v>
      </c>
    </row>
    <row r="37" customFormat="false" ht="15" hidden="false" customHeight="false" outlineLevel="0" collapsed="false">
      <c r="A37" s="0" t="s">
        <v>116</v>
      </c>
      <c r="B37" s="3" t="n">
        <v>-6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8</v>
      </c>
      <c r="D41" s="3" t="n">
        <v>6.5</v>
      </c>
      <c r="E41" s="3" t="n">
        <v>6</v>
      </c>
      <c r="F41" s="3" t="n">
        <v>5.5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20.4</v>
      </c>
      <c r="D42" s="3" t="n">
        <v>20.8</v>
      </c>
      <c r="E42" s="3" t="n">
        <v>21.3</v>
      </c>
      <c r="F42" s="3" t="n">
        <v>21.7</v>
      </c>
      <c r="G42" s="3" t="n">
        <v>22</v>
      </c>
      <c r="H42" s="3" t="n">
        <v>22.3</v>
      </c>
      <c r="I42" s="3" t="n">
        <v>22.5</v>
      </c>
      <c r="J42" s="3" t="n">
        <v>22.5</v>
      </c>
      <c r="K42" s="3" t="n">
        <v>22.5</v>
      </c>
      <c r="L42" s="3" t="n">
        <v>22.5</v>
      </c>
    </row>
    <row r="43" customFormat="false" ht="15" hidden="false" customHeight="false" outlineLevel="0" collapsed="false">
      <c r="A43" s="0" t="s">
        <v>108</v>
      </c>
      <c r="C43" s="3" t="n">
        <v>1.2</v>
      </c>
      <c r="D43" s="3" t="n">
        <v>1.2</v>
      </c>
      <c r="E43" s="3" t="n">
        <v>1.2</v>
      </c>
      <c r="F43" s="3" t="n">
        <v>1.2</v>
      </c>
      <c r="G43" s="3" t="n">
        <v>1.2</v>
      </c>
      <c r="H43" s="3" t="n">
        <v>1.2</v>
      </c>
      <c r="I43" s="3" t="n">
        <v>1.2</v>
      </c>
      <c r="J43" s="3" t="n">
        <v>1.2</v>
      </c>
      <c r="K43" s="3" t="n">
        <v>1.2</v>
      </c>
      <c r="L43" s="3" t="n">
        <v>1.2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5.1</v>
      </c>
      <c r="D45" s="3" t="n">
        <v>5</v>
      </c>
      <c r="E45" s="3" t="n">
        <v>4.9</v>
      </c>
      <c r="F45" s="3" t="n">
        <v>4.8</v>
      </c>
      <c r="G45" s="3" t="n">
        <v>4.7</v>
      </c>
      <c r="H45" s="3" t="n">
        <v>4.6</v>
      </c>
      <c r="I45" s="3" t="n">
        <v>4.5</v>
      </c>
      <c r="J45" s="3" t="n">
        <v>4.5</v>
      </c>
      <c r="K45" s="3" t="n">
        <v>4.4</v>
      </c>
      <c r="L45" s="3" t="n">
        <v>4.4</v>
      </c>
    </row>
    <row r="46" customFormat="false" ht="15" hidden="false" customHeight="false" outlineLevel="0" collapsed="false">
      <c r="A46" s="0" t="s">
        <v>111</v>
      </c>
      <c r="C46" s="3" t="n">
        <v>4.6</v>
      </c>
      <c r="D46" s="3" t="n">
        <v>4.5</v>
      </c>
      <c r="E46" s="3" t="n">
        <v>4.5</v>
      </c>
      <c r="F46" s="3" t="n">
        <v>4.4</v>
      </c>
      <c r="G46" s="3" t="n">
        <v>4.4</v>
      </c>
      <c r="H46" s="3" t="n">
        <v>4.4</v>
      </c>
      <c r="I46" s="3" t="n">
        <v>4.4</v>
      </c>
      <c r="J46" s="3" t="n">
        <v>4.4</v>
      </c>
      <c r="K46" s="3" t="n">
        <v>4.4</v>
      </c>
      <c r="L46" s="3" t="n">
        <v>4.4</v>
      </c>
    </row>
    <row r="47" customFormat="false" ht="15" hidden="false" customHeight="false" outlineLevel="0" collapsed="false">
      <c r="A47" s="0" t="s">
        <v>112</v>
      </c>
      <c r="C47" s="3" t="n">
        <v>21</v>
      </c>
      <c r="D47" s="3" t="n">
        <v>22</v>
      </c>
      <c r="E47" s="3" t="n">
        <v>23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113</v>
      </c>
      <c r="B48" s="3" t="n">
        <v>7.5</v>
      </c>
    </row>
    <row r="49" customFormat="false" ht="15" hidden="false" customHeight="false" outlineLevel="0" collapsed="false">
      <c r="A49" s="0" t="s">
        <v>114</v>
      </c>
      <c r="B49" s="3" t="n">
        <v>2.5</v>
      </c>
    </row>
    <row r="50" customFormat="false" ht="15" hidden="false" customHeight="false" outlineLevel="0" collapsed="false">
      <c r="A50" s="0" t="s">
        <v>115</v>
      </c>
      <c r="B50" s="3" t="n">
        <v>17</v>
      </c>
    </row>
    <row r="51" customFormat="false" ht="15" hidden="false" customHeight="false" outlineLevel="0" collapsed="false">
      <c r="A51" s="0" t="s">
        <v>116</v>
      </c>
      <c r="B51" s="3" t="n">
        <v>-6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7</v>
      </c>
      <c r="D5" s="4" t="n">
        <f aca="false">Assumptions!D13</f>
        <v>2.5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11035</v>
      </c>
      <c r="C6" s="0" t="n">
        <f aca="false">B6*(1+C5/100)</f>
        <v>11807.45</v>
      </c>
      <c r="D6" s="0" t="n">
        <f aca="false">C6*(1+D5/100)</f>
        <v>12102.63625</v>
      </c>
      <c r="E6" s="0" t="n">
        <f aca="false">D6*(1+E5/100)</f>
        <v>12344.688975</v>
      </c>
      <c r="F6" s="0" t="n">
        <f aca="false">E6*(1+F5/100)</f>
        <v>12591.5827545</v>
      </c>
      <c r="G6" s="0" t="n">
        <f aca="false">F6*(1+G5/100)</f>
        <v>12843.41440959</v>
      </c>
      <c r="H6" s="0" t="n">
        <f aca="false">G6*(1+H5/100)</f>
        <v>13100.2826977818</v>
      </c>
      <c r="I6" s="0" t="n">
        <f aca="false">H6*(1+I5/100)</f>
        <v>13362.2883517374</v>
      </c>
      <c r="J6" s="0" t="n">
        <f aca="false">I6*(1+J5/100)</f>
        <v>13629.5341187722</v>
      </c>
      <c r="K6" s="0" t="n">
        <f aca="false">J6*(1+K5/100)</f>
        <v>13902.1248011476</v>
      </c>
      <c r="L6" s="0" t="n">
        <f aca="false">K6*(1+L5/100)</f>
        <v>14180.1672971706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20</v>
      </c>
      <c r="D7" s="4" t="n">
        <f aca="false">Assumptions!D14</f>
        <v>19.2</v>
      </c>
      <c r="E7" s="4" t="n">
        <f aca="false">Assumptions!E14</f>
        <v>18.8</v>
      </c>
      <c r="F7" s="4" t="n">
        <f aca="false">Assumptions!F14</f>
        <v>18.5</v>
      </c>
      <c r="G7" s="4" t="n">
        <f aca="false">Assumptions!G14</f>
        <v>18.5</v>
      </c>
      <c r="H7" s="4" t="n">
        <f aca="false">Assumptions!H14</f>
        <v>18.5</v>
      </c>
      <c r="I7" s="4" t="n">
        <f aca="false">Assumptions!I14</f>
        <v>18.5</v>
      </c>
      <c r="J7" s="4" t="n">
        <f aca="false">Assumptions!J14</f>
        <v>18.5</v>
      </c>
      <c r="K7" s="4" t="n">
        <f aca="false">Assumptions!K14</f>
        <v>18.5</v>
      </c>
      <c r="L7" s="4" t="n">
        <f aca="false">Assumptions!L14</f>
        <v>18.5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2361.49</v>
      </c>
      <c r="D8" s="0" t="n">
        <f aca="false">D6*D7/100</f>
        <v>2323.70616</v>
      </c>
      <c r="E8" s="0" t="n">
        <f aca="false">E6*E7/100</f>
        <v>2320.8015273</v>
      </c>
      <c r="F8" s="0" t="n">
        <f aca="false">F6*F7/100</f>
        <v>2329.4428095825</v>
      </c>
      <c r="G8" s="0" t="n">
        <f aca="false">G6*G7/100</f>
        <v>2376.03166577415</v>
      </c>
      <c r="H8" s="0" t="n">
        <f aca="false">H6*H7/100</f>
        <v>2423.55229908963</v>
      </c>
      <c r="I8" s="0" t="n">
        <f aca="false">I6*I7/100</f>
        <v>2472.02334507143</v>
      </c>
      <c r="J8" s="0" t="n">
        <f aca="false">J6*J7/100</f>
        <v>2521.46381197285</v>
      </c>
      <c r="K8" s="0" t="n">
        <f aca="false">K6*K7/100</f>
        <v>2571.89308821231</v>
      </c>
      <c r="L8" s="0" t="n">
        <f aca="false">L6*L7/100</f>
        <v>2623.33094997656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1.2</v>
      </c>
      <c r="D9" s="4" t="n">
        <f aca="false">Assumptions!D15</f>
        <v>1.2</v>
      </c>
      <c r="E9" s="4" t="n">
        <f aca="false">Assumptions!E15</f>
        <v>1.2</v>
      </c>
      <c r="F9" s="4" t="n">
        <f aca="false">Assumptions!F15</f>
        <v>1.2</v>
      </c>
      <c r="G9" s="4" t="n">
        <f aca="false">Assumptions!G15</f>
        <v>1.2</v>
      </c>
      <c r="H9" s="4" t="n">
        <f aca="false">Assumptions!H15</f>
        <v>1.2</v>
      </c>
      <c r="I9" s="4" t="n">
        <f aca="false">Assumptions!I15</f>
        <v>1.2</v>
      </c>
      <c r="J9" s="4" t="n">
        <f aca="false">Assumptions!J15</f>
        <v>1.2</v>
      </c>
      <c r="K9" s="4" t="n">
        <f aca="false">Assumptions!K15</f>
        <v>1.2</v>
      </c>
      <c r="L9" s="4" t="n">
        <f aca="false">Assumptions!L15</f>
        <v>1.2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-141.6894</v>
      </c>
      <c r="D10" s="0" t="n">
        <f aca="false">-D6*D9/100</f>
        <v>-145.231635</v>
      </c>
      <c r="E10" s="0" t="n">
        <f aca="false">-E6*E9/100</f>
        <v>-148.1362677</v>
      </c>
      <c r="F10" s="0" t="n">
        <f aca="false">-F6*F9/100</f>
        <v>-151.098993054</v>
      </c>
      <c r="G10" s="0" t="n">
        <f aca="false">-G6*G9/100</f>
        <v>-154.12097291508</v>
      </c>
      <c r="H10" s="0" t="n">
        <f aca="false">-H6*H9/100</f>
        <v>-157.203392373382</v>
      </c>
      <c r="I10" s="0" t="n">
        <f aca="false">-I6*I9/100</f>
        <v>-160.347460220849</v>
      </c>
      <c r="J10" s="0" t="n">
        <f aca="false">-J6*J9/100</f>
        <v>-163.554409425266</v>
      </c>
      <c r="K10" s="0" t="n">
        <f aca="false">-K6*K9/100</f>
        <v>-166.825497613772</v>
      </c>
      <c r="L10" s="0" t="n">
        <f aca="false">-L6*L9/100</f>
        <v>-170.162007566047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2219.8006</v>
      </c>
      <c r="D11" s="0" t="n">
        <f aca="false">D8+D10+D24</f>
        <v>2178.474525</v>
      </c>
      <c r="E11" s="0" t="n">
        <f aca="false">E8+E10+E24</f>
        <v>2172.6652596</v>
      </c>
      <c r="F11" s="0" t="n">
        <f aca="false">F8+F10+F24</f>
        <v>2178.3438165285</v>
      </c>
      <c r="G11" s="0" t="n">
        <f aca="false">G8+G10+G24</f>
        <v>2221.91069285907</v>
      </c>
      <c r="H11" s="0" t="n">
        <f aca="false">H8+H10+H24</f>
        <v>2266.34890671625</v>
      </c>
      <c r="I11" s="0" t="n">
        <f aca="false">I8+I10+I24</f>
        <v>2311.67588485058</v>
      </c>
      <c r="J11" s="0" t="n">
        <f aca="false">J8+J10+J24</f>
        <v>2357.90940254759</v>
      </c>
      <c r="K11" s="0" t="n">
        <f aca="false">K8+K10+K24</f>
        <v>2405.06759059854</v>
      </c>
      <c r="L11" s="0" t="n">
        <f aca="false">L8+L10+L24</f>
        <v>2453.16894241051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-602.17995</v>
      </c>
      <c r="D12" s="4" t="n">
        <f aca="false">-D6*Assumptions!D17/100</f>
        <v>-605.1318125</v>
      </c>
      <c r="E12" s="4" t="n">
        <f aca="false">-E6*Assumptions!E17/100</f>
        <v>-604.889759775</v>
      </c>
      <c r="F12" s="4" t="n">
        <f aca="false">-F6*Assumptions!F17/100</f>
        <v>-604.395972216</v>
      </c>
      <c r="G12" s="4" t="n">
        <f aca="false">-G6*Assumptions!G17/100</f>
        <v>-603.64047725073</v>
      </c>
      <c r="H12" s="4" t="n">
        <f aca="false">-H6*Assumptions!H17/100</f>
        <v>-602.613004097963</v>
      </c>
      <c r="I12" s="4" t="n">
        <f aca="false">-I6*Assumptions!I17/100</f>
        <v>-601.302975828185</v>
      </c>
      <c r="J12" s="4" t="n">
        <f aca="false">-J6*Assumptions!J17/100</f>
        <v>-613.329035344748</v>
      </c>
      <c r="K12" s="4" t="n">
        <f aca="false">-K6*Assumptions!K17/100</f>
        <v>-611.693491250496</v>
      </c>
      <c r="L12" s="4" t="n">
        <f aca="false">-L6*Assumptions!L17/100</f>
        <v>-623.927361075506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1617.62065</v>
      </c>
      <c r="D13" s="0" t="n">
        <f aca="false">D11+D12</f>
        <v>1573.3427125</v>
      </c>
      <c r="E13" s="0" t="n">
        <f aca="false">E11+E12</f>
        <v>1567.775499825</v>
      </c>
      <c r="F13" s="0" t="n">
        <f aca="false">F11+F12</f>
        <v>1573.9478443125</v>
      </c>
      <c r="G13" s="0" t="n">
        <f aca="false">G11+G12</f>
        <v>1618.27021560834</v>
      </c>
      <c r="H13" s="0" t="n">
        <f aca="false">H11+H12</f>
        <v>1663.73590261829</v>
      </c>
      <c r="I13" s="0" t="n">
        <f aca="false">I11+I12</f>
        <v>1710.37290902239</v>
      </c>
      <c r="J13" s="0" t="n">
        <f aca="false">J11+J12</f>
        <v>1744.58036720284</v>
      </c>
      <c r="K13" s="0" t="n">
        <f aca="false">K11+K12</f>
        <v>1793.37409934804</v>
      </c>
      <c r="L13" s="0" t="n">
        <f aca="false">L11+L12</f>
        <v>1829.241581335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21</v>
      </c>
      <c r="D14" s="4" t="n">
        <f aca="false">Assumptions!D19</f>
        <v>22</v>
      </c>
      <c r="E14" s="4" t="n">
        <f aca="false">Assumptions!E19</f>
        <v>23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1277.9203135</v>
      </c>
      <c r="D15" s="0" t="n">
        <f aca="false">D13-MAX(0,D13)*D14/100</f>
        <v>1227.20731575</v>
      </c>
      <c r="E15" s="0" t="n">
        <f aca="false">E13-MAX(0,E13)*E14/100</f>
        <v>1207.18713486525</v>
      </c>
      <c r="F15" s="0" t="n">
        <f aca="false">F13-MAX(0,F13)*F14/100</f>
        <v>1196.2003616775</v>
      </c>
      <c r="G15" s="0" t="n">
        <f aca="false">G13-MAX(0,G13)*G14/100</f>
        <v>1229.88536386234</v>
      </c>
      <c r="H15" s="0" t="n">
        <f aca="false">H13-MAX(0,H13)*H14/100</f>
        <v>1264.4392859899</v>
      </c>
      <c r="I15" s="0" t="n">
        <f aca="false">I13-MAX(0,I13)*I14/100</f>
        <v>1299.88341085702</v>
      </c>
      <c r="J15" s="0" t="n">
        <f aca="false">J13-MAX(0,J13)*J14/100</f>
        <v>1325.88107907416</v>
      </c>
      <c r="K15" s="0" t="n">
        <f aca="false">K13-MAX(0,K13)*K14/100</f>
        <v>1362.96431550451</v>
      </c>
      <c r="L15" s="0" t="n">
        <f aca="false">L13-MAX(0,L13)*L14/100</f>
        <v>1390.2236018146</v>
      </c>
    </row>
    <row r="16" customFormat="false" ht="15" hidden="false" customHeight="false" outlineLevel="0" collapsed="false">
      <c r="A16" s="0" t="s">
        <v>128</v>
      </c>
      <c r="C16" s="0" t="n">
        <f aca="false">-C12</f>
        <v>602.17995</v>
      </c>
      <c r="D16" s="0" t="n">
        <f aca="false">-D12</f>
        <v>605.1318125</v>
      </c>
      <c r="E16" s="0" t="n">
        <f aca="false">-E12</f>
        <v>604.889759775</v>
      </c>
      <c r="F16" s="0" t="n">
        <f aca="false">-F12</f>
        <v>604.395972216</v>
      </c>
      <c r="G16" s="0" t="n">
        <f aca="false">-G12</f>
        <v>603.64047725073</v>
      </c>
      <c r="H16" s="0" t="n">
        <f aca="false">-H12</f>
        <v>602.613004097963</v>
      </c>
      <c r="I16" s="0" t="n">
        <f aca="false">-I12</f>
        <v>601.302975828185</v>
      </c>
      <c r="J16" s="0" t="n">
        <f aca="false">-J12</f>
        <v>613.329035344748</v>
      </c>
      <c r="K16" s="0" t="n">
        <f aca="false">-K12</f>
        <v>611.693491250496</v>
      </c>
      <c r="L16" s="0" t="n">
        <f aca="false">-L12</f>
        <v>623.927361075506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-543.1427</v>
      </c>
      <c r="D17" s="4" t="n">
        <f aca="false">-D6*Assumptions!D18/100</f>
        <v>-556.7212675</v>
      </c>
      <c r="E17" s="4" t="n">
        <f aca="false">-E6*Assumptions!E18/100</f>
        <v>-567.85569285</v>
      </c>
      <c r="F17" s="4" t="n">
        <f aca="false">-F6*Assumptions!F18/100</f>
        <v>-566.6212239525</v>
      </c>
      <c r="G17" s="4" t="n">
        <f aca="false">-G6*Assumptions!G18/100</f>
        <v>-577.95364843155</v>
      </c>
      <c r="H17" s="4" t="n">
        <f aca="false">-H6*Assumptions!H18/100</f>
        <v>-589.512721400181</v>
      </c>
      <c r="I17" s="4" t="n">
        <f aca="false">-I6*Assumptions!I18/100</f>
        <v>-587.940687476447</v>
      </c>
      <c r="J17" s="4" t="n">
        <f aca="false">-J6*Assumptions!J18/100</f>
        <v>-599.699501225976</v>
      </c>
      <c r="K17" s="4" t="n">
        <f aca="false">-K6*Assumptions!K18/100</f>
        <v>-611.693491250496</v>
      </c>
      <c r="L17" s="4" t="n">
        <f aca="false">-L6*Assumptions!L18/100</f>
        <v>-623.927361075506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-46.347</v>
      </c>
      <c r="D18" s="4" t="n">
        <f aca="false">(D6-C6)*Assumptions!$B$23/100</f>
        <v>-17.7111749999999</v>
      </c>
      <c r="E18" s="4" t="n">
        <f aca="false">(E6-D6)*Assumptions!$B$23/100</f>
        <v>-14.5231635</v>
      </c>
      <c r="F18" s="4" t="n">
        <f aca="false">(F6-E6)*Assumptions!$B$23/100</f>
        <v>-14.81362677</v>
      </c>
      <c r="G18" s="4" t="n">
        <f aca="false">(G6-F6)*Assumptions!$B$23/100</f>
        <v>-15.1098993054</v>
      </c>
      <c r="H18" s="4" t="n">
        <f aca="false">(H6-G6)*Assumptions!$B$23/100</f>
        <v>-15.412097291508</v>
      </c>
      <c r="I18" s="4" t="n">
        <f aca="false">(I6-H6)*Assumptions!$B$23/100</f>
        <v>-15.7203392373381</v>
      </c>
      <c r="J18" s="4" t="n">
        <f aca="false">(J6-I6)*Assumptions!$B$23/100</f>
        <v>-16.0347460220849</v>
      </c>
      <c r="K18" s="4" t="n">
        <f aca="false">(K6-J6)*Assumptions!$B$23/100</f>
        <v>-16.3554409425266</v>
      </c>
      <c r="L18" s="4" t="n">
        <f aca="false">(L6-K6)*Assumptions!$B$23/100</f>
        <v>-16.6825497613771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1290.6105635</v>
      </c>
      <c r="D19" s="0" t="n">
        <f aca="false">D15+D16+D17+D18</f>
        <v>1257.90668575</v>
      </c>
      <c r="E19" s="0" t="n">
        <f aca="false">E15+E16+E17+E18</f>
        <v>1229.69803829025</v>
      </c>
      <c r="F19" s="0" t="n">
        <f aca="false">F15+F16+F17+F18</f>
        <v>1219.161483171</v>
      </c>
      <c r="G19" s="0" t="n">
        <f aca="false">G15+G16+G17+G18</f>
        <v>1240.46229337612</v>
      </c>
      <c r="H19" s="0" t="n">
        <f aca="false">H15+H16+H17+H18</f>
        <v>1262.12747139617</v>
      </c>
      <c r="I19" s="0" t="n">
        <f aca="false">I15+I16+I17+I18</f>
        <v>1297.52535997142</v>
      </c>
      <c r="J19" s="0" t="n">
        <f aca="false">J15+J16+J17+J18</f>
        <v>1323.47586717085</v>
      </c>
      <c r="K19" s="0" t="n">
        <f aca="false">K15+K16+K17+K18</f>
        <v>1346.60887456199</v>
      </c>
      <c r="L19" s="0" t="n">
        <f aca="false">L15+L16+L17+L18</f>
        <v>1373.54105205323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1200.56796604651</v>
      </c>
      <c r="D21" s="0" t="n">
        <f aca="false">D19*D20</f>
        <v>1088.5076783126</v>
      </c>
      <c r="E21" s="0" t="n">
        <f aca="false">E19*E20</f>
        <v>989.858433226961</v>
      </c>
      <c r="F21" s="0" t="n">
        <f aca="false">F19*F20</f>
        <v>912.908764481396</v>
      </c>
      <c r="G21" s="0" t="n">
        <f aca="false">G19*G20</f>
        <v>864.054718555958</v>
      </c>
      <c r="H21" s="0" t="n">
        <f aca="false">H19*H20</f>
        <v>817.810032862538</v>
      </c>
      <c r="I21" s="0" t="n">
        <f aca="false">I19*I20</f>
        <v>782.089769762061</v>
      </c>
      <c r="J21" s="0" t="n">
        <f aca="false">J19*J20</f>
        <v>742.075874564933</v>
      </c>
      <c r="K21" s="0" t="n">
        <f aca="false">K19*K20</f>
        <v>702.36893346442</v>
      </c>
      <c r="L21" s="0" t="n">
        <f aca="false">L19*L20</f>
        <v>666.433778729031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8766.67595000641</v>
      </c>
    </row>
    <row r="31" customFormat="false" ht="15" hidden="false" customHeight="false" outlineLevel="0" collapsed="false">
      <c r="A31" s="0" t="s">
        <v>137</v>
      </c>
      <c r="B31" s="0" t="n">
        <f aca="false">L19</f>
        <v>1373.54105205323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25472.9431471689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16482.4926246387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16482.4926246387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7997.20534474837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16763.8812947548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11077.8812947548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98.9096544174534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-0.581458808321541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1057.01120197291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1531.14189739285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122.018164233219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10777.0144084176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30.018499407476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7.5</v>
      </c>
      <c r="D5" s="4" t="n">
        <f aca="false">Assumptions!D27</f>
        <v>5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11035</v>
      </c>
      <c r="C6" s="0" t="n">
        <f aca="false">B6*(1+C5/100)</f>
        <v>11862.625</v>
      </c>
      <c r="D6" s="0" t="n">
        <f aca="false">C6*(1+D5/100)</f>
        <v>12455.75625</v>
      </c>
      <c r="E6" s="0" t="n">
        <f aca="false">D6*(1+E5/100)</f>
        <v>13016.26528125</v>
      </c>
      <c r="F6" s="0" t="n">
        <f aca="false">E6*(1+F5/100)</f>
        <v>13536.9158925</v>
      </c>
      <c r="G6" s="0" t="n">
        <f aca="false">F6*(1+G5/100)</f>
        <v>14078.3925282</v>
      </c>
      <c r="H6" s="0" t="n">
        <f aca="false">G6*(1+H5/100)</f>
        <v>14571.136266687</v>
      </c>
      <c r="I6" s="0" t="n">
        <f aca="false">H6*(1+I5/100)</f>
        <v>15081.126036021</v>
      </c>
      <c r="J6" s="0" t="n">
        <f aca="false">I6*(1+J5/100)</f>
        <v>15533.5598171017</v>
      </c>
      <c r="K6" s="0" t="n">
        <f aca="false">J6*(1+K5/100)</f>
        <v>15999.5666116147</v>
      </c>
      <c r="L6" s="0" t="n">
        <f aca="false">K6*(1+L5/100)</f>
        <v>16479.5536099632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20.2</v>
      </c>
      <c r="D7" s="4" t="n">
        <f aca="false">Assumptions!D28</f>
        <v>20.4</v>
      </c>
      <c r="E7" s="4" t="n">
        <f aca="false">Assumptions!E28</f>
        <v>20.6</v>
      </c>
      <c r="F7" s="4" t="n">
        <f aca="false">Assumptions!F28</f>
        <v>20.8</v>
      </c>
      <c r="G7" s="4" t="n">
        <f aca="false">Assumptions!G28</f>
        <v>20.9</v>
      </c>
      <c r="H7" s="4" t="n">
        <f aca="false">Assumptions!H28</f>
        <v>21</v>
      </c>
      <c r="I7" s="4" t="n">
        <f aca="false">Assumptions!I28</f>
        <v>21</v>
      </c>
      <c r="J7" s="4" t="n">
        <f aca="false">Assumptions!J28</f>
        <v>21</v>
      </c>
      <c r="K7" s="4" t="n">
        <f aca="false">Assumptions!K28</f>
        <v>21</v>
      </c>
      <c r="L7" s="4" t="n">
        <f aca="false">Assumptions!L28</f>
        <v>21</v>
      </c>
    </row>
    <row r="8" customFormat="false" ht="15" hidden="false" customHeight="false" outlineLevel="0" collapsed="false">
      <c r="A8" s="0" t="s">
        <v>43</v>
      </c>
      <c r="C8" s="0" t="n">
        <f aca="false">C6*C7/100</f>
        <v>2396.25025</v>
      </c>
      <c r="D8" s="0" t="n">
        <f aca="false">D6*D7/100</f>
        <v>2540.974275</v>
      </c>
      <c r="E8" s="0" t="n">
        <f aca="false">E6*E7/100</f>
        <v>2681.3506479375</v>
      </c>
      <c r="F8" s="0" t="n">
        <f aca="false">F6*F7/100</f>
        <v>2815.67850564</v>
      </c>
      <c r="G8" s="0" t="n">
        <f aca="false">G6*G7/100</f>
        <v>2942.3840383938</v>
      </c>
      <c r="H8" s="0" t="n">
        <f aca="false">H6*H7/100</f>
        <v>3059.93861600427</v>
      </c>
      <c r="I8" s="0" t="n">
        <f aca="false">I6*I7/100</f>
        <v>3167.03646756442</v>
      </c>
      <c r="J8" s="0" t="n">
        <f aca="false">J6*J7/100</f>
        <v>3262.04756159135</v>
      </c>
      <c r="K8" s="0" t="n">
        <f aca="false">K6*K7/100</f>
        <v>3359.90898843909</v>
      </c>
      <c r="L8" s="0" t="n">
        <f aca="false">L6*L7/100</f>
        <v>3460.70625809227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1.2</v>
      </c>
      <c r="D9" s="4" t="n">
        <f aca="false">Assumptions!D29</f>
        <v>1.2</v>
      </c>
      <c r="E9" s="4" t="n">
        <f aca="false">Assumptions!E29</f>
        <v>1.2</v>
      </c>
      <c r="F9" s="4" t="n">
        <f aca="false">Assumptions!F29</f>
        <v>1.2</v>
      </c>
      <c r="G9" s="4" t="n">
        <f aca="false">Assumptions!G29</f>
        <v>1.2</v>
      </c>
      <c r="H9" s="4" t="n">
        <f aca="false">Assumptions!H29</f>
        <v>1.2</v>
      </c>
      <c r="I9" s="4" t="n">
        <f aca="false">Assumptions!I29</f>
        <v>1.2</v>
      </c>
      <c r="J9" s="4" t="n">
        <f aca="false">Assumptions!J29</f>
        <v>1.2</v>
      </c>
      <c r="K9" s="4" t="n">
        <f aca="false">Assumptions!K29</f>
        <v>1.2</v>
      </c>
      <c r="L9" s="4" t="n">
        <f aca="false">Assumptions!L29</f>
        <v>1.2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-142.3515</v>
      </c>
      <c r="D10" s="0" t="n">
        <f aca="false">-D6*D9/100</f>
        <v>-149.469075</v>
      </c>
      <c r="E10" s="0" t="n">
        <f aca="false">-E6*E9/100</f>
        <v>-156.195183375</v>
      </c>
      <c r="F10" s="0" t="n">
        <f aca="false">-F6*F9/100</f>
        <v>-162.44299071</v>
      </c>
      <c r="G10" s="0" t="n">
        <f aca="false">-G6*G9/100</f>
        <v>-168.9407103384</v>
      </c>
      <c r="H10" s="0" t="n">
        <f aca="false">-H6*H9/100</f>
        <v>-174.853635200244</v>
      </c>
      <c r="I10" s="0" t="n">
        <f aca="false">-I6*I9/100</f>
        <v>-180.973512432253</v>
      </c>
      <c r="J10" s="0" t="n">
        <f aca="false">-J6*J9/100</f>
        <v>-186.40271780522</v>
      </c>
      <c r="K10" s="0" t="n">
        <f aca="false">-K6*K9/100</f>
        <v>-191.994799339377</v>
      </c>
      <c r="L10" s="0" t="n">
        <f aca="false">-L6*L9/100</f>
        <v>-197.754643319558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2253.89875</v>
      </c>
      <c r="D11" s="0" t="n">
        <f aca="false">D8+D10+D24</f>
        <v>2391.5052</v>
      </c>
      <c r="E11" s="0" t="n">
        <f aca="false">E8+E10+E24</f>
        <v>2525.1554645625</v>
      </c>
      <c r="F11" s="0" t="n">
        <f aca="false">F8+F10+F24</f>
        <v>2653.23551493</v>
      </c>
      <c r="G11" s="0" t="n">
        <f aca="false">G8+G10+G24</f>
        <v>2773.4433280554</v>
      </c>
      <c r="H11" s="0" t="n">
        <f aca="false">H8+H10+H24</f>
        <v>2885.08498080403</v>
      </c>
      <c r="I11" s="0" t="n">
        <f aca="false">I8+I10+I24</f>
        <v>2986.06295513217</v>
      </c>
      <c r="J11" s="0" t="n">
        <f aca="false">J8+J10+J24</f>
        <v>3075.64484378613</v>
      </c>
      <c r="K11" s="0" t="n">
        <f aca="false">K8+K10+K24</f>
        <v>3167.91418909972</v>
      </c>
      <c r="L11" s="0" t="n">
        <f aca="false">L8+L10+L24</f>
        <v>3262.95161477271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-604.993875</v>
      </c>
      <c r="D12" s="4" t="n">
        <f aca="false">-D6*Assumptions!D31/100</f>
        <v>-622.7878125</v>
      </c>
      <c r="E12" s="4" t="n">
        <f aca="false">-E6*Assumptions!E31/100</f>
        <v>-637.79699878125</v>
      </c>
      <c r="F12" s="4" t="n">
        <f aca="false">-F6*Assumptions!F31/100</f>
        <v>-649.77196284</v>
      </c>
      <c r="G12" s="4" t="n">
        <f aca="false">-G6*Assumptions!G31/100</f>
        <v>-661.6844488254</v>
      </c>
      <c r="H12" s="4" t="n">
        <f aca="false">-H6*Assumptions!H31/100</f>
        <v>-670.272268267602</v>
      </c>
      <c r="I12" s="4" t="n">
        <f aca="false">-I6*Assumptions!I31/100</f>
        <v>-678.650671620947</v>
      </c>
      <c r="J12" s="4" t="n">
        <f aca="false">-J6*Assumptions!J31/100</f>
        <v>-699.010191769576</v>
      </c>
      <c r="K12" s="4" t="n">
        <f aca="false">-K6*Assumptions!K31/100</f>
        <v>-703.980930911048</v>
      </c>
      <c r="L12" s="4" t="n">
        <f aca="false">-L6*Assumptions!L31/100</f>
        <v>-725.10035883838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1648.904875</v>
      </c>
      <c r="D13" s="0" t="n">
        <f aca="false">D11+D12</f>
        <v>1768.7173875</v>
      </c>
      <c r="E13" s="0" t="n">
        <f aca="false">E11+E12</f>
        <v>1887.35846578125</v>
      </c>
      <c r="F13" s="0" t="n">
        <f aca="false">F11+F12</f>
        <v>2003.46355209</v>
      </c>
      <c r="G13" s="0" t="n">
        <f aca="false">G11+G12</f>
        <v>2111.75887923</v>
      </c>
      <c r="H13" s="0" t="n">
        <f aca="false">H11+H12</f>
        <v>2214.81271253642</v>
      </c>
      <c r="I13" s="0" t="n">
        <f aca="false">I11+I12</f>
        <v>2307.41228351122</v>
      </c>
      <c r="J13" s="0" t="n">
        <f aca="false">J11+J12</f>
        <v>2376.63465201656</v>
      </c>
      <c r="K13" s="0" t="n">
        <f aca="false">K11+K12</f>
        <v>2463.93325818867</v>
      </c>
      <c r="L13" s="0" t="n">
        <f aca="false">L11+L12</f>
        <v>2537.85125593433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21</v>
      </c>
      <c r="D14" s="4" t="n">
        <f aca="false">Assumptions!D33</f>
        <v>22</v>
      </c>
      <c r="E14" s="4" t="n">
        <f aca="false">Assumptions!E33</f>
        <v>23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1302.63485125</v>
      </c>
      <c r="D15" s="0" t="n">
        <f aca="false">D13-MAX(0,D13)*D14/100</f>
        <v>1379.59956225</v>
      </c>
      <c r="E15" s="0" t="n">
        <f aca="false">E13-MAX(0,E13)*E14/100</f>
        <v>1453.26601865156</v>
      </c>
      <c r="F15" s="0" t="n">
        <f aca="false">F13-MAX(0,F13)*F14/100</f>
        <v>1522.6322995884</v>
      </c>
      <c r="G15" s="0" t="n">
        <f aca="false">G13-MAX(0,G13)*G14/100</f>
        <v>1604.9367482148</v>
      </c>
      <c r="H15" s="0" t="n">
        <f aca="false">H13-MAX(0,H13)*H14/100</f>
        <v>1683.25766152768</v>
      </c>
      <c r="I15" s="0" t="n">
        <f aca="false">I13-MAX(0,I13)*I14/100</f>
        <v>1753.63333546853</v>
      </c>
      <c r="J15" s="0" t="n">
        <f aca="false">J13-MAX(0,J13)*J14/100</f>
        <v>1806.24233553258</v>
      </c>
      <c r="K15" s="0" t="n">
        <f aca="false">K13-MAX(0,K13)*K14/100</f>
        <v>1872.58927622339</v>
      </c>
      <c r="L15" s="0" t="n">
        <f aca="false">L13-MAX(0,L13)*L14/100</f>
        <v>1928.76695451009</v>
      </c>
    </row>
    <row r="16" customFormat="false" ht="15" hidden="false" customHeight="false" outlineLevel="0" collapsed="false">
      <c r="A16" s="0" t="s">
        <v>128</v>
      </c>
      <c r="C16" s="0" t="n">
        <f aca="false">-C12</f>
        <v>604.993875</v>
      </c>
      <c r="D16" s="0" t="n">
        <f aca="false">-D12</f>
        <v>622.7878125</v>
      </c>
      <c r="E16" s="0" t="n">
        <f aca="false">-E12</f>
        <v>637.79699878125</v>
      </c>
      <c r="F16" s="0" t="n">
        <f aca="false">-F12</f>
        <v>649.77196284</v>
      </c>
      <c r="G16" s="0" t="n">
        <f aca="false">-G12</f>
        <v>661.6844488254</v>
      </c>
      <c r="H16" s="0" t="n">
        <f aca="false">-H12</f>
        <v>670.272268267602</v>
      </c>
      <c r="I16" s="0" t="n">
        <f aca="false">-I12</f>
        <v>678.650671620947</v>
      </c>
      <c r="J16" s="0" t="n">
        <f aca="false">-J12</f>
        <v>699.010191769576</v>
      </c>
      <c r="K16" s="0" t="n">
        <f aca="false">-K12</f>
        <v>703.980930911048</v>
      </c>
      <c r="L16" s="0" t="n">
        <f aca="false">-L12</f>
        <v>725.10035883838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-545.68075</v>
      </c>
      <c r="D17" s="4" t="n">
        <f aca="false">-D6*Assumptions!D32/100</f>
        <v>-560.50903125</v>
      </c>
      <c r="E17" s="4" t="n">
        <f aca="false">-E6*Assumptions!E32/100</f>
        <v>-585.73193765625</v>
      </c>
      <c r="F17" s="4" t="n">
        <f aca="false">-F6*Assumptions!F32/100</f>
        <v>-595.62429927</v>
      </c>
      <c r="G17" s="4" t="n">
        <f aca="false">-G6*Assumptions!G32/100</f>
        <v>-619.4492712408</v>
      </c>
      <c r="H17" s="4" t="n">
        <f aca="false">-H6*Assumptions!H32/100</f>
        <v>-641.129995734228</v>
      </c>
      <c r="I17" s="4" t="n">
        <f aca="false">-I6*Assumptions!I32/100</f>
        <v>-663.569545584926</v>
      </c>
      <c r="J17" s="4" t="n">
        <f aca="false">-J6*Assumptions!J32/100</f>
        <v>-683.476631952474</v>
      </c>
      <c r="K17" s="4" t="n">
        <f aca="false">-K6*Assumptions!K32/100</f>
        <v>-703.980930911048</v>
      </c>
      <c r="L17" s="4" t="n">
        <f aca="false">-L6*Assumptions!L32/100</f>
        <v>-725.10035883838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-49.6575</v>
      </c>
      <c r="D18" s="4" t="n">
        <f aca="false">(D6-C6)*Assumptions!$B$37/100</f>
        <v>-35.587875</v>
      </c>
      <c r="E18" s="4" t="n">
        <f aca="false">(E6-D6)*Assumptions!$B$37/100</f>
        <v>-33.630541875</v>
      </c>
      <c r="F18" s="4" t="n">
        <f aca="false">(F6-E6)*Assumptions!$B$37/100</f>
        <v>-31.2390366750001</v>
      </c>
      <c r="G18" s="4" t="n">
        <f aca="false">(G6-F6)*Assumptions!$B$37/100</f>
        <v>-32.488598142</v>
      </c>
      <c r="H18" s="4" t="n">
        <f aca="false">(H6-G6)*Assumptions!$B$37/100</f>
        <v>-29.5646243092199</v>
      </c>
      <c r="I18" s="4" t="n">
        <f aca="false">(I6-H6)*Assumptions!$B$37/100</f>
        <v>-30.5993861600427</v>
      </c>
      <c r="J18" s="4" t="n">
        <f aca="false">(J6-I6)*Assumptions!$B$37/100</f>
        <v>-27.1460268648379</v>
      </c>
      <c r="K18" s="4" t="n">
        <f aca="false">(K6-J6)*Assumptions!$B$37/100</f>
        <v>-27.960407670783</v>
      </c>
      <c r="L18" s="4" t="n">
        <f aca="false">(L6-K6)*Assumptions!$B$37/100</f>
        <v>-28.7992199009064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1312.29047625</v>
      </c>
      <c r="D19" s="0" t="n">
        <f aca="false">D15+D16+D17+D18</f>
        <v>1406.2904685</v>
      </c>
      <c r="E19" s="0" t="n">
        <f aca="false">E15+E16+E17+E18</f>
        <v>1471.70053790156</v>
      </c>
      <c r="F19" s="0" t="n">
        <f aca="false">F15+F16+F17+F18</f>
        <v>1545.5409264834</v>
      </c>
      <c r="G19" s="0" t="n">
        <f aca="false">G15+G16+G17+G18</f>
        <v>1614.6833276574</v>
      </c>
      <c r="H19" s="0" t="n">
        <f aca="false">H15+H16+H17+H18</f>
        <v>1682.83530975184</v>
      </c>
      <c r="I19" s="0" t="n">
        <f aca="false">I15+I16+I17+I18</f>
        <v>1738.11507534451</v>
      </c>
      <c r="J19" s="0" t="n">
        <f aca="false">J15+J16+J17+J18</f>
        <v>1794.62986848485</v>
      </c>
      <c r="K19" s="0" t="n">
        <f aca="false">K15+K16+K17+K18</f>
        <v>1844.6288685526</v>
      </c>
      <c r="L19" s="0" t="n">
        <f aca="false">L15+L16+L17+L18</f>
        <v>1899.96773460918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1220.73532674419</v>
      </c>
      <c r="D21" s="0" t="n">
        <f aca="false">D19*D20</f>
        <v>1216.90900465116</v>
      </c>
      <c r="E21" s="0" t="n">
        <f aca="false">E19*E20</f>
        <v>1184.66090313683</v>
      </c>
      <c r="F21" s="0" t="n">
        <f aca="false">F19*F20</f>
        <v>1157.30186454184</v>
      </c>
      <c r="G21" s="0" t="n">
        <f aca="false">G19*G20</f>
        <v>1124.72161039157</v>
      </c>
      <c r="H21" s="0" t="n">
        <f aca="false">H19*H20</f>
        <v>1090.4125226337</v>
      </c>
      <c r="I21" s="0" t="n">
        <f aca="false">I19*I20</f>
        <v>1047.65737998839</v>
      </c>
      <c r="J21" s="0" t="n">
        <f aca="false">J19*J20</f>
        <v>1006.25297537392</v>
      </c>
      <c r="K21" s="0" t="n">
        <f aca="false">K19*K20</f>
        <v>962.127931515673</v>
      </c>
      <c r="L21" s="0" t="n">
        <f aca="false">L19*L20</f>
        <v>921.852808801064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10932.6323277783</v>
      </c>
    </row>
    <row r="31" customFormat="false" ht="15" hidden="false" customHeight="false" outlineLevel="0" collapsed="false">
      <c r="A31" s="0" t="s">
        <v>137</v>
      </c>
      <c r="B31" s="0" t="n">
        <f aca="false">L19</f>
        <v>1899.96773460918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38949.3385594882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28499.5160191377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28499.5160191377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13827.792132016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24760.4244597943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19074.4244597943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170.307361248163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-0.279335810561259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1149.79412168776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1966.96172075746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198.135538412853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15579.7354237953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53.4401554651991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8</v>
      </c>
      <c r="D5" s="4" t="n">
        <f aca="false">Assumptions!D41</f>
        <v>6.5</v>
      </c>
      <c r="E5" s="4" t="n">
        <f aca="false">Assumptions!E41</f>
        <v>6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11035</v>
      </c>
      <c r="C6" s="0" t="n">
        <f aca="false">B6*(1+C5/100)</f>
        <v>11917.8</v>
      </c>
      <c r="D6" s="0" t="n">
        <f aca="false">C6*(1+D5/100)</f>
        <v>12692.457</v>
      </c>
      <c r="E6" s="0" t="n">
        <f aca="false">D6*(1+E5/100)</f>
        <v>13454.00442</v>
      </c>
      <c r="F6" s="0" t="n">
        <f aca="false">E6*(1+F5/100)</f>
        <v>14193.9746631</v>
      </c>
      <c r="G6" s="0" t="n">
        <f aca="false">F6*(1+G5/100)</f>
        <v>14903.673396255</v>
      </c>
      <c r="H6" s="0" t="n">
        <f aca="false">G6*(1+H5/100)</f>
        <v>15574.3386990865</v>
      </c>
      <c r="I6" s="0" t="n">
        <f aca="false">H6*(1+I5/100)</f>
        <v>16197.3122470499</v>
      </c>
      <c r="J6" s="0" t="n">
        <f aca="false">I6*(1+J5/100)</f>
        <v>16764.2181756967</v>
      </c>
      <c r="K6" s="0" t="n">
        <f aca="false">J6*(1+K5/100)</f>
        <v>17350.9658118461</v>
      </c>
      <c r="L6" s="0" t="n">
        <f aca="false">K6*(1+L5/100)</f>
        <v>17871.4947862015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20.4</v>
      </c>
      <c r="D7" s="4" t="n">
        <f aca="false">Assumptions!D42</f>
        <v>20.8</v>
      </c>
      <c r="E7" s="4" t="n">
        <f aca="false">Assumptions!E42</f>
        <v>21.3</v>
      </c>
      <c r="F7" s="4" t="n">
        <f aca="false">Assumptions!F42</f>
        <v>21.7</v>
      </c>
      <c r="G7" s="4" t="n">
        <f aca="false">Assumptions!G42</f>
        <v>22</v>
      </c>
      <c r="H7" s="4" t="n">
        <f aca="false">Assumptions!H42</f>
        <v>22.3</v>
      </c>
      <c r="I7" s="4" t="n">
        <f aca="false">Assumptions!I42</f>
        <v>22.5</v>
      </c>
      <c r="J7" s="4" t="n">
        <f aca="false">Assumptions!J42</f>
        <v>22.5</v>
      </c>
      <c r="K7" s="4" t="n">
        <f aca="false">Assumptions!K42</f>
        <v>22.5</v>
      </c>
      <c r="L7" s="4" t="n">
        <f aca="false">Assumptions!L42</f>
        <v>22.5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2431.2312</v>
      </c>
      <c r="D8" s="0" t="n">
        <f aca="false">D6*D7/100</f>
        <v>2640.031056</v>
      </c>
      <c r="E8" s="0" t="n">
        <f aca="false">E6*E7/100</f>
        <v>2865.70294146</v>
      </c>
      <c r="F8" s="0" t="n">
        <f aca="false">F6*F7/100</f>
        <v>3080.0925018927</v>
      </c>
      <c r="G8" s="0" t="n">
        <f aca="false">G6*G7/100</f>
        <v>3278.8081471761</v>
      </c>
      <c r="H8" s="0" t="n">
        <f aca="false">H6*H7/100</f>
        <v>3473.07752989628</v>
      </c>
      <c r="I8" s="0" t="n">
        <f aca="false">I6*I7/100</f>
        <v>3644.39525558624</v>
      </c>
      <c r="J8" s="0" t="n">
        <f aca="false">J6*J7/100</f>
        <v>3771.94908953175</v>
      </c>
      <c r="K8" s="0" t="n">
        <f aca="false">K6*K7/100</f>
        <v>3903.96730766536</v>
      </c>
      <c r="L8" s="0" t="n">
        <f aca="false">L6*L7/100</f>
        <v>4021.08632689533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1.2</v>
      </c>
      <c r="D9" s="4" t="n">
        <f aca="false">Assumptions!D43</f>
        <v>1.2</v>
      </c>
      <c r="E9" s="4" t="n">
        <f aca="false">Assumptions!E43</f>
        <v>1.2</v>
      </c>
      <c r="F9" s="4" t="n">
        <f aca="false">Assumptions!F43</f>
        <v>1.2</v>
      </c>
      <c r="G9" s="4" t="n">
        <f aca="false">Assumptions!G43</f>
        <v>1.2</v>
      </c>
      <c r="H9" s="4" t="n">
        <f aca="false">Assumptions!H43</f>
        <v>1.2</v>
      </c>
      <c r="I9" s="4" t="n">
        <f aca="false">Assumptions!I43</f>
        <v>1.2</v>
      </c>
      <c r="J9" s="4" t="n">
        <f aca="false">Assumptions!J43</f>
        <v>1.2</v>
      </c>
      <c r="K9" s="4" t="n">
        <f aca="false">Assumptions!K43</f>
        <v>1.2</v>
      </c>
      <c r="L9" s="4" t="n">
        <f aca="false">Assumptions!L43</f>
        <v>1.2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-143.0136</v>
      </c>
      <c r="D10" s="0" t="n">
        <f aca="false">-D6*D9/100</f>
        <v>-152.309484</v>
      </c>
      <c r="E10" s="0" t="n">
        <f aca="false">-E6*E9/100</f>
        <v>-161.44805304</v>
      </c>
      <c r="F10" s="0" t="n">
        <f aca="false">-F6*F9/100</f>
        <v>-170.3276959572</v>
      </c>
      <c r="G10" s="0" t="n">
        <f aca="false">-G6*G9/100</f>
        <v>-178.84408075506</v>
      </c>
      <c r="H10" s="0" t="n">
        <f aca="false">-H6*H9/100</f>
        <v>-186.892064389038</v>
      </c>
      <c r="I10" s="0" t="n">
        <f aca="false">-I6*I9/100</f>
        <v>-194.367746964599</v>
      </c>
      <c r="J10" s="0" t="n">
        <f aca="false">-J6*J9/100</f>
        <v>-201.17061810836</v>
      </c>
      <c r="K10" s="0" t="n">
        <f aca="false">-K6*K9/100</f>
        <v>-208.211589742153</v>
      </c>
      <c r="L10" s="0" t="n">
        <f aca="false">-L6*L9/100</f>
        <v>-214.457937434417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2288.2176</v>
      </c>
      <c r="D11" s="0" t="n">
        <f aca="false">D8+D10+D24</f>
        <v>2487.721572</v>
      </c>
      <c r="E11" s="0" t="n">
        <f aca="false">E8+E10+E24</f>
        <v>2704.25488842</v>
      </c>
      <c r="F11" s="0" t="n">
        <f aca="false">F8+F10+F24</f>
        <v>2909.7648059355</v>
      </c>
      <c r="G11" s="0" t="n">
        <f aca="false">G8+G10+G24</f>
        <v>3099.96406642104</v>
      </c>
      <c r="H11" s="0" t="n">
        <f aca="false">H8+H10+H24</f>
        <v>3286.18546550725</v>
      </c>
      <c r="I11" s="0" t="n">
        <f aca="false">I8+I10+I24</f>
        <v>3450.02750862164</v>
      </c>
      <c r="J11" s="0" t="n">
        <f aca="false">J8+J10+J24</f>
        <v>3570.77847142339</v>
      </c>
      <c r="K11" s="0" t="n">
        <f aca="false">K8+K10+K24</f>
        <v>3695.75571792321</v>
      </c>
      <c r="L11" s="0" t="n">
        <f aca="false">L8+L10+L24</f>
        <v>3806.62838946091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-607.8078</v>
      </c>
      <c r="D12" s="4" t="n">
        <f aca="false">-D6*Assumptions!D45/100</f>
        <v>-634.62285</v>
      </c>
      <c r="E12" s="4" t="n">
        <f aca="false">-E6*Assumptions!E45/100</f>
        <v>-659.24621658</v>
      </c>
      <c r="F12" s="4" t="n">
        <f aca="false">-F6*Assumptions!F45/100</f>
        <v>-681.3107838288</v>
      </c>
      <c r="G12" s="4" t="n">
        <f aca="false">-G6*Assumptions!G45/100</f>
        <v>-700.472649623985</v>
      </c>
      <c r="H12" s="4" t="n">
        <f aca="false">-H6*Assumptions!H45/100</f>
        <v>-716.419580157978</v>
      </c>
      <c r="I12" s="4" t="n">
        <f aca="false">-I6*Assumptions!I45/100</f>
        <v>-728.879051117247</v>
      </c>
      <c r="J12" s="4" t="n">
        <f aca="false">-J6*Assumptions!J45/100</f>
        <v>-754.389817906351</v>
      </c>
      <c r="K12" s="4" t="n">
        <f aca="false">-K6*Assumptions!K45/100</f>
        <v>-763.442495721227</v>
      </c>
      <c r="L12" s="4" t="n">
        <f aca="false">-L6*Assumptions!L45/100</f>
        <v>-786.345770592864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1680.4098</v>
      </c>
      <c r="D13" s="0" t="n">
        <f aca="false">D11+D12</f>
        <v>1853.098722</v>
      </c>
      <c r="E13" s="0" t="n">
        <f aca="false">E11+E12</f>
        <v>2045.00867184</v>
      </c>
      <c r="F13" s="0" t="n">
        <f aca="false">F11+F12</f>
        <v>2228.4540221067</v>
      </c>
      <c r="G13" s="0" t="n">
        <f aca="false">G11+G12</f>
        <v>2399.49141679706</v>
      </c>
      <c r="H13" s="0" t="n">
        <f aca="false">H11+H12</f>
        <v>2569.76588534927</v>
      </c>
      <c r="I13" s="0" t="n">
        <f aca="false">I11+I12</f>
        <v>2721.14845750439</v>
      </c>
      <c r="J13" s="0" t="n">
        <f aca="false">J11+J12</f>
        <v>2816.38865351704</v>
      </c>
      <c r="K13" s="0" t="n">
        <f aca="false">K11+K12</f>
        <v>2932.31322220199</v>
      </c>
      <c r="L13" s="0" t="n">
        <f aca="false">L11+L12</f>
        <v>3020.28261886804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21</v>
      </c>
      <c r="D14" s="4" t="n">
        <f aca="false">Assumptions!D47</f>
        <v>22</v>
      </c>
      <c r="E14" s="4" t="n">
        <f aca="false">Assumptions!E47</f>
        <v>23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1327.523742</v>
      </c>
      <c r="D15" s="0" t="n">
        <f aca="false">D13-MAX(0,D13)*D14/100</f>
        <v>1445.41700316</v>
      </c>
      <c r="E15" s="0" t="n">
        <f aca="false">E13-MAX(0,E13)*E14/100</f>
        <v>1574.6566773168</v>
      </c>
      <c r="F15" s="0" t="n">
        <f aca="false">F13-MAX(0,F13)*F14/100</f>
        <v>1693.62505680109</v>
      </c>
      <c r="G15" s="0" t="n">
        <f aca="false">G13-MAX(0,G13)*G14/100</f>
        <v>1823.61347676576</v>
      </c>
      <c r="H15" s="0" t="n">
        <f aca="false">H13-MAX(0,H13)*H14/100</f>
        <v>1953.02207286544</v>
      </c>
      <c r="I15" s="0" t="n">
        <f aca="false">I13-MAX(0,I13)*I14/100</f>
        <v>2068.07282770334</v>
      </c>
      <c r="J15" s="0" t="n">
        <f aca="false">J13-MAX(0,J13)*J14/100</f>
        <v>2140.45537667295</v>
      </c>
      <c r="K15" s="0" t="n">
        <f aca="false">K13-MAX(0,K13)*K14/100</f>
        <v>2228.55804887351</v>
      </c>
      <c r="L15" s="0" t="n">
        <f aca="false">L13-MAX(0,L13)*L14/100</f>
        <v>2295.41479033971</v>
      </c>
    </row>
    <row r="16" customFormat="false" ht="15" hidden="false" customHeight="false" outlineLevel="0" collapsed="false">
      <c r="A16" s="0" t="s">
        <v>128</v>
      </c>
      <c r="C16" s="0" t="n">
        <f aca="false">-C12</f>
        <v>607.8078</v>
      </c>
      <c r="D16" s="0" t="n">
        <f aca="false">-D12</f>
        <v>634.62285</v>
      </c>
      <c r="E16" s="0" t="n">
        <f aca="false">-E12</f>
        <v>659.24621658</v>
      </c>
      <c r="F16" s="0" t="n">
        <f aca="false">-F12</f>
        <v>681.3107838288</v>
      </c>
      <c r="G16" s="0" t="n">
        <f aca="false">-G12</f>
        <v>700.472649623985</v>
      </c>
      <c r="H16" s="0" t="n">
        <f aca="false">-H12</f>
        <v>716.419580157978</v>
      </c>
      <c r="I16" s="0" t="n">
        <f aca="false">-I12</f>
        <v>728.879051117247</v>
      </c>
      <c r="J16" s="0" t="n">
        <f aca="false">-J12</f>
        <v>754.389817906351</v>
      </c>
      <c r="K16" s="0" t="n">
        <f aca="false">-K12</f>
        <v>763.442495721227</v>
      </c>
      <c r="L16" s="0" t="n">
        <f aca="false">-L12</f>
        <v>786.345770592864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-548.2188</v>
      </c>
      <c r="D17" s="4" t="n">
        <f aca="false">-D6*Assumptions!D46/100</f>
        <v>-571.160565</v>
      </c>
      <c r="E17" s="4" t="n">
        <f aca="false">-E6*Assumptions!E46/100</f>
        <v>-605.4301989</v>
      </c>
      <c r="F17" s="4" t="n">
        <f aca="false">-F6*Assumptions!F46/100</f>
        <v>-624.5348851764</v>
      </c>
      <c r="G17" s="4" t="n">
        <f aca="false">-G6*Assumptions!G46/100</f>
        <v>-655.76162943522</v>
      </c>
      <c r="H17" s="4" t="n">
        <f aca="false">-H6*Assumptions!H46/100</f>
        <v>-685.270902759805</v>
      </c>
      <c r="I17" s="4" t="n">
        <f aca="false">-I6*Assumptions!I46/100</f>
        <v>-712.681738870197</v>
      </c>
      <c r="J17" s="4" t="n">
        <f aca="false">-J6*Assumptions!J46/100</f>
        <v>-737.625599730654</v>
      </c>
      <c r="K17" s="4" t="n">
        <f aca="false">-K6*Assumptions!K46/100</f>
        <v>-763.442495721227</v>
      </c>
      <c r="L17" s="4" t="n">
        <f aca="false">-L6*Assumptions!L46/100</f>
        <v>-786.345770592864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-52.9680000000001</v>
      </c>
      <c r="D18" s="4" t="n">
        <f aca="false">(D6-C6)*Assumptions!$B$51/100</f>
        <v>-46.47942</v>
      </c>
      <c r="E18" s="4" t="n">
        <f aca="false">(E6-D6)*Assumptions!$B$51/100</f>
        <v>-45.6928452000001</v>
      </c>
      <c r="F18" s="4" t="n">
        <f aca="false">(F6-E6)*Assumptions!$B$51/100</f>
        <v>-44.3982145859999</v>
      </c>
      <c r="G18" s="4" t="n">
        <f aca="false">(G6-F6)*Assumptions!$B$51/100</f>
        <v>-42.5819239893001</v>
      </c>
      <c r="H18" s="4" t="n">
        <f aca="false">(H6-G6)*Assumptions!$B$51/100</f>
        <v>-40.2399181698884</v>
      </c>
      <c r="I18" s="4" t="n">
        <f aca="false">(I6-H6)*Assumptions!$B$51/100</f>
        <v>-37.3784128778076</v>
      </c>
      <c r="J18" s="4" t="n">
        <f aca="false">(J6-I6)*Assumptions!$B$51/100</f>
        <v>-34.0143557188048</v>
      </c>
      <c r="K18" s="4" t="n">
        <f aca="false">(K6-J6)*Assumptions!$B$51/100</f>
        <v>-35.204858168963</v>
      </c>
      <c r="L18" s="4" t="n">
        <f aca="false">(L6-K6)*Assumptions!$B$51/100</f>
        <v>-31.231738461323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1334.144742</v>
      </c>
      <c r="D19" s="0" t="n">
        <f aca="false">D15+D16+D17+D18</f>
        <v>1462.39986816</v>
      </c>
      <c r="E19" s="0" t="n">
        <f aca="false">E15+E16+E17+E18</f>
        <v>1582.7798497968</v>
      </c>
      <c r="F19" s="0" t="n">
        <f aca="false">F15+F16+F17+F18</f>
        <v>1706.00274086749</v>
      </c>
      <c r="G19" s="0" t="n">
        <f aca="false">G15+G16+G17+G18</f>
        <v>1825.74257296523</v>
      </c>
      <c r="H19" s="0" t="n">
        <f aca="false">H15+H16+H17+H18</f>
        <v>1943.93083209373</v>
      </c>
      <c r="I19" s="0" t="n">
        <f aca="false">I15+I16+I17+I18</f>
        <v>2046.89172707258</v>
      </c>
      <c r="J19" s="0" t="n">
        <f aca="false">J15+J16+J17+J18</f>
        <v>2123.20523912984</v>
      </c>
      <c r="K19" s="0" t="n">
        <f aca="false">K15+K16+K17+K18</f>
        <v>2193.35319070455</v>
      </c>
      <c r="L19" s="0" t="n">
        <f aca="false">L15+L16+L17+L18</f>
        <v>2264.18305187839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1241.06487627907</v>
      </c>
      <c r="D21" s="0" t="n">
        <f aca="false">D19*D20</f>
        <v>1265.46229802921</v>
      </c>
      <c r="E21" s="0" t="n">
        <f aca="false">E19*E20</f>
        <v>1274.07536930076</v>
      </c>
      <c r="F21" s="0" t="n">
        <f aca="false">F19*F20</f>
        <v>1277.45575616153</v>
      </c>
      <c r="G21" s="0" t="n">
        <f aca="false">G19*G20</f>
        <v>1271.73674964804</v>
      </c>
      <c r="H21" s="0" t="n">
        <f aca="false">H19*H20</f>
        <v>1259.59237375482</v>
      </c>
      <c r="I21" s="0" t="n">
        <f aca="false">I19*I20</f>
        <v>1233.77402010033</v>
      </c>
      <c r="J21" s="0" t="n">
        <f aca="false">J19*J20</f>
        <v>1190.48591953263</v>
      </c>
      <c r="K21" s="0" t="n">
        <f aca="false">K19*K20</f>
        <v>1144.01677455678</v>
      </c>
      <c r="L21" s="0" t="n">
        <f aca="false">L19*L20</f>
        <v>1098.56786933447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12256.2320066976</v>
      </c>
    </row>
    <row r="31" customFormat="false" ht="15" hidden="false" customHeight="false" outlineLevel="0" collapsed="false">
      <c r="A31" s="0" t="s">
        <v>137</v>
      </c>
      <c r="B31" s="0" t="n">
        <f aca="false">L19</f>
        <v>2264.18305187839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46415.752563507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38491.1118819326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38491.1118819326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18675.6537786861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30931.8857853837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25245.8857853837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225.409694512354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-0.0461675079876676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1210.61565057356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2133.10062694431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255.26430413305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18566.3010254028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67.680401019076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98.9096544174534</v>
      </c>
      <c r="C4" s="0" t="n">
        <f aca="false">B4/Assumptions!$B$2-1</f>
        <v>-0.581458808321541</v>
      </c>
      <c r="D4" s="4" t="n">
        <f aca="false">Assumptions!$B$24</f>
        <v>0.25</v>
      </c>
      <c r="E4" s="4" t="n">
        <f aca="false">DCF_Bear!$B$43</f>
        <v>122.018164233219</v>
      </c>
      <c r="F4" s="4" t="n">
        <f aca="false">DCF_Bear!$B$47</f>
        <v>30.018499407476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170.307361248163</v>
      </c>
      <c r="C5" s="0" t="n">
        <f aca="false">B5/Assumptions!$B$2-1</f>
        <v>-0.279335810561259</v>
      </c>
      <c r="D5" s="4" t="n">
        <f aca="false">Assumptions!$B$38</f>
        <v>0.5</v>
      </c>
      <c r="E5" s="4" t="n">
        <f aca="false">DCF_Base!$B$43</f>
        <v>198.135538412853</v>
      </c>
      <c r="F5" s="4" t="n">
        <f aca="false">DCF_Base!$B$47</f>
        <v>53.4401554651991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225.409694512354</v>
      </c>
      <c r="C6" s="0" t="n">
        <f aca="false">B6/Assumptions!$B$2-1</f>
        <v>-0.0461675079876676</v>
      </c>
      <c r="D6" s="4" t="n">
        <f aca="false">Assumptions!$B$52</f>
        <v>0.25</v>
      </c>
      <c r="E6" s="4" t="n">
        <f aca="false">DCF_Bull!$B$43</f>
        <v>255.26430413305</v>
      </c>
      <c r="F6" s="4" t="n">
        <f aca="false">DCF_Bull!$B$47</f>
        <v>67.680401019076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166.233517856534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193.388386297994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-0.421614624097373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258.099140839359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51.1448028392376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170.307361248163</v>
      </c>
      <c r="C15" s="3" t="n">
        <v>7.5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147.568039043842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125.340366221195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104.151390881816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87.4431933405808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53.4401554651991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206.057993825647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206.057993825647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206.057993825647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206.057993825647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206.057993825647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187.336070950934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187.336070950934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187.336070950934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187.336070950934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187.336070950934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170.307361248163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170.307361248163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170.307361248163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170.307361248163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170.307361248163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151.048371167048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154.799835533379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154.799835533379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154.799835533379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154.799835533379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124.830987609679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131.077245117952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138.215825127407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140.660544308727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140.660544308727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2026-09-26T01:26:54Z</dcterms:created>
  <dc:creator>openpyxl</dc:creator>
  <dc:description/>
  <dc:language>en-NZ</dc:language>
  <cp:lastModifiedBy/>
  <dcterms:modified xsi:type="dcterms:W3CDTF">2026-09-26T01:26:54Z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