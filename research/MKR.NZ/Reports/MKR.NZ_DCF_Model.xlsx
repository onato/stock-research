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1F4E78"/>
    </font>
    <font>
      <i val="1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15" customHeight="1">
      <c r="A1" s="1" t="inlineStr">
        <is>
          <t>MKR.NZ (Manuka Resources Ltd) - DCF Model</t>
        </is>
      </c>
      <c r="B1" s="2" t="inlineStr"/>
    </row>
    <row r="2" ht="15" customHeight="1">
      <c r="A2" t="inlineStr"/>
      <c r="B2" s="2" t="inlineStr"/>
    </row>
    <row r="3" ht="15" customHeight="1">
      <c r="A3" t="inlineStr">
        <is>
          <t>Version</t>
        </is>
      </c>
      <c r="B3" s="2" t="inlineStr">
        <is>
          <t>1.0 - fresh build (no prior DCF existed for this ticker)</t>
        </is>
      </c>
    </row>
    <row r="4" ht="15" customHeight="1">
      <c r="A4" t="inlineStr">
        <is>
          <t>Built by</t>
        </is>
      </c>
      <c r="B4" s="2" t="inlineStr">
        <is>
          <t>dcf-analyst agent (Claude Sonnet 5), 2026-08-20, at user request</t>
        </is>
      </c>
    </row>
    <row r="5" ht="15" customHeight="1">
      <c r="A5" t="inlineStr">
        <is>
          <t>Supersedes</t>
        </is>
      </c>
      <c r="B5" s="2" t="inlineStr">
        <is>
          <t>Nothing - first DCF for MKR.NZ</t>
        </is>
      </c>
    </row>
    <row r="6" ht="15" customHeight="1">
      <c r="A6" t="inlineStr"/>
      <c r="B6" s="2" t="inlineStr"/>
    </row>
    <row r="7" ht="15" customHeight="1">
      <c r="A7" s="3" t="inlineStr">
        <is>
          <t>DATA VINTAGE</t>
        </is>
      </c>
      <c r="B7" s="2" t="inlineStr"/>
    </row>
    <row r="8" ht="15" customHeight="1">
      <c r="A8" t="inlineStr">
        <is>
          <t>Price (quote, MKR.NZ)</t>
        </is>
      </c>
      <c r="B8" s="2" t="inlineStr">
        <is>
          <t>NZ$0.095, Yahoo Finance regularMarketTime 2026-08-19T23:41:14Z</t>
        </is>
      </c>
    </row>
    <row r="9" ht="15" customHeight="1">
      <c r="A9" t="inlineStr">
        <is>
          <t>Price (ASX primary, MKR.AX)</t>
        </is>
      </c>
      <c r="B9" s="2" t="inlineStr">
        <is>
          <t>A$0.082, Yahoo Finance, 2026-08-20 (cross-check only, not used as current_price)</t>
        </is>
      </c>
    </row>
    <row r="10" ht="15" customHeight="1">
      <c r="A10" t="inlineStr">
        <is>
          <t>FX AUD/NZD</t>
        </is>
      </c>
      <c r="B10" s="2" t="inlineStr">
        <is>
          <t>1.1958, Yahoo Finance AUDNZD=X spot, 2026-08-20</t>
        </is>
      </c>
    </row>
    <row r="11" ht="30" customHeight="1">
      <c r="A11" t="inlineStr">
        <is>
          <t>FX AUD/USD</t>
        </is>
      </c>
      <c r="B11" s="2" t="inlineStr">
        <is>
          <t>0.7115, Yahoo Finance AUDUSD=X spot, 2026-08-20 (used to convert the USD-denominated Nebari facility)</t>
        </is>
      </c>
    </row>
    <row r="12" ht="30" customHeight="1">
      <c r="A12" t="inlineStr">
        <is>
          <t>Balance sheet</t>
        </is>
      </c>
      <c r="B12" s="2" t="inlineStr">
        <is>
          <t>31-Dec-2025 (H1FY2026 interim report, ASX/NZX, released 16-Mar-2026) for the raw borrowings/cash lines; net debt ANCHOR then rolled forward for the Nebari facility's second tranche (drawn 26-Jun-2026, post-interim) - see Actuals tab and inputs.net_debt_methodology in the JSON for the full derivation</t>
        </is>
      </c>
    </row>
    <row r="13" ht="30" customHeight="1">
      <c r="A13" t="inlineStr">
        <is>
          <t>Share count</t>
        </is>
      </c>
      <c r="B13" s="2" t="inlineStr">
        <is>
          <t>1,404,559,716 shares on issue at 31-Dec-2025 (H1FY2026 note 15) PLUS 73,400,000 shares issued on post-period option exercise (H1FY2026 note 20(b), subsequent events) = 1,477,959,716 fully diluted issued count used throughout. NOT included: 209.6m remaining unlisted options (~8c wtd avg strike, roughly at-the-money) or 36.4m Nebari lender warrants (A$0.2004 strike, ~144% out-of-the-money) - both are dilution risk noted but not modelled into the base share count.</t>
        </is>
      </c>
    </row>
    <row r="14" ht="30" customHeight="1">
      <c r="A14" t="inlineStr">
        <is>
          <t>Guidance</t>
        </is>
      </c>
      <c r="B14" s="2" t="inlineStr">
        <is>
          <t>30-Jan-2026 ASX release: updated 10-year Cobar Basin mine plan (avg EBITDA A$127m p.a., NPV8 A$805m, IRR ~1,092%, C1 cost A$34.4/oz Ag incl. Au credits, restart capex A$26.6m). H1FY2026 interim report (16-Mar-2026): first gold revenue targeted mid-Jul-2026, first silver targeted Sep-2026 quarter.</t>
        </is>
      </c>
    </row>
    <row r="15" ht="15" customHeight="1">
      <c r="A15" t="inlineStr"/>
      <c r="B15" s="2" t="inlineStr"/>
    </row>
    <row r="16" ht="15" customHeight="1">
      <c r="A16" s="3" t="inlineStr">
        <is>
          <t>METHODOLOGY CHOICES</t>
        </is>
      </c>
      <c r="B16" s="2" t="inlineStr"/>
    </row>
    <row r="17" ht="30" customHeight="1">
      <c r="A17" t="inlineStr">
        <is>
          <t>Model chosen</t>
        </is>
      </c>
      <c r="B17" s="2" t="inlineStr">
        <is>
          <t>Owner-FCF DCF (component build), scenario-weighted - per .claude/skills/dcf-methods/SKILL.md routing table row 'Operating company, non-US or cyclical' + section 7 adaptations. NOT a distressed/receivership asset waterfall (company is a funded, going, restarting operation, not in receivership) and NOT a pure NAV/asset play (Taranaki VTM assigned zero value, not driving the valuation).</t>
        </is>
      </c>
    </row>
    <row r="18" ht="30" customHeight="1">
      <c r="A18" t="inlineStr">
        <is>
          <t>Why not historical-CAGR extrapolation</t>
        </is>
      </c>
      <c r="B18" s="2" t="inlineStr">
        <is>
          <t>Both revenue and FCF CAGRs are undefined/meaningless: FY2025 and H1FY2026 revenue is zero (both mines on care &amp; maintenance). Forward build instead uses a PHYSICAL PRODUCTION RAMP anchored to management's own 10-year mine plan, heavily haircut for execution/going-concern risk.</t>
        </is>
      </c>
    </row>
    <row r="19" ht="30" customHeight="1">
      <c r="A19" t="inlineStr">
        <is>
          <t>Mature EBITDA haircuts vs management guidance (A$127m/yr average)</t>
        </is>
      </c>
      <c r="B19" s="2" t="inlineStr">
        <is>
          <t>Base = 40% (A$50.8m), Bull = 65% (A$82.6m), Bear = 15% (A$19.1m). Haircut reflects: repeated history of slipped restarts (2022 Wonawinta trial ended early, Mt Boppy halted Q1 2024), one prior upward capex revision (A$18.9m-&gt;A$26.6m), 39% Inferred-Resource content in the 10.9Mt mine plan (only 6.9Mt/63% Reserve-backed), and near-record gold/silver prices baked into management's own economics that may not persist.</t>
        </is>
      </c>
    </row>
    <row r="20" ht="30" customHeight="1">
      <c r="A20" t="inlineStr">
        <is>
          <t>Taranaki VTM (TTR)</t>
        </is>
      </c>
      <c r="B20" s="2" t="inlineStr">
        <is>
          <t>Assigned ZERO value in every scenario. Fast-track marine consent application WITHDRAWN 19-Feb-2026 after a draft decline (4-Feb-2026) - the SECOND failed NZ marine-consent attempt for this project (after a 2021 Supreme Court-driven refusal). No alternative approval pathway disclosed.</t>
        </is>
      </c>
    </row>
    <row r="21" ht="30" customHeight="1">
      <c r="A21" t="inlineStr">
        <is>
          <t>WACC = 19% (AUD)</t>
        </is>
      </c>
      <c r="B21" s="2" t="inlineStr">
        <is>
          <t>Stack: ~4.0% AUD risk-free + ~5.5% small-cap ERP + ~3.0% micro-cap illiquidity + ~2.5% single-asset/single-region concentration + ~4.0% going-concern/financial-distress premium. This DOUBLE-CHARGES risk relative to section 7(f) 'charge risk once' by design: solvency risk (survival) is charged in WACC + probability weights; execution/commodity risk (scale once surviving) is charged in the EBITDA/margin/capex haircuts. Documented exception, not an oversight - see Assumptions tab.</t>
        </is>
      </c>
    </row>
    <row r="22" ht="30" customHeight="1">
      <c r="A22" t="inlineStr">
        <is>
          <t>Terminal value</t>
        </is>
      </c>
      <c r="B22" s="2" t="inlineStr">
        <is>
          <t>MAX(0, MIN(Gordon, 6x terminal FCF)). Low 6x cap (vs the usual 20x) because this is a reserve-depleting single-asset miner (10.9Mt mine plan, only 63% Reserve-backed), not a perpetual compounder.</t>
        </is>
      </c>
    </row>
    <row r="23" ht="30" customHeight="1">
      <c r="A23" t="inlineStr">
        <is>
          <t>SBC</t>
        </is>
      </c>
      <c r="B23" s="2" t="inlineStr">
        <is>
          <t>Verified structurally nil at this pre-revenue restart scale. Kept explicit at 0% (section 7(e)) rather than deleted; house/street band collapses to a point, band_position reported as null, not 0%.</t>
        </is>
      </c>
    </row>
    <row r="24" ht="30" customHeight="1">
      <c r="A24" t="inlineStr">
        <is>
          <t>NCI / leases</t>
        </is>
      </c>
      <c r="B24" s="2" t="inlineStr">
        <is>
          <t>Not applicable - 100% ownership of all three assets (no NCI); no material IFRS16 lease book at this scale.</t>
        </is>
      </c>
    </row>
    <row r="25" ht="30" customHeight="1">
      <c r="A25" t="inlineStr">
        <is>
          <t>Net debt anchor</t>
        </is>
      </c>
      <c r="B25" s="2" t="inlineStr">
        <is>
          <t>US$30m Nebari facility fully drawn (completed 26-Jun-2026) @ AUDUSD 0.7115 = A$42.16m, LESS the most recent disclosed cash figure of A$11.1m ('at time of writing', H1FY2026 report dated 16-Mar-2026) = A$31.06m. This is a DOCUMENTED ESTIMATE (no FY2026 annual or later quarterly filed yet at the valuation date), deliberately more conservative than the stale 31-Dec-2025 net debt of A$21.49m, which pre-dates the full Nebari drawdown.</t>
        </is>
      </c>
    </row>
    <row r="26" ht="30" customHeight="1">
      <c r="A26" t="inlineStr">
        <is>
          <t>Entry price &gt; intrinsic value (unusual)</t>
        </is>
      </c>
      <c r="B26" s="2" t="inlineStr">
        <is>
          <t>WACC (19%) EXCEEDS the 15% hurdle rate used for entry price. When WACC &gt; hurdle, the house's own risk-adjusted fair value is HARSHER than what a 15%-hurdle investor requires, so entry price (discounted at the lower 15%) comes out ABOVE intrinsic value. Same relationship documented for CDI.NZ in the user's MEMORY.md (17% WACC &gt; 15% hurdle).</t>
        </is>
      </c>
    </row>
    <row r="27" ht="15" customHeight="1">
      <c r="A27" t="inlineStr"/>
      <c r="B27" s="2" t="inlineStr"/>
    </row>
    <row r="28" ht="30" customHeight="1">
      <c r="A28" t="inlineStr">
        <is>
          <t>SCENARIO DRIVER JUDGMENT</t>
        </is>
      </c>
      <c r="B28" s="2" t="inlineStr">
        <is>
          <t>All scenario drivers (mature EBITDA %, ramp years, margins, tax ramps, capex schedules, probability weights) are the agent's judgment calls made 2026-08-20 at the user's explicit instruction to haircut management's numbers heavily and reflect execution risk. They are NOT sourced from any third-party analyst estimate.</t>
        </is>
      </c>
    </row>
    <row r="29" ht="15" customHeight="1">
      <c r="A29" t="inlineStr"/>
      <c r="B29" s="2" t="inlineStr"/>
    </row>
    <row r="30" ht="30" customHeight="1">
      <c r="A30" t="inlineStr">
        <is>
          <t>REFRESH TRIGGERS</t>
        </is>
      </c>
      <c r="B30" s="2" t="inlineStr">
        <is>
          <t>Refresh this model when: (1) the FY2026 annual report or any subsequent quarterly is filed - replace the net_debt estimate with the actual filed balance sheet; (2) first gold/silver revenue is actually recognised - compare actual ramp to the modelled ramp; (3) any Taranaki VTM regulatory development occurs (new consenting pathway announced or ruled out); (4) a material equity raise or further dilution event occurs - refresh the share count; (5) gold/silver prices move materially from current near-record levels - the mature EBITDA assumption embeds today's elevated prices.</t>
        </is>
      </c>
    </row>
    <row r="31" ht="15" customHeight="1">
      <c r="A31" t="inlineStr"/>
      <c r="B31" s="2" t="inlineStr"/>
    </row>
    <row r="32" ht="15" customHeight="1">
      <c r="A32" s="3" t="inlineStr">
        <is>
          <t>CELL COLOUR LEGEND</t>
        </is>
      </c>
      <c r="B32" s="2" t="inlineStr"/>
    </row>
    <row r="33" ht="15" customHeight="1">
      <c r="A33" t="inlineStr">
        <is>
          <t>Blue fill</t>
        </is>
      </c>
      <c r="B33" s="2" t="inlineStr">
        <is>
          <t>Hardcoded input (actuals, or a documented estimate/anchor)</t>
        </is>
      </c>
    </row>
    <row r="34" ht="30" customHeight="1">
      <c r="A34" t="inlineStr">
        <is>
          <t>Yellow fill</t>
        </is>
      </c>
      <c r="B34" s="2" t="inlineStr">
        <is>
          <t>Key driver / lever - the four hardcoded rows per DCF tab (growth/margin proxy, EBITDA margin, SBC%, tax rate)</t>
        </is>
      </c>
    </row>
    <row r="35" ht="15" customHeight="1">
      <c r="A35" t="inlineStr">
        <is>
          <t>Black text, white fill</t>
        </is>
      </c>
      <c r="B35" s="2" t="inlineStr">
        <is>
          <t>Formula - flows from drivers, do not hardcode</t>
        </is>
      </c>
    </row>
    <row r="36" ht="15" customHeight="1">
      <c r="A36" t="inlineStr">
        <is>
          <t>Green text</t>
        </is>
      </c>
      <c r="B36" s="2" t="inlineStr">
        <is>
          <t>Cross-sheet link</t>
        </is>
      </c>
    </row>
    <row r="37" ht="15" customHeight="1">
      <c r="A37" t="inlineStr"/>
      <c r="B37" s="2" t="inlineStr"/>
    </row>
    <row r="38" ht="30" customHeight="1">
      <c r="A38" t="inlineStr">
        <is>
          <t>STALE-DATA WARNING</t>
        </is>
      </c>
      <c r="B38" s="2" t="inlineStr">
        <is>
          <t>All figures in this workbook go stale. The share count, net debt, and mine-plan economics in particular should be treated as approximate beyond a few months from the valuation date given how fast this capital structure and operational status have been changing.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MKR.NZ - Actuals &amp; Current Position (all AUD millions unless noted)</t>
        </is>
      </c>
    </row>
    <row r="3">
      <c r="A3" t="inlineStr">
        <is>
          <t>Fiscal year end</t>
        </is>
      </c>
      <c r="B3" t="inlineStr">
        <is>
          <t>30 June</t>
        </is>
      </c>
    </row>
    <row r="4">
      <c r="A4" t="inlineStr">
        <is>
          <t>Reporting currency</t>
        </is>
      </c>
      <c r="B4" t="inlineStr">
        <is>
          <t>AUD</t>
        </is>
      </c>
    </row>
    <row r="5">
      <c r="A5" t="inlineStr">
        <is>
          <t>Quote currency (MKR.NZ)</t>
        </is>
      </c>
      <c r="B5" t="inlineStr">
        <is>
          <t>NZD</t>
        </is>
      </c>
    </row>
    <row r="7">
      <c r="A7" s="4" t="inlineStr">
        <is>
          <t>Period</t>
        </is>
      </c>
      <c r="B7" s="4" t="inlineStr">
        <is>
          <t>FY2020</t>
        </is>
      </c>
      <c r="C7" s="4" t="inlineStr">
        <is>
          <t>FY2021</t>
        </is>
      </c>
      <c r="D7" s="4" t="inlineStr">
        <is>
          <t>FY2022</t>
        </is>
      </c>
      <c r="E7" s="4" t="inlineStr">
        <is>
          <t>FY2023</t>
        </is>
      </c>
      <c r="F7" s="4" t="inlineStr">
        <is>
          <t>FY2024</t>
        </is>
      </c>
      <c r="G7" s="4" t="inlineStr">
        <is>
          <t>FY2025</t>
        </is>
      </c>
      <c r="H7" s="4" t="inlineStr">
        <is>
          <t>H1-2026</t>
        </is>
      </c>
    </row>
    <row r="8">
      <c r="A8" t="inlineStr">
        <is>
          <t>Revenue</t>
        </is>
      </c>
      <c r="B8" s="5" t="n">
        <v>9.261798000000001</v>
      </c>
      <c r="C8" s="5" t="n">
        <v>43.752567</v>
      </c>
      <c r="D8" s="5" t="n">
        <v>53.271499</v>
      </c>
      <c r="E8" s="5" t="n">
        <v>9.899903</v>
      </c>
      <c r="F8" s="5" t="n">
        <v>15.195323</v>
      </c>
      <c r="G8" s="5" t="n">
        <v>0</v>
      </c>
      <c r="H8" s="5" t="n">
        <v>0</v>
      </c>
    </row>
    <row r="9">
      <c r="A9" t="inlineStr">
        <is>
          <t>Net income (loss)</t>
        </is>
      </c>
      <c r="B9" s="5" t="n">
        <v>-4.552843</v>
      </c>
      <c r="C9" s="5" t="n">
        <v>-2.895244</v>
      </c>
      <c r="D9" s="5" t="n">
        <v>5.28142</v>
      </c>
      <c r="E9" s="5" t="n">
        <v>-26.342019</v>
      </c>
      <c r="F9" s="5" t="n">
        <v>-18.234635</v>
      </c>
      <c r="G9" s="5" t="n">
        <v>-16.876465</v>
      </c>
      <c r="H9" s="5" t="n">
        <v>-12.875283</v>
      </c>
    </row>
    <row r="10">
      <c r="A10" t="inlineStr">
        <is>
          <t>Shareholders' equity</t>
        </is>
      </c>
      <c r="B10" s="5" t="n">
        <v>36.427215</v>
      </c>
      <c r="C10" s="5" t="n">
        <v>35.245377</v>
      </c>
      <c r="D10" s="5" t="n">
        <v>13.573765</v>
      </c>
      <c r="E10" s="5" t="n">
        <v>19.941974</v>
      </c>
      <c r="F10" s="5" t="n">
        <v>17.010151</v>
      </c>
      <c r="G10" s="5" t="n">
        <v>2.295736</v>
      </c>
      <c r="H10" s="5" t="n">
        <v>22.990165</v>
      </c>
    </row>
    <row r="11">
      <c r="A11" t="inlineStr">
        <is>
          <t>Free cash flow (reported)</t>
        </is>
      </c>
      <c r="B11" s="5" t="n">
        <v>-12.975469</v>
      </c>
      <c r="C11" s="5" t="n">
        <v>-7.662507</v>
      </c>
      <c r="D11" s="5" t="n">
        <v>-0.527428</v>
      </c>
      <c r="E11" s="5" t="n">
        <v>-15.785631</v>
      </c>
      <c r="F11" s="5" t="n">
        <v>-8.652198</v>
      </c>
      <c r="G11" s="5" t="n">
        <v>-5.463057</v>
      </c>
      <c r="H11" s="5" t="n">
        <v>-8.533104</v>
      </c>
    </row>
    <row r="12">
      <c r="A12" t="inlineStr">
        <is>
          <t>Shares outstanding (period-end, CSV - STALE, see note row 20)</t>
        </is>
      </c>
      <c r="B12" s="5" t="n">
        <v>249.353712</v>
      </c>
      <c r="C12" s="5" t="n">
        <v>269.353712</v>
      </c>
      <c r="D12" s="5" t="n">
        <v>286.020381</v>
      </c>
      <c r="E12" s="5" t="n">
        <v>562.5200620000001</v>
      </c>
      <c r="F12" s="5" t="n">
        <v>779.767669</v>
      </c>
      <c r="G12" s="5" t="n">
        <v>1065.384851</v>
      </c>
      <c r="H12" s="5" t="n">
        <v>1075.991298</v>
      </c>
    </row>
    <row r="13">
      <c r="A13" t="inlineStr">
        <is>
          <t>Cash &amp; equivalents</t>
        </is>
      </c>
      <c r="B13" s="5" t="n">
        <v>1.50904</v>
      </c>
      <c r="C13" s="5" t="n">
        <v>1.018035</v>
      </c>
      <c r="D13" s="5" t="n">
        <v>1.160615</v>
      </c>
      <c r="E13" s="5" t="n">
        <v>0.265833</v>
      </c>
      <c r="F13" s="5" t="n">
        <v>2.12535</v>
      </c>
      <c r="G13" s="5" t="n">
        <v>0.968645</v>
      </c>
      <c r="H13" s="5" t="n">
        <v>2.439885</v>
      </c>
    </row>
    <row r="14">
      <c r="A14" t="inlineStr">
        <is>
          <t>Total debt</t>
        </is>
      </c>
      <c r="B14" s="5" t="n">
        <v>1.50904</v>
      </c>
      <c r="C14" s="5" t="n">
        <v>1.018035</v>
      </c>
      <c r="D14" s="5" t="n">
        <v>13.111178</v>
      </c>
      <c r="E14" s="5" t="n">
        <v>24.779748</v>
      </c>
      <c r="F14" s="5" t="n">
        <v>28.389352</v>
      </c>
      <c r="G14" s="5" t="n">
        <v>40.376654</v>
      </c>
      <c r="H14" s="5" t="n">
        <v>23.933377</v>
      </c>
    </row>
    <row r="16">
      <c r="A16" s="6" t="inlineStr">
        <is>
          <t>Source: research/MKR.NZ/Reports/MKR.NZ_Metrics.csv (core_metrics, AUD millions)</t>
        </is>
      </c>
    </row>
    <row r="18">
      <c r="A18" s="3" t="inlineStr">
        <is>
          <t>CURRENT POSITION (post-H1FY2026, reconciled)</t>
        </is>
      </c>
    </row>
    <row r="19">
      <c r="A19" t="inlineStr">
        <is>
          <t>Shares on issue at 31-Dec-2025 (H1FY26 note 15)</t>
        </is>
      </c>
      <c r="B19" s="5" t="n">
        <v>1404.559716</v>
      </c>
    </row>
    <row r="20">
      <c r="A20" t="inlineStr">
        <is>
          <t>+ post-period option exercises (note 20(b))</t>
        </is>
      </c>
      <c r="B20" s="5" t="n">
        <v>73.40000000000001</v>
      </c>
    </row>
    <row r="21">
      <c r="A21" s="3" t="inlineStr">
        <is>
          <t>Fully diluted shares used in DCF (m)</t>
        </is>
      </c>
      <c r="B21" s="3">
        <f>B19+B20</f>
        <v/>
      </c>
    </row>
    <row r="23">
      <c r="A23" t="inlineStr">
        <is>
          <t>Nebari facility (US$m, fully drawn 26-Jun-2026)</t>
        </is>
      </c>
      <c r="B23" s="5" t="n">
        <v>30</v>
      </c>
    </row>
    <row r="24">
      <c r="A24" t="inlineStr">
        <is>
          <t>AUD/USD spot (2026-08-20)</t>
        </is>
      </c>
      <c r="B24" s="5" t="n">
        <v>0.7115</v>
      </c>
    </row>
    <row r="25">
      <c r="A25" t="inlineStr">
        <is>
          <t>Nebari facility in AUD (A$m)</t>
        </is>
      </c>
      <c r="B25">
        <f>B23/B24</f>
        <v/>
      </c>
    </row>
    <row r="26">
      <c r="A26" t="inlineStr">
        <is>
          <t>Cash 'at time of writing' 16-Mar-2026 (H1FY26 report, A$m)</t>
        </is>
      </c>
      <c r="B26" s="5" t="n">
        <v>11.1</v>
      </c>
    </row>
    <row r="27">
      <c r="A27" s="3" t="inlineStr">
        <is>
          <t>Net debt anchor used in DCF (A$m)</t>
        </is>
      </c>
      <c r="B27" s="7">
        <f>B25-B26</f>
        <v/>
      </c>
    </row>
    <row r="29">
      <c r="A29" t="inlineStr">
        <is>
          <t>Current price MKR.NZ (NZD)</t>
        </is>
      </c>
      <c r="B29" s="5" t="n">
        <v>0.095</v>
      </c>
    </row>
    <row r="30">
      <c r="A30" t="inlineStr">
        <is>
          <t>AUD/NZD spot (2026-08-20)</t>
        </is>
      </c>
      <c r="B30" s="5" t="n">
        <v>1.1958</v>
      </c>
    </row>
    <row r="31">
      <c r="A31" t="inlineStr">
        <is>
          <t>Current price MKR.AX (AUD, cross-check)</t>
        </is>
      </c>
      <c r="B31" s="5" t="n">
        <v>0.082</v>
      </c>
    </row>
    <row r="32">
      <c r="A32" t="inlineStr">
        <is>
          <t>Current market cap (A$m)</t>
        </is>
      </c>
      <c r="B32">
        <f>B21*0.082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>
      <c r="A1" s="1" t="inlineStr">
        <is>
          <t>Global Assumptions</t>
        </is>
      </c>
    </row>
    <row r="3">
      <c r="A3" t="inlineStr">
        <is>
          <t>WACC (AUD)</t>
        </is>
      </c>
      <c r="B3" s="5" t="n">
        <v>0.19</v>
      </c>
      <c r="C3" s="2" t="inlineStr">
        <is>
          <t>Going-concern-loaded stack - see Model_Info</t>
        </is>
      </c>
    </row>
    <row r="4">
      <c r="A4" t="inlineStr">
        <is>
          <t>Terminal cap multiple (x terminal FCF)</t>
        </is>
      </c>
      <c r="B4" s="5" t="n">
        <v>6</v>
      </c>
      <c r="C4" s="2" t="inlineStr">
        <is>
          <t>Low cap: reserve-depleting single-asset miner, not a perpetual compounder</t>
        </is>
      </c>
    </row>
    <row r="5">
      <c r="A5" t="inlineStr">
        <is>
          <t>D&amp;A % of revenue (mature)</t>
        </is>
      </c>
      <c r="C5" s="2" t="inlineStr">
        <is>
          <t>Set per-scenario on each DCF tab, row 12 driver-linked</t>
        </is>
      </c>
    </row>
    <row r="6">
      <c r="A6" t="inlineStr">
        <is>
          <t>Fully diluted shares (m)</t>
        </is>
      </c>
      <c r="B6" s="8">
        <f>Actuals!B21</f>
        <v/>
      </c>
      <c r="C6" s="2" t="inlineStr"/>
    </row>
    <row r="7">
      <c r="A7" t="inlineStr">
        <is>
          <t>Net debt (A$m)</t>
        </is>
      </c>
      <c r="B7" s="8">
        <f>Actuals!B27</f>
        <v/>
      </c>
      <c r="C7" s="2" t="inlineStr"/>
    </row>
    <row r="8">
      <c r="A8" t="inlineStr">
        <is>
          <t>AUD/NZD FX rate</t>
        </is>
      </c>
      <c r="B8" s="8">
        <f>Actuals!B30</f>
        <v/>
      </c>
      <c r="C8" s="2" t="inlineStr"/>
    </row>
    <row r="9">
      <c r="A9" t="inlineStr">
        <is>
          <t>Current price (NZD)</t>
        </is>
      </c>
      <c r="B9" s="8">
        <f>Actuals!B29</f>
        <v/>
      </c>
      <c r="C9" s="2" t="inlineStr"/>
    </row>
    <row r="10">
      <c r="A10" t="inlineStr">
        <is>
          <t>Hurdle rate (entry price)</t>
        </is>
      </c>
      <c r="B10" s="5" t="n">
        <v>0.15</v>
      </c>
      <c r="C10" s="2" t="inlineStr">
        <is>
          <t>House standard 15% IRR hurdle</t>
        </is>
      </c>
    </row>
    <row r="12">
      <c r="A12" s="3" t="inlineStr">
        <is>
          <t>SCENARIO: terminal growth &amp; probability weight</t>
        </is>
      </c>
    </row>
    <row r="13">
      <c r="A13" s="4" t="inlineStr">
        <is>
          <t>Scenario</t>
        </is>
      </c>
      <c r="B13" s="4" t="inlineStr">
        <is>
          <t>Terminal growth</t>
        </is>
      </c>
      <c r="C13" s="4" t="inlineStr">
        <is>
          <t>Probability weight</t>
        </is>
      </c>
    </row>
    <row r="14">
      <c r="A14" t="inlineStr">
        <is>
          <t>Bear</t>
        </is>
      </c>
      <c r="B14" s="9" t="n">
        <v>0.01</v>
      </c>
      <c r="C14" s="9" t="n">
        <v>0.35</v>
      </c>
    </row>
    <row r="15">
      <c r="A15" t="inlineStr">
        <is>
          <t>Base</t>
        </is>
      </c>
      <c r="B15" s="9" t="n">
        <v>0.015</v>
      </c>
      <c r="C15" s="9" t="n">
        <v>0.45</v>
      </c>
    </row>
    <row r="16">
      <c r="A16" t="inlineStr">
        <is>
          <t>Bull</t>
        </is>
      </c>
      <c r="B16" s="9" t="n">
        <v>0.02</v>
      </c>
      <c r="C16" s="9" t="n">
        <v>0.2</v>
      </c>
    </row>
    <row r="17">
      <c r="A17" s="3" t="inlineStr">
        <is>
          <t>Sum of weights (check)</t>
        </is>
      </c>
      <c r="C17" s="3">
        <f>SUM(C14:C16)</f>
        <v/>
      </c>
    </row>
    <row r="19">
      <c r="A19" s="3" t="inlineStr">
        <is>
          <t>SCENARIO NARRATIVES</t>
        </is>
      </c>
    </row>
    <row r="20" ht="90" customHeight="1">
      <c r="A20" s="3" t="inlineStr">
        <is>
          <t>Base</t>
        </is>
      </c>
      <c r="B20" s="2" t="inlineStr">
        <is>
          <t>Mature run-rate EBITDA = 40% of management's own 10-year average (A$50.8m of A$127m/yr). 3-year production ramp FY27-29. Reflects a restart that broadly succeeds but at materially lower throughput/recovery/prices than management's mine-plan case, with modest reserve-life taper from year 8 as the 39%-Inferred resource base is only partially converted.</t>
        </is>
      </c>
    </row>
    <row r="21" ht="90" customHeight="1">
      <c r="A21" s="3" t="inlineStr">
        <is>
          <t>Bull</t>
        </is>
      </c>
      <c r="B21" s="2" t="inlineStr">
        <is>
          <t>Mature run-rate EBITDA = 65% of guidance (A$82.6m). Faster 2-year ramp (on-time, on-budget restart, desliming circuit performs as designed first time). Sustained near-record gold/silver prices through the ramp. Still well below management's own number - the bull case requires several independent things to go right simultaneously (execution + resource conversion + prices), which is why it is NOT modelled at management's guided A$127m.</t>
        </is>
      </c>
    </row>
    <row r="22" ht="90" customHeight="1">
      <c r="A22" s="3" t="inlineStr">
        <is>
          <t>Bear</t>
        </is>
      </c>
      <c r="B22" s="2" t="inlineStr">
        <is>
          <t>Mature run-rate EBITDA = 15% of guidance (A$19.1m) - restart struggles, desliming circuit underperforms at scale (unproven), cost overruns consistent with the company's own A$18.9m-&gt;A$26.6m capex revision pattern, and gold/silver prices mean-revert from near-record levels. Equity value is FLOORED AT ZERO once net debt is applied (limited liability) - this represents effective going-concern failure / severe dilution, not merely a weaker version of the base case.</t>
        </is>
      </c>
    </row>
  </sheetData>
  <mergeCells count="3">
    <mergeCell ref="B21:F21"/>
    <mergeCell ref="B20:F20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MKR.NZ - Bear case DCF (A$ millions)</t>
        </is>
      </c>
    </row>
    <row r="3">
      <c r="A3" s="4" t="inlineStr">
        <is>
          <t>Year</t>
        </is>
      </c>
      <c r="B3" s="4" t="inlineStr">
        <is>
          <t>FY2026A</t>
        </is>
      </c>
      <c r="C3" s="4" t="inlineStr">
        <is>
          <t>FY2027E</t>
        </is>
      </c>
      <c r="D3" s="4" t="inlineStr">
        <is>
          <t>FY2028E</t>
        </is>
      </c>
      <c r="E3" s="4" t="inlineStr">
        <is>
          <t>FY2029E</t>
        </is>
      </c>
      <c r="F3" s="4" t="inlineStr">
        <is>
          <t>FY2030E</t>
        </is>
      </c>
      <c r="G3" s="4" t="inlineStr">
        <is>
          <t>FY2031E</t>
        </is>
      </c>
      <c r="H3" s="4" t="inlineStr">
        <is>
          <t>FY2032E</t>
        </is>
      </c>
      <c r="I3" s="4" t="inlineStr">
        <is>
          <t>FY2033E</t>
        </is>
      </c>
      <c r="J3" s="4" t="inlineStr">
        <is>
          <t>FY2034E</t>
        </is>
      </c>
      <c r="K3" s="4" t="inlineStr">
        <is>
          <t>FY2035E</t>
        </is>
      </c>
      <c r="L3" s="4" t="inlineStr">
        <is>
          <t>FY2036E</t>
        </is>
      </c>
    </row>
    <row r="4">
      <c r="A4" t="inlineStr">
        <is>
          <t>Year index (t)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Mature run-rate EBITDA (A$m) [driver]</t>
        </is>
      </c>
      <c r="B5" s="9" t="n">
        <v>19.05</v>
      </c>
    </row>
    <row r="6">
      <c r="A6" t="inlineStr">
        <is>
          <t>Ramp years [driver]</t>
        </is>
      </c>
      <c r="B6" s="9" t="n">
        <v>4</v>
      </c>
    </row>
    <row r="7">
      <c r="A7" t="inlineStr">
        <is>
          <t>EBITDA margin (mature) [driver]</t>
        </is>
      </c>
      <c r="B7" s="9" t="n">
        <v>0.3</v>
      </c>
    </row>
    <row r="8">
      <c r="A8" t="inlineStr">
        <is>
          <t>Taper start year [driver]</t>
        </is>
      </c>
      <c r="B8" s="9" t="n">
        <v>7</v>
      </c>
    </row>
    <row r="9">
      <c r="A9" t="inlineStr">
        <is>
          <t>Taper-end EBITDA fraction [driver]</t>
        </is>
      </c>
      <c r="B9" s="9" t="n">
        <v>0.35</v>
      </c>
    </row>
    <row r="11">
      <c r="A11" t="inlineStr">
        <is>
          <t>Adjusted EBITDA (A$m)</t>
        </is>
      </c>
      <c r="B11" t="n">
        <v>0</v>
      </c>
      <c r="C11">
        <f>IF(C$4&lt;=$B$6,$B$5*C$4/$B$6,IF(C$4&lt;$B$8,$B$5,$B$5*(1-(1-$B$9)*(C$4-$B$8+1)/(10-$B$8+1))))</f>
        <v/>
      </c>
      <c r="D11">
        <f>IF(D$4&lt;=$B$6,$B$5*D$4/$B$6,IF(D$4&lt;$B$8,$B$5,$B$5*(1-(1-$B$9)*(D$4-$B$8+1)/(10-$B$8+1))))</f>
        <v/>
      </c>
      <c r="E11">
        <f>IF(E$4&lt;=$B$6,$B$5*E$4/$B$6,IF(E$4&lt;$B$8,$B$5,$B$5*(1-(1-$B$9)*(E$4-$B$8+1)/(10-$B$8+1))))</f>
        <v/>
      </c>
      <c r="F11">
        <f>IF(F$4&lt;=$B$6,$B$5*F$4/$B$6,IF(F$4&lt;$B$8,$B$5,$B$5*(1-(1-$B$9)*(F$4-$B$8+1)/(10-$B$8+1))))</f>
        <v/>
      </c>
      <c r="G11">
        <f>IF(G$4&lt;=$B$6,$B$5*G$4/$B$6,IF(G$4&lt;$B$8,$B$5,$B$5*(1-(1-$B$9)*(G$4-$B$8+1)/(10-$B$8+1))))</f>
        <v/>
      </c>
      <c r="H11">
        <f>IF(H$4&lt;=$B$6,$B$5*H$4/$B$6,IF(H$4&lt;$B$8,$B$5,$B$5*(1-(1-$B$9)*(H$4-$B$8+1)/(10-$B$8+1))))</f>
        <v/>
      </c>
      <c r="I11">
        <f>IF(I$4&lt;=$B$6,$B$5*I$4/$B$6,IF(I$4&lt;$B$8,$B$5,$B$5*(1-(1-$B$9)*(I$4-$B$8+1)/(10-$B$8+1))))</f>
        <v/>
      </c>
      <c r="J11">
        <f>IF(J$4&lt;=$B$6,$B$5*J$4/$B$6,IF(J$4&lt;$B$8,$B$5,$B$5*(1-(1-$B$9)*(J$4-$B$8+1)/(10-$B$8+1))))</f>
        <v/>
      </c>
      <c r="K11">
        <f>IF(K$4&lt;=$B$6,$B$5*K$4/$B$6,IF(K$4&lt;$B$8,$B$5,$B$5*(1-(1-$B$9)*(K$4-$B$8+1)/(10-$B$8+1))))</f>
        <v/>
      </c>
      <c r="L11">
        <f>IF(L$4&lt;=$B$6,$B$5*L$4/$B$6,IF(L$4&lt;$B$8,$B$5,$B$5*(1-(1-$B$9)*(L$4-$B$8+1)/(10-$B$8+1))))</f>
        <v/>
      </c>
    </row>
    <row r="12">
      <c r="A12" t="inlineStr">
        <is>
          <t>Revenue (implied, A$m)</t>
        </is>
      </c>
      <c r="B12" t="n">
        <v>0</v>
      </c>
      <c r="C12">
        <f>IF($B$7=0,0,C11/$B$7)</f>
        <v/>
      </c>
      <c r="D12">
        <f>IF($B$7=0,0,D11/$B$7)</f>
        <v/>
      </c>
      <c r="E12">
        <f>IF($B$7=0,0,E11/$B$7)</f>
        <v/>
      </c>
      <c r="F12">
        <f>IF($B$7=0,0,F11/$B$7)</f>
        <v/>
      </c>
      <c r="G12">
        <f>IF($B$7=0,0,G11/$B$7)</f>
        <v/>
      </c>
      <c r="H12">
        <f>IF($B$7=0,0,H11/$B$7)</f>
        <v/>
      </c>
      <c r="I12">
        <f>IF($B$7=0,0,I11/$B$7)</f>
        <v/>
      </c>
      <c r="J12">
        <f>IF($B$7=0,0,J11/$B$7)</f>
        <v/>
      </c>
      <c r="K12">
        <f>IF($B$7=0,0,K11/$B$7)</f>
        <v/>
      </c>
      <c r="L12">
        <f>IF($B$7=0,0,L11/$B$7)</f>
        <v/>
      </c>
    </row>
    <row r="13">
      <c r="A13" t="inlineStr">
        <is>
          <t>SBC % of revenue [driver]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</row>
    <row r="14">
      <c r="A14" t="inlineStr">
        <is>
          <t>SBC ($m)</t>
        </is>
      </c>
      <c r="B14">
        <f>-B12*B13</f>
        <v/>
      </c>
      <c r="C14">
        <f>-C12*C13</f>
        <v/>
      </c>
      <c r="D14">
        <f>-D12*D13</f>
        <v/>
      </c>
      <c r="E14">
        <f>-E12*E13</f>
        <v/>
      </c>
      <c r="F14">
        <f>-F12*F13</f>
        <v/>
      </c>
      <c r="G14">
        <f>-G12*G13</f>
        <v/>
      </c>
      <c r="H14">
        <f>-H12*H13</f>
        <v/>
      </c>
      <c r="I14">
        <f>-I12*I13</f>
        <v/>
      </c>
      <c r="J14">
        <f>-J12*J13</f>
        <v/>
      </c>
      <c r="K14">
        <f>-K12*K13</f>
        <v/>
      </c>
      <c r="L14">
        <f>-L12*L13</f>
        <v/>
      </c>
    </row>
    <row r="15">
      <c r="A15" t="inlineStr">
        <is>
          <t>Owner EBITDA ($m)</t>
        </is>
      </c>
      <c r="B15">
        <f>B11+B14</f>
        <v/>
      </c>
      <c r="C15">
        <f>C11+C14</f>
        <v/>
      </c>
      <c r="D15">
        <f>D11+D14</f>
        <v/>
      </c>
      <c r="E15">
        <f>E11+E14</f>
        <v/>
      </c>
      <c r="F15">
        <f>F11+F14</f>
        <v/>
      </c>
      <c r="G15">
        <f>G11+G14</f>
        <v/>
      </c>
      <c r="H15">
        <f>H11+H14</f>
        <v/>
      </c>
      <c r="I15">
        <f>I11+I14</f>
        <v/>
      </c>
      <c r="J15">
        <f>J11+J14</f>
        <v/>
      </c>
      <c r="K15">
        <f>K11+K14</f>
        <v/>
      </c>
      <c r="L15">
        <f>L11+L14</f>
        <v/>
      </c>
    </row>
    <row r="16">
      <c r="A16" t="inlineStr">
        <is>
          <t>D&amp;A % of revenue [driver]</t>
        </is>
      </c>
      <c r="B16" s="9" t="n">
        <v>0.12</v>
      </c>
      <c r="C16">
        <f>$B$16</f>
        <v/>
      </c>
      <c r="D16">
        <f>$B$16</f>
        <v/>
      </c>
      <c r="E16">
        <f>$B$16</f>
        <v/>
      </c>
      <c r="F16">
        <f>$B$16</f>
        <v/>
      </c>
      <c r="G16">
        <f>$B$16</f>
        <v/>
      </c>
      <c r="H16">
        <f>$B$16</f>
        <v/>
      </c>
      <c r="I16">
        <f>$B$16</f>
        <v/>
      </c>
      <c r="J16">
        <f>$B$16</f>
        <v/>
      </c>
      <c r="K16">
        <f>$B$16</f>
        <v/>
      </c>
      <c r="L16">
        <f>$B$16</f>
        <v/>
      </c>
    </row>
    <row r="17">
      <c r="A17" t="inlineStr">
        <is>
          <t>D&amp;A ($m)</t>
        </is>
      </c>
      <c r="B17">
        <f>-B12*B16</f>
        <v/>
      </c>
      <c r="C17">
        <f>-C12*C16</f>
        <v/>
      </c>
      <c r="D17">
        <f>-D12*D16</f>
        <v/>
      </c>
      <c r="E17">
        <f>-E12*E16</f>
        <v/>
      </c>
      <c r="F17">
        <f>-F12*F16</f>
        <v/>
      </c>
      <c r="G17">
        <f>-G12*G16</f>
        <v/>
      </c>
      <c r="H17">
        <f>-H12*H16</f>
        <v/>
      </c>
      <c r="I17">
        <f>-I12*I16</f>
        <v/>
      </c>
      <c r="J17">
        <f>-J12*J16</f>
        <v/>
      </c>
      <c r="K17">
        <f>-K12*K16</f>
        <v/>
      </c>
      <c r="L17">
        <f>-L12*L16</f>
        <v/>
      </c>
    </row>
    <row r="18">
      <c r="A18" t="inlineStr">
        <is>
          <t>EBIT, SBC expensed ($m)</t>
        </is>
      </c>
      <c r="B18">
        <f>B15+B17</f>
        <v/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Cash tax rate [driver]</t>
        </is>
      </c>
      <c r="B1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</row>
    <row r="20">
      <c r="A20" t="inlineStr">
        <is>
          <t>NOPAT ($m)</t>
        </is>
      </c>
      <c r="B20">
        <f>B18*(1-B19)</f>
        <v/>
      </c>
      <c r="C20">
        <f>C18*(1-C19)</f>
        <v/>
      </c>
      <c r="D20">
        <f>D18*(1-D19)</f>
        <v/>
      </c>
      <c r="E20">
        <f>E18*(1-E19)</f>
        <v/>
      </c>
      <c r="F20">
        <f>F18*(1-F19)</f>
        <v/>
      </c>
      <c r="G20">
        <f>G18*(1-G19)</f>
        <v/>
      </c>
      <c r="H20">
        <f>H18*(1-H19)</f>
        <v/>
      </c>
      <c r="I20">
        <f>I18*(1-I19)</f>
        <v/>
      </c>
      <c r="J20">
        <f>J18*(1-J19)</f>
        <v/>
      </c>
      <c r="K20">
        <f>K18*(1-K19)</f>
        <v/>
      </c>
      <c r="L20">
        <f>L18*(1-L19)</f>
        <v/>
      </c>
    </row>
    <row r="21">
      <c r="A21" t="inlineStr">
        <is>
          <t>add back D&amp;A ($m)</t>
        </is>
      </c>
      <c r="B21">
        <f>-B17</f>
        <v/>
      </c>
      <c r="C21">
        <f>-C17</f>
        <v/>
      </c>
      <c r="D21">
        <f>-D17</f>
        <v/>
      </c>
      <c r="E21">
        <f>-E17</f>
        <v/>
      </c>
      <c r="F21">
        <f>-F17</f>
        <v/>
      </c>
      <c r="G21">
        <f>-G17</f>
        <v/>
      </c>
      <c r="H21">
        <f>-H17</f>
        <v/>
      </c>
      <c r="I21">
        <f>-I17</f>
        <v/>
      </c>
      <c r="J21">
        <f>-J17</f>
        <v/>
      </c>
      <c r="K21">
        <f>-K17</f>
        <v/>
      </c>
      <c r="L21">
        <f>-L17</f>
        <v/>
      </c>
    </row>
    <row r="22">
      <c r="A22" t="inlineStr">
        <is>
          <t>Capex % revenue (mature) [driver]</t>
        </is>
      </c>
      <c r="B22" s="9" t="n">
        <v>0.16</v>
      </c>
    </row>
    <row r="23">
      <c r="A23" t="inlineStr">
        <is>
          <t>Restart capex override, yr1 (A$m) [driver]</t>
        </is>
      </c>
      <c r="B23" s="9" t="n">
        <v>22</v>
      </c>
    </row>
    <row r="24">
      <c r="A24" t="inlineStr">
        <is>
          <t>Restart capex override, yr2 (A$m) [driver]</t>
        </is>
      </c>
      <c r="B24" s="9" t="n">
        <v>12</v>
      </c>
    </row>
    <row r="25">
      <c r="A25" t="inlineStr">
        <is>
          <t>less capex ($m)</t>
        </is>
      </c>
      <c r="B25">
        <f>-B12*$B$22</f>
        <v/>
      </c>
      <c r="C25">
        <f>-$B$23</f>
        <v/>
      </c>
      <c r="D25">
        <f>-$B$24</f>
        <v/>
      </c>
      <c r="E25">
        <f>-E12*$B$22</f>
        <v/>
      </c>
      <c r="F25">
        <f>-F12*$B$22</f>
        <v/>
      </c>
      <c r="G25">
        <f>-G12*$B$22</f>
        <v/>
      </c>
      <c r="H25">
        <f>-H12*$B$22</f>
        <v/>
      </c>
      <c r="I25">
        <f>-I12*$B$22</f>
        <v/>
      </c>
      <c r="J25">
        <f>-J12*$B$22</f>
        <v/>
      </c>
      <c r="K25">
        <f>-K12*$B$22</f>
        <v/>
      </c>
      <c r="L25">
        <f>-L12*$B$22</f>
        <v/>
      </c>
    </row>
    <row r="26">
      <c r="A26" t="inlineStr">
        <is>
          <t>WC capture rate [driver]</t>
        </is>
      </c>
      <c r="B26" s="9" t="n">
        <v>0.18</v>
      </c>
    </row>
    <row r="27">
      <c r="A27" t="inlineStr">
        <is>
          <t>add/(less) working capital ($m)</t>
        </is>
      </c>
      <c r="B27" t="n">
        <v>0</v>
      </c>
      <c r="C27">
        <f>-$B$26*MAX(0,C12-B12)</f>
        <v/>
      </c>
      <c r="D27">
        <f>-$B$26*MAX(0,D12-C12)</f>
        <v/>
      </c>
      <c r="E27">
        <f>-$B$26*MAX(0,E12-D12)</f>
        <v/>
      </c>
      <c r="F27">
        <f>-$B$26*MAX(0,F12-E12)</f>
        <v/>
      </c>
      <c r="G27">
        <f>-$B$26*MAX(0,G12-F12)</f>
        <v/>
      </c>
      <c r="H27">
        <f>-$B$26*MAX(0,H12-G12)</f>
        <v/>
      </c>
      <c r="I27">
        <f>-$B$26*MAX(0,I12-H12)</f>
        <v/>
      </c>
      <c r="J27">
        <f>-$B$26*MAX(0,J12-I12)</f>
        <v/>
      </c>
      <c r="K27">
        <f>-$B$26*MAX(0,K12-J12)</f>
        <v/>
      </c>
      <c r="L27">
        <f>-$B$26*MAX(0,L12-K12)</f>
        <v/>
      </c>
    </row>
    <row r="28">
      <c r="A28" s="3" t="inlineStr">
        <is>
          <t>Unlevered owner FCF ($m)</t>
        </is>
      </c>
      <c r="B28" s="3">
        <f>B20+B21+B25+B27</f>
        <v/>
      </c>
      <c r="C28" s="3">
        <f>C20+C21+C25+C27</f>
        <v/>
      </c>
      <c r="D28" s="3">
        <f>D20+D21+D25+D27</f>
        <v/>
      </c>
      <c r="E28" s="3">
        <f>E20+E21+E25+E27</f>
        <v/>
      </c>
      <c r="F28" s="3">
        <f>F20+F21+F25+F27</f>
        <v/>
      </c>
      <c r="G28" s="3">
        <f>G20+G21+G25+G27</f>
        <v/>
      </c>
      <c r="H28" s="3">
        <f>H20+H21+H25+H27</f>
        <v/>
      </c>
      <c r="I28" s="3">
        <f>I20+I21+I25+I27</f>
        <v/>
      </c>
      <c r="J28" s="3">
        <f>J20+J21+J25+J27</f>
        <v/>
      </c>
      <c r="K28" s="3">
        <f>K20+K21+K25+K27</f>
        <v/>
      </c>
      <c r="L28" s="3">
        <f>L20+L21+L25+L27</f>
        <v/>
      </c>
    </row>
    <row r="29">
      <c r="A29" t="inlineStr">
        <is>
          <t>Discount factor</t>
        </is>
      </c>
      <c r="B29">
        <f>1/(1+Assumptions!$B$3)^B$4</f>
        <v/>
      </c>
      <c r="C29">
        <f>1/(1+Assumptions!$B$3)^C$4</f>
        <v/>
      </c>
      <c r="D29">
        <f>1/(1+Assumptions!$B$3)^D$4</f>
        <v/>
      </c>
      <c r="E29">
        <f>1/(1+Assumptions!$B$3)^E$4</f>
        <v/>
      </c>
      <c r="F29">
        <f>1/(1+Assumptions!$B$3)^F$4</f>
        <v/>
      </c>
      <c r="G29">
        <f>1/(1+Assumptions!$B$3)^G$4</f>
        <v/>
      </c>
      <c r="H29">
        <f>1/(1+Assumptions!$B$3)^H$4</f>
        <v/>
      </c>
      <c r="I29">
        <f>1/(1+Assumptions!$B$3)^I$4</f>
        <v/>
      </c>
      <c r="J29">
        <f>1/(1+Assumptions!$B$3)^J$4</f>
        <v/>
      </c>
      <c r="K29">
        <f>1/(1+Assumptions!$B$3)^K$4</f>
        <v/>
      </c>
      <c r="L29">
        <f>1/(1+Assumptions!$B$3)^L$4</f>
        <v/>
      </c>
    </row>
    <row r="30">
      <c r="A30" t="inlineStr">
        <is>
          <t>PV of FCF ($m)</t>
        </is>
      </c>
      <c r="B30">
        <f>B28*B29</f>
        <v/>
      </c>
      <c r="C30">
        <f>C28*C29</f>
        <v/>
      </c>
      <c r="D30">
        <f>D28*D29</f>
        <v/>
      </c>
      <c r="E30">
        <f>E28*E29</f>
        <v/>
      </c>
      <c r="F30">
        <f>F28*F29</f>
        <v/>
      </c>
      <c r="G30">
        <f>G28*G29</f>
        <v/>
      </c>
      <c r="H30">
        <f>H28*H29</f>
        <v/>
      </c>
      <c r="I30">
        <f>I28*I29</f>
        <v/>
      </c>
      <c r="J30">
        <f>J28*J29</f>
        <v/>
      </c>
      <c r="K30">
        <f>K28*K29</f>
        <v/>
      </c>
      <c r="L30">
        <f>L28*L29</f>
        <v/>
      </c>
    </row>
    <row r="32">
      <c r="A32" t="inlineStr">
        <is>
          <t>Memo: implied owner-FCF margin</t>
        </is>
      </c>
      <c r="B32">
        <f>IF(B12=0,"n/a",B28/B12)</f>
        <v/>
      </c>
      <c r="C32">
        <f>IF(C12=0,"n/a",C28/C12)</f>
        <v/>
      </c>
      <c r="D32">
        <f>IF(D12=0,"n/a",D28/D12)</f>
        <v/>
      </c>
      <c r="E32">
        <f>IF(E12=0,"n/a",E28/E12)</f>
        <v/>
      </c>
      <c r="F32">
        <f>IF(F12=0,"n/a",F28/F12)</f>
        <v/>
      </c>
      <c r="G32">
        <f>IF(G12=0,"n/a",G28/G12)</f>
        <v/>
      </c>
      <c r="H32">
        <f>IF(H12=0,"n/a",H28/H12)</f>
        <v/>
      </c>
      <c r="I32">
        <f>IF(I12=0,"n/a",I28/I12)</f>
        <v/>
      </c>
      <c r="J32">
        <f>IF(J12=0,"n/a",J28/J12)</f>
        <v/>
      </c>
      <c r="K32">
        <f>IF(K12=0,"n/a",K28/K12)</f>
        <v/>
      </c>
      <c r="L32">
        <f>IF(L12=0,"n/a",L28/L12)</f>
        <v/>
      </c>
    </row>
    <row r="35">
      <c r="A35" s="3" t="inlineStr">
        <is>
          <t>VALUATION</t>
        </is>
      </c>
    </row>
    <row r="36">
      <c r="A36" t="inlineStr">
        <is>
          <t>Sum of PV of FCF (yr1-10)</t>
        </is>
      </c>
      <c r="B36">
        <f>SUM(C30:L30)</f>
        <v/>
      </c>
    </row>
    <row r="37">
      <c r="A37" t="inlineStr">
        <is>
          <t>Terminal growth (link)</t>
        </is>
      </c>
      <c r="B37" s="8">
        <f>Assumptions!B14</f>
        <v/>
      </c>
    </row>
    <row r="38">
      <c r="A38" t="inlineStr">
        <is>
          <t>Terminal FCF (yr10 * (1+g))</t>
        </is>
      </c>
      <c r="B38">
        <f>L28*(1+B37)</f>
        <v/>
      </c>
    </row>
    <row r="39">
      <c r="A39" t="inlineStr">
        <is>
          <t>Gordon TV</t>
        </is>
      </c>
      <c r="B39">
        <f>IF(Assumptions!$B$3&gt;B37,B38/(Assumptions!$B$3-B37),"n/a")</f>
        <v/>
      </c>
    </row>
    <row r="40">
      <c r="A40" t="inlineStr">
        <is>
          <t>Cap TV (=cap x yr10 FCF)</t>
        </is>
      </c>
      <c r="B40">
        <f>Assumptions!$B$4*L28</f>
        <v/>
      </c>
    </row>
    <row r="41">
      <c r="A41" s="3" t="inlineStr">
        <is>
          <t>TV used = MAX(0,MIN(Gordon,cap))</t>
        </is>
      </c>
      <c r="B41" s="3">
        <f>MAX(0,MIN(IF(ISNUMBER(B39),B39,B40),B40))</f>
        <v/>
      </c>
    </row>
    <row r="42">
      <c r="A42" t="inlineStr">
        <is>
          <t>Implied exit multiple (TV/yr10 FCF)</t>
        </is>
      </c>
      <c r="B42">
        <f>IF(L28=0,"n/a",B41/L28)</f>
        <v/>
      </c>
    </row>
    <row r="43">
      <c r="A43" t="inlineStr">
        <is>
          <t>PV of TV</t>
        </is>
      </c>
      <c r="B43">
        <f>B41*L29</f>
        <v/>
      </c>
    </row>
    <row r="44">
      <c r="A44" t="inlineStr">
        <is>
          <t>Enterprise value</t>
        </is>
      </c>
      <c r="B44">
        <f>B36+B43</f>
        <v/>
      </c>
    </row>
    <row r="45">
      <c r="A45" t="inlineStr">
        <is>
          <t>less: net debt (link)</t>
        </is>
      </c>
      <c r="B45" s="8">
        <f>-Assumptions!$B$7</f>
        <v/>
      </c>
    </row>
    <row r="46">
      <c r="A46" t="inlineStr">
        <is>
          <t>Equity value</t>
        </is>
      </c>
      <c r="B46">
        <f>B44+B45</f>
        <v/>
      </c>
    </row>
    <row r="47">
      <c r="A47" t="inlineStr">
        <is>
          <t>Diluted shares (link, m)</t>
        </is>
      </c>
      <c r="B47" s="8">
        <f>Assumptions!$B$6</f>
        <v/>
      </c>
    </row>
    <row r="48">
      <c r="A48" t="inlineStr">
        <is>
          <t>Value per share (A$)</t>
        </is>
      </c>
      <c r="B48" s="7">
        <f>MAX(0,B46/B47)</f>
        <v/>
      </c>
    </row>
    <row r="49">
      <c r="A49" t="inlineStr">
        <is>
          <t>Value per share (NZ$, x FX link)</t>
        </is>
      </c>
      <c r="B49" s="7">
        <f>B48*Assumptions!$B$8</f>
        <v/>
      </c>
    </row>
    <row r="50">
      <c r="A50" t="inlineStr">
        <is>
          <t>Upside vs current price (NZ$)</t>
        </is>
      </c>
      <c r="B50">
        <f>B49/Assumptions!$B$9-1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MKR.NZ - Base case DCF (A$ millions)</t>
        </is>
      </c>
    </row>
    <row r="3">
      <c r="A3" s="4" t="inlineStr">
        <is>
          <t>Year</t>
        </is>
      </c>
      <c r="B3" s="4" t="inlineStr">
        <is>
          <t>FY2026A</t>
        </is>
      </c>
      <c r="C3" s="4" t="inlineStr">
        <is>
          <t>FY2027E</t>
        </is>
      </c>
      <c r="D3" s="4" t="inlineStr">
        <is>
          <t>FY2028E</t>
        </is>
      </c>
      <c r="E3" s="4" t="inlineStr">
        <is>
          <t>FY2029E</t>
        </is>
      </c>
      <c r="F3" s="4" t="inlineStr">
        <is>
          <t>FY2030E</t>
        </is>
      </c>
      <c r="G3" s="4" t="inlineStr">
        <is>
          <t>FY2031E</t>
        </is>
      </c>
      <c r="H3" s="4" t="inlineStr">
        <is>
          <t>FY2032E</t>
        </is>
      </c>
      <c r="I3" s="4" t="inlineStr">
        <is>
          <t>FY2033E</t>
        </is>
      </c>
      <c r="J3" s="4" t="inlineStr">
        <is>
          <t>FY2034E</t>
        </is>
      </c>
      <c r="K3" s="4" t="inlineStr">
        <is>
          <t>FY2035E</t>
        </is>
      </c>
      <c r="L3" s="4" t="inlineStr">
        <is>
          <t>FY2036E</t>
        </is>
      </c>
    </row>
    <row r="4">
      <c r="A4" t="inlineStr">
        <is>
          <t>Year index (t)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Mature run-rate EBITDA (A$m) [driver]</t>
        </is>
      </c>
      <c r="B5" s="9" t="n">
        <v>50.8</v>
      </c>
    </row>
    <row r="6">
      <c r="A6" t="inlineStr">
        <is>
          <t>Ramp years [driver]</t>
        </is>
      </c>
      <c r="B6" s="9" t="n">
        <v>3</v>
      </c>
    </row>
    <row r="7">
      <c r="A7" t="inlineStr">
        <is>
          <t>EBITDA margin (mature) [driver]</t>
        </is>
      </c>
      <c r="B7" s="9" t="n">
        <v>0.42</v>
      </c>
    </row>
    <row r="8">
      <c r="A8" t="inlineStr">
        <is>
          <t>Taper start year [driver]</t>
        </is>
      </c>
      <c r="B8" s="9" t="n">
        <v>8</v>
      </c>
    </row>
    <row r="9">
      <c r="A9" t="inlineStr">
        <is>
          <t>Taper-end EBITDA fraction [driver]</t>
        </is>
      </c>
      <c r="B9" s="9" t="n">
        <v>0.55</v>
      </c>
    </row>
    <row r="11">
      <c r="A11" t="inlineStr">
        <is>
          <t>Adjusted EBITDA (A$m)</t>
        </is>
      </c>
      <c r="B11" t="n">
        <v>0</v>
      </c>
      <c r="C11">
        <f>IF(C$4&lt;=$B$6,$B$5*C$4/$B$6,IF(C$4&lt;$B$8,$B$5,$B$5*(1-(1-$B$9)*(C$4-$B$8+1)/(10-$B$8+1))))</f>
        <v/>
      </c>
      <c r="D11">
        <f>IF(D$4&lt;=$B$6,$B$5*D$4/$B$6,IF(D$4&lt;$B$8,$B$5,$B$5*(1-(1-$B$9)*(D$4-$B$8+1)/(10-$B$8+1))))</f>
        <v/>
      </c>
      <c r="E11">
        <f>IF(E$4&lt;=$B$6,$B$5*E$4/$B$6,IF(E$4&lt;$B$8,$B$5,$B$5*(1-(1-$B$9)*(E$4-$B$8+1)/(10-$B$8+1))))</f>
        <v/>
      </c>
      <c r="F11">
        <f>IF(F$4&lt;=$B$6,$B$5*F$4/$B$6,IF(F$4&lt;$B$8,$B$5,$B$5*(1-(1-$B$9)*(F$4-$B$8+1)/(10-$B$8+1))))</f>
        <v/>
      </c>
      <c r="G11">
        <f>IF(G$4&lt;=$B$6,$B$5*G$4/$B$6,IF(G$4&lt;$B$8,$B$5,$B$5*(1-(1-$B$9)*(G$4-$B$8+1)/(10-$B$8+1))))</f>
        <v/>
      </c>
      <c r="H11">
        <f>IF(H$4&lt;=$B$6,$B$5*H$4/$B$6,IF(H$4&lt;$B$8,$B$5,$B$5*(1-(1-$B$9)*(H$4-$B$8+1)/(10-$B$8+1))))</f>
        <v/>
      </c>
      <c r="I11">
        <f>IF(I$4&lt;=$B$6,$B$5*I$4/$B$6,IF(I$4&lt;$B$8,$B$5,$B$5*(1-(1-$B$9)*(I$4-$B$8+1)/(10-$B$8+1))))</f>
        <v/>
      </c>
      <c r="J11">
        <f>IF(J$4&lt;=$B$6,$B$5*J$4/$B$6,IF(J$4&lt;$B$8,$B$5,$B$5*(1-(1-$B$9)*(J$4-$B$8+1)/(10-$B$8+1))))</f>
        <v/>
      </c>
      <c r="K11">
        <f>IF(K$4&lt;=$B$6,$B$5*K$4/$B$6,IF(K$4&lt;$B$8,$B$5,$B$5*(1-(1-$B$9)*(K$4-$B$8+1)/(10-$B$8+1))))</f>
        <v/>
      </c>
      <c r="L11">
        <f>IF(L$4&lt;=$B$6,$B$5*L$4/$B$6,IF(L$4&lt;$B$8,$B$5,$B$5*(1-(1-$B$9)*(L$4-$B$8+1)/(10-$B$8+1))))</f>
        <v/>
      </c>
    </row>
    <row r="12">
      <c r="A12" t="inlineStr">
        <is>
          <t>Revenue (implied, A$m)</t>
        </is>
      </c>
      <c r="B12" t="n">
        <v>0</v>
      </c>
      <c r="C12">
        <f>IF($B$7=0,0,C11/$B$7)</f>
        <v/>
      </c>
      <c r="D12">
        <f>IF($B$7=0,0,D11/$B$7)</f>
        <v/>
      </c>
      <c r="E12">
        <f>IF($B$7=0,0,E11/$B$7)</f>
        <v/>
      </c>
      <c r="F12">
        <f>IF($B$7=0,0,F11/$B$7)</f>
        <v/>
      </c>
      <c r="G12">
        <f>IF($B$7=0,0,G11/$B$7)</f>
        <v/>
      </c>
      <c r="H12">
        <f>IF($B$7=0,0,H11/$B$7)</f>
        <v/>
      </c>
      <c r="I12">
        <f>IF($B$7=0,0,I11/$B$7)</f>
        <v/>
      </c>
      <c r="J12">
        <f>IF($B$7=0,0,J11/$B$7)</f>
        <v/>
      </c>
      <c r="K12">
        <f>IF($B$7=0,0,K11/$B$7)</f>
        <v/>
      </c>
      <c r="L12">
        <f>IF($B$7=0,0,L11/$B$7)</f>
        <v/>
      </c>
    </row>
    <row r="13">
      <c r="A13" t="inlineStr">
        <is>
          <t>SBC % of revenue [driver]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</row>
    <row r="14">
      <c r="A14" t="inlineStr">
        <is>
          <t>SBC ($m)</t>
        </is>
      </c>
      <c r="B14">
        <f>-B12*B13</f>
        <v/>
      </c>
      <c r="C14">
        <f>-C12*C13</f>
        <v/>
      </c>
      <c r="D14">
        <f>-D12*D13</f>
        <v/>
      </c>
      <c r="E14">
        <f>-E12*E13</f>
        <v/>
      </c>
      <c r="F14">
        <f>-F12*F13</f>
        <v/>
      </c>
      <c r="G14">
        <f>-G12*G13</f>
        <v/>
      </c>
      <c r="H14">
        <f>-H12*H13</f>
        <v/>
      </c>
      <c r="I14">
        <f>-I12*I13</f>
        <v/>
      </c>
      <c r="J14">
        <f>-J12*J13</f>
        <v/>
      </c>
      <c r="K14">
        <f>-K12*K13</f>
        <v/>
      </c>
      <c r="L14">
        <f>-L12*L13</f>
        <v/>
      </c>
    </row>
    <row r="15">
      <c r="A15" t="inlineStr">
        <is>
          <t>Owner EBITDA ($m)</t>
        </is>
      </c>
      <c r="B15">
        <f>B11+B14</f>
        <v/>
      </c>
      <c r="C15">
        <f>C11+C14</f>
        <v/>
      </c>
      <c r="D15">
        <f>D11+D14</f>
        <v/>
      </c>
      <c r="E15">
        <f>E11+E14</f>
        <v/>
      </c>
      <c r="F15">
        <f>F11+F14</f>
        <v/>
      </c>
      <c r="G15">
        <f>G11+G14</f>
        <v/>
      </c>
      <c r="H15">
        <f>H11+H14</f>
        <v/>
      </c>
      <c r="I15">
        <f>I11+I14</f>
        <v/>
      </c>
      <c r="J15">
        <f>J11+J14</f>
        <v/>
      </c>
      <c r="K15">
        <f>K11+K14</f>
        <v/>
      </c>
      <c r="L15">
        <f>L11+L14</f>
        <v/>
      </c>
    </row>
    <row r="16">
      <c r="A16" t="inlineStr">
        <is>
          <t>D&amp;A % of revenue [driver]</t>
        </is>
      </c>
      <c r="B16" s="9" t="n">
        <v>0.1</v>
      </c>
      <c r="C16">
        <f>$B$16</f>
        <v/>
      </c>
      <c r="D16">
        <f>$B$16</f>
        <v/>
      </c>
      <c r="E16">
        <f>$B$16</f>
        <v/>
      </c>
      <c r="F16">
        <f>$B$16</f>
        <v/>
      </c>
      <c r="G16">
        <f>$B$16</f>
        <v/>
      </c>
      <c r="H16">
        <f>$B$16</f>
        <v/>
      </c>
      <c r="I16">
        <f>$B$16</f>
        <v/>
      </c>
      <c r="J16">
        <f>$B$16</f>
        <v/>
      </c>
      <c r="K16">
        <f>$B$16</f>
        <v/>
      </c>
      <c r="L16">
        <f>$B$16</f>
        <v/>
      </c>
    </row>
    <row r="17">
      <c r="A17" t="inlineStr">
        <is>
          <t>D&amp;A ($m)</t>
        </is>
      </c>
      <c r="B17">
        <f>-B12*B16</f>
        <v/>
      </c>
      <c r="C17">
        <f>-C12*C16</f>
        <v/>
      </c>
      <c r="D17">
        <f>-D12*D16</f>
        <v/>
      </c>
      <c r="E17">
        <f>-E12*E16</f>
        <v/>
      </c>
      <c r="F17">
        <f>-F12*F16</f>
        <v/>
      </c>
      <c r="G17">
        <f>-G12*G16</f>
        <v/>
      </c>
      <c r="H17">
        <f>-H12*H16</f>
        <v/>
      </c>
      <c r="I17">
        <f>-I12*I16</f>
        <v/>
      </c>
      <c r="J17">
        <f>-J12*J16</f>
        <v/>
      </c>
      <c r="K17">
        <f>-K12*K16</f>
        <v/>
      </c>
      <c r="L17">
        <f>-L12*L16</f>
        <v/>
      </c>
    </row>
    <row r="18">
      <c r="A18" t="inlineStr">
        <is>
          <t>EBIT, SBC expensed ($m)</t>
        </is>
      </c>
      <c r="B18">
        <f>B15+B17</f>
        <v/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Cash tax rate [driver]</t>
        </is>
      </c>
      <c r="B19" t="n">
        <v>0</v>
      </c>
      <c r="C19" s="9" t="n">
        <v>0</v>
      </c>
      <c r="D19" s="9" t="n">
        <v>0</v>
      </c>
      <c r="E19" s="9" t="n">
        <v>0.05</v>
      </c>
      <c r="F19" s="9" t="n">
        <v>0.15</v>
      </c>
      <c r="G19" s="9" t="n">
        <v>0.25</v>
      </c>
      <c r="H19" s="9" t="n">
        <v>0.28</v>
      </c>
      <c r="I19" s="9" t="n">
        <v>0.28</v>
      </c>
      <c r="J19" s="9" t="n">
        <v>0.28</v>
      </c>
      <c r="K19" s="9" t="n">
        <v>0.28</v>
      </c>
      <c r="L19" s="9" t="n">
        <v>0.28</v>
      </c>
    </row>
    <row r="20">
      <c r="A20" t="inlineStr">
        <is>
          <t>NOPAT ($m)</t>
        </is>
      </c>
      <c r="B20">
        <f>B18*(1-B19)</f>
        <v/>
      </c>
      <c r="C20">
        <f>C18*(1-C19)</f>
        <v/>
      </c>
      <c r="D20">
        <f>D18*(1-D19)</f>
        <v/>
      </c>
      <c r="E20">
        <f>E18*(1-E19)</f>
        <v/>
      </c>
      <c r="F20">
        <f>F18*(1-F19)</f>
        <v/>
      </c>
      <c r="G20">
        <f>G18*(1-G19)</f>
        <v/>
      </c>
      <c r="H20">
        <f>H18*(1-H19)</f>
        <v/>
      </c>
      <c r="I20">
        <f>I18*(1-I19)</f>
        <v/>
      </c>
      <c r="J20">
        <f>J18*(1-J19)</f>
        <v/>
      </c>
      <c r="K20">
        <f>K18*(1-K19)</f>
        <v/>
      </c>
      <c r="L20">
        <f>L18*(1-L19)</f>
        <v/>
      </c>
    </row>
    <row r="21">
      <c r="A21" t="inlineStr">
        <is>
          <t>add back D&amp;A ($m)</t>
        </is>
      </c>
      <c r="B21">
        <f>-B17</f>
        <v/>
      </c>
      <c r="C21">
        <f>-C17</f>
        <v/>
      </c>
      <c r="D21">
        <f>-D17</f>
        <v/>
      </c>
      <c r="E21">
        <f>-E17</f>
        <v/>
      </c>
      <c r="F21">
        <f>-F17</f>
        <v/>
      </c>
      <c r="G21">
        <f>-G17</f>
        <v/>
      </c>
      <c r="H21">
        <f>-H17</f>
        <v/>
      </c>
      <c r="I21">
        <f>-I17</f>
        <v/>
      </c>
      <c r="J21">
        <f>-J17</f>
        <v/>
      </c>
      <c r="K21">
        <f>-K17</f>
        <v/>
      </c>
      <c r="L21">
        <f>-L17</f>
        <v/>
      </c>
    </row>
    <row r="22">
      <c r="A22" t="inlineStr">
        <is>
          <t>Capex % revenue (mature) [driver]</t>
        </is>
      </c>
      <c r="B22" s="9" t="n">
        <v>0.12</v>
      </c>
    </row>
    <row r="23">
      <c r="A23" t="inlineStr">
        <is>
          <t>Restart capex override, yr1 (A$m) [driver]</t>
        </is>
      </c>
      <c r="B23" s="9" t="n">
        <v>20</v>
      </c>
    </row>
    <row r="24">
      <c r="A24" t="inlineStr">
        <is>
          <t>Restart capex override, yr2 (A$m) [driver]</t>
        </is>
      </c>
      <c r="B24" s="9" t="n">
        <v>8</v>
      </c>
    </row>
    <row r="25">
      <c r="A25" t="inlineStr">
        <is>
          <t>less capex ($m)</t>
        </is>
      </c>
      <c r="B25">
        <f>-B12*$B$22</f>
        <v/>
      </c>
      <c r="C25">
        <f>-$B$23</f>
        <v/>
      </c>
      <c r="D25">
        <f>-$B$24</f>
        <v/>
      </c>
      <c r="E25">
        <f>-E12*$B$22</f>
        <v/>
      </c>
      <c r="F25">
        <f>-F12*$B$22</f>
        <v/>
      </c>
      <c r="G25">
        <f>-G12*$B$22</f>
        <v/>
      </c>
      <c r="H25">
        <f>-H12*$B$22</f>
        <v/>
      </c>
      <c r="I25">
        <f>-I12*$B$22</f>
        <v/>
      </c>
      <c r="J25">
        <f>-J12*$B$22</f>
        <v/>
      </c>
      <c r="K25">
        <f>-K12*$B$22</f>
        <v/>
      </c>
      <c r="L25">
        <f>-L12*$B$22</f>
        <v/>
      </c>
    </row>
    <row r="26">
      <c r="A26" t="inlineStr">
        <is>
          <t>WC capture rate [driver]</t>
        </is>
      </c>
      <c r="B26" s="9" t="n">
        <v>0.15</v>
      </c>
    </row>
    <row r="27">
      <c r="A27" t="inlineStr">
        <is>
          <t>add/(less) working capital ($m)</t>
        </is>
      </c>
      <c r="B27" t="n">
        <v>0</v>
      </c>
      <c r="C27">
        <f>-$B$26*MAX(0,C12-B12)</f>
        <v/>
      </c>
      <c r="D27">
        <f>-$B$26*MAX(0,D12-C12)</f>
        <v/>
      </c>
      <c r="E27">
        <f>-$B$26*MAX(0,E12-D12)</f>
        <v/>
      </c>
      <c r="F27">
        <f>-$B$26*MAX(0,F12-E12)</f>
        <v/>
      </c>
      <c r="G27">
        <f>-$B$26*MAX(0,G12-F12)</f>
        <v/>
      </c>
      <c r="H27">
        <f>-$B$26*MAX(0,H12-G12)</f>
        <v/>
      </c>
      <c r="I27">
        <f>-$B$26*MAX(0,I12-H12)</f>
        <v/>
      </c>
      <c r="J27">
        <f>-$B$26*MAX(0,J12-I12)</f>
        <v/>
      </c>
      <c r="K27">
        <f>-$B$26*MAX(0,K12-J12)</f>
        <v/>
      </c>
      <c r="L27">
        <f>-$B$26*MAX(0,L12-K12)</f>
        <v/>
      </c>
    </row>
    <row r="28">
      <c r="A28" s="3" t="inlineStr">
        <is>
          <t>Unlevered owner FCF ($m)</t>
        </is>
      </c>
      <c r="B28" s="3">
        <f>B20+B21+B25+B27</f>
        <v/>
      </c>
      <c r="C28" s="3">
        <f>C20+C21+C25+C27</f>
        <v/>
      </c>
      <c r="D28" s="3">
        <f>D20+D21+D25+D27</f>
        <v/>
      </c>
      <c r="E28" s="3">
        <f>E20+E21+E25+E27</f>
        <v/>
      </c>
      <c r="F28" s="3">
        <f>F20+F21+F25+F27</f>
        <v/>
      </c>
      <c r="G28" s="3">
        <f>G20+G21+G25+G27</f>
        <v/>
      </c>
      <c r="H28" s="3">
        <f>H20+H21+H25+H27</f>
        <v/>
      </c>
      <c r="I28" s="3">
        <f>I20+I21+I25+I27</f>
        <v/>
      </c>
      <c r="J28" s="3">
        <f>J20+J21+J25+J27</f>
        <v/>
      </c>
      <c r="K28" s="3">
        <f>K20+K21+K25+K27</f>
        <v/>
      </c>
      <c r="L28" s="3">
        <f>L20+L21+L25+L27</f>
        <v/>
      </c>
    </row>
    <row r="29">
      <c r="A29" t="inlineStr">
        <is>
          <t>Discount factor</t>
        </is>
      </c>
      <c r="B29">
        <f>1/(1+Assumptions!$B$3)^B$4</f>
        <v/>
      </c>
      <c r="C29">
        <f>1/(1+Assumptions!$B$3)^C$4</f>
        <v/>
      </c>
      <c r="D29">
        <f>1/(1+Assumptions!$B$3)^D$4</f>
        <v/>
      </c>
      <c r="E29">
        <f>1/(1+Assumptions!$B$3)^E$4</f>
        <v/>
      </c>
      <c r="F29">
        <f>1/(1+Assumptions!$B$3)^F$4</f>
        <v/>
      </c>
      <c r="G29">
        <f>1/(1+Assumptions!$B$3)^G$4</f>
        <v/>
      </c>
      <c r="H29">
        <f>1/(1+Assumptions!$B$3)^H$4</f>
        <v/>
      </c>
      <c r="I29">
        <f>1/(1+Assumptions!$B$3)^I$4</f>
        <v/>
      </c>
      <c r="J29">
        <f>1/(1+Assumptions!$B$3)^J$4</f>
        <v/>
      </c>
      <c r="K29">
        <f>1/(1+Assumptions!$B$3)^K$4</f>
        <v/>
      </c>
      <c r="L29">
        <f>1/(1+Assumptions!$B$3)^L$4</f>
        <v/>
      </c>
    </row>
    <row r="30">
      <c r="A30" t="inlineStr">
        <is>
          <t>PV of FCF ($m)</t>
        </is>
      </c>
      <c r="B30">
        <f>B28*B29</f>
        <v/>
      </c>
      <c r="C30">
        <f>C28*C29</f>
        <v/>
      </c>
      <c r="D30">
        <f>D28*D29</f>
        <v/>
      </c>
      <c r="E30">
        <f>E28*E29</f>
        <v/>
      </c>
      <c r="F30">
        <f>F28*F29</f>
        <v/>
      </c>
      <c r="G30">
        <f>G28*G29</f>
        <v/>
      </c>
      <c r="H30">
        <f>H28*H29</f>
        <v/>
      </c>
      <c r="I30">
        <f>I28*I29</f>
        <v/>
      </c>
      <c r="J30">
        <f>J28*J29</f>
        <v/>
      </c>
      <c r="K30">
        <f>K28*K29</f>
        <v/>
      </c>
      <c r="L30">
        <f>L28*L29</f>
        <v/>
      </c>
    </row>
    <row r="32">
      <c r="A32" t="inlineStr">
        <is>
          <t>Memo: implied owner-FCF margin</t>
        </is>
      </c>
      <c r="B32">
        <f>IF(B12=0,"n/a",B28/B12)</f>
        <v/>
      </c>
      <c r="C32">
        <f>IF(C12=0,"n/a",C28/C12)</f>
        <v/>
      </c>
      <c r="D32">
        <f>IF(D12=0,"n/a",D28/D12)</f>
        <v/>
      </c>
      <c r="E32">
        <f>IF(E12=0,"n/a",E28/E12)</f>
        <v/>
      </c>
      <c r="F32">
        <f>IF(F12=0,"n/a",F28/F12)</f>
        <v/>
      </c>
      <c r="G32">
        <f>IF(G12=0,"n/a",G28/G12)</f>
        <v/>
      </c>
      <c r="H32">
        <f>IF(H12=0,"n/a",H28/H12)</f>
        <v/>
      </c>
      <c r="I32">
        <f>IF(I12=0,"n/a",I28/I12)</f>
        <v/>
      </c>
      <c r="J32">
        <f>IF(J12=0,"n/a",J28/J12)</f>
        <v/>
      </c>
      <c r="K32">
        <f>IF(K12=0,"n/a",K28/K12)</f>
        <v/>
      </c>
      <c r="L32">
        <f>IF(L12=0,"n/a",L28/L12)</f>
        <v/>
      </c>
    </row>
    <row r="35">
      <c r="A35" s="3" t="inlineStr">
        <is>
          <t>VALUATION</t>
        </is>
      </c>
    </row>
    <row r="36">
      <c r="A36" t="inlineStr">
        <is>
          <t>Sum of PV of FCF (yr1-10)</t>
        </is>
      </c>
      <c r="B36">
        <f>SUM(C30:L30)</f>
        <v/>
      </c>
    </row>
    <row r="37">
      <c r="A37" t="inlineStr">
        <is>
          <t>Terminal growth (link)</t>
        </is>
      </c>
      <c r="B37" s="8">
        <f>Assumptions!B15</f>
        <v/>
      </c>
    </row>
    <row r="38">
      <c r="A38" t="inlineStr">
        <is>
          <t>Terminal FCF (yr10 * (1+g))</t>
        </is>
      </c>
      <c r="B38">
        <f>L28*(1+B37)</f>
        <v/>
      </c>
    </row>
    <row r="39">
      <c r="A39" t="inlineStr">
        <is>
          <t>Gordon TV</t>
        </is>
      </c>
      <c r="B39">
        <f>IF(Assumptions!$B$3&gt;B37,B38/(Assumptions!$B$3-B37),"n/a")</f>
        <v/>
      </c>
    </row>
    <row r="40">
      <c r="A40" t="inlineStr">
        <is>
          <t>Cap TV (=cap x yr10 FCF)</t>
        </is>
      </c>
      <c r="B40">
        <f>Assumptions!$B$4*L28</f>
        <v/>
      </c>
    </row>
    <row r="41">
      <c r="A41" s="3" t="inlineStr">
        <is>
          <t>TV used = MAX(0,MIN(Gordon,cap))</t>
        </is>
      </c>
      <c r="B41" s="3">
        <f>MAX(0,MIN(IF(ISNUMBER(B39),B39,B40),B40))</f>
        <v/>
      </c>
    </row>
    <row r="42">
      <c r="A42" t="inlineStr">
        <is>
          <t>Implied exit multiple (TV/yr10 FCF)</t>
        </is>
      </c>
      <c r="B42">
        <f>IF(L28=0,"n/a",B41/L28)</f>
        <v/>
      </c>
    </row>
    <row r="43">
      <c r="A43" t="inlineStr">
        <is>
          <t>PV of TV</t>
        </is>
      </c>
      <c r="B43">
        <f>B41*L29</f>
        <v/>
      </c>
    </row>
    <row r="44">
      <c r="A44" t="inlineStr">
        <is>
          <t>Enterprise value</t>
        </is>
      </c>
      <c r="B44">
        <f>B36+B43</f>
        <v/>
      </c>
    </row>
    <row r="45">
      <c r="A45" t="inlineStr">
        <is>
          <t>less: net debt (link)</t>
        </is>
      </c>
      <c r="B45" s="8">
        <f>-Assumptions!$B$7</f>
        <v/>
      </c>
    </row>
    <row r="46">
      <c r="A46" t="inlineStr">
        <is>
          <t>Equity value</t>
        </is>
      </c>
      <c r="B46">
        <f>B44+B45</f>
        <v/>
      </c>
    </row>
    <row r="47">
      <c r="A47" t="inlineStr">
        <is>
          <t>Diluted shares (link, m)</t>
        </is>
      </c>
      <c r="B47" s="8">
        <f>Assumptions!$B$6</f>
        <v/>
      </c>
    </row>
    <row r="48">
      <c r="A48" t="inlineStr">
        <is>
          <t>Value per share (A$)</t>
        </is>
      </c>
      <c r="B48" s="7">
        <f>MAX(0,B46/B47)</f>
        <v/>
      </c>
    </row>
    <row r="49">
      <c r="A49" t="inlineStr">
        <is>
          <t>Value per share (NZ$, x FX link)</t>
        </is>
      </c>
      <c r="B49" s="7">
        <f>B48*Assumptions!$B$8</f>
        <v/>
      </c>
    </row>
    <row r="50">
      <c r="A50" t="inlineStr">
        <is>
          <t>Upside vs current price (NZ$)</t>
        </is>
      </c>
      <c r="B50">
        <f>B49/Assumptions!$B$9-1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MKR.NZ - Bull case DCF (A$ millions)</t>
        </is>
      </c>
    </row>
    <row r="3">
      <c r="A3" s="4" t="inlineStr">
        <is>
          <t>Year</t>
        </is>
      </c>
      <c r="B3" s="4" t="inlineStr">
        <is>
          <t>FY2026A</t>
        </is>
      </c>
      <c r="C3" s="4" t="inlineStr">
        <is>
          <t>FY2027E</t>
        </is>
      </c>
      <c r="D3" s="4" t="inlineStr">
        <is>
          <t>FY2028E</t>
        </is>
      </c>
      <c r="E3" s="4" t="inlineStr">
        <is>
          <t>FY2029E</t>
        </is>
      </c>
      <c r="F3" s="4" t="inlineStr">
        <is>
          <t>FY2030E</t>
        </is>
      </c>
      <c r="G3" s="4" t="inlineStr">
        <is>
          <t>FY2031E</t>
        </is>
      </c>
      <c r="H3" s="4" t="inlineStr">
        <is>
          <t>FY2032E</t>
        </is>
      </c>
      <c r="I3" s="4" t="inlineStr">
        <is>
          <t>FY2033E</t>
        </is>
      </c>
      <c r="J3" s="4" t="inlineStr">
        <is>
          <t>FY2034E</t>
        </is>
      </c>
      <c r="K3" s="4" t="inlineStr">
        <is>
          <t>FY2035E</t>
        </is>
      </c>
      <c r="L3" s="4" t="inlineStr">
        <is>
          <t>FY2036E</t>
        </is>
      </c>
    </row>
    <row r="4">
      <c r="A4" t="inlineStr">
        <is>
          <t>Year index (t)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Mature run-rate EBITDA (A$m) [driver]</t>
        </is>
      </c>
      <c r="B5" s="9" t="n">
        <v>82.55</v>
      </c>
    </row>
    <row r="6">
      <c r="A6" t="inlineStr">
        <is>
          <t>Ramp years [driver]</t>
        </is>
      </c>
      <c r="B6" s="9" t="n">
        <v>2</v>
      </c>
    </row>
    <row r="7">
      <c r="A7" t="inlineStr">
        <is>
          <t>EBITDA margin (mature) [driver]</t>
        </is>
      </c>
      <c r="B7" s="9" t="n">
        <v>0.48</v>
      </c>
    </row>
    <row r="8">
      <c r="A8" t="inlineStr">
        <is>
          <t>Taper start year [driver]</t>
        </is>
      </c>
      <c r="B8" s="9" t="n">
        <v>9</v>
      </c>
    </row>
    <row r="9">
      <c r="A9" t="inlineStr">
        <is>
          <t>Taper-end EBITDA fraction [driver]</t>
        </is>
      </c>
      <c r="B9" s="9" t="n">
        <v>0.7</v>
      </c>
    </row>
    <row r="11">
      <c r="A11" t="inlineStr">
        <is>
          <t>Adjusted EBITDA (A$m)</t>
        </is>
      </c>
      <c r="B11" t="n">
        <v>0</v>
      </c>
      <c r="C11">
        <f>IF(C$4&lt;=$B$6,$B$5*C$4/$B$6,IF(C$4&lt;$B$8,$B$5,$B$5*(1-(1-$B$9)*(C$4-$B$8+1)/(10-$B$8+1))))</f>
        <v/>
      </c>
      <c r="D11">
        <f>IF(D$4&lt;=$B$6,$B$5*D$4/$B$6,IF(D$4&lt;$B$8,$B$5,$B$5*(1-(1-$B$9)*(D$4-$B$8+1)/(10-$B$8+1))))</f>
        <v/>
      </c>
      <c r="E11">
        <f>IF(E$4&lt;=$B$6,$B$5*E$4/$B$6,IF(E$4&lt;$B$8,$B$5,$B$5*(1-(1-$B$9)*(E$4-$B$8+1)/(10-$B$8+1))))</f>
        <v/>
      </c>
      <c r="F11">
        <f>IF(F$4&lt;=$B$6,$B$5*F$4/$B$6,IF(F$4&lt;$B$8,$B$5,$B$5*(1-(1-$B$9)*(F$4-$B$8+1)/(10-$B$8+1))))</f>
        <v/>
      </c>
      <c r="G11">
        <f>IF(G$4&lt;=$B$6,$B$5*G$4/$B$6,IF(G$4&lt;$B$8,$B$5,$B$5*(1-(1-$B$9)*(G$4-$B$8+1)/(10-$B$8+1))))</f>
        <v/>
      </c>
      <c r="H11">
        <f>IF(H$4&lt;=$B$6,$B$5*H$4/$B$6,IF(H$4&lt;$B$8,$B$5,$B$5*(1-(1-$B$9)*(H$4-$B$8+1)/(10-$B$8+1))))</f>
        <v/>
      </c>
      <c r="I11">
        <f>IF(I$4&lt;=$B$6,$B$5*I$4/$B$6,IF(I$4&lt;$B$8,$B$5,$B$5*(1-(1-$B$9)*(I$4-$B$8+1)/(10-$B$8+1))))</f>
        <v/>
      </c>
      <c r="J11">
        <f>IF(J$4&lt;=$B$6,$B$5*J$4/$B$6,IF(J$4&lt;$B$8,$B$5,$B$5*(1-(1-$B$9)*(J$4-$B$8+1)/(10-$B$8+1))))</f>
        <v/>
      </c>
      <c r="K11">
        <f>IF(K$4&lt;=$B$6,$B$5*K$4/$B$6,IF(K$4&lt;$B$8,$B$5,$B$5*(1-(1-$B$9)*(K$4-$B$8+1)/(10-$B$8+1))))</f>
        <v/>
      </c>
      <c r="L11">
        <f>IF(L$4&lt;=$B$6,$B$5*L$4/$B$6,IF(L$4&lt;$B$8,$B$5,$B$5*(1-(1-$B$9)*(L$4-$B$8+1)/(10-$B$8+1))))</f>
        <v/>
      </c>
    </row>
    <row r="12">
      <c r="A12" t="inlineStr">
        <is>
          <t>Revenue (implied, A$m)</t>
        </is>
      </c>
      <c r="B12" t="n">
        <v>0</v>
      </c>
      <c r="C12">
        <f>IF($B$7=0,0,C11/$B$7)</f>
        <v/>
      </c>
      <c r="D12">
        <f>IF($B$7=0,0,D11/$B$7)</f>
        <v/>
      </c>
      <c r="E12">
        <f>IF($B$7=0,0,E11/$B$7)</f>
        <v/>
      </c>
      <c r="F12">
        <f>IF($B$7=0,0,F11/$B$7)</f>
        <v/>
      </c>
      <c r="G12">
        <f>IF($B$7=0,0,G11/$B$7)</f>
        <v/>
      </c>
      <c r="H12">
        <f>IF($B$7=0,0,H11/$B$7)</f>
        <v/>
      </c>
      <c r="I12">
        <f>IF($B$7=0,0,I11/$B$7)</f>
        <v/>
      </c>
      <c r="J12">
        <f>IF($B$7=0,0,J11/$B$7)</f>
        <v/>
      </c>
      <c r="K12">
        <f>IF($B$7=0,0,K11/$B$7)</f>
        <v/>
      </c>
      <c r="L12">
        <f>IF($B$7=0,0,L11/$B$7)</f>
        <v/>
      </c>
    </row>
    <row r="13">
      <c r="A13" t="inlineStr">
        <is>
          <t>SBC % of revenue [driver]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</row>
    <row r="14">
      <c r="A14" t="inlineStr">
        <is>
          <t>SBC ($m)</t>
        </is>
      </c>
      <c r="B14">
        <f>-B12*B13</f>
        <v/>
      </c>
      <c r="C14">
        <f>-C12*C13</f>
        <v/>
      </c>
      <c r="D14">
        <f>-D12*D13</f>
        <v/>
      </c>
      <c r="E14">
        <f>-E12*E13</f>
        <v/>
      </c>
      <c r="F14">
        <f>-F12*F13</f>
        <v/>
      </c>
      <c r="G14">
        <f>-G12*G13</f>
        <v/>
      </c>
      <c r="H14">
        <f>-H12*H13</f>
        <v/>
      </c>
      <c r="I14">
        <f>-I12*I13</f>
        <v/>
      </c>
      <c r="J14">
        <f>-J12*J13</f>
        <v/>
      </c>
      <c r="K14">
        <f>-K12*K13</f>
        <v/>
      </c>
      <c r="L14">
        <f>-L12*L13</f>
        <v/>
      </c>
    </row>
    <row r="15">
      <c r="A15" t="inlineStr">
        <is>
          <t>Owner EBITDA ($m)</t>
        </is>
      </c>
      <c r="B15">
        <f>B11+B14</f>
        <v/>
      </c>
      <c r="C15">
        <f>C11+C14</f>
        <v/>
      </c>
      <c r="D15">
        <f>D11+D14</f>
        <v/>
      </c>
      <c r="E15">
        <f>E11+E14</f>
        <v/>
      </c>
      <c r="F15">
        <f>F11+F14</f>
        <v/>
      </c>
      <c r="G15">
        <f>G11+G14</f>
        <v/>
      </c>
      <c r="H15">
        <f>H11+H14</f>
        <v/>
      </c>
      <c r="I15">
        <f>I11+I14</f>
        <v/>
      </c>
      <c r="J15">
        <f>J11+J14</f>
        <v/>
      </c>
      <c r="K15">
        <f>K11+K14</f>
        <v/>
      </c>
      <c r="L15">
        <f>L11+L14</f>
        <v/>
      </c>
    </row>
    <row r="16">
      <c r="A16" t="inlineStr">
        <is>
          <t>D&amp;A % of revenue [driver]</t>
        </is>
      </c>
      <c r="B16" s="9" t="n">
        <v>0.09</v>
      </c>
      <c r="C16">
        <f>$B$16</f>
        <v/>
      </c>
      <c r="D16">
        <f>$B$16</f>
        <v/>
      </c>
      <c r="E16">
        <f>$B$16</f>
        <v/>
      </c>
      <c r="F16">
        <f>$B$16</f>
        <v/>
      </c>
      <c r="G16">
        <f>$B$16</f>
        <v/>
      </c>
      <c r="H16">
        <f>$B$16</f>
        <v/>
      </c>
      <c r="I16">
        <f>$B$16</f>
        <v/>
      </c>
      <c r="J16">
        <f>$B$16</f>
        <v/>
      </c>
      <c r="K16">
        <f>$B$16</f>
        <v/>
      </c>
      <c r="L16">
        <f>$B$16</f>
        <v/>
      </c>
    </row>
    <row r="17">
      <c r="A17" t="inlineStr">
        <is>
          <t>D&amp;A ($m)</t>
        </is>
      </c>
      <c r="B17">
        <f>-B12*B16</f>
        <v/>
      </c>
      <c r="C17">
        <f>-C12*C16</f>
        <v/>
      </c>
      <c r="D17">
        <f>-D12*D16</f>
        <v/>
      </c>
      <c r="E17">
        <f>-E12*E16</f>
        <v/>
      </c>
      <c r="F17">
        <f>-F12*F16</f>
        <v/>
      </c>
      <c r="G17">
        <f>-G12*G16</f>
        <v/>
      </c>
      <c r="H17">
        <f>-H12*H16</f>
        <v/>
      </c>
      <c r="I17">
        <f>-I12*I16</f>
        <v/>
      </c>
      <c r="J17">
        <f>-J12*J16</f>
        <v/>
      </c>
      <c r="K17">
        <f>-K12*K16</f>
        <v/>
      </c>
      <c r="L17">
        <f>-L12*L16</f>
        <v/>
      </c>
    </row>
    <row r="18">
      <c r="A18" t="inlineStr">
        <is>
          <t>EBIT, SBC expensed ($m)</t>
        </is>
      </c>
      <c r="B18">
        <f>B15+B17</f>
        <v/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Cash tax rate [driver]</t>
        </is>
      </c>
      <c r="B19" t="n">
        <v>0</v>
      </c>
      <c r="C19" s="9" t="n">
        <v>0</v>
      </c>
      <c r="D19" s="9" t="n">
        <v>0</v>
      </c>
      <c r="E19" s="9" t="n">
        <v>0.1</v>
      </c>
      <c r="F19" s="9" t="n">
        <v>0.22</v>
      </c>
      <c r="G19" s="9" t="n">
        <v>0.28</v>
      </c>
      <c r="H19" s="9" t="n">
        <v>0.28</v>
      </c>
      <c r="I19" s="9" t="n">
        <v>0.28</v>
      </c>
      <c r="J19" s="9" t="n">
        <v>0.28</v>
      </c>
      <c r="K19" s="9" t="n">
        <v>0.28</v>
      </c>
      <c r="L19" s="9" t="n">
        <v>0.28</v>
      </c>
    </row>
    <row r="20">
      <c r="A20" t="inlineStr">
        <is>
          <t>NOPAT ($m)</t>
        </is>
      </c>
      <c r="B20">
        <f>B18*(1-B19)</f>
        <v/>
      </c>
      <c r="C20">
        <f>C18*(1-C19)</f>
        <v/>
      </c>
      <c r="D20">
        <f>D18*(1-D19)</f>
        <v/>
      </c>
      <c r="E20">
        <f>E18*(1-E19)</f>
        <v/>
      </c>
      <c r="F20">
        <f>F18*(1-F19)</f>
        <v/>
      </c>
      <c r="G20">
        <f>G18*(1-G19)</f>
        <v/>
      </c>
      <c r="H20">
        <f>H18*(1-H19)</f>
        <v/>
      </c>
      <c r="I20">
        <f>I18*(1-I19)</f>
        <v/>
      </c>
      <c r="J20">
        <f>J18*(1-J19)</f>
        <v/>
      </c>
      <c r="K20">
        <f>K18*(1-K19)</f>
        <v/>
      </c>
      <c r="L20">
        <f>L18*(1-L19)</f>
        <v/>
      </c>
    </row>
    <row r="21">
      <c r="A21" t="inlineStr">
        <is>
          <t>add back D&amp;A ($m)</t>
        </is>
      </c>
      <c r="B21">
        <f>-B17</f>
        <v/>
      </c>
      <c r="C21">
        <f>-C17</f>
        <v/>
      </c>
      <c r="D21">
        <f>-D17</f>
        <v/>
      </c>
      <c r="E21">
        <f>-E17</f>
        <v/>
      </c>
      <c r="F21">
        <f>-F17</f>
        <v/>
      </c>
      <c r="G21">
        <f>-G17</f>
        <v/>
      </c>
      <c r="H21">
        <f>-H17</f>
        <v/>
      </c>
      <c r="I21">
        <f>-I17</f>
        <v/>
      </c>
      <c r="J21">
        <f>-J17</f>
        <v/>
      </c>
      <c r="K21">
        <f>-K17</f>
        <v/>
      </c>
      <c r="L21">
        <f>-L17</f>
        <v/>
      </c>
    </row>
    <row r="22">
      <c r="A22" t="inlineStr">
        <is>
          <t>Capex % revenue (mature) [driver]</t>
        </is>
      </c>
      <c r="B22" s="9" t="n">
        <v>0.1</v>
      </c>
    </row>
    <row r="23">
      <c r="A23" t="inlineStr">
        <is>
          <t>Restart capex override, yr1 (A$m) [driver]</t>
        </is>
      </c>
      <c r="B23" s="9" t="n">
        <v>18</v>
      </c>
    </row>
    <row r="24">
      <c r="A24" t="inlineStr">
        <is>
          <t>Restart capex override, yr2 (A$m) [driver]</t>
        </is>
      </c>
      <c r="B24" s="9" t="n">
        <v>8.6</v>
      </c>
    </row>
    <row r="25">
      <c r="A25" t="inlineStr">
        <is>
          <t>less capex ($m)</t>
        </is>
      </c>
      <c r="B25">
        <f>-B12*$B$22</f>
        <v/>
      </c>
      <c r="C25">
        <f>-$B$23</f>
        <v/>
      </c>
      <c r="D25">
        <f>-$B$24</f>
        <v/>
      </c>
      <c r="E25">
        <f>-E12*$B$22</f>
        <v/>
      </c>
      <c r="F25">
        <f>-F12*$B$22</f>
        <v/>
      </c>
      <c r="G25">
        <f>-G12*$B$22</f>
        <v/>
      </c>
      <c r="H25">
        <f>-H12*$B$22</f>
        <v/>
      </c>
      <c r="I25">
        <f>-I12*$B$22</f>
        <v/>
      </c>
      <c r="J25">
        <f>-J12*$B$22</f>
        <v/>
      </c>
      <c r="K25">
        <f>-K12*$B$22</f>
        <v/>
      </c>
      <c r="L25">
        <f>-L12*$B$22</f>
        <v/>
      </c>
    </row>
    <row r="26">
      <c r="A26" t="inlineStr">
        <is>
          <t>WC capture rate [driver]</t>
        </is>
      </c>
      <c r="B26" s="9" t="n">
        <v>0.12</v>
      </c>
    </row>
    <row r="27">
      <c r="A27" t="inlineStr">
        <is>
          <t>add/(less) working capital ($m)</t>
        </is>
      </c>
      <c r="B27" t="n">
        <v>0</v>
      </c>
      <c r="C27">
        <f>-$B$26*MAX(0,C12-B12)</f>
        <v/>
      </c>
      <c r="D27">
        <f>-$B$26*MAX(0,D12-C12)</f>
        <v/>
      </c>
      <c r="E27">
        <f>-$B$26*MAX(0,E12-D12)</f>
        <v/>
      </c>
      <c r="F27">
        <f>-$B$26*MAX(0,F12-E12)</f>
        <v/>
      </c>
      <c r="G27">
        <f>-$B$26*MAX(0,G12-F12)</f>
        <v/>
      </c>
      <c r="H27">
        <f>-$B$26*MAX(0,H12-G12)</f>
        <v/>
      </c>
      <c r="I27">
        <f>-$B$26*MAX(0,I12-H12)</f>
        <v/>
      </c>
      <c r="J27">
        <f>-$B$26*MAX(0,J12-I12)</f>
        <v/>
      </c>
      <c r="K27">
        <f>-$B$26*MAX(0,K12-J12)</f>
        <v/>
      </c>
      <c r="L27">
        <f>-$B$26*MAX(0,L12-K12)</f>
        <v/>
      </c>
    </row>
    <row r="28">
      <c r="A28" s="3" t="inlineStr">
        <is>
          <t>Unlevered owner FCF ($m)</t>
        </is>
      </c>
      <c r="B28" s="3">
        <f>B20+B21+B25+B27</f>
        <v/>
      </c>
      <c r="C28" s="3">
        <f>C20+C21+C25+C27</f>
        <v/>
      </c>
      <c r="D28" s="3">
        <f>D20+D21+D25+D27</f>
        <v/>
      </c>
      <c r="E28" s="3">
        <f>E20+E21+E25+E27</f>
        <v/>
      </c>
      <c r="F28" s="3">
        <f>F20+F21+F25+F27</f>
        <v/>
      </c>
      <c r="G28" s="3">
        <f>G20+G21+G25+G27</f>
        <v/>
      </c>
      <c r="H28" s="3">
        <f>H20+H21+H25+H27</f>
        <v/>
      </c>
      <c r="I28" s="3">
        <f>I20+I21+I25+I27</f>
        <v/>
      </c>
      <c r="J28" s="3">
        <f>J20+J21+J25+J27</f>
        <v/>
      </c>
      <c r="K28" s="3">
        <f>K20+K21+K25+K27</f>
        <v/>
      </c>
      <c r="L28" s="3">
        <f>L20+L21+L25+L27</f>
        <v/>
      </c>
    </row>
    <row r="29">
      <c r="A29" t="inlineStr">
        <is>
          <t>Discount factor</t>
        </is>
      </c>
      <c r="B29">
        <f>1/(1+Assumptions!$B$3)^B$4</f>
        <v/>
      </c>
      <c r="C29">
        <f>1/(1+Assumptions!$B$3)^C$4</f>
        <v/>
      </c>
      <c r="D29">
        <f>1/(1+Assumptions!$B$3)^D$4</f>
        <v/>
      </c>
      <c r="E29">
        <f>1/(1+Assumptions!$B$3)^E$4</f>
        <v/>
      </c>
      <c r="F29">
        <f>1/(1+Assumptions!$B$3)^F$4</f>
        <v/>
      </c>
      <c r="G29">
        <f>1/(1+Assumptions!$B$3)^G$4</f>
        <v/>
      </c>
      <c r="H29">
        <f>1/(1+Assumptions!$B$3)^H$4</f>
        <v/>
      </c>
      <c r="I29">
        <f>1/(1+Assumptions!$B$3)^I$4</f>
        <v/>
      </c>
      <c r="J29">
        <f>1/(1+Assumptions!$B$3)^J$4</f>
        <v/>
      </c>
      <c r="K29">
        <f>1/(1+Assumptions!$B$3)^K$4</f>
        <v/>
      </c>
      <c r="L29">
        <f>1/(1+Assumptions!$B$3)^L$4</f>
        <v/>
      </c>
    </row>
    <row r="30">
      <c r="A30" t="inlineStr">
        <is>
          <t>PV of FCF ($m)</t>
        </is>
      </c>
      <c r="B30">
        <f>B28*B29</f>
        <v/>
      </c>
      <c r="C30">
        <f>C28*C29</f>
        <v/>
      </c>
      <c r="D30">
        <f>D28*D29</f>
        <v/>
      </c>
      <c r="E30">
        <f>E28*E29</f>
        <v/>
      </c>
      <c r="F30">
        <f>F28*F29</f>
        <v/>
      </c>
      <c r="G30">
        <f>G28*G29</f>
        <v/>
      </c>
      <c r="H30">
        <f>H28*H29</f>
        <v/>
      </c>
      <c r="I30">
        <f>I28*I29</f>
        <v/>
      </c>
      <c r="J30">
        <f>J28*J29</f>
        <v/>
      </c>
      <c r="K30">
        <f>K28*K29</f>
        <v/>
      </c>
      <c r="L30">
        <f>L28*L29</f>
        <v/>
      </c>
    </row>
    <row r="32">
      <c r="A32" t="inlineStr">
        <is>
          <t>Memo: implied owner-FCF margin</t>
        </is>
      </c>
      <c r="B32">
        <f>IF(B12=0,"n/a",B28/B12)</f>
        <v/>
      </c>
      <c r="C32">
        <f>IF(C12=0,"n/a",C28/C12)</f>
        <v/>
      </c>
      <c r="D32">
        <f>IF(D12=0,"n/a",D28/D12)</f>
        <v/>
      </c>
      <c r="E32">
        <f>IF(E12=0,"n/a",E28/E12)</f>
        <v/>
      </c>
      <c r="F32">
        <f>IF(F12=0,"n/a",F28/F12)</f>
        <v/>
      </c>
      <c r="G32">
        <f>IF(G12=0,"n/a",G28/G12)</f>
        <v/>
      </c>
      <c r="H32">
        <f>IF(H12=0,"n/a",H28/H12)</f>
        <v/>
      </c>
      <c r="I32">
        <f>IF(I12=0,"n/a",I28/I12)</f>
        <v/>
      </c>
      <c r="J32">
        <f>IF(J12=0,"n/a",J28/J12)</f>
        <v/>
      </c>
      <c r="K32">
        <f>IF(K12=0,"n/a",K28/K12)</f>
        <v/>
      </c>
      <c r="L32">
        <f>IF(L12=0,"n/a",L28/L12)</f>
        <v/>
      </c>
    </row>
    <row r="35">
      <c r="A35" s="3" t="inlineStr">
        <is>
          <t>VALUATION</t>
        </is>
      </c>
    </row>
    <row r="36">
      <c r="A36" t="inlineStr">
        <is>
          <t>Sum of PV of FCF (yr1-10)</t>
        </is>
      </c>
      <c r="B36">
        <f>SUM(C30:L30)</f>
        <v/>
      </c>
    </row>
    <row r="37">
      <c r="A37" t="inlineStr">
        <is>
          <t>Terminal growth (link)</t>
        </is>
      </c>
      <c r="B37" s="8">
        <f>Assumptions!B16</f>
        <v/>
      </c>
    </row>
    <row r="38">
      <c r="A38" t="inlineStr">
        <is>
          <t>Terminal FCF (yr10 * (1+g))</t>
        </is>
      </c>
      <c r="B38">
        <f>L28*(1+B37)</f>
        <v/>
      </c>
    </row>
    <row r="39">
      <c r="A39" t="inlineStr">
        <is>
          <t>Gordon TV</t>
        </is>
      </c>
      <c r="B39">
        <f>IF(Assumptions!$B$3&gt;B37,B38/(Assumptions!$B$3-B37),"n/a")</f>
        <v/>
      </c>
    </row>
    <row r="40">
      <c r="A40" t="inlineStr">
        <is>
          <t>Cap TV (=cap x yr10 FCF)</t>
        </is>
      </c>
      <c r="B40">
        <f>Assumptions!$B$4*L28</f>
        <v/>
      </c>
    </row>
    <row r="41">
      <c r="A41" s="3" t="inlineStr">
        <is>
          <t>TV used = MAX(0,MIN(Gordon,cap))</t>
        </is>
      </c>
      <c r="B41" s="3">
        <f>MAX(0,MIN(IF(ISNUMBER(B39),B39,B40),B40))</f>
        <v/>
      </c>
    </row>
    <row r="42">
      <c r="A42" t="inlineStr">
        <is>
          <t>Implied exit multiple (TV/yr10 FCF)</t>
        </is>
      </c>
      <c r="B42">
        <f>IF(L28=0,"n/a",B41/L28)</f>
        <v/>
      </c>
    </row>
    <row r="43">
      <c r="A43" t="inlineStr">
        <is>
          <t>PV of TV</t>
        </is>
      </c>
      <c r="B43">
        <f>B41*L29</f>
        <v/>
      </c>
    </row>
    <row r="44">
      <c r="A44" t="inlineStr">
        <is>
          <t>Enterprise value</t>
        </is>
      </c>
      <c r="B44">
        <f>B36+B43</f>
        <v/>
      </c>
    </row>
    <row r="45">
      <c r="A45" t="inlineStr">
        <is>
          <t>less: net debt (link)</t>
        </is>
      </c>
      <c r="B45" s="8">
        <f>-Assumptions!$B$7</f>
        <v/>
      </c>
    </row>
    <row r="46">
      <c r="A46" t="inlineStr">
        <is>
          <t>Equity value</t>
        </is>
      </c>
      <c r="B46">
        <f>B44+B45</f>
        <v/>
      </c>
    </row>
    <row r="47">
      <c r="A47" t="inlineStr">
        <is>
          <t>Diluted shares (link, m)</t>
        </is>
      </c>
      <c r="B47" s="8">
        <f>Assumptions!$B$6</f>
        <v/>
      </c>
    </row>
    <row r="48">
      <c r="A48" t="inlineStr">
        <is>
          <t>Value per share (A$)</t>
        </is>
      </c>
      <c r="B48" s="7">
        <f>MAX(0,B46/B47)</f>
        <v/>
      </c>
    </row>
    <row r="49">
      <c r="A49" t="inlineStr">
        <is>
          <t>Value per share (NZ$, x FX link)</t>
        </is>
      </c>
      <c r="B49" s="7">
        <f>B48*Assumptions!$B$8</f>
        <v/>
      </c>
    </row>
    <row r="50">
      <c r="A50" t="inlineStr">
        <is>
          <t>Upside vs current price (NZ$)</t>
        </is>
      </c>
      <c r="B50">
        <f>B49/Assumptions!$B$9-1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FCF Quality Reconciliation - Historical (A$m)</t>
        </is>
      </c>
    </row>
    <row r="3">
      <c r="A3" s="2" t="inlineStr">
        <is>
          <t xml:space="preserve">Note: MKR.NZ is pre-revenue in FY2025/H1-2026 (both mines on care &amp; maintenance). Reported FCF is deeply </t>
        </is>
      </c>
    </row>
    <row r="4">
      <c r="A4" s="2" t="inlineStr">
        <is>
          <t>negative every year shown; SBC and interest income are both verified nil, so owner FCF = reported FCF for this ticker.</t>
        </is>
      </c>
    </row>
    <row r="6">
      <c r="A6" s="4" t="inlineStr">
        <is>
          <t>Period</t>
        </is>
      </c>
      <c r="B6" s="4" t="inlineStr">
        <is>
          <t>FY2020</t>
        </is>
      </c>
      <c r="C6" s="4" t="inlineStr">
        <is>
          <t>FY2021</t>
        </is>
      </c>
      <c r="D6" s="4" t="inlineStr">
        <is>
          <t>FY2022</t>
        </is>
      </c>
      <c r="E6" s="4" t="inlineStr">
        <is>
          <t>FY2023</t>
        </is>
      </c>
      <c r="F6" s="4" t="inlineStr">
        <is>
          <t>FY2024</t>
        </is>
      </c>
      <c r="G6" s="4" t="inlineStr">
        <is>
          <t>FY2025</t>
        </is>
      </c>
      <c r="H6" s="4" t="inlineStr">
        <is>
          <t>H1-2026</t>
        </is>
      </c>
    </row>
    <row r="7">
      <c r="A7" t="inlineStr">
        <is>
          <t>Free cash flow (company definition)</t>
        </is>
      </c>
      <c r="B7" s="5" t="n">
        <v>-12.975469</v>
      </c>
      <c r="C7" s="5" t="n">
        <v>-7.662507</v>
      </c>
      <c r="D7" s="5" t="n">
        <v>-0.527428</v>
      </c>
      <c r="E7" s="5" t="n">
        <v>-15.785631</v>
      </c>
      <c r="F7" s="5" t="n">
        <v>-8.652198</v>
      </c>
      <c r="G7" s="5" t="n">
        <v>-5.463057</v>
      </c>
      <c r="H7" s="5" t="n">
        <v>-8.533104</v>
      </c>
    </row>
    <row r="8">
      <c r="A8" t="inlineStr">
        <is>
          <t>less: SBC incl. equity-award taxes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t="inlineStr">
        <is>
          <t>less: interest income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A10" s="3" t="inlineStr">
        <is>
          <t>Owner FCF</t>
        </is>
      </c>
      <c r="B10" s="3">
        <f>B7-B8-B9</f>
        <v/>
      </c>
      <c r="C10" s="3">
        <f>C7-C8-C9</f>
        <v/>
      </c>
      <c r="D10" s="3">
        <f>D7-D8-D9</f>
        <v/>
      </c>
      <c r="E10" s="3">
        <f>E7-E8-E9</f>
        <v/>
      </c>
      <c r="F10" s="3">
        <f>F7-F8-F9</f>
        <v/>
      </c>
      <c r="G10" s="3">
        <f>G7-G8-G9</f>
        <v/>
      </c>
      <c r="H10" s="3">
        <f>H7-H8-H9</f>
        <v/>
      </c>
    </row>
    <row r="12">
      <c r="A12" t="inlineStr">
        <is>
          <t>Memo: cash tax rate</t>
        </is>
      </c>
    </row>
    <row r="13">
      <c r="A13" s="2" t="inlineStr">
        <is>
          <t>Effectively n/a - company has recorded net losses every year shown; no cash tax paid.</t>
        </is>
      </c>
    </row>
  </sheetData>
  <mergeCells count="3">
    <mergeCell ref="A4:H4"/>
    <mergeCell ref="A3:H3"/>
    <mergeCell ref="A13:H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MKR.NZ - Valuation Summary</t>
        </is>
      </c>
    </row>
    <row r="3">
      <c r="A3" s="4" t="inlineStr">
        <is>
          <t>Scenario</t>
        </is>
      </c>
      <c r="B3" s="4" t="inlineStr">
        <is>
          <t>Value/share (NZ$)</t>
        </is>
      </c>
      <c r="C3" s="4" t="inlineStr">
        <is>
          <t>Upside vs price</t>
        </is>
      </c>
      <c r="D3" s="4" t="inlineStr">
        <is>
          <t>Probability</t>
        </is>
      </c>
    </row>
    <row r="4">
      <c r="A4" t="inlineStr">
        <is>
          <t>Bear</t>
        </is>
      </c>
      <c r="B4" s="8">
        <f>DCF_Bear!B49</f>
        <v/>
      </c>
      <c r="C4">
        <f>B4/Assumptions!$B$9-1</f>
        <v/>
      </c>
      <c r="D4" s="8">
        <f>Assumptions!C14</f>
        <v/>
      </c>
    </row>
    <row r="5">
      <c r="A5" t="inlineStr">
        <is>
          <t>Base</t>
        </is>
      </c>
      <c r="B5" s="8">
        <f>DCF_Base!B49</f>
        <v/>
      </c>
      <c r="C5">
        <f>B5/Assumptions!$B$9-1</f>
        <v/>
      </c>
      <c r="D5" s="8">
        <f>Assumptions!C15</f>
        <v/>
      </c>
    </row>
    <row r="6">
      <c r="A6" t="inlineStr">
        <is>
          <t>Bull</t>
        </is>
      </c>
      <c r="B6" s="8">
        <f>DCF_Bull!B49</f>
        <v/>
      </c>
      <c r="C6">
        <f>B6/Assumptions!$B$9-1</f>
        <v/>
      </c>
      <c r="D6" s="8">
        <f>Assumptions!C16</f>
        <v/>
      </c>
    </row>
    <row r="8">
      <c r="A8" s="3" t="inlineStr">
        <is>
          <t>Probability-weighted value/share (NZ$)</t>
        </is>
      </c>
      <c r="B8" s="7">
        <f>SUMPRODUCT(B4:B6,D4:D6)</f>
        <v/>
      </c>
    </row>
    <row r="9">
      <c r="A9" t="inlineStr">
        <is>
          <t>Margin of safety</t>
        </is>
      </c>
      <c r="B9">
        <f>1-Assumptions!$B$9/B8</f>
        <v/>
      </c>
    </row>
    <row r="11">
      <c r="A11" s="3" t="inlineStr">
        <is>
          <t>ENTRY PRICE (15% hurdle)</t>
        </is>
      </c>
    </row>
    <row r="12">
      <c r="A12" s="2" t="inlineStr">
        <is>
          <t>NOTE: WACC (19%) &gt; hurdle (15%) here, so entry price sits ABOVE intrinsic value - see Model_Info.</t>
        </is>
      </c>
    </row>
    <row r="13">
      <c r="A13" s="3" t="inlineStr">
        <is>
          <t>Scenario</t>
        </is>
      </c>
      <c r="B13" s="3" t="inlineStr">
        <is>
          <t>Entry price (NZ$)</t>
        </is>
      </c>
    </row>
    <row r="14">
      <c r="A14" t="inlineStr">
        <is>
          <t>Bear</t>
        </is>
      </c>
      <c r="B14" s="5" t="n">
        <v>0</v>
      </c>
      <c r="C14" s="2" t="inlineStr">
        <is>
          <t>hardcoded from JSON entry_price block (closed-form 15%-hurdle calc); see JSON for full derivation</t>
        </is>
      </c>
    </row>
    <row r="15">
      <c r="A15" t="inlineStr">
        <is>
          <t>Base</t>
        </is>
      </c>
      <c r="B15" s="5" t="n">
        <v>0.0659</v>
      </c>
      <c r="C15" s="2" t="inlineStr">
        <is>
          <t>hardcoded from JSON entry_price block (closed-form 15%-hurdle calc); see JSON for full derivation</t>
        </is>
      </c>
    </row>
    <row r="16">
      <c r="A16" t="inlineStr">
        <is>
          <t>Bull</t>
        </is>
      </c>
      <c r="B16" s="5" t="n">
        <v>0.1938</v>
      </c>
      <c r="C16" s="2" t="inlineStr">
        <is>
          <t>hardcoded from JSON entry_price block (closed-form 15%-hurdle calc); see JSON for full derivation</t>
        </is>
      </c>
    </row>
    <row r="17">
      <c r="A17" s="3" t="inlineStr">
        <is>
          <t>Weighted entry price (NZ$)</t>
        </is>
      </c>
      <c r="B17" s="3">
        <f>SUMPRODUCT(B14:B16,D4:D6)</f>
        <v/>
      </c>
    </row>
    <row r="19">
      <c r="A19" s="3" t="inlineStr">
        <is>
          <t>REQUIRED-RETURN TABLE (base case, NZ$)</t>
        </is>
      </c>
    </row>
    <row r="20">
      <c r="A20" s="3" t="inlineStr">
        <is>
          <t>Required return %</t>
        </is>
      </c>
      <c r="B20" t="inlineStr">
        <is>
          <t>9%</t>
        </is>
      </c>
      <c r="C20" t="inlineStr">
        <is>
          <t>10%</t>
        </is>
      </c>
      <c r="D20" t="inlineStr">
        <is>
          <t>11%</t>
        </is>
      </c>
      <c r="E20" t="inlineStr">
        <is>
          <t>12%</t>
        </is>
      </c>
      <c r="F20" t="inlineStr">
        <is>
          <t>15%</t>
        </is>
      </c>
      <c r="G20" t="inlineStr">
        <is>
          <t>19%</t>
        </is>
      </c>
    </row>
    <row r="21">
      <c r="A21" t="inlineStr">
        <is>
          <t>Value/share (NZ$)</t>
        </is>
      </c>
      <c r="B21" s="5" t="n">
        <v>0.1032</v>
      </c>
      <c r="C21" s="5" t="n">
        <v>0.0959</v>
      </c>
      <c r="D21" s="5" t="n">
        <v>0.0891</v>
      </c>
      <c r="E21" s="5" t="n">
        <v>0.0828</v>
      </c>
      <c r="F21" s="5" t="n">
        <v>0.0665</v>
      </c>
      <c r="G21" s="5" t="n">
        <v>0.0491</v>
      </c>
    </row>
    <row r="23">
      <c r="A23" s="3" t="inlineStr">
        <is>
          <t>SENSITIVITY: WACC x terminal growth (base case, NZ$)</t>
        </is>
      </c>
    </row>
    <row r="24">
      <c r="A24" t="inlineStr">
        <is>
          <t>WACC \ g</t>
        </is>
      </c>
      <c r="B24" t="inlineStr">
        <is>
          <t>0.5%</t>
        </is>
      </c>
      <c r="C24" t="inlineStr">
        <is>
          <t>1.0%</t>
        </is>
      </c>
      <c r="D24" t="inlineStr">
        <is>
          <t>1.5%</t>
        </is>
      </c>
      <c r="E24" t="inlineStr">
        <is>
          <t>2.0%</t>
        </is>
      </c>
      <c r="F24" t="inlineStr">
        <is>
          <t>2.5%</t>
        </is>
      </c>
    </row>
    <row r="25">
      <c r="A25" t="inlineStr">
        <is>
          <t>15%</t>
        </is>
      </c>
      <c r="B25" s="5" t="n">
        <v>0.0665</v>
      </c>
      <c r="C25" s="5" t="n">
        <v>0.0665</v>
      </c>
      <c r="D25" s="5" t="n">
        <v>0.0665</v>
      </c>
      <c r="E25" s="5" t="n">
        <v>0.0665</v>
      </c>
      <c r="F25" s="5" t="n">
        <v>0.0665</v>
      </c>
    </row>
    <row r="26">
      <c r="A26" t="inlineStr">
        <is>
          <t>17%</t>
        </is>
      </c>
      <c r="B26" s="5" t="n">
        <v>0.0574</v>
      </c>
      <c r="C26" s="5" t="n">
        <v>0.0574</v>
      </c>
      <c r="D26" s="5" t="n">
        <v>0.0574</v>
      </c>
      <c r="E26" s="5" t="n">
        <v>0.0574</v>
      </c>
      <c r="F26" s="5" t="n">
        <v>0.0574</v>
      </c>
    </row>
    <row r="27">
      <c r="A27" t="inlineStr">
        <is>
          <t>19%</t>
        </is>
      </c>
      <c r="B27" s="10" t="n">
        <v>0.0484</v>
      </c>
      <c r="C27" s="10" t="n">
        <v>0.0488</v>
      </c>
      <c r="D27" s="10" t="n">
        <v>0.0491</v>
      </c>
      <c r="E27" s="10" t="n">
        <v>0.0495</v>
      </c>
      <c r="F27" s="10" t="n">
        <v>0.0495</v>
      </c>
    </row>
    <row r="28">
      <c r="A28" t="inlineStr">
        <is>
          <t>21%</t>
        </is>
      </c>
      <c r="B28" s="5" t="n">
        <v>0.0408</v>
      </c>
      <c r="C28" s="5" t="n">
        <v>0.041</v>
      </c>
      <c r="D28" s="5" t="n">
        <v>0.0413</v>
      </c>
      <c r="E28" s="5" t="n">
        <v>0.0416</v>
      </c>
      <c r="F28" s="5" t="n">
        <v>0.0418</v>
      </c>
    </row>
    <row r="29">
      <c r="A29" t="inlineStr">
        <is>
          <t>23%</t>
        </is>
      </c>
      <c r="B29" s="5" t="n">
        <v>0.0344</v>
      </c>
      <c r="C29" s="5" t="n">
        <v>0.0345</v>
      </c>
      <c r="D29" s="5" t="n">
        <v>0.0347</v>
      </c>
      <c r="E29" s="5" t="n">
        <v>0.0349</v>
      </c>
      <c r="F29" s="5" t="n">
        <v>0.0351</v>
      </c>
    </row>
  </sheetData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2026-08-20T02:48:11Z</dcterms:created>
  <dcterms:modified xsi:type="dcterms:W3CDTF">2026-08-20T02:48:11Z</dcterms:modified>
</cp:coreProperties>
</file>