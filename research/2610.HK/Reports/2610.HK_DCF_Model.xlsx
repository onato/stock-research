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<sst xmlns="http://schemas.openxmlformats.org/spreadsheetml/2006/main" count="341" uniqueCount="161">
  <si>
    <t xml:space="preserve">Ticker</t>
  </si>
  <si>
    <t xml:space="preserve">2610.HK</t>
  </si>
  <si>
    <t xml:space="preserve">Company</t>
  </si>
  <si>
    <t xml:space="preserve">Nanshan Aluminium International Holdings Limited</t>
  </si>
  <si>
    <t xml:space="preserve">Valuation date</t>
  </si>
  <si>
    <t xml:space="preserve">2026-10-22</t>
  </si>
  <si>
    <t xml:space="preserve">Current price</t>
  </si>
  <si>
    <t xml:space="preserve">Price as of</t>
  </si>
  <si>
    <t xml:space="preserve">2026-10-22T02:25:00Z (HKEX regular session, intraday 10:25 HKT; 52-week range 21.96-74.80, price is within 1.4% of the 52-week low)</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</si>
  <si>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</si>
  <si>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</si>
  <si>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</si>
  <si>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</si>
  <si>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</si>
  <si>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</si>
  <si>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</si>
  <si>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HKD</t>
  </si>
  <si>
    <t xml:space="preserve">Units</t>
  </si>
  <si>
    <t xml:space="preserve">millions</t>
  </si>
  <si>
    <t xml:space="preserve">Engine</t>
  </si>
  <si>
    <t xml:space="preserve">dcf_engine v1</t>
  </si>
  <si>
    <t xml:space="preserve">Built at</t>
  </si>
  <si>
    <t xml:space="preserve">2026-10-22T02:50:59Z</t>
  </si>
  <si>
    <t xml:space="preserve">Drivers file</t>
  </si>
  <si>
    <t xml:space="preserve">2610.HK_Drivers.json</t>
  </si>
  <si>
    <t xml:space="preserve">Convention</t>
  </si>
  <si>
    <t xml:space="preserve">Percents stored as percents; formulas divide by 100. Blue = input, green = link, black = formula.</t>
  </si>
  <si>
    <t xml:space="preserve">Methodology</t>
  </si>
  <si>
    <t xml:space="preserve">summary: A low-cost, debt-free, 4Mt single-site alumina refiner valued on mid-cycle owner FCF rather than on either the FY2024 peak (55% EBITDA margin) or the H1 FY2026 trough (26%). Net cash of US$667m is ~38% of the market capitalisation at the current price, so the market is paying ~US$1.1bn of enterprise value for a plant that cost more than that to build and that earns US$450-500m of EBITDA at a US$370/t alumina price. The value hinges on where alumina settles once the current Indonesian/Chinese capacity wave is absorbed, and on whether the smelter earns its cost of capital.
key_risks_to_valuation: Mid-cycle ASP assumption (US$365-370/t): each US$10/t is ~US$37m of EBITDA at 3.7Mt, roughly HK$2.5/share of value; Bauxite availability and cost under Indonesia's RKAB quota system; the plant cannot run at 4Mt without it; Smelter phase 1 execution (US$436.6m, new power-intensive business) and the aluminium price at commissioning; Pillar Two / CIT exemption outcome: 15% vs ~18-22% effective cash tax; Single-site operational risk (Bintan) and related-party governance; dividend policy tracks profit so there is no payout floor; Cash pile is partly earmarked for the smelter: it is in the bridge once and the spend is in the capex path, but a phase-2 commitment would re-direct it</t>
  </si>
  <si>
    <t xml:space="preserve">Data sources</t>
  </si>
  <si>
    <t xml:space="preserve">price: Yahoo Finance chart API at inputs.price_as_of (HKEX regular session, intraday); 52-week range 21.96-74.80; USD-&gt;HKD from Yahoo USDHKD=X the same day
financials: 2610.HK_Metrics.csv (FY2023-H1 FY2026, USD millions) derived from the FY2024 and FY2025 Annual Reports and the H1 FY2025 / H1 FY2026 Interim Reports; balance sheet, share count, options and NCI from Interim Report 2026 (30 June 2026); tax exemption and Pillar Two from FY2025 Annual Report note 7
qualitative: 2610.HK_Analysis.json (2026-10-22); management outlook sections of the FY2025 Annual Report and Interim Report 2026 (LME Alumina (Platts) US$535/447/391/307/348 per ton for Q1-25 / H1-25 / FY25 / H1-26 / 1-18 Aug 26)</t>
  </si>
  <si>
    <t xml:space="preserve">Scenario narrative: bear</t>
  </si>
  <si>
    <t xml:space="preserve">Oversupply is structural: ASP sits at US$310-320/t for years, bauxite quotas cap output near 3Mt and push cash cost toward US$245/t, so EBITDA/t collapses to ~US$55. The smelter is late and commissions into a soft metal market; the new-project tax exemption is not finalised and Pillar Two plus Indonesian CIT take ~18%. Dividends track the trough. The net cash pile and the plant's replacement value are most of what is left; terminal cap 10x.</t>
  </si>
  <si>
    <t xml:space="preserve">Scenario narrative: base</t>
  </si>
  <si>
    <t xml:space="preserve">Alumina troughs in 2026 (company ASP ~US$335/t for the year) and reverts to a ~US$365-370/t mid-cycle by 2028 as new electrolytic capacity outside China absorbs the Indonesian and Chinese refinery additions. The 4Mt plant runs at 3.3Mt in 2027 and 3.7Mt from 2028 once RKAB bauxite approvals normalise; cash cost holds ~US$235/t. The US$436.6m 250kt smelter is built 2026-2028 from the placing proceeds and cash on hand, commissions in 2029 and earns a modest ~US$250/t conversion margin, lifting revenue to ~US$1.9bn but diluting the blended EBITDA margin to ~29.5%. Phase 2 (500kt) is not in the base. Pillar Two sets a 15% cash-tax floor by 2030.</t>
  </si>
  <si>
    <t xml:space="preserve">Scenario narrative: bull</t>
  </si>
  <si>
    <t xml:space="preserve">Alumina rebounds faster (US$410/t mid-cycle) because the Indonesian refinery pipeline slips and Chinese refiners stay cost-constrained by imported bauxite; the plant reaches 4Mt in 2027 at a 38% margin. The smelter is on time and on budget, aluminium holds ~US$2,600/t under China's capacity cap, and management self-funds the 500kt phase 2 from 2030, shipping in 2032-2033. Terminal cap 14x.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</si>
  <si>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</si>
  <si>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</si>
  <si>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</si>
  <si>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</si>
  <si>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</si>
  <si>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</si>
  <si>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</si>
  <si>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</si>
  <si>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</si>
  <si>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</si>
  <si>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</si>
  <si>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</si>
  <si>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</si>
  <si>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</si>
  <si>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</si>
  <si>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</si>
  <si>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</si>
  <si>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</si>
  <si>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</si>
  <si>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</si>
  <si>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</si>
  <si>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</si>
  <si>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</si>
  <si>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</si>
  <si>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</si>
  <si>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</si>
  <si>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</si>
  <si>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CashGeneratedFromOperations</t>
  </si>
  <si>
    <t xml:space="preserve">NetIncomeInclNCI</t>
  </si>
  <si>
    <t xml:space="preserve">SalesVolume</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</si>
  <si>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</si>
  <si>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</si>
  <si>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</si>
  <si>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</si>
  <si>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</si>
  <si>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</si>
  <si>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</si>
  <si>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</si>
  <si>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</si>
  <si>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</si>
  <si>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</si>
  <si>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</si>
  <si>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</si>
  <si>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</si>
  <si>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</si>
  <si>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</si>
  <si>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</si>
  <si>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</si>
  <si>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</si>
  <si>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</si>
  <si>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</si>
  <si>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</si>
  <si>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</si>
  <si>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</si>
  <si>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</si>
  <si>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</si>
  <si>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</si>
  <si>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</si>
  <si>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</si>
  <si>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</si>
  <si>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</si>
  <si>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</si>
  <si>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</si>
  <si>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</si>
  <si>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</si>
  <si>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</si>
  <si>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</si>
  <si>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</si>
  <si>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</si>
  <si>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</si>
  <si>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2610.HK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</si>
  <si>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</si>
  <si>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</si>
  <si>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</si>
  <si>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</si>
  <si>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</si>
  <si>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</si>
  <si>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</si>
  <si>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</si>
  <si>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</si>
  <si>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</si>
  <si>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</si>
  <si>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</si>
  <si>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</si>
  <si>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</si>
  <si>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</si>
  <si>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</si>
  <si>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</si>
  <si>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</si>
  <si>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</si>
  <si>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</si>
  <si>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</si>
  <si>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</si>
  <si>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</si>
  <si>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</si>
  <si>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</si>
  <si>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</si>
  <si>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</si>
  <si>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</si>
  <si>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</si>
  <si>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</si>
  <si>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2610.HK owner-FCF component DCF: base case (millions, USD)</t>
  </si>
  <si>
    <t xml:space="preserve">2610.HK owner-FCF component DCF: bull case (millions, USD)</t>
  </si>
  <si>
    <t xml:space="preserve">2610.HK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</si>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</sst>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row>
    <row r="2" customFormat="false" ht="15" hidden="false" customHeight="false" outlineLevel="0" collapsed="false">
      <c r="A2" s="0" t="s">
        <v>67</v>
      </c>
      <c r="B2" s="0" t="n">
        <v>677.785</v>
      </c>
      <c r="C2" s="0" t="n">
        <v>480.117</v>
      </c>
      <c r="D2" s="0" t="n">
        <v>197.668</v>
      </c>
      <c r="E2" s="0" t="n">
        <v>29.2</v>
      </c>
      <c r="F2" s="0" t="n">
        <v>187.091</v>
      </c>
      <c r="G2" s="0" t="n">
        <v>27.6</v>
      </c>
      <c r="I2" s="0" t="n">
        <v>122.665</v>
      </c>
      <c r="J2" s="0" t="n">
        <v>18.1</v>
      </c>
      <c r="K2" s="0" t="n">
        <v>0.35</v>
      </c>
      <c r="L2" s="0" t="n">
        <v>96.269</v>
      </c>
      <c r="M2" s="0" t="n">
        <v>72.8</v>
      </c>
      <c r="N2" s="0" t="n">
        <v>23.469</v>
      </c>
      <c r="O2" s="0" t="n">
        <v>918.798</v>
      </c>
      <c r="P2" s="0" t="n">
        <v>1437.962</v>
      </c>
      <c r="Q2" s="0" t="n">
        <v>168.322</v>
      </c>
      <c r="S2" s="0" t="n">
        <v>251.561</v>
      </c>
      <c r="T2" s="0" t="n">
        <v>349.498</v>
      </c>
      <c r="U2" s="0" t="n">
        <v>0</v>
      </c>
      <c r="AA2" s="0" t="s">
        <v>18</v>
      </c>
      <c r="AB2" s="0" t="s">
        <v>14</v>
      </c>
      <c r="AC2" s="0" t="n">
        <v>99.01</v>
      </c>
      <c r="AD2" s="0" t="n">
        <v>173.525</v>
      </c>
    </row>
    <row r="3" customFormat="false" ht="15" hidden="false" customHeight="false" outlineLevel="0" collapsed="false">
      <c r="A3" s="0" t="s">
        <v>68</v>
      </c>
      <c r="B3" s="0" t="n">
        <v>1020.668</v>
      </c>
      <c r="C3" s="0" t="n">
        <v>503.978</v>
      </c>
      <c r="D3" s="0" t="n">
        <v>516.69</v>
      </c>
      <c r="E3" s="0" t="n">
        <v>50.6</v>
      </c>
      <c r="F3" s="0" t="n">
        <v>500.71</v>
      </c>
      <c r="G3" s="0" t="n">
        <v>49.1</v>
      </c>
      <c r="H3" s="0" t="n">
        <v>561.031</v>
      </c>
      <c r="I3" s="0" t="n">
        <v>401.812</v>
      </c>
      <c r="J3" s="0" t="n">
        <v>39.4</v>
      </c>
      <c r="K3" s="0" t="n">
        <v>0.94</v>
      </c>
      <c r="L3" s="0" t="n">
        <v>581.833</v>
      </c>
      <c r="M3" s="0" t="n">
        <v>270.755</v>
      </c>
      <c r="N3" s="0" t="n">
        <v>311.078</v>
      </c>
      <c r="O3" s="0" t="n">
        <v>1264.225</v>
      </c>
      <c r="P3" s="0" t="n">
        <v>1720.639</v>
      </c>
      <c r="Q3" s="0" t="n">
        <v>426.279</v>
      </c>
      <c r="R3" s="0" t="n">
        <v>0.214</v>
      </c>
      <c r="S3" s="0" t="n">
        <v>454.152</v>
      </c>
      <c r="T3" s="0" t="n">
        <v>425.365</v>
      </c>
      <c r="U3" s="0" t="n">
        <v>0</v>
      </c>
      <c r="AA3" s="0" t="s">
        <v>18</v>
      </c>
      <c r="AB3" s="0" t="s">
        <v>14</v>
      </c>
      <c r="AC3" s="0" t="n">
        <v>601.41</v>
      </c>
      <c r="AD3" s="0" t="n">
        <v>457.409</v>
      </c>
      <c r="AE3" s="0" t="n">
        <v>2158000</v>
      </c>
    </row>
    <row r="4" customFormat="false" ht="15" hidden="false" customHeight="false" outlineLevel="0" collapsed="false">
      <c r="A4" s="0" t="s">
        <v>69</v>
      </c>
      <c r="B4" s="0" t="n">
        <v>1141.803</v>
      </c>
      <c r="C4" s="0" t="n">
        <v>663.817</v>
      </c>
      <c r="D4" s="0" t="n">
        <v>477.986</v>
      </c>
      <c r="E4" s="0" t="n">
        <v>41.9</v>
      </c>
      <c r="F4" s="0" t="n">
        <v>479.342</v>
      </c>
      <c r="G4" s="0" t="n">
        <v>42</v>
      </c>
      <c r="H4" s="0" t="n">
        <v>546.466</v>
      </c>
      <c r="I4" s="0" t="n">
        <v>408.428</v>
      </c>
      <c r="J4" s="0" t="n">
        <v>35.8</v>
      </c>
      <c r="K4" s="0" t="n">
        <v>0.72</v>
      </c>
      <c r="L4" s="0" t="n">
        <v>359.719</v>
      </c>
      <c r="M4" s="0" t="n">
        <v>392.156</v>
      </c>
      <c r="N4" s="0" t="n">
        <v>-32.437</v>
      </c>
      <c r="O4" s="0" t="n">
        <v>1863.538</v>
      </c>
      <c r="P4" s="0" t="n">
        <v>2248.46</v>
      </c>
      <c r="Q4" s="0" t="n">
        <v>349.623</v>
      </c>
      <c r="R4" s="0" t="n">
        <v>0.08</v>
      </c>
      <c r="S4" s="0" t="n">
        <v>321.298</v>
      </c>
      <c r="T4" s="0" t="n">
        <v>566.976</v>
      </c>
      <c r="U4" s="0" t="n">
        <v>5.195</v>
      </c>
      <c r="AA4" s="0" t="s">
        <v>18</v>
      </c>
      <c r="AB4" s="0" t="s">
        <v>14</v>
      </c>
      <c r="AC4" s="0" t="n">
        <v>388.283</v>
      </c>
      <c r="AD4" s="0" t="n">
        <v>418.101</v>
      </c>
      <c r="AE4" s="0" t="n">
        <v>2643000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70</v>
      </c>
      <c r="B1" s="2" t="s">
        <v>71</v>
      </c>
    </row>
    <row r="2" customFormat="false" ht="15" hidden="false" customHeight="false" outlineLevel="0" collapsed="false">
      <c r="A2" s="0" t="s">
        <v>72</v>
      </c>
      <c r="B2" s="3" t="n">
        <v>22.26</v>
      </c>
    </row>
    <row r="3" customFormat="false" ht="15" hidden="false" customHeight="false" outlineLevel="0" collapsed="false">
      <c r="A3" s="0" t="s">
        <v>73</v>
      </c>
      <c r="B3" s="3" t="n">
        <v>620.435</v>
      </c>
    </row>
    <row r="4" customFormat="false" ht="15" hidden="false" customHeight="false" outlineLevel="0" collapsed="false">
      <c r="A4" s="0" t="s">
        <v>74</v>
      </c>
      <c r="B4" s="3" t="n">
        <v>-666.735</v>
      </c>
    </row>
    <row r="5" customFormat="false" ht="15" hidden="false" customHeight="false" outlineLevel="0" collapsed="false">
      <c r="A5" s="0" t="s">
        <v>75</v>
      </c>
      <c r="B5" s="3" t="n">
        <v>-34.74</v>
      </c>
    </row>
    <row r="6" customFormat="false" ht="15" hidden="false" customHeight="false" outlineLevel="0" collapsed="false">
      <c r="A6" s="0" t="s">
        <v>76</v>
      </c>
      <c r="B6" s="3" t="n">
        <v>15</v>
      </c>
    </row>
    <row r="7" customFormat="false" ht="15" hidden="false" customHeight="false" outlineLevel="0" collapsed="false">
      <c r="A7" s="0" t="s">
        <v>77</v>
      </c>
      <c r="B7" s="3" t="n">
        <v>1141.803</v>
      </c>
    </row>
    <row r="8" customFormat="false" ht="15" hidden="false" customHeight="false" outlineLevel="0" collapsed="false">
      <c r="A8" s="0" t="s">
        <v>78</v>
      </c>
      <c r="B8" s="3" t="s">
        <v>69</v>
      </c>
    </row>
    <row r="9" customFormat="false" ht="15" hidden="false" customHeight="false" outlineLevel="0" collapsed="false">
      <c r="A9" s="0" t="s">
        <v>79</v>
      </c>
      <c r="B9" s="3" t="s">
        <v>80</v>
      </c>
    </row>
    <row r="10" customFormat="false" ht="15" hidden="false" customHeight="false" outlineLevel="0" collapsed="false">
      <c r="A10" s="0" t="s">
        <v>81</v>
      </c>
      <c r="B10" s="3" t="n">
        <v>7.8463</v>
      </c>
    </row>
    <row r="12" customFormat="false" ht="15" hidden="false" customHeight="false" outlineLevel="0" collapsed="false">
      <c r="A12" s="2" t="s">
        <v>82</v>
      </c>
      <c r="C12" s="2" t="s">
        <v>83</v>
      </c>
      <c r="D12" s="2" t="s">
        <v>84</v>
      </c>
      <c r="E12" s="2" t="s">
        <v>85</v>
      </c>
      <c r="F12" s="2" t="s">
        <v>86</v>
      </c>
      <c r="G12" s="2" t="s">
        <v>87</v>
      </c>
      <c r="H12" s="2" t="s">
        <v>88</v>
      </c>
      <c r="I12" s="2" t="s">
        <v>89</v>
      </c>
      <c r="J12" s="2" t="s">
        <v>90</v>
      </c>
      <c r="K12" s="2" t="s">
        <v>91</v>
      </c>
      <c r="L12" s="2" t="s">
        <v>92</v>
      </c>
    </row>
    <row r="13" customFormat="false" ht="15" hidden="false" customHeight="false" outlineLevel="0" collapsed="false">
      <c r="A13" s="0" t="s">
        <v>93</v>
      </c>
      <c r="C13" s="3" t="n">
        <v>-23</v>
      </c>
      <c r="D13" s="3" t="n">
        <v>7.5</v>
      </c>
      <c r="E13" s="3" t="n">
        <v>5</v>
      </c>
      <c r="F13" s="3" t="n">
        <v>15</v>
      </c>
      <c r="G13" s="3" t="n">
        <v>10</v>
      </c>
      <c r="H13" s="3" t="n">
        <v>1.5</v>
      </c>
      <c r="I13" s="3" t="n">
        <v>1.5</v>
      </c>
      <c r="J13" s="3" t="n">
        <v>1.5</v>
      </c>
      <c r="K13" s="3" t="n">
        <v>1.5</v>
      </c>
      <c r="L13" s="3" t="n">
        <v>1.5</v>
      </c>
    </row>
    <row r="14" customFormat="false" ht="15" hidden="false" customHeight="false" outlineLevel="0" collapsed="false">
      <c r="A14" s="0" t="s">
        <v>94</v>
      </c>
      <c r="C14" s="3" t="n">
        <v>22</v>
      </c>
      <c r="D14" s="3" t="n">
        <v>19</v>
      </c>
      <c r="E14" s="3" t="n">
        <v>18</v>
      </c>
      <c r="F14" s="3" t="n">
        <v>18</v>
      </c>
      <c r="G14" s="3" t="n">
        <v>18</v>
      </c>
      <c r="H14" s="3" t="n">
        <v>18</v>
      </c>
      <c r="I14" s="3" t="n">
        <v>18</v>
      </c>
      <c r="J14" s="3" t="n">
        <v>18</v>
      </c>
      <c r="K14" s="3" t="n">
        <v>18</v>
      </c>
      <c r="L14" s="3" t="n">
        <v>18</v>
      </c>
    </row>
    <row r="15" customFormat="false" ht="15" hidden="false" customHeight="false" outlineLevel="0" collapsed="false">
      <c r="A15" s="0" t="s">
        <v>95</v>
      </c>
      <c r="C15" s="3" t="n">
        <v>1.3</v>
      </c>
      <c r="D15" s="3" t="n">
        <v>1.1</v>
      </c>
      <c r="E15" s="3" t="n">
        <v>0.9</v>
      </c>
      <c r="F15" s="3" t="n">
        <v>0.7</v>
      </c>
      <c r="G15" s="3" t="n">
        <v>0.6</v>
      </c>
      <c r="H15" s="3" t="n">
        <v>0.6</v>
      </c>
      <c r="I15" s="3" t="n">
        <v>0.6</v>
      </c>
      <c r="J15" s="3" t="n">
        <v>0.6</v>
      </c>
      <c r="K15" s="3" t="n">
        <v>0.6</v>
      </c>
      <c r="L15" s="3" t="n">
        <v>0.6</v>
      </c>
    </row>
    <row r="16" customFormat="false" ht="15" hidden="false" customHeight="false" outlineLevel="0" collapsed="false">
      <c r="A16" s="0" t="s">
        <v>96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97</v>
      </c>
      <c r="C17" s="3" t="n">
        <v>10.5</v>
      </c>
      <c r="D17" s="3" t="n">
        <v>8.5</v>
      </c>
      <c r="E17" s="3" t="n">
        <v>7.5</v>
      </c>
      <c r="F17" s="3" t="n">
        <v>7</v>
      </c>
      <c r="G17" s="3" t="n">
        <v>6.5</v>
      </c>
      <c r="H17" s="3" t="n">
        <v>6.5</v>
      </c>
      <c r="I17" s="3" t="n">
        <v>6.5</v>
      </c>
      <c r="J17" s="3" t="n">
        <v>6.5</v>
      </c>
      <c r="K17" s="3" t="n">
        <v>6.5</v>
      </c>
      <c r="L17" s="3" t="n">
        <v>6.5</v>
      </c>
    </row>
    <row r="18" customFormat="false" ht="15" hidden="false" customHeight="false" outlineLevel="0" collapsed="false">
      <c r="A18" s="0" t="s">
        <v>98</v>
      </c>
      <c r="C18" s="3" t="n">
        <v>28</v>
      </c>
      <c r="D18" s="3" t="n">
        <v>20</v>
      </c>
      <c r="E18" s="3" t="n">
        <v>14</v>
      </c>
      <c r="F18" s="3" t="n">
        <v>8</v>
      </c>
      <c r="G18" s="3" t="n">
        <v>5</v>
      </c>
      <c r="H18" s="3" t="n">
        <v>5</v>
      </c>
      <c r="I18" s="3" t="n">
        <v>5</v>
      </c>
      <c r="J18" s="3" t="n">
        <v>5</v>
      </c>
      <c r="K18" s="3" t="n">
        <v>5</v>
      </c>
      <c r="L18" s="3" t="n">
        <v>5</v>
      </c>
    </row>
    <row r="19" customFormat="false" ht="15" hidden="false" customHeight="false" outlineLevel="0" collapsed="false">
      <c r="A19" s="0" t="s">
        <v>99</v>
      </c>
      <c r="C19" s="3" t="n">
        <v>15</v>
      </c>
      <c r="D19" s="3" t="n">
        <v>15</v>
      </c>
      <c r="E19" s="3" t="n">
        <v>16</v>
      </c>
      <c r="F19" s="3" t="n">
        <v>17</v>
      </c>
      <c r="G19" s="3" t="n">
        <v>18</v>
      </c>
      <c r="H19" s="3" t="n">
        <v>18</v>
      </c>
      <c r="I19" s="3" t="n">
        <v>18</v>
      </c>
      <c r="J19" s="3" t="n">
        <v>18</v>
      </c>
      <c r="K19" s="3" t="n">
        <v>18</v>
      </c>
      <c r="L19" s="3" t="n">
        <v>18</v>
      </c>
    </row>
    <row r="20" customFormat="false" ht="15" hidden="false" customHeight="false" outlineLevel="0" collapsed="false">
      <c r="A20" s="0" t="s">
        <v>100</v>
      </c>
      <c r="B20" s="3" t="n">
        <v>11</v>
      </c>
    </row>
    <row r="21" customFormat="false" ht="15" hidden="false" customHeight="false" outlineLevel="0" collapsed="false">
      <c r="A21" s="0" t="s">
        <v>101</v>
      </c>
      <c r="B21" s="3" t="n">
        <v>1.5</v>
      </c>
    </row>
    <row r="22" customFormat="false" ht="15" hidden="false" customHeight="false" outlineLevel="0" collapsed="false">
      <c r="A22" s="0" t="s">
        <v>102</v>
      </c>
      <c r="B22" s="3" t="n">
        <v>10</v>
      </c>
    </row>
    <row r="23" customFormat="false" ht="15" hidden="false" customHeight="false" outlineLevel="0" collapsed="false">
      <c r="A23" s="0" t="s">
        <v>103</v>
      </c>
      <c r="B23" s="3" t="n">
        <v>-10</v>
      </c>
    </row>
    <row r="24" customFormat="false" ht="15" hidden="false" customHeight="false" outlineLevel="0" collapsed="false">
      <c r="A24" s="0" t="s">
        <v>104</v>
      </c>
      <c r="B24" s="3" t="n">
        <v>0.3</v>
      </c>
    </row>
    <row r="26" customFormat="false" ht="15" hidden="false" customHeight="false" outlineLevel="0" collapsed="false">
      <c r="A26" s="2" t="s">
        <v>105</v>
      </c>
      <c r="C26" s="2" t="s">
        <v>83</v>
      </c>
      <c r="D26" s="2" t="s">
        <v>84</v>
      </c>
      <c r="E26" s="2" t="s">
        <v>85</v>
      </c>
      <c r="F26" s="2" t="s">
        <v>86</v>
      </c>
      <c r="G26" s="2" t="s">
        <v>87</v>
      </c>
      <c r="H26" s="2" t="s">
        <v>88</v>
      </c>
      <c r="I26" s="2" t="s">
        <v>89</v>
      </c>
      <c r="J26" s="2" t="s">
        <v>90</v>
      </c>
      <c r="K26" s="2" t="s">
        <v>91</v>
      </c>
      <c r="L26" s="2" t="s">
        <v>92</v>
      </c>
    </row>
    <row r="27" customFormat="false" ht="15" hidden="false" customHeight="false" outlineLevel="0" collapsed="false">
      <c r="A27" s="0" t="s">
        <v>93</v>
      </c>
      <c r="C27" s="3" t="n">
        <v>-19.2</v>
      </c>
      <c r="D27" s="3" t="n">
        <v>27</v>
      </c>
      <c r="E27" s="3" t="n">
        <v>17</v>
      </c>
      <c r="F27" s="3" t="n">
        <v>31</v>
      </c>
      <c r="G27" s="3" t="n">
        <v>7</v>
      </c>
      <c r="H27" s="3" t="n">
        <v>2.5</v>
      </c>
      <c r="I27" s="3" t="n">
        <v>2.5</v>
      </c>
      <c r="J27" s="3" t="n">
        <v>2.5</v>
      </c>
      <c r="K27" s="3" t="n">
        <v>2.5</v>
      </c>
      <c r="L27" s="3" t="n">
        <v>2.5</v>
      </c>
    </row>
    <row r="28" customFormat="false" ht="15" hidden="false" customHeight="false" outlineLevel="0" collapsed="false">
      <c r="A28" s="0" t="s">
        <v>94</v>
      </c>
      <c r="C28" s="3" t="n">
        <v>27</v>
      </c>
      <c r="D28" s="3" t="n">
        <v>31</v>
      </c>
      <c r="E28" s="3" t="n">
        <v>34</v>
      </c>
      <c r="F28" s="3" t="n">
        <v>30.5</v>
      </c>
      <c r="G28" s="3" t="n">
        <v>29.5</v>
      </c>
      <c r="H28" s="3" t="n">
        <v>29.5</v>
      </c>
      <c r="I28" s="3" t="n">
        <v>29.5</v>
      </c>
      <c r="J28" s="3" t="n">
        <v>29</v>
      </c>
      <c r="K28" s="3" t="n">
        <v>29</v>
      </c>
      <c r="L28" s="3" t="n">
        <v>29</v>
      </c>
    </row>
    <row r="29" customFormat="false" ht="15" hidden="false" customHeight="false" outlineLevel="0" collapsed="false">
      <c r="A29" s="0" t="s">
        <v>95</v>
      </c>
      <c r="C29" s="3" t="n">
        <v>1.2</v>
      </c>
      <c r="D29" s="3" t="n">
        <v>1</v>
      </c>
      <c r="E29" s="3" t="n">
        <v>0.8</v>
      </c>
      <c r="F29" s="3" t="n">
        <v>0.6</v>
      </c>
      <c r="G29" s="3" t="n">
        <v>0.5</v>
      </c>
      <c r="H29" s="3" t="n">
        <v>0.5</v>
      </c>
      <c r="I29" s="3" t="n">
        <v>0.5</v>
      </c>
      <c r="J29" s="3" t="n">
        <v>0.5</v>
      </c>
      <c r="K29" s="3" t="n">
        <v>0.5</v>
      </c>
      <c r="L29" s="3" t="n">
        <v>0.5</v>
      </c>
    </row>
    <row r="30" customFormat="false" ht="15" hidden="false" customHeight="false" outlineLevel="0" collapsed="false">
      <c r="A30" s="0" t="s">
        <v>96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97</v>
      </c>
      <c r="C31" s="3" t="n">
        <v>10</v>
      </c>
      <c r="D31" s="3" t="n">
        <v>8</v>
      </c>
      <c r="E31" s="3" t="n">
        <v>7</v>
      </c>
      <c r="F31" s="3" t="n">
        <v>6.5</v>
      </c>
      <c r="G31" s="3" t="n">
        <v>6</v>
      </c>
      <c r="H31" s="3" t="n">
        <v>6</v>
      </c>
      <c r="I31" s="3" t="n">
        <v>6</v>
      </c>
      <c r="J31" s="3" t="n">
        <v>6</v>
      </c>
      <c r="K31" s="3" t="n">
        <v>6</v>
      </c>
      <c r="L31" s="3" t="n">
        <v>6</v>
      </c>
    </row>
    <row r="32" customFormat="false" ht="15" hidden="false" customHeight="false" outlineLevel="0" collapsed="false">
      <c r="A32" s="0" t="s">
        <v>98</v>
      </c>
      <c r="C32" s="3" t="n">
        <v>27</v>
      </c>
      <c r="D32" s="3" t="n">
        <v>19</v>
      </c>
      <c r="E32" s="3" t="n">
        <v>11</v>
      </c>
      <c r="F32" s="3" t="n">
        <v>5</v>
      </c>
      <c r="G32" s="3" t="n">
        <v>5</v>
      </c>
      <c r="H32" s="3" t="n">
        <v>5</v>
      </c>
      <c r="I32" s="3" t="n">
        <v>5</v>
      </c>
      <c r="J32" s="3" t="n">
        <v>5</v>
      </c>
      <c r="K32" s="3" t="n">
        <v>5</v>
      </c>
      <c r="L32" s="3" t="n">
        <v>5</v>
      </c>
    </row>
    <row r="33" customFormat="false" ht="15" hidden="false" customHeight="false" outlineLevel="0" collapsed="false">
      <c r="A33" s="0" t="s">
        <v>99</v>
      </c>
      <c r="C33" s="3" t="n">
        <v>12</v>
      </c>
      <c r="D33" s="3" t="n">
        <v>12</v>
      </c>
      <c r="E33" s="3" t="n">
        <v>14</v>
      </c>
      <c r="F33" s="3" t="n">
        <v>14</v>
      </c>
      <c r="G33" s="3" t="n">
        <v>15</v>
      </c>
      <c r="H33" s="3" t="n">
        <v>15</v>
      </c>
      <c r="I33" s="3" t="n">
        <v>15</v>
      </c>
      <c r="J33" s="3" t="n">
        <v>15</v>
      </c>
      <c r="K33" s="3" t="n">
        <v>15</v>
      </c>
      <c r="L33" s="3" t="n">
        <v>15</v>
      </c>
    </row>
    <row r="34" customFormat="false" ht="15" hidden="false" customHeight="false" outlineLevel="0" collapsed="false">
      <c r="A34" s="0" t="s">
        <v>100</v>
      </c>
      <c r="B34" s="3" t="n">
        <v>11</v>
      </c>
    </row>
    <row r="35" customFormat="false" ht="15" hidden="false" customHeight="false" outlineLevel="0" collapsed="false">
      <c r="A35" s="0" t="s">
        <v>101</v>
      </c>
      <c r="B35" s="3" t="n">
        <v>2</v>
      </c>
    </row>
    <row r="36" customFormat="false" ht="15" hidden="false" customHeight="false" outlineLevel="0" collapsed="false">
      <c r="A36" s="0" t="s">
        <v>102</v>
      </c>
      <c r="B36" s="3" t="n">
        <v>12</v>
      </c>
    </row>
    <row r="37" customFormat="false" ht="15" hidden="false" customHeight="false" outlineLevel="0" collapsed="false">
      <c r="A37" s="0" t="s">
        <v>103</v>
      </c>
      <c r="B37" s="3" t="n">
        <v>-10</v>
      </c>
    </row>
    <row r="38" customFormat="false" ht="15" hidden="false" customHeight="false" outlineLevel="0" collapsed="false">
      <c r="A38" s="0" t="s">
        <v>104</v>
      </c>
      <c r="B38" s="3" t="n">
        <v>0.5</v>
      </c>
    </row>
    <row r="40" customFormat="false" ht="15" hidden="false" customHeight="false" outlineLevel="0" collapsed="false">
      <c r="A40" s="2" t="s">
        <v>106</v>
      </c>
      <c r="C40" s="2" t="s">
        <v>83</v>
      </c>
      <c r="D40" s="2" t="s">
        <v>84</v>
      </c>
      <c r="E40" s="2" t="s">
        <v>85</v>
      </c>
      <c r="F40" s="2" t="s">
        <v>86</v>
      </c>
      <c r="G40" s="2" t="s">
        <v>87</v>
      </c>
      <c r="H40" s="2" t="s">
        <v>88</v>
      </c>
      <c r="I40" s="2" t="s">
        <v>89</v>
      </c>
      <c r="J40" s="2" t="s">
        <v>90</v>
      </c>
      <c r="K40" s="2" t="s">
        <v>91</v>
      </c>
      <c r="L40" s="2" t="s">
        <v>92</v>
      </c>
    </row>
    <row r="41" customFormat="false" ht="15" hidden="false" customHeight="false" outlineLevel="0" collapsed="false">
      <c r="A41" s="0" t="s">
        <v>93</v>
      </c>
      <c r="C41" s="3" t="n">
        <v>-15</v>
      </c>
      <c r="D41" s="3" t="n">
        <v>32</v>
      </c>
      <c r="E41" s="3" t="n">
        <v>20</v>
      </c>
      <c r="F41" s="3" t="n">
        <v>33</v>
      </c>
      <c r="G41" s="3" t="n">
        <v>10</v>
      </c>
      <c r="H41" s="3" t="n">
        <v>8</v>
      </c>
      <c r="I41" s="3" t="n">
        <v>15</v>
      </c>
      <c r="J41" s="3" t="n">
        <v>12</v>
      </c>
      <c r="K41" s="3" t="n">
        <v>3</v>
      </c>
      <c r="L41" s="3" t="n">
        <v>3</v>
      </c>
    </row>
    <row r="42" customFormat="false" ht="15" hidden="false" customHeight="false" outlineLevel="0" collapsed="false">
      <c r="A42" s="0" t="s">
        <v>94</v>
      </c>
      <c r="C42" s="3" t="n">
        <v>30</v>
      </c>
      <c r="D42" s="3" t="n">
        <v>35</v>
      </c>
      <c r="E42" s="3" t="n">
        <v>38</v>
      </c>
      <c r="F42" s="3" t="n">
        <v>34</v>
      </c>
      <c r="G42" s="3" t="n">
        <v>33</v>
      </c>
      <c r="H42" s="3" t="n">
        <v>33</v>
      </c>
      <c r="I42" s="3" t="n">
        <v>32</v>
      </c>
      <c r="J42" s="3" t="n">
        <v>32</v>
      </c>
      <c r="K42" s="3" t="n">
        <v>32</v>
      </c>
      <c r="L42" s="3" t="n">
        <v>32</v>
      </c>
    </row>
    <row r="43" customFormat="false" ht="15" hidden="false" customHeight="false" outlineLevel="0" collapsed="false">
      <c r="A43" s="0" t="s">
        <v>95</v>
      </c>
      <c r="C43" s="3" t="n">
        <v>1.2</v>
      </c>
      <c r="D43" s="3" t="n">
        <v>1</v>
      </c>
      <c r="E43" s="3" t="n">
        <v>0.8</v>
      </c>
      <c r="F43" s="3" t="n">
        <v>0.6</v>
      </c>
      <c r="G43" s="3" t="n">
        <v>0.5</v>
      </c>
      <c r="H43" s="3" t="n">
        <v>0.5</v>
      </c>
      <c r="I43" s="3" t="n">
        <v>0.5</v>
      </c>
      <c r="J43" s="3" t="n">
        <v>0.5</v>
      </c>
      <c r="K43" s="3" t="n">
        <v>0.5</v>
      </c>
      <c r="L43" s="3" t="n">
        <v>0.5</v>
      </c>
    </row>
    <row r="44" customFormat="false" ht="15" hidden="false" customHeight="false" outlineLevel="0" collapsed="false">
      <c r="A44" s="0" t="s">
        <v>96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97</v>
      </c>
      <c r="C45" s="3" t="n">
        <v>10</v>
      </c>
      <c r="D45" s="3" t="n">
        <v>8</v>
      </c>
      <c r="E45" s="3" t="n">
        <v>7</v>
      </c>
      <c r="F45" s="3" t="n">
        <v>6.5</v>
      </c>
      <c r="G45" s="3" t="n">
        <v>6</v>
      </c>
      <c r="H45" s="3" t="n">
        <v>6</v>
      </c>
      <c r="I45" s="3" t="n">
        <v>6</v>
      </c>
      <c r="J45" s="3" t="n">
        <v>6</v>
      </c>
      <c r="K45" s="3" t="n">
        <v>6</v>
      </c>
      <c r="L45" s="3" t="n">
        <v>6</v>
      </c>
    </row>
    <row r="46" customFormat="false" ht="15" hidden="false" customHeight="false" outlineLevel="0" collapsed="false">
      <c r="A46" s="0" t="s">
        <v>98</v>
      </c>
      <c r="C46" s="3" t="n">
        <v>27</v>
      </c>
      <c r="D46" s="3" t="n">
        <v>20</v>
      </c>
      <c r="E46" s="3" t="n">
        <v>12</v>
      </c>
      <c r="F46" s="3" t="n">
        <v>6</v>
      </c>
      <c r="G46" s="3" t="n">
        <v>12</v>
      </c>
      <c r="H46" s="3" t="n">
        <v>14</v>
      </c>
      <c r="I46" s="3" t="n">
        <v>12</v>
      </c>
      <c r="J46" s="3" t="n">
        <v>6</v>
      </c>
      <c r="K46" s="3" t="n">
        <v>5</v>
      </c>
      <c r="L46" s="3" t="n">
        <v>5</v>
      </c>
    </row>
    <row r="47" customFormat="false" ht="15" hidden="false" customHeight="false" outlineLevel="0" collapsed="false">
      <c r="A47" s="0" t="s">
        <v>99</v>
      </c>
      <c r="C47" s="3" t="n">
        <v>10</v>
      </c>
      <c r="D47" s="3" t="n">
        <v>10</v>
      </c>
      <c r="E47" s="3" t="n">
        <v>12</v>
      </c>
      <c r="F47" s="3" t="n">
        <v>13</v>
      </c>
      <c r="G47" s="3" t="n">
        <v>14</v>
      </c>
      <c r="H47" s="3" t="n">
        <v>14</v>
      </c>
      <c r="I47" s="3" t="n">
        <v>14</v>
      </c>
      <c r="J47" s="3" t="n">
        <v>14</v>
      </c>
      <c r="K47" s="3" t="n">
        <v>14</v>
      </c>
      <c r="L47" s="3" t="n">
        <v>14</v>
      </c>
    </row>
    <row r="48" customFormat="false" ht="15" hidden="false" customHeight="false" outlineLevel="0" collapsed="false">
      <c r="A48" s="0" t="s">
        <v>100</v>
      </c>
      <c r="B48" s="3" t="n">
        <v>11</v>
      </c>
    </row>
    <row r="49" customFormat="false" ht="15" hidden="false" customHeight="false" outlineLevel="0" collapsed="false">
      <c r="A49" s="0" t="s">
        <v>101</v>
      </c>
      <c r="B49" s="3" t="n">
        <v>2.5</v>
      </c>
    </row>
    <row r="50" customFormat="false" ht="15" hidden="false" customHeight="false" outlineLevel="0" collapsed="false">
      <c r="A50" s="0" t="s">
        <v>102</v>
      </c>
      <c r="B50" s="3" t="n">
        <v>14</v>
      </c>
    </row>
    <row r="51" customFormat="false" ht="15" hidden="false" customHeight="false" outlineLevel="0" collapsed="false">
      <c r="A51" s="0" t="s">
        <v>103</v>
      </c>
      <c r="B51" s="3" t="n">
        <v>-10</v>
      </c>
    </row>
    <row r="52" customFormat="false" ht="15" hidden="false" customHeight="false" outlineLevel="0" collapsed="false">
      <c r="A52" s="0" t="s">
        <v>104</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107</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Assumptions!C13</f>
        <v>-23</v>
      </c>
      <c r="D5" s="4" t="n">
        <f aca="false">Assumptions!D13</f>
        <v>7.5</v>
      </c>
      <c r="E5" s="4" t="n">
        <f aca="false">Assumptions!E13</f>
        <v>5</v>
      </c>
      <c r="F5" s="4" t="n">
        <f aca="false">Assumptions!F13</f>
        <v>15</v>
      </c>
      <c r="G5" s="4" t="n">
        <f aca="false">Assumptions!G13</f>
        <v>10</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1141.803</v>
      </c>
      <c r="C6" s="0" t="n">
        <f aca="false">B6*(1+C5/100)</f>
        <v>879.18831</v>
      </c>
      <c r="D6" s="0" t="n">
        <f aca="false">C6*(1+D5/100)</f>
        <v>945.12743325</v>
      </c>
      <c r="E6" s="0" t="n">
        <f aca="false">D6*(1+E5/100)</f>
        <v>992.3838049125</v>
      </c>
      <c r="F6" s="0" t="n">
        <f aca="false">E6*(1+F5/100)</f>
        <v>1141.24137564938</v>
      </c>
      <c r="G6" s="0" t="n">
        <f aca="false">F6*(1+G5/100)</f>
        <v>1255.36551321431</v>
      </c>
      <c r="H6" s="0" t="n">
        <f aca="false">G6*(1+H5/100)</f>
        <v>1274.19599591253</v>
      </c>
      <c r="I6" s="0" t="n">
        <f aca="false">H6*(1+I5/100)</f>
        <v>1293.30893585122</v>
      </c>
      <c r="J6" s="0" t="n">
        <f aca="false">I6*(1+J5/100)</f>
        <v>1312.70856988898</v>
      </c>
      <c r="K6" s="0" t="n">
        <f aca="false">J6*(1+K5/100)</f>
        <v>1332.39919843732</v>
      </c>
      <c r="L6" s="0" t="n">
        <f aca="false">K6*(1+L5/100)</f>
        <v>1352.38518641388</v>
      </c>
    </row>
    <row r="7" customFormat="false" ht="15" hidden="false" customHeight="false" outlineLevel="0" collapsed="false">
      <c r="A7" s="0" t="s">
        <v>94</v>
      </c>
      <c r="C7" s="4" t="n">
        <f aca="false">Assumptions!C14</f>
        <v>22</v>
      </c>
      <c r="D7" s="4" t="n">
        <f aca="false">Assumptions!D14</f>
        <v>19</v>
      </c>
      <c r="E7" s="4" t="n">
        <f aca="false">Assumptions!E14</f>
        <v>18</v>
      </c>
      <c r="F7" s="4" t="n">
        <f aca="false">Assumptions!F14</f>
        <v>18</v>
      </c>
      <c r="G7" s="4" t="n">
        <f aca="false">Assumptions!G14</f>
        <v>18</v>
      </c>
      <c r="H7" s="4" t="n">
        <f aca="false">Assumptions!H14</f>
        <v>18</v>
      </c>
      <c r="I7" s="4" t="n">
        <f aca="false">Assumptions!I14</f>
        <v>18</v>
      </c>
      <c r="J7" s="4" t="n">
        <f aca="false">Assumptions!J14</f>
        <v>18</v>
      </c>
      <c r="K7" s="4" t="n">
        <f aca="false">Assumptions!K14</f>
        <v>18</v>
      </c>
      <c r="L7" s="4" t="n">
        <f aca="false">Assumptions!L14</f>
        <v>18</v>
      </c>
    </row>
    <row r="8" customFormat="false" ht="15" hidden="false" customHeight="false" outlineLevel="0" collapsed="false">
      <c r="A8" s="0" t="s">
        <v>44</v>
      </c>
      <c r="C8" s="0" t="n">
        <f aca="false">C6*C7/100</f>
        <v>193.4214282</v>
      </c>
      <c r="D8" s="0" t="n">
        <f aca="false">D6*D7/100</f>
        <v>179.5742123175</v>
      </c>
      <c r="E8" s="0" t="n">
        <f aca="false">E6*E7/100</f>
        <v>178.62908488425</v>
      </c>
      <c r="F8" s="0" t="n">
        <f aca="false">F6*F7/100</f>
        <v>205.423447616888</v>
      </c>
      <c r="G8" s="0" t="n">
        <f aca="false">G6*G7/100</f>
        <v>225.965792378576</v>
      </c>
      <c r="H8" s="0" t="n">
        <f aca="false">H6*H7/100</f>
        <v>229.355279264255</v>
      </c>
      <c r="I8" s="0" t="n">
        <f aca="false">I6*I7/100</f>
        <v>232.795608453219</v>
      </c>
      <c r="J8" s="0" t="n">
        <f aca="false">J6*J7/100</f>
        <v>236.287542580017</v>
      </c>
      <c r="K8" s="0" t="n">
        <f aca="false">K6*K7/100</f>
        <v>239.831855718717</v>
      </c>
      <c r="L8" s="0" t="n">
        <f aca="false">L6*L7/100</f>
        <v>243.429333554498</v>
      </c>
    </row>
    <row r="9" customFormat="false" ht="15" hidden="false" customHeight="false" outlineLevel="0" collapsed="false">
      <c r="A9" s="0" t="s">
        <v>95</v>
      </c>
      <c r="C9" s="4" t="n">
        <f aca="false">Assumptions!C15</f>
        <v>1.3</v>
      </c>
      <c r="D9" s="4" t="n">
        <f aca="false">Assumptions!D15</f>
        <v>1.1</v>
      </c>
      <c r="E9" s="4" t="n">
        <f aca="false">Assumptions!E15</f>
        <v>0.9</v>
      </c>
      <c r="F9" s="4" t="n">
        <f aca="false">Assumptions!F15</f>
        <v>0.7</v>
      </c>
      <c r="G9" s="4" t="n">
        <f aca="false">Assumptions!G15</f>
        <v>0.6</v>
      </c>
      <c r="H9" s="4" t="n">
        <f aca="false">Assumptions!H15</f>
        <v>0.6</v>
      </c>
      <c r="I9" s="4" t="n">
        <f aca="false">Assumptions!I15</f>
        <v>0.6</v>
      </c>
      <c r="J9" s="4" t="n">
        <f aca="false">Assumptions!J15</f>
        <v>0.6</v>
      </c>
      <c r="K9" s="4" t="n">
        <f aca="false">Assumptions!K15</f>
        <v>0.6</v>
      </c>
      <c r="L9" s="4" t="n">
        <f aca="false">Assumptions!L15</f>
        <v>0.6</v>
      </c>
    </row>
    <row r="10" customFormat="false" ht="15" hidden="false" customHeight="false" outlineLevel="0" collapsed="false">
      <c r="A10" s="0" t="s">
        <v>110</v>
      </c>
      <c r="C10" s="0" t="n">
        <f aca="false">-C6*C9/100</f>
        <v>-11.42944803</v>
      </c>
      <c r="D10" s="0" t="n">
        <f aca="false">-D6*D9/100</f>
        <v>-10.39640176575</v>
      </c>
      <c r="E10" s="0" t="n">
        <f aca="false">-E6*E9/100</f>
        <v>-8.9314542442125</v>
      </c>
      <c r="F10" s="0" t="n">
        <f aca="false">-F6*F9/100</f>
        <v>-7.98868962954563</v>
      </c>
      <c r="G10" s="0" t="n">
        <f aca="false">-G6*G9/100</f>
        <v>-7.53219307928588</v>
      </c>
      <c r="H10" s="0" t="n">
        <f aca="false">-H6*H9/100</f>
        <v>-7.64517597547516</v>
      </c>
      <c r="I10" s="0" t="n">
        <f aca="false">-I6*I9/100</f>
        <v>-7.75985361510729</v>
      </c>
      <c r="J10" s="0" t="n">
        <f aca="false">-J6*J9/100</f>
        <v>-7.8762514193339</v>
      </c>
      <c r="K10" s="0" t="n">
        <f aca="false">-K6*K9/100</f>
        <v>-7.99439519062391</v>
      </c>
      <c r="L10" s="0" t="n">
        <f aca="false">-L6*L9/100</f>
        <v>-8.11431111848327</v>
      </c>
    </row>
    <row r="11" customFormat="false" ht="15" hidden="false" customHeight="false" outlineLevel="0" collapsed="false">
      <c r="A11" s="0" t="s">
        <v>111</v>
      </c>
      <c r="C11" s="0" t="n">
        <f aca="false">C8+C10+C24</f>
        <v>181.99198017</v>
      </c>
      <c r="D11" s="0" t="n">
        <f aca="false">D8+D10+D24</f>
        <v>169.17781055175</v>
      </c>
      <c r="E11" s="0" t="n">
        <f aca="false">E8+E10+E24</f>
        <v>169.697630640038</v>
      </c>
      <c r="F11" s="0" t="n">
        <f aca="false">F8+F10+F24</f>
        <v>197.434757987342</v>
      </c>
      <c r="G11" s="0" t="n">
        <f aca="false">G8+G10+G24</f>
        <v>218.43359929929</v>
      </c>
      <c r="H11" s="0" t="n">
        <f aca="false">H8+H10+H24</f>
        <v>221.71010328878</v>
      </c>
      <c r="I11" s="0" t="n">
        <f aca="false">I8+I10+I24</f>
        <v>225.035754838111</v>
      </c>
      <c r="J11" s="0" t="n">
        <f aca="false">J8+J10+J24</f>
        <v>228.411291160683</v>
      </c>
      <c r="K11" s="0" t="n">
        <f aca="false">K8+K10+K24</f>
        <v>231.837460528093</v>
      </c>
      <c r="L11" s="0" t="n">
        <f aca="false">L8+L10+L24</f>
        <v>235.315022436015</v>
      </c>
    </row>
    <row r="12" customFormat="false" ht="15" hidden="false" customHeight="false" outlineLevel="0" collapsed="false">
      <c r="A12" s="0" t="s">
        <v>112</v>
      </c>
      <c r="C12" s="4" t="n">
        <f aca="false">-C6*Assumptions!C17/100</f>
        <v>-92.31477255</v>
      </c>
      <c r="D12" s="4" t="n">
        <f aca="false">-D6*Assumptions!D17/100</f>
        <v>-80.33583182625</v>
      </c>
      <c r="E12" s="4" t="n">
        <f aca="false">-E6*Assumptions!E17/100</f>
        <v>-74.4287853684375</v>
      </c>
      <c r="F12" s="4" t="n">
        <f aca="false">-F6*Assumptions!F17/100</f>
        <v>-79.8868962954563</v>
      </c>
      <c r="G12" s="4" t="n">
        <f aca="false">-G6*Assumptions!G17/100</f>
        <v>-81.5987583589303</v>
      </c>
      <c r="H12" s="4" t="n">
        <f aca="false">-H6*Assumptions!H17/100</f>
        <v>-82.8227397343143</v>
      </c>
      <c r="I12" s="4" t="n">
        <f aca="false">-I6*Assumptions!I17/100</f>
        <v>-84.065080830329</v>
      </c>
      <c r="J12" s="4" t="n">
        <f aca="false">-J6*Assumptions!J17/100</f>
        <v>-85.3260570427839</v>
      </c>
      <c r="K12" s="4" t="n">
        <f aca="false">-K6*Assumptions!K17/100</f>
        <v>-86.6059478984257</v>
      </c>
      <c r="L12" s="4" t="n">
        <f aca="false">-L6*Assumptions!L17/100</f>
        <v>-87.905037116902</v>
      </c>
    </row>
    <row r="13" customFormat="false" ht="15" hidden="false" customHeight="false" outlineLevel="0" collapsed="false">
      <c r="A13" s="0" t="s">
        <v>113</v>
      </c>
      <c r="C13" s="0" t="n">
        <f aca="false">C11+C12</f>
        <v>89.67720762</v>
      </c>
      <c r="D13" s="0" t="n">
        <f aca="false">D11+D12</f>
        <v>88.8419787255</v>
      </c>
      <c r="E13" s="0" t="n">
        <f aca="false">E11+E12</f>
        <v>95.2688452716</v>
      </c>
      <c r="F13" s="0" t="n">
        <f aca="false">F11+F12</f>
        <v>117.547861691886</v>
      </c>
      <c r="G13" s="0" t="n">
        <f aca="false">G11+G12</f>
        <v>136.83484094036</v>
      </c>
      <c r="H13" s="0" t="n">
        <f aca="false">H11+H12</f>
        <v>138.887363554465</v>
      </c>
      <c r="I13" s="0" t="n">
        <f aca="false">I11+I12</f>
        <v>140.970674007782</v>
      </c>
      <c r="J13" s="0" t="n">
        <f aca="false">J11+J12</f>
        <v>143.085234117899</v>
      </c>
      <c r="K13" s="0" t="n">
        <f aca="false">K11+K12</f>
        <v>145.231512629668</v>
      </c>
      <c r="L13" s="0" t="n">
        <f aca="false">L11+L12</f>
        <v>147.409985319113</v>
      </c>
    </row>
    <row r="14" customFormat="false" ht="15" hidden="false" customHeight="false" outlineLevel="0" collapsed="false">
      <c r="A14" s="0" t="s">
        <v>99</v>
      </c>
      <c r="C14" s="4" t="n">
        <f aca="false">Assumptions!C19</f>
        <v>15</v>
      </c>
      <c r="D14" s="4" t="n">
        <f aca="false">Assumptions!D19</f>
        <v>15</v>
      </c>
      <c r="E14" s="4" t="n">
        <f aca="false">Assumptions!E19</f>
        <v>16</v>
      </c>
      <c r="F14" s="4" t="n">
        <f aca="false">Assumptions!F19</f>
        <v>17</v>
      </c>
      <c r="G14" s="4" t="n">
        <f aca="false">Assumptions!G19</f>
        <v>18</v>
      </c>
      <c r="H14" s="4" t="n">
        <f aca="false">Assumptions!H19</f>
        <v>18</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114</v>
      </c>
      <c r="C15" s="0" t="n">
        <f aca="false">C13-MAX(0,C13)*C14/100</f>
        <v>76.225626477</v>
      </c>
      <c r="D15" s="0" t="n">
        <f aca="false">D13-MAX(0,D13)*D14/100</f>
        <v>75.515681916675</v>
      </c>
      <c r="E15" s="0" t="n">
        <f aca="false">E13-MAX(0,E13)*E14/100</f>
        <v>80.025830028144</v>
      </c>
      <c r="F15" s="0" t="n">
        <f aca="false">F13-MAX(0,F13)*F14/100</f>
        <v>97.5647252042651</v>
      </c>
      <c r="G15" s="0" t="n">
        <f aca="false">G13-MAX(0,G13)*G14/100</f>
        <v>112.204569571095</v>
      </c>
      <c r="H15" s="0" t="n">
        <f aca="false">H13-MAX(0,H13)*H14/100</f>
        <v>113.887638114662</v>
      </c>
      <c r="I15" s="0" t="n">
        <f aca="false">I13-MAX(0,I13)*I14/100</f>
        <v>115.595952686382</v>
      </c>
      <c r="J15" s="0" t="n">
        <f aca="false">J13-MAX(0,J13)*J14/100</f>
        <v>117.329891976677</v>
      </c>
      <c r="K15" s="0" t="n">
        <f aca="false">K13-MAX(0,K13)*K14/100</f>
        <v>119.089840356327</v>
      </c>
      <c r="L15" s="0" t="n">
        <f aca="false">L13-MAX(0,L13)*L14/100</f>
        <v>120.876187961672</v>
      </c>
    </row>
    <row r="16" customFormat="false" ht="15" hidden="false" customHeight="false" outlineLevel="0" collapsed="false">
      <c r="A16" s="0" t="s">
        <v>115</v>
      </c>
      <c r="C16" s="0" t="n">
        <f aca="false">-C12</f>
        <v>92.31477255</v>
      </c>
      <c r="D16" s="0" t="n">
        <f aca="false">-D12</f>
        <v>80.33583182625</v>
      </c>
      <c r="E16" s="0" t="n">
        <f aca="false">-E12</f>
        <v>74.4287853684375</v>
      </c>
      <c r="F16" s="0" t="n">
        <f aca="false">-F12</f>
        <v>79.8868962954563</v>
      </c>
      <c r="G16" s="0" t="n">
        <f aca="false">-G12</f>
        <v>81.5987583589303</v>
      </c>
      <c r="H16" s="0" t="n">
        <f aca="false">-H12</f>
        <v>82.8227397343143</v>
      </c>
      <c r="I16" s="0" t="n">
        <f aca="false">-I12</f>
        <v>84.065080830329</v>
      </c>
      <c r="J16" s="0" t="n">
        <f aca="false">-J12</f>
        <v>85.3260570427839</v>
      </c>
      <c r="K16" s="0" t="n">
        <f aca="false">-K12</f>
        <v>86.6059478984257</v>
      </c>
      <c r="L16" s="0" t="n">
        <f aca="false">-L12</f>
        <v>87.905037116902</v>
      </c>
    </row>
    <row r="17" customFormat="false" ht="15" hidden="false" customHeight="false" outlineLevel="0" collapsed="false">
      <c r="A17" s="0" t="s">
        <v>116</v>
      </c>
      <c r="C17" s="4" t="n">
        <f aca="false">-C6*Assumptions!C18/100</f>
        <v>-246.1727268</v>
      </c>
      <c r="D17" s="4" t="n">
        <f aca="false">-D6*Assumptions!D18/100</f>
        <v>-189.02548665</v>
      </c>
      <c r="E17" s="4" t="n">
        <f aca="false">-E6*Assumptions!E18/100</f>
        <v>-138.93373268775</v>
      </c>
      <c r="F17" s="4" t="n">
        <f aca="false">-F6*Assumptions!F18/100</f>
        <v>-91.29931005195</v>
      </c>
      <c r="G17" s="4" t="n">
        <f aca="false">-G6*Assumptions!G18/100</f>
        <v>-62.7682756607156</v>
      </c>
      <c r="H17" s="4" t="n">
        <f aca="false">-H6*Assumptions!H18/100</f>
        <v>-63.7097997956264</v>
      </c>
      <c r="I17" s="4" t="n">
        <f aca="false">-I6*Assumptions!I18/100</f>
        <v>-64.6654467925608</v>
      </c>
      <c r="J17" s="4" t="n">
        <f aca="false">-J6*Assumptions!J18/100</f>
        <v>-65.6354284944492</v>
      </c>
      <c r="K17" s="4" t="n">
        <f aca="false">-K6*Assumptions!K18/100</f>
        <v>-66.6199599218659</v>
      </c>
      <c r="L17" s="4" t="n">
        <f aca="false">-L6*Assumptions!L18/100</f>
        <v>-67.6192593206939</v>
      </c>
    </row>
    <row r="18" customFormat="false" ht="15" hidden="false" customHeight="false" outlineLevel="0" collapsed="false">
      <c r="A18" s="0" t="s">
        <v>117</v>
      </c>
      <c r="C18" s="4" t="n">
        <f aca="false">(C6-B6)*Assumptions!$B$23/100</f>
        <v>26.261469</v>
      </c>
      <c r="D18" s="4" t="n">
        <f aca="false">(D6-C6)*Assumptions!$B$23/100</f>
        <v>-6.593912325</v>
      </c>
      <c r="E18" s="4" t="n">
        <f aca="false">(E6-D6)*Assumptions!$B$23/100</f>
        <v>-4.72563716625001</v>
      </c>
      <c r="F18" s="4" t="n">
        <f aca="false">(F6-E6)*Assumptions!$B$23/100</f>
        <v>-14.8857570736875</v>
      </c>
      <c r="G18" s="4" t="n">
        <f aca="false">(G6-F6)*Assumptions!$B$23/100</f>
        <v>-11.4124137564938</v>
      </c>
      <c r="H18" s="4" t="n">
        <f aca="false">(H6-G6)*Assumptions!$B$23/100</f>
        <v>-1.88304826982146</v>
      </c>
      <c r="I18" s="4" t="n">
        <f aca="false">(I6-H6)*Assumptions!$B$23/100</f>
        <v>-1.91129399386878</v>
      </c>
      <c r="J18" s="4" t="n">
        <f aca="false">(J6-I6)*Assumptions!$B$23/100</f>
        <v>-1.9399634037768</v>
      </c>
      <c r="K18" s="4" t="n">
        <f aca="false">(K6-J6)*Assumptions!$B$23/100</f>
        <v>-1.96906285483346</v>
      </c>
      <c r="L18" s="4" t="n">
        <f aca="false">(L6-K6)*Assumptions!$B$23/100</f>
        <v>-1.99859879765597</v>
      </c>
    </row>
    <row r="19" customFormat="false" ht="15" hidden="false" customHeight="false" outlineLevel="0" collapsed="false">
      <c r="A19" s="0" t="s">
        <v>118</v>
      </c>
      <c r="C19" s="0" t="n">
        <f aca="false">C15+C16+C17+C18</f>
        <v>-51.370858773</v>
      </c>
      <c r="D19" s="0" t="n">
        <f aca="false">D15+D16+D17+D18</f>
        <v>-39.767885232075</v>
      </c>
      <c r="E19" s="0" t="n">
        <f aca="false">E15+E16+E17+E18</f>
        <v>10.7952455425815</v>
      </c>
      <c r="F19" s="0" t="n">
        <f aca="false">F15+F16+F17+F18</f>
        <v>71.2665543740838</v>
      </c>
      <c r="G19" s="0" t="n">
        <f aca="false">G15+G16+G17+G18</f>
        <v>119.622638512816</v>
      </c>
      <c r="H19" s="0" t="n">
        <f aca="false">H15+H16+H17+H18</f>
        <v>131.117529783528</v>
      </c>
      <c r="I19" s="0" t="n">
        <f aca="false">I15+I16+I17+I18</f>
        <v>133.084292730281</v>
      </c>
      <c r="J19" s="0" t="n">
        <f aca="false">J15+J16+J17+J18</f>
        <v>135.080557121235</v>
      </c>
      <c r="K19" s="0" t="n">
        <f aca="false">K15+K16+K17+K18</f>
        <v>137.106765478054</v>
      </c>
      <c r="L19" s="0" t="n">
        <f aca="false">L15+L16+L17+L18</f>
        <v>139.163366960225</v>
      </c>
    </row>
    <row r="20" customFormat="false" ht="15" hidden="false" customHeight="false" outlineLevel="0" collapsed="false">
      <c r="A20" s="0" t="s">
        <v>119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120</v>
      </c>
      <c r="C21" s="0" t="n">
        <f aca="false">C19*C20</f>
        <v>-46.2800529486487</v>
      </c>
      <c r="D21" s="0" t="n">
        <f aca="false">D19*D20</f>
        <v>-32.276507777027</v>
      </c>
      <c r="E21" s="0" t="n">
        <f aca="false">E19*E20</f>
        <v>7.8933904997631</v>
      </c>
      <c r="F21" s="0" t="n">
        <f aca="false">F19*F20</f>
        <v>46.9454867867979</v>
      </c>
      <c r="G21" s="0" t="n">
        <f aca="false">G19*G20</f>
        <v>70.9902136912997</v>
      </c>
      <c r="H21" s="0" t="n">
        <f aca="false">H19*H20</f>
        <v>70.1007857493625</v>
      </c>
      <c r="I21" s="0" t="n">
        <f aca="false">I19*I20</f>
        <v>64.1011689509936</v>
      </c>
      <c r="J21" s="0" t="n">
        <f aca="false">J19*J20</f>
        <v>58.6150328696023</v>
      </c>
      <c r="K21" s="0" t="n">
        <f aca="false">K19*K20</f>
        <v>53.598430957339</v>
      </c>
      <c r="L21" s="0" t="n">
        <f aca="false">L19*L20</f>
        <v>49.0111778573866</v>
      </c>
    </row>
    <row r="23" customFormat="false" ht="15" hidden="false" customHeight="false" outlineLevel="0" collapsed="false">
      <c r="A23" s="0" t="s">
        <v>96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122</v>
      </c>
    </row>
    <row r="27" customFormat="false" ht="15" hidden="false" customHeight="false" outlineLevel="0" collapsed="false">
      <c r="A27" s="0" t="s">
        <v>100</v>
      </c>
      <c r="B27" s="4" t="n">
        <f aca="false">Assumptions!$B$20</f>
        <v>11</v>
      </c>
    </row>
    <row r="28" customFormat="false" ht="15" hidden="false" customHeight="false" outlineLevel="0" collapsed="false">
      <c r="A28" s="0" t="s">
        <v>101</v>
      </c>
      <c r="B28" s="4" t="n">
        <f aca="false">Assumptions!$B$21</f>
        <v>1.5</v>
      </c>
    </row>
    <row r="29" customFormat="false" ht="15" hidden="false" customHeight="false" outlineLevel="0" collapsed="false">
      <c r="A29" s="0" t="s">
        <v>102</v>
      </c>
      <c r="B29" s="4" t="n">
        <f aca="false">Assumptions!$B$22</f>
        <v>10</v>
      </c>
    </row>
    <row r="30" customFormat="false" ht="15" hidden="false" customHeight="false" outlineLevel="0" collapsed="false">
      <c r="A30" s="0" t="s">
        <v>123</v>
      </c>
      <c r="B30" s="0" t="n">
        <f aca="false">SUM(C21:L21)</f>
        <v>342.699126636869</v>
      </c>
    </row>
    <row r="31" customFormat="false" ht="15" hidden="false" customHeight="false" outlineLevel="0" collapsed="false">
      <c r="A31" s="0" t="s">
        <v>124</v>
      </c>
      <c r="B31" s="0" t="n">
        <f aca="false">L19</f>
        <v>139.163366960225</v>
      </c>
    </row>
    <row r="32" customFormat="false" ht="15" hidden="false" customHeight="false" outlineLevel="0" collapsed="false">
      <c r="A32" s="0" t="s">
        <v>125</v>
      </c>
      <c r="B32" s="0" t="n">
        <f aca="false">IF(B27&gt;B28,B31*(1+B28/100)/((B27-B28)/100),B31*B29)</f>
        <v>1486.85071015398</v>
      </c>
    </row>
    <row r="33" customFormat="false" ht="15" hidden="false" customHeight="false" outlineLevel="0" collapsed="false">
      <c r="A33" s="0" t="s">
        <v>126</v>
      </c>
      <c r="B33" s="0" t="n">
        <f aca="false">B31*B29</f>
        <v>1391.63366960225</v>
      </c>
    </row>
    <row r="34" customFormat="false" ht="15" hidden="false" customHeight="false" outlineLevel="0" collapsed="false">
      <c r="A34" s="0" t="s">
        <v>127</v>
      </c>
      <c r="B34" s="0" t="n">
        <f aca="false">MAX(0,MIN(B32,B33))</f>
        <v>1391.63366960225</v>
      </c>
    </row>
    <row r="35" customFormat="false" ht="15" hidden="false" customHeight="false" outlineLevel="0" collapsed="false">
      <c r="A35" s="0" t="s">
        <v>128</v>
      </c>
      <c r="B35" s="0" t="n">
        <f aca="false">B34/(1+B27/100)^L4</f>
        <v>490.111778573866</v>
      </c>
    </row>
    <row r="36" customFormat="false" ht="15" hidden="false" customHeight="false" outlineLevel="0" collapsed="false">
      <c r="A36" s="0" t="s">
        <v>129</v>
      </c>
      <c r="B36" s="0" t="n">
        <f aca="false">B30+B35</f>
        <v>832.810905210734</v>
      </c>
    </row>
    <row r="37" customFormat="false" ht="15" hidden="false" customHeight="false" outlineLevel="0" collapsed="false">
      <c r="A37" s="0" t="s">
        <v>130</v>
      </c>
      <c r="B37" s="0" t="n">
        <f aca="false">B36+Assumptions!$B$5-Assumptions!$B$4</f>
        <v>1464.80590521073</v>
      </c>
    </row>
    <row r="38" customFormat="false" ht="15" hidden="false" customHeight="false" outlineLevel="0" collapsed="false">
      <c r="A38" s="0" t="s">
        <v>131</v>
      </c>
      <c r="B38" s="0" t="n">
        <f aca="false">B37/Assumptions!$B$3*Assumptions!$B$10</f>
        <v>18.5245941541902</v>
      </c>
    </row>
    <row r="39" customFormat="false" ht="15" hidden="false" customHeight="false" outlineLevel="0" collapsed="false">
      <c r="A39" s="0" t="s">
        <v>132</v>
      </c>
      <c r="B39" s="4" t="n">
        <f aca="false">B38/Assumptions!$B$2-1</f>
        <v>-0.167807989479327</v>
      </c>
    </row>
    <row r="41" customFormat="false" ht="15" hidden="false" customHeight="false" outlineLevel="0" collapsed="false">
      <c r="A41" s="0" t="s">
        <v>133</v>
      </c>
      <c r="B41" s="0" t="n">
        <f aca="false">SUMPRODUCT(-C10:L10/(1+$B$27/100)^C4:L4)</f>
        <v>52.2234203423837</v>
      </c>
    </row>
    <row r="42" customFormat="false" ht="15" hidden="false" customHeight="false" outlineLevel="0" collapsed="false">
      <c r="A42" s="0" t="s">
        <v>134</v>
      </c>
      <c r="B42" s="0" t="n">
        <f aca="false">IF(B27&gt;B28,-L10*(1+B28/100)/((B27-B28)/100),-L10*20)/(1+B27/100)^L4</f>
        <v>30.5326362984741</v>
      </c>
    </row>
    <row r="43" customFormat="false" ht="15" hidden="false" customHeight="false" outlineLevel="0" collapsed="false">
      <c r="A43" s="0" t="s">
        <v>135</v>
      </c>
      <c r="B43" s="0" t="n">
        <f aca="false">(B37+B41+B42)/Assumptions!$B$3*Assumptions!$B$10</f>
        <v>19.5711644592522</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1046.30235158984</v>
      </c>
    </row>
    <row r="47" customFormat="false" ht="15" hidden="false" customHeight="false" outlineLevel="0" collapsed="false">
      <c r="A47" s="0" t="s">
        <v>137</v>
      </c>
      <c r="B47" s="0" t="n">
        <f aca="false">(SUMPRODUCT(C19:L19/(1+B45/100)^C4:L4)+B46/(1+B45/100)^L4+Assumptions!$B$5-Assumptions!$B$4)/Assumptions!$B$3*Assumptions!$B$10</f>
        <v>14.5111862458237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138</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Assumptions!C27</f>
        <v>-19.2</v>
      </c>
      <c r="D5" s="4" t="n">
        <f aca="false">Assumptions!D27</f>
        <v>27</v>
      </c>
      <c r="E5" s="4" t="n">
        <f aca="false">Assumptions!E27</f>
        <v>17</v>
      </c>
      <c r="F5" s="4" t="n">
        <f aca="false">Assumptions!F27</f>
        <v>31</v>
      </c>
      <c r="G5" s="4" t="n">
        <f aca="false">Assumptions!G27</f>
        <v>7</v>
      </c>
      <c r="H5" s="4" t="n">
        <f aca="false">Assumptions!H27</f>
        <v>2.5</v>
      </c>
      <c r="I5" s="4" t="n">
        <f aca="false">Assumptions!I27</f>
        <v>2.5</v>
      </c>
      <c r="J5" s="4" t="n">
        <f aca="false">Assumptions!J27</f>
        <v>2.5</v>
      </c>
      <c r="K5" s="4" t="n">
        <f aca="false">Assumptions!K27</f>
        <v>2.5</v>
      </c>
      <c r="L5" s="4" t="n">
        <f aca="false">Assumptions!L27</f>
        <v>2.5</v>
      </c>
    </row>
    <row r="6" customFormat="false" ht="15" hidden="false" customHeight="false" outlineLevel="0" collapsed="false">
      <c r="A6" s="0" t="s">
        <v>38</v>
      </c>
      <c r="B6" s="3" t="n">
        <v>1141.803</v>
      </c>
      <c r="C6" s="0" t="n">
        <f aca="false">B6*(1+C5/100)</f>
        <v>922.576824</v>
      </c>
      <c r="D6" s="0" t="n">
        <f aca="false">C6*(1+D5/100)</f>
        <v>1171.67256648</v>
      </c>
      <c r="E6" s="0" t="n">
        <f aca="false">D6*(1+E5/100)</f>
        <v>1370.8569027816</v>
      </c>
      <c r="F6" s="0" t="n">
        <f aca="false">E6*(1+F5/100)</f>
        <v>1795.8225426439</v>
      </c>
      <c r="G6" s="0" t="n">
        <f aca="false">F6*(1+G5/100)</f>
        <v>1921.53012062897</v>
      </c>
      <c r="H6" s="0" t="n">
        <f aca="false">G6*(1+H5/100)</f>
        <v>1969.56837364469</v>
      </c>
      <c r="I6" s="0" t="n">
        <f aca="false">H6*(1+I5/100)</f>
        <v>2018.80758298581</v>
      </c>
      <c r="J6" s="0" t="n">
        <f aca="false">I6*(1+J5/100)</f>
        <v>2069.27777256046</v>
      </c>
      <c r="K6" s="0" t="n">
        <f aca="false">J6*(1+K5/100)</f>
        <v>2121.00971687447</v>
      </c>
      <c r="L6" s="0" t="n">
        <f aca="false">K6*(1+L5/100)</f>
        <v>2174.03495979633</v>
      </c>
    </row>
    <row r="7" customFormat="false" ht="15" hidden="false" customHeight="false" outlineLevel="0" collapsed="false">
      <c r="A7" s="0" t="s">
        <v>94</v>
      </c>
      <c r="C7" s="4" t="n">
        <f aca="false">Assumptions!C28</f>
        <v>27</v>
      </c>
      <c r="D7" s="4" t="n">
        <f aca="false">Assumptions!D28</f>
        <v>31</v>
      </c>
      <c r="E7" s="4" t="n">
        <f aca="false">Assumptions!E28</f>
        <v>34</v>
      </c>
      <c r="F7" s="4" t="n">
        <f aca="false">Assumptions!F28</f>
        <v>30.5</v>
      </c>
      <c r="G7" s="4" t="n">
        <f aca="false">Assumptions!G28</f>
        <v>29.5</v>
      </c>
      <c r="H7" s="4" t="n">
        <f aca="false">Assumptions!H28</f>
        <v>29.5</v>
      </c>
      <c r="I7" s="4" t="n">
        <f aca="false">Assumptions!I28</f>
        <v>29.5</v>
      </c>
      <c r="J7" s="4" t="n">
        <f aca="false">Assumptions!J28</f>
        <v>29</v>
      </c>
      <c r="K7" s="4" t="n">
        <f aca="false">Assumptions!K28</f>
        <v>29</v>
      </c>
      <c r="L7" s="4" t="n">
        <f aca="false">Assumptions!L28</f>
        <v>29</v>
      </c>
    </row>
    <row r="8" customFormat="false" ht="15" hidden="false" customHeight="false" outlineLevel="0" collapsed="false">
      <c r="A8" s="0" t="s">
        <v>44</v>
      </c>
      <c r="C8" s="0" t="n">
        <f aca="false">C6*C7/100</f>
        <v>249.09574248</v>
      </c>
      <c r="D8" s="0" t="n">
        <f aca="false">D6*D7/100</f>
        <v>363.2184956088</v>
      </c>
      <c r="E8" s="0" t="n">
        <f aca="false">E6*E7/100</f>
        <v>466.091346945744</v>
      </c>
      <c r="F8" s="0" t="n">
        <f aca="false">F6*F7/100</f>
        <v>547.725875506388</v>
      </c>
      <c r="G8" s="0" t="n">
        <f aca="false">G6*G7/100</f>
        <v>566.851385585546</v>
      </c>
      <c r="H8" s="0" t="n">
        <f aca="false">H6*H7/100</f>
        <v>581.022670225184</v>
      </c>
      <c r="I8" s="0" t="n">
        <f aca="false">I6*I7/100</f>
        <v>595.548236980814</v>
      </c>
      <c r="J8" s="0" t="n">
        <f aca="false">J6*J7/100</f>
        <v>600.090554042532</v>
      </c>
      <c r="K8" s="0" t="n">
        <f aca="false">K6*K7/100</f>
        <v>615.092817893595</v>
      </c>
      <c r="L8" s="0" t="n">
        <f aca="false">L6*L7/100</f>
        <v>630.470138340935</v>
      </c>
    </row>
    <row r="9" customFormat="false" ht="15" hidden="false" customHeight="false" outlineLevel="0" collapsed="false">
      <c r="A9" s="0" t="s">
        <v>95</v>
      </c>
      <c r="C9" s="4" t="n">
        <f aca="false">Assumptions!C29</f>
        <v>1.2</v>
      </c>
      <c r="D9" s="4" t="n">
        <f aca="false">Assumptions!D29</f>
        <v>1</v>
      </c>
      <c r="E9" s="4" t="n">
        <f aca="false">Assumptions!E29</f>
        <v>0.8</v>
      </c>
      <c r="F9" s="4" t="n">
        <f aca="false">Assumptions!F29</f>
        <v>0.6</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110</v>
      </c>
      <c r="C10" s="0" t="n">
        <f aca="false">-C6*C9/100</f>
        <v>-11.070921888</v>
      </c>
      <c r="D10" s="0" t="n">
        <f aca="false">-D6*D9/100</f>
        <v>-11.7167256648</v>
      </c>
      <c r="E10" s="0" t="n">
        <f aca="false">-E6*E9/100</f>
        <v>-10.9668552222528</v>
      </c>
      <c r="F10" s="0" t="n">
        <f aca="false">-F6*F9/100</f>
        <v>-10.7749352558634</v>
      </c>
      <c r="G10" s="0" t="n">
        <f aca="false">-G6*G9/100</f>
        <v>-9.60765060314484</v>
      </c>
      <c r="H10" s="0" t="n">
        <f aca="false">-H6*H9/100</f>
        <v>-9.84784186822346</v>
      </c>
      <c r="I10" s="0" t="n">
        <f aca="false">-I6*I9/100</f>
        <v>-10.0940379149291</v>
      </c>
      <c r="J10" s="0" t="n">
        <f aca="false">-J6*J9/100</f>
        <v>-10.3463888628023</v>
      </c>
      <c r="K10" s="0" t="n">
        <f aca="false">-K6*K9/100</f>
        <v>-10.6050485843723</v>
      </c>
      <c r="L10" s="0" t="n">
        <f aca="false">-L6*L9/100</f>
        <v>-10.8701747989816</v>
      </c>
    </row>
    <row r="11" customFormat="false" ht="15" hidden="false" customHeight="false" outlineLevel="0" collapsed="false">
      <c r="A11" s="0" t="s">
        <v>111</v>
      </c>
      <c r="C11" s="0" t="n">
        <f aca="false">C8+C10+C24</f>
        <v>238.024820592</v>
      </c>
      <c r="D11" s="0" t="n">
        <f aca="false">D8+D10+D24</f>
        <v>351.501769944</v>
      </c>
      <c r="E11" s="0" t="n">
        <f aca="false">E8+E10+E24</f>
        <v>455.124491723491</v>
      </c>
      <c r="F11" s="0" t="n">
        <f aca="false">F8+F10+F24</f>
        <v>536.950940250525</v>
      </c>
      <c r="G11" s="0" t="n">
        <f aca="false">G8+G10+G24</f>
        <v>557.243734982401</v>
      </c>
      <c r="H11" s="0" t="n">
        <f aca="false">H8+H10+H24</f>
        <v>571.174828356961</v>
      </c>
      <c r="I11" s="0" t="n">
        <f aca="false">I8+I10+I24</f>
        <v>585.454199065885</v>
      </c>
      <c r="J11" s="0" t="n">
        <f aca="false">J8+J10+J24</f>
        <v>589.74416517973</v>
      </c>
      <c r="K11" s="0" t="n">
        <f aca="false">K8+K10+K24</f>
        <v>604.487769309223</v>
      </c>
      <c r="L11" s="0" t="n">
        <f aca="false">L8+L10+L24</f>
        <v>619.599963541953</v>
      </c>
    </row>
    <row r="12" customFormat="false" ht="15" hidden="false" customHeight="false" outlineLevel="0" collapsed="false">
      <c r="A12" s="0" t="s">
        <v>112</v>
      </c>
      <c r="C12" s="4" t="n">
        <f aca="false">-C6*Assumptions!C31/100</f>
        <v>-92.2576824</v>
      </c>
      <c r="D12" s="4" t="n">
        <f aca="false">-D6*Assumptions!D31/100</f>
        <v>-93.7338053184</v>
      </c>
      <c r="E12" s="4" t="n">
        <f aca="false">-E6*Assumptions!E31/100</f>
        <v>-95.959983194712</v>
      </c>
      <c r="F12" s="4" t="n">
        <f aca="false">-F6*Assumptions!F31/100</f>
        <v>-116.728465271853</v>
      </c>
      <c r="G12" s="4" t="n">
        <f aca="false">-G6*Assumptions!G31/100</f>
        <v>-115.291807237738</v>
      </c>
      <c r="H12" s="4" t="n">
        <f aca="false">-H6*Assumptions!H31/100</f>
        <v>-118.174102418682</v>
      </c>
      <c r="I12" s="4" t="n">
        <f aca="false">-I6*Assumptions!I31/100</f>
        <v>-121.128454979149</v>
      </c>
      <c r="J12" s="4" t="n">
        <f aca="false">-J6*Assumptions!J31/100</f>
        <v>-124.156666353627</v>
      </c>
      <c r="K12" s="4" t="n">
        <f aca="false">-K6*Assumptions!K31/100</f>
        <v>-127.260583012468</v>
      </c>
      <c r="L12" s="4" t="n">
        <f aca="false">-L6*Assumptions!L31/100</f>
        <v>-130.44209758778</v>
      </c>
    </row>
    <row r="13" customFormat="false" ht="15" hidden="false" customHeight="false" outlineLevel="0" collapsed="false">
      <c r="A13" s="0" t="s">
        <v>113</v>
      </c>
      <c r="C13" s="0" t="n">
        <f aca="false">C11+C12</f>
        <v>145.767138192</v>
      </c>
      <c r="D13" s="0" t="n">
        <f aca="false">D11+D12</f>
        <v>257.7679646256</v>
      </c>
      <c r="E13" s="0" t="n">
        <f aca="false">E11+E12</f>
        <v>359.164508528779</v>
      </c>
      <c r="F13" s="0" t="n">
        <f aca="false">F11+F12</f>
        <v>420.222474978672</v>
      </c>
      <c r="G13" s="0" t="n">
        <f aca="false">G11+G12</f>
        <v>441.951927744663</v>
      </c>
      <c r="H13" s="0" t="n">
        <f aca="false">H11+H12</f>
        <v>453.000725938279</v>
      </c>
      <c r="I13" s="0" t="n">
        <f aca="false">I11+I12</f>
        <v>464.325744086736</v>
      </c>
      <c r="J13" s="0" t="n">
        <f aca="false">J11+J12</f>
        <v>465.587498826102</v>
      </c>
      <c r="K13" s="0" t="n">
        <f aca="false">K11+K12</f>
        <v>477.227186296755</v>
      </c>
      <c r="L13" s="0" t="n">
        <f aca="false">L11+L12</f>
        <v>489.157865954174</v>
      </c>
    </row>
    <row r="14" customFormat="false" ht="15" hidden="false" customHeight="false" outlineLevel="0" collapsed="false">
      <c r="A14" s="0" t="s">
        <v>99</v>
      </c>
      <c r="C14" s="4" t="n">
        <f aca="false">Assumptions!C33</f>
        <v>12</v>
      </c>
      <c r="D14" s="4" t="n">
        <f aca="false">Assumptions!D33</f>
        <v>12</v>
      </c>
      <c r="E14" s="4" t="n">
        <f aca="false">Assumptions!E33</f>
        <v>14</v>
      </c>
      <c r="F14" s="4" t="n">
        <f aca="false">Assumptions!F33</f>
        <v>14</v>
      </c>
      <c r="G14" s="4" t="n">
        <f aca="false">Assumptions!G33</f>
        <v>15</v>
      </c>
      <c r="H14" s="4" t="n">
        <f aca="false">Assumptions!H33</f>
        <v>15</v>
      </c>
      <c r="I14" s="4" t="n">
        <f aca="false">Assumptions!I33</f>
        <v>15</v>
      </c>
      <c r="J14" s="4" t="n">
        <f aca="false">Assumptions!J33</f>
        <v>15</v>
      </c>
      <c r="K14" s="4" t="n">
        <f aca="false">Assumptions!K33</f>
        <v>15</v>
      </c>
      <c r="L14" s="4" t="n">
        <f aca="false">Assumptions!L33</f>
        <v>15</v>
      </c>
    </row>
    <row r="15" customFormat="false" ht="15" hidden="false" customHeight="false" outlineLevel="0" collapsed="false">
      <c r="A15" s="0" t="s">
        <v>114</v>
      </c>
      <c r="C15" s="0" t="n">
        <f aca="false">C13-MAX(0,C13)*C14/100</f>
        <v>128.27508160896</v>
      </c>
      <c r="D15" s="0" t="n">
        <f aca="false">D13-MAX(0,D13)*D14/100</f>
        <v>226.835808870528</v>
      </c>
      <c r="E15" s="0" t="n">
        <f aca="false">E13-MAX(0,E13)*E14/100</f>
        <v>308.88147733475</v>
      </c>
      <c r="F15" s="0" t="n">
        <f aca="false">F13-MAX(0,F13)*F14/100</f>
        <v>361.391328481658</v>
      </c>
      <c r="G15" s="0" t="n">
        <f aca="false">G13-MAX(0,G13)*G14/100</f>
        <v>375.659138582963</v>
      </c>
      <c r="H15" s="0" t="n">
        <f aca="false">H13-MAX(0,H13)*H14/100</f>
        <v>385.050617047537</v>
      </c>
      <c r="I15" s="0" t="n">
        <f aca="false">I13-MAX(0,I13)*I14/100</f>
        <v>394.676882473726</v>
      </c>
      <c r="J15" s="0" t="n">
        <f aca="false">J13-MAX(0,J13)*J14/100</f>
        <v>395.749374002187</v>
      </c>
      <c r="K15" s="0" t="n">
        <f aca="false">K13-MAX(0,K13)*K14/100</f>
        <v>405.643108352242</v>
      </c>
      <c r="L15" s="0" t="n">
        <f aca="false">L13-MAX(0,L13)*L14/100</f>
        <v>415.784186061048</v>
      </c>
    </row>
    <row r="16" customFormat="false" ht="15" hidden="false" customHeight="false" outlineLevel="0" collapsed="false">
      <c r="A16" s="0" t="s">
        <v>115</v>
      </c>
      <c r="C16" s="0" t="n">
        <f aca="false">-C12</f>
        <v>92.2576824</v>
      </c>
      <c r="D16" s="0" t="n">
        <f aca="false">-D12</f>
        <v>93.7338053184</v>
      </c>
      <c r="E16" s="0" t="n">
        <f aca="false">-E12</f>
        <v>95.959983194712</v>
      </c>
      <c r="F16" s="0" t="n">
        <f aca="false">-F12</f>
        <v>116.728465271853</v>
      </c>
      <c r="G16" s="0" t="n">
        <f aca="false">-G12</f>
        <v>115.291807237738</v>
      </c>
      <c r="H16" s="0" t="n">
        <f aca="false">-H12</f>
        <v>118.174102418682</v>
      </c>
      <c r="I16" s="0" t="n">
        <f aca="false">-I12</f>
        <v>121.128454979149</v>
      </c>
      <c r="J16" s="0" t="n">
        <f aca="false">-J12</f>
        <v>124.156666353627</v>
      </c>
      <c r="K16" s="0" t="n">
        <f aca="false">-K12</f>
        <v>127.260583012468</v>
      </c>
      <c r="L16" s="0" t="n">
        <f aca="false">-L12</f>
        <v>130.44209758778</v>
      </c>
    </row>
    <row r="17" customFormat="false" ht="15" hidden="false" customHeight="false" outlineLevel="0" collapsed="false">
      <c r="A17" s="0" t="s">
        <v>116</v>
      </c>
      <c r="C17" s="4" t="n">
        <f aca="false">-C6*Assumptions!C32/100</f>
        <v>-249.09574248</v>
      </c>
      <c r="D17" s="4" t="n">
        <f aca="false">-D6*Assumptions!D32/100</f>
        <v>-222.6177876312</v>
      </c>
      <c r="E17" s="4" t="n">
        <f aca="false">-E6*Assumptions!E32/100</f>
        <v>-150.794259305976</v>
      </c>
      <c r="F17" s="4" t="n">
        <f aca="false">-F6*Assumptions!F32/100</f>
        <v>-89.7911271321948</v>
      </c>
      <c r="G17" s="4" t="n">
        <f aca="false">-G6*Assumptions!G32/100</f>
        <v>-96.0765060314485</v>
      </c>
      <c r="H17" s="4" t="n">
        <f aca="false">-H6*Assumptions!H32/100</f>
        <v>-98.4784186822347</v>
      </c>
      <c r="I17" s="4" t="n">
        <f aca="false">-I6*Assumptions!I32/100</f>
        <v>-100.940379149291</v>
      </c>
      <c r="J17" s="4" t="n">
        <f aca="false">-J6*Assumptions!J32/100</f>
        <v>-103.463888628023</v>
      </c>
      <c r="K17" s="4" t="n">
        <f aca="false">-K6*Assumptions!K32/100</f>
        <v>-106.050485843723</v>
      </c>
      <c r="L17" s="4" t="n">
        <f aca="false">-L6*Assumptions!L32/100</f>
        <v>-108.701747989816</v>
      </c>
    </row>
    <row r="18" customFormat="false" ht="15" hidden="false" customHeight="false" outlineLevel="0" collapsed="false">
      <c r="A18" s="0" t="s">
        <v>117</v>
      </c>
      <c r="C18" s="4" t="n">
        <f aca="false">(C6-B6)*Assumptions!$B$37/100</f>
        <v>21.9226176</v>
      </c>
      <c r="D18" s="4" t="n">
        <f aca="false">(D6-C6)*Assumptions!$B$37/100</f>
        <v>-24.909574248</v>
      </c>
      <c r="E18" s="4" t="n">
        <f aca="false">(E6-D6)*Assumptions!$B$37/100</f>
        <v>-19.91843363016</v>
      </c>
      <c r="F18" s="4" t="n">
        <f aca="false">(F6-E6)*Assumptions!$B$37/100</f>
        <v>-42.4965639862296</v>
      </c>
      <c r="G18" s="4" t="n">
        <f aca="false">(G6-F6)*Assumptions!$B$37/100</f>
        <v>-12.5707577985073</v>
      </c>
      <c r="H18" s="4" t="n">
        <f aca="false">(H6-G6)*Assumptions!$B$37/100</f>
        <v>-4.8038253015724</v>
      </c>
      <c r="I18" s="4" t="n">
        <f aca="false">(I6-H6)*Assumptions!$B$37/100</f>
        <v>-4.92392093411172</v>
      </c>
      <c r="J18" s="4" t="n">
        <f aca="false">(J6-I6)*Assumptions!$B$37/100</f>
        <v>-5.0470189574645</v>
      </c>
      <c r="K18" s="4" t="n">
        <f aca="false">(K6-J6)*Assumptions!$B$37/100</f>
        <v>-5.17319443140113</v>
      </c>
      <c r="L18" s="4" t="n">
        <f aca="false">(L6-K6)*Assumptions!$B$37/100</f>
        <v>-5.30252429218613</v>
      </c>
    </row>
    <row r="19" customFormat="false" ht="15" hidden="false" customHeight="false" outlineLevel="0" collapsed="false">
      <c r="A19" s="0" t="s">
        <v>118</v>
      </c>
      <c r="C19" s="0" t="n">
        <f aca="false">C15+C16+C17+C18</f>
        <v>-6.64036087104005</v>
      </c>
      <c r="D19" s="0" t="n">
        <f aca="false">D15+D16+D17+D18</f>
        <v>73.042252309728</v>
      </c>
      <c r="E19" s="0" t="n">
        <f aca="false">E15+E16+E17+E18</f>
        <v>234.128767593326</v>
      </c>
      <c r="F19" s="0" t="n">
        <f aca="false">F15+F16+F17+F18</f>
        <v>345.832102635086</v>
      </c>
      <c r="G19" s="0" t="n">
        <f aca="false">G15+G16+G17+G18</f>
        <v>382.303681990746</v>
      </c>
      <c r="H19" s="0" t="n">
        <f aca="false">H15+H16+H17+H18</f>
        <v>399.942475482412</v>
      </c>
      <c r="I19" s="0" t="n">
        <f aca="false">I15+I16+I17+I18</f>
        <v>409.941037369472</v>
      </c>
      <c r="J19" s="0" t="n">
        <f aca="false">J15+J16+J17+J18</f>
        <v>411.395132770327</v>
      </c>
      <c r="K19" s="0" t="n">
        <f aca="false">K15+K16+K17+K18</f>
        <v>421.680011089585</v>
      </c>
      <c r="L19" s="0" t="n">
        <f aca="false">L15+L16+L17+L18</f>
        <v>432.222011366825</v>
      </c>
    </row>
    <row r="20" customFormat="false" ht="15" hidden="false" customHeight="false" outlineLevel="0" collapsed="false">
      <c r="A20" s="0" t="s">
        <v>119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120</v>
      </c>
      <c r="C21" s="0" t="n">
        <f aca="false">C19*C20</f>
        <v>-5.98230709102707</v>
      </c>
      <c r="D21" s="0" t="n">
        <f aca="false">D19*D20</f>
        <v>59.2827305492476</v>
      </c>
      <c r="E21" s="0" t="n">
        <f aca="false">E19*E20</f>
        <v>171.192936978853</v>
      </c>
      <c r="F21" s="0" t="n">
        <f aca="false">F19*F20</f>
        <v>227.810317859424</v>
      </c>
      <c r="G21" s="0" t="n">
        <f aca="false">G19*G20</f>
        <v>226.878627799085</v>
      </c>
      <c r="H21" s="0" t="n">
        <f aca="false">H19*H20</f>
        <v>213.825579479338</v>
      </c>
      <c r="I21" s="0" t="n">
        <f aca="false">I19*I20</f>
        <v>197.451548618307</v>
      </c>
      <c r="J21" s="0" t="n">
        <f aca="false">J19*J20</f>
        <v>178.515248557087</v>
      </c>
      <c r="K21" s="0" t="n">
        <f aca="false">K19*K20</f>
        <v>164.845161955869</v>
      </c>
      <c r="L21" s="0" t="n">
        <f aca="false">L19*L20</f>
        <v>152.221883788077</v>
      </c>
    </row>
    <row r="23" customFormat="false" ht="15" hidden="false" customHeight="false" outlineLevel="0" collapsed="false">
      <c r="A23" s="0" t="s">
        <v>96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122</v>
      </c>
    </row>
    <row r="27" customFormat="false" ht="15" hidden="false" customHeight="false" outlineLevel="0" collapsed="false">
      <c r="A27" s="0" t="s">
        <v>100</v>
      </c>
      <c r="B27" s="4" t="n">
        <f aca="false">Assumptions!$B$34</f>
        <v>11</v>
      </c>
    </row>
    <row r="28" customFormat="false" ht="15" hidden="false" customHeight="false" outlineLevel="0" collapsed="false">
      <c r="A28" s="0" t="s">
        <v>101</v>
      </c>
      <c r="B28" s="4" t="n">
        <f aca="false">Assumptions!$B$35</f>
        <v>2</v>
      </c>
    </row>
    <row r="29" customFormat="false" ht="15" hidden="false" customHeight="false" outlineLevel="0" collapsed="false">
      <c r="A29" s="0" t="s">
        <v>102</v>
      </c>
      <c r="B29" s="4" t="n">
        <f aca="false">Assumptions!$B$36</f>
        <v>12</v>
      </c>
    </row>
    <row r="30" customFormat="false" ht="15" hidden="false" customHeight="false" outlineLevel="0" collapsed="false">
      <c r="A30" s="0" t="s">
        <v>123</v>
      </c>
      <c r="B30" s="0" t="n">
        <f aca="false">SUM(C21:L21)</f>
        <v>1586.04172849426</v>
      </c>
    </row>
    <row r="31" customFormat="false" ht="15" hidden="false" customHeight="false" outlineLevel="0" collapsed="false">
      <c r="A31" s="0" t="s">
        <v>124</v>
      </c>
      <c r="B31" s="0" t="n">
        <f aca="false">L19</f>
        <v>432.222011366825</v>
      </c>
    </row>
    <row r="32" customFormat="false" ht="15" hidden="false" customHeight="false" outlineLevel="0" collapsed="false">
      <c r="A32" s="0" t="s">
        <v>125</v>
      </c>
      <c r="B32" s="0" t="n">
        <f aca="false">IF(B27&gt;B28,B31*(1+B28/100)/((B27-B28)/100),B31*B29)</f>
        <v>4898.51612882401</v>
      </c>
    </row>
    <row r="33" customFormat="false" ht="15" hidden="false" customHeight="false" outlineLevel="0" collapsed="false">
      <c r="A33" s="0" t="s">
        <v>126</v>
      </c>
      <c r="B33" s="0" t="n">
        <f aca="false">B31*B29</f>
        <v>5186.6641364019</v>
      </c>
    </row>
    <row r="34" customFormat="false" ht="15" hidden="false" customHeight="false" outlineLevel="0" collapsed="false">
      <c r="A34" s="0" t="s">
        <v>127</v>
      </c>
      <c r="B34" s="0" t="n">
        <f aca="false">MAX(0,MIN(B32,B33))</f>
        <v>4898.51612882401</v>
      </c>
    </row>
    <row r="35" customFormat="false" ht="15" hidden="false" customHeight="false" outlineLevel="0" collapsed="false">
      <c r="A35" s="0" t="s">
        <v>128</v>
      </c>
      <c r="B35" s="0" t="n">
        <f aca="false">B34/(1+B27/100)^L4</f>
        <v>1725.1813495982</v>
      </c>
    </row>
    <row r="36" customFormat="false" ht="15" hidden="false" customHeight="false" outlineLevel="0" collapsed="false">
      <c r="A36" s="0" t="s">
        <v>129</v>
      </c>
      <c r="B36" s="0" t="n">
        <f aca="false">B30+B35</f>
        <v>3311.22307809247</v>
      </c>
    </row>
    <row r="37" customFormat="false" ht="15" hidden="false" customHeight="false" outlineLevel="0" collapsed="false">
      <c r="A37" s="0" t="s">
        <v>130</v>
      </c>
      <c r="B37" s="0" t="n">
        <f aca="false">B36+Assumptions!$B$5-Assumptions!$B$4</f>
        <v>3943.21807809247</v>
      </c>
    </row>
    <row r="38" customFormat="false" ht="15" hidden="false" customHeight="false" outlineLevel="0" collapsed="false">
      <c r="A38" s="0" t="s">
        <v>131</v>
      </c>
      <c r="B38" s="0" t="n">
        <f aca="false">B37/Assumptions!$B$3*Assumptions!$B$10</f>
        <v>49.8677089560339</v>
      </c>
    </row>
    <row r="39" customFormat="false" ht="15" hidden="false" customHeight="false" outlineLevel="0" collapsed="false">
      <c r="A39" s="0" t="s">
        <v>132</v>
      </c>
      <c r="B39" s="4" t="n">
        <f aca="false">B38/Assumptions!$B$2-1</f>
        <v>1.24023849757565</v>
      </c>
    </row>
    <row r="41" customFormat="false" ht="15" hidden="false" customHeight="false" outlineLevel="0" collapsed="false">
      <c r="A41" s="0" t="s">
        <v>133</v>
      </c>
      <c r="B41" s="0" t="n">
        <f aca="false">SUMPRODUCT(-C10:L10/(1+$B$27/100)^C4:L4)</f>
        <v>62.8922795022754</v>
      </c>
    </row>
    <row r="42" customFormat="false" ht="15" hidden="false" customHeight="false" outlineLevel="0" collapsed="false">
      <c r="A42" s="0" t="s">
        <v>134</v>
      </c>
      <c r="B42" s="0" t="n">
        <f aca="false">IF(B27&gt;B28,-L10*(1+B28/100)/((B27-B28)/100),-L10*20)/(1+B27/100)^L4</f>
        <v>43.3874775853559</v>
      </c>
    </row>
    <row r="43" customFormat="false" ht="15" hidden="false" customHeight="false" outlineLevel="0" collapsed="false">
      <c r="A43" s="0" t="s">
        <v>135</v>
      </c>
      <c r="B43" s="0" t="n">
        <f aca="false">(B37+B41+B42)/Assumptions!$B$3*Assumptions!$B$10</f>
        <v>51.2117705548101</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3391.28039687816</v>
      </c>
    </row>
    <row r="47" customFormat="false" ht="15" hidden="false" customHeight="false" outlineLevel="0" collapsed="false">
      <c r="A47" s="0" t="s">
        <v>137</v>
      </c>
      <c r="B47" s="0" t="n">
        <f aca="false">(SUMPRODUCT(C19:L19/(1+B45/100)^C4:L4)+B46/(1+B45/100)^L4+Assumptions!$B$5-Assumptions!$B$4)/Assumptions!$B$3*Assumptions!$B$10</f>
        <v>34.7737008832092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108</v>
      </c>
      <c r="B3" s="0" t="s">
        <v>69</v>
      </c>
      <c r="C3" s="2" t="s">
        <v>83</v>
      </c>
      <c r="D3" s="2" t="s">
        <v>84</v>
      </c>
      <c r="E3" s="2" t="s">
        <v>85</v>
      </c>
      <c r="F3" s="2" t="s">
        <v>86</v>
      </c>
      <c r="G3" s="2" t="s">
        <v>87</v>
      </c>
      <c r="H3" s="2" t="s">
        <v>88</v>
      </c>
      <c r="I3" s="2" t="s">
        <v>89</v>
      </c>
      <c r="J3" s="2" t="s">
        <v>90</v>
      </c>
      <c r="K3" s="2" t="s">
        <v>91</v>
      </c>
      <c r="L3" s="2" t="s">
        <v>92</v>
      </c>
    </row>
    <row r="4" customFormat="false" ht="15" hidden="false" customHeight="false" outlineLevel="0" collapsed="false">
      <c r="A4" s="0" t="s">
        <v>109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93</v>
      </c>
      <c r="C5" s="4" t="n">
        <f aca="false">Assumptions!C41</f>
        <v>-15</v>
      </c>
      <c r="D5" s="4" t="n">
        <f aca="false">Assumptions!D41</f>
        <v>32</v>
      </c>
      <c r="E5" s="4" t="n">
        <f aca="false">Assumptions!E41</f>
        <v>20</v>
      </c>
      <c r="F5" s="4" t="n">
        <f aca="false">Assumptions!F41</f>
        <v>33</v>
      </c>
      <c r="G5" s="4" t="n">
        <f aca="false">Assumptions!G41</f>
        <v>10</v>
      </c>
      <c r="H5" s="4" t="n">
        <f aca="false">Assumptions!H41</f>
        <v>8</v>
      </c>
      <c r="I5" s="4" t="n">
        <f aca="false">Assumptions!I41</f>
        <v>15</v>
      </c>
      <c r="J5" s="4" t="n">
        <f aca="false">Assumptions!J41</f>
        <v>12</v>
      </c>
      <c r="K5" s="4" t="n">
        <f aca="false">Assumptions!K41</f>
        <v>3</v>
      </c>
      <c r="L5" s="4" t="n">
        <f aca="false">Assumptions!L41</f>
        <v>3</v>
      </c>
    </row>
    <row r="6" customFormat="false" ht="15" hidden="false" customHeight="false" outlineLevel="0" collapsed="false">
      <c r="A6" s="0" t="s">
        <v>38</v>
      </c>
      <c r="B6" s="3" t="n">
        <v>1141.803</v>
      </c>
      <c r="C6" s="0" t="n">
        <f aca="false">B6*(1+C5/100)</f>
        <v>970.53255</v>
      </c>
      <c r="D6" s="0" t="n">
        <f aca="false">C6*(1+D5/100)</f>
        <v>1281.102966</v>
      </c>
      <c r="E6" s="0" t="n">
        <f aca="false">D6*(1+E5/100)</f>
        <v>1537.3235592</v>
      </c>
      <c r="F6" s="0" t="n">
        <f aca="false">E6*(1+F5/100)</f>
        <v>2044.640333736</v>
      </c>
      <c r="G6" s="0" t="n">
        <f aca="false">F6*(1+G5/100)</f>
        <v>2249.1043671096</v>
      </c>
      <c r="H6" s="0" t="n">
        <f aca="false">G6*(1+H5/100)</f>
        <v>2429.03271647837</v>
      </c>
      <c r="I6" s="0" t="n">
        <f aca="false">H6*(1+I5/100)</f>
        <v>2793.38762395012</v>
      </c>
      <c r="J6" s="0" t="n">
        <f aca="false">I6*(1+J5/100)</f>
        <v>3128.59413882414</v>
      </c>
      <c r="K6" s="0" t="n">
        <f aca="false">J6*(1+K5/100)</f>
        <v>3222.45196298886</v>
      </c>
      <c r="L6" s="0" t="n">
        <f aca="false">K6*(1+L5/100)</f>
        <v>3319.12552187853</v>
      </c>
    </row>
    <row r="7" customFormat="false" ht="15" hidden="false" customHeight="false" outlineLevel="0" collapsed="false">
      <c r="A7" s="0" t="s">
        <v>94</v>
      </c>
      <c r="C7" s="4" t="n">
        <f aca="false">Assumptions!C42</f>
        <v>30</v>
      </c>
      <c r="D7" s="4" t="n">
        <f aca="false">Assumptions!D42</f>
        <v>35</v>
      </c>
      <c r="E7" s="4" t="n">
        <f aca="false">Assumptions!E42</f>
        <v>38</v>
      </c>
      <c r="F7" s="4" t="n">
        <f aca="false">Assumptions!F42</f>
        <v>34</v>
      </c>
      <c r="G7" s="4" t="n">
        <f aca="false">Assumptions!G42</f>
        <v>33</v>
      </c>
      <c r="H7" s="4" t="n">
        <f aca="false">Assumptions!H42</f>
        <v>33</v>
      </c>
      <c r="I7" s="4" t="n">
        <f aca="false">Assumptions!I42</f>
        <v>32</v>
      </c>
      <c r="J7" s="4" t="n">
        <f aca="false">Assumptions!J42</f>
        <v>32</v>
      </c>
      <c r="K7" s="4" t="n">
        <f aca="false">Assumptions!K42</f>
        <v>32</v>
      </c>
      <c r="L7" s="4" t="n">
        <f aca="false">Assumptions!L42</f>
        <v>32</v>
      </c>
    </row>
    <row r="8" customFormat="false" ht="15" hidden="false" customHeight="false" outlineLevel="0" collapsed="false">
      <c r="A8" s="0" t="s">
        <v>44</v>
      </c>
      <c r="C8" s="0" t="n">
        <f aca="false">C6*C7/100</f>
        <v>291.159765</v>
      </c>
      <c r="D8" s="0" t="n">
        <f aca="false">D6*D7/100</f>
        <v>448.3860381</v>
      </c>
      <c r="E8" s="0" t="n">
        <f aca="false">E6*E7/100</f>
        <v>584.182952496</v>
      </c>
      <c r="F8" s="0" t="n">
        <f aca="false">F6*F7/100</f>
        <v>695.17771347024</v>
      </c>
      <c r="G8" s="0" t="n">
        <f aca="false">G6*G7/100</f>
        <v>742.204441146168</v>
      </c>
      <c r="H8" s="0" t="n">
        <f aca="false">H6*H7/100</f>
        <v>801.580796437862</v>
      </c>
      <c r="I8" s="0" t="n">
        <f aca="false">I6*I7/100</f>
        <v>893.88403966404</v>
      </c>
      <c r="J8" s="0" t="n">
        <f aca="false">J6*J7/100</f>
        <v>1001.15012442372</v>
      </c>
      <c r="K8" s="0" t="n">
        <f aca="false">K6*K7/100</f>
        <v>1031.18462815644</v>
      </c>
      <c r="L8" s="0" t="n">
        <f aca="false">L6*L7/100</f>
        <v>1062.12016700113</v>
      </c>
    </row>
    <row r="9" customFormat="false" ht="15" hidden="false" customHeight="false" outlineLevel="0" collapsed="false">
      <c r="A9" s="0" t="s">
        <v>95</v>
      </c>
      <c r="C9" s="4" t="n">
        <f aca="false">Assumptions!C43</f>
        <v>1.2</v>
      </c>
      <c r="D9" s="4" t="n">
        <f aca="false">Assumptions!D43</f>
        <v>1</v>
      </c>
      <c r="E9" s="4" t="n">
        <f aca="false">Assumptions!E43</f>
        <v>0.8</v>
      </c>
      <c r="F9" s="4" t="n">
        <f aca="false">Assumptions!F43</f>
        <v>0.6</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110</v>
      </c>
      <c r="C10" s="0" t="n">
        <f aca="false">-C6*C9/100</f>
        <v>-11.6463906</v>
      </c>
      <c r="D10" s="0" t="n">
        <f aca="false">-D6*D9/100</f>
        <v>-12.81102966</v>
      </c>
      <c r="E10" s="0" t="n">
        <f aca="false">-E6*E9/100</f>
        <v>-12.2985884736</v>
      </c>
      <c r="F10" s="0" t="n">
        <f aca="false">-F6*F9/100</f>
        <v>-12.267842002416</v>
      </c>
      <c r="G10" s="0" t="n">
        <f aca="false">-G6*G9/100</f>
        <v>-11.245521835548</v>
      </c>
      <c r="H10" s="0" t="n">
        <f aca="false">-H6*H9/100</f>
        <v>-12.1451635823918</v>
      </c>
      <c r="I10" s="0" t="n">
        <f aca="false">-I6*I9/100</f>
        <v>-13.9669381197506</v>
      </c>
      <c r="J10" s="0" t="n">
        <f aca="false">-J6*J9/100</f>
        <v>-15.6429706941207</v>
      </c>
      <c r="K10" s="0" t="n">
        <f aca="false">-K6*K9/100</f>
        <v>-16.1122598149443</v>
      </c>
      <c r="L10" s="0" t="n">
        <f aca="false">-L6*L9/100</f>
        <v>-16.5956276093926</v>
      </c>
    </row>
    <row r="11" customFormat="false" ht="15" hidden="false" customHeight="false" outlineLevel="0" collapsed="false">
      <c r="A11" s="0" t="s">
        <v>111</v>
      </c>
      <c r="C11" s="0" t="n">
        <f aca="false">C8+C10+C24</f>
        <v>279.5133744</v>
      </c>
      <c r="D11" s="0" t="n">
        <f aca="false">D8+D10+D24</f>
        <v>435.57500844</v>
      </c>
      <c r="E11" s="0" t="n">
        <f aca="false">E8+E10+E24</f>
        <v>571.8843640224</v>
      </c>
      <c r="F11" s="0" t="n">
        <f aca="false">F8+F10+F24</f>
        <v>682.909871467824</v>
      </c>
      <c r="G11" s="0" t="n">
        <f aca="false">G8+G10+G24</f>
        <v>730.95891931062</v>
      </c>
      <c r="H11" s="0" t="n">
        <f aca="false">H8+H10+H24</f>
        <v>789.43563285547</v>
      </c>
      <c r="I11" s="0" t="n">
        <f aca="false">I8+I10+I24</f>
        <v>879.917101544289</v>
      </c>
      <c r="J11" s="0" t="n">
        <f aca="false">J8+J10+J24</f>
        <v>985.507153729604</v>
      </c>
      <c r="K11" s="0" t="n">
        <f aca="false">K8+K10+K24</f>
        <v>1015.07236834149</v>
      </c>
      <c r="L11" s="0" t="n">
        <f aca="false">L8+L10+L24</f>
        <v>1045.52453939174</v>
      </c>
    </row>
    <row r="12" customFormat="false" ht="15" hidden="false" customHeight="false" outlineLevel="0" collapsed="false">
      <c r="A12" s="0" t="s">
        <v>112</v>
      </c>
      <c r="C12" s="4" t="n">
        <f aca="false">-C6*Assumptions!C45/100</f>
        <v>-97.053255</v>
      </c>
      <c r="D12" s="4" t="n">
        <f aca="false">-D6*Assumptions!D45/100</f>
        <v>-102.48823728</v>
      </c>
      <c r="E12" s="4" t="n">
        <f aca="false">-E6*Assumptions!E45/100</f>
        <v>-107.612649144</v>
      </c>
      <c r="F12" s="4" t="n">
        <f aca="false">-F6*Assumptions!F45/100</f>
        <v>-132.90162169284</v>
      </c>
      <c r="G12" s="4" t="n">
        <f aca="false">-G6*Assumptions!G45/100</f>
        <v>-134.946262026576</v>
      </c>
      <c r="H12" s="4" t="n">
        <f aca="false">-H6*Assumptions!H45/100</f>
        <v>-145.741962988702</v>
      </c>
      <c r="I12" s="4" t="n">
        <f aca="false">-I6*Assumptions!I45/100</f>
        <v>-167.603257437007</v>
      </c>
      <c r="J12" s="4" t="n">
        <f aca="false">-J6*Assumptions!J45/100</f>
        <v>-187.715648329448</v>
      </c>
      <c r="K12" s="4" t="n">
        <f aca="false">-K6*Assumptions!K45/100</f>
        <v>-193.347117779332</v>
      </c>
      <c r="L12" s="4" t="n">
        <f aca="false">-L6*Assumptions!L45/100</f>
        <v>-199.147531312712</v>
      </c>
    </row>
    <row r="13" customFormat="false" ht="15" hidden="false" customHeight="false" outlineLevel="0" collapsed="false">
      <c r="A13" s="0" t="s">
        <v>113</v>
      </c>
      <c r="C13" s="0" t="n">
        <f aca="false">C11+C12</f>
        <v>182.4601194</v>
      </c>
      <c r="D13" s="0" t="n">
        <f aca="false">D11+D12</f>
        <v>333.08677116</v>
      </c>
      <c r="E13" s="0" t="n">
        <f aca="false">E11+E12</f>
        <v>464.2717148784</v>
      </c>
      <c r="F13" s="0" t="n">
        <f aca="false">F11+F12</f>
        <v>550.008249774984</v>
      </c>
      <c r="G13" s="0" t="n">
        <f aca="false">G11+G12</f>
        <v>596.012657284044</v>
      </c>
      <c r="H13" s="0" t="n">
        <f aca="false">H11+H12</f>
        <v>643.693669866768</v>
      </c>
      <c r="I13" s="0" t="n">
        <f aca="false">I11+I12</f>
        <v>712.313844107282</v>
      </c>
      <c r="J13" s="0" t="n">
        <f aca="false">J11+J12</f>
        <v>797.791505400156</v>
      </c>
      <c r="K13" s="0" t="n">
        <f aca="false">K11+K12</f>
        <v>821.72525056216</v>
      </c>
      <c r="L13" s="0" t="n">
        <f aca="false">L11+L12</f>
        <v>846.377008079025</v>
      </c>
    </row>
    <row r="14" customFormat="false" ht="15" hidden="false" customHeight="false" outlineLevel="0" collapsed="false">
      <c r="A14" s="0" t="s">
        <v>99</v>
      </c>
      <c r="C14" s="4" t="n">
        <f aca="false">Assumptions!C47</f>
        <v>10</v>
      </c>
      <c r="D14" s="4" t="n">
        <f aca="false">Assumptions!D47</f>
        <v>10</v>
      </c>
      <c r="E14" s="4" t="n">
        <f aca="false">Assumptions!E47</f>
        <v>12</v>
      </c>
      <c r="F14" s="4" t="n">
        <f aca="false">Assumptions!F47</f>
        <v>13</v>
      </c>
      <c r="G14" s="4" t="n">
        <f aca="false">Assumptions!G47</f>
        <v>14</v>
      </c>
      <c r="H14" s="4" t="n">
        <f aca="false">Assumptions!H47</f>
        <v>14</v>
      </c>
      <c r="I14" s="4" t="n">
        <f aca="false">Assumptions!I47</f>
        <v>14</v>
      </c>
      <c r="J14" s="4" t="n">
        <f aca="false">Assumptions!J47</f>
        <v>14</v>
      </c>
      <c r="K14" s="4" t="n">
        <f aca="false">Assumptions!K47</f>
        <v>14</v>
      </c>
      <c r="L14" s="4" t="n">
        <f aca="false">Assumptions!L47</f>
        <v>14</v>
      </c>
    </row>
    <row r="15" customFormat="false" ht="15" hidden="false" customHeight="false" outlineLevel="0" collapsed="false">
      <c r="A15" s="0" t="s">
        <v>114</v>
      </c>
      <c r="C15" s="0" t="n">
        <f aca="false">C13-MAX(0,C13)*C14/100</f>
        <v>164.21410746</v>
      </c>
      <c r="D15" s="0" t="n">
        <f aca="false">D13-MAX(0,D13)*D14/100</f>
        <v>299.778094044</v>
      </c>
      <c r="E15" s="0" t="n">
        <f aca="false">E13-MAX(0,E13)*E14/100</f>
        <v>408.559109092992</v>
      </c>
      <c r="F15" s="0" t="n">
        <f aca="false">F13-MAX(0,F13)*F14/100</f>
        <v>478.507177304236</v>
      </c>
      <c r="G15" s="0" t="n">
        <f aca="false">G13-MAX(0,G13)*G14/100</f>
        <v>512.570885264278</v>
      </c>
      <c r="H15" s="0" t="n">
        <f aca="false">H13-MAX(0,H13)*H14/100</f>
        <v>553.57655608542</v>
      </c>
      <c r="I15" s="0" t="n">
        <f aca="false">I13-MAX(0,I13)*I14/100</f>
        <v>612.589905932262</v>
      </c>
      <c r="J15" s="0" t="n">
        <f aca="false">J13-MAX(0,J13)*J14/100</f>
        <v>686.100694644134</v>
      </c>
      <c r="K15" s="0" t="n">
        <f aca="false">K13-MAX(0,K13)*K14/100</f>
        <v>706.683715483458</v>
      </c>
      <c r="L15" s="0" t="n">
        <f aca="false">L13-MAX(0,L13)*L14/100</f>
        <v>727.884226947962</v>
      </c>
    </row>
    <row r="16" customFormat="false" ht="15" hidden="false" customHeight="false" outlineLevel="0" collapsed="false">
      <c r="A16" s="0" t="s">
        <v>115</v>
      </c>
      <c r="C16" s="0" t="n">
        <f aca="false">-C12</f>
        <v>97.053255</v>
      </c>
      <c r="D16" s="0" t="n">
        <f aca="false">-D12</f>
        <v>102.48823728</v>
      </c>
      <c r="E16" s="0" t="n">
        <f aca="false">-E12</f>
        <v>107.612649144</v>
      </c>
      <c r="F16" s="0" t="n">
        <f aca="false">-F12</f>
        <v>132.90162169284</v>
      </c>
      <c r="G16" s="0" t="n">
        <f aca="false">-G12</f>
        <v>134.946262026576</v>
      </c>
      <c r="H16" s="0" t="n">
        <f aca="false">-H12</f>
        <v>145.741962988702</v>
      </c>
      <c r="I16" s="0" t="n">
        <f aca="false">-I12</f>
        <v>167.603257437007</v>
      </c>
      <c r="J16" s="0" t="n">
        <f aca="false">-J12</f>
        <v>187.715648329448</v>
      </c>
      <c r="K16" s="0" t="n">
        <f aca="false">-K12</f>
        <v>193.347117779332</v>
      </c>
      <c r="L16" s="0" t="n">
        <f aca="false">-L12</f>
        <v>199.147531312712</v>
      </c>
    </row>
    <row r="17" customFormat="false" ht="15" hidden="false" customHeight="false" outlineLevel="0" collapsed="false">
      <c r="A17" s="0" t="s">
        <v>116</v>
      </c>
      <c r="C17" s="4" t="n">
        <f aca="false">-C6*Assumptions!C46/100</f>
        <v>-262.0437885</v>
      </c>
      <c r="D17" s="4" t="n">
        <f aca="false">-D6*Assumptions!D46/100</f>
        <v>-256.2205932</v>
      </c>
      <c r="E17" s="4" t="n">
        <f aca="false">-E6*Assumptions!E46/100</f>
        <v>-184.478827104</v>
      </c>
      <c r="F17" s="4" t="n">
        <f aca="false">-F6*Assumptions!F46/100</f>
        <v>-122.67842002416</v>
      </c>
      <c r="G17" s="4" t="n">
        <f aca="false">-G6*Assumptions!G46/100</f>
        <v>-269.892524053152</v>
      </c>
      <c r="H17" s="4" t="n">
        <f aca="false">-H6*Assumptions!H46/100</f>
        <v>-340.064580306972</v>
      </c>
      <c r="I17" s="4" t="n">
        <f aca="false">-I6*Assumptions!I46/100</f>
        <v>-335.206514874015</v>
      </c>
      <c r="J17" s="4" t="n">
        <f aca="false">-J6*Assumptions!J46/100</f>
        <v>-187.715648329448</v>
      </c>
      <c r="K17" s="4" t="n">
        <f aca="false">-K6*Assumptions!K46/100</f>
        <v>-161.122598149443</v>
      </c>
      <c r="L17" s="4" t="n">
        <f aca="false">-L6*Assumptions!L46/100</f>
        <v>-165.956276093926</v>
      </c>
    </row>
    <row r="18" customFormat="false" ht="15" hidden="false" customHeight="false" outlineLevel="0" collapsed="false">
      <c r="A18" s="0" t="s">
        <v>117</v>
      </c>
      <c r="C18" s="4" t="n">
        <f aca="false">(C6-B6)*Assumptions!$B$51/100</f>
        <v>17.127045</v>
      </c>
      <c r="D18" s="4" t="n">
        <f aca="false">(D6-C6)*Assumptions!$B$51/100</f>
        <v>-31.0570416</v>
      </c>
      <c r="E18" s="4" t="n">
        <f aca="false">(E6-D6)*Assumptions!$B$51/100</f>
        <v>-25.62205932</v>
      </c>
      <c r="F18" s="4" t="n">
        <f aca="false">(F6-E6)*Assumptions!$B$51/100</f>
        <v>-50.7316774536</v>
      </c>
      <c r="G18" s="4" t="n">
        <f aca="false">(G6-F6)*Assumptions!$B$51/100</f>
        <v>-20.44640333736</v>
      </c>
      <c r="H18" s="4" t="n">
        <f aca="false">(H6-G6)*Assumptions!$B$51/100</f>
        <v>-17.9928349368768</v>
      </c>
      <c r="I18" s="4" t="n">
        <f aca="false">(I6-H6)*Assumptions!$B$51/100</f>
        <v>-36.4354907471755</v>
      </c>
      <c r="J18" s="4" t="n">
        <f aca="false">(J6-I6)*Assumptions!$B$51/100</f>
        <v>-33.5206514874015</v>
      </c>
      <c r="K18" s="4" t="n">
        <f aca="false">(K6-J6)*Assumptions!$B$51/100</f>
        <v>-9.38578241647242</v>
      </c>
      <c r="L18" s="4" t="n">
        <f aca="false">(L6-K6)*Assumptions!$B$51/100</f>
        <v>-9.66735588896659</v>
      </c>
    </row>
    <row r="19" customFormat="false" ht="15" hidden="false" customHeight="false" outlineLevel="0" collapsed="false">
      <c r="A19" s="0" t="s">
        <v>118</v>
      </c>
      <c r="C19" s="0" t="n">
        <f aca="false">C15+C16+C17+C18</f>
        <v>16.35061896</v>
      </c>
      <c r="D19" s="0" t="n">
        <f aca="false">D15+D16+D17+D18</f>
        <v>114.988696524</v>
      </c>
      <c r="E19" s="0" t="n">
        <f aca="false">E15+E16+E17+E18</f>
        <v>306.070871812992</v>
      </c>
      <c r="F19" s="0" t="n">
        <f aca="false">F15+F16+F17+F18</f>
        <v>437.998701519316</v>
      </c>
      <c r="G19" s="0" t="n">
        <f aca="false">G15+G16+G17+G18</f>
        <v>357.178219900342</v>
      </c>
      <c r="H19" s="0" t="n">
        <f aca="false">H15+H16+H17+H18</f>
        <v>341.261103830274</v>
      </c>
      <c r="I19" s="0" t="n">
        <f aca="false">I15+I16+I17+I18</f>
        <v>408.551157748079</v>
      </c>
      <c r="J19" s="0" t="n">
        <f aca="false">J15+J16+J17+J18</f>
        <v>652.580043156732</v>
      </c>
      <c r="K19" s="0" t="n">
        <f aca="false">K15+K16+K17+K18</f>
        <v>729.522452696874</v>
      </c>
      <c r="L19" s="0" t="n">
        <f aca="false">L15+L16+L17+L18</f>
        <v>751.40812627778</v>
      </c>
    </row>
    <row r="20" customFormat="false" ht="15" hidden="false" customHeight="false" outlineLevel="0" collapsed="false">
      <c r="A20" s="0" t="s">
        <v>119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120</v>
      </c>
      <c r="C21" s="0" t="n">
        <f aca="false">C19*C20</f>
        <v>14.7302873513513</v>
      </c>
      <c r="D21" s="0" t="n">
        <f aca="false">D19*D20</f>
        <v>93.3274056683711</v>
      </c>
      <c r="E21" s="0" t="n">
        <f aca="false">E19*E20</f>
        <v>223.796383536928</v>
      </c>
      <c r="F21" s="0" t="n">
        <f aca="false">F19*F20</f>
        <v>288.523311326064</v>
      </c>
      <c r="G21" s="0" t="n">
        <f aca="false">G19*G20</f>
        <v>211.96788895345</v>
      </c>
      <c r="H21" s="0" t="n">
        <f aca="false">H19*H20</f>
        <v>182.452121876401</v>
      </c>
      <c r="I21" s="0" t="n">
        <f aca="false">I19*I20</f>
        <v>196.782101408538</v>
      </c>
      <c r="J21" s="0" t="n">
        <f aca="false">J19*J20</f>
        <v>283.171771681012</v>
      </c>
      <c r="K21" s="0" t="n">
        <f aca="false">K19*K20</f>
        <v>285.188398080624</v>
      </c>
      <c r="L21" s="0" t="n">
        <f aca="false">L19*L20</f>
        <v>264.634279300039</v>
      </c>
    </row>
    <row r="23" customFormat="false" ht="15" hidden="false" customHeight="false" outlineLevel="0" collapsed="false">
      <c r="A23" s="0" t="s">
        <v>96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122</v>
      </c>
    </row>
    <row r="27" customFormat="false" ht="15" hidden="false" customHeight="false" outlineLevel="0" collapsed="false">
      <c r="A27" s="0" t="s">
        <v>100</v>
      </c>
      <c r="B27" s="4" t="n">
        <f aca="false">Assumptions!$B$48</f>
        <v>11</v>
      </c>
    </row>
    <row r="28" customFormat="false" ht="15" hidden="false" customHeight="false" outlineLevel="0" collapsed="false">
      <c r="A28" s="0" t="s">
        <v>101</v>
      </c>
      <c r="B28" s="4" t="n">
        <f aca="false">Assumptions!$B$49</f>
        <v>2.5</v>
      </c>
    </row>
    <row r="29" customFormat="false" ht="15" hidden="false" customHeight="false" outlineLevel="0" collapsed="false">
      <c r="A29" s="0" t="s">
        <v>102</v>
      </c>
      <c r="B29" s="4" t="n">
        <f aca="false">Assumptions!$B$50</f>
        <v>14</v>
      </c>
    </row>
    <row r="30" customFormat="false" ht="15" hidden="false" customHeight="false" outlineLevel="0" collapsed="false">
      <c r="A30" s="0" t="s">
        <v>123</v>
      </c>
      <c r="B30" s="0" t="n">
        <f aca="false">SUM(C21:L21)</f>
        <v>2044.57394918278</v>
      </c>
    </row>
    <row r="31" customFormat="false" ht="15" hidden="false" customHeight="false" outlineLevel="0" collapsed="false">
      <c r="A31" s="0" t="s">
        <v>124</v>
      </c>
      <c r="B31" s="0" t="n">
        <f aca="false">L19</f>
        <v>751.40812627778</v>
      </c>
    </row>
    <row r="32" customFormat="false" ht="15" hidden="false" customHeight="false" outlineLevel="0" collapsed="false">
      <c r="A32" s="0" t="s">
        <v>125</v>
      </c>
      <c r="B32" s="0" t="n">
        <f aca="false">IF(B27&gt;B28,B31*(1+B28/100)/((B27-B28)/100),B31*B29)</f>
        <v>9061.0979933497</v>
      </c>
    </row>
    <row r="33" customFormat="false" ht="15" hidden="false" customHeight="false" outlineLevel="0" collapsed="false">
      <c r="A33" s="0" t="s">
        <v>126</v>
      </c>
      <c r="B33" s="0" t="n">
        <f aca="false">B31*B29</f>
        <v>10519.7137678889</v>
      </c>
    </row>
    <row r="34" customFormat="false" ht="15" hidden="false" customHeight="false" outlineLevel="0" collapsed="false">
      <c r="A34" s="0" t="s">
        <v>127</v>
      </c>
      <c r="B34" s="0" t="n">
        <f aca="false">MAX(0,MIN(B32,B33))</f>
        <v>9061.0979933497</v>
      </c>
    </row>
    <row r="35" customFormat="false" ht="15" hidden="false" customHeight="false" outlineLevel="0" collapsed="false">
      <c r="A35" s="0" t="s">
        <v>128</v>
      </c>
      <c r="B35" s="0" t="n">
        <f aca="false">B34/(1+B27/100)^L4</f>
        <v>3191.17807391223</v>
      </c>
    </row>
    <row r="36" customFormat="false" ht="15" hidden="false" customHeight="false" outlineLevel="0" collapsed="false">
      <c r="A36" s="0" t="s">
        <v>129</v>
      </c>
      <c r="B36" s="0" t="n">
        <f aca="false">B30+B35</f>
        <v>5235.75202309501</v>
      </c>
    </row>
    <row r="37" customFormat="false" ht="15" hidden="false" customHeight="false" outlineLevel="0" collapsed="false">
      <c r="A37" s="0" t="s">
        <v>130</v>
      </c>
      <c r="B37" s="0" t="n">
        <f aca="false">B36+Assumptions!$B$5-Assumptions!$B$4</f>
        <v>5867.74702309501</v>
      </c>
    </row>
    <row r="38" customFormat="false" ht="15" hidden="false" customHeight="false" outlineLevel="0" collapsed="false">
      <c r="A38" s="0" t="s">
        <v>131</v>
      </c>
      <c r="B38" s="0" t="n">
        <f aca="false">B37/Assumptions!$B$3*Assumptions!$B$10</f>
        <v>74.2061673943449</v>
      </c>
    </row>
    <row r="39" customFormat="false" ht="15" hidden="false" customHeight="false" outlineLevel="0" collapsed="false">
      <c r="A39" s="0" t="s">
        <v>132</v>
      </c>
      <c r="B39" s="4" t="n">
        <f aca="false">B38/Assumptions!$B$2-1</f>
        <v>2.3336103950739</v>
      </c>
    </row>
    <row r="41" customFormat="false" ht="15" hidden="false" customHeight="false" outlineLevel="0" collapsed="false">
      <c r="A41" s="0" t="s">
        <v>133</v>
      </c>
      <c r="B41" s="0" t="n">
        <f aca="false">SUMPRODUCT(-C10:L10/(1+$B$27/100)^C4:L4)</f>
        <v>76.7893591657536</v>
      </c>
    </row>
    <row r="42" customFormat="false" ht="15" hidden="false" customHeight="false" outlineLevel="0" collapsed="false">
      <c r="A42" s="0" t="s">
        <v>134</v>
      </c>
      <c r="B42" s="0" t="n">
        <f aca="false">IF(B27&gt;B28,-L10*(1+B28/100)/((B27-B28)/100),-L10*20)/(1+B27/100)^L4</f>
        <v>70.4804767180921</v>
      </c>
    </row>
    <row r="43" customFormat="false" ht="15" hidden="false" customHeight="false" outlineLevel="0" collapsed="false">
      <c r="A43" s="0" t="s">
        <v>135</v>
      </c>
      <c r="B43" s="0" t="n">
        <f aca="false">(B37+B41+B42)/Assumptions!$B$3*Assumptions!$B$10</f>
        <v>76.0686079615202</v>
      </c>
    </row>
    <row r="45" customFormat="false" ht="15" hidden="false" customHeight="false" outlineLevel="0" collapsed="false">
      <c r="A45" s="0" t="s">
        <v>76</v>
      </c>
      <c r="B45" s="4" t="n">
        <f aca="false">Assumptions!$B$6</f>
        <v>15</v>
      </c>
    </row>
    <row r="46" customFormat="false" ht="15" hidden="false" customHeight="false" outlineLevel="0" collapsed="false">
      <c r="A46" s="0" t="s">
        <v>136</v>
      </c>
      <c r="B46" s="0" t="n">
        <f aca="false">MAX(0,MIN(IF(B45&gt;B28,B31*(1+B28/100)/((B45-B28)/100),B31*B29),B31*B29))</f>
        <v>6161.5466354778</v>
      </c>
    </row>
    <row r="47" customFormat="false" ht="15" hidden="false" customHeight="false" outlineLevel="0" collapsed="false">
      <c r="A47" s="0" t="s">
        <v>137</v>
      </c>
      <c r="B47" s="0" t="n">
        <f aca="false">(SUMPRODUCT(C19:L19/(1+B45/100)^C4:L4)+B46/(1+B45/100)^L4+Assumptions!$B$5-Assumptions!$B$4)/Assumptions!$B$3*Assumptions!$B$10</f>
        <v>47.9682812086485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140</v>
      </c>
    </row>
    <row r="3" customFormat="false" ht="15" hidden="false" customHeight="false" outlineLevel="0" collapsed="false">
      <c r="A3" s="2" t="s">
        <v>141</v>
      </c>
      <c r="B3" s="2" t="s">
        <v>142</v>
      </c>
      <c r="C3" s="2" t="s">
        <v>132</v>
      </c>
      <c r="D3" s="2" t="s">
        <v>143</v>
      </c>
      <c r="E3" s="2" t="s">
        <v>135</v>
      </c>
      <c r="F3" s="2" t="s">
        <v>144</v>
      </c>
    </row>
    <row r="4" customFormat="false" ht="15" hidden="false" customHeight="false" outlineLevel="0" collapsed="false">
      <c r="A4" s="0" t="s">
        <v>145</v>
      </c>
      <c r="B4" s="4" t="n">
        <f aca="false">DCF_Bear!$B$38</f>
        <v>18.5245941541902</v>
      </c>
      <c r="C4" s="0" t="n">
        <f aca="false">B4/Assumptions!$B$2-1</f>
        <v>-0.167807989479327</v>
      </c>
      <c r="D4" s="4" t="n">
        <f aca="false">Assumptions!$B$24</f>
        <v>0.3</v>
      </c>
      <c r="E4" s="4" t="n">
        <f aca="false">DCF_Bear!$B$43</f>
        <v>19.5711644592522</v>
      </c>
      <c r="F4" s="4" t="n">
        <f aca="false">DCF_Bear!$B$47</f>
        <v>14.5111862458237</v>
      </c>
    </row>
    <row r="5" customFormat="false" ht="15" hidden="false" customHeight="false" outlineLevel="0" collapsed="false">
      <c r="A5" s="0" t="s">
        <v>146</v>
      </c>
      <c r="B5" s="4" t="n">
        <f aca="false">DCF_Base!$B$38</f>
        <v>49.8677089560339</v>
      </c>
      <c r="C5" s="0" t="n">
        <f aca="false">B5/Assumptions!$B$2-1</f>
        <v>1.24023849757565</v>
      </c>
      <c r="D5" s="4" t="n">
        <f aca="false">Assumptions!$B$38</f>
        <v>0.5</v>
      </c>
      <c r="E5" s="4" t="n">
        <f aca="false">DCF_Base!$B$43</f>
        <v>51.2117705548101</v>
      </c>
      <c r="F5" s="4" t="n">
        <f aca="false">DCF_Base!$B$47</f>
        <v>34.7737008832092</v>
      </c>
    </row>
    <row r="6" customFormat="false" ht="15" hidden="false" customHeight="false" outlineLevel="0" collapsed="false">
      <c r="A6" s="0" t="s">
        <v>147</v>
      </c>
      <c r="B6" s="4" t="n">
        <f aca="false">DCF_Bull!$B$38</f>
        <v>74.2061673943449</v>
      </c>
      <c r="C6" s="0" t="n">
        <f aca="false">B6/Assumptions!$B$2-1</f>
        <v>2.3336103950739</v>
      </c>
      <c r="D6" s="4" t="n">
        <f aca="false">Assumptions!$B$52</f>
        <v>0.2</v>
      </c>
      <c r="E6" s="4" t="n">
        <f aca="false">DCF_Bull!$B$43</f>
        <v>76.0686079615202</v>
      </c>
      <c r="F6" s="4" t="n">
        <f aca="false">DCF_Bull!$B$47</f>
        <v>47.9682812086485</v>
      </c>
    </row>
    <row r="8" customFormat="false" ht="15" hidden="false" customHeight="false" outlineLevel="0" collapsed="false">
      <c r="A8" s="0" t="s">
        <v>148</v>
      </c>
      <c r="B8" s="0" t="n">
        <f aca="false">SUMPRODUCT(B4:B6,D4:D6)</f>
        <v>45.332466203143</v>
      </c>
    </row>
    <row r="9" customFormat="false" ht="15" hidden="false" customHeight="false" outlineLevel="0" collapsed="false">
      <c r="A9" s="0" t="s">
        <v>149</v>
      </c>
      <c r="B9" s="0" t="n">
        <f aca="false">SUMPRODUCT(E4:E6,D4:D6)</f>
        <v>46.6909562074848</v>
      </c>
    </row>
    <row r="10" customFormat="false" ht="15" hidden="false" customHeight="false" outlineLevel="0" collapsed="false">
      <c r="A10" s="0" t="s">
        <v>150</v>
      </c>
      <c r="B10" s="0" t="n">
        <f aca="false">1-Assumptions!$B$2/B8</f>
        <v>0.508961195707975</v>
      </c>
    </row>
    <row r="11" customFormat="false" ht="15" hidden="false" customHeight="false" outlineLevel="0" collapsed="false">
      <c r="A11" s="0" t="s">
        <v>151</v>
      </c>
      <c r="B11" s="0" t="n">
        <f aca="false">IF(ABS(B9-B8)&gt;0.01*ABS(B8),(Assumptions!$B$2-B8)/(B9-B8)*100,"n/a")</f>
        <v>-1698.39057552158</v>
      </c>
    </row>
    <row r="12" customFormat="false" ht="15" hidden="false" customHeight="false" outlineLevel="0" collapsed="false">
      <c r="A12" s="0" t="s">
        <v>152</v>
      </c>
      <c r="B12" s="0" t="n">
        <f aca="false">SUMPRODUCT(F4:F6,D4:D6)</f>
        <v>31.3338625570814</v>
      </c>
    </row>
    <row r="14" customFormat="false" ht="15" hidden="false" customHeight="false" outlineLevel="0" collapsed="false">
      <c r="A14" s="2" t="s">
        <v>153</v>
      </c>
      <c r="C14" s="0" t="s">
        <v>154</v>
      </c>
    </row>
    <row r="15" customFormat="false" ht="15" hidden="false" customHeight="false" outlineLevel="0" collapsed="false">
      <c r="A15" s="0" t="s">
        <v>155</v>
      </c>
      <c r="B15" s="0" t="n">
        <f aca="false">(SUMPRODUCT(DCF_Base!$C$19:$L$19/(1+$C$15/100)^DCF_Base!$C$4:$L$4)+MAX(0,MIN(IF($C$15&gt;DCF_Base!$B$28,DCF_Base!$L$19*(1+DCF_Base!$B$28/100)/(($C$15-DCF_Base!$B$28)/100),DCF_Base!$L$19*DCF_Base!$B$29),DCF_Base!$L$19*DCF_Base!$B$29))/(1+$C$15/100)^DCF_Base!$L$4+Assumptions!$B$5-Assumptions!$B$4)/Assumptions!$B$3*Assumptions!$B$10</f>
        <v>58.1541932094096</v>
      </c>
      <c r="C15" s="3" t="n">
        <v>9</v>
      </c>
    </row>
    <row r="16" customFormat="false" ht="15" hidden="false" customHeight="false" outlineLevel="0" collapsed="false">
      <c r="A16" s="0" t="s">
        <v>156</v>
      </c>
      <c r="B16" s="0" t="n">
        <f aca="false">(SUMPRODUCT(DCF_Base!$C$19:$L$19/(1+$C$16/100)^DCF_Base!$C$4:$L$4)+MAX(0,MIN(IF($C$16&gt;DCF_Base!$B$28,DCF_Base!$L$19*(1+DCF_Base!$B$28/100)/(($C$16-DCF_Base!$B$28)/100),DCF_Base!$L$19*DCF_Base!$B$29),DCF_Base!$L$19*DCF_Base!$B$29))/(1+$C$16/100)^DCF_Base!$L$4+Assumptions!$B$5-Assumptions!$B$4)/Assumptions!$B$3*Assumptions!$B$10</f>
        <v>54.4937359626001</v>
      </c>
      <c r="C16" s="3" t="n">
        <v>10</v>
      </c>
    </row>
    <row r="17" customFormat="false" ht="15" hidden="false" customHeight="false" outlineLevel="0" collapsed="false">
      <c r="A17" s="0" t="s">
        <v>157</v>
      </c>
      <c r="B17" s="0" t="n">
        <f aca="false">(SUMPRODUCT(DCF_Base!$C$19:$L$19/(1+$C$17/100)^DCF_Base!$C$4:$L$4)+MAX(0,MIN(IF($C$17&gt;DCF_Base!$B$28,DCF_Base!$L$19*(1+DCF_Base!$B$28/100)/(($C$17-DCF_Base!$B$28)/100),DCF_Base!$L$19*DCF_Base!$B$29),DCF_Base!$L$19*DCF_Base!$B$29))/(1+$C$17/100)^DCF_Base!$L$4+Assumptions!$B$5-Assumptions!$B$4)/Assumptions!$B$3*Assumptions!$B$10</f>
        <v>49.8677089560339</v>
      </c>
      <c r="C17" s="3" t="n">
        <v>11</v>
      </c>
    </row>
    <row r="18" customFormat="false" ht="15" hidden="false" customHeight="false" outlineLevel="0" collapsed="false">
      <c r="A18" s="0" t="s">
        <v>158</v>
      </c>
      <c r="B18" s="0" t="n">
        <f aca="false">(SUMPRODUCT(DCF_Base!$C$19:$L$19/(1+$C$18/100)^DCF_Base!$C$4:$L$4)+MAX(0,MIN(IF($C$18&gt;DCF_Base!$B$28,DCF_Base!$L$19*(1+DCF_Base!$B$28/100)/(($C$18-DCF_Base!$B$28)/100),DCF_Base!$L$19*DCF_Base!$B$29),DCF_Base!$L$19*DCF_Base!$B$29))/(1+$C$18/100)^DCF_Base!$L$4+Assumptions!$B$5-Assumptions!$B$4)/Assumptions!$B$3*Assumptions!$B$10</f>
        <v>44.9273781279033</v>
      </c>
      <c r="C18" s="3" t="n">
        <v>12</v>
      </c>
    </row>
    <row r="19" customFormat="false" ht="15" hidden="false" customHeight="false" outlineLevel="0" collapsed="false">
      <c r="A19" s="0" t="s">
        <v>159</v>
      </c>
      <c r="B19" s="0" t="n">
        <f aca="false">(SUMPRODUCT(DCF_Base!$C$19:$L$19/(1+$C$19/100)^DCF_Base!$C$4:$L$4)+MAX(0,MIN(IF($C$19&gt;DCF_Base!$B$28,DCF_Base!$L$19*(1+DCF_Base!$B$28/100)/(($C$19-DCF_Base!$B$28)/100),DCF_Base!$L$19*DCF_Base!$B$29),DCF_Base!$L$19*DCF_Base!$B$29))/(1+$C$19/100)^DCF_Base!$L$4+Assumptions!$B$5-Assumptions!$B$4)/Assumptions!$B$3*Assumptions!$B$10</f>
        <v>34.7737008832092</v>
      </c>
      <c r="C19" s="3" t="n">
        <v>15</v>
      </c>
    </row>
    <row r="21" customFormat="false" ht="15" hidden="false" customHeight="false" outlineLevel="0" collapsed="false">
      <c r="A21" s="2" t="s">
        <v>160</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58.1541932094096</v>
      </c>
      <c r="C23" s="0" t="n">
        <f aca="false">(SUMPRODUCT(DCF_Base!$C$19:$L$19/(1+$A$23/100)^DCF_Base!$C$4:$L$4)+MAX(0,MIN(IF($A$23&gt;$C$22,DCF_Base!$L$19*(1+$C$22/100)/(($A$23-$C$22)/100),DCF_Base!$L$19*DCF_Base!$B$29),DCF_Base!$L$19*DCF_Base!$B$29))/(1+$A$23/100)^DCF_Base!$L$4+Assumptions!$B$5-Assumptions!$B$4)/Assumptions!$B$3*Assumptions!$B$10</f>
        <v>58.1541932094096</v>
      </c>
      <c r="D23" s="0" t="n">
        <f aca="false">(SUMPRODUCT(DCF_Base!$C$19:$L$19/(1+$A$23/100)^DCF_Base!$C$4:$L$4)+MAX(0,MIN(IF($A$23&gt;$D$22,DCF_Base!$L$19*(1+$D$22/100)/(($A$23-$D$22)/100),DCF_Base!$L$19*DCF_Base!$B$29),DCF_Base!$L$19*DCF_Base!$B$29))/(1+$A$23/100)^DCF_Base!$L$4+Assumptions!$B$5-Assumptions!$B$4)/Assumptions!$B$3*Assumptions!$B$10</f>
        <v>58.1541932094096</v>
      </c>
      <c r="E23" s="0" t="n">
        <f aca="false">(SUMPRODUCT(DCF_Base!$C$19:$L$19/(1+$A$23/100)^DCF_Base!$C$4:$L$4)+MAX(0,MIN(IF($A$23&gt;$E$22,DCF_Base!$L$19*(1+$E$22/100)/(($A$23-$E$22)/100),DCF_Base!$L$19*DCF_Base!$B$29),DCF_Base!$L$19*DCF_Base!$B$29))/(1+$A$23/100)^DCF_Base!$L$4+Assumptions!$B$5-Assumptions!$B$4)/Assumptions!$B$3*Assumptions!$B$10</f>
        <v>58.1541932094096</v>
      </c>
      <c r="F23" s="0" t="n">
        <f aca="false">(SUMPRODUCT(DCF_Base!$C$19:$L$19/(1+$A$23/100)^DCF_Base!$C$4:$L$4)+MAX(0,MIN(IF($A$23&gt;$F$22,DCF_Base!$L$19*(1+$F$22/100)/(($A$23-$F$22)/100),DCF_Base!$L$19*DCF_Base!$B$29),DCF_Base!$L$19*DCF_Base!$B$29))/(1+$A$23/100)^DCF_Base!$L$4+Assumptions!$B$5-Assumptions!$B$4)/Assumptions!$B$3*Assumptions!$B$10</f>
        <v>58.1541932094096</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52.8546407609408</v>
      </c>
      <c r="C24" s="0" t="n">
        <f aca="false">(SUMPRODUCT(DCF_Base!$C$19:$L$19/(1+$A$24/100)^DCF_Base!$C$4:$L$4)+MAX(0,MIN(IF($A$24&gt;$C$22,DCF_Base!$L$19*(1+$C$22/100)/(($A$24-$C$22)/100),DCF_Base!$L$19*DCF_Base!$B$29),DCF_Base!$L$19*DCF_Base!$B$29))/(1+$A$24/100)^DCF_Base!$L$4+Assumptions!$B$5-Assumptions!$B$4)/Assumptions!$B$3*Assumptions!$B$10</f>
        <v>54.3697707792813</v>
      </c>
      <c r="D24" s="0" t="n">
        <f aca="false">(SUMPRODUCT(DCF_Base!$C$19:$L$19/(1+$A$24/100)^DCF_Base!$C$4:$L$4)+MAX(0,MIN(IF($A$24&gt;$D$22,DCF_Base!$L$19*(1+$D$22/100)/(($A$24-$D$22)/100),DCF_Base!$L$19*DCF_Base!$B$29),DCF_Base!$L$19*DCF_Base!$B$29))/(1+$A$24/100)^DCF_Base!$L$4+Assumptions!$B$5-Assumptions!$B$4)/Assumptions!$B$3*Assumptions!$B$10</f>
        <v>54.4937359626001</v>
      </c>
      <c r="E24" s="0" t="n">
        <f aca="false">(SUMPRODUCT(DCF_Base!$C$19:$L$19/(1+$A$24/100)^DCF_Base!$C$4:$L$4)+MAX(0,MIN(IF($A$24&gt;$E$22,DCF_Base!$L$19*(1+$E$22/100)/(($A$24-$E$22)/100),DCF_Base!$L$19*DCF_Base!$B$29),DCF_Base!$L$19*DCF_Base!$B$29))/(1+$A$24/100)^DCF_Base!$L$4+Assumptions!$B$5-Assumptions!$B$4)/Assumptions!$B$3*Assumptions!$B$10</f>
        <v>54.4937359626001</v>
      </c>
      <c r="F24" s="0" t="n">
        <f aca="false">(SUMPRODUCT(DCF_Base!$C$19:$L$19/(1+$A$24/100)^DCF_Base!$C$4:$L$4)+MAX(0,MIN(IF($A$24&gt;$F$22,DCF_Base!$L$19*(1+$F$22/100)/(($A$24-$F$22)/100),DCF_Base!$L$19*DCF_Base!$B$29),DCF_Base!$L$19*DCF_Base!$B$29))/(1+$A$24/100)^DCF_Base!$L$4+Assumptions!$B$5-Assumptions!$B$4)/Assumptions!$B$3*Assumptions!$B$10</f>
        <v>54.4937359626001</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47.493460406207</v>
      </c>
      <c r="C25" s="0" t="n">
        <f aca="false">(SUMPRODUCT(DCF_Base!$C$19:$L$19/(1+$A$25/100)^DCF_Base!$C$4:$L$4)+MAX(0,MIN(IF($A$25&gt;$C$22,DCF_Base!$L$19*(1+$C$22/100)/(($A$25-$C$22)/100),DCF_Base!$L$19*DCF_Base!$B$29),DCF_Base!$L$19*DCF_Base!$B$29))/(1+$A$25/100)^DCF_Base!$L$4+Assumptions!$B$5-Assumptions!$B$4)/Assumptions!$B$3*Assumptions!$B$10</f>
        <v>48.618104456125</v>
      </c>
      <c r="D25" s="0" t="n">
        <f aca="false">(SUMPRODUCT(DCF_Base!$C$19:$L$19/(1+$A$25/100)^DCF_Base!$C$4:$L$4)+MAX(0,MIN(IF($A$25&gt;$D$22,DCF_Base!$L$19*(1+$D$22/100)/(($A$25-$D$22)/100),DCF_Base!$L$19*DCF_Base!$B$29),DCF_Base!$L$19*DCF_Base!$B$29))/(1+$A$25/100)^DCF_Base!$L$4+Assumptions!$B$5-Assumptions!$B$4)/Assumptions!$B$3*Assumptions!$B$10</f>
        <v>49.8677089560339</v>
      </c>
      <c r="E25" s="0" t="n">
        <f aca="false">(SUMPRODUCT(DCF_Base!$C$19:$L$19/(1+$A$25/100)^DCF_Base!$C$4:$L$4)+MAX(0,MIN(IF($A$25&gt;$E$22,DCF_Base!$L$19*(1+$E$22/100)/(($A$25-$E$22)/100),DCF_Base!$L$19*DCF_Base!$B$29),DCF_Base!$L$19*DCF_Base!$B$29))/(1+$A$25/100)^DCF_Base!$L$4+Assumptions!$B$5-Assumptions!$B$4)/Assumptions!$B$3*Assumptions!$B$10</f>
        <v>51.151086550535</v>
      </c>
      <c r="F25" s="0" t="n">
        <f aca="false">(SUMPRODUCT(DCF_Base!$C$19:$L$19/(1+$A$25/100)^DCF_Base!$C$4:$L$4)+MAX(0,MIN(IF($A$25&gt;$F$22,DCF_Base!$L$19*(1+$F$22/100)/(($A$25-$F$22)/100),DCF_Base!$L$19*DCF_Base!$B$29),DCF_Base!$L$19*DCF_Base!$B$29))/(1+$A$25/100)^DCF_Base!$L$4+Assumptions!$B$5-Assumptions!$B$4)/Assumptions!$B$3*Assumptions!$B$10</f>
        <v>51.151086550535</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43.1354499005658</v>
      </c>
      <c r="C26" s="0" t="n">
        <f aca="false">(SUMPRODUCT(DCF_Base!$C$19:$L$19/(1+$A$26/100)^DCF_Base!$C$4:$L$4)+MAX(0,MIN(IF($A$26&gt;$C$22,DCF_Base!$L$19*(1+$C$22/100)/(($A$26-$C$22)/100),DCF_Base!$L$19*DCF_Base!$B$29),DCF_Base!$L$19*DCF_Base!$B$29))/(1+$A$26/100)^DCF_Base!$L$4+Assumptions!$B$5-Assumptions!$B$4)/Assumptions!$B$3*Assumptions!$B$10</f>
        <v>43.9887490564408</v>
      </c>
      <c r="D26" s="0" t="n">
        <f aca="false">(SUMPRODUCT(DCF_Base!$C$19:$L$19/(1+$A$26/100)^DCF_Base!$C$4:$L$4)+MAX(0,MIN(IF($A$26&gt;$D$22,DCF_Base!$L$19*(1+$D$22/100)/(($A$26-$D$22)/100),DCF_Base!$L$19*DCF_Base!$B$29),DCF_Base!$L$19*DCF_Base!$B$29))/(1+$A$26/100)^DCF_Base!$L$4+Assumptions!$B$5-Assumptions!$B$4)/Assumptions!$B$3*Assumptions!$B$10</f>
        <v>44.9273781279033</v>
      </c>
      <c r="E26" s="0" t="n">
        <f aca="false">(SUMPRODUCT(DCF_Base!$C$19:$L$19/(1+$A$26/100)^DCF_Base!$C$4:$L$4)+MAX(0,MIN(IF($A$26&gt;$E$22,DCF_Base!$L$19*(1+$E$22/100)/(($A$26-$E$22)/100),DCF_Base!$L$19*DCF_Base!$B$29),DCF_Base!$L$19*DCF_Base!$B$29))/(1+$A$26/100)^DCF_Base!$L$4+Assumptions!$B$5-Assumptions!$B$4)/Assumptions!$B$3*Assumptions!$B$10</f>
        <v>45.9648102595198</v>
      </c>
      <c r="F26" s="0" t="n">
        <f aca="false">(SUMPRODUCT(DCF_Base!$C$19:$L$19/(1+$A$26/100)^DCF_Base!$C$4:$L$4)+MAX(0,MIN(IF($A$26&gt;$F$22,DCF_Base!$L$19*(1+$F$22/100)/(($A$26-$F$22)/100),DCF_Base!$L$19*DCF_Base!$B$29),DCF_Base!$L$19*DCF_Base!$B$29))/(1+$A$26/100)^DCF_Base!$L$4+Assumptions!$B$5-Assumptions!$B$4)/Assumptions!$B$3*Assumptions!$B$10</f>
        <v>47.1175126279825</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39.5285125804745</v>
      </c>
      <c r="C27" s="0" t="n">
        <f aca="false">(SUMPRODUCT(DCF_Base!$C$19:$L$19/(1+$A$27/100)^DCF_Base!$C$4:$L$4)+MAX(0,MIN(IF($A$27&gt;$C$22,DCF_Base!$L$19*(1+$C$22/100)/(($A$27-$C$22)/100),DCF_Base!$L$19*DCF_Base!$B$29),DCF_Base!$L$19*DCF_Base!$B$29))/(1+$A$27/100)^DCF_Base!$L$4+Assumptions!$B$5-Assumptions!$B$4)/Assumptions!$B$3*Assumptions!$B$10</f>
        <v>40.1877781977056</v>
      </c>
      <c r="D27" s="0" t="n">
        <f aca="false">(SUMPRODUCT(DCF_Base!$C$19:$L$19/(1+$A$27/100)^DCF_Base!$C$4:$L$4)+MAX(0,MIN(IF($A$27&gt;$D$22,DCF_Base!$L$19*(1+$D$22/100)/(($A$27-$D$22)/100),DCF_Base!$L$19*DCF_Base!$B$29),DCF_Base!$L$19*DCF_Base!$B$29))/(1+$A$27/100)^DCF_Base!$L$4+Assumptions!$B$5-Assumptions!$B$4)/Assumptions!$B$3*Assumptions!$B$10</f>
        <v>40.9069770528667</v>
      </c>
      <c r="E27" s="0" t="n">
        <f aca="false">(SUMPRODUCT(DCF_Base!$C$19:$L$19/(1+$A$27/100)^DCF_Base!$C$4:$L$4)+MAX(0,MIN(IF($A$27&gt;$E$22,DCF_Base!$L$19*(1+$E$22/100)/(($A$27-$E$22)/100),DCF_Base!$L$19*DCF_Base!$B$29),DCF_Base!$L$19*DCF_Base!$B$29))/(1+$A$27/100)^DCF_Base!$L$4+Assumptions!$B$5-Assumptions!$B$4)/Assumptions!$B$3*Assumptions!$B$10</f>
        <v>41.6946710370909</v>
      </c>
      <c r="F27" s="0" t="n">
        <f aca="false">(SUMPRODUCT(DCF_Base!$C$19:$L$19/(1+$A$27/100)^DCF_Base!$C$4:$L$4)+MAX(0,MIN(IF($A$27&gt;$F$22,DCF_Base!$L$19*(1+$F$22/100)/(($A$27-$F$22)/100),DCF_Base!$L$19*DCF_Base!$B$29),DCF_Base!$L$19*DCF_Base!$B$29))/(1+$A$27/100)^DCF_Base!$L$4+Assumptions!$B$5-Assumptions!$B$4)/Assumptions!$B$3*Assumptions!$B$10</f>
        <v>42.5611344197374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2026-10-22T02:50:59Z</dcterms:created>
  <dc:creator>openpyxl</dc:creator>
  <dc:description/>
  <dc:language>en-NZ</dc:language>
  <cp:lastModifiedBy/>
  <dcterms:modified xsi:type="dcterms:W3CDTF">2026-10-22T02:50:59Z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