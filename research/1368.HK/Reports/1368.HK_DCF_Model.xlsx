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<sst xmlns="http://schemas.openxmlformats.org/spreadsheetml/2006/main" count="354" uniqueCount="164">
  <si>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</si>
  <si>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1368.HK</t>
  </si>
  <si>
    <t xml:space="preserve">Company</t>
  </si>
  <si>
    <t xml:space="preserve">Xtep International Holdings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</si>
  <si>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</si>
  <si>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</si>
  <si>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</si>
  <si>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</si>
  <si>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2026-10-16T08:08:14Z (HKEX regular close 16:08 HKT;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</si>
  <si>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</si>
  <si>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</si>
  <si>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</si>
  <si>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</si>
  <si>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</si>
  <si>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</si>
  <si>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</si>
  <si>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</si>
  <si>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</si>
  <si>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</si>
  <si>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</si>
  <si>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</si>
  <si>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</si>
  <si>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2026-10-16T10:56:13Z</t>
  </si>
  <si>
    <t xml:space="preserve">Drivers file</t>
  </si>
  <si>
    <t xml:space="preserve">1368.HK_Drivers.json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</si>
  <si>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</si>
  <si>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</si>
  <si>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</si>
  <si>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Xtep is valued as a mature Chinese mass-market sportswear wholesaler with a small premium-running growth engine, on fully SBC-expensed owner FCF with leases charged as operating cost, convertibles treated as converted, and every stripped income stream matched by its asset in the bridge. Roughly a third of the equity value is net cash and non-operating assets (deposits, associates, FVOCI stakes, the Ding-family KP receivable at a 30% haircut); the operating business is capitalised at a 13x terminal multiple, deliberately below the house 20x, because the core brand is ex-growth. The scenario weights, not the discount rate, carry the competitive and execution risk.
key_risks_to_valuation: Core Xtep brand (87% of revenue) keeps declining faster than the guided 'slight' FY2026 drop; each 1pp of sustained adjusted EBITDA margin is worth roughly RMB100m of annual owner FCF.; Working capital: receivable days of 120-127 and inventory days of 105 are modelled as scaling with revenue CHANGE only; a structural stretch from distributor support would turn the base case's near-zero working-capital line into a recurring outflow.; The KP Convertible Bond (RMB1.02bn, ~RMB0.24/share at 70%) is a related-party receivable from a loss-making business; full write-off would remove ~HK$0.28/share.; Subsidy income (RMB301m, 2.1% of revenue, ~13% of adjusted EBITDA) is treated as recurring operating income; a policy change would cut the margin anchor by ~2pp.; Convertible dilution: if the share price stays below HK$5.23 to maturity the CBs are repaid in cash (2024 CB redeemable 2030, 2021 CB 2027, 2026 CB at 104.59% in 2029) -- the if-converted treatment then overstates the count and understates net debt by RMB1.27bn, which roughly offset each other near the strikes.; CNY/HKD rate: all values are RMB converted at 1.1727; a 5% RMB depreciation against the HKD peg cuts every HKD figure by 5%.; WACC built in CNY at 9.5%; the sensitivity grid shows the exposure if an HKD/USD-based investor demands more.</t>
  </si>
  <si>
    <t xml:space="preserve">Data sources</t>
  </si>
  <si>
    <t xml:space="preserve">price: Yahoo Finance chart API at inputs.price_as_of; 52-week range 3.275-6.05 HKD; FX from Yahoo CNYHKD=X and HKDCNY=X at the same timestamp.
financials: 1368.HK_Metrics.csv (RMB millions, FY2018-FY2025 plus H1 FY2024-FY2026) derived from core_metrics; component lines read from 1368.HK_Annual_FY2025.txt (cash flow statement 5255-5330, note 5 other income 7332-7352, note 31 KP CB 8981-8995, CB terms 4385-4484, segment tables 1296-1302 and 1517-1522) and 1368.HK_HalfYear_H1-2026.txt (net cash table 1304-1319, balance sheet 1990-2060, EPS note 2626-2680, notes 21-22 3065-3124, 2026 CB 1442-1471).
qualitative: 1368.HK_Analysis.json (2026-10-16): H1 FY2026 results, August guidance of a slight FY2026 revenue decline, DTC conversion plan (300-400 stores), Saucony deceleration, competitive position among Anta / Li Ning / 361 Degrees.</t>
  </si>
  <si>
    <t xml:space="preserve">Scenario narrative: bear</t>
  </si>
  <si>
    <t xml:space="preserve">Core brand decline persists (-3%/yr near term), discounting and channel costs take the margin to 12%, receivables keep absorbing cash; an earnings-power downgrade on a net-cash balance sheet.</t>
  </si>
  <si>
    <t xml:space="preserve">Scenario narrative: base</t>
  </si>
  <si>
    <t xml:space="preserve">Guided FY2026 decline (-1.5%) with margins ~1.5pp below FY2025 as DTC transition costs and platform fees bite, then a slow recovery to the FY2025 margin level by FY2030 and 2-3% growth carried by Saucony/Merrell while the core brand drifts flat. Value rests on RMB3.6bn net cash plus a ~RMB1.3bn/yr normalised owner FCF capitalised at 13x.</t>
  </si>
  <si>
    <t xml:space="preserve">Scenario narrative: bull</t>
  </si>
  <si>
    <t xml:space="preserve">Core brand stabilises, Saucony scales to ~18% of revenue with a maturing margin, DTC conversion lifts gross-margin retention and shortens the receivables cycle; group adjusted EBITDA margin 16.5%, growth 3-5.5% through FY2031.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</si>
  <si>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</si>
  <si>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</si>
  <si>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</si>
  <si>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</si>
  <si>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</si>
  <si>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</si>
  <si>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</si>
  <si>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</si>
  <si>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</si>
  <si>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</si>
  <si>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</si>
  <si>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</si>
  <si>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</si>
  <si>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</si>
  <si>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</si>
  <si>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</si>
  <si>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</si>
  <si>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</si>
  <si>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</si>
  <si>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</si>
  <si>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</si>
  <si>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</si>
  <si>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</si>
  <si>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</si>
  <si>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</si>
  <si>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</si>
  <si>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</si>
  <si>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</si>
  <si>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</si>
  <si>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</si>
  <si>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</si>
  <si>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</si>
  <si>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</si>
  <si>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</si>
  <si>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</si>
  <si>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</si>
  <si>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</si>
  <si>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</si>
  <si>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</si>
  <si>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</si>
  <si>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</si>
  <si>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</si>
  <si>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</si>
  <si>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</si>
  <si>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</si>
  <si>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</si>
  <si>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</si>
  <si>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</si>
  <si>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</si>
  <si>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</si>
  <si>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</si>
  <si>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</si>
  <si>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</si>
  <si>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</si>
  <si>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</si>
  <si>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</si>
  <si>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</si>
  <si>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</si>
  <si>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</si>
  <si>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</si>
  <si>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</si>
  <si>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</si>
  <si>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</si>
  <si>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</si>
  <si>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</si>
  <si>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</si>
  <si>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</si>
  <si>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</si>
  <si>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</si>
  <si>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</si>
  <si>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</si>
  <si>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</si>
  <si>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1368.HK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</si>
  <si>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</si>
  <si>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</si>
  <si>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</si>
  <si>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</si>
  <si>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</si>
  <si>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</si>
  <si>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</si>
  <si>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</si>
  <si>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</si>
  <si>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</si>
  <si>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</si>
  <si>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</si>
  <si>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</si>
  <si>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</si>
  <si>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</si>
  <si>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</si>
  <si>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</si>
  <si>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</si>
  <si>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</si>
  <si>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</si>
  <si>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</si>
  <si>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</si>
  <si>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</si>
  <si>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</si>
  <si>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</si>
  <si>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</si>
  <si>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</si>
  <si>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</si>
  <si>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</si>
  <si>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</si>
  <si>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1368.HK owner-FCF component DCF: base case (millions, CNY)</t>
  </si>
  <si>
    <t xml:space="preserve">1368.HK owner-FCF component DCF: bull case (millions, CNY)</t>
  </si>
  <si>
    <t xml:space="preserve">1368.HK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</si>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</sst>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3.645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6383.165</v>
      </c>
      <c r="C2" s="0" t="n">
        <v>3554.827</v>
      </c>
      <c r="D2" s="0" t="n">
        <v>2828.338</v>
      </c>
      <c r="E2" s="0" t="n">
        <v>44.3093</v>
      </c>
      <c r="F2" s="0" t="n">
        <v>1044.304</v>
      </c>
      <c r="G2" s="0" t="n">
        <v>16.3603</v>
      </c>
      <c r="H2" s="0" t="n">
        <v>1135.929</v>
      </c>
      <c r="I2" s="0" t="n">
        <v>656.518</v>
      </c>
      <c r="J2" s="0" t="n">
        <v>10.2851</v>
      </c>
      <c r="K2" s="0" t="n">
        <v>0.295</v>
      </c>
      <c r="L2" s="0" t="n">
        <v>154.409</v>
      </c>
      <c r="M2" s="0" t="n">
        <v>74.57</v>
      </c>
      <c r="N2" s="0" t="n">
        <v>79.839</v>
      </c>
      <c r="O2" s="0" t="n">
        <v>5330.966</v>
      </c>
      <c r="P2" s="0" t="n">
        <v>9198.595</v>
      </c>
      <c r="Q2" s="0" t="n">
        <v>3867.629</v>
      </c>
      <c r="R2" s="0" t="n">
        <v>1943.65</v>
      </c>
      <c r="S2" s="0" t="n">
        <v>3195.809</v>
      </c>
      <c r="T2" s="0" t="n">
        <v>2225.372</v>
      </c>
      <c r="U2" s="0" t="n">
        <v>32.68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8182.721</v>
      </c>
      <c r="C3" s="0" t="n">
        <v>4632.296</v>
      </c>
      <c r="D3" s="0" t="n">
        <v>3550.425</v>
      </c>
      <c r="E3" s="0" t="n">
        <v>43.3893</v>
      </c>
      <c r="F3" s="0" t="n">
        <v>1234.001</v>
      </c>
      <c r="G3" s="0" t="n">
        <v>15.0806</v>
      </c>
      <c r="H3" s="0" t="n">
        <v>1370.472</v>
      </c>
      <c r="I3" s="0" t="n">
        <v>727.652</v>
      </c>
      <c r="J3" s="0" t="n">
        <v>8.8925</v>
      </c>
      <c r="K3" s="0" t="n">
        <v>0.3019</v>
      </c>
      <c r="L3" s="0" t="n">
        <v>778.076</v>
      </c>
      <c r="M3" s="0" t="n">
        <v>99.815</v>
      </c>
      <c r="N3" s="0" t="n">
        <v>678.261</v>
      </c>
      <c r="O3" s="0" t="n">
        <v>6960.238</v>
      </c>
      <c r="P3" s="0" t="n">
        <v>12322.583</v>
      </c>
      <c r="Q3" s="0" t="n">
        <v>5362.345</v>
      </c>
      <c r="R3" s="0" t="n">
        <v>2354.865</v>
      </c>
      <c r="S3" s="0" t="n">
        <v>2969.504</v>
      </c>
      <c r="T3" s="0" t="n">
        <v>2410.501</v>
      </c>
      <c r="U3" s="0" t="n">
        <v>24.327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8171.923</v>
      </c>
      <c r="C4" s="0" t="n">
        <v>4973.498</v>
      </c>
      <c r="D4" s="0" t="n">
        <v>3198.425</v>
      </c>
      <c r="E4" s="0" t="n">
        <v>39.1392</v>
      </c>
      <c r="F4" s="0" t="n">
        <v>918.186</v>
      </c>
      <c r="G4" s="0" t="n">
        <v>11.2359</v>
      </c>
      <c r="H4" s="0" t="n">
        <v>1083.806</v>
      </c>
      <c r="I4" s="0" t="n">
        <v>513.03</v>
      </c>
      <c r="J4" s="0" t="n">
        <v>6.278</v>
      </c>
      <c r="K4" s="0" t="n">
        <v>0.2064</v>
      </c>
      <c r="L4" s="0" t="n">
        <v>320.107</v>
      </c>
      <c r="M4" s="0" t="n">
        <v>211.041</v>
      </c>
      <c r="N4" s="0" t="n">
        <v>109.066</v>
      </c>
      <c r="O4" s="0" t="n">
        <v>7298.725</v>
      </c>
      <c r="P4" s="0" t="n">
        <v>12571.689</v>
      </c>
      <c r="Q4" s="0" t="n">
        <v>5272.964</v>
      </c>
      <c r="R4" s="0" t="n">
        <v>2157.842</v>
      </c>
      <c r="S4" s="0" t="n">
        <v>3471.951</v>
      </c>
      <c r="T4" s="0" t="n">
        <v>2486.061</v>
      </c>
      <c r="U4" s="0" t="n">
        <v>15.922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10013.239</v>
      </c>
      <c r="C5" s="0" t="n">
        <v>5835.321</v>
      </c>
      <c r="D5" s="0" t="n">
        <v>4177.918</v>
      </c>
      <c r="E5" s="0" t="n">
        <v>41.7239</v>
      </c>
      <c r="F5" s="0" t="n">
        <v>1396.166</v>
      </c>
      <c r="G5" s="0" t="n">
        <v>13.9432</v>
      </c>
      <c r="H5" s="0" t="n">
        <v>1565.567</v>
      </c>
      <c r="I5" s="0" t="n">
        <v>908.339</v>
      </c>
      <c r="J5" s="0" t="n">
        <v>9.0714</v>
      </c>
      <c r="K5" s="0" t="n">
        <v>0.3551</v>
      </c>
      <c r="L5" s="0" t="n">
        <v>701.347</v>
      </c>
      <c r="M5" s="0" t="n">
        <v>664.603</v>
      </c>
      <c r="N5" s="0" t="n">
        <v>36.744</v>
      </c>
      <c r="O5" s="0" t="n">
        <v>7982.439</v>
      </c>
      <c r="P5" s="0" t="n">
        <v>14615.496</v>
      </c>
      <c r="Q5" s="0" t="n">
        <v>6633.057</v>
      </c>
      <c r="R5" s="0" t="n">
        <v>2537.709</v>
      </c>
      <c r="S5" s="0" t="n">
        <v>3929.792</v>
      </c>
      <c r="T5" s="0" t="n">
        <v>2557.672</v>
      </c>
      <c r="U5" s="0" t="n">
        <v>49.23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12930.385</v>
      </c>
      <c r="C6" s="0" t="n">
        <v>7638.676</v>
      </c>
      <c r="D6" s="0" t="n">
        <v>5291.709</v>
      </c>
      <c r="E6" s="0" t="n">
        <v>40.9246</v>
      </c>
      <c r="F6" s="0" t="n">
        <v>1464.284</v>
      </c>
      <c r="G6" s="0" t="n">
        <v>11.3244</v>
      </c>
      <c r="H6" s="0" t="n">
        <v>1705.508</v>
      </c>
      <c r="I6" s="0" t="n">
        <v>921.694</v>
      </c>
      <c r="J6" s="0" t="n">
        <v>7.1281</v>
      </c>
      <c r="K6" s="0" t="n">
        <v>0.3571</v>
      </c>
      <c r="L6" s="0" t="n">
        <v>571.832</v>
      </c>
      <c r="M6" s="0" t="n">
        <v>369.645</v>
      </c>
      <c r="N6" s="0" t="n">
        <v>202.187</v>
      </c>
      <c r="O6" s="0" t="n">
        <v>8306.702</v>
      </c>
      <c r="P6" s="0" t="n">
        <v>16493.517</v>
      </c>
      <c r="Q6" s="0" t="n">
        <v>8186.815</v>
      </c>
      <c r="R6" s="0" t="n">
        <v>3235.757</v>
      </c>
      <c r="S6" s="0" t="n">
        <v>3414.156</v>
      </c>
      <c r="T6" s="0" t="n">
        <v>2580.77</v>
      </c>
      <c r="U6" s="0" t="n">
        <v>53.355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14345.508</v>
      </c>
      <c r="C7" s="0" t="n">
        <v>8295.833</v>
      </c>
      <c r="D7" s="0" t="n">
        <v>6049.675</v>
      </c>
      <c r="E7" s="0" t="n">
        <v>42.1712</v>
      </c>
      <c r="F7" s="0" t="n">
        <v>1579.902</v>
      </c>
      <c r="G7" s="0" t="n">
        <v>11.0132</v>
      </c>
      <c r="H7" s="0" t="n">
        <v>1884.946</v>
      </c>
      <c r="I7" s="0" t="n">
        <v>1030.009</v>
      </c>
      <c r="J7" s="0" t="n">
        <v>7.18</v>
      </c>
      <c r="K7" s="0" t="n">
        <v>0.3958</v>
      </c>
      <c r="L7" s="0" t="n">
        <v>1254.932</v>
      </c>
      <c r="M7" s="0" t="n">
        <v>495.721</v>
      </c>
      <c r="N7" s="0" t="n">
        <v>759.211</v>
      </c>
      <c r="O7" s="0" t="n">
        <v>8923.286</v>
      </c>
      <c r="P7" s="0" t="n">
        <v>17325.47</v>
      </c>
      <c r="Q7" s="0" t="n">
        <v>8402.184</v>
      </c>
      <c r="R7" s="0" t="n">
        <v>3524.165</v>
      </c>
      <c r="S7" s="0" t="n">
        <v>3294.627</v>
      </c>
      <c r="T7" s="0" t="n">
        <v>2636.148</v>
      </c>
      <c r="U7" s="0" t="n">
        <v>47.149</v>
      </c>
      <c r="X7" s="0" t="n">
        <v>12742.875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13577.222</v>
      </c>
      <c r="C8" s="0" t="n">
        <v>7711.818</v>
      </c>
      <c r="D8" s="0" t="n">
        <v>5865.404</v>
      </c>
      <c r="E8" s="0" t="n">
        <v>43.2003</v>
      </c>
      <c r="F8" s="0" t="n">
        <v>1965.539</v>
      </c>
      <c r="G8" s="0" t="n">
        <v>14.4767</v>
      </c>
      <c r="H8" s="0" t="n">
        <v>2340.567</v>
      </c>
      <c r="I8" s="0" t="n">
        <v>1238.402</v>
      </c>
      <c r="J8" s="0" t="n">
        <v>9.1212</v>
      </c>
      <c r="K8" s="0" t="n">
        <v>0.4748</v>
      </c>
      <c r="L8" s="0" t="n">
        <v>1228.079</v>
      </c>
      <c r="M8" s="0" t="n">
        <v>398.519</v>
      </c>
      <c r="N8" s="0" t="n">
        <v>829.56</v>
      </c>
      <c r="O8" s="0" t="n">
        <v>8702.568</v>
      </c>
      <c r="P8" s="0" t="n">
        <v>15968.142</v>
      </c>
      <c r="Q8" s="0" t="n">
        <v>7265.574</v>
      </c>
      <c r="R8" s="0" t="n">
        <v>2884.793</v>
      </c>
      <c r="S8" s="0" t="n">
        <v>2979.194</v>
      </c>
      <c r="T8" s="0" t="n">
        <v>2655.487</v>
      </c>
      <c r="U8" s="0" t="n">
        <v>6.636</v>
      </c>
      <c r="X8" s="0" t="n">
        <v>13577.222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14151.086</v>
      </c>
      <c r="C9" s="0" t="n">
        <v>8088.044</v>
      </c>
      <c r="D9" s="0" t="n">
        <v>6063.042</v>
      </c>
      <c r="E9" s="0" t="n">
        <v>42.8451</v>
      </c>
      <c r="F9" s="0" t="n">
        <v>2018.804</v>
      </c>
      <c r="G9" s="0" t="n">
        <v>14.2661</v>
      </c>
      <c r="H9" s="0" t="n">
        <v>2316.32</v>
      </c>
      <c r="I9" s="0" t="n">
        <v>1371.571</v>
      </c>
      <c r="J9" s="0" t="n">
        <v>9.6923</v>
      </c>
      <c r="K9" s="0" t="n">
        <v>0.4818</v>
      </c>
      <c r="L9" s="0" t="n">
        <v>952.413</v>
      </c>
      <c r="M9" s="0" t="n">
        <v>277.148</v>
      </c>
      <c r="N9" s="0" t="n">
        <v>675.265</v>
      </c>
      <c r="O9" s="0" t="n">
        <v>10202.523</v>
      </c>
      <c r="P9" s="0" t="n">
        <v>16898.876</v>
      </c>
      <c r="Q9" s="0" t="n">
        <v>6696.353</v>
      </c>
      <c r="R9" s="0" t="n">
        <v>2431.139</v>
      </c>
      <c r="S9" s="0" t="n">
        <v>3457.11</v>
      </c>
      <c r="T9" s="0" t="n">
        <v>2944.42</v>
      </c>
      <c r="U9" s="0" t="n">
        <v>33.247</v>
      </c>
      <c r="X9" s="0" t="n">
        <v>14151.086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3.645</v>
      </c>
    </row>
    <row r="3" customFormat="false" ht="15" hidden="false" customHeight="false" outlineLevel="0" collapsed="false">
      <c r="A3" s="0" t="s">
        <v>75</v>
      </c>
      <c r="B3" s="3" t="n">
        <v>2990.8</v>
      </c>
    </row>
    <row r="4" customFormat="false" ht="15" hidden="false" customHeight="false" outlineLevel="0" collapsed="false">
      <c r="A4" s="0" t="s">
        <v>76</v>
      </c>
      <c r="B4" s="3" t="n">
        <v>-3597.8</v>
      </c>
    </row>
    <row r="5" customFormat="false" ht="15" hidden="false" customHeight="false" outlineLevel="0" collapsed="false">
      <c r="A5" s="0" t="s">
        <v>77</v>
      </c>
      <c r="B5" s="3" t="n">
        <v>1680.3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14151.086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1.1727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-3</v>
      </c>
      <c r="D13" s="3" t="n">
        <v>-3</v>
      </c>
      <c r="E13" s="3" t="n">
        <v>-1.5</v>
      </c>
      <c r="F13" s="3" t="n">
        <v>-0.5</v>
      </c>
      <c r="G13" s="3" t="n">
        <v>0.5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96</v>
      </c>
      <c r="C14" s="3" t="n">
        <v>13.5</v>
      </c>
      <c r="D14" s="3" t="n">
        <v>12.5</v>
      </c>
      <c r="E14" s="3" t="n">
        <v>12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97</v>
      </c>
      <c r="C15" s="3" t="n">
        <v>0.6</v>
      </c>
      <c r="D15" s="3" t="n">
        <v>0.6</v>
      </c>
      <c r="E15" s="3" t="n">
        <v>0.6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98</v>
      </c>
      <c r="C16" s="3" t="n">
        <v>1.4</v>
      </c>
      <c r="D16" s="3" t="n">
        <v>1.5</v>
      </c>
      <c r="E16" s="3" t="n">
        <v>1.6</v>
      </c>
      <c r="F16" s="3" t="n">
        <v>1.6</v>
      </c>
      <c r="G16" s="3" t="n">
        <v>1.6</v>
      </c>
      <c r="H16" s="3" t="n">
        <v>1.6</v>
      </c>
      <c r="I16" s="3" t="n">
        <v>1.6</v>
      </c>
      <c r="J16" s="3" t="n">
        <v>1.6</v>
      </c>
      <c r="K16" s="3" t="n">
        <v>1.6</v>
      </c>
      <c r="L16" s="3" t="n">
        <v>1.6</v>
      </c>
    </row>
    <row r="17" customFormat="false" ht="15" hidden="false" customHeight="false" outlineLevel="0" collapsed="false">
      <c r="A17" s="0" t="s">
        <v>99</v>
      </c>
      <c r="C17" s="3" t="n">
        <v>1.2</v>
      </c>
      <c r="D17" s="3" t="n">
        <v>1.3</v>
      </c>
      <c r="E17" s="3" t="n">
        <v>1.3</v>
      </c>
      <c r="F17" s="3" t="n">
        <v>1.3</v>
      </c>
      <c r="G17" s="3" t="n">
        <v>1.3</v>
      </c>
      <c r="H17" s="3" t="n">
        <v>1.3</v>
      </c>
      <c r="I17" s="3" t="n">
        <v>1.3</v>
      </c>
      <c r="J17" s="3" t="n">
        <v>1.3</v>
      </c>
      <c r="K17" s="3" t="n">
        <v>1.3</v>
      </c>
      <c r="L17" s="3" t="n">
        <v>1.3</v>
      </c>
    </row>
    <row r="18" customFormat="false" ht="15" hidden="false" customHeight="false" outlineLevel="0" collapsed="false">
      <c r="A18" s="0" t="s">
        <v>100</v>
      </c>
      <c r="C18" s="3" t="n">
        <v>1.8</v>
      </c>
      <c r="D18" s="3" t="n">
        <v>1.8</v>
      </c>
      <c r="E18" s="3" t="n">
        <v>1.8</v>
      </c>
      <c r="F18" s="3" t="n">
        <v>1.7</v>
      </c>
      <c r="G18" s="3" t="n">
        <v>1.7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101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11</v>
      </c>
    </row>
    <row r="23" customFormat="false" ht="15" hidden="false" customHeight="false" outlineLevel="0" collapsed="false">
      <c r="A23" s="0" t="s">
        <v>105</v>
      </c>
      <c r="B23" s="3" t="n">
        <v>-40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-1.5</v>
      </c>
      <c r="D27" s="3" t="n">
        <v>1</v>
      </c>
      <c r="E27" s="3" t="n">
        <v>2.5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14.3</v>
      </c>
      <c r="D28" s="3" t="n">
        <v>14.3</v>
      </c>
      <c r="E28" s="3" t="n">
        <v>14.6</v>
      </c>
      <c r="F28" s="3" t="n">
        <v>14.8</v>
      </c>
      <c r="G28" s="3" t="n">
        <v>15</v>
      </c>
      <c r="H28" s="3" t="n">
        <v>15</v>
      </c>
      <c r="I28" s="3" t="n">
        <v>15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97</v>
      </c>
      <c r="C29" s="3" t="n">
        <v>0.55</v>
      </c>
      <c r="D29" s="3" t="n">
        <v>0.5</v>
      </c>
      <c r="E29" s="3" t="n">
        <v>0.5</v>
      </c>
      <c r="F29" s="3" t="n">
        <v>0.45</v>
      </c>
      <c r="G29" s="3" t="n">
        <v>0.45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98</v>
      </c>
      <c r="C30" s="3" t="n">
        <v>1.3</v>
      </c>
      <c r="D30" s="3" t="n">
        <v>1.4</v>
      </c>
      <c r="E30" s="3" t="n">
        <v>1.5</v>
      </c>
      <c r="F30" s="3" t="n">
        <v>1.5</v>
      </c>
      <c r="G30" s="3" t="n">
        <v>1.5</v>
      </c>
      <c r="H30" s="3" t="n">
        <v>1.5</v>
      </c>
      <c r="I30" s="3" t="n">
        <v>1.5</v>
      </c>
      <c r="J30" s="3" t="n">
        <v>1.5</v>
      </c>
      <c r="K30" s="3" t="n">
        <v>1.5</v>
      </c>
      <c r="L30" s="3" t="n">
        <v>1.5</v>
      </c>
    </row>
    <row r="31" customFormat="false" ht="15" hidden="false" customHeight="false" outlineLevel="0" collapsed="false">
      <c r="A31" s="0" t="s">
        <v>99</v>
      </c>
      <c r="C31" s="3" t="n">
        <v>1.2</v>
      </c>
      <c r="D31" s="3" t="n">
        <v>1.25</v>
      </c>
      <c r="E31" s="3" t="n">
        <v>1.3</v>
      </c>
      <c r="F31" s="3" t="n">
        <v>1.3</v>
      </c>
      <c r="G31" s="3" t="n">
        <v>1.3</v>
      </c>
      <c r="H31" s="3" t="n">
        <v>1.3</v>
      </c>
      <c r="I31" s="3" t="n">
        <v>1.3</v>
      </c>
      <c r="J31" s="3" t="n">
        <v>1.3</v>
      </c>
      <c r="K31" s="3" t="n">
        <v>1.3</v>
      </c>
      <c r="L31" s="3" t="n">
        <v>1.3</v>
      </c>
    </row>
    <row r="32" customFormat="false" ht="15" hidden="false" customHeight="false" outlineLevel="0" collapsed="false">
      <c r="A32" s="0" t="s">
        <v>100</v>
      </c>
      <c r="C32" s="3" t="n">
        <v>1.8</v>
      </c>
      <c r="D32" s="3" t="n">
        <v>1.9</v>
      </c>
      <c r="E32" s="3" t="n">
        <v>1.9</v>
      </c>
      <c r="F32" s="3" t="n">
        <v>1.8</v>
      </c>
      <c r="G32" s="3" t="n">
        <v>1.8</v>
      </c>
      <c r="H32" s="3" t="n">
        <v>1.7</v>
      </c>
      <c r="I32" s="3" t="n">
        <v>1.7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101</v>
      </c>
      <c r="C33" s="3" t="n">
        <v>27.5</v>
      </c>
      <c r="D33" s="3" t="n">
        <v>27.5</v>
      </c>
      <c r="E33" s="3" t="n">
        <v>27.5</v>
      </c>
      <c r="F33" s="3" t="n">
        <v>27.5</v>
      </c>
      <c r="G33" s="3" t="n">
        <v>27.5</v>
      </c>
      <c r="H33" s="3" t="n">
        <v>27.5</v>
      </c>
      <c r="I33" s="3" t="n">
        <v>27.5</v>
      </c>
      <c r="J33" s="3" t="n">
        <v>27.5</v>
      </c>
      <c r="K33" s="3" t="n">
        <v>27.5</v>
      </c>
      <c r="L33" s="3" t="n">
        <v>27.5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13</v>
      </c>
    </row>
    <row r="37" customFormat="false" ht="15" hidden="false" customHeight="false" outlineLevel="0" collapsed="false">
      <c r="A37" s="0" t="s">
        <v>105</v>
      </c>
      <c r="B37" s="3" t="n">
        <v>-35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-0.5</v>
      </c>
      <c r="D41" s="3" t="n">
        <v>3</v>
      </c>
      <c r="E41" s="3" t="n">
        <v>5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14.6</v>
      </c>
      <c r="D42" s="3" t="n">
        <v>15</v>
      </c>
      <c r="E42" s="3" t="n">
        <v>15.5</v>
      </c>
      <c r="F42" s="3" t="n">
        <v>16</v>
      </c>
      <c r="G42" s="3" t="n">
        <v>16.3</v>
      </c>
      <c r="H42" s="3" t="n">
        <v>16.5</v>
      </c>
      <c r="I42" s="3" t="n">
        <v>16.5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97</v>
      </c>
      <c r="C43" s="3" t="n">
        <v>0.55</v>
      </c>
      <c r="D43" s="3" t="n">
        <v>0.5</v>
      </c>
      <c r="E43" s="3" t="n">
        <v>0.5</v>
      </c>
      <c r="F43" s="3" t="n">
        <v>0.45</v>
      </c>
      <c r="G43" s="3" t="n">
        <v>0.45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98</v>
      </c>
      <c r="C44" s="3" t="n">
        <v>1.3</v>
      </c>
      <c r="D44" s="3" t="n">
        <v>1.4</v>
      </c>
      <c r="E44" s="3" t="n">
        <v>1.4</v>
      </c>
      <c r="F44" s="3" t="n">
        <v>1.4</v>
      </c>
      <c r="G44" s="3" t="n">
        <v>1.4</v>
      </c>
      <c r="H44" s="3" t="n">
        <v>1.4</v>
      </c>
      <c r="I44" s="3" t="n">
        <v>1.4</v>
      </c>
      <c r="J44" s="3" t="n">
        <v>1.4</v>
      </c>
      <c r="K44" s="3" t="n">
        <v>1.4</v>
      </c>
      <c r="L44" s="3" t="n">
        <v>1.4</v>
      </c>
    </row>
    <row r="45" customFormat="false" ht="15" hidden="false" customHeight="false" outlineLevel="0" collapsed="false">
      <c r="A45" s="0" t="s">
        <v>99</v>
      </c>
      <c r="C45" s="3" t="n">
        <v>1.2</v>
      </c>
      <c r="D45" s="3" t="n">
        <v>1.25</v>
      </c>
      <c r="E45" s="3" t="n">
        <v>1.3</v>
      </c>
      <c r="F45" s="3" t="n">
        <v>1.3</v>
      </c>
      <c r="G45" s="3" t="n">
        <v>1.3</v>
      </c>
      <c r="H45" s="3" t="n">
        <v>1.3</v>
      </c>
      <c r="I45" s="3" t="n">
        <v>1.3</v>
      </c>
      <c r="J45" s="3" t="n">
        <v>1.3</v>
      </c>
      <c r="K45" s="3" t="n">
        <v>1.3</v>
      </c>
      <c r="L45" s="3" t="n">
        <v>1.3</v>
      </c>
    </row>
    <row r="46" customFormat="false" ht="15" hidden="false" customHeight="false" outlineLevel="0" collapsed="false">
      <c r="A46" s="0" t="s">
        <v>100</v>
      </c>
      <c r="C46" s="3" t="n">
        <v>1.8</v>
      </c>
      <c r="D46" s="3" t="n">
        <v>1.9</v>
      </c>
      <c r="E46" s="3" t="n">
        <v>1.9</v>
      </c>
      <c r="F46" s="3" t="n">
        <v>1.8</v>
      </c>
      <c r="G46" s="3" t="n">
        <v>1.8</v>
      </c>
      <c r="H46" s="3" t="n">
        <v>1.7</v>
      </c>
      <c r="I46" s="3" t="n">
        <v>1.7</v>
      </c>
      <c r="J46" s="3" t="n">
        <v>1.7</v>
      </c>
      <c r="K46" s="3" t="n">
        <v>1.7</v>
      </c>
      <c r="L46" s="3" t="n">
        <v>1.7</v>
      </c>
    </row>
    <row r="47" customFormat="false" ht="15" hidden="false" customHeight="false" outlineLevel="0" collapsed="false">
      <c r="A47" s="0" t="s">
        <v>101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-30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-3</v>
      </c>
      <c r="D5" s="4" t="n">
        <f aca="false">Assumptions!D13</f>
        <v>-3</v>
      </c>
      <c r="E5" s="4" t="n">
        <f aca="false">Assumptions!E13</f>
        <v>-1.5</v>
      </c>
      <c r="F5" s="4" t="n">
        <f aca="false">Assumptions!F13</f>
        <v>-0.5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14151.086</v>
      </c>
      <c r="C6" s="0" t="n">
        <f aca="false">B6*(1+C5/100)</f>
        <v>13726.55342</v>
      </c>
      <c r="D6" s="0" t="n">
        <f aca="false">C6*(1+D5/100)</f>
        <v>13314.7568174</v>
      </c>
      <c r="E6" s="0" t="n">
        <f aca="false">D6*(1+E5/100)</f>
        <v>13115.035465139</v>
      </c>
      <c r="F6" s="0" t="n">
        <f aca="false">E6*(1+F5/100)</f>
        <v>13049.4602878133</v>
      </c>
      <c r="G6" s="0" t="n">
        <f aca="false">F6*(1+G5/100)</f>
        <v>13114.7075892524</v>
      </c>
      <c r="H6" s="0" t="n">
        <f aca="false">G6*(1+H5/100)</f>
        <v>13245.8546651449</v>
      </c>
      <c r="I6" s="0" t="n">
        <f aca="false">H6*(1+I5/100)</f>
        <v>13378.3132117963</v>
      </c>
      <c r="J6" s="0" t="n">
        <f aca="false">I6*(1+J5/100)</f>
        <v>13512.0963439143</v>
      </c>
      <c r="K6" s="0" t="n">
        <f aca="false">J6*(1+K5/100)</f>
        <v>13647.2173073535</v>
      </c>
      <c r="L6" s="0" t="n">
        <f aca="false">K6*(1+L5/100)</f>
        <v>13783.689480427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13.5</v>
      </c>
      <c r="D7" s="4" t="n">
        <f aca="false">Assumptions!D14</f>
        <v>12.5</v>
      </c>
      <c r="E7" s="4" t="n">
        <f aca="false">Assumptions!E14</f>
        <v>12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1853.0847117</v>
      </c>
      <c r="D8" s="0" t="n">
        <f aca="false">D6*D7/100</f>
        <v>1664.344602175</v>
      </c>
      <c r="E8" s="0" t="n">
        <f aca="false">E6*E7/100</f>
        <v>1573.80425581668</v>
      </c>
      <c r="F8" s="0" t="n">
        <f aca="false">F6*F7/100</f>
        <v>1565.9352345376</v>
      </c>
      <c r="G8" s="0" t="n">
        <f aca="false">G6*G7/100</f>
        <v>1573.76491071028</v>
      </c>
      <c r="H8" s="0" t="n">
        <f aca="false">H6*H7/100</f>
        <v>1589.50255981739</v>
      </c>
      <c r="I8" s="0" t="n">
        <f aca="false">I6*I7/100</f>
        <v>1605.39758541556</v>
      </c>
      <c r="J8" s="0" t="n">
        <f aca="false">J6*J7/100</f>
        <v>1621.45156126972</v>
      </c>
      <c r="K8" s="0" t="n">
        <f aca="false">K6*K7/100</f>
        <v>1637.66607688241</v>
      </c>
      <c r="L8" s="0" t="n">
        <f aca="false">L6*L7/100</f>
        <v>1654.04273765124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-82.35932052</v>
      </c>
      <c r="D10" s="0" t="n">
        <f aca="false">-D6*D9/100</f>
        <v>-79.8885409044</v>
      </c>
      <c r="E10" s="0" t="n">
        <f aca="false">-E6*E9/100</f>
        <v>-78.690212790834</v>
      </c>
      <c r="F10" s="0" t="n">
        <f aca="false">-F6*F9/100</f>
        <v>-65.2473014390665</v>
      </c>
      <c r="G10" s="0" t="n">
        <f aca="false">-G6*G9/100</f>
        <v>-65.5735379462619</v>
      </c>
      <c r="H10" s="0" t="n">
        <f aca="false">-H6*H9/100</f>
        <v>-66.2292733257245</v>
      </c>
      <c r="I10" s="0" t="n">
        <f aca="false">-I6*I9/100</f>
        <v>-66.8915660589817</v>
      </c>
      <c r="J10" s="0" t="n">
        <f aca="false">-J6*J9/100</f>
        <v>-67.5604817195715</v>
      </c>
      <c r="K10" s="0" t="n">
        <f aca="false">-K6*K9/100</f>
        <v>-68.2360865367673</v>
      </c>
      <c r="L10" s="0" t="n">
        <f aca="false">-L6*L9/100</f>
        <v>-68.9184474021349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1578.5536433</v>
      </c>
      <c r="D11" s="0" t="n">
        <f aca="false">D8+D10+D24</f>
        <v>1384.7347090096</v>
      </c>
      <c r="E11" s="0" t="n">
        <f aca="false">E8+E10+E24</f>
        <v>1285.27347558362</v>
      </c>
      <c r="F11" s="0" t="n">
        <f aca="false">F8+F10+F24</f>
        <v>1291.89656849352</v>
      </c>
      <c r="G11" s="0" t="n">
        <f aca="false">G8+G10+G24</f>
        <v>1298.35605133598</v>
      </c>
      <c r="H11" s="0" t="n">
        <f aca="false">H8+H10+H24</f>
        <v>1311.33961184934</v>
      </c>
      <c r="I11" s="0" t="n">
        <f aca="false">I8+I10+I24</f>
        <v>1324.45300796784</v>
      </c>
      <c r="J11" s="0" t="n">
        <f aca="false">J8+J10+J24</f>
        <v>1337.69753804752</v>
      </c>
      <c r="K11" s="0" t="n">
        <f aca="false">K8+K10+K24</f>
        <v>1351.07451342799</v>
      </c>
      <c r="L11" s="0" t="n">
        <f aca="false">L8+L10+L24</f>
        <v>1364.58525856227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-164.71864104</v>
      </c>
      <c r="D12" s="4" t="n">
        <f aca="false">-D6*Assumptions!D17/100</f>
        <v>-173.0918386262</v>
      </c>
      <c r="E12" s="4" t="n">
        <f aca="false">-E6*Assumptions!E17/100</f>
        <v>-170.495461046807</v>
      </c>
      <c r="F12" s="4" t="n">
        <f aca="false">-F6*Assumptions!F17/100</f>
        <v>-169.642983741573</v>
      </c>
      <c r="G12" s="4" t="n">
        <f aca="false">-G6*Assumptions!G17/100</f>
        <v>-170.491198660281</v>
      </c>
      <c r="H12" s="4" t="n">
        <f aca="false">-H6*Assumptions!H17/100</f>
        <v>-172.196110646884</v>
      </c>
      <c r="I12" s="4" t="n">
        <f aca="false">-I6*Assumptions!I17/100</f>
        <v>-173.918071753352</v>
      </c>
      <c r="J12" s="4" t="n">
        <f aca="false">-J6*Assumptions!J17/100</f>
        <v>-175.657252470886</v>
      </c>
      <c r="K12" s="4" t="n">
        <f aca="false">-K6*Assumptions!K17/100</f>
        <v>-177.413824995595</v>
      </c>
      <c r="L12" s="4" t="n">
        <f aca="false">-L6*Assumptions!L17/100</f>
        <v>-179.187963245551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1413.83500226</v>
      </c>
      <c r="D13" s="0" t="n">
        <f aca="false">D11+D12</f>
        <v>1211.6428703834</v>
      </c>
      <c r="E13" s="0" t="n">
        <f aca="false">E11+E12</f>
        <v>1114.77801453681</v>
      </c>
      <c r="F13" s="0" t="n">
        <f aca="false">F11+F12</f>
        <v>1122.25358475194</v>
      </c>
      <c r="G13" s="0" t="n">
        <f aca="false">G11+G12</f>
        <v>1127.8648526757</v>
      </c>
      <c r="H13" s="0" t="n">
        <f aca="false">H11+H12</f>
        <v>1139.14350120246</v>
      </c>
      <c r="I13" s="0" t="n">
        <f aca="false">I11+I12</f>
        <v>1150.53493621449</v>
      </c>
      <c r="J13" s="0" t="n">
        <f aca="false">J11+J12</f>
        <v>1162.04028557663</v>
      </c>
      <c r="K13" s="0" t="n">
        <f aca="false">K11+K12</f>
        <v>1173.6606884324</v>
      </c>
      <c r="L13" s="0" t="n">
        <f aca="false">L11+L12</f>
        <v>1185.39729531672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1017.9612016272</v>
      </c>
      <c r="D15" s="0" t="n">
        <f aca="false">D13-MAX(0,D13)*D14/100</f>
        <v>872.382866676048</v>
      </c>
      <c r="E15" s="0" t="n">
        <f aca="false">E13-MAX(0,E13)*E14/100</f>
        <v>802.640170466507</v>
      </c>
      <c r="F15" s="0" t="n">
        <f aca="false">F13-MAX(0,F13)*F14/100</f>
        <v>808.0225810214</v>
      </c>
      <c r="G15" s="0" t="n">
        <f aca="false">G13-MAX(0,G13)*G14/100</f>
        <v>812.062693926507</v>
      </c>
      <c r="H15" s="0" t="n">
        <f aca="false">H13-MAX(0,H13)*H14/100</f>
        <v>820.183320865772</v>
      </c>
      <c r="I15" s="0" t="n">
        <f aca="false">I13-MAX(0,I13)*I14/100</f>
        <v>828.38515407443</v>
      </c>
      <c r="J15" s="0" t="n">
        <f aca="false">J13-MAX(0,J13)*J14/100</f>
        <v>836.669005615174</v>
      </c>
      <c r="K15" s="0" t="n">
        <f aca="false">K13-MAX(0,K13)*K14/100</f>
        <v>845.035695671325</v>
      </c>
      <c r="L15" s="0" t="n">
        <f aca="false">L13-MAX(0,L13)*L14/100</f>
        <v>853.486052628039</v>
      </c>
    </row>
    <row r="16" customFormat="false" ht="15" hidden="false" customHeight="false" outlineLevel="0" collapsed="false">
      <c r="A16" s="0" t="s">
        <v>117</v>
      </c>
      <c r="C16" s="0" t="n">
        <f aca="false">-C12</f>
        <v>164.71864104</v>
      </c>
      <c r="D16" s="0" t="n">
        <f aca="false">-D12</f>
        <v>173.0918386262</v>
      </c>
      <c r="E16" s="0" t="n">
        <f aca="false">-E12</f>
        <v>170.495461046807</v>
      </c>
      <c r="F16" s="0" t="n">
        <f aca="false">-F12</f>
        <v>169.642983741573</v>
      </c>
      <c r="G16" s="0" t="n">
        <f aca="false">-G12</f>
        <v>170.491198660281</v>
      </c>
      <c r="H16" s="0" t="n">
        <f aca="false">-H12</f>
        <v>172.196110646884</v>
      </c>
      <c r="I16" s="0" t="n">
        <f aca="false">-I12</f>
        <v>173.918071753352</v>
      </c>
      <c r="J16" s="0" t="n">
        <f aca="false">-J12</f>
        <v>175.657252470886</v>
      </c>
      <c r="K16" s="0" t="n">
        <f aca="false">-K12</f>
        <v>177.413824995595</v>
      </c>
      <c r="L16" s="0" t="n">
        <f aca="false">-L12</f>
        <v>179.187963245551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-247.07796156</v>
      </c>
      <c r="D17" s="4" t="n">
        <f aca="false">-D6*Assumptions!D18/100</f>
        <v>-239.6656227132</v>
      </c>
      <c r="E17" s="4" t="n">
        <f aca="false">-E6*Assumptions!E18/100</f>
        <v>-236.070638372502</v>
      </c>
      <c r="F17" s="4" t="n">
        <f aca="false">-F6*Assumptions!F18/100</f>
        <v>-221.840824892826</v>
      </c>
      <c r="G17" s="4" t="n">
        <f aca="false">-G6*Assumptions!G18/100</f>
        <v>-222.95002901729</v>
      </c>
      <c r="H17" s="4" t="n">
        <f aca="false">-H6*Assumptions!H18/100</f>
        <v>-211.933674642318</v>
      </c>
      <c r="I17" s="4" t="n">
        <f aca="false">-I6*Assumptions!I18/100</f>
        <v>-214.053011388742</v>
      </c>
      <c r="J17" s="4" t="n">
        <f aca="false">-J6*Assumptions!J18/100</f>
        <v>-216.193541502629</v>
      </c>
      <c r="K17" s="4" t="n">
        <f aca="false">-K6*Assumptions!K18/100</f>
        <v>-218.355476917655</v>
      </c>
      <c r="L17" s="4" t="n">
        <f aca="false">-L6*Assumptions!L18/100</f>
        <v>-220.539031686832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169.813032</v>
      </c>
      <c r="D18" s="4" t="n">
        <f aca="false">(D6-C6)*Assumptions!$B$23/100</f>
        <v>164.71864104</v>
      </c>
      <c r="E18" s="4" t="n">
        <f aca="false">(E6-D6)*Assumptions!$B$23/100</f>
        <v>79.8885409044</v>
      </c>
      <c r="F18" s="4" t="n">
        <f aca="false">(F6-E6)*Assumptions!$B$23/100</f>
        <v>26.2300709302777</v>
      </c>
      <c r="G18" s="4" t="n">
        <f aca="false">(G6-F6)*Assumptions!$B$23/100</f>
        <v>-26.0989205756261</v>
      </c>
      <c r="H18" s="4" t="n">
        <f aca="false">(H6-G6)*Assumptions!$B$23/100</f>
        <v>-52.4588303570097</v>
      </c>
      <c r="I18" s="4" t="n">
        <f aca="false">(I6-H6)*Assumptions!$B$23/100</f>
        <v>-52.9834186605796</v>
      </c>
      <c r="J18" s="4" t="n">
        <f aca="false">(J6-I6)*Assumptions!$B$23/100</f>
        <v>-53.5132528471855</v>
      </c>
      <c r="K18" s="4" t="n">
        <f aca="false">(K6-J6)*Assumptions!$B$23/100</f>
        <v>-54.0483853756574</v>
      </c>
      <c r="L18" s="4" t="n">
        <f aca="false">(L6-K6)*Assumptions!$B$23/100</f>
        <v>-54.5888692294138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1105.4149131072</v>
      </c>
      <c r="D19" s="0" t="n">
        <f aca="false">D15+D16+D17+D18</f>
        <v>970.527723629048</v>
      </c>
      <c r="E19" s="0" t="n">
        <f aca="false">E15+E16+E17+E18</f>
        <v>816.953534045212</v>
      </c>
      <c r="F19" s="0" t="n">
        <f aca="false">F15+F16+F17+F18</f>
        <v>782.054810800424</v>
      </c>
      <c r="G19" s="0" t="n">
        <f aca="false">G15+G16+G17+G18</f>
        <v>733.504942993871</v>
      </c>
      <c r="H19" s="0" t="n">
        <f aca="false">H15+H16+H17+H18</f>
        <v>727.986926513328</v>
      </c>
      <c r="I19" s="0" t="n">
        <f aca="false">I15+I16+I17+I18</f>
        <v>735.266795778461</v>
      </c>
      <c r="J19" s="0" t="n">
        <f aca="false">J15+J16+J17+J18</f>
        <v>742.619463736245</v>
      </c>
      <c r="K19" s="0" t="n">
        <f aca="false">K15+K16+K17+K18</f>
        <v>750.045658373608</v>
      </c>
      <c r="L19" s="0" t="n">
        <f aca="false">L15+L16+L17+L18</f>
        <v>757.546114957344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1009.51133617096</v>
      </c>
      <c r="D21" s="0" t="n">
        <f aca="false">D19*D20</f>
        <v>809.430765521192</v>
      </c>
      <c r="E21" s="0" t="n">
        <f aca="false">E19*E20</f>
        <v>622.235805591443</v>
      </c>
      <c r="F21" s="0" t="n">
        <f aca="false">F19*F20</f>
        <v>543.977222487986</v>
      </c>
      <c r="G21" s="0" t="n">
        <f aca="false">G19*G20</f>
        <v>465.942632410702</v>
      </c>
      <c r="H21" s="0" t="n">
        <f aca="false">H19*H20</f>
        <v>422.317292862812</v>
      </c>
      <c r="I21" s="0" t="n">
        <f aca="false">I19*I20</f>
        <v>389.534671955653</v>
      </c>
      <c r="J21" s="0" t="n">
        <f aca="false">J19*J20</f>
        <v>359.296820707954</v>
      </c>
      <c r="K21" s="0" t="n">
        <f aca="false">K19*K20</f>
        <v>331.406199922405</v>
      </c>
      <c r="L21" s="0" t="n">
        <f aca="false">L19*L20</f>
        <v>305.680604494639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1.4</v>
      </c>
      <c r="D23" s="4" t="n">
        <f aca="false">Assumptions!D16</f>
        <v>1.5</v>
      </c>
      <c r="E23" s="4" t="n">
        <f aca="false">Assumptions!E16</f>
        <v>1.6</v>
      </c>
      <c r="F23" s="4" t="n">
        <f aca="false">Assumptions!F16</f>
        <v>1.6</v>
      </c>
      <c r="G23" s="4" t="n">
        <f aca="false">Assumptions!G16</f>
        <v>1.6</v>
      </c>
      <c r="H23" s="4" t="n">
        <f aca="false">Assumptions!H16</f>
        <v>1.6</v>
      </c>
      <c r="I23" s="4" t="n">
        <f aca="false">Assumptions!I16</f>
        <v>1.6</v>
      </c>
      <c r="J23" s="4" t="n">
        <f aca="false">Assumptions!J16</f>
        <v>1.6</v>
      </c>
      <c r="K23" s="4" t="n">
        <f aca="false">Assumptions!K16</f>
        <v>1.6</v>
      </c>
      <c r="L23" s="4" t="n">
        <f aca="false">Assumptions!L16</f>
        <v>1.6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-192.17174788</v>
      </c>
      <c r="D24" s="0" t="n">
        <f aca="false">-D6*D23/100</f>
        <v>-199.721352261</v>
      </c>
      <c r="E24" s="0" t="n">
        <f aca="false">-E6*E23/100</f>
        <v>-209.840567442224</v>
      </c>
      <c r="F24" s="0" t="n">
        <f aca="false">-F6*F23/100</f>
        <v>-208.791364605013</v>
      </c>
      <c r="G24" s="0" t="n">
        <f aca="false">-G6*G23/100</f>
        <v>-209.835321428038</v>
      </c>
      <c r="H24" s="0" t="n">
        <f aca="false">-H6*H23/100</f>
        <v>-211.933674642318</v>
      </c>
      <c r="I24" s="0" t="n">
        <f aca="false">-I6*I23/100</f>
        <v>-214.053011388742</v>
      </c>
      <c r="J24" s="0" t="n">
        <f aca="false">-J6*J23/100</f>
        <v>-216.193541502629</v>
      </c>
      <c r="K24" s="0" t="n">
        <f aca="false">-K6*K23/100</f>
        <v>-218.355476917655</v>
      </c>
      <c r="L24" s="0" t="n">
        <f aca="false">-L6*L23/100</f>
        <v>-220.539031686832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5259.33335212575</v>
      </c>
    </row>
    <row r="31" customFormat="false" ht="15" hidden="false" customHeight="false" outlineLevel="0" collapsed="false">
      <c r="A31" s="0" t="s">
        <v>126</v>
      </c>
      <c r="B31" s="0" t="n">
        <f aca="false">L19</f>
        <v>757.546114957344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9611.3663335213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8333.00726453079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8333.00726453079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3362.48664944102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8621.82000156677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13899.9200015668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5.45019265274754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0.495251756583688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453.320964095937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352.833935295499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5.76628796186762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5695.62449393855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4.29917367441658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-1.5</v>
      </c>
      <c r="D5" s="4" t="n">
        <f aca="false">Assumptions!D27</f>
        <v>1</v>
      </c>
      <c r="E5" s="4" t="n">
        <f aca="false">Assumptions!E27</f>
        <v>2.5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14151.086</v>
      </c>
      <c r="C6" s="0" t="n">
        <f aca="false">B6*(1+C5/100)</f>
        <v>13938.81971</v>
      </c>
      <c r="D6" s="0" t="n">
        <f aca="false">C6*(1+D5/100)</f>
        <v>14078.2079071</v>
      </c>
      <c r="E6" s="0" t="n">
        <f aca="false">D6*(1+E5/100)</f>
        <v>14430.1631047775</v>
      </c>
      <c r="F6" s="0" t="n">
        <f aca="false">E6*(1+F5/100)</f>
        <v>14863.0679979208</v>
      </c>
      <c r="G6" s="0" t="n">
        <f aca="false">F6*(1+G5/100)</f>
        <v>15308.9600378585</v>
      </c>
      <c r="H6" s="0" t="n">
        <f aca="false">G6*(1+H5/100)</f>
        <v>15691.6840388049</v>
      </c>
      <c r="I6" s="0" t="n">
        <f aca="false">H6*(1+I5/100)</f>
        <v>16083.976139775</v>
      </c>
      <c r="J6" s="0" t="n">
        <f aca="false">I6*(1+J5/100)</f>
        <v>16405.6556625705</v>
      </c>
      <c r="K6" s="0" t="n">
        <f aca="false">J6*(1+K5/100)</f>
        <v>16733.7687758219</v>
      </c>
      <c r="L6" s="0" t="n">
        <f aca="false">K6*(1+L5/100)</f>
        <v>17068.4441513384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14.3</v>
      </c>
      <c r="D7" s="4" t="n">
        <f aca="false">Assumptions!D28</f>
        <v>14.3</v>
      </c>
      <c r="E7" s="4" t="n">
        <f aca="false">Assumptions!E28</f>
        <v>14.6</v>
      </c>
      <c r="F7" s="4" t="n">
        <f aca="false">Assumptions!F28</f>
        <v>14.8</v>
      </c>
      <c r="G7" s="4" t="n">
        <f aca="false">Assumptions!G28</f>
        <v>15</v>
      </c>
      <c r="H7" s="4" t="n">
        <f aca="false">Assumptions!H28</f>
        <v>15</v>
      </c>
      <c r="I7" s="4" t="n">
        <f aca="false">Assumptions!I28</f>
        <v>15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1993.25121853</v>
      </c>
      <c r="D8" s="0" t="n">
        <f aca="false">D6*D7/100</f>
        <v>2013.1837307153</v>
      </c>
      <c r="E8" s="0" t="n">
        <f aca="false">E6*E7/100</f>
        <v>2106.80381329752</v>
      </c>
      <c r="F8" s="0" t="n">
        <f aca="false">F6*F7/100</f>
        <v>2199.73406369228</v>
      </c>
      <c r="G8" s="0" t="n">
        <f aca="false">G6*G7/100</f>
        <v>2296.34400567877</v>
      </c>
      <c r="H8" s="0" t="n">
        <f aca="false">H6*H7/100</f>
        <v>2353.75260582074</v>
      </c>
      <c r="I8" s="0" t="n">
        <f aca="false">I6*I7/100</f>
        <v>2412.59642096625</v>
      </c>
      <c r="J8" s="0" t="n">
        <f aca="false">J6*J7/100</f>
        <v>2460.84834938558</v>
      </c>
      <c r="K8" s="0" t="n">
        <f aca="false">K6*K7/100</f>
        <v>2510.06531637329</v>
      </c>
      <c r="L8" s="0" t="n">
        <f aca="false">L6*L7/100</f>
        <v>2560.26662270076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0.55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-76.663508405</v>
      </c>
      <c r="D10" s="0" t="n">
        <f aca="false">-D6*D9/100</f>
        <v>-70.3910395355</v>
      </c>
      <c r="E10" s="0" t="n">
        <f aca="false">-E6*E9/100</f>
        <v>-72.1508155238875</v>
      </c>
      <c r="F10" s="0" t="n">
        <f aca="false">-F6*F9/100</f>
        <v>-66.8838059906437</v>
      </c>
      <c r="G10" s="0" t="n">
        <f aca="false">-G6*G9/100</f>
        <v>-68.890320170363</v>
      </c>
      <c r="H10" s="0" t="n">
        <f aca="false">-H6*H9/100</f>
        <v>-62.7667361552197</v>
      </c>
      <c r="I10" s="0" t="n">
        <f aca="false">-I6*I9/100</f>
        <v>-64.3359045591001</v>
      </c>
      <c r="J10" s="0" t="n">
        <f aca="false">-J6*J9/100</f>
        <v>-65.6226226502821</v>
      </c>
      <c r="K10" s="0" t="n">
        <f aca="false">-K6*K9/100</f>
        <v>-66.9350751032878</v>
      </c>
      <c r="L10" s="0" t="n">
        <f aca="false">-L6*L9/100</f>
        <v>-68.2737766053535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1735.383053895</v>
      </c>
      <c r="D11" s="0" t="n">
        <f aca="false">D8+D10+D24</f>
        <v>1745.6977804804</v>
      </c>
      <c r="E11" s="0" t="n">
        <f aca="false">E8+E10+E24</f>
        <v>1818.20055120196</v>
      </c>
      <c r="F11" s="0" t="n">
        <f aca="false">F8+F10+F24</f>
        <v>1909.90423773283</v>
      </c>
      <c r="G11" s="0" t="n">
        <f aca="false">G8+G10+G24</f>
        <v>1997.81928494053</v>
      </c>
      <c r="H11" s="0" t="n">
        <f aca="false">H8+H10+H24</f>
        <v>2055.61060908344</v>
      </c>
      <c r="I11" s="0" t="n">
        <f aca="false">I8+I10+I24</f>
        <v>2107.00087431053</v>
      </c>
      <c r="J11" s="0" t="n">
        <f aca="false">J8+J10+J24</f>
        <v>2149.14089179674</v>
      </c>
      <c r="K11" s="0" t="n">
        <f aca="false">K8+K10+K24</f>
        <v>2192.12370963267</v>
      </c>
      <c r="L11" s="0" t="n">
        <f aca="false">L8+L10+L24</f>
        <v>2235.96618382533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-167.26583652</v>
      </c>
      <c r="D12" s="4" t="n">
        <f aca="false">-D6*Assumptions!D31/100</f>
        <v>-175.97759883875</v>
      </c>
      <c r="E12" s="4" t="n">
        <f aca="false">-E6*Assumptions!E31/100</f>
        <v>-187.592120362108</v>
      </c>
      <c r="F12" s="4" t="n">
        <f aca="false">-F6*Assumptions!F31/100</f>
        <v>-193.219883972971</v>
      </c>
      <c r="G12" s="4" t="n">
        <f aca="false">-G6*Assumptions!G31/100</f>
        <v>-199.01648049216</v>
      </c>
      <c r="H12" s="4" t="n">
        <f aca="false">-H6*Assumptions!H31/100</f>
        <v>-203.991892504464</v>
      </c>
      <c r="I12" s="4" t="n">
        <f aca="false">-I6*Assumptions!I31/100</f>
        <v>-209.091689817075</v>
      </c>
      <c r="J12" s="4" t="n">
        <f aca="false">-J6*Assumptions!J31/100</f>
        <v>-213.273523613417</v>
      </c>
      <c r="K12" s="4" t="n">
        <f aca="false">-K6*Assumptions!K31/100</f>
        <v>-217.538994085685</v>
      </c>
      <c r="L12" s="4" t="n">
        <f aca="false">-L6*Assumptions!L31/100</f>
        <v>-221.889773967399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1568.117217375</v>
      </c>
      <c r="D13" s="0" t="n">
        <f aca="false">D11+D12</f>
        <v>1569.72018164165</v>
      </c>
      <c r="E13" s="0" t="n">
        <f aca="false">E11+E12</f>
        <v>1630.60843083986</v>
      </c>
      <c r="F13" s="0" t="n">
        <f aca="false">F11+F12</f>
        <v>1716.68435375986</v>
      </c>
      <c r="G13" s="0" t="n">
        <f aca="false">G11+G12</f>
        <v>1798.80280444837</v>
      </c>
      <c r="H13" s="0" t="n">
        <f aca="false">H11+H12</f>
        <v>1851.61871657898</v>
      </c>
      <c r="I13" s="0" t="n">
        <f aca="false">I11+I12</f>
        <v>1897.90918449345</v>
      </c>
      <c r="J13" s="0" t="n">
        <f aca="false">J11+J12</f>
        <v>1935.86736818332</v>
      </c>
      <c r="K13" s="0" t="n">
        <f aca="false">K11+K12</f>
        <v>1974.58471554699</v>
      </c>
      <c r="L13" s="0" t="n">
        <f aca="false">L11+L12</f>
        <v>2014.07640985793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27.5</v>
      </c>
      <c r="D14" s="4" t="n">
        <f aca="false">Assumptions!D33</f>
        <v>27.5</v>
      </c>
      <c r="E14" s="4" t="n">
        <f aca="false">Assumptions!E33</f>
        <v>27.5</v>
      </c>
      <c r="F14" s="4" t="n">
        <f aca="false">Assumptions!F33</f>
        <v>27.5</v>
      </c>
      <c r="G14" s="4" t="n">
        <f aca="false">Assumptions!G33</f>
        <v>27.5</v>
      </c>
      <c r="H14" s="4" t="n">
        <f aca="false">Assumptions!H33</f>
        <v>27.5</v>
      </c>
      <c r="I14" s="4" t="n">
        <f aca="false">Assumptions!I33</f>
        <v>27.5</v>
      </c>
      <c r="J14" s="4" t="n">
        <f aca="false">Assumptions!J33</f>
        <v>27.5</v>
      </c>
      <c r="K14" s="4" t="n">
        <f aca="false">Assumptions!K33</f>
        <v>27.5</v>
      </c>
      <c r="L14" s="4" t="n">
        <f aca="false">Assumptions!L33</f>
        <v>27.5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1136.88498259688</v>
      </c>
      <c r="D15" s="0" t="n">
        <f aca="false">D13-MAX(0,D13)*D14/100</f>
        <v>1138.0471316902</v>
      </c>
      <c r="E15" s="0" t="n">
        <f aca="false">E13-MAX(0,E13)*E14/100</f>
        <v>1182.1911123589</v>
      </c>
      <c r="F15" s="0" t="n">
        <f aca="false">F13-MAX(0,F13)*F14/100</f>
        <v>1244.5961564759</v>
      </c>
      <c r="G15" s="0" t="n">
        <f aca="false">G13-MAX(0,G13)*G14/100</f>
        <v>1304.13203322507</v>
      </c>
      <c r="H15" s="0" t="n">
        <f aca="false">H13-MAX(0,H13)*H14/100</f>
        <v>1342.42356951976</v>
      </c>
      <c r="I15" s="0" t="n">
        <f aca="false">I13-MAX(0,I13)*I14/100</f>
        <v>1375.98415875775</v>
      </c>
      <c r="J15" s="0" t="n">
        <f aca="false">J13-MAX(0,J13)*J14/100</f>
        <v>1403.50384193291</v>
      </c>
      <c r="K15" s="0" t="n">
        <f aca="false">K13-MAX(0,K13)*K14/100</f>
        <v>1431.57391877157</v>
      </c>
      <c r="L15" s="0" t="n">
        <f aca="false">L13-MAX(0,L13)*L14/100</f>
        <v>1460.205397147</v>
      </c>
    </row>
    <row r="16" customFormat="false" ht="15" hidden="false" customHeight="false" outlineLevel="0" collapsed="false">
      <c r="A16" s="0" t="s">
        <v>117</v>
      </c>
      <c r="C16" s="0" t="n">
        <f aca="false">-C12</f>
        <v>167.26583652</v>
      </c>
      <c r="D16" s="0" t="n">
        <f aca="false">-D12</f>
        <v>175.97759883875</v>
      </c>
      <c r="E16" s="0" t="n">
        <f aca="false">-E12</f>
        <v>187.592120362108</v>
      </c>
      <c r="F16" s="0" t="n">
        <f aca="false">-F12</f>
        <v>193.219883972971</v>
      </c>
      <c r="G16" s="0" t="n">
        <f aca="false">-G12</f>
        <v>199.01648049216</v>
      </c>
      <c r="H16" s="0" t="n">
        <f aca="false">-H12</f>
        <v>203.991892504464</v>
      </c>
      <c r="I16" s="0" t="n">
        <f aca="false">-I12</f>
        <v>209.091689817075</v>
      </c>
      <c r="J16" s="0" t="n">
        <f aca="false">-J12</f>
        <v>213.273523613417</v>
      </c>
      <c r="K16" s="0" t="n">
        <f aca="false">-K12</f>
        <v>217.538994085685</v>
      </c>
      <c r="L16" s="0" t="n">
        <f aca="false">-L12</f>
        <v>221.889773967399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-250.89875478</v>
      </c>
      <c r="D17" s="4" t="n">
        <f aca="false">-D6*Assumptions!D32/100</f>
        <v>-267.4859502349</v>
      </c>
      <c r="E17" s="4" t="n">
        <f aca="false">-E6*Assumptions!E32/100</f>
        <v>-274.173098990773</v>
      </c>
      <c r="F17" s="4" t="n">
        <f aca="false">-F6*Assumptions!F32/100</f>
        <v>-267.535223962575</v>
      </c>
      <c r="G17" s="4" t="n">
        <f aca="false">-G6*Assumptions!G32/100</f>
        <v>-275.561280681452</v>
      </c>
      <c r="H17" s="4" t="n">
        <f aca="false">-H6*Assumptions!H32/100</f>
        <v>-266.758628659684</v>
      </c>
      <c r="I17" s="4" t="n">
        <f aca="false">-I6*Assumptions!I32/100</f>
        <v>-273.427594376176</v>
      </c>
      <c r="J17" s="4" t="n">
        <f aca="false">-J6*Assumptions!J32/100</f>
        <v>-262.490490601129</v>
      </c>
      <c r="K17" s="4" t="n">
        <f aca="false">-K6*Assumptions!K32/100</f>
        <v>-267.740300413151</v>
      </c>
      <c r="L17" s="4" t="n">
        <f aca="false">-L6*Assumptions!L32/100</f>
        <v>-273.095106421414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74.2932014999999</v>
      </c>
      <c r="D18" s="4" t="n">
        <f aca="false">(D6-C6)*Assumptions!$B$37/100</f>
        <v>-48.7858689850003</v>
      </c>
      <c r="E18" s="4" t="n">
        <f aca="false">(E6-D6)*Assumptions!$B$37/100</f>
        <v>-123.184319187124</v>
      </c>
      <c r="F18" s="4" t="n">
        <f aca="false">(F6-E6)*Assumptions!$B$37/100</f>
        <v>-151.516712600164</v>
      </c>
      <c r="G18" s="4" t="n">
        <f aca="false">(G6-F6)*Assumptions!$B$37/100</f>
        <v>-156.062213978169</v>
      </c>
      <c r="H18" s="4" t="n">
        <f aca="false">(H6-G6)*Assumptions!$B$37/100</f>
        <v>-133.953400331261</v>
      </c>
      <c r="I18" s="4" t="n">
        <f aca="false">(I6-H6)*Assumptions!$B$37/100</f>
        <v>-137.302235339543</v>
      </c>
      <c r="J18" s="4" t="n">
        <f aca="false">(J6-I6)*Assumptions!$B$37/100</f>
        <v>-112.587832978425</v>
      </c>
      <c r="K18" s="4" t="n">
        <f aca="false">(K6-J6)*Assumptions!$B$37/100</f>
        <v>-114.839589637993</v>
      </c>
      <c r="L18" s="4" t="n">
        <f aca="false">(L6-K6)*Assumptions!$B$37/100</f>
        <v>-117.136381430754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1127.54526583688</v>
      </c>
      <c r="D19" s="0" t="n">
        <f aca="false">D15+D16+D17+D18</f>
        <v>997.752911309047</v>
      </c>
      <c r="E19" s="0" t="n">
        <f aca="false">E15+E16+E17+E18</f>
        <v>972.425814543107</v>
      </c>
      <c r="F19" s="0" t="n">
        <f aca="false">F15+F16+F17+F18</f>
        <v>1018.76410388613</v>
      </c>
      <c r="G19" s="0" t="n">
        <f aca="false">G15+G16+G17+G18</f>
        <v>1071.52501905761</v>
      </c>
      <c r="H19" s="0" t="n">
        <f aca="false">H15+H16+H17+H18</f>
        <v>1145.70343303328</v>
      </c>
      <c r="I19" s="0" t="n">
        <f aca="false">I15+I16+I17+I18</f>
        <v>1174.34601885911</v>
      </c>
      <c r="J19" s="0" t="n">
        <f aca="false">J15+J16+J17+J18</f>
        <v>1241.69904196677</v>
      </c>
      <c r="K19" s="0" t="n">
        <f aca="false">K15+K16+K17+K18</f>
        <v>1266.53302280611</v>
      </c>
      <c r="L19" s="0" t="n">
        <f aca="false">L15+L16+L17+L18</f>
        <v>1291.86368326223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1029.72170396062</v>
      </c>
      <c r="D21" s="0" t="n">
        <f aca="false">D19*D20</f>
        <v>832.136870631594</v>
      </c>
      <c r="E21" s="0" t="n">
        <f aca="false">E19*E20</f>
        <v>740.6518668131</v>
      </c>
      <c r="F21" s="0" t="n">
        <f aca="false">F19*F20</f>
        <v>708.626121787085</v>
      </c>
      <c r="G21" s="0" t="n">
        <f aca="false">G19*G20</f>
        <v>680.662336147065</v>
      </c>
      <c r="H21" s="0" t="n">
        <f aca="false">H19*H20</f>
        <v>664.641567918853</v>
      </c>
      <c r="I21" s="0" t="n">
        <f aca="false">I19*I20</f>
        <v>622.153065860113</v>
      </c>
      <c r="J21" s="0" t="n">
        <f aca="false">J19*J20</f>
        <v>600.763297813627</v>
      </c>
      <c r="K21" s="0" t="n">
        <f aca="false">K19*K20</f>
        <v>559.615126730501</v>
      </c>
      <c r="L21" s="0" t="n">
        <f aca="false">L19*L20</f>
        <v>521.285323529782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1.3</v>
      </c>
      <c r="D23" s="4" t="n">
        <f aca="false">Assumptions!D30</f>
        <v>1.4</v>
      </c>
      <c r="E23" s="4" t="n">
        <f aca="false">Assumptions!E30</f>
        <v>1.5</v>
      </c>
      <c r="F23" s="4" t="n">
        <f aca="false">Assumptions!F30</f>
        <v>1.5</v>
      </c>
      <c r="G23" s="4" t="n">
        <f aca="false">Assumptions!G30</f>
        <v>1.5</v>
      </c>
      <c r="H23" s="4" t="n">
        <f aca="false">Assumptions!H30</f>
        <v>1.5</v>
      </c>
      <c r="I23" s="4" t="n">
        <f aca="false">Assumptions!I30</f>
        <v>1.5</v>
      </c>
      <c r="J23" s="4" t="n">
        <f aca="false">Assumptions!J30</f>
        <v>1.5</v>
      </c>
      <c r="K23" s="4" t="n">
        <f aca="false">Assumptions!K30</f>
        <v>1.5</v>
      </c>
      <c r="L23" s="4" t="n">
        <f aca="false">Assumptions!L30</f>
        <v>1.5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-181.20465623</v>
      </c>
      <c r="D24" s="0" t="n">
        <f aca="false">-D6*D23/100</f>
        <v>-197.0949106994</v>
      </c>
      <c r="E24" s="0" t="n">
        <f aca="false">-E6*E23/100</f>
        <v>-216.452446571662</v>
      </c>
      <c r="F24" s="0" t="n">
        <f aca="false">-F6*F23/100</f>
        <v>-222.946019968812</v>
      </c>
      <c r="G24" s="0" t="n">
        <f aca="false">-G6*G23/100</f>
        <v>-229.634400567877</v>
      </c>
      <c r="H24" s="0" t="n">
        <f aca="false">-H6*H23/100</f>
        <v>-235.375260582074</v>
      </c>
      <c r="I24" s="0" t="n">
        <f aca="false">-I6*I23/100</f>
        <v>-241.259642096626</v>
      </c>
      <c r="J24" s="0" t="n">
        <f aca="false">-J6*J23/100</f>
        <v>-246.084834938558</v>
      </c>
      <c r="K24" s="0" t="n">
        <f aca="false">-K6*K23/100</f>
        <v>-251.006531637329</v>
      </c>
      <c r="L24" s="0" t="n">
        <f aca="false">-L6*L23/100</f>
        <v>-256.026662270076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6960.25728119234</v>
      </c>
    </row>
    <row r="31" customFormat="false" ht="15" hidden="false" customHeight="false" outlineLevel="0" collapsed="false">
      <c r="A31" s="0" t="s">
        <v>126</v>
      </c>
      <c r="B31" s="0" t="n">
        <f aca="false">L19</f>
        <v>1291.86368326223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17569.3460923663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16794.227882409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16794.227882409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6776.70920588716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13736.9664870795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19015.0664870795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7.45585410906718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1.04550181318716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433.327557918575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374.672349218541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7.77267285024001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10136.1612071344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5.21307934009928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-0.5</v>
      </c>
      <c r="D5" s="4" t="n">
        <f aca="false">Assumptions!D41</f>
        <v>3</v>
      </c>
      <c r="E5" s="4" t="n">
        <f aca="false">Assumptions!E41</f>
        <v>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14151.086</v>
      </c>
      <c r="C6" s="0" t="n">
        <f aca="false">B6*(1+C5/100)</f>
        <v>14080.33057</v>
      </c>
      <c r="D6" s="0" t="n">
        <f aca="false">C6*(1+D5/100)</f>
        <v>14502.7404871</v>
      </c>
      <c r="E6" s="0" t="n">
        <f aca="false">D6*(1+E5/100)</f>
        <v>15227.877511455</v>
      </c>
      <c r="F6" s="0" t="n">
        <f aca="false">E6*(1+F5/100)</f>
        <v>16065.410774585</v>
      </c>
      <c r="G6" s="0" t="n">
        <f aca="false">F6*(1+G5/100)</f>
        <v>16868.6813133143</v>
      </c>
      <c r="H6" s="0" t="n">
        <f aca="false">G6*(1+H5/100)</f>
        <v>17627.7719724134</v>
      </c>
      <c r="I6" s="0" t="n">
        <f aca="false">H6*(1+I5/100)</f>
        <v>18332.88285131</v>
      </c>
      <c r="J6" s="0" t="n">
        <f aca="false">I6*(1+J5/100)</f>
        <v>18974.5337511058</v>
      </c>
      <c r="K6" s="0" t="n">
        <f aca="false">J6*(1+K5/100)</f>
        <v>19543.769763639</v>
      </c>
      <c r="L6" s="0" t="n">
        <f aca="false">K6*(1+L5/100)</f>
        <v>20130.0828565482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14.6</v>
      </c>
      <c r="D7" s="4" t="n">
        <f aca="false">Assumptions!D42</f>
        <v>15</v>
      </c>
      <c r="E7" s="4" t="n">
        <f aca="false">Assumptions!E42</f>
        <v>15.5</v>
      </c>
      <c r="F7" s="4" t="n">
        <f aca="false">Assumptions!F42</f>
        <v>16</v>
      </c>
      <c r="G7" s="4" t="n">
        <f aca="false">Assumptions!G42</f>
        <v>16.3</v>
      </c>
      <c r="H7" s="4" t="n">
        <f aca="false">Assumptions!H42</f>
        <v>16.5</v>
      </c>
      <c r="I7" s="4" t="n">
        <f aca="false">Assumptions!I42</f>
        <v>16.5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2055.72826322</v>
      </c>
      <c r="D8" s="0" t="n">
        <f aca="false">D6*D7/100</f>
        <v>2175.411073065</v>
      </c>
      <c r="E8" s="0" t="n">
        <f aca="false">E6*E7/100</f>
        <v>2360.32101427553</v>
      </c>
      <c r="F8" s="0" t="n">
        <f aca="false">F6*F7/100</f>
        <v>2570.4657239336</v>
      </c>
      <c r="G8" s="0" t="n">
        <f aca="false">G6*G7/100</f>
        <v>2749.59505407023</v>
      </c>
      <c r="H8" s="0" t="n">
        <f aca="false">H6*H7/100</f>
        <v>2908.58237544821</v>
      </c>
      <c r="I8" s="0" t="n">
        <f aca="false">I6*I7/100</f>
        <v>3024.92567046614</v>
      </c>
      <c r="J8" s="0" t="n">
        <f aca="false">J6*J7/100</f>
        <v>3130.79806893246</v>
      </c>
      <c r="K8" s="0" t="n">
        <f aca="false">K6*K7/100</f>
        <v>3224.72201100043</v>
      </c>
      <c r="L8" s="0" t="n">
        <f aca="false">L6*L7/100</f>
        <v>3321.46367133044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0.55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-77.441818135</v>
      </c>
      <c r="D10" s="0" t="n">
        <f aca="false">-D6*D9/100</f>
        <v>-72.5137024355</v>
      </c>
      <c r="E10" s="0" t="n">
        <f aca="false">-E6*E9/100</f>
        <v>-76.139387557275</v>
      </c>
      <c r="F10" s="0" t="n">
        <f aca="false">-F6*F9/100</f>
        <v>-72.2943484856326</v>
      </c>
      <c r="G10" s="0" t="n">
        <f aca="false">-G6*G9/100</f>
        <v>-75.9090659099143</v>
      </c>
      <c r="H10" s="0" t="n">
        <f aca="false">-H6*H9/100</f>
        <v>-70.5110878896537</v>
      </c>
      <c r="I10" s="0" t="n">
        <f aca="false">-I6*I9/100</f>
        <v>-73.3315314052398</v>
      </c>
      <c r="J10" s="0" t="n">
        <f aca="false">-J6*J9/100</f>
        <v>-75.8981350044232</v>
      </c>
      <c r="K10" s="0" t="n">
        <f aca="false">-K6*K9/100</f>
        <v>-78.1750790545559</v>
      </c>
      <c r="L10" s="0" t="n">
        <f aca="false">-L6*L9/100</f>
        <v>-80.5203314261926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1795.242147675</v>
      </c>
      <c r="D11" s="0" t="n">
        <f aca="false">D8+D10+D24</f>
        <v>1899.8590038101</v>
      </c>
      <c r="E11" s="0" t="n">
        <f aca="false">E8+E10+E24</f>
        <v>2070.99134155788</v>
      </c>
      <c r="F11" s="0" t="n">
        <f aca="false">F8+F10+F24</f>
        <v>2273.25562460378</v>
      </c>
      <c r="G11" s="0" t="n">
        <f aca="false">G8+G10+G24</f>
        <v>2437.52444977391</v>
      </c>
      <c r="H11" s="0" t="n">
        <f aca="false">H8+H10+H24</f>
        <v>2591.28247994477</v>
      </c>
      <c r="I11" s="0" t="n">
        <f aca="false">I8+I10+I24</f>
        <v>2694.93377914256</v>
      </c>
      <c r="J11" s="0" t="n">
        <f aca="false">J8+J10+J24</f>
        <v>2789.25646141255</v>
      </c>
      <c r="K11" s="0" t="n">
        <f aca="false">K8+K10+K24</f>
        <v>2872.93415525493</v>
      </c>
      <c r="L11" s="0" t="n">
        <f aca="false">L8+L10+L24</f>
        <v>2959.12217991258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-168.96396684</v>
      </c>
      <c r="D12" s="4" t="n">
        <f aca="false">-D6*Assumptions!D45/100</f>
        <v>-181.28425608875</v>
      </c>
      <c r="E12" s="4" t="n">
        <f aca="false">-E6*Assumptions!E45/100</f>
        <v>-197.962407648915</v>
      </c>
      <c r="F12" s="4" t="n">
        <f aca="false">-F6*Assumptions!F45/100</f>
        <v>-208.850340069605</v>
      </c>
      <c r="G12" s="4" t="n">
        <f aca="false">-G6*Assumptions!G45/100</f>
        <v>-219.292857073086</v>
      </c>
      <c r="H12" s="4" t="n">
        <f aca="false">-H6*Assumptions!H45/100</f>
        <v>-229.161035641374</v>
      </c>
      <c r="I12" s="4" t="n">
        <f aca="false">-I6*Assumptions!I45/100</f>
        <v>-238.327477067029</v>
      </c>
      <c r="J12" s="4" t="n">
        <f aca="false">-J6*Assumptions!J45/100</f>
        <v>-246.668938764375</v>
      </c>
      <c r="K12" s="4" t="n">
        <f aca="false">-K6*Assumptions!K45/100</f>
        <v>-254.069006927307</v>
      </c>
      <c r="L12" s="4" t="n">
        <f aca="false">-L6*Assumptions!L45/100</f>
        <v>-261.691077135126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1626.278180835</v>
      </c>
      <c r="D13" s="0" t="n">
        <f aca="false">D11+D12</f>
        <v>1718.57474772135</v>
      </c>
      <c r="E13" s="0" t="n">
        <f aca="false">E11+E12</f>
        <v>1873.02893390897</v>
      </c>
      <c r="F13" s="0" t="n">
        <f aca="false">F11+F12</f>
        <v>2064.40528453418</v>
      </c>
      <c r="G13" s="0" t="n">
        <f aca="false">G11+G12</f>
        <v>2218.23159270083</v>
      </c>
      <c r="H13" s="0" t="n">
        <f aca="false">H11+H12</f>
        <v>2362.1214443034</v>
      </c>
      <c r="I13" s="0" t="n">
        <f aca="false">I11+I12</f>
        <v>2456.60630207553</v>
      </c>
      <c r="J13" s="0" t="n">
        <f aca="false">J11+J12</f>
        <v>2542.58752264818</v>
      </c>
      <c r="K13" s="0" t="n">
        <f aca="false">K11+K12</f>
        <v>2618.86514832762</v>
      </c>
      <c r="L13" s="0" t="n">
        <f aca="false">L11+L12</f>
        <v>2697.43110277745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1187.18307200955</v>
      </c>
      <c r="D15" s="0" t="n">
        <f aca="false">D13-MAX(0,D13)*D14/100</f>
        <v>1254.55956583659</v>
      </c>
      <c r="E15" s="0" t="n">
        <f aca="false">E13-MAX(0,E13)*E14/100</f>
        <v>1367.31112175354</v>
      </c>
      <c r="F15" s="0" t="n">
        <f aca="false">F13-MAX(0,F13)*F14/100</f>
        <v>1507.01585770995</v>
      </c>
      <c r="G15" s="0" t="n">
        <f aca="false">G13-MAX(0,G13)*G14/100</f>
        <v>1619.3090626716</v>
      </c>
      <c r="H15" s="0" t="n">
        <f aca="false">H13-MAX(0,H13)*H14/100</f>
        <v>1724.34865434148</v>
      </c>
      <c r="I15" s="0" t="n">
        <f aca="false">I13-MAX(0,I13)*I14/100</f>
        <v>1793.32260051514</v>
      </c>
      <c r="J15" s="0" t="n">
        <f aca="false">J13-MAX(0,J13)*J14/100</f>
        <v>1856.08889153317</v>
      </c>
      <c r="K15" s="0" t="n">
        <f aca="false">K13-MAX(0,K13)*K14/100</f>
        <v>1911.77155827916</v>
      </c>
      <c r="L15" s="0" t="n">
        <f aca="false">L13-MAX(0,L13)*L14/100</f>
        <v>1969.12470502754</v>
      </c>
    </row>
    <row r="16" customFormat="false" ht="15" hidden="false" customHeight="false" outlineLevel="0" collapsed="false">
      <c r="A16" s="0" t="s">
        <v>117</v>
      </c>
      <c r="C16" s="0" t="n">
        <f aca="false">-C12</f>
        <v>168.96396684</v>
      </c>
      <c r="D16" s="0" t="n">
        <f aca="false">-D12</f>
        <v>181.28425608875</v>
      </c>
      <c r="E16" s="0" t="n">
        <f aca="false">-E12</f>
        <v>197.962407648915</v>
      </c>
      <c r="F16" s="0" t="n">
        <f aca="false">-F12</f>
        <v>208.850340069605</v>
      </c>
      <c r="G16" s="0" t="n">
        <f aca="false">-G12</f>
        <v>219.292857073086</v>
      </c>
      <c r="H16" s="0" t="n">
        <f aca="false">-H12</f>
        <v>229.161035641374</v>
      </c>
      <c r="I16" s="0" t="n">
        <f aca="false">-I12</f>
        <v>238.327477067029</v>
      </c>
      <c r="J16" s="0" t="n">
        <f aca="false">-J12</f>
        <v>246.668938764375</v>
      </c>
      <c r="K16" s="0" t="n">
        <f aca="false">-K12</f>
        <v>254.069006927307</v>
      </c>
      <c r="L16" s="0" t="n">
        <f aca="false">-L12</f>
        <v>261.691077135126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-253.44595026</v>
      </c>
      <c r="D17" s="4" t="n">
        <f aca="false">-D6*Assumptions!D46/100</f>
        <v>-275.5520692549</v>
      </c>
      <c r="E17" s="4" t="n">
        <f aca="false">-E6*Assumptions!E46/100</f>
        <v>-289.329672717645</v>
      </c>
      <c r="F17" s="4" t="n">
        <f aca="false">-F6*Assumptions!F46/100</f>
        <v>-289.17739394253</v>
      </c>
      <c r="G17" s="4" t="n">
        <f aca="false">-G6*Assumptions!G46/100</f>
        <v>-303.636263639657</v>
      </c>
      <c r="H17" s="4" t="n">
        <f aca="false">-H6*Assumptions!H46/100</f>
        <v>-299.672123531028</v>
      </c>
      <c r="I17" s="4" t="n">
        <f aca="false">-I6*Assumptions!I46/100</f>
        <v>-311.659008472269</v>
      </c>
      <c r="J17" s="4" t="n">
        <f aca="false">-J6*Assumptions!J46/100</f>
        <v>-322.567073768799</v>
      </c>
      <c r="K17" s="4" t="n">
        <f aca="false">-K6*Assumptions!K46/100</f>
        <v>-332.244085981863</v>
      </c>
      <c r="L17" s="4" t="n">
        <f aca="false">-L6*Assumptions!L46/100</f>
        <v>-342.211408561319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21.2266289999998</v>
      </c>
      <c r="D18" s="4" t="n">
        <f aca="false">(D6-C6)*Assumptions!$B$51/100</f>
        <v>-126.72297513</v>
      </c>
      <c r="E18" s="4" t="n">
        <f aca="false">(E6-D6)*Assumptions!$B$51/100</f>
        <v>-217.5411073065</v>
      </c>
      <c r="F18" s="4" t="n">
        <f aca="false">(F6-E6)*Assumptions!$B$51/100</f>
        <v>-251.259978939007</v>
      </c>
      <c r="G18" s="4" t="n">
        <f aca="false">(G6-F6)*Assumptions!$B$51/100</f>
        <v>-240.981161618776</v>
      </c>
      <c r="H18" s="4" t="n">
        <f aca="false">(H6-G6)*Assumptions!$B$51/100</f>
        <v>-227.727197729742</v>
      </c>
      <c r="I18" s="4" t="n">
        <f aca="false">(I6-H6)*Assumptions!$B$51/100</f>
        <v>-211.533263668961</v>
      </c>
      <c r="J18" s="4" t="n">
        <f aca="false">(J6-I6)*Assumptions!$B$51/100</f>
        <v>-192.495269938754</v>
      </c>
      <c r="K18" s="4" t="n">
        <f aca="false">(K6-J6)*Assumptions!$B$51/100</f>
        <v>-170.770803759953</v>
      </c>
      <c r="L18" s="4" t="n">
        <f aca="false">(L6-K6)*Assumptions!$B$51/100</f>
        <v>-175.893927872751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1123.92771758955</v>
      </c>
      <c r="D19" s="0" t="n">
        <f aca="false">D15+D16+D17+D18</f>
        <v>1033.56877754044</v>
      </c>
      <c r="E19" s="0" t="n">
        <f aca="false">E15+E16+E17+E18</f>
        <v>1058.40274937831</v>
      </c>
      <c r="F19" s="0" t="n">
        <f aca="false">F15+F16+F17+F18</f>
        <v>1175.42882489802</v>
      </c>
      <c r="G19" s="0" t="n">
        <f aca="false">G15+G16+G17+G18</f>
        <v>1293.98449448626</v>
      </c>
      <c r="H19" s="0" t="n">
        <f aca="false">H15+H16+H17+H18</f>
        <v>1426.11036872209</v>
      </c>
      <c r="I19" s="0" t="n">
        <f aca="false">I15+I16+I17+I18</f>
        <v>1508.45780544094</v>
      </c>
      <c r="J19" s="0" t="n">
        <f aca="false">J15+J16+J17+J18</f>
        <v>1587.69548658999</v>
      </c>
      <c r="K19" s="0" t="n">
        <f aca="false">K15+K16+K17+K18</f>
        <v>1662.82567546466</v>
      </c>
      <c r="L19" s="0" t="n">
        <f aca="false">L15+L16+L17+L18</f>
        <v>1712.7104457286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1026.4180069311</v>
      </c>
      <c r="D21" s="0" t="n">
        <f aca="false">D19*D20</f>
        <v>862.007695869924</v>
      </c>
      <c r="E21" s="0" t="n">
        <f aca="false">E19*E20</f>
        <v>806.136530358858</v>
      </c>
      <c r="F21" s="0" t="n">
        <f aca="false">F19*F20</f>
        <v>817.59807441874</v>
      </c>
      <c r="G21" s="0" t="n">
        <f aca="false">G19*G20</f>
        <v>821.974749343435</v>
      </c>
      <c r="H21" s="0" t="n">
        <f aca="false">H19*H20</f>
        <v>827.310283066287</v>
      </c>
      <c r="I21" s="0" t="n">
        <f aca="false">I19*I20</f>
        <v>799.161093327035</v>
      </c>
      <c r="J21" s="0" t="n">
        <f aca="false">J19*J20</f>
        <v>768.164542461762</v>
      </c>
      <c r="K21" s="0" t="n">
        <f aca="false">K19*K20</f>
        <v>734.716256386424</v>
      </c>
      <c r="L21" s="0" t="n">
        <f aca="false">L19*L20</f>
        <v>691.102962628326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1.3</v>
      </c>
      <c r="D23" s="4" t="n">
        <f aca="false">Assumptions!D44</f>
        <v>1.4</v>
      </c>
      <c r="E23" s="4" t="n">
        <f aca="false">Assumptions!E44</f>
        <v>1.4</v>
      </c>
      <c r="F23" s="4" t="n">
        <f aca="false">Assumptions!F44</f>
        <v>1.4</v>
      </c>
      <c r="G23" s="4" t="n">
        <f aca="false">Assumptions!G44</f>
        <v>1.4</v>
      </c>
      <c r="H23" s="4" t="n">
        <f aca="false">Assumptions!H44</f>
        <v>1.4</v>
      </c>
      <c r="I23" s="4" t="n">
        <f aca="false">Assumptions!I44</f>
        <v>1.4</v>
      </c>
      <c r="J23" s="4" t="n">
        <f aca="false">Assumptions!J44</f>
        <v>1.4</v>
      </c>
      <c r="K23" s="4" t="n">
        <f aca="false">Assumptions!K44</f>
        <v>1.4</v>
      </c>
      <c r="L23" s="4" t="n">
        <f aca="false">Assumptions!L44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-183.04429741</v>
      </c>
      <c r="D24" s="0" t="n">
        <f aca="false">-D6*D23/100</f>
        <v>-203.0383668194</v>
      </c>
      <c r="E24" s="0" t="n">
        <f aca="false">-E6*E23/100</f>
        <v>-213.19028516037</v>
      </c>
      <c r="F24" s="0" t="n">
        <f aca="false">-F6*F23/100</f>
        <v>-224.91575084419</v>
      </c>
      <c r="G24" s="0" t="n">
        <f aca="false">-G6*G23/100</f>
        <v>-236.1615383864</v>
      </c>
      <c r="H24" s="0" t="n">
        <f aca="false">-H6*H23/100</f>
        <v>-246.788807613788</v>
      </c>
      <c r="I24" s="0" t="n">
        <f aca="false">-I6*I23/100</f>
        <v>-256.660359918339</v>
      </c>
      <c r="J24" s="0" t="n">
        <f aca="false">-J6*J23/100</f>
        <v>-265.643472515481</v>
      </c>
      <c r="K24" s="0" t="n">
        <f aca="false">-K6*K23/100</f>
        <v>-273.612776690946</v>
      </c>
      <c r="L24" s="0" t="n">
        <f aca="false">-L6*L23/100</f>
        <v>-281.821159991674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8154.59019479189</v>
      </c>
    </row>
    <row r="31" customFormat="false" ht="15" hidden="false" customHeight="false" outlineLevel="0" collapsed="false">
      <c r="A31" s="0" t="s">
        <v>126</v>
      </c>
      <c r="B31" s="0" t="n">
        <f aca="false">L19</f>
        <v>1712.7104457286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25078.974383883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25690.6566859289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25078.974383883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10119.7219527719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18274.3121475638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23552.4121475638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9.23495844772237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1.53359628195401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471.206473441107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475.762477895949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9.60626729125352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14044.2256549745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5.92798952605695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5.45019265274754</v>
      </c>
      <c r="C4" s="0" t="n">
        <f aca="false">B4/Assumptions!$B$2-1</f>
        <v>0.495251756583688</v>
      </c>
      <c r="D4" s="4" t="n">
        <f aca="false">Assumptions!$B$24</f>
        <v>0.3</v>
      </c>
      <c r="E4" s="4" t="n">
        <f aca="false">DCF_Bear!$B$43</f>
        <v>5.76628796186762</v>
      </c>
      <c r="F4" s="4" t="n">
        <f aca="false">DCF_Bear!$B$47</f>
        <v>4.29917367441658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7.45585410906718</v>
      </c>
      <c r="C5" s="0" t="n">
        <f aca="false">B5/Assumptions!$B$2-1</f>
        <v>1.04550181318716</v>
      </c>
      <c r="D5" s="4" t="n">
        <f aca="false">Assumptions!$B$38</f>
        <v>0.5</v>
      </c>
      <c r="E5" s="4" t="n">
        <f aca="false">DCF_Base!$B$43</f>
        <v>7.77267285024001</v>
      </c>
      <c r="F5" s="4" t="n">
        <f aca="false">DCF_Base!$B$47</f>
        <v>5.21307934009928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9.23495844772237</v>
      </c>
      <c r="C6" s="0" t="n">
        <f aca="false">B6/Assumptions!$B$2-1</f>
        <v>1.53359628195401</v>
      </c>
      <c r="D6" s="4" t="n">
        <f aca="false">Assumptions!$B$52</f>
        <v>0.2</v>
      </c>
      <c r="E6" s="4" t="n">
        <f aca="false">DCF_Bull!$B$43</f>
        <v>9.60626729125352</v>
      </c>
      <c r="F6" s="4" t="n">
        <f aca="false">DCF_Bull!$B$47</f>
        <v>5.92798952605695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7.20997653990233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7.537476271931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0.494450504821008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-1088.54334561417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5.081889677586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7.64324843597287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7.45585410906718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7.22789291652928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6.64424375804893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6.17809450201283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5.21307934009928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8.25950688963605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8.25950688963605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8.25950688963605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8.25950688963605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8.25950688963605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7.83933974825416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7.83933974825416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7.83933974825416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7.83933974825416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7.83933974825416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7.2274101224265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7.39197996806568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7.45585410906718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7.45585410906718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7.45585410906718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6.66338913573698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6.78399255760204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6.91878461733359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7.07042568453158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7.10541977696189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6.20815770267804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6.29871493515361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6.39880450788977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6.51001514426327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6.63430938491602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2026-10-16T10:56:13Z</dcterms:created>
  <dc:creator>openpyxl</dc:creator>
  <dc:description/>
  <dc:language>en-NZ</dc:language>
  <cp:lastModifiedBy/>
  <dcterms:modified xsi:type="dcterms:W3CDTF">2026-10-16T10:56:13Z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