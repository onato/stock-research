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<sst xmlns="http://schemas.openxmlformats.org/spreadsheetml/2006/main" count="364" uniqueCount="167">
  <si>
    <t xml:space="preserve">Ticker</t>
  </si>
  <si>
    <t xml:space="preserve">4684.T</t>
  </si>
  <si>
    <t xml:space="preserve">Company</t>
  </si>
  <si>
    <t xml:space="preserve">OBIC Co.,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</si>
  <si>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</si>
  <si>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</si>
  <si>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</si>
  <si>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</si>
  <si>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close, Friday; valuation written on Saturday 2026-10-31)</t>
  </si>
  <si>
    <t xml:space="preserve">Balance sheet date</t>
  </si>
  <si>
    <t xml:space="preserve">2026-09-30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</si>
  <si>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</si>
  <si>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</si>
  <si>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</si>
  <si>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</si>
  <si>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</si>
  <si>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</si>
  <si>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</si>
  <si>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</si>
  <si>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</si>
  <si>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</si>
  <si>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2026-10-31T05:41:26Z</t>
  </si>
  <si>
    <t xml:space="preserve">Drivers file</t>
  </si>
  <si>
    <t xml:space="preserve">4684.T_Drivers.json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</si>
  <si>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</si>
  <si>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</si>
  <si>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</si>
  <si>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debt-free, 65%-margin domestic compounder valued on owner FCF with its cash and securities portfolio added as a separable asset. The model deliberately refuses to extrapolate the FY2027 acceleration (+14% H1) or the ~37x FCF multiple the market pays: growth decays to GDP within a decade, the terminal exit is capped at 20x, and the ¥145bn of unrealised securities gains is taken net of tax. Risk is carried in the scenario flows at a single 7% JPY cost of equity, not stacked into the discount rate.
key_risks_to_valuation: Terminal-heavy: with growth decaying to 2.5% and a 20x cap, roughly two-thirds of enterprise value sits in the terminal; each 1pp of WACC is worth roughly 15% of value.; Japan-only addressable market: if mid-market ERP saturation arrives sooner than the ~7-year deceleration assumed, the base case overstates value.; Investment-securities portfolio (¥337bn, &gt;50% of total assets) is marked to market; a Japanese equity drawdown reduces the ¥276bn bridge item roughly one-for-one after tax.; Upside not modelled: the listed OBC (4733.T) equity-method stake is carried at ¥64.5bn book, materially below market value; the stake percentage is not disclosed in the tanshin so it is left at book.; Labour-constrained delivery model: a new-graduate hiring shortfall would cap System Integration capacity regardless of demand.</t>
  </si>
  <si>
    <t xml:space="preserve">Data sources</t>
  </si>
  <si>
    <t xml:space="preserve">price: Yahoo Finance chart API at inputs.price_as_of (TSE regular close); 52-week range 3,643-6,167
financials: research/4684.T/Reports/4684.T_Metrics.csv (FY2016-FY2026 annual, quarterlies to H1 FY2027); 4684.T_Annual_FY2026.txt (consolidated P&amp;L lines 368-381, cash-flow 567-601, balance sheet 289-341); 4684.T_HalfYear_H1-FY2027.txt (balance sheet 212-280, share counts 76-77, cash-flow 360-395); 4684.T_Presentation_H1-FY2027.txt (capital allocation 480-501, group companies 507-524)
qualitative: research/4684.T/Reports/4684.T_Analysis.json (2026-10-31), incl. FY2027 guidance raised 2026-10-27</t>
  </si>
  <si>
    <t xml:space="preserve">Scenario narrative: bear</t>
  </si>
  <si>
    <t xml:space="preserve">The two-sided squeeze materialises: SAP/Oracle hold the large-enterprise tier and cloud-native vendors (Money Forward, freee) push up from the SMB end, while Japan's shrinking graduate pool constrains the headcount-led delivery model. Growth fades to 2% by year 7 and the operating margin gives back ~5pp (EBITDA 63%) as pricing pressure meets wage inflation and higher cloud capex (3%). Terminal growth 1.5% and a 18x cap. No solvency dimension -- zero debt and ¥480bn of liquid assets -- so this is a de-rating case, not a distress case.</t>
  </si>
  <si>
    <t xml:space="preserve">Scenario narrative: base</t>
  </si>
  <si>
    <t xml:space="preserve">OBIC delivers FY2027 guidance (+11.8% revenue, 66.5% OI margin) on the back of double-digit order growth in all three segments, then decelerates gradually as the Japan-only mid-market ERP pool matures: 10% -&gt; 5% by year 7 -&gt; 2.5% by year 10. The System Support (cloud/maintenance, ~53% of revenue, ~74% segment margin) mix shift lifts EBITDA margin ~1.3pp to 69% and no further; wage inflation in a tight engineering labour market and cloud opex absorb the rest. Capex runs modestly above D&amp;A for data-centre capacity. The ¥483bn of cash and securities is treated as a separable asset, not an engine of growth. Terminal value capped at 20x owner FCF (Gordon at 7%/2% would be 20.4x).</t>
  </si>
  <si>
    <t xml:space="preserve">Scenario narrative: bull</t>
  </si>
  <si>
    <t xml:space="preserve">Large-enterprise wins (&gt;¥100bn-revenue customers, flagged as accelerating in FY2026) and AI-enabled modules (management-analytics, decision-support, input-assist AI) lift ARPU and win rates, so growth holds 10%+ for five years (H1 FY2027 +14% becomes the run-rate rather than a peak) and the mix shift plus AI-driven internal productivity push EBITDA margin to 70.5%. Capex stays at the lean 2.2% the business has historically needed. Terminal growth 2.5%. Even here the exit is capped at 20x FCF, well below the ~37x the market pays today.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</si>
  <si>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</si>
  <si>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</si>
  <si>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</si>
  <si>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</si>
  <si>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</si>
  <si>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</si>
  <si>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</si>
  <si>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</si>
  <si>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</si>
  <si>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</si>
  <si>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</si>
  <si>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</si>
  <si>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</si>
  <si>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</si>
  <si>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</si>
  <si>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</si>
  <si>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</si>
  <si>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</si>
  <si>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</si>
  <si>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</si>
  <si>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</si>
  <si>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</si>
  <si>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</si>
  <si>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</si>
  <si>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</si>
  <si>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</si>
  <si>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</si>
  <si>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RecurringRevenue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</si>
  <si>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</si>
  <si>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</si>
  <si>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</si>
  <si>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</si>
  <si>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</si>
  <si>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</si>
  <si>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</si>
  <si>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</si>
  <si>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</si>
  <si>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</si>
  <si>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</si>
  <si>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</si>
  <si>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</si>
  <si>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</si>
  <si>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</si>
  <si>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</si>
  <si>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</si>
  <si>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</si>
  <si>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</si>
  <si>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</si>
  <si>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</si>
  <si>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</si>
  <si>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</si>
  <si>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</si>
  <si>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</si>
  <si>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</si>
  <si>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</si>
  <si>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</si>
  <si>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</si>
  <si>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</si>
  <si>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</si>
  <si>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</si>
  <si>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</si>
  <si>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</si>
  <si>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</si>
  <si>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</si>
  <si>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</si>
  <si>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</si>
  <si>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</si>
  <si>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</si>
  <si>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</si>
  <si>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</si>
  <si>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</si>
  <si>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</si>
  <si>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</si>
  <si>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</si>
  <si>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</si>
  <si>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</si>
  <si>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4684.T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</si>
  <si>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</si>
  <si>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</si>
  <si>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</si>
  <si>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</si>
  <si>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</si>
  <si>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</si>
  <si>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</si>
  <si>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</si>
  <si>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</si>
  <si>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</si>
  <si>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</si>
  <si>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</si>
  <si>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</si>
  <si>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</si>
  <si>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</si>
  <si>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</si>
  <si>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</si>
  <si>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</si>
  <si>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</si>
  <si>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</si>
  <si>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</si>
  <si>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</si>
  <si>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</si>
  <si>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</si>
  <si>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</si>
  <si>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</si>
  <si>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</si>
  <si>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</si>
  <si>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</si>
  <si>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</si>
  <si>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4684.T owner-FCF component DCF: base case (millions, JPY)</t>
  </si>
  <si>
    <t xml:space="preserve">4684.T owner-FCF component DCF: bull case (millions, JPY)</t>
  </si>
  <si>
    <t xml:space="preserve">4684.T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</si>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</sst>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6129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58738</v>
      </c>
      <c r="C2" s="0" t="n">
        <v>21223</v>
      </c>
      <c r="D2" s="0" t="n">
        <v>37514</v>
      </c>
      <c r="E2" s="0" t="n">
        <v>63.9</v>
      </c>
      <c r="F2" s="0" t="n">
        <v>26108</v>
      </c>
      <c r="G2" s="0" t="n">
        <v>44.4</v>
      </c>
      <c r="I2" s="0" t="n">
        <v>23157</v>
      </c>
      <c r="J2" s="0" t="n">
        <v>39.4</v>
      </c>
      <c r="K2" s="0" t="n">
        <v>51.88</v>
      </c>
      <c r="L2" s="0" t="n">
        <v>16656</v>
      </c>
      <c r="M2" s="0" t="n">
        <v>321</v>
      </c>
      <c r="N2" s="0" t="n">
        <v>16335</v>
      </c>
      <c r="O2" s="0" t="n">
        <v>160523</v>
      </c>
      <c r="P2" s="0" t="n">
        <v>181522</v>
      </c>
      <c r="Q2" s="0" t="n">
        <v>20999</v>
      </c>
      <c r="R2" s="0" t="n">
        <v>0</v>
      </c>
      <c r="S2" s="0" t="n">
        <v>82502</v>
      </c>
      <c r="T2" s="0" t="n">
        <v>446.339415</v>
      </c>
      <c r="V2" s="0" t="n">
        <v>17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61453</v>
      </c>
      <c r="C3" s="0" t="n">
        <v>21613</v>
      </c>
      <c r="D3" s="0" t="n">
        <v>39839</v>
      </c>
      <c r="E3" s="0" t="n">
        <v>64.8</v>
      </c>
      <c r="F3" s="0" t="n">
        <v>27850</v>
      </c>
      <c r="G3" s="0" t="n">
        <v>45.3</v>
      </c>
      <c r="H3" s="0" t="n">
        <v>28264</v>
      </c>
      <c r="I3" s="0" t="n">
        <v>23359</v>
      </c>
      <c r="J3" s="0" t="n">
        <v>38</v>
      </c>
      <c r="K3" s="0" t="n">
        <v>52.52</v>
      </c>
      <c r="L3" s="0" t="n">
        <v>21311</v>
      </c>
      <c r="M3" s="0" t="n">
        <v>1033</v>
      </c>
      <c r="N3" s="0" t="n">
        <v>20278</v>
      </c>
      <c r="O3" s="0" t="n">
        <v>177501</v>
      </c>
      <c r="P3" s="0" t="n">
        <v>200061</v>
      </c>
      <c r="Q3" s="0" t="n">
        <v>22560</v>
      </c>
      <c r="R3" s="0" t="n">
        <v>0</v>
      </c>
      <c r="S3" s="0" t="n">
        <v>98121</v>
      </c>
      <c r="T3" s="0" t="n">
        <v>444.75337</v>
      </c>
      <c r="V3" s="0" t="n">
        <v>18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66814</v>
      </c>
      <c r="C4" s="0" t="n">
        <v>22296</v>
      </c>
      <c r="D4" s="0" t="n">
        <v>44517</v>
      </c>
      <c r="E4" s="0" t="n">
        <v>66.6</v>
      </c>
      <c r="F4" s="0" t="n">
        <v>32325</v>
      </c>
      <c r="G4" s="0" t="n">
        <v>48.4</v>
      </c>
      <c r="H4" s="0" t="n">
        <v>32829</v>
      </c>
      <c r="I4" s="0" t="n">
        <v>26268</v>
      </c>
      <c r="J4" s="0" t="n">
        <v>39.3</v>
      </c>
      <c r="K4" s="0" t="n">
        <v>59.06</v>
      </c>
      <c r="L4" s="0" t="n">
        <v>26107</v>
      </c>
      <c r="M4" s="0" t="n">
        <v>7002</v>
      </c>
      <c r="N4" s="0" t="n">
        <v>19105</v>
      </c>
      <c r="O4" s="0" t="n">
        <v>197395</v>
      </c>
      <c r="P4" s="0" t="n">
        <v>221260</v>
      </c>
      <c r="Q4" s="0" t="n">
        <v>23865</v>
      </c>
      <c r="R4" s="0" t="n">
        <v>0</v>
      </c>
      <c r="S4" s="0" t="n">
        <v>109458</v>
      </c>
      <c r="T4" s="0" t="n">
        <v>444.753275</v>
      </c>
      <c r="V4" s="0" t="n">
        <v>23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74163</v>
      </c>
      <c r="C5" s="0" t="n">
        <v>23221</v>
      </c>
      <c r="D5" s="0" t="n">
        <v>50941</v>
      </c>
      <c r="E5" s="0" t="n">
        <v>68.7</v>
      </c>
      <c r="F5" s="0" t="n">
        <v>37939</v>
      </c>
      <c r="G5" s="0" t="n">
        <v>51.2</v>
      </c>
      <c r="H5" s="0" t="n">
        <v>38538</v>
      </c>
      <c r="I5" s="0" t="n">
        <v>32223</v>
      </c>
      <c r="J5" s="0" t="n">
        <v>43.4</v>
      </c>
      <c r="K5" s="0" t="n">
        <v>72.45</v>
      </c>
      <c r="L5" s="0" t="n">
        <v>29843</v>
      </c>
      <c r="M5" s="0" t="n">
        <v>10509</v>
      </c>
      <c r="N5" s="0" t="n">
        <v>19334</v>
      </c>
      <c r="O5" s="0" t="n">
        <v>218477</v>
      </c>
      <c r="P5" s="0" t="n">
        <v>244909</v>
      </c>
      <c r="Q5" s="0" t="n">
        <v>26432</v>
      </c>
      <c r="R5" s="0" t="n">
        <v>0</v>
      </c>
      <c r="S5" s="0" t="n">
        <v>119972</v>
      </c>
      <c r="T5" s="0" t="n">
        <v>444.75288</v>
      </c>
      <c r="V5" s="0" t="n">
        <v>27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80488</v>
      </c>
      <c r="C6" s="0" t="n">
        <v>24159</v>
      </c>
      <c r="D6" s="0" t="n">
        <v>56328</v>
      </c>
      <c r="E6" s="0" t="n">
        <v>70</v>
      </c>
      <c r="F6" s="0" t="n">
        <v>43238</v>
      </c>
      <c r="G6" s="0" t="n">
        <v>53.7</v>
      </c>
      <c r="H6" s="0" t="n">
        <v>44145</v>
      </c>
      <c r="I6" s="0" t="n">
        <v>35096</v>
      </c>
      <c r="J6" s="0" t="n">
        <v>43.6</v>
      </c>
      <c r="K6" s="0" t="n">
        <v>78.91</v>
      </c>
      <c r="L6" s="0" t="n">
        <v>31999</v>
      </c>
      <c r="M6" s="0" t="n">
        <v>12490</v>
      </c>
      <c r="N6" s="0" t="n">
        <v>19509</v>
      </c>
      <c r="O6" s="0" t="n">
        <v>238393</v>
      </c>
      <c r="P6" s="0" t="n">
        <v>264596</v>
      </c>
      <c r="Q6" s="0" t="n">
        <v>26203</v>
      </c>
      <c r="R6" s="0" t="n">
        <v>0</v>
      </c>
      <c r="S6" s="0" t="n">
        <v>129612</v>
      </c>
      <c r="T6" s="0" t="n">
        <v>444.75238</v>
      </c>
      <c r="V6" s="0" t="n">
        <v>32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83862</v>
      </c>
      <c r="C7" s="0" t="n">
        <v>23021</v>
      </c>
      <c r="D7" s="0" t="n">
        <v>60840</v>
      </c>
      <c r="E7" s="0" t="n">
        <v>72.5</v>
      </c>
      <c r="F7" s="0" t="n">
        <v>48077</v>
      </c>
      <c r="G7" s="0" t="n">
        <v>57.3</v>
      </c>
      <c r="H7" s="0" t="n">
        <v>50317</v>
      </c>
      <c r="I7" s="0" t="n">
        <v>38001</v>
      </c>
      <c r="J7" s="0" t="n">
        <v>45.3</v>
      </c>
      <c r="K7" s="0" t="n">
        <v>85.44</v>
      </c>
      <c r="L7" s="0" t="n">
        <v>41677</v>
      </c>
      <c r="M7" s="0" t="n">
        <v>1085</v>
      </c>
      <c r="N7" s="0" t="n">
        <v>40592</v>
      </c>
      <c r="O7" s="0" t="n">
        <v>266026</v>
      </c>
      <c r="P7" s="0" t="n">
        <v>298257</v>
      </c>
      <c r="Q7" s="0" t="n">
        <v>32231</v>
      </c>
      <c r="R7" s="0" t="n">
        <v>0</v>
      </c>
      <c r="S7" s="0" t="n">
        <v>150745</v>
      </c>
      <c r="T7" s="0" t="n">
        <v>444.75226</v>
      </c>
      <c r="V7" s="0" t="n">
        <v>37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89476</v>
      </c>
      <c r="C8" s="0" t="n">
        <v>21518</v>
      </c>
      <c r="D8" s="0" t="n">
        <v>67958</v>
      </c>
      <c r="E8" s="0" t="n">
        <v>76</v>
      </c>
      <c r="F8" s="0" t="n">
        <v>54135</v>
      </c>
      <c r="G8" s="0" t="n">
        <v>60.5</v>
      </c>
      <c r="H8" s="0" t="n">
        <v>56564</v>
      </c>
      <c r="I8" s="0" t="n">
        <v>43500</v>
      </c>
      <c r="J8" s="0" t="n">
        <v>48.6</v>
      </c>
      <c r="K8" s="0" t="n">
        <v>97.99</v>
      </c>
      <c r="L8" s="0" t="n">
        <v>38972</v>
      </c>
      <c r="M8" s="0" t="n">
        <v>1820</v>
      </c>
      <c r="N8" s="0" t="n">
        <v>37152</v>
      </c>
      <c r="O8" s="0" t="n">
        <v>293568</v>
      </c>
      <c r="P8" s="0" t="n">
        <v>323927</v>
      </c>
      <c r="Q8" s="0" t="n">
        <v>30359</v>
      </c>
      <c r="R8" s="0" t="n">
        <v>0</v>
      </c>
      <c r="S8" s="0" t="n">
        <v>122699</v>
      </c>
      <c r="T8" s="0" t="n">
        <v>443.916095</v>
      </c>
      <c r="V8" s="0" t="n">
        <v>43</v>
      </c>
      <c r="AA8" s="0" t="s">
        <v>17</v>
      </c>
      <c r="AB8" s="0" t="s">
        <v>14</v>
      </c>
      <c r="AC8" s="0" t="n">
        <v>42374</v>
      </c>
    </row>
    <row r="9" customFormat="false" ht="15" hidden="false" customHeight="false" outlineLevel="0" collapsed="false">
      <c r="A9" s="0" t="s">
        <v>71</v>
      </c>
      <c r="B9" s="0" t="n">
        <v>100167</v>
      </c>
      <c r="C9" s="0" t="n">
        <v>22942</v>
      </c>
      <c r="D9" s="0" t="n">
        <v>77224</v>
      </c>
      <c r="E9" s="0" t="n">
        <v>77.1</v>
      </c>
      <c r="F9" s="0" t="n">
        <v>62490</v>
      </c>
      <c r="G9" s="0" t="n">
        <v>62.4</v>
      </c>
      <c r="H9" s="0" t="n">
        <v>65001</v>
      </c>
      <c r="I9" s="0" t="n">
        <v>50116</v>
      </c>
      <c r="J9" s="0" t="n">
        <v>50</v>
      </c>
      <c r="K9" s="0" t="n">
        <v>113.03</v>
      </c>
      <c r="L9" s="0" t="n">
        <v>52960</v>
      </c>
      <c r="M9" s="0" t="n">
        <v>1119</v>
      </c>
      <c r="N9" s="0" t="n">
        <v>51841</v>
      </c>
      <c r="O9" s="0" t="n">
        <v>327865</v>
      </c>
      <c r="P9" s="0" t="n">
        <v>366708</v>
      </c>
      <c r="Q9" s="0" t="n">
        <v>38843</v>
      </c>
      <c r="R9" s="0" t="n">
        <v>0</v>
      </c>
      <c r="S9" s="0" t="n">
        <v>156321</v>
      </c>
      <c r="T9" s="0" t="n">
        <v>443.39713</v>
      </c>
      <c r="V9" s="0" t="n">
        <v>50</v>
      </c>
      <c r="AA9" s="0" t="s">
        <v>17</v>
      </c>
      <c r="AB9" s="0" t="s">
        <v>14</v>
      </c>
      <c r="AC9" s="0" t="n">
        <v>48873</v>
      </c>
    </row>
    <row r="10" customFormat="false" ht="15" hidden="false" customHeight="false" outlineLevel="0" collapsed="false">
      <c r="A10" s="0" t="s">
        <v>72</v>
      </c>
      <c r="B10" s="0" t="n">
        <v>111590</v>
      </c>
      <c r="C10" s="0" t="n">
        <v>25161</v>
      </c>
      <c r="D10" s="0" t="n">
        <v>86428</v>
      </c>
      <c r="E10" s="0" t="n">
        <v>77.5</v>
      </c>
      <c r="F10" s="0" t="n">
        <v>70910</v>
      </c>
      <c r="G10" s="0" t="n">
        <v>63.5</v>
      </c>
      <c r="H10" s="0" t="n">
        <v>73442</v>
      </c>
      <c r="I10" s="0" t="n">
        <v>58007</v>
      </c>
      <c r="J10" s="0" t="n">
        <v>52</v>
      </c>
      <c r="K10" s="0" t="n">
        <v>130.92</v>
      </c>
      <c r="L10" s="0" t="n">
        <v>55831</v>
      </c>
      <c r="M10" s="0" t="n">
        <v>3727</v>
      </c>
      <c r="N10" s="0" t="n">
        <v>52104</v>
      </c>
      <c r="O10" s="0" t="n">
        <v>398692</v>
      </c>
      <c r="P10" s="0" t="n">
        <v>462165</v>
      </c>
      <c r="Q10" s="0" t="n">
        <v>63473</v>
      </c>
      <c r="R10" s="0" t="n">
        <v>0</v>
      </c>
      <c r="S10" s="0" t="n">
        <v>170244</v>
      </c>
      <c r="T10" s="0" t="n">
        <v>443.075925</v>
      </c>
      <c r="V10" s="0" t="n">
        <v>60</v>
      </c>
      <c r="AA10" s="0" t="s">
        <v>17</v>
      </c>
      <c r="AB10" s="0" t="s">
        <v>14</v>
      </c>
      <c r="AC10" s="0" t="n">
        <v>56101</v>
      </c>
    </row>
    <row r="11" customFormat="false" ht="15" hidden="false" customHeight="false" outlineLevel="0" collapsed="false">
      <c r="A11" s="0" t="s">
        <v>73</v>
      </c>
      <c r="B11" s="0" t="n">
        <v>121240</v>
      </c>
      <c r="C11" s="0" t="n">
        <v>26855</v>
      </c>
      <c r="D11" s="0" t="n">
        <v>94385</v>
      </c>
      <c r="E11" s="0" t="n">
        <v>77.8</v>
      </c>
      <c r="F11" s="0" t="n">
        <v>78378</v>
      </c>
      <c r="G11" s="0" t="n">
        <v>64.6</v>
      </c>
      <c r="H11" s="0" t="n">
        <v>81065</v>
      </c>
      <c r="I11" s="0" t="n">
        <v>64621</v>
      </c>
      <c r="J11" s="0" t="n">
        <v>53.3</v>
      </c>
      <c r="K11" s="0" t="n">
        <v>146.9</v>
      </c>
      <c r="L11" s="0" t="n">
        <v>62794</v>
      </c>
      <c r="M11" s="0" t="n">
        <v>2068</v>
      </c>
      <c r="N11" s="0" t="n">
        <v>60726</v>
      </c>
      <c r="O11" s="0" t="n">
        <v>433850</v>
      </c>
      <c r="P11" s="0" t="n">
        <v>500375</v>
      </c>
      <c r="Q11" s="0" t="n">
        <v>66525</v>
      </c>
      <c r="R11" s="0" t="n">
        <v>0</v>
      </c>
      <c r="S11" s="0" t="n">
        <v>200065</v>
      </c>
      <c r="T11" s="0" t="n">
        <v>439.887479</v>
      </c>
      <c r="V11" s="0" t="n">
        <v>70</v>
      </c>
      <c r="AA11" s="0" t="s">
        <v>17</v>
      </c>
      <c r="AB11" s="0" t="s">
        <v>14</v>
      </c>
      <c r="AC11" s="0" t="n">
        <v>63028</v>
      </c>
    </row>
    <row r="12" customFormat="false" ht="15" hidden="false" customHeight="false" outlineLevel="0" collapsed="false">
      <c r="A12" s="0" t="s">
        <v>74</v>
      </c>
      <c r="B12" s="0" t="n">
        <v>135209</v>
      </c>
      <c r="C12" s="0" t="n">
        <v>29544</v>
      </c>
      <c r="D12" s="0" t="n">
        <v>105665</v>
      </c>
      <c r="E12" s="0" t="n">
        <v>78.1</v>
      </c>
      <c r="F12" s="0" t="n">
        <v>88823</v>
      </c>
      <c r="G12" s="0" t="n">
        <v>65.7</v>
      </c>
      <c r="H12" s="0" t="n">
        <v>91518</v>
      </c>
      <c r="I12" s="0" t="n">
        <v>75191</v>
      </c>
      <c r="J12" s="0" t="n">
        <v>55.6</v>
      </c>
      <c r="K12" s="0" t="n">
        <v>171.61</v>
      </c>
      <c r="L12" s="0" t="n">
        <v>73746</v>
      </c>
      <c r="M12" s="0" t="n">
        <v>2219</v>
      </c>
      <c r="N12" s="0" t="n">
        <v>71527</v>
      </c>
      <c r="O12" s="0" t="n">
        <v>516012</v>
      </c>
      <c r="P12" s="0" t="n">
        <v>618796</v>
      </c>
      <c r="Q12" s="0" t="n">
        <v>102784</v>
      </c>
      <c r="R12" s="0" t="n">
        <v>0</v>
      </c>
      <c r="S12" s="0" t="n">
        <v>207385</v>
      </c>
      <c r="T12" s="0" t="n">
        <v>438.15452</v>
      </c>
      <c r="V12" s="0" t="n">
        <v>84</v>
      </c>
      <c r="AA12" s="0" t="s">
        <v>17</v>
      </c>
      <c r="AB12" s="0" t="s">
        <v>14</v>
      </c>
      <c r="AC12" s="0" t="n">
        <v>71508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6129</v>
      </c>
    </row>
    <row r="3" customFormat="false" ht="15" hidden="false" customHeight="false" outlineLevel="0" collapsed="false">
      <c r="A3" s="0" t="s">
        <v>78</v>
      </c>
      <c r="B3" s="3" t="n">
        <v>428.58</v>
      </c>
    </row>
    <row r="4" customFormat="false" ht="15" hidden="false" customHeight="false" outlineLevel="0" collapsed="false">
      <c r="A4" s="0" t="s">
        <v>79</v>
      </c>
      <c r="B4" s="3" t="n">
        <v>-206420</v>
      </c>
    </row>
    <row r="5" customFormat="false" ht="15" hidden="false" customHeight="false" outlineLevel="0" collapsed="false">
      <c r="A5" s="0" t="s">
        <v>80</v>
      </c>
      <c r="B5" s="3" t="n">
        <v>276449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135209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9</v>
      </c>
      <c r="D13" s="3" t="n">
        <v>6</v>
      </c>
      <c r="E13" s="3" t="n">
        <v>4</v>
      </c>
      <c r="F13" s="3" t="n">
        <v>3</v>
      </c>
      <c r="G13" s="3" t="n">
        <v>3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67</v>
      </c>
      <c r="D14" s="3" t="n">
        <v>66</v>
      </c>
      <c r="E14" s="3" t="n">
        <v>65</v>
      </c>
      <c r="F14" s="3" t="n">
        <v>64.5</v>
      </c>
      <c r="G14" s="3" t="n">
        <v>64</v>
      </c>
      <c r="H14" s="3" t="n">
        <v>63.5</v>
      </c>
      <c r="I14" s="3" t="n">
        <v>63</v>
      </c>
      <c r="J14" s="3" t="n">
        <v>63</v>
      </c>
      <c r="K14" s="3" t="n">
        <v>63</v>
      </c>
      <c r="L14" s="3" t="n">
        <v>63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103</v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104</v>
      </c>
      <c r="C19" s="3" t="n">
        <v>31</v>
      </c>
      <c r="D19" s="3" t="n">
        <v>31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105</v>
      </c>
      <c r="B20" s="3" t="n">
        <v>7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18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0.2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11.8</v>
      </c>
      <c r="D27" s="3" t="n">
        <v>10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68.3</v>
      </c>
      <c r="D28" s="3" t="n">
        <v>68.5</v>
      </c>
      <c r="E28" s="3" t="n">
        <v>68.7</v>
      </c>
      <c r="F28" s="3" t="n">
        <v>68.9</v>
      </c>
      <c r="G28" s="3" t="n">
        <v>69</v>
      </c>
      <c r="H28" s="3" t="n">
        <v>69</v>
      </c>
      <c r="I28" s="3" t="n">
        <v>69</v>
      </c>
      <c r="J28" s="3" t="n">
        <v>69</v>
      </c>
      <c r="K28" s="3" t="n">
        <v>69</v>
      </c>
      <c r="L28" s="3" t="n">
        <v>69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2</v>
      </c>
      <c r="D31" s="3" t="n">
        <v>2</v>
      </c>
      <c r="E31" s="3" t="n">
        <v>2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103</v>
      </c>
      <c r="C32" s="3" t="n">
        <v>2.5</v>
      </c>
      <c r="D32" s="3" t="n">
        <v>2.5</v>
      </c>
      <c r="E32" s="3" t="n">
        <v>2.5</v>
      </c>
      <c r="F32" s="3" t="n">
        <v>2.5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104</v>
      </c>
      <c r="C33" s="3" t="n">
        <v>30.5</v>
      </c>
      <c r="D33" s="3" t="n">
        <v>30.5</v>
      </c>
      <c r="E33" s="3" t="n">
        <v>30.5</v>
      </c>
      <c r="F33" s="3" t="n">
        <v>30.5</v>
      </c>
      <c r="G33" s="3" t="n">
        <v>30.5</v>
      </c>
      <c r="H33" s="3" t="n">
        <v>30.5</v>
      </c>
      <c r="I33" s="3" t="n">
        <v>30.5</v>
      </c>
      <c r="J33" s="3" t="n">
        <v>30.5</v>
      </c>
      <c r="K33" s="3" t="n">
        <v>30.5</v>
      </c>
      <c r="L33" s="3" t="n">
        <v>30.5</v>
      </c>
    </row>
    <row r="34" customFormat="false" ht="15" hidden="false" customHeight="false" outlineLevel="0" collapsed="false">
      <c r="A34" s="0" t="s">
        <v>105</v>
      </c>
      <c r="B34" s="3" t="n">
        <v>7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20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13.5</v>
      </c>
      <c r="D41" s="3" t="n">
        <v>12</v>
      </c>
      <c r="E41" s="3" t="n">
        <v>11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4.5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68.5</v>
      </c>
      <c r="D42" s="3" t="n">
        <v>69</v>
      </c>
      <c r="E42" s="3" t="n">
        <v>69.5</v>
      </c>
      <c r="F42" s="3" t="n">
        <v>70</v>
      </c>
      <c r="G42" s="3" t="n">
        <v>70.3</v>
      </c>
      <c r="H42" s="3" t="n">
        <v>70.5</v>
      </c>
      <c r="I42" s="3" t="n">
        <v>70.5</v>
      </c>
      <c r="J42" s="3" t="n">
        <v>70.5</v>
      </c>
      <c r="K42" s="3" t="n">
        <v>70.5</v>
      </c>
      <c r="L42" s="3" t="n">
        <v>70.5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2</v>
      </c>
      <c r="D45" s="3" t="n">
        <v>2</v>
      </c>
      <c r="E45" s="3" t="n">
        <v>2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103</v>
      </c>
      <c r="C46" s="3" t="n">
        <v>2.2</v>
      </c>
      <c r="D46" s="3" t="n">
        <v>2.2</v>
      </c>
      <c r="E46" s="3" t="n">
        <v>2.2</v>
      </c>
      <c r="F46" s="3" t="n">
        <v>2.2</v>
      </c>
      <c r="G46" s="3" t="n">
        <v>2.2</v>
      </c>
      <c r="H46" s="3" t="n">
        <v>2.2</v>
      </c>
      <c r="I46" s="3" t="n">
        <v>2.2</v>
      </c>
      <c r="J46" s="3" t="n">
        <v>2.2</v>
      </c>
      <c r="K46" s="3" t="n">
        <v>2.2</v>
      </c>
      <c r="L46" s="3" t="n">
        <v>2.2</v>
      </c>
    </row>
    <row r="47" customFormat="false" ht="15" hidden="false" customHeight="false" outlineLevel="0" collapsed="false">
      <c r="A47" s="0" t="s">
        <v>104</v>
      </c>
      <c r="C47" s="3" t="n">
        <v>30.5</v>
      </c>
      <c r="D47" s="3" t="n">
        <v>30.5</v>
      </c>
      <c r="E47" s="3" t="n">
        <v>30.5</v>
      </c>
      <c r="F47" s="3" t="n">
        <v>30.5</v>
      </c>
      <c r="G47" s="3" t="n">
        <v>30.5</v>
      </c>
      <c r="H47" s="3" t="n">
        <v>30.5</v>
      </c>
      <c r="I47" s="3" t="n">
        <v>30.5</v>
      </c>
      <c r="J47" s="3" t="n">
        <v>30.5</v>
      </c>
      <c r="K47" s="3" t="n">
        <v>30.5</v>
      </c>
      <c r="L47" s="3" t="n">
        <v>30.5</v>
      </c>
    </row>
    <row r="48" customFormat="false" ht="15" hidden="false" customHeight="false" outlineLevel="0" collapsed="false">
      <c r="A48" s="0" t="s">
        <v>105</v>
      </c>
      <c r="B48" s="3" t="n">
        <v>7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20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9</v>
      </c>
      <c r="D5" s="4" t="n">
        <f aca="false">Assumptions!D13</f>
        <v>6</v>
      </c>
      <c r="E5" s="4" t="n">
        <f aca="false">Assumptions!E13</f>
        <v>4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135209</v>
      </c>
      <c r="C6" s="0" t="n">
        <f aca="false">B6*(1+C5/100)</f>
        <v>147377.81</v>
      </c>
      <c r="D6" s="0" t="n">
        <f aca="false">C6*(1+D5/100)</f>
        <v>156220.4786</v>
      </c>
      <c r="E6" s="0" t="n">
        <f aca="false">D6*(1+E5/100)</f>
        <v>162469.297744</v>
      </c>
      <c r="F6" s="0" t="n">
        <f aca="false">E6*(1+F5/100)</f>
        <v>167343.37667632</v>
      </c>
      <c r="G6" s="0" t="n">
        <f aca="false">F6*(1+G5/100)</f>
        <v>172363.67797661</v>
      </c>
      <c r="H6" s="0" t="n">
        <f aca="false">G6*(1+H5/100)</f>
        <v>176672.769926025</v>
      </c>
      <c r="I6" s="0" t="n">
        <f aca="false">H6*(1+I5/100)</f>
        <v>180206.225324545</v>
      </c>
      <c r="J6" s="0" t="n">
        <f aca="false">I6*(1+J5/100)</f>
        <v>183810.349831036</v>
      </c>
      <c r="K6" s="0" t="n">
        <f aca="false">J6*(1+K5/100)</f>
        <v>187486.556827657</v>
      </c>
      <c r="L6" s="0" t="n">
        <f aca="false">K6*(1+L5/100)</f>
        <v>191236.28796421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67</v>
      </c>
      <c r="D7" s="4" t="n">
        <f aca="false">Assumptions!D14</f>
        <v>66</v>
      </c>
      <c r="E7" s="4" t="n">
        <f aca="false">Assumptions!E14</f>
        <v>65</v>
      </c>
      <c r="F7" s="4" t="n">
        <f aca="false">Assumptions!F14</f>
        <v>64.5</v>
      </c>
      <c r="G7" s="4" t="n">
        <f aca="false">Assumptions!G14</f>
        <v>64</v>
      </c>
      <c r="H7" s="4" t="n">
        <f aca="false">Assumptions!H14</f>
        <v>63.5</v>
      </c>
      <c r="I7" s="4" t="n">
        <f aca="false">Assumptions!I14</f>
        <v>63</v>
      </c>
      <c r="J7" s="4" t="n">
        <f aca="false">Assumptions!J14</f>
        <v>63</v>
      </c>
      <c r="K7" s="4" t="n">
        <f aca="false">Assumptions!K14</f>
        <v>63</v>
      </c>
      <c r="L7" s="4" t="n">
        <f aca="false">Assumptions!L14</f>
        <v>63</v>
      </c>
    </row>
    <row r="8" customFormat="false" ht="15" hidden="false" customHeight="false" outlineLevel="0" collapsed="false">
      <c r="A8" s="0" t="s">
        <v>43</v>
      </c>
      <c r="C8" s="0" t="n">
        <f aca="false">C6*C7/100</f>
        <v>98743.1327</v>
      </c>
      <c r="D8" s="0" t="n">
        <f aca="false">D6*D7/100</f>
        <v>103105.515876</v>
      </c>
      <c r="E8" s="0" t="n">
        <f aca="false">E6*E7/100</f>
        <v>105605.0435336</v>
      </c>
      <c r="F8" s="0" t="n">
        <f aca="false">F6*F7/100</f>
        <v>107936.477956226</v>
      </c>
      <c r="G8" s="0" t="n">
        <f aca="false">G6*G7/100</f>
        <v>110312.75390503</v>
      </c>
      <c r="H8" s="0" t="n">
        <f aca="false">H6*H7/100</f>
        <v>112187.208903026</v>
      </c>
      <c r="I8" s="0" t="n">
        <f aca="false">I6*I7/100</f>
        <v>113529.921954464</v>
      </c>
      <c r="J8" s="0" t="n">
        <f aca="false">J6*J7/100</f>
        <v>115800.520393553</v>
      </c>
      <c r="K8" s="0" t="n">
        <f aca="false">K6*K7/100</f>
        <v>118116.530801424</v>
      </c>
      <c r="L8" s="0" t="n">
        <f aca="false">L6*L7/100</f>
        <v>120478.861417452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98743.1327</v>
      </c>
      <c r="D11" s="0" t="n">
        <f aca="false">D8+D10+D24</f>
        <v>103105.515876</v>
      </c>
      <c r="E11" s="0" t="n">
        <f aca="false">E8+E10+E24</f>
        <v>105605.0435336</v>
      </c>
      <c r="F11" s="0" t="n">
        <f aca="false">F8+F10+F24</f>
        <v>107936.477956226</v>
      </c>
      <c r="G11" s="0" t="n">
        <f aca="false">G8+G10+G24</f>
        <v>110312.75390503</v>
      </c>
      <c r="H11" s="0" t="n">
        <f aca="false">H8+H10+H24</f>
        <v>112187.208903026</v>
      </c>
      <c r="I11" s="0" t="n">
        <f aca="false">I8+I10+I24</f>
        <v>113529.921954464</v>
      </c>
      <c r="J11" s="0" t="n">
        <f aca="false">J8+J10+J24</f>
        <v>115800.520393553</v>
      </c>
      <c r="K11" s="0" t="n">
        <f aca="false">K8+K10+K24</f>
        <v>118116.530801424</v>
      </c>
      <c r="L11" s="0" t="n">
        <f aca="false">L8+L10+L24</f>
        <v>120478.861417452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-2947.5562</v>
      </c>
      <c r="D12" s="4" t="n">
        <f aca="false">-D6*Assumptions!D17/100</f>
        <v>-3124.409572</v>
      </c>
      <c r="E12" s="4" t="n">
        <f aca="false">-E6*Assumptions!E17/100</f>
        <v>-3249.38595488</v>
      </c>
      <c r="F12" s="4" t="n">
        <f aca="false">-F6*Assumptions!F17/100</f>
        <v>-3346.8675335264</v>
      </c>
      <c r="G12" s="4" t="n">
        <f aca="false">-G6*Assumptions!G17/100</f>
        <v>-3447.27355953219</v>
      </c>
      <c r="H12" s="4" t="n">
        <f aca="false">-H6*Assumptions!H17/100</f>
        <v>-3533.4553985205</v>
      </c>
      <c r="I12" s="4" t="n">
        <f aca="false">-I6*Assumptions!I17/100</f>
        <v>-3604.12450649091</v>
      </c>
      <c r="J12" s="4" t="n">
        <f aca="false">-J6*Assumptions!J17/100</f>
        <v>-3676.20699662073</v>
      </c>
      <c r="K12" s="4" t="n">
        <f aca="false">-K6*Assumptions!K17/100</f>
        <v>-3749.73113655314</v>
      </c>
      <c r="L12" s="4" t="n">
        <f aca="false">-L6*Assumptions!L17/100</f>
        <v>-3824.7257592842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95795.5765</v>
      </c>
      <c r="D13" s="0" t="n">
        <f aca="false">D11+D12</f>
        <v>99981.106304</v>
      </c>
      <c r="E13" s="0" t="n">
        <f aca="false">E11+E12</f>
        <v>102355.65757872</v>
      </c>
      <c r="F13" s="0" t="n">
        <f aca="false">F11+F12</f>
        <v>104589.6104227</v>
      </c>
      <c r="G13" s="0" t="n">
        <f aca="false">G11+G12</f>
        <v>106865.480345498</v>
      </c>
      <c r="H13" s="0" t="n">
        <f aca="false">H11+H12</f>
        <v>108653.753504505</v>
      </c>
      <c r="I13" s="0" t="n">
        <f aca="false">I11+I12</f>
        <v>109925.797447973</v>
      </c>
      <c r="J13" s="0" t="n">
        <f aca="false">J11+J12</f>
        <v>112124.313396932</v>
      </c>
      <c r="K13" s="0" t="n">
        <f aca="false">K11+K12</f>
        <v>114366.799664871</v>
      </c>
      <c r="L13" s="0" t="n">
        <f aca="false">L11+L12</f>
        <v>116654.135658168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66098.947785</v>
      </c>
      <c r="D15" s="0" t="n">
        <f aca="false">D13-MAX(0,D13)*D14/100</f>
        <v>68986.96334976</v>
      </c>
      <c r="E15" s="0" t="n">
        <f aca="false">E13-MAX(0,E13)*E14/100</f>
        <v>70625.4037293168</v>
      </c>
      <c r="F15" s="0" t="n">
        <f aca="false">F13-MAX(0,F13)*F14/100</f>
        <v>72166.831191663</v>
      </c>
      <c r="G15" s="0" t="n">
        <f aca="false">G13-MAX(0,G13)*G14/100</f>
        <v>73737.1814383936</v>
      </c>
      <c r="H15" s="0" t="n">
        <f aca="false">H13-MAX(0,H13)*H14/100</f>
        <v>74971.0899181086</v>
      </c>
      <c r="I15" s="0" t="n">
        <f aca="false">I13-MAX(0,I13)*I14/100</f>
        <v>75848.8002391011</v>
      </c>
      <c r="J15" s="0" t="n">
        <f aca="false">J13-MAX(0,J13)*J14/100</f>
        <v>77365.7762438832</v>
      </c>
      <c r="K15" s="0" t="n">
        <f aca="false">K13-MAX(0,K13)*K14/100</f>
        <v>78913.0917687608</v>
      </c>
      <c r="L15" s="0" t="n">
        <f aca="false">L13-MAX(0,L13)*L14/100</f>
        <v>80491.353604136</v>
      </c>
    </row>
    <row r="16" customFormat="false" ht="15" hidden="false" customHeight="false" outlineLevel="0" collapsed="false">
      <c r="A16" s="0" t="s">
        <v>120</v>
      </c>
      <c r="C16" s="0" t="n">
        <f aca="false">-C12</f>
        <v>2947.5562</v>
      </c>
      <c r="D16" s="0" t="n">
        <f aca="false">-D12</f>
        <v>3124.409572</v>
      </c>
      <c r="E16" s="0" t="n">
        <f aca="false">-E12</f>
        <v>3249.38595488</v>
      </c>
      <c r="F16" s="0" t="n">
        <f aca="false">-F12</f>
        <v>3346.8675335264</v>
      </c>
      <c r="G16" s="0" t="n">
        <f aca="false">-G12</f>
        <v>3447.27355953219</v>
      </c>
      <c r="H16" s="0" t="n">
        <f aca="false">-H12</f>
        <v>3533.4553985205</v>
      </c>
      <c r="I16" s="0" t="n">
        <f aca="false">-I12</f>
        <v>3604.12450649091</v>
      </c>
      <c r="J16" s="0" t="n">
        <f aca="false">-J12</f>
        <v>3676.20699662073</v>
      </c>
      <c r="K16" s="0" t="n">
        <f aca="false">-K12</f>
        <v>3749.73113655314</v>
      </c>
      <c r="L16" s="0" t="n">
        <f aca="false">-L12</f>
        <v>3824.7257592842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-4421.3343</v>
      </c>
      <c r="D17" s="4" t="n">
        <f aca="false">-D6*Assumptions!D18/100</f>
        <v>-4686.614358</v>
      </c>
      <c r="E17" s="4" t="n">
        <f aca="false">-E6*Assumptions!E18/100</f>
        <v>-4874.07893232</v>
      </c>
      <c r="F17" s="4" t="n">
        <f aca="false">-F6*Assumptions!F18/100</f>
        <v>-5020.3013002896</v>
      </c>
      <c r="G17" s="4" t="n">
        <f aca="false">-G6*Assumptions!G18/100</f>
        <v>-5170.91033929829</v>
      </c>
      <c r="H17" s="4" t="n">
        <f aca="false">-H6*Assumptions!H18/100</f>
        <v>-5300.18309778075</v>
      </c>
      <c r="I17" s="4" t="n">
        <f aca="false">-I6*Assumptions!I18/100</f>
        <v>-5406.18675973636</v>
      </c>
      <c r="J17" s="4" t="n">
        <f aca="false">-J6*Assumptions!J18/100</f>
        <v>-5514.31049493109</v>
      </c>
      <c r="K17" s="4" t="n">
        <f aca="false">-K6*Assumptions!K18/100</f>
        <v>-5624.59670482971</v>
      </c>
      <c r="L17" s="4" t="n">
        <f aca="false">-L6*Assumptions!L18/100</f>
        <v>-5737.0886389263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64625.169685</v>
      </c>
      <c r="D19" s="0" t="n">
        <f aca="false">D15+D16+D17+D18</f>
        <v>67424.75856376</v>
      </c>
      <c r="E19" s="0" t="n">
        <f aca="false">E15+E16+E17+E18</f>
        <v>69000.7107518768</v>
      </c>
      <c r="F19" s="0" t="n">
        <f aca="false">F15+F16+F17+F18</f>
        <v>70493.3974248998</v>
      </c>
      <c r="G19" s="0" t="n">
        <f aca="false">G15+G16+G17+G18</f>
        <v>72013.5446586275</v>
      </c>
      <c r="H19" s="0" t="n">
        <f aca="false">H15+H16+H17+H18</f>
        <v>73204.3622188484</v>
      </c>
      <c r="I19" s="0" t="n">
        <f aca="false">I15+I16+I17+I18</f>
        <v>74046.7379858557</v>
      </c>
      <c r="J19" s="0" t="n">
        <f aca="false">J15+J16+J17+J18</f>
        <v>75527.6727455728</v>
      </c>
      <c r="K19" s="0" t="n">
        <f aca="false">K15+K16+K17+K18</f>
        <v>77038.2262004843</v>
      </c>
      <c r="L19" s="0" t="n">
        <f aca="false">L15+L16+L17+L18</f>
        <v>78578.9907244939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60397.3548457944</v>
      </c>
      <c r="D21" s="0" t="n">
        <f aca="false">D19*D20</f>
        <v>58891.3953740589</v>
      </c>
      <c r="E21" s="0" t="n">
        <f aca="false">E19*E20</f>
        <v>56325.1336907168</v>
      </c>
      <c r="F21" s="0" t="n">
        <f aca="false">F19*F20</f>
        <v>53779.0753764194</v>
      </c>
      <c r="G21" s="0" t="n">
        <f aca="false">G19*G20</f>
        <v>51344.6620772313</v>
      </c>
      <c r="H21" s="0" t="n">
        <f aca="false">H19*H20</f>
        <v>48779.1575139769</v>
      </c>
      <c r="I21" s="0" t="n">
        <f aca="false">I19*I20</f>
        <v>46112.5869680876</v>
      </c>
      <c r="J21" s="0" t="n">
        <f aca="false">J19*J20</f>
        <v>43957.7931845321</v>
      </c>
      <c r="K21" s="0" t="n">
        <f aca="false">K19*K20</f>
        <v>41903.6906992736</v>
      </c>
      <c r="L21" s="0" t="n">
        <f aca="false">L19*L20</f>
        <v>39945.574311457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501436.424041548</v>
      </c>
    </row>
    <row r="31" customFormat="false" ht="15" hidden="false" customHeight="false" outlineLevel="0" collapsed="false">
      <c r="A31" s="0" t="s">
        <v>129</v>
      </c>
      <c r="B31" s="0" t="n">
        <f aca="false">L19</f>
        <v>78578.9907244939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1450139.55609748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1414421.83304089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1414421.83304089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719020.337606227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1220456.76164777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1703325.76164777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3974.34729023234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-0.351550450280252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3974.34729023234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590797.596928603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2293.7584904186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11.8</v>
      </c>
      <c r="D5" s="4" t="n">
        <f aca="false">Assumptions!D27</f>
        <v>10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135209</v>
      </c>
      <c r="C6" s="0" t="n">
        <f aca="false">B6*(1+C5/100)</f>
        <v>151163.662</v>
      </c>
      <c r="D6" s="0" t="n">
        <f aca="false">C6*(1+D5/100)</f>
        <v>166280.0282</v>
      </c>
      <c r="E6" s="0" t="n">
        <f aca="false">D6*(1+E5/100)</f>
        <v>181245.230738</v>
      </c>
      <c r="F6" s="0" t="n">
        <f aca="false">E6*(1+F5/100)</f>
        <v>195744.84919704</v>
      </c>
      <c r="G6" s="0" t="n">
        <f aca="false">F6*(1+G5/100)</f>
        <v>209446.988640833</v>
      </c>
      <c r="H6" s="0" t="n">
        <f aca="false">G6*(1+H5/100)</f>
        <v>222013.807959283</v>
      </c>
      <c r="I6" s="0" t="n">
        <f aca="false">H6*(1+I5/100)</f>
        <v>233114.498357247</v>
      </c>
      <c r="J6" s="0" t="n">
        <f aca="false">I6*(1+J5/100)</f>
        <v>242439.078291537</v>
      </c>
      <c r="K6" s="0" t="n">
        <f aca="false">J6*(1+K5/100)</f>
        <v>249712.250640283</v>
      </c>
      <c r="L6" s="0" t="n">
        <f aca="false">K6*(1+L5/100)</f>
        <v>255955.05690629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68.3</v>
      </c>
      <c r="D7" s="4" t="n">
        <f aca="false">Assumptions!D28</f>
        <v>68.5</v>
      </c>
      <c r="E7" s="4" t="n">
        <f aca="false">Assumptions!E28</f>
        <v>68.7</v>
      </c>
      <c r="F7" s="4" t="n">
        <f aca="false">Assumptions!F28</f>
        <v>68.9</v>
      </c>
      <c r="G7" s="4" t="n">
        <f aca="false">Assumptions!G28</f>
        <v>69</v>
      </c>
      <c r="H7" s="4" t="n">
        <f aca="false">Assumptions!H28</f>
        <v>69</v>
      </c>
      <c r="I7" s="4" t="n">
        <f aca="false">Assumptions!I28</f>
        <v>69</v>
      </c>
      <c r="J7" s="4" t="n">
        <f aca="false">Assumptions!J28</f>
        <v>69</v>
      </c>
      <c r="K7" s="4" t="n">
        <f aca="false">Assumptions!K28</f>
        <v>69</v>
      </c>
      <c r="L7" s="4" t="n">
        <f aca="false">Assumptions!L28</f>
        <v>69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103244.781146</v>
      </c>
      <c r="D8" s="0" t="n">
        <f aca="false">D6*D7/100</f>
        <v>113901.819317</v>
      </c>
      <c r="E8" s="0" t="n">
        <f aca="false">E6*E7/100</f>
        <v>124515.473517006</v>
      </c>
      <c r="F8" s="0" t="n">
        <f aca="false">F6*F7/100</f>
        <v>134868.201096761</v>
      </c>
      <c r="G8" s="0" t="n">
        <f aca="false">G6*G7/100</f>
        <v>144518.422162175</v>
      </c>
      <c r="H8" s="0" t="n">
        <f aca="false">H6*H7/100</f>
        <v>153189.527491905</v>
      </c>
      <c r="I8" s="0" t="n">
        <f aca="false">I6*I7/100</f>
        <v>160849.0038665</v>
      </c>
      <c r="J8" s="0" t="n">
        <f aca="false">J6*J7/100</f>
        <v>167282.96402116</v>
      </c>
      <c r="K8" s="0" t="n">
        <f aca="false">K6*K7/100</f>
        <v>172301.452941795</v>
      </c>
      <c r="L8" s="0" t="n">
        <f aca="false">L6*L7/100</f>
        <v>176608.98926534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103244.781146</v>
      </c>
      <c r="D11" s="0" t="n">
        <f aca="false">D8+D10+D24</f>
        <v>113901.819317</v>
      </c>
      <c r="E11" s="0" t="n">
        <f aca="false">E8+E10+E24</f>
        <v>124515.473517006</v>
      </c>
      <c r="F11" s="0" t="n">
        <f aca="false">F8+F10+F24</f>
        <v>134868.201096761</v>
      </c>
      <c r="G11" s="0" t="n">
        <f aca="false">G8+G10+G24</f>
        <v>144518.422162175</v>
      </c>
      <c r="H11" s="0" t="n">
        <f aca="false">H8+H10+H24</f>
        <v>153189.527491905</v>
      </c>
      <c r="I11" s="0" t="n">
        <f aca="false">I8+I10+I24</f>
        <v>160849.0038665</v>
      </c>
      <c r="J11" s="0" t="n">
        <f aca="false">J8+J10+J24</f>
        <v>167282.96402116</v>
      </c>
      <c r="K11" s="0" t="n">
        <f aca="false">K8+K10+K24</f>
        <v>172301.452941795</v>
      </c>
      <c r="L11" s="0" t="n">
        <f aca="false">L8+L10+L24</f>
        <v>176608.98926534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-3023.27324</v>
      </c>
      <c r="D12" s="4" t="n">
        <f aca="false">-D6*Assumptions!D31/100</f>
        <v>-3325.600564</v>
      </c>
      <c r="E12" s="4" t="n">
        <f aca="false">-E6*Assumptions!E31/100</f>
        <v>-3624.90461476</v>
      </c>
      <c r="F12" s="4" t="n">
        <f aca="false">-F6*Assumptions!F31/100</f>
        <v>-3914.8969839408</v>
      </c>
      <c r="G12" s="4" t="n">
        <f aca="false">-G6*Assumptions!G31/100</f>
        <v>-4188.93977281666</v>
      </c>
      <c r="H12" s="4" t="n">
        <f aca="false">-H6*Assumptions!H31/100</f>
        <v>-4440.27615918566</v>
      </c>
      <c r="I12" s="4" t="n">
        <f aca="false">-I6*Assumptions!I31/100</f>
        <v>-4662.28996714494</v>
      </c>
      <c r="J12" s="4" t="n">
        <f aca="false">-J6*Assumptions!J31/100</f>
        <v>-4848.78156583074</v>
      </c>
      <c r="K12" s="4" t="n">
        <f aca="false">-K6*Assumptions!K31/100</f>
        <v>-4994.24501280566</v>
      </c>
      <c r="L12" s="4" t="n">
        <f aca="false">-L6*Assumptions!L31/100</f>
        <v>-5119.1011381258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100221.507906</v>
      </c>
      <c r="D13" s="0" t="n">
        <f aca="false">D11+D12</f>
        <v>110576.218753</v>
      </c>
      <c r="E13" s="0" t="n">
        <f aca="false">E11+E12</f>
        <v>120890.568902246</v>
      </c>
      <c r="F13" s="0" t="n">
        <f aca="false">F11+F12</f>
        <v>130953.30411282</v>
      </c>
      <c r="G13" s="0" t="n">
        <f aca="false">G11+G12</f>
        <v>140329.482389358</v>
      </c>
      <c r="H13" s="0" t="n">
        <f aca="false">H11+H12</f>
        <v>148749.25133272</v>
      </c>
      <c r="I13" s="0" t="n">
        <f aca="false">I11+I12</f>
        <v>156186.713899355</v>
      </c>
      <c r="J13" s="0" t="n">
        <f aca="false">J11+J12</f>
        <v>162434.18245533</v>
      </c>
      <c r="K13" s="0" t="n">
        <f aca="false">K11+K12</f>
        <v>167307.20792899</v>
      </c>
      <c r="L13" s="0" t="n">
        <f aca="false">L11+L12</f>
        <v>171489.888127214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30.5</v>
      </c>
      <c r="D14" s="4" t="n">
        <f aca="false">Assumptions!D33</f>
        <v>30.5</v>
      </c>
      <c r="E14" s="4" t="n">
        <f aca="false">Assumptions!E33</f>
        <v>30.5</v>
      </c>
      <c r="F14" s="4" t="n">
        <f aca="false">Assumptions!F33</f>
        <v>30.5</v>
      </c>
      <c r="G14" s="4" t="n">
        <f aca="false">Assumptions!G33</f>
        <v>30.5</v>
      </c>
      <c r="H14" s="4" t="n">
        <f aca="false">Assumptions!H33</f>
        <v>30.5</v>
      </c>
      <c r="I14" s="4" t="n">
        <f aca="false">Assumptions!I33</f>
        <v>30.5</v>
      </c>
      <c r="J14" s="4" t="n">
        <f aca="false">Assumptions!J33</f>
        <v>30.5</v>
      </c>
      <c r="K14" s="4" t="n">
        <f aca="false">Assumptions!K33</f>
        <v>30.5</v>
      </c>
      <c r="L14" s="4" t="n">
        <f aca="false">Assumptions!L33</f>
        <v>30.5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69653.94799467</v>
      </c>
      <c r="D15" s="0" t="n">
        <f aca="false">D13-MAX(0,D13)*D14/100</f>
        <v>76850.472033335</v>
      </c>
      <c r="E15" s="0" t="n">
        <f aca="false">E13-MAX(0,E13)*E14/100</f>
        <v>84018.945387061</v>
      </c>
      <c r="F15" s="0" t="n">
        <f aca="false">F13-MAX(0,F13)*F14/100</f>
        <v>91012.5463584098</v>
      </c>
      <c r="G15" s="0" t="n">
        <f aca="false">G13-MAX(0,G13)*G14/100</f>
        <v>97528.9902606038</v>
      </c>
      <c r="H15" s="0" t="n">
        <f aca="false">H13-MAX(0,H13)*H14/100</f>
        <v>103380.72967624</v>
      </c>
      <c r="I15" s="0" t="n">
        <f aca="false">I13-MAX(0,I13)*I14/100</f>
        <v>108549.766160052</v>
      </c>
      <c r="J15" s="0" t="n">
        <f aca="false">J13-MAX(0,J13)*J14/100</f>
        <v>112891.756806454</v>
      </c>
      <c r="K15" s="0" t="n">
        <f aca="false">K13-MAX(0,K13)*K14/100</f>
        <v>116278.509510648</v>
      </c>
      <c r="L15" s="0" t="n">
        <f aca="false">L13-MAX(0,L13)*L14/100</f>
        <v>119185.472248414</v>
      </c>
    </row>
    <row r="16" customFormat="false" ht="15" hidden="false" customHeight="false" outlineLevel="0" collapsed="false">
      <c r="A16" s="0" t="s">
        <v>120</v>
      </c>
      <c r="C16" s="0" t="n">
        <f aca="false">-C12</f>
        <v>3023.27324</v>
      </c>
      <c r="D16" s="0" t="n">
        <f aca="false">-D12</f>
        <v>3325.600564</v>
      </c>
      <c r="E16" s="0" t="n">
        <f aca="false">-E12</f>
        <v>3624.90461476</v>
      </c>
      <c r="F16" s="0" t="n">
        <f aca="false">-F12</f>
        <v>3914.8969839408</v>
      </c>
      <c r="G16" s="0" t="n">
        <f aca="false">-G12</f>
        <v>4188.93977281666</v>
      </c>
      <c r="H16" s="0" t="n">
        <f aca="false">-H12</f>
        <v>4440.27615918566</v>
      </c>
      <c r="I16" s="0" t="n">
        <f aca="false">-I12</f>
        <v>4662.28996714494</v>
      </c>
      <c r="J16" s="0" t="n">
        <f aca="false">-J12</f>
        <v>4848.78156583074</v>
      </c>
      <c r="K16" s="0" t="n">
        <f aca="false">-K12</f>
        <v>4994.24501280566</v>
      </c>
      <c r="L16" s="0" t="n">
        <f aca="false">-L12</f>
        <v>5119.1011381258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-3779.09155</v>
      </c>
      <c r="D17" s="4" t="n">
        <f aca="false">-D6*Assumptions!D32/100</f>
        <v>-4157.000705</v>
      </c>
      <c r="E17" s="4" t="n">
        <f aca="false">-E6*Assumptions!E32/100</f>
        <v>-4531.13076845</v>
      </c>
      <c r="F17" s="4" t="n">
        <f aca="false">-F6*Assumptions!F32/100</f>
        <v>-4893.621229926</v>
      </c>
      <c r="G17" s="4" t="n">
        <f aca="false">-G6*Assumptions!G32/100</f>
        <v>-5236.17471602082</v>
      </c>
      <c r="H17" s="4" t="n">
        <f aca="false">-H6*Assumptions!H32/100</f>
        <v>-5550.34519898207</v>
      </c>
      <c r="I17" s="4" t="n">
        <f aca="false">-I6*Assumptions!I32/100</f>
        <v>-5827.86245893118</v>
      </c>
      <c r="J17" s="4" t="n">
        <f aca="false">-J6*Assumptions!J32/100</f>
        <v>-6060.97695728842</v>
      </c>
      <c r="K17" s="4" t="n">
        <f aca="false">-K6*Assumptions!K32/100</f>
        <v>-6242.80626600708</v>
      </c>
      <c r="L17" s="4" t="n">
        <f aca="false">-L6*Assumptions!L32/100</f>
        <v>-6398.87642265725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68898.12968467</v>
      </c>
      <c r="D19" s="0" t="n">
        <f aca="false">D15+D16+D17+D18</f>
        <v>76019.071892335</v>
      </c>
      <c r="E19" s="0" t="n">
        <f aca="false">E15+E16+E17+E18</f>
        <v>83112.719233371</v>
      </c>
      <c r="F19" s="0" t="n">
        <f aca="false">F15+F16+F17+F18</f>
        <v>90033.8221124246</v>
      </c>
      <c r="G19" s="0" t="n">
        <f aca="false">G15+G16+G17+G18</f>
        <v>96481.7553173997</v>
      </c>
      <c r="H19" s="0" t="n">
        <f aca="false">H15+H16+H17+H18</f>
        <v>102270.660636444</v>
      </c>
      <c r="I19" s="0" t="n">
        <f aca="false">I15+I16+I17+I18</f>
        <v>107384.193668266</v>
      </c>
      <c r="J19" s="0" t="n">
        <f aca="false">J15+J16+J17+J18</f>
        <v>111679.561414996</v>
      </c>
      <c r="K19" s="0" t="n">
        <f aca="false">K15+K16+K17+K18</f>
        <v>115029.948257446</v>
      </c>
      <c r="L19" s="0" t="n">
        <f aca="false">L15+L16+L17+L18</f>
        <v>117905.696963883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64390.7754062337</v>
      </c>
      <c r="D21" s="0" t="n">
        <f aca="false">D19*D20</f>
        <v>66398.0014781509</v>
      </c>
      <c r="E21" s="0" t="n">
        <f aca="false">E19*E20</f>
        <v>67844.7362528262</v>
      </c>
      <c r="F21" s="0" t="n">
        <f aca="false">F19*F20</f>
        <v>68686.3718119073</v>
      </c>
      <c r="G21" s="0" t="n">
        <f aca="false">G19*G20</f>
        <v>68790.1581136309</v>
      </c>
      <c r="H21" s="0" t="n">
        <f aca="false">H19*H20</f>
        <v>68147.2594396717</v>
      </c>
      <c r="I21" s="0" t="n">
        <f aca="false">I19*I20</f>
        <v>66873.4788893975</v>
      </c>
      <c r="J21" s="0" t="n">
        <f aca="false">J19*J20</f>
        <v>64998.5215373583</v>
      </c>
      <c r="K21" s="0" t="n">
        <f aca="false">K19*K20</f>
        <v>62568.6702649337</v>
      </c>
      <c r="L21" s="0" t="n">
        <f aca="false">L19*L20</f>
        <v>59937.2775902402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658635.25078435</v>
      </c>
    </row>
    <row r="31" customFormat="false" ht="15" hidden="false" customHeight="false" outlineLevel="0" collapsed="false">
      <c r="A31" s="0" t="s">
        <v>129</v>
      </c>
      <c r="B31" s="0" t="n">
        <f aca="false">L19</f>
        <v>117905.696963883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2405276.2180632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2358113.93927765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2358113.93927765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1198745.5518048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1857380.80258915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2340249.80258915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5460.47366323476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-0.109075923766559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5460.47366323476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925106.237716617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2720.52590800016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13.5</v>
      </c>
      <c r="D5" s="4" t="n">
        <f aca="false">Assumptions!D41</f>
        <v>12</v>
      </c>
      <c r="E5" s="4" t="n">
        <f aca="false">Assumptions!E41</f>
        <v>11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4.5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135209</v>
      </c>
      <c r="C6" s="0" t="n">
        <f aca="false">B6*(1+C5/100)</f>
        <v>153462.215</v>
      </c>
      <c r="D6" s="0" t="n">
        <f aca="false">C6*(1+D5/100)</f>
        <v>171877.6808</v>
      </c>
      <c r="E6" s="0" t="n">
        <f aca="false">D6*(1+E5/100)</f>
        <v>190784.225688</v>
      </c>
      <c r="F6" s="0" t="n">
        <f aca="false">E6*(1+F5/100)</f>
        <v>209862.6482568</v>
      </c>
      <c r="G6" s="0" t="n">
        <f aca="false">F6*(1+G5/100)</f>
        <v>228750.286599912</v>
      </c>
      <c r="H6" s="0" t="n">
        <f aca="false">G6*(1+H5/100)</f>
        <v>247050.309527905</v>
      </c>
      <c r="I6" s="0" t="n">
        <f aca="false">H6*(1+I5/100)</f>
        <v>264343.831194858</v>
      </c>
      <c r="J6" s="0" t="n">
        <f aca="false">I6*(1+J5/100)</f>
        <v>280204.46106655</v>
      </c>
      <c r="K6" s="0" t="n">
        <f aca="false">J6*(1+K5/100)</f>
        <v>292813.661814545</v>
      </c>
      <c r="L6" s="0" t="n">
        <f aca="false">K6*(1+L5/100)</f>
        <v>301598.071668981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68.5</v>
      </c>
      <c r="D7" s="4" t="n">
        <f aca="false">Assumptions!D42</f>
        <v>69</v>
      </c>
      <c r="E7" s="4" t="n">
        <f aca="false">Assumptions!E42</f>
        <v>69.5</v>
      </c>
      <c r="F7" s="4" t="n">
        <f aca="false">Assumptions!F42</f>
        <v>70</v>
      </c>
      <c r="G7" s="4" t="n">
        <f aca="false">Assumptions!G42</f>
        <v>70.3</v>
      </c>
      <c r="H7" s="4" t="n">
        <f aca="false">Assumptions!H42</f>
        <v>70.5</v>
      </c>
      <c r="I7" s="4" t="n">
        <f aca="false">Assumptions!I42</f>
        <v>70.5</v>
      </c>
      <c r="J7" s="4" t="n">
        <f aca="false">Assumptions!J42</f>
        <v>70.5</v>
      </c>
      <c r="K7" s="4" t="n">
        <f aca="false">Assumptions!K42</f>
        <v>70.5</v>
      </c>
      <c r="L7" s="4" t="n">
        <f aca="false">Assumptions!L42</f>
        <v>70.5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105121.617275</v>
      </c>
      <c r="D8" s="0" t="n">
        <f aca="false">D6*D7/100</f>
        <v>118595.599752</v>
      </c>
      <c r="E8" s="0" t="n">
        <f aca="false">E6*E7/100</f>
        <v>132595.03685316</v>
      </c>
      <c r="F8" s="0" t="n">
        <f aca="false">F6*F7/100</f>
        <v>146903.85377976</v>
      </c>
      <c r="G8" s="0" t="n">
        <f aca="false">G6*G7/100</f>
        <v>160811.451479738</v>
      </c>
      <c r="H8" s="0" t="n">
        <f aca="false">H6*H7/100</f>
        <v>174170.468217173</v>
      </c>
      <c r="I8" s="0" t="n">
        <f aca="false">I6*I7/100</f>
        <v>186362.400992375</v>
      </c>
      <c r="J8" s="0" t="n">
        <f aca="false">J6*J7/100</f>
        <v>197544.145051918</v>
      </c>
      <c r="K8" s="0" t="n">
        <f aca="false">K6*K7/100</f>
        <v>206433.631579254</v>
      </c>
      <c r="L8" s="0" t="n">
        <f aca="false">L6*L7/100</f>
        <v>212626.640526632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105121.617275</v>
      </c>
      <c r="D11" s="0" t="n">
        <f aca="false">D8+D10+D24</f>
        <v>118595.599752</v>
      </c>
      <c r="E11" s="0" t="n">
        <f aca="false">E8+E10+E24</f>
        <v>132595.03685316</v>
      </c>
      <c r="F11" s="0" t="n">
        <f aca="false">F8+F10+F24</f>
        <v>146903.85377976</v>
      </c>
      <c r="G11" s="0" t="n">
        <f aca="false">G8+G10+G24</f>
        <v>160811.451479738</v>
      </c>
      <c r="H11" s="0" t="n">
        <f aca="false">H8+H10+H24</f>
        <v>174170.468217173</v>
      </c>
      <c r="I11" s="0" t="n">
        <f aca="false">I8+I10+I24</f>
        <v>186362.400992375</v>
      </c>
      <c r="J11" s="0" t="n">
        <f aca="false">J8+J10+J24</f>
        <v>197544.145051918</v>
      </c>
      <c r="K11" s="0" t="n">
        <f aca="false">K8+K10+K24</f>
        <v>206433.631579254</v>
      </c>
      <c r="L11" s="0" t="n">
        <f aca="false">L8+L10+L24</f>
        <v>212626.640526632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-3069.2443</v>
      </c>
      <c r="D12" s="4" t="n">
        <f aca="false">-D6*Assumptions!D45/100</f>
        <v>-3437.553616</v>
      </c>
      <c r="E12" s="4" t="n">
        <f aca="false">-E6*Assumptions!E45/100</f>
        <v>-3815.68451376</v>
      </c>
      <c r="F12" s="4" t="n">
        <f aca="false">-F6*Assumptions!F45/100</f>
        <v>-4197.252965136</v>
      </c>
      <c r="G12" s="4" t="n">
        <f aca="false">-G6*Assumptions!G45/100</f>
        <v>-4575.00573199824</v>
      </c>
      <c r="H12" s="4" t="n">
        <f aca="false">-H6*Assumptions!H45/100</f>
        <v>-4941.0061905581</v>
      </c>
      <c r="I12" s="4" t="n">
        <f aca="false">-I6*Assumptions!I45/100</f>
        <v>-5286.87662389717</v>
      </c>
      <c r="J12" s="4" t="n">
        <f aca="false">-J6*Assumptions!J45/100</f>
        <v>-5604.089221331</v>
      </c>
      <c r="K12" s="4" t="n">
        <f aca="false">-K6*Assumptions!K45/100</f>
        <v>-5856.27323629089</v>
      </c>
      <c r="L12" s="4" t="n">
        <f aca="false">-L6*Assumptions!L45/100</f>
        <v>-6031.96143337962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102052.372975</v>
      </c>
      <c r="D13" s="0" t="n">
        <f aca="false">D11+D12</f>
        <v>115158.046136</v>
      </c>
      <c r="E13" s="0" t="n">
        <f aca="false">E11+E12</f>
        <v>128779.3523394</v>
      </c>
      <c r="F13" s="0" t="n">
        <f aca="false">F11+F12</f>
        <v>142706.600814624</v>
      </c>
      <c r="G13" s="0" t="n">
        <f aca="false">G11+G12</f>
        <v>156236.44574774</v>
      </c>
      <c r="H13" s="0" t="n">
        <f aca="false">H11+H12</f>
        <v>169229.462026615</v>
      </c>
      <c r="I13" s="0" t="n">
        <f aca="false">I11+I12</f>
        <v>181075.524368478</v>
      </c>
      <c r="J13" s="0" t="n">
        <f aca="false">J11+J12</f>
        <v>191940.055830587</v>
      </c>
      <c r="K13" s="0" t="n">
        <f aca="false">K11+K12</f>
        <v>200577.358342963</v>
      </c>
      <c r="L13" s="0" t="n">
        <f aca="false">L11+L12</f>
        <v>206594.679093252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30.5</v>
      </c>
      <c r="D14" s="4" t="n">
        <f aca="false">Assumptions!D47</f>
        <v>30.5</v>
      </c>
      <c r="E14" s="4" t="n">
        <f aca="false">Assumptions!E47</f>
        <v>30.5</v>
      </c>
      <c r="F14" s="4" t="n">
        <f aca="false">Assumptions!F47</f>
        <v>30.5</v>
      </c>
      <c r="G14" s="4" t="n">
        <f aca="false">Assumptions!G47</f>
        <v>30.5</v>
      </c>
      <c r="H14" s="4" t="n">
        <f aca="false">Assumptions!H47</f>
        <v>30.5</v>
      </c>
      <c r="I14" s="4" t="n">
        <f aca="false">Assumptions!I47</f>
        <v>30.5</v>
      </c>
      <c r="J14" s="4" t="n">
        <f aca="false">Assumptions!J47</f>
        <v>30.5</v>
      </c>
      <c r="K14" s="4" t="n">
        <f aca="false">Assumptions!K47</f>
        <v>30.5</v>
      </c>
      <c r="L14" s="4" t="n">
        <f aca="false">Assumptions!L47</f>
        <v>30.5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70926.399217625</v>
      </c>
      <c r="D15" s="0" t="n">
        <f aca="false">D13-MAX(0,D13)*D14/100</f>
        <v>80034.84206452</v>
      </c>
      <c r="E15" s="0" t="n">
        <f aca="false">E13-MAX(0,E13)*E14/100</f>
        <v>89501.649875883</v>
      </c>
      <c r="F15" s="0" t="n">
        <f aca="false">F13-MAX(0,F13)*F14/100</f>
        <v>99181.0875661637</v>
      </c>
      <c r="G15" s="0" t="n">
        <f aca="false">G13-MAX(0,G13)*G14/100</f>
        <v>108584.329794679</v>
      </c>
      <c r="H15" s="0" t="n">
        <f aca="false">H13-MAX(0,H13)*H14/100</f>
        <v>117614.476108497</v>
      </c>
      <c r="I15" s="0" t="n">
        <f aca="false">I13-MAX(0,I13)*I14/100</f>
        <v>125847.489436092</v>
      </c>
      <c r="J15" s="0" t="n">
        <f aca="false">J13-MAX(0,J13)*J14/100</f>
        <v>133398.338802258</v>
      </c>
      <c r="K15" s="0" t="n">
        <f aca="false">K13-MAX(0,K13)*K14/100</f>
        <v>139401.264048359</v>
      </c>
      <c r="L15" s="0" t="n">
        <f aca="false">L13-MAX(0,L13)*L14/100</f>
        <v>143583.30196981</v>
      </c>
    </row>
    <row r="16" customFormat="false" ht="15" hidden="false" customHeight="false" outlineLevel="0" collapsed="false">
      <c r="A16" s="0" t="s">
        <v>120</v>
      </c>
      <c r="C16" s="0" t="n">
        <f aca="false">-C12</f>
        <v>3069.2443</v>
      </c>
      <c r="D16" s="0" t="n">
        <f aca="false">-D12</f>
        <v>3437.553616</v>
      </c>
      <c r="E16" s="0" t="n">
        <f aca="false">-E12</f>
        <v>3815.68451376</v>
      </c>
      <c r="F16" s="0" t="n">
        <f aca="false">-F12</f>
        <v>4197.252965136</v>
      </c>
      <c r="G16" s="0" t="n">
        <f aca="false">-G12</f>
        <v>4575.00573199824</v>
      </c>
      <c r="H16" s="0" t="n">
        <f aca="false">-H12</f>
        <v>4941.0061905581</v>
      </c>
      <c r="I16" s="0" t="n">
        <f aca="false">-I12</f>
        <v>5286.87662389717</v>
      </c>
      <c r="J16" s="0" t="n">
        <f aca="false">-J12</f>
        <v>5604.089221331</v>
      </c>
      <c r="K16" s="0" t="n">
        <f aca="false">-K12</f>
        <v>5856.27323629089</v>
      </c>
      <c r="L16" s="0" t="n">
        <f aca="false">-L12</f>
        <v>6031.96143337962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-3376.16873</v>
      </c>
      <c r="D17" s="4" t="n">
        <f aca="false">-D6*Assumptions!D46/100</f>
        <v>-3781.3089776</v>
      </c>
      <c r="E17" s="4" t="n">
        <f aca="false">-E6*Assumptions!E46/100</f>
        <v>-4197.252965136</v>
      </c>
      <c r="F17" s="4" t="n">
        <f aca="false">-F6*Assumptions!F46/100</f>
        <v>-4616.9782616496</v>
      </c>
      <c r="G17" s="4" t="n">
        <f aca="false">-G6*Assumptions!G46/100</f>
        <v>-5032.50630519807</v>
      </c>
      <c r="H17" s="4" t="n">
        <f aca="false">-H6*Assumptions!H46/100</f>
        <v>-5435.10680961391</v>
      </c>
      <c r="I17" s="4" t="n">
        <f aca="false">-I6*Assumptions!I46/100</f>
        <v>-5815.56428628688</v>
      </c>
      <c r="J17" s="4" t="n">
        <f aca="false">-J6*Assumptions!J46/100</f>
        <v>-6164.4981434641</v>
      </c>
      <c r="K17" s="4" t="n">
        <f aca="false">-K6*Assumptions!K46/100</f>
        <v>-6441.90055991998</v>
      </c>
      <c r="L17" s="4" t="n">
        <f aca="false">-L6*Assumptions!L46/100</f>
        <v>-6635.15757671758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70619.474787625</v>
      </c>
      <c r="D19" s="0" t="n">
        <f aca="false">D15+D16+D17+D18</f>
        <v>79691.08670292</v>
      </c>
      <c r="E19" s="0" t="n">
        <f aca="false">E15+E16+E17+E18</f>
        <v>89120.081424507</v>
      </c>
      <c r="F19" s="0" t="n">
        <f aca="false">F15+F16+F17+F18</f>
        <v>98761.3622696501</v>
      </c>
      <c r="G19" s="0" t="n">
        <f aca="false">G15+G16+G17+G18</f>
        <v>108126.829221479</v>
      </c>
      <c r="H19" s="0" t="n">
        <f aca="false">H15+H16+H17+H18</f>
        <v>117120.375489442</v>
      </c>
      <c r="I19" s="0" t="n">
        <f aca="false">I15+I16+I17+I18</f>
        <v>125318.801773702</v>
      </c>
      <c r="J19" s="0" t="n">
        <f aca="false">J15+J16+J17+J18</f>
        <v>132837.929880125</v>
      </c>
      <c r="K19" s="0" t="n">
        <f aca="false">K15+K16+K17+K18</f>
        <v>138815.63672473</v>
      </c>
      <c r="L19" s="0" t="n">
        <f aca="false">L15+L16+L17+L18</f>
        <v>142980.105826472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65999.5091473131</v>
      </c>
      <c r="D21" s="0" t="n">
        <f aca="false">D19*D20</f>
        <v>69605.2814245087</v>
      </c>
      <c r="E21" s="0" t="n">
        <f aca="false">E19*E20</f>
        <v>72748.5332551649</v>
      </c>
      <c r="F21" s="0" t="n">
        <f aca="false">F19*F20</f>
        <v>75344.5704108071</v>
      </c>
      <c r="G21" s="0" t="n">
        <f aca="false">G19*G20</f>
        <v>77092.9348663057</v>
      </c>
      <c r="H21" s="0" t="n">
        <f aca="false">H19*H20</f>
        <v>78042.2514578594</v>
      </c>
      <c r="I21" s="0" t="n">
        <f aca="false">I19*I20</f>
        <v>78042.2514578594</v>
      </c>
      <c r="J21" s="0" t="n">
        <f aca="false">J19*J20</f>
        <v>77312.8846218047</v>
      </c>
      <c r="K21" s="0" t="n">
        <f aca="false">K19*K20</f>
        <v>75506.508812884</v>
      </c>
      <c r="L21" s="0" t="n">
        <f aca="false">L19*L20</f>
        <v>72683.8355862341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742378.561040741</v>
      </c>
    </row>
    <row r="31" customFormat="false" ht="15" hidden="false" customHeight="false" outlineLevel="0" collapsed="false">
      <c r="A31" s="0" t="s">
        <v>129</v>
      </c>
      <c r="B31" s="0" t="n">
        <f aca="false">L19</f>
        <v>142980.105826472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3256769.07715853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2859602.11652944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2859602.11652944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1453676.71172468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2196055.27276542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2678924.27276542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6250.69828915354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0.019856141157373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6250.69828915354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1172436.86777707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2984.60183273357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3974.34729023234</v>
      </c>
      <c r="C4" s="0" t="n">
        <f aca="false">B4/Assumptions!$B$2-1</f>
        <v>-0.351550450280252</v>
      </c>
      <c r="D4" s="4" t="n">
        <f aca="false">Assumptions!$B$24</f>
        <v>0.2</v>
      </c>
      <c r="E4" s="4" t="n">
        <f aca="false">DCF_Bear!$B$43</f>
        <v>3974.34729023234</v>
      </c>
      <c r="F4" s="4" t="n">
        <f aca="false">DCF_Bear!$B$47</f>
        <v>2293.7584904186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5460.47366323476</v>
      </c>
      <c r="C5" s="0" t="n">
        <f aca="false">B5/Assumptions!$B$2-1</f>
        <v>-0.109075923766559</v>
      </c>
      <c r="D5" s="4" t="n">
        <f aca="false">Assumptions!$B$38</f>
        <v>0.55</v>
      </c>
      <c r="E5" s="4" t="n">
        <f aca="false">DCF_Base!$B$43</f>
        <v>5460.47366323476</v>
      </c>
      <c r="F5" s="4" t="n">
        <f aca="false">DCF_Base!$B$47</f>
        <v>2720.52590800016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6250.69828915354</v>
      </c>
      <c r="C6" s="0" t="n">
        <f aca="false">B6/Assumptions!$B$2-1</f>
        <v>0.019856141157373</v>
      </c>
      <c r="D6" s="4" t="n">
        <f aca="false">Assumptions!$B$52</f>
        <v>0.25</v>
      </c>
      <c r="E6" s="4" t="n">
        <f aca="false">DCF_Bull!$B$43</f>
        <v>6250.69828915354</v>
      </c>
      <c r="F6" s="4" t="n">
        <f aca="false">DCF_Bull!$B$47</f>
        <v>2984.60183273357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5360.80454511397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5360.80454511397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-0.14329853819912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2701.1914056672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5460.47366323476</v>
      </c>
      <c r="C15" s="3" t="n">
        <v>7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4211.5663873512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3805.4425660279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3490.45758769992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3239.21893517321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2720.52590800016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6209.65124996317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6209.65124996317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6209.65124996317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6209.65124996317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6209.65124996317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5816.84633767138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5816.84633767138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5816.84633767138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5816.84633767138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5816.84633767138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5017.61263603853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5244.34053034473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5460.47366323476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5460.47366323476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5460.47366323476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4426.81797314686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4578.05136674847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4754.49032595035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4963.0090959162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5136.77473755441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3985.37483515974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4090.93089284909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4211.5663873512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4350.7611886998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4513.15512360649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2026-10-31T05:41:26Z</dcterms:created>
  <dc:creator>openpyxl</dc:creator>
  <dc:description/>
  <dc:language>en-NZ</dc:language>
  <cp:lastModifiedBy/>
  <dcterms:modified xsi:type="dcterms:W3CDTF">2026-10-31T05:41:26Z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