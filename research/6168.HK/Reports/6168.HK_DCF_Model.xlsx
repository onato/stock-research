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<sst xmlns="http://schemas.openxmlformats.org/spreadsheetml/2006/main" count="344" uniqueCount="162">
  <si>
    <t xml:space="preserve">Ticker</t>
  </si>
  <si>
    <t xml:space="preserve">6168.HK</t>
  </si>
  <si>
    <t xml:space="preserve">Company</t>
  </si>
  <si>
    <t xml:space="preserve">Zhou Liu Fu Jewellery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</si>
  <si>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</si>
  <si>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</si>
  <si>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</si>
  <si>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</si>
  <si>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 16:08 HKT)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</si>
  <si>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</si>
  <si>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</si>
  <si>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</si>
  <si>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</si>
  <si>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</si>
  <si>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</si>
  <si>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</si>
  <si>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</si>
  <si>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</si>
  <si>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</si>
  <si>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</si>
  <si>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</si>
  <si>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</si>
  <si>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2026-10-23T13:25:53Z</t>
  </si>
  <si>
    <t xml:space="preserve">Drivers file</t>
  </si>
  <si>
    <t xml:space="preserve">6168.HK_Drivers.json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</si>
  <si>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</si>
  <si>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</si>
  <si>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</si>
  <si>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CNY flows at a 10% CNY WACC, converted to HKD at 1.1747. Reported FCF is negative on inventory build and is not extrapolated; the forward build is from components (EBITDA, lease, D&amp;A ex-ROU, cash tax, normalised capex, working capital on revenue change). SBC is negligible (0.1% of revenue) so the house/street band is nearly a point. Terminal value is capped at 12x FCF, a multiple appropriate to a gold-price-exposed Chinese discretionary retailer, and binds in every scenario at 10% WACC. The gap between the model and the ~5x P/E market price is mostly a judgment about whether inventory ever converts to cash and whether the FY2026 decline is cyclical; both are carried in the 30% bear weight.
key_risks_to_valuation: Inventory conversion: NWC is ~65% of TTM revenue (inventory RMB3.54bn at 30 June 2026); if gold keeps inflating carrying values, FCF stays below earnings and the model's wc_capture on revenue change understates the cash drag (see inputs.notes); FY2026 revenue trajectory: H1 was -25% and management guidance is qualitative and conditional on gold-price stabilisation in Q3; China gold VAT reform (effective 1 Nov 2025, to 2027) raising costs for non-exchange-member supply chains; Gross-margin durability: the 8.4pp H1 FY2026 gross-margin gain is partly a gold-price effect that reverses if prices fall; Franchise channel contraction (3,209 stores from 4,038 in 18 months) and franchisee credit/destocking behaviour; Governance and capital allocation as a newly listed H-share issuer (Going Securities investment, Sep 2025; exited Jul 2026 at cost); CNY/HKD rate: refresh_price.py moves the price but not fx_rate; the 1.1747 bridge must be refreshed with the price</t>
  </si>
  <si>
    <t xml:space="preserve">Data sources</t>
  </si>
  <si>
    <t xml:space="preserve">price: Yahoo Finance chart API at inputs.price_as_of; 52-week range 10.46-54.10 HKD; IPO 26 June 2025 at HK$24.00
financials: 6168.HK_Metrics.csv (core_metrics) and kpis; FY2025 Annual Report (Extracted/6168.HK_Annual_FY2025.txt) for lease, ROU depreciation, SBC, tax reconciliation; H1 FY2026 Interim Report (Extracted/6168.HK_HalfYear_H1-2026.txt) for the 30 June 2026 balance sheet, share count, treasury shares, FVTPL assets and NCI
qualitative: 6168.HK_Analysis.json (business model, channel mix, VAT reform, guidance, bull/bear cases)
fx: Yahoo Finance CNYHKD=X, 2026-10-23</t>
  </si>
  <si>
    <t xml:space="preserve">Scenario narrative: bear</t>
  </si>
  <si>
    <t xml:space="preserve">VAT reform, gold volatility and the jewellery-to-bars substitution make the FY2026 decline structural rather than cyclical; franchise revenue keeps shrinking, the gold-price margin windfall reverses, and inventory never converts to cash. The company stays GAAP-profitable but with FCF conversion well below earnings; the market's ~5x P/E proves roughly right.</t>
  </si>
  <si>
    <t xml:space="preserve">Scenario narrative: base</t>
  </si>
  <si>
    <t xml:space="preserve">Cyclical trough in FY2026 with a moderate recovery. Online stays &gt;50% of revenue and grows mid-to-high single digits, self-operated stores add ~5-10 a year, the franchise channel stabilises at ~3,000 quality-upgraded stores. Margin holds near 20% on mix; capex normalises once the HQ is finished; the buyback keeps the count flat. Value is ~48% terminal at a 12x FCF cap.</t>
  </si>
  <si>
    <t xml:space="preserve">Scenario narrative: bull</t>
  </si>
  <si>
    <t xml:space="preserve">Gold stabilises, destocking ends, and Zhou Liu Fu's e-commerce execution reasserts itself with Miaoji and content-platform growth; cultural-premium product takes the EBITDA margin to 23%; overseas expansion adds a second leg. The stock re-rates from ~5x to a double-digit P/E.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</si>
  <si>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</si>
  <si>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</si>
  <si>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</si>
  <si>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</si>
  <si>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</si>
  <si>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</si>
  <si>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</si>
  <si>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</si>
  <si>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</si>
  <si>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</si>
  <si>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</si>
  <si>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</si>
  <si>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</si>
  <si>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</si>
  <si>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</si>
  <si>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</si>
  <si>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</si>
  <si>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</si>
  <si>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</si>
  <si>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</si>
  <si>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</si>
  <si>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</si>
  <si>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</si>
  <si>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</si>
  <si>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</si>
  <si>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</si>
  <si>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</si>
  <si>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</si>
  <si>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NonControllingInterests</t>
  </si>
  <si>
    <t xml:space="preserve">ProfitForPeriodInclNCI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</si>
  <si>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</si>
  <si>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</si>
  <si>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</si>
  <si>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</si>
  <si>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</si>
  <si>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</si>
  <si>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</si>
  <si>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</si>
  <si>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</si>
  <si>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</si>
  <si>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</si>
  <si>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</si>
  <si>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</si>
  <si>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</si>
  <si>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</si>
  <si>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</si>
  <si>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</si>
  <si>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</si>
  <si>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</si>
  <si>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</si>
  <si>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</si>
  <si>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</si>
  <si>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</si>
  <si>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</si>
  <si>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</si>
  <si>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</si>
  <si>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</si>
  <si>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</si>
  <si>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</si>
  <si>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</si>
  <si>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</si>
  <si>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</si>
  <si>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</si>
  <si>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</si>
  <si>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</si>
  <si>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</si>
  <si>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</si>
  <si>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</si>
  <si>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</si>
  <si>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</si>
  <si>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</si>
  <si>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6168.HK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</si>
  <si>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</si>
  <si>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</si>
  <si>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</si>
  <si>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</si>
  <si>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</si>
  <si>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</si>
  <si>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</si>
  <si>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</si>
  <si>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</si>
  <si>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</si>
  <si>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</si>
  <si>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</si>
  <si>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</si>
  <si>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</si>
  <si>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</si>
  <si>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</si>
  <si>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</si>
  <si>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</si>
  <si>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</si>
  <si>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</si>
  <si>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</si>
  <si>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</si>
  <si>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</si>
  <si>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</si>
  <si>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</si>
  <si>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</si>
  <si>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</si>
  <si>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</si>
  <si>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</si>
  <si>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</si>
  <si>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6168.HK owner-FCF component DCF: base case (millions, CNY)</t>
  </si>
  <si>
    <t xml:space="preserve">6168.HK owner-FCF component DCF: bull case (millions, CNY)</t>
  </si>
  <si>
    <t xml:space="preserve">6168.HK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</si>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</sst>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3101.69</v>
      </c>
      <c r="C2" s="0" t="n">
        <v>1901.602</v>
      </c>
      <c r="D2" s="0" t="n">
        <v>1200.088</v>
      </c>
      <c r="E2" s="0" t="n">
        <v>38.7</v>
      </c>
      <c r="I2" s="0" t="n">
        <v>575.241</v>
      </c>
      <c r="J2" s="0" t="n">
        <v>18.5</v>
      </c>
      <c r="K2" s="0" t="n">
        <v>1.57</v>
      </c>
      <c r="O2" s="0" t="n">
        <v>1905.039</v>
      </c>
      <c r="P2" s="0" t="n">
        <v>2584.835</v>
      </c>
      <c r="Q2" s="0" t="n">
        <v>679.796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5149.601</v>
      </c>
      <c r="C3" s="0" t="n">
        <v>3798.706</v>
      </c>
      <c r="D3" s="0" t="n">
        <v>1350.895</v>
      </c>
      <c r="E3" s="0" t="n">
        <v>26.2</v>
      </c>
      <c r="I3" s="0" t="n">
        <v>659.694</v>
      </c>
      <c r="J3" s="0" t="n">
        <v>12.8</v>
      </c>
      <c r="K3" s="0" t="n">
        <v>1.8</v>
      </c>
      <c r="O3" s="0" t="n">
        <v>2263.624</v>
      </c>
      <c r="P3" s="0" t="n">
        <v>3075.203</v>
      </c>
      <c r="Q3" s="0" t="n">
        <v>811.579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5718.195</v>
      </c>
      <c r="C4" s="0" t="n">
        <v>4239.356</v>
      </c>
      <c r="D4" s="0" t="n">
        <v>1478.839</v>
      </c>
      <c r="E4" s="0" t="n">
        <v>25.9</v>
      </c>
      <c r="F4" s="0" t="n">
        <v>894.595</v>
      </c>
      <c r="G4" s="0" t="n">
        <v>15.6</v>
      </c>
      <c r="H4" s="0" t="n">
        <v>961.394</v>
      </c>
      <c r="I4" s="0" t="n">
        <v>706.312</v>
      </c>
      <c r="J4" s="0" t="n">
        <v>12.4</v>
      </c>
      <c r="K4" s="0" t="n">
        <v>1.89</v>
      </c>
      <c r="L4" s="0" t="n">
        <v>390.085</v>
      </c>
      <c r="M4" s="0" t="n">
        <v>324.194</v>
      </c>
      <c r="N4" s="0" t="n">
        <v>65.891</v>
      </c>
      <c r="O4" s="0" t="n">
        <v>2577.606</v>
      </c>
      <c r="P4" s="0" t="n">
        <v>3957.571</v>
      </c>
      <c r="Q4" s="0" t="n">
        <v>1379.965</v>
      </c>
      <c r="R4" s="0" t="n">
        <v>684.035</v>
      </c>
      <c r="S4" s="0" t="n">
        <v>561.745</v>
      </c>
      <c r="T4" s="0" t="n">
        <v>372.889</v>
      </c>
      <c r="U4" s="0" t="n">
        <v>4.905</v>
      </c>
      <c r="AA4" s="0" t="s">
        <v>18</v>
      </c>
      <c r="AB4" s="0" t="s">
        <v>14</v>
      </c>
      <c r="AC4" s="0" t="n">
        <v>554.772</v>
      </c>
      <c r="AD4" s="0" t="n">
        <v>0</v>
      </c>
    </row>
    <row r="5" customFormat="false" ht="15" hidden="false" customHeight="false" outlineLevel="0" collapsed="false">
      <c r="A5" s="0" t="s">
        <v>70</v>
      </c>
      <c r="B5" s="0" t="n">
        <v>5834.295</v>
      </c>
      <c r="C5" s="0" t="n">
        <v>4230.034</v>
      </c>
      <c r="D5" s="0" t="n">
        <v>1604.261</v>
      </c>
      <c r="E5" s="0" t="n">
        <v>27.5</v>
      </c>
      <c r="F5" s="0" t="n">
        <v>965.305</v>
      </c>
      <c r="G5" s="0" t="n">
        <v>16.5</v>
      </c>
      <c r="H5" s="0" t="n">
        <v>1048.949</v>
      </c>
      <c r="I5" s="0" t="n">
        <v>770.296</v>
      </c>
      <c r="J5" s="0" t="n">
        <v>13.2</v>
      </c>
      <c r="K5" s="0" t="n">
        <v>1.88</v>
      </c>
      <c r="L5" s="0" t="n">
        <v>36.921</v>
      </c>
      <c r="M5" s="0" t="n">
        <v>203.652</v>
      </c>
      <c r="N5" s="0" t="n">
        <v>-166.731</v>
      </c>
      <c r="O5" s="0" t="n">
        <v>4249.625</v>
      </c>
      <c r="P5" s="0" t="n">
        <v>5782.987</v>
      </c>
      <c r="Q5" s="0" t="n">
        <v>1527.029</v>
      </c>
      <c r="R5" s="0" t="n">
        <v>426.314</v>
      </c>
      <c r="S5" s="0" t="n">
        <v>1169.558</v>
      </c>
      <c r="T5" s="0" t="n">
        <v>410.059</v>
      </c>
      <c r="U5" s="0" t="n">
        <v>6.142</v>
      </c>
      <c r="AA5" s="0" t="s">
        <v>18</v>
      </c>
      <c r="AB5" s="0" t="s">
        <v>14</v>
      </c>
      <c r="AC5" s="0" t="n">
        <v>191.215</v>
      </c>
      <c r="AD5" s="0" t="n">
        <v>6.333</v>
      </c>
      <c r="AE5" s="0" t="n">
        <v>769.279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10.76</v>
      </c>
    </row>
    <row r="3" customFormat="false" ht="15" hidden="false" customHeight="false" outlineLevel="0" collapsed="false">
      <c r="A3" s="0" t="s">
        <v>74</v>
      </c>
      <c r="B3" s="3" t="n">
        <v>427.396</v>
      </c>
    </row>
    <row r="4" customFormat="false" ht="15" hidden="false" customHeight="false" outlineLevel="0" collapsed="false">
      <c r="A4" s="0" t="s">
        <v>75</v>
      </c>
      <c r="B4" s="3" t="n">
        <v>-49.034</v>
      </c>
    </row>
    <row r="5" customFormat="false" ht="15" hidden="false" customHeight="false" outlineLevel="0" collapsed="false">
      <c r="A5" s="0" t="s">
        <v>76</v>
      </c>
      <c r="B5" s="3" t="n">
        <v>38.538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5834.295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1.1747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-28</v>
      </c>
      <c r="D13" s="3" t="n">
        <v>-8</v>
      </c>
      <c r="E13" s="3" t="n">
        <v>-3</v>
      </c>
      <c r="F13" s="3" t="n">
        <v>0</v>
      </c>
      <c r="G13" s="3" t="n">
        <v>1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19</v>
      </c>
      <c r="D14" s="3" t="n">
        <v>16.5</v>
      </c>
      <c r="E14" s="3" t="n">
        <v>15.5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96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97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98</v>
      </c>
      <c r="C17" s="3" t="n">
        <v>0.9</v>
      </c>
      <c r="D17" s="3" t="n">
        <v>1.2</v>
      </c>
      <c r="E17" s="3" t="n">
        <v>1.3</v>
      </c>
      <c r="F17" s="3" t="n">
        <v>1.3</v>
      </c>
      <c r="G17" s="3" t="n">
        <v>1.3</v>
      </c>
      <c r="H17" s="3" t="n">
        <v>1.3</v>
      </c>
      <c r="I17" s="3" t="n">
        <v>1.3</v>
      </c>
      <c r="J17" s="3" t="n">
        <v>1.3</v>
      </c>
      <c r="K17" s="3" t="n">
        <v>1.3</v>
      </c>
      <c r="L17" s="3" t="n">
        <v>1.3</v>
      </c>
    </row>
    <row r="18" customFormat="false" ht="15" hidden="false" customHeight="false" outlineLevel="0" collapsed="false">
      <c r="A18" s="0" t="s">
        <v>99</v>
      </c>
      <c r="C18" s="3" t="n">
        <v>7.5</v>
      </c>
      <c r="D18" s="3" t="n">
        <v>2.5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100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22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12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-20</v>
      </c>
      <c r="D27" s="3" t="n">
        <v>4</v>
      </c>
      <c r="E27" s="3" t="n">
        <v>6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21</v>
      </c>
      <c r="D28" s="3" t="n">
        <v>20</v>
      </c>
      <c r="E28" s="3" t="n">
        <v>20</v>
      </c>
      <c r="F28" s="3" t="n">
        <v>20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96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97</v>
      </c>
      <c r="C30" s="3" t="n">
        <v>0.6</v>
      </c>
      <c r="D30" s="3" t="n">
        <v>0.6</v>
      </c>
      <c r="E30" s="3" t="n">
        <v>0.6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98</v>
      </c>
      <c r="C31" s="3" t="n">
        <v>0.9</v>
      </c>
      <c r="D31" s="3" t="n">
        <v>1.1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99</v>
      </c>
      <c r="C32" s="3" t="n">
        <v>7.5</v>
      </c>
      <c r="D32" s="3" t="n">
        <v>3</v>
      </c>
      <c r="E32" s="3" t="n">
        <v>1.5</v>
      </c>
      <c r="F32" s="3" t="n">
        <v>1.5</v>
      </c>
      <c r="G32" s="3" t="n">
        <v>1.5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100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22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-15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-16</v>
      </c>
      <c r="D41" s="3" t="n">
        <v>10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22</v>
      </c>
      <c r="D42" s="3" t="n">
        <v>22</v>
      </c>
      <c r="E42" s="3" t="n">
        <v>22.5</v>
      </c>
      <c r="F42" s="3" t="n">
        <v>23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96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97</v>
      </c>
      <c r="C44" s="3" t="n">
        <v>0.55</v>
      </c>
      <c r="D44" s="3" t="n">
        <v>0.55</v>
      </c>
      <c r="E44" s="3" t="n">
        <v>0.55</v>
      </c>
      <c r="F44" s="3" t="n">
        <v>0.55</v>
      </c>
      <c r="G44" s="3" t="n">
        <v>0.55</v>
      </c>
      <c r="H44" s="3" t="n">
        <v>0.55</v>
      </c>
      <c r="I44" s="3" t="n">
        <v>0.55</v>
      </c>
      <c r="J44" s="3" t="n">
        <v>0.55</v>
      </c>
      <c r="K44" s="3" t="n">
        <v>0.55</v>
      </c>
      <c r="L44" s="3" t="n">
        <v>0.55</v>
      </c>
    </row>
    <row r="45" customFormat="false" ht="15" hidden="false" customHeight="false" outlineLevel="0" collapsed="false">
      <c r="A45" s="0" t="s">
        <v>98</v>
      </c>
      <c r="C45" s="3" t="n">
        <v>0.9</v>
      </c>
      <c r="D45" s="3" t="n">
        <v>1.1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99</v>
      </c>
      <c r="C46" s="3" t="n">
        <v>7.5</v>
      </c>
      <c r="D46" s="3" t="n">
        <v>3.5</v>
      </c>
      <c r="E46" s="3" t="n">
        <v>2</v>
      </c>
      <c r="F46" s="3" t="n">
        <v>2</v>
      </c>
      <c r="G46" s="3" t="n">
        <v>2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100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22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12</v>
      </c>
    </row>
    <row r="51" customFormat="false" ht="15" hidden="false" customHeight="false" outlineLevel="0" collapsed="false">
      <c r="A51" s="0" t="s">
        <v>104</v>
      </c>
      <c r="B51" s="3" t="n">
        <v>-25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-28</v>
      </c>
      <c r="D5" s="4" t="n">
        <f aca="false">Assumptions!D13</f>
        <v>-8</v>
      </c>
      <c r="E5" s="4" t="n">
        <f aca="false">Assumptions!E13</f>
        <v>-3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5834.295</v>
      </c>
      <c r="C6" s="0" t="n">
        <f aca="false">B6*(1+C5/100)</f>
        <v>4200.6924</v>
      </c>
      <c r="D6" s="0" t="n">
        <f aca="false">C6*(1+D5/100)</f>
        <v>3864.637008</v>
      </c>
      <c r="E6" s="0" t="n">
        <f aca="false">D6*(1+E5/100)</f>
        <v>3748.69789776</v>
      </c>
      <c r="F6" s="0" t="n">
        <f aca="false">E6*(1+F5/100)</f>
        <v>3748.69789776</v>
      </c>
      <c r="G6" s="0" t="n">
        <f aca="false">F6*(1+G5/100)</f>
        <v>3786.1848767376</v>
      </c>
      <c r="H6" s="0" t="n">
        <f aca="false">G6*(1+H5/100)</f>
        <v>3861.90857427235</v>
      </c>
      <c r="I6" s="0" t="n">
        <f aca="false">H6*(1+I5/100)</f>
        <v>3939.1467457578</v>
      </c>
      <c r="J6" s="0" t="n">
        <f aca="false">I6*(1+J5/100)</f>
        <v>4017.92968067296</v>
      </c>
      <c r="K6" s="0" t="n">
        <f aca="false">J6*(1+K5/100)</f>
        <v>4098.28827428642</v>
      </c>
      <c r="L6" s="0" t="n">
        <f aca="false">K6*(1+L5/100)</f>
        <v>4180.25403977214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19</v>
      </c>
      <c r="D7" s="4" t="n">
        <f aca="false">Assumptions!D14</f>
        <v>16.5</v>
      </c>
      <c r="E7" s="4" t="n">
        <f aca="false">Assumptions!E14</f>
        <v>15.5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798.131556</v>
      </c>
      <c r="D8" s="0" t="n">
        <f aca="false">D6*D7/100</f>
        <v>637.66510632</v>
      </c>
      <c r="E8" s="0" t="n">
        <f aca="false">E6*E7/100</f>
        <v>581.0481741528</v>
      </c>
      <c r="F8" s="0" t="n">
        <f aca="false">F6*F7/100</f>
        <v>562.304684664</v>
      </c>
      <c r="G8" s="0" t="n">
        <f aca="false">G6*G7/100</f>
        <v>567.92773151064</v>
      </c>
      <c r="H8" s="0" t="n">
        <f aca="false">H6*H7/100</f>
        <v>579.286286140853</v>
      </c>
      <c r="I8" s="0" t="n">
        <f aca="false">I6*I7/100</f>
        <v>590.87201186367</v>
      </c>
      <c r="J8" s="0" t="n">
        <f aca="false">J6*J7/100</f>
        <v>602.689452100943</v>
      </c>
      <c r="K8" s="0" t="n">
        <f aca="false">K6*K7/100</f>
        <v>614.743241142962</v>
      </c>
      <c r="L8" s="0" t="n">
        <f aca="false">L6*L7/100</f>
        <v>627.038105965822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-4.2006924</v>
      </c>
      <c r="D10" s="0" t="n">
        <f aca="false">-D6*D9/100</f>
        <v>-3.864637008</v>
      </c>
      <c r="E10" s="0" t="n">
        <f aca="false">-E6*E9/100</f>
        <v>-3.74869789776</v>
      </c>
      <c r="F10" s="0" t="n">
        <f aca="false">-F6*F9/100</f>
        <v>-3.74869789776</v>
      </c>
      <c r="G10" s="0" t="n">
        <f aca="false">-G6*G9/100</f>
        <v>-3.7861848767376</v>
      </c>
      <c r="H10" s="0" t="n">
        <f aca="false">-H6*H9/100</f>
        <v>-3.86190857427235</v>
      </c>
      <c r="I10" s="0" t="n">
        <f aca="false">-I6*I9/100</f>
        <v>-3.9391467457578</v>
      </c>
      <c r="J10" s="0" t="n">
        <f aca="false">-J6*J9/100</f>
        <v>-4.01792968067296</v>
      </c>
      <c r="K10" s="0" t="n">
        <f aca="false">-K6*K9/100</f>
        <v>-4.09828827428642</v>
      </c>
      <c r="L10" s="0" t="n">
        <f aca="false">-L6*L9/100</f>
        <v>-4.18025403977214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764.5260168</v>
      </c>
      <c r="D11" s="0" t="n">
        <f aca="false">D8+D10+D24</f>
        <v>606.748010256</v>
      </c>
      <c r="E11" s="0" t="n">
        <f aca="false">E8+E10+E24</f>
        <v>551.05859097072</v>
      </c>
      <c r="F11" s="0" t="n">
        <f aca="false">F8+F10+F24</f>
        <v>532.31510148192</v>
      </c>
      <c r="G11" s="0" t="n">
        <f aca="false">G8+G10+G24</f>
        <v>537.638252496739</v>
      </c>
      <c r="H11" s="0" t="n">
        <f aca="false">H8+H10+H24</f>
        <v>548.391017546674</v>
      </c>
      <c r="I11" s="0" t="n">
        <f aca="false">I8+I10+I24</f>
        <v>559.358837897607</v>
      </c>
      <c r="J11" s="0" t="n">
        <f aca="false">J8+J10+J24</f>
        <v>570.54601465556</v>
      </c>
      <c r="K11" s="0" t="n">
        <f aca="false">K8+K10+K24</f>
        <v>581.956934948671</v>
      </c>
      <c r="L11" s="0" t="n">
        <f aca="false">L8+L10+L24</f>
        <v>593.596073647644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-37.8062316</v>
      </c>
      <c r="D12" s="4" t="n">
        <f aca="false">-D6*Assumptions!D17/100</f>
        <v>-46.375644096</v>
      </c>
      <c r="E12" s="4" t="n">
        <f aca="false">-E6*Assumptions!E17/100</f>
        <v>-48.73307267088</v>
      </c>
      <c r="F12" s="4" t="n">
        <f aca="false">-F6*Assumptions!F17/100</f>
        <v>-48.73307267088</v>
      </c>
      <c r="G12" s="4" t="n">
        <f aca="false">-G6*Assumptions!G17/100</f>
        <v>-49.2204033975888</v>
      </c>
      <c r="H12" s="4" t="n">
        <f aca="false">-H6*Assumptions!H17/100</f>
        <v>-50.2048114655406</v>
      </c>
      <c r="I12" s="4" t="n">
        <f aca="false">-I6*Assumptions!I17/100</f>
        <v>-51.2089076948514</v>
      </c>
      <c r="J12" s="4" t="n">
        <f aca="false">-J6*Assumptions!J17/100</f>
        <v>-52.2330858487484</v>
      </c>
      <c r="K12" s="4" t="n">
        <f aca="false">-K6*Assumptions!K17/100</f>
        <v>-53.2777475657234</v>
      </c>
      <c r="L12" s="4" t="n">
        <f aca="false">-L6*Assumptions!L17/100</f>
        <v>-54.3433025170379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726.7197852</v>
      </c>
      <c r="D13" s="0" t="n">
        <f aca="false">D11+D12</f>
        <v>560.37236616</v>
      </c>
      <c r="E13" s="0" t="n">
        <f aca="false">E11+E12</f>
        <v>502.32551829984</v>
      </c>
      <c r="F13" s="0" t="n">
        <f aca="false">F11+F12</f>
        <v>483.58202881104</v>
      </c>
      <c r="G13" s="0" t="n">
        <f aca="false">G11+G12</f>
        <v>488.41784909915</v>
      </c>
      <c r="H13" s="0" t="n">
        <f aca="false">H11+H12</f>
        <v>498.186206081133</v>
      </c>
      <c r="I13" s="0" t="n">
        <f aca="false">I11+I12</f>
        <v>508.149930202756</v>
      </c>
      <c r="J13" s="0" t="n">
        <f aca="false">J11+J12</f>
        <v>518.312928806811</v>
      </c>
      <c r="K13" s="0" t="n">
        <f aca="false">K11+K12</f>
        <v>528.679187382948</v>
      </c>
      <c r="L13" s="0" t="n">
        <f aca="false">L11+L12</f>
        <v>539.252771130606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22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581.37582816</v>
      </c>
      <c r="D15" s="0" t="n">
        <f aca="false">D13-MAX(0,D13)*D14/100</f>
        <v>448.297892928</v>
      </c>
      <c r="E15" s="0" t="n">
        <f aca="false">E13-MAX(0,E13)*E14/100</f>
        <v>401.860414639872</v>
      </c>
      <c r="F15" s="0" t="n">
        <f aca="false">F13-MAX(0,F13)*F14/100</f>
        <v>386.865623048832</v>
      </c>
      <c r="G15" s="0" t="n">
        <f aca="false">G13-MAX(0,G13)*G14/100</f>
        <v>390.73427927932</v>
      </c>
      <c r="H15" s="0" t="n">
        <f aca="false">H13-MAX(0,H13)*H14/100</f>
        <v>388.585240743284</v>
      </c>
      <c r="I15" s="0" t="n">
        <f aca="false">I13-MAX(0,I13)*I14/100</f>
        <v>391.275446256122</v>
      </c>
      <c r="J15" s="0" t="n">
        <f aca="false">J13-MAX(0,J13)*J14/100</f>
        <v>399.100955181245</v>
      </c>
      <c r="K15" s="0" t="n">
        <f aca="false">K13-MAX(0,K13)*K14/100</f>
        <v>407.08297428487</v>
      </c>
      <c r="L15" s="0" t="n">
        <f aca="false">L13-MAX(0,L13)*L14/100</f>
        <v>415.224633770567</v>
      </c>
    </row>
    <row r="16" customFormat="false" ht="15" hidden="false" customHeight="false" outlineLevel="0" collapsed="false">
      <c r="A16" s="0" t="s">
        <v>116</v>
      </c>
      <c r="C16" s="0" t="n">
        <f aca="false">-C12</f>
        <v>37.8062316</v>
      </c>
      <c r="D16" s="0" t="n">
        <f aca="false">-D12</f>
        <v>46.375644096</v>
      </c>
      <c r="E16" s="0" t="n">
        <f aca="false">-E12</f>
        <v>48.73307267088</v>
      </c>
      <c r="F16" s="0" t="n">
        <f aca="false">-F12</f>
        <v>48.73307267088</v>
      </c>
      <c r="G16" s="0" t="n">
        <f aca="false">-G12</f>
        <v>49.2204033975888</v>
      </c>
      <c r="H16" s="0" t="n">
        <f aca="false">-H12</f>
        <v>50.2048114655406</v>
      </c>
      <c r="I16" s="0" t="n">
        <f aca="false">-I12</f>
        <v>51.2089076948514</v>
      </c>
      <c r="J16" s="0" t="n">
        <f aca="false">-J12</f>
        <v>52.2330858487484</v>
      </c>
      <c r="K16" s="0" t="n">
        <f aca="false">-K12</f>
        <v>53.2777475657234</v>
      </c>
      <c r="L16" s="0" t="n">
        <f aca="false">-L12</f>
        <v>54.3433025170379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-315.05193</v>
      </c>
      <c r="D17" s="4" t="n">
        <f aca="false">-D6*Assumptions!D18/100</f>
        <v>-96.6159252</v>
      </c>
      <c r="E17" s="4" t="n">
        <f aca="false">-E6*Assumptions!E18/100</f>
        <v>-44.98437477312</v>
      </c>
      <c r="F17" s="4" t="n">
        <f aca="false">-F6*Assumptions!F18/100</f>
        <v>-44.98437477312</v>
      </c>
      <c r="G17" s="4" t="n">
        <f aca="false">-G6*Assumptions!G18/100</f>
        <v>-45.4342185208512</v>
      </c>
      <c r="H17" s="4" t="n">
        <f aca="false">-H6*Assumptions!H18/100</f>
        <v>-46.3429028912682</v>
      </c>
      <c r="I17" s="4" t="n">
        <f aca="false">-I6*Assumptions!I18/100</f>
        <v>-47.2697609490936</v>
      </c>
      <c r="J17" s="4" t="n">
        <f aca="false">-J6*Assumptions!J18/100</f>
        <v>-48.2151561680755</v>
      </c>
      <c r="K17" s="4" t="n">
        <f aca="false">-K6*Assumptions!K18/100</f>
        <v>-49.179459291437</v>
      </c>
      <c r="L17" s="4" t="n">
        <f aca="false">-L6*Assumptions!L18/100</f>
        <v>-50.1630484772657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304.13012976</v>
      </c>
      <c r="D19" s="0" t="n">
        <f aca="false">D15+D16+D17+D18</f>
        <v>398.057611824</v>
      </c>
      <c r="E19" s="0" t="n">
        <f aca="false">E15+E16+E17+E18</f>
        <v>405.609112537632</v>
      </c>
      <c r="F19" s="0" t="n">
        <f aca="false">F15+F16+F17+F18</f>
        <v>390.614320946592</v>
      </c>
      <c r="G19" s="0" t="n">
        <f aca="false">G15+G16+G17+G18</f>
        <v>394.520464156058</v>
      </c>
      <c r="H19" s="0" t="n">
        <f aca="false">H15+H16+H17+H18</f>
        <v>392.447149317556</v>
      </c>
      <c r="I19" s="0" t="n">
        <f aca="false">I15+I16+I17+I18</f>
        <v>395.21459300188</v>
      </c>
      <c r="J19" s="0" t="n">
        <f aca="false">J15+J16+J17+J18</f>
        <v>403.118884861918</v>
      </c>
      <c r="K19" s="0" t="n">
        <f aca="false">K15+K16+K17+K18</f>
        <v>411.181262559156</v>
      </c>
      <c r="L19" s="0" t="n">
        <f aca="false">L15+L16+L17+L18</f>
        <v>419.404887810339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276.481936145455</v>
      </c>
      <c r="D21" s="0" t="n">
        <f aca="false">D19*D20</f>
        <v>328.973232912397</v>
      </c>
      <c r="E21" s="0" t="n">
        <f aca="false">E19*E20</f>
        <v>304.740129630076</v>
      </c>
      <c r="F21" s="0" t="n">
        <f aca="false">F19*F20</f>
        <v>266.794837064812</v>
      </c>
      <c r="G21" s="0" t="n">
        <f aca="false">G19*G20</f>
        <v>244.966168577691</v>
      </c>
      <c r="H21" s="0" t="n">
        <f aca="false">H19*H20</f>
        <v>221.526184713683</v>
      </c>
      <c r="I21" s="0" t="n">
        <f aca="false">I19*I20</f>
        <v>202.807576842159</v>
      </c>
      <c r="J21" s="0" t="n">
        <f aca="false">J19*J20</f>
        <v>188.057934890002</v>
      </c>
      <c r="K21" s="0" t="n">
        <f aca="false">K19*K20</f>
        <v>174.380994170729</v>
      </c>
      <c r="L21" s="0" t="n">
        <f aca="false">L19*L20</f>
        <v>161.698740049222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-29.4048468</v>
      </c>
      <c r="D24" s="0" t="n">
        <f aca="false">-D6*D23/100</f>
        <v>-27.052459056</v>
      </c>
      <c r="E24" s="0" t="n">
        <f aca="false">-E6*E23/100</f>
        <v>-26.24088528432</v>
      </c>
      <c r="F24" s="0" t="n">
        <f aca="false">-F6*F23/100</f>
        <v>-26.24088528432</v>
      </c>
      <c r="G24" s="0" t="n">
        <f aca="false">-G6*G23/100</f>
        <v>-26.5032941371632</v>
      </c>
      <c r="H24" s="0" t="n">
        <f aca="false">-H6*H23/100</f>
        <v>-27.0333600199065</v>
      </c>
      <c r="I24" s="0" t="n">
        <f aca="false">-I6*I23/100</f>
        <v>-27.5740272203046</v>
      </c>
      <c r="J24" s="0" t="n">
        <f aca="false">-J6*J23/100</f>
        <v>-28.1255077647107</v>
      </c>
      <c r="K24" s="0" t="n">
        <f aca="false">-K6*K23/100</f>
        <v>-28.6880179200049</v>
      </c>
      <c r="L24" s="0" t="n">
        <f aca="false">-L6*L23/100</f>
        <v>-29.261778278405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2370.42773499623</v>
      </c>
    </row>
    <row r="31" customFormat="false" ht="15" hidden="false" customHeight="false" outlineLevel="0" collapsed="false">
      <c r="A31" s="0" t="s">
        <v>125</v>
      </c>
      <c r="B31" s="0" t="n">
        <f aca="false">L19</f>
        <v>419.404887810339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5347.41231958182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5032.85865372407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5032.85865372407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1940.38488059066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4310.81261558689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4398.38461558689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12.0889816655512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0.123511307207359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24.1660012781338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20.5487783875967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12.2118804565397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3290.71527358881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7.75954565718739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-20</v>
      </c>
      <c r="D5" s="4" t="n">
        <f aca="false">Assumptions!D27</f>
        <v>4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5834.295</v>
      </c>
      <c r="C6" s="0" t="n">
        <f aca="false">B6*(1+C5/100)</f>
        <v>4667.436</v>
      </c>
      <c r="D6" s="0" t="n">
        <f aca="false">C6*(1+D5/100)</f>
        <v>4854.13344</v>
      </c>
      <c r="E6" s="0" t="n">
        <f aca="false">D6*(1+E5/100)</f>
        <v>5145.3814464</v>
      </c>
      <c r="F6" s="0" t="n">
        <f aca="false">E6*(1+F5/100)</f>
        <v>5454.104333184</v>
      </c>
      <c r="G6" s="0" t="n">
        <f aca="false">F6*(1+G5/100)</f>
        <v>5726.8095498432</v>
      </c>
      <c r="H6" s="0" t="n">
        <f aca="false">G6*(1+H5/100)</f>
        <v>5955.88193183693</v>
      </c>
      <c r="I6" s="0" t="n">
        <f aca="false">H6*(1+I5/100)</f>
        <v>6164.33779945122</v>
      </c>
      <c r="J6" s="0" t="n">
        <f aca="false">I6*(1+J5/100)</f>
        <v>6349.26793343476</v>
      </c>
      <c r="K6" s="0" t="n">
        <f aca="false">J6*(1+K5/100)</f>
        <v>6539.7459714378</v>
      </c>
      <c r="L6" s="0" t="n">
        <f aca="false">K6*(1+L5/100)</f>
        <v>6703.23962072375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21</v>
      </c>
      <c r="D7" s="4" t="n">
        <f aca="false">Assumptions!D28</f>
        <v>20</v>
      </c>
      <c r="E7" s="4" t="n">
        <f aca="false">Assumptions!E28</f>
        <v>20</v>
      </c>
      <c r="F7" s="4" t="n">
        <f aca="false">Assumptions!F28</f>
        <v>20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980.16156</v>
      </c>
      <c r="D8" s="0" t="n">
        <f aca="false">D6*D7/100</f>
        <v>970.826688</v>
      </c>
      <c r="E8" s="0" t="n">
        <f aca="false">E6*E7/100</f>
        <v>1029.07628928</v>
      </c>
      <c r="F8" s="0" t="n">
        <f aca="false">F6*F7/100</f>
        <v>1090.8208666368</v>
      </c>
      <c r="G8" s="0" t="n">
        <f aca="false">G6*G7/100</f>
        <v>1145.36190996864</v>
      </c>
      <c r="H8" s="0" t="n">
        <f aca="false">H6*H7/100</f>
        <v>1191.17638636739</v>
      </c>
      <c r="I8" s="0" t="n">
        <f aca="false">I6*I7/100</f>
        <v>1232.86755989024</v>
      </c>
      <c r="J8" s="0" t="n">
        <f aca="false">J6*J7/100</f>
        <v>1269.85358668695</v>
      </c>
      <c r="K8" s="0" t="n">
        <f aca="false">K6*K7/100</f>
        <v>1307.94919428756</v>
      </c>
      <c r="L8" s="0" t="n">
        <f aca="false">L6*L7/100</f>
        <v>1340.64792414475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-4.667436</v>
      </c>
      <c r="D10" s="0" t="n">
        <f aca="false">-D6*D9/100</f>
        <v>-4.85413344</v>
      </c>
      <c r="E10" s="0" t="n">
        <f aca="false">-E6*E9/100</f>
        <v>-5.1453814464</v>
      </c>
      <c r="F10" s="0" t="n">
        <f aca="false">-F6*F9/100</f>
        <v>-5.454104333184</v>
      </c>
      <c r="G10" s="0" t="n">
        <f aca="false">-G6*G9/100</f>
        <v>-5.7268095498432</v>
      </c>
      <c r="H10" s="0" t="n">
        <f aca="false">-H6*H9/100</f>
        <v>-5.95588193183693</v>
      </c>
      <c r="I10" s="0" t="n">
        <f aca="false">-I6*I9/100</f>
        <v>-6.16433779945122</v>
      </c>
      <c r="J10" s="0" t="n">
        <f aca="false">-J6*J9/100</f>
        <v>-6.34926793343476</v>
      </c>
      <c r="K10" s="0" t="n">
        <f aca="false">-K6*K9/100</f>
        <v>-6.5397459714378</v>
      </c>
      <c r="L10" s="0" t="n">
        <f aca="false">-L6*L9/100</f>
        <v>-6.70323962072375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947.489508</v>
      </c>
      <c r="D11" s="0" t="n">
        <f aca="false">D8+D10+D24</f>
        <v>936.84775392</v>
      </c>
      <c r="E11" s="0" t="n">
        <f aca="false">E8+E10+E24</f>
        <v>993.0586191552</v>
      </c>
      <c r="F11" s="0" t="n">
        <f aca="false">F8+F10+F24</f>
        <v>1052.64213630451</v>
      </c>
      <c r="G11" s="0" t="n">
        <f aca="false">G8+G10+G24</f>
        <v>1105.27424311974</v>
      </c>
      <c r="H11" s="0" t="n">
        <f aca="false">H8+H10+H24</f>
        <v>1149.48521284453</v>
      </c>
      <c r="I11" s="0" t="n">
        <f aca="false">I8+I10+I24</f>
        <v>1189.71719529409</v>
      </c>
      <c r="J11" s="0" t="n">
        <f aca="false">J8+J10+J24</f>
        <v>1225.40871115291</v>
      </c>
      <c r="K11" s="0" t="n">
        <f aca="false">K8+K10+K24</f>
        <v>1262.1709724875</v>
      </c>
      <c r="L11" s="0" t="n">
        <f aca="false">L8+L10+L24</f>
        <v>1293.72524679968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-42.006924</v>
      </c>
      <c r="D12" s="4" t="n">
        <f aca="false">-D6*Assumptions!D31/100</f>
        <v>-53.39546784</v>
      </c>
      <c r="E12" s="4" t="n">
        <f aca="false">-E6*Assumptions!E31/100</f>
        <v>-61.7445773568</v>
      </c>
      <c r="F12" s="4" t="n">
        <f aca="false">-F6*Assumptions!F31/100</f>
        <v>-65.449251998208</v>
      </c>
      <c r="G12" s="4" t="n">
        <f aca="false">-G6*Assumptions!G31/100</f>
        <v>-68.7217145981184</v>
      </c>
      <c r="H12" s="4" t="n">
        <f aca="false">-H6*Assumptions!H31/100</f>
        <v>-71.4705831820432</v>
      </c>
      <c r="I12" s="4" t="n">
        <f aca="false">-I6*Assumptions!I31/100</f>
        <v>-73.9720535934147</v>
      </c>
      <c r="J12" s="4" t="n">
        <f aca="false">-J6*Assumptions!J31/100</f>
        <v>-76.1912152012171</v>
      </c>
      <c r="K12" s="4" t="n">
        <f aca="false">-K6*Assumptions!K31/100</f>
        <v>-78.4769516572536</v>
      </c>
      <c r="L12" s="4" t="n">
        <f aca="false">-L6*Assumptions!L31/100</f>
        <v>-80.438875448685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905.482584</v>
      </c>
      <c r="D13" s="0" t="n">
        <f aca="false">D11+D12</f>
        <v>883.45228608</v>
      </c>
      <c r="E13" s="0" t="n">
        <f aca="false">E11+E12</f>
        <v>931.3140417984</v>
      </c>
      <c r="F13" s="0" t="n">
        <f aca="false">F11+F12</f>
        <v>987.192884306304</v>
      </c>
      <c r="G13" s="0" t="n">
        <f aca="false">G11+G12</f>
        <v>1036.55252852162</v>
      </c>
      <c r="H13" s="0" t="n">
        <f aca="false">H11+H12</f>
        <v>1078.01462966248</v>
      </c>
      <c r="I13" s="0" t="n">
        <f aca="false">I11+I12</f>
        <v>1115.74514170067</v>
      </c>
      <c r="J13" s="0" t="n">
        <f aca="false">J11+J12</f>
        <v>1149.21749595169</v>
      </c>
      <c r="K13" s="0" t="n">
        <f aca="false">K11+K12</f>
        <v>1183.69402083024</v>
      </c>
      <c r="L13" s="0" t="n">
        <f aca="false">L11+L12</f>
        <v>1213.286371351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22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724.3860672</v>
      </c>
      <c r="D15" s="0" t="n">
        <f aca="false">D13-MAX(0,D13)*D14/100</f>
        <v>706.761828864</v>
      </c>
      <c r="E15" s="0" t="n">
        <f aca="false">E13-MAX(0,E13)*E14/100</f>
        <v>745.05123343872</v>
      </c>
      <c r="F15" s="0" t="n">
        <f aca="false">F13-MAX(0,F13)*F14/100</f>
        <v>789.754307445043</v>
      </c>
      <c r="G15" s="0" t="n">
        <f aca="false">G13-MAX(0,G13)*G14/100</f>
        <v>829.242022817296</v>
      </c>
      <c r="H15" s="0" t="n">
        <f aca="false">H13-MAX(0,H13)*H14/100</f>
        <v>840.851411136738</v>
      </c>
      <c r="I15" s="0" t="n">
        <f aca="false">I13-MAX(0,I13)*I14/100</f>
        <v>859.123759109517</v>
      </c>
      <c r="J15" s="0" t="n">
        <f aca="false">J13-MAX(0,J13)*J14/100</f>
        <v>884.897471882802</v>
      </c>
      <c r="K15" s="0" t="n">
        <f aca="false">K13-MAX(0,K13)*K14/100</f>
        <v>911.444396039286</v>
      </c>
      <c r="L15" s="0" t="n">
        <f aca="false">L13-MAX(0,L13)*L14/100</f>
        <v>934.230505940269</v>
      </c>
    </row>
    <row r="16" customFormat="false" ht="15" hidden="false" customHeight="false" outlineLevel="0" collapsed="false">
      <c r="A16" s="0" t="s">
        <v>116</v>
      </c>
      <c r="C16" s="0" t="n">
        <f aca="false">-C12</f>
        <v>42.006924</v>
      </c>
      <c r="D16" s="0" t="n">
        <f aca="false">-D12</f>
        <v>53.39546784</v>
      </c>
      <c r="E16" s="0" t="n">
        <f aca="false">-E12</f>
        <v>61.7445773568</v>
      </c>
      <c r="F16" s="0" t="n">
        <f aca="false">-F12</f>
        <v>65.449251998208</v>
      </c>
      <c r="G16" s="0" t="n">
        <f aca="false">-G12</f>
        <v>68.7217145981184</v>
      </c>
      <c r="H16" s="0" t="n">
        <f aca="false">-H12</f>
        <v>71.4705831820432</v>
      </c>
      <c r="I16" s="0" t="n">
        <f aca="false">-I12</f>
        <v>73.9720535934147</v>
      </c>
      <c r="J16" s="0" t="n">
        <f aca="false">-J12</f>
        <v>76.1912152012171</v>
      </c>
      <c r="K16" s="0" t="n">
        <f aca="false">-K12</f>
        <v>78.4769516572536</v>
      </c>
      <c r="L16" s="0" t="n">
        <f aca="false">-L12</f>
        <v>80.438875448685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-350.0577</v>
      </c>
      <c r="D17" s="4" t="n">
        <f aca="false">-D6*Assumptions!D32/100</f>
        <v>-145.6240032</v>
      </c>
      <c r="E17" s="4" t="n">
        <f aca="false">-E6*Assumptions!E32/100</f>
        <v>-77.180721696</v>
      </c>
      <c r="F17" s="4" t="n">
        <f aca="false">-F6*Assumptions!F32/100</f>
        <v>-81.81156499776</v>
      </c>
      <c r="G17" s="4" t="n">
        <f aca="false">-G6*Assumptions!G32/100</f>
        <v>-85.902143247648</v>
      </c>
      <c r="H17" s="4" t="n">
        <f aca="false">-H6*Assumptions!H32/100</f>
        <v>-89.338228977554</v>
      </c>
      <c r="I17" s="4" t="n">
        <f aca="false">-I6*Assumptions!I32/100</f>
        <v>-92.4650669917683</v>
      </c>
      <c r="J17" s="4" t="n">
        <f aca="false">-J6*Assumptions!J32/100</f>
        <v>-95.2390190015214</v>
      </c>
      <c r="K17" s="4" t="n">
        <f aca="false">-K6*Assumptions!K32/100</f>
        <v>-98.096189571567</v>
      </c>
      <c r="L17" s="4" t="n">
        <f aca="false">-L6*Assumptions!L32/100</f>
        <v>-100.548594310856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175.02885</v>
      </c>
      <c r="D18" s="4" t="n">
        <f aca="false">(D6-C6)*Assumptions!$B$37/100</f>
        <v>-28.004616</v>
      </c>
      <c r="E18" s="4" t="n">
        <f aca="false">(E6-D6)*Assumptions!$B$37/100</f>
        <v>-43.68720096</v>
      </c>
      <c r="F18" s="4" t="n">
        <f aca="false">(F6-E6)*Assumptions!$B$37/100</f>
        <v>-46.3084330176001</v>
      </c>
      <c r="G18" s="4" t="n">
        <f aca="false">(G6-F6)*Assumptions!$B$37/100</f>
        <v>-40.90578249888</v>
      </c>
      <c r="H18" s="4" t="n">
        <f aca="false">(H6-G6)*Assumptions!$B$37/100</f>
        <v>-34.3608572990593</v>
      </c>
      <c r="I18" s="4" t="n">
        <f aca="false">(I6-H6)*Assumptions!$B$37/100</f>
        <v>-31.2683801421439</v>
      </c>
      <c r="J18" s="4" t="n">
        <f aca="false">(J6-I6)*Assumptions!$B$37/100</f>
        <v>-27.7395200975305</v>
      </c>
      <c r="K18" s="4" t="n">
        <f aca="false">(K6-J6)*Assumptions!$B$37/100</f>
        <v>-28.5717057004565</v>
      </c>
      <c r="L18" s="4" t="n">
        <f aca="false">(L6-K6)*Assumptions!$B$37/100</f>
        <v>-24.5240473928916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591.3641412</v>
      </c>
      <c r="D19" s="0" t="n">
        <f aca="false">D15+D16+D17+D18</f>
        <v>586.528677504</v>
      </c>
      <c r="E19" s="0" t="n">
        <f aca="false">E15+E16+E17+E18</f>
        <v>685.92788813952</v>
      </c>
      <c r="F19" s="0" t="n">
        <f aca="false">F15+F16+F17+F18</f>
        <v>727.083561427891</v>
      </c>
      <c r="G19" s="0" t="n">
        <f aca="false">G15+G16+G17+G18</f>
        <v>771.155811668886</v>
      </c>
      <c r="H19" s="0" t="n">
        <f aca="false">H15+H16+H17+H18</f>
        <v>788.622908042168</v>
      </c>
      <c r="I19" s="0" t="n">
        <f aca="false">I15+I16+I17+I18</f>
        <v>809.362365569019</v>
      </c>
      <c r="J19" s="0" t="n">
        <f aca="false">J15+J16+J17+J18</f>
        <v>838.110147984968</v>
      </c>
      <c r="K19" s="0" t="n">
        <f aca="false">K15+K16+K17+K18</f>
        <v>863.253452424517</v>
      </c>
      <c r="L19" s="0" t="n">
        <f aca="false">L15+L16+L17+L18</f>
        <v>889.596739685206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537.603764727273</v>
      </c>
      <c r="D21" s="0" t="n">
        <f aca="false">D19*D20</f>
        <v>484.734444218182</v>
      </c>
      <c r="E21" s="0" t="n">
        <f aca="false">E19*E20</f>
        <v>515.347774710383</v>
      </c>
      <c r="F21" s="0" t="n">
        <f aca="false">F19*F20</f>
        <v>496.607855630006</v>
      </c>
      <c r="G21" s="0" t="n">
        <f aca="false">G19*G20</f>
        <v>478.827086866201</v>
      </c>
      <c r="H21" s="0" t="n">
        <f aca="false">H19*H20</f>
        <v>445.157072233001</v>
      </c>
      <c r="I21" s="0" t="n">
        <f aca="false">I19*I20</f>
        <v>415.330868482151</v>
      </c>
      <c r="J21" s="0" t="n">
        <f aca="false">J19*J20</f>
        <v>390.984569463659</v>
      </c>
      <c r="K21" s="0" t="n">
        <f aca="false">K19*K20</f>
        <v>366.103733225062</v>
      </c>
      <c r="L21" s="0" t="n">
        <f aca="false">L19*L20</f>
        <v>342.978053284021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0.6</v>
      </c>
      <c r="D23" s="4" t="n">
        <f aca="false">Assumptions!D30</f>
        <v>0.6</v>
      </c>
      <c r="E23" s="4" t="n">
        <f aca="false">Assumptions!E30</f>
        <v>0.6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-28.004616</v>
      </c>
      <c r="D24" s="0" t="n">
        <f aca="false">-D6*D23/100</f>
        <v>-29.12480064</v>
      </c>
      <c r="E24" s="0" t="n">
        <f aca="false">-E6*E23/100</f>
        <v>-30.8722886784</v>
      </c>
      <c r="F24" s="0" t="n">
        <f aca="false">-F6*F23/100</f>
        <v>-32.724625999104</v>
      </c>
      <c r="G24" s="0" t="n">
        <f aca="false">-G6*G23/100</f>
        <v>-34.3608572990592</v>
      </c>
      <c r="H24" s="0" t="n">
        <f aca="false">-H6*H23/100</f>
        <v>-35.7352915910216</v>
      </c>
      <c r="I24" s="0" t="n">
        <f aca="false">-I6*I23/100</f>
        <v>-36.9860267967073</v>
      </c>
      <c r="J24" s="0" t="n">
        <f aca="false">-J6*J23/100</f>
        <v>-38.0956076006086</v>
      </c>
      <c r="K24" s="0" t="n">
        <f aca="false">-K6*K23/100</f>
        <v>-39.2384758286268</v>
      </c>
      <c r="L24" s="0" t="n">
        <f aca="false">-L6*L23/100</f>
        <v>-40.2194377243425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4473.67522283994</v>
      </c>
    </row>
    <row r="31" customFormat="false" ht="15" hidden="false" customHeight="false" outlineLevel="0" collapsed="false">
      <c r="A31" s="0" t="s">
        <v>125</v>
      </c>
      <c r="B31" s="0" t="n">
        <f aca="false">L19</f>
        <v>889.596739685206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12157.8221090311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10675.1608762225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10675.1608762225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4115.73663940825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8589.41186224819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8676.98386224819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23.8487326577295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1.21642496819047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34.2468103720174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35.3199837271787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24.0399373321493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7294.69326541869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15.0701560620953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-16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5834.295</v>
      </c>
      <c r="C6" s="0" t="n">
        <f aca="false">B6*(1+C5/100)</f>
        <v>4900.8078</v>
      </c>
      <c r="D6" s="0" t="n">
        <f aca="false">C6*(1+D5/100)</f>
        <v>5390.88858</v>
      </c>
      <c r="E6" s="0" t="n">
        <f aca="false">D6*(1+E5/100)</f>
        <v>5929.977438</v>
      </c>
      <c r="F6" s="0" t="n">
        <f aca="false">E6*(1+F5/100)</f>
        <v>6404.37563304</v>
      </c>
      <c r="G6" s="0" t="n">
        <f aca="false">F6*(1+G5/100)</f>
        <v>6852.6819273528</v>
      </c>
      <c r="H6" s="0" t="n">
        <f aca="false">G6*(1+H5/100)</f>
        <v>7263.84284299397</v>
      </c>
      <c r="I6" s="0" t="n">
        <f aca="false">H6*(1+I5/100)</f>
        <v>7627.03498514367</v>
      </c>
      <c r="J6" s="0" t="n">
        <f aca="false">I6*(1+J5/100)</f>
        <v>7932.11638454942</v>
      </c>
      <c r="K6" s="0" t="n">
        <f aca="false">J6*(1+K5/100)</f>
        <v>8209.74045800864</v>
      </c>
      <c r="L6" s="0" t="n">
        <f aca="false">K6*(1+L5/100)</f>
        <v>8456.0326717489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22</v>
      </c>
      <c r="D7" s="4" t="n">
        <f aca="false">Assumptions!D42</f>
        <v>22</v>
      </c>
      <c r="E7" s="4" t="n">
        <f aca="false">Assumptions!E42</f>
        <v>22.5</v>
      </c>
      <c r="F7" s="4" t="n">
        <f aca="false">Assumptions!F42</f>
        <v>23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1078.177716</v>
      </c>
      <c r="D8" s="0" t="n">
        <f aca="false">D6*D7/100</f>
        <v>1185.9954876</v>
      </c>
      <c r="E8" s="0" t="n">
        <f aca="false">E6*E7/100</f>
        <v>1334.24492355</v>
      </c>
      <c r="F8" s="0" t="n">
        <f aca="false">F6*F7/100</f>
        <v>1473.0063955992</v>
      </c>
      <c r="G8" s="0" t="n">
        <f aca="false">G6*G7/100</f>
        <v>1576.11684329114</v>
      </c>
      <c r="H8" s="0" t="n">
        <f aca="false">H6*H7/100</f>
        <v>1670.68385388861</v>
      </c>
      <c r="I8" s="0" t="n">
        <f aca="false">I6*I7/100</f>
        <v>1754.21804658304</v>
      </c>
      <c r="J8" s="0" t="n">
        <f aca="false">J6*J7/100</f>
        <v>1824.38676844637</v>
      </c>
      <c r="K8" s="0" t="n">
        <f aca="false">K6*K7/100</f>
        <v>1888.24030534199</v>
      </c>
      <c r="L8" s="0" t="n">
        <f aca="false">L6*L7/100</f>
        <v>1944.88751450225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-4.9008078</v>
      </c>
      <c r="D10" s="0" t="n">
        <f aca="false">-D6*D9/100</f>
        <v>-5.39088858</v>
      </c>
      <c r="E10" s="0" t="n">
        <f aca="false">-E6*E9/100</f>
        <v>-5.929977438</v>
      </c>
      <c r="F10" s="0" t="n">
        <f aca="false">-F6*F9/100</f>
        <v>-6.40437563304</v>
      </c>
      <c r="G10" s="0" t="n">
        <f aca="false">-G6*G9/100</f>
        <v>-6.8526819273528</v>
      </c>
      <c r="H10" s="0" t="n">
        <f aca="false">-H6*H9/100</f>
        <v>-7.26384284299397</v>
      </c>
      <c r="I10" s="0" t="n">
        <f aca="false">-I6*I9/100</f>
        <v>-7.62703498514367</v>
      </c>
      <c r="J10" s="0" t="n">
        <f aca="false">-J6*J9/100</f>
        <v>-7.93211638454942</v>
      </c>
      <c r="K10" s="0" t="n">
        <f aca="false">-K6*K9/100</f>
        <v>-8.20974045800864</v>
      </c>
      <c r="L10" s="0" t="n">
        <f aca="false">-L6*L9/100</f>
        <v>-8.4560326717489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1046.3224653</v>
      </c>
      <c r="D11" s="0" t="n">
        <f aca="false">D8+D10+D24</f>
        <v>1150.95471183</v>
      </c>
      <c r="E11" s="0" t="n">
        <f aca="false">E8+E10+E24</f>
        <v>1295.700070203</v>
      </c>
      <c r="F11" s="0" t="n">
        <f aca="false">F8+F10+F24</f>
        <v>1431.37795398444</v>
      </c>
      <c r="G11" s="0" t="n">
        <f aca="false">G8+G10+G24</f>
        <v>1531.57441076335</v>
      </c>
      <c r="H11" s="0" t="n">
        <f aca="false">H8+H10+H24</f>
        <v>1623.46887540915</v>
      </c>
      <c r="I11" s="0" t="n">
        <f aca="false">I8+I10+I24</f>
        <v>1704.64231917961</v>
      </c>
      <c r="J11" s="0" t="n">
        <f aca="false">J8+J10+J24</f>
        <v>1772.82801194679</v>
      </c>
      <c r="K11" s="0" t="n">
        <f aca="false">K8+K10+K24</f>
        <v>1834.87699236493</v>
      </c>
      <c r="L11" s="0" t="n">
        <f aca="false">L8+L10+L24</f>
        <v>1889.92330213588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-44.1072702</v>
      </c>
      <c r="D12" s="4" t="n">
        <f aca="false">-D6*Assumptions!D45/100</f>
        <v>-59.29977438</v>
      </c>
      <c r="E12" s="4" t="n">
        <f aca="false">-E6*Assumptions!E45/100</f>
        <v>-71.159729256</v>
      </c>
      <c r="F12" s="4" t="n">
        <f aca="false">-F6*Assumptions!F45/100</f>
        <v>-76.85250759648</v>
      </c>
      <c r="G12" s="4" t="n">
        <f aca="false">-G6*Assumptions!G45/100</f>
        <v>-82.2321831282336</v>
      </c>
      <c r="H12" s="4" t="n">
        <f aca="false">-H6*Assumptions!H45/100</f>
        <v>-87.1661141159276</v>
      </c>
      <c r="I12" s="4" t="n">
        <f aca="false">-I6*Assumptions!I45/100</f>
        <v>-91.524419821724</v>
      </c>
      <c r="J12" s="4" t="n">
        <f aca="false">-J6*Assumptions!J45/100</f>
        <v>-95.185396614593</v>
      </c>
      <c r="K12" s="4" t="n">
        <f aca="false">-K6*Assumptions!K45/100</f>
        <v>-98.5168854961037</v>
      </c>
      <c r="L12" s="4" t="n">
        <f aca="false">-L6*Assumptions!L45/100</f>
        <v>-101.472392060987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1002.2151951</v>
      </c>
      <c r="D13" s="0" t="n">
        <f aca="false">D11+D12</f>
        <v>1091.65493745</v>
      </c>
      <c r="E13" s="0" t="n">
        <f aca="false">E11+E12</f>
        <v>1224.540340947</v>
      </c>
      <c r="F13" s="0" t="n">
        <f aca="false">F11+F12</f>
        <v>1354.52544638796</v>
      </c>
      <c r="G13" s="0" t="n">
        <f aca="false">G11+G12</f>
        <v>1449.34222763512</v>
      </c>
      <c r="H13" s="0" t="n">
        <f aca="false">H11+H12</f>
        <v>1536.30276129322</v>
      </c>
      <c r="I13" s="0" t="n">
        <f aca="false">I11+I12</f>
        <v>1613.11789935789</v>
      </c>
      <c r="J13" s="0" t="n">
        <f aca="false">J11+J12</f>
        <v>1677.6426153322</v>
      </c>
      <c r="K13" s="0" t="n">
        <f aca="false">K11+K12</f>
        <v>1736.36010686883</v>
      </c>
      <c r="L13" s="0" t="n">
        <f aca="false">L11+L12</f>
        <v>1788.45091007489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22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801.77215608</v>
      </c>
      <c r="D15" s="0" t="n">
        <f aca="false">D13-MAX(0,D13)*D14/100</f>
        <v>873.32394996</v>
      </c>
      <c r="E15" s="0" t="n">
        <f aca="false">E13-MAX(0,E13)*E14/100</f>
        <v>979.6322727576</v>
      </c>
      <c r="F15" s="0" t="n">
        <f aca="false">F13-MAX(0,F13)*F14/100</f>
        <v>1083.62035711037</v>
      </c>
      <c r="G15" s="0" t="n">
        <f aca="false">G13-MAX(0,G13)*G14/100</f>
        <v>1159.47378210809</v>
      </c>
      <c r="H15" s="0" t="n">
        <f aca="false">H13-MAX(0,H13)*H14/100</f>
        <v>1198.31615380872</v>
      </c>
      <c r="I15" s="0" t="n">
        <f aca="false">I13-MAX(0,I13)*I14/100</f>
        <v>1242.10078250557</v>
      </c>
      <c r="J15" s="0" t="n">
        <f aca="false">J13-MAX(0,J13)*J14/100</f>
        <v>1291.7848138058</v>
      </c>
      <c r="K15" s="0" t="n">
        <f aca="false">K13-MAX(0,K13)*K14/100</f>
        <v>1336.997282289</v>
      </c>
      <c r="L15" s="0" t="n">
        <f aca="false">L13-MAX(0,L13)*L14/100</f>
        <v>1377.10720075767</v>
      </c>
    </row>
    <row r="16" customFormat="false" ht="15" hidden="false" customHeight="false" outlineLevel="0" collapsed="false">
      <c r="A16" s="0" t="s">
        <v>116</v>
      </c>
      <c r="C16" s="0" t="n">
        <f aca="false">-C12</f>
        <v>44.1072702</v>
      </c>
      <c r="D16" s="0" t="n">
        <f aca="false">-D12</f>
        <v>59.29977438</v>
      </c>
      <c r="E16" s="0" t="n">
        <f aca="false">-E12</f>
        <v>71.159729256</v>
      </c>
      <c r="F16" s="0" t="n">
        <f aca="false">-F12</f>
        <v>76.85250759648</v>
      </c>
      <c r="G16" s="0" t="n">
        <f aca="false">-G12</f>
        <v>82.2321831282336</v>
      </c>
      <c r="H16" s="0" t="n">
        <f aca="false">-H12</f>
        <v>87.1661141159276</v>
      </c>
      <c r="I16" s="0" t="n">
        <f aca="false">-I12</f>
        <v>91.524419821724</v>
      </c>
      <c r="J16" s="0" t="n">
        <f aca="false">-J12</f>
        <v>95.185396614593</v>
      </c>
      <c r="K16" s="0" t="n">
        <f aca="false">-K12</f>
        <v>98.5168854961037</v>
      </c>
      <c r="L16" s="0" t="n">
        <f aca="false">-L12</f>
        <v>101.472392060987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-367.560585</v>
      </c>
      <c r="D17" s="4" t="n">
        <f aca="false">-D6*Assumptions!D46/100</f>
        <v>-188.6811003</v>
      </c>
      <c r="E17" s="4" t="n">
        <f aca="false">-E6*Assumptions!E46/100</f>
        <v>-118.59954876</v>
      </c>
      <c r="F17" s="4" t="n">
        <f aca="false">-F6*Assumptions!F46/100</f>
        <v>-128.0875126608</v>
      </c>
      <c r="G17" s="4" t="n">
        <f aca="false">-G6*Assumptions!G46/100</f>
        <v>-137.053638547056</v>
      </c>
      <c r="H17" s="4" t="n">
        <f aca="false">-H6*Assumptions!H46/100</f>
        <v>-130.749171173891</v>
      </c>
      <c r="I17" s="4" t="n">
        <f aca="false">-I6*Assumptions!I46/100</f>
        <v>-137.286629732586</v>
      </c>
      <c r="J17" s="4" t="n">
        <f aca="false">-J6*Assumptions!J46/100</f>
        <v>-142.778094921889</v>
      </c>
      <c r="K17" s="4" t="n">
        <f aca="false">-K6*Assumptions!K46/100</f>
        <v>-147.775328244156</v>
      </c>
      <c r="L17" s="4" t="n">
        <f aca="false">-L6*Assumptions!L46/100</f>
        <v>-152.20858809148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233.3718</v>
      </c>
      <c r="D18" s="4" t="n">
        <f aca="false">(D6-C6)*Assumptions!$B$51/100</f>
        <v>-122.520195</v>
      </c>
      <c r="E18" s="4" t="n">
        <f aca="false">(E6-D6)*Assumptions!$B$51/100</f>
        <v>-134.7722145</v>
      </c>
      <c r="F18" s="4" t="n">
        <f aca="false">(F6-E6)*Assumptions!$B$51/100</f>
        <v>-118.59954876</v>
      </c>
      <c r="G18" s="4" t="n">
        <f aca="false">(G6-F6)*Assumptions!$B$51/100</f>
        <v>-112.0765735782</v>
      </c>
      <c r="H18" s="4" t="n">
        <f aca="false">(H6-G6)*Assumptions!$B$51/100</f>
        <v>-102.790228910292</v>
      </c>
      <c r="I18" s="4" t="n">
        <f aca="false">(I6-H6)*Assumptions!$B$51/100</f>
        <v>-90.7980355374248</v>
      </c>
      <c r="J18" s="4" t="n">
        <f aca="false">(J6-I6)*Assumptions!$B$51/100</f>
        <v>-76.2703498514368</v>
      </c>
      <c r="K18" s="4" t="n">
        <f aca="false">(K6-J6)*Assumptions!$B$51/100</f>
        <v>-69.4060183648071</v>
      </c>
      <c r="L18" s="4" t="n">
        <f aca="false">(L6-K6)*Assumptions!$B$51/100</f>
        <v>-61.5730534350651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711.69064128</v>
      </c>
      <c r="D19" s="0" t="n">
        <f aca="false">D15+D16+D17+D18</f>
        <v>621.42242904</v>
      </c>
      <c r="E19" s="0" t="n">
        <f aca="false">E15+E16+E17+E18</f>
        <v>797.4202387536</v>
      </c>
      <c r="F19" s="0" t="n">
        <f aca="false">F15+F16+F17+F18</f>
        <v>913.785803286048</v>
      </c>
      <c r="G19" s="0" t="n">
        <f aca="false">G15+G16+G17+G18</f>
        <v>992.575753111071</v>
      </c>
      <c r="H19" s="0" t="n">
        <f aca="false">H15+H16+H17+H18</f>
        <v>1051.94286784046</v>
      </c>
      <c r="I19" s="0" t="n">
        <f aca="false">I15+I16+I17+I18</f>
        <v>1105.54053705729</v>
      </c>
      <c r="J19" s="0" t="n">
        <f aca="false">J15+J16+J17+J18</f>
        <v>1167.92176564706</v>
      </c>
      <c r="K19" s="0" t="n">
        <f aca="false">K15+K16+K17+K18</f>
        <v>1218.33282117614</v>
      </c>
      <c r="L19" s="0" t="n">
        <f aca="false">L15+L16+L17+L18</f>
        <v>1264.79795129211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646.991492072727</v>
      </c>
      <c r="D21" s="0" t="n">
        <f aca="false">D19*D20</f>
        <v>513.572255404959</v>
      </c>
      <c r="E21" s="0" t="n">
        <f aca="false">E19*E20</f>
        <v>599.113627914049</v>
      </c>
      <c r="F21" s="0" t="n">
        <f aca="false">F19*F20</f>
        <v>624.12799896595</v>
      </c>
      <c r="G21" s="0" t="n">
        <f aca="false">G19*G20</f>
        <v>616.311449858164</v>
      </c>
      <c r="H21" s="0" t="n">
        <f aca="false">H19*H20</f>
        <v>593.794324801945</v>
      </c>
      <c r="I21" s="0" t="n">
        <f aca="false">I19*I20</f>
        <v>567.317101624081</v>
      </c>
      <c r="J21" s="0" t="n">
        <f aca="false">J19*J20</f>
        <v>544.844123181937</v>
      </c>
      <c r="K21" s="0" t="n">
        <f aca="false">K19*K20</f>
        <v>516.692047845831</v>
      </c>
      <c r="L21" s="0" t="n">
        <f aca="false">L19*L20</f>
        <v>487.634362604892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0.55</v>
      </c>
      <c r="D23" s="4" t="n">
        <f aca="false">Assumptions!D44</f>
        <v>0.55</v>
      </c>
      <c r="E23" s="4" t="n">
        <f aca="false">Assumptions!E44</f>
        <v>0.55</v>
      </c>
      <c r="F23" s="4" t="n">
        <f aca="false">Assumptions!F44</f>
        <v>0.55</v>
      </c>
      <c r="G23" s="4" t="n">
        <f aca="false">Assumptions!G44</f>
        <v>0.55</v>
      </c>
      <c r="H23" s="4" t="n">
        <f aca="false">Assumptions!H44</f>
        <v>0.55</v>
      </c>
      <c r="I23" s="4" t="n">
        <f aca="false">Assumptions!I44</f>
        <v>0.55</v>
      </c>
      <c r="J23" s="4" t="n">
        <f aca="false">Assumptions!J44</f>
        <v>0.55</v>
      </c>
      <c r="K23" s="4" t="n">
        <f aca="false">Assumptions!K44</f>
        <v>0.55</v>
      </c>
      <c r="L23" s="4" t="n">
        <f aca="false">Assumptions!L44</f>
        <v>0.55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-26.9544429</v>
      </c>
      <c r="D24" s="0" t="n">
        <f aca="false">-D6*D23/100</f>
        <v>-29.64988719</v>
      </c>
      <c r="E24" s="0" t="n">
        <f aca="false">-E6*E23/100</f>
        <v>-32.614875909</v>
      </c>
      <c r="F24" s="0" t="n">
        <f aca="false">-F6*F23/100</f>
        <v>-35.22406598172</v>
      </c>
      <c r="G24" s="0" t="n">
        <f aca="false">-G6*G23/100</f>
        <v>-37.6897506004404</v>
      </c>
      <c r="H24" s="0" t="n">
        <f aca="false">-H6*H23/100</f>
        <v>-39.9511356364668</v>
      </c>
      <c r="I24" s="0" t="n">
        <f aca="false">-I6*I23/100</f>
        <v>-41.9486924182902</v>
      </c>
      <c r="J24" s="0" t="n">
        <f aca="false">-J6*J23/100</f>
        <v>-43.6266401150218</v>
      </c>
      <c r="K24" s="0" t="n">
        <f aca="false">-K6*K23/100</f>
        <v>-45.1535725190476</v>
      </c>
      <c r="L24" s="0" t="n">
        <f aca="false">-L6*L23/100</f>
        <v>-46.508179694619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5710.39878427454</v>
      </c>
    </row>
    <row r="31" customFormat="false" ht="15" hidden="false" customHeight="false" outlineLevel="0" collapsed="false">
      <c r="A31" s="0" t="s">
        <v>125</v>
      </c>
      <c r="B31" s="0" t="n">
        <f aca="false">L19</f>
        <v>1264.79795129211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18610.5984261553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15177.5754155053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15177.5754155053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5851.61235125871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11562.0111355332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11649.5831355332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32.0189363244179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1.97573757661876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40.4515042130555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47.9710235906193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32.2619660753069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10856.1824152573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20.0949263138964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12.0889816655512</v>
      </c>
      <c r="C4" s="0" t="n">
        <f aca="false">B4/Assumptions!$B$2-1</f>
        <v>0.123511307207359</v>
      </c>
      <c r="D4" s="4" t="n">
        <f aca="false">Assumptions!$B$24</f>
        <v>0.3</v>
      </c>
      <c r="E4" s="4" t="n">
        <f aca="false">DCF_Bear!$B$43</f>
        <v>12.2118804565397</v>
      </c>
      <c r="F4" s="4" t="n">
        <f aca="false">DCF_Bear!$B$47</f>
        <v>7.75954565718739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23.8487326577295</v>
      </c>
      <c r="C5" s="0" t="n">
        <f aca="false">B5/Assumptions!$B$2-1</f>
        <v>1.21642496819047</v>
      </c>
      <c r="D5" s="4" t="n">
        <f aca="false">Assumptions!$B$38</f>
        <v>0.5</v>
      </c>
      <c r="E5" s="4" t="n">
        <f aca="false">DCF_Base!$B$43</f>
        <v>24.0399373321493</v>
      </c>
      <c r="F5" s="4" t="n">
        <f aca="false">DCF_Base!$B$47</f>
        <v>15.0701560620953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32.0189363244179</v>
      </c>
      <c r="C6" s="0" t="n">
        <f aca="false">B6/Assumptions!$B$2-1</f>
        <v>1.97573757661876</v>
      </c>
      <c r="D6" s="4" t="n">
        <f aca="false">Assumptions!$B$52</f>
        <v>0.2</v>
      </c>
      <c r="E6" s="4" t="n">
        <f aca="false">DCF_Bull!$B$43</f>
        <v>32.2619660753069</v>
      </c>
      <c r="F6" s="4" t="n">
        <f aca="false">DCF_Bull!$B$47</f>
        <v>20.0949263138964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21.9548480934137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22.1359260180979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0.509903236213785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13.8819269909831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25.5222452546367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23.8487326577295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22.3180040159623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19.9632145141575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15.0701560620953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27.3540798496371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27.3540798496371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27.3540798496371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27.3540798496371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27.3540798496371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25.5222452546367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25.5222452546367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25.5222452546367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25.5222452546367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25.5222452546367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23.7932810777383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23.8487326577295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23.8487326577295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23.8487326577295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23.8487326577295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21.1849612093921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21.7439289939667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22.3180040159623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22.3180040159623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22.3180040159623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19.0792911984608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19.4991547734167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19.9632145141575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20.4788364483139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20.916194338893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2026-10-23T13:25:53Z</dcterms:created>
  <dc:creator>openpyxl</dc:creator>
  <dc:description/>
  <dc:language>en-NZ</dc:language>
  <cp:lastModifiedBy/>
  <dcterms:modified xsi:type="dcterms:W3CDTF">2026-10-23T13:25:53Z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