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<sst xmlns="http://schemas.openxmlformats.org/spreadsheetml/2006/main" count="354" uniqueCount="164">
  <si>
    <t xml:space="preserve">Ticker</t>
  </si>
  <si>
    <t xml:space="preserve">2232.HK</t>
  </si>
  <si>
    <t xml:space="preserve">Company</t>
  </si>
  <si>
    <t xml:space="preserve">Crystal International Group Limited</t>
  </si>
  <si>
    <t xml:space="preserve">Valuation date</t>
  </si>
  <si>
    <t xml:space="preserve">2026-10-18</t>
  </si>
  <si>
    <t xml:space="preserve">Current price</t>
  </si>
  <si>
    <t xml:space="preserve">Price as of</t>
  </si>
  <si>
    <t xml:space="preserve">2026-10-16T08:08:14Z regular close (HKEX)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</si>
  <si>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</si>
  <si>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</si>
  <si>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</si>
  <si>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</si>
  <si>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</si>
  <si>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</si>
  <si>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</si>
  <si>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HKD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</si>
  <si>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</si>
  <si>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</si>
  <si>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</si>
  <si>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</si>
  <si>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</si>
  <si>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2026-10-17T22:52:58Z</t>
  </si>
  <si>
    <t xml:space="preserve">Drivers file</t>
  </si>
  <si>
    <t xml:space="preserve">2232.HK_Drivers.json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</si>
  <si>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</si>
  <si>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</si>
  <si>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</si>
  <si>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A net-cash, SBC-free, high-payout apparel OEM valued on owner FCF after a full lease charge and a capex peak. Most of the debate is whether FY2026's record capex is growth that earns its keep or a capacity bet into a tariff-hit demand cycle; the bear weighting carries customer concentration and tariff risk in the flows rather than in the discount rate.
key_risks_to_valuation: Fast Retailing concentration (36.9% of sales): a sourcing shift is a step-change, not a gradual fade.; US tariffs on Southeast/South Asian apparel exports (North America 34% of sales).; Capex payback on the Egypt project and satellite factories; FY2026 capex at a historical high.; Wage inflation in Vietnam/Bangladesh outrunning productivity gains.; Global minimum tax (Pillar Two) eroding tax-holiday benefits in production countries.</t>
  </si>
  <si>
    <t xml:space="preserve">Data sources</t>
  </si>
  <si>
    <t xml:space="preserve">price: Yahoo Finance chart API at inputs.price_as_of; 52-week range 5.47-7.85 HKD
fx: Yahoo Finance HKD=X at 2026-10-17T21:00Z; parity-checked against the interim dividend conversion
financials: Crystal International annual reports FY2018-FY2025 and interim report H1 FY2026 (research/2232.HK/Extracted); Metrics.csv derived from core_metrics
qualitative: H1 FY2026 interim MD&amp;A and outlook; FY2025 annual report directors' report (customer concentration). 2232.HK_Analysis.json bull/bear/risk sections cross-checked after it landed: its ~US$350m planned Egypt investment matches the ~US$340m of above-maintenance capex modelled over FY2026-28.</t>
  </si>
  <si>
    <t xml:space="preserve">Scenario narrative: bear</t>
  </si>
  <si>
    <t xml:space="preserve">US tariffs on Vietnam/Bangladesh/Cambodia-origin apparel squeeze brand sourcing budgets and customers push price-downs onto OEMs; Fast Retailing (37% of sales) diversifies suppliers or slows growth, and the FY2026 capacity build lands into weak orders. Revenue stalls after FY2026, wage inflation and under-absorbed new capacity compress EBITDA margin to 12%, Pillar Two minimum tax lifts the cash tax rate to 23%, and terminal growth is only 1.5%.</t>
  </si>
  <si>
    <t xml:space="preserve">Scenario narrative: base</t>
  </si>
  <si>
    <t xml:space="preserve">Crystal keeps compounding as a share-gainer in a consolidating OEM industry: brands keep shifting volume to large, compliant, multi-country suppliers, Fast Retailing stays the anchor customer, and capacity added through Vietnam/Bangladesh satellite factories and the Egypt project lifts revenue ~7% in FY2026 before growth fades toward 2.5%. Productivity gains offset wage inflation so EBITDA margin holds ~14%. Capex peaks in FY2026 then normalises, and owner FCF recovers to ~7% of revenue.</t>
  </si>
  <si>
    <t xml:space="preserve">Scenario narrative: bull</t>
  </si>
  <si>
    <t xml:space="preserve">Tariff-driven supply-chain reshuffling favours scaled multi-country producers; Egypt opens EU/US-preferential capacity on schedule, sportswear/outdoor and lifestyle wear (Uniqlo, lululemon-type customers) grow high single digits for several years, and automation lifts EBITDA margin to 15%. Growth stays above 5% through FY2030 and the market pays a slightly higher exit multiple for a proven compounder.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</si>
  <si>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</si>
  <si>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</si>
  <si>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</si>
  <si>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</si>
  <si>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</si>
  <si>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</si>
  <si>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</si>
  <si>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</si>
  <si>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</si>
  <si>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</si>
  <si>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</si>
  <si>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</si>
  <si>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</si>
  <si>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</si>
  <si>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</si>
  <si>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</si>
  <si>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</si>
  <si>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</si>
  <si>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</si>
  <si>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</si>
  <si>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</si>
  <si>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</si>
  <si>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</si>
  <si>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</si>
  <si>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</si>
  <si>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</si>
  <si>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</si>
  <si>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ShortTermDeposits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</si>
  <si>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</si>
  <si>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</si>
  <si>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</si>
  <si>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</si>
  <si>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</si>
  <si>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</si>
  <si>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</si>
  <si>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</si>
  <si>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</si>
  <si>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</si>
  <si>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</si>
  <si>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</si>
  <si>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</si>
  <si>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</si>
  <si>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</si>
  <si>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</si>
  <si>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</si>
  <si>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</si>
  <si>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</si>
  <si>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</si>
  <si>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</si>
  <si>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</si>
  <si>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</si>
  <si>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</si>
  <si>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</si>
  <si>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</si>
  <si>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</si>
  <si>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</si>
  <si>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</si>
  <si>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</si>
  <si>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</si>
  <si>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</si>
  <si>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</si>
  <si>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</si>
  <si>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</si>
  <si>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</si>
  <si>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</si>
  <si>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</si>
  <si>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</si>
  <si>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</si>
  <si>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</si>
  <si>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</si>
  <si>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</si>
  <si>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</si>
  <si>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</si>
  <si>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2232.HK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</si>
  <si>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</si>
  <si>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</si>
  <si>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</si>
  <si>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</si>
  <si>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</si>
  <si>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</si>
  <si>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</si>
  <si>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</si>
  <si>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</si>
  <si>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</si>
  <si>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</si>
  <si>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</si>
  <si>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</si>
  <si>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</si>
  <si>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</si>
  <si>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</si>
  <si>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</si>
  <si>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</si>
  <si>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</si>
  <si>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</si>
  <si>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</si>
  <si>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</si>
  <si>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</si>
  <si>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</si>
  <si>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</si>
  <si>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</si>
  <si>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</si>
  <si>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</si>
  <si>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</si>
  <si>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</si>
  <si>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2232.HK owner-FCF component DCF: base case (millions, USD)</t>
  </si>
  <si>
    <t xml:space="preserve">2232.HK owner-FCF component DCF: bull case (millions, USD)</t>
  </si>
  <si>
    <t xml:space="preserve">2232.HK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</si>
  <si>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</si>
  <si>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</si>
  <si>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</si>
  <si>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</si>
  <si>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</si>
  <si>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</si>
  <si>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</si>
  <si>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</si>
  <si>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</si>
  <si>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</si>
  <si>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</si>
  <si>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</si>
  <si>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</si>
  <si>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</si>
  <si>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</si>
  <si>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10% (WACC)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</si>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</sst>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7.5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46.2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  <c r="AC1" s="2" t="s">
        <v>64</v>
      </c>
    </row>
    <row r="2" customFormat="false" ht="15" hidden="false" customHeight="false" outlineLevel="0" collapsed="false">
      <c r="A2" s="0" t="s">
        <v>65</v>
      </c>
      <c r="B2" s="0" t="n">
        <v>2495.966</v>
      </c>
      <c r="C2" s="0" t="n">
        <v>2026.244</v>
      </c>
      <c r="D2" s="0" t="n">
        <v>469.722</v>
      </c>
      <c r="E2" s="0" t="n">
        <v>18.8</v>
      </c>
      <c r="F2" s="0" t="n">
        <v>187.859</v>
      </c>
      <c r="G2" s="0" t="n">
        <v>7.5</v>
      </c>
      <c r="H2" s="0" t="n">
        <v>261.64</v>
      </c>
      <c r="I2" s="0" t="n">
        <v>149.192</v>
      </c>
      <c r="J2" s="0" t="n">
        <v>6</v>
      </c>
      <c r="K2" s="0" t="n">
        <v>0.0524</v>
      </c>
      <c r="L2" s="0" t="n">
        <v>230.901</v>
      </c>
      <c r="M2" s="0" t="n">
        <v>171.757</v>
      </c>
      <c r="N2" s="0" t="n">
        <v>59.144</v>
      </c>
      <c r="O2" s="0" t="n">
        <v>986.439</v>
      </c>
      <c r="P2" s="0" t="n">
        <v>1839.952</v>
      </c>
      <c r="Q2" s="0" t="n">
        <v>853.513</v>
      </c>
      <c r="R2" s="0" t="n">
        <v>434.412</v>
      </c>
      <c r="S2" s="0" t="n">
        <v>302.326</v>
      </c>
      <c r="T2" s="0" t="n">
        <v>2852.822</v>
      </c>
      <c r="U2" s="0" t="n">
        <v>3.94</v>
      </c>
      <c r="AA2" s="0" t="s">
        <v>18</v>
      </c>
      <c r="AB2" s="0" t="s">
        <v>14</v>
      </c>
      <c r="AC2" s="0" t="n">
        <v>0</v>
      </c>
    </row>
    <row r="3" customFormat="false" ht="15" hidden="false" customHeight="false" outlineLevel="0" collapsed="false">
      <c r="A3" s="0" t="s">
        <v>66</v>
      </c>
      <c r="B3" s="0" t="n">
        <v>2427.723</v>
      </c>
      <c r="C3" s="0" t="n">
        <v>1965.033</v>
      </c>
      <c r="D3" s="0" t="n">
        <v>462.69</v>
      </c>
      <c r="E3" s="0" t="n">
        <v>19.1</v>
      </c>
      <c r="F3" s="0" t="n">
        <v>191.593</v>
      </c>
      <c r="G3" s="0" t="n">
        <v>7.9</v>
      </c>
      <c r="H3" s="0" t="n">
        <v>289.134</v>
      </c>
      <c r="I3" s="0" t="n">
        <v>151.904</v>
      </c>
      <c r="J3" s="0" t="n">
        <v>6.3</v>
      </c>
      <c r="K3" s="0" t="n">
        <v>0.0533</v>
      </c>
      <c r="L3" s="0" t="n">
        <v>313.458</v>
      </c>
      <c r="M3" s="0" t="n">
        <v>110.289</v>
      </c>
      <c r="N3" s="0" t="n">
        <v>203.169</v>
      </c>
      <c r="O3" s="0" t="n">
        <v>1088.018</v>
      </c>
      <c r="P3" s="0" t="n">
        <v>1816.168</v>
      </c>
      <c r="Q3" s="0" t="n">
        <v>728.15</v>
      </c>
      <c r="R3" s="0" t="n">
        <v>277.441</v>
      </c>
      <c r="S3" s="0" t="n">
        <v>266.84</v>
      </c>
      <c r="T3" s="0" t="n">
        <v>2852.822</v>
      </c>
      <c r="U3" s="0" t="n">
        <v>0.858</v>
      </c>
      <c r="AA3" s="0" t="s">
        <v>18</v>
      </c>
      <c r="AB3" s="0" t="s">
        <v>14</v>
      </c>
      <c r="AC3" s="0" t="n">
        <v>0</v>
      </c>
    </row>
    <row r="4" customFormat="false" ht="15" hidden="false" customHeight="false" outlineLevel="0" collapsed="false">
      <c r="A4" s="0" t="s">
        <v>67</v>
      </c>
      <c r="B4" s="0" t="n">
        <v>1985.332</v>
      </c>
      <c r="C4" s="0" t="n">
        <v>1599.466</v>
      </c>
      <c r="D4" s="0" t="n">
        <v>385.866</v>
      </c>
      <c r="E4" s="0" t="n">
        <v>19.4</v>
      </c>
      <c r="F4" s="0" t="n">
        <v>133.085</v>
      </c>
      <c r="G4" s="0" t="n">
        <v>6.7</v>
      </c>
      <c r="H4" s="0" t="n">
        <v>230.078</v>
      </c>
      <c r="I4" s="0" t="n">
        <v>108.085</v>
      </c>
      <c r="J4" s="0" t="n">
        <v>5.4</v>
      </c>
      <c r="K4" s="0" t="n">
        <v>0.0379</v>
      </c>
      <c r="L4" s="0" t="n">
        <v>323.854</v>
      </c>
      <c r="M4" s="0" t="n">
        <v>57.971</v>
      </c>
      <c r="N4" s="0" t="n">
        <v>265.883</v>
      </c>
      <c r="O4" s="0" t="n">
        <v>1164.381</v>
      </c>
      <c r="P4" s="0" t="n">
        <v>1782.512</v>
      </c>
      <c r="Q4" s="0" t="n">
        <v>618.131</v>
      </c>
      <c r="R4" s="0" t="n">
        <v>178.408</v>
      </c>
      <c r="S4" s="0" t="n">
        <v>383.427</v>
      </c>
      <c r="T4" s="0" t="n">
        <v>2852.822</v>
      </c>
      <c r="U4" s="0" t="n">
        <v>0</v>
      </c>
      <c r="AA4" s="0" t="s">
        <v>18</v>
      </c>
      <c r="AB4" s="0" t="s">
        <v>14</v>
      </c>
      <c r="AC4" s="0" t="n">
        <v>0</v>
      </c>
    </row>
    <row r="5" customFormat="false" ht="15" hidden="false" customHeight="false" outlineLevel="0" collapsed="false">
      <c r="A5" s="0" t="s">
        <v>68</v>
      </c>
      <c r="B5" s="0" t="n">
        <v>2341.432</v>
      </c>
      <c r="C5" s="0" t="n">
        <v>1893.822</v>
      </c>
      <c r="D5" s="0" t="n">
        <v>447.61</v>
      </c>
      <c r="E5" s="0" t="n">
        <v>19.1</v>
      </c>
      <c r="F5" s="0" t="n">
        <v>199.265</v>
      </c>
      <c r="G5" s="0" t="n">
        <v>8.5</v>
      </c>
      <c r="H5" s="0" t="n">
        <v>292.211</v>
      </c>
      <c r="I5" s="0" t="n">
        <v>163.106</v>
      </c>
      <c r="J5" s="0" t="n">
        <v>7</v>
      </c>
      <c r="K5" s="0" t="n">
        <v>0.0572</v>
      </c>
      <c r="L5" s="0" t="n">
        <v>189.862</v>
      </c>
      <c r="M5" s="0" t="n">
        <v>65.402</v>
      </c>
      <c r="N5" s="0" t="n">
        <v>124.46</v>
      </c>
      <c r="O5" s="0" t="n">
        <v>1288.856</v>
      </c>
      <c r="P5" s="0" t="n">
        <v>1959.495</v>
      </c>
      <c r="Q5" s="0" t="n">
        <v>666.176</v>
      </c>
      <c r="R5" s="0" t="n">
        <v>167.597</v>
      </c>
      <c r="S5" s="0" t="n">
        <v>401.27</v>
      </c>
      <c r="T5" s="0" t="n">
        <v>2852.822</v>
      </c>
      <c r="U5" s="0" t="n">
        <v>0</v>
      </c>
      <c r="AA5" s="0" t="s">
        <v>18</v>
      </c>
      <c r="AB5" s="0" t="s">
        <v>14</v>
      </c>
      <c r="AC5" s="0" t="n">
        <v>0</v>
      </c>
    </row>
    <row r="6" customFormat="false" ht="15" hidden="false" customHeight="false" outlineLevel="0" collapsed="false">
      <c r="A6" s="0" t="s">
        <v>69</v>
      </c>
      <c r="B6" s="0" t="n">
        <v>2490.966</v>
      </c>
      <c r="C6" s="0" t="n">
        <v>2027.616</v>
      </c>
      <c r="D6" s="0" t="n">
        <v>463.35</v>
      </c>
      <c r="E6" s="0" t="n">
        <v>18.6</v>
      </c>
      <c r="F6" s="0" t="n">
        <v>223.673</v>
      </c>
      <c r="G6" s="0" t="n">
        <v>9</v>
      </c>
      <c r="H6" s="0" t="n">
        <v>316.191</v>
      </c>
      <c r="I6" s="0" t="n">
        <v>172.726</v>
      </c>
      <c r="J6" s="0" t="n">
        <v>6.9</v>
      </c>
      <c r="K6" s="0" t="n">
        <v>0.0605</v>
      </c>
      <c r="L6" s="0" t="n">
        <v>349.151</v>
      </c>
      <c r="M6" s="0" t="n">
        <v>91.75</v>
      </c>
      <c r="N6" s="0" t="n">
        <v>257.401</v>
      </c>
      <c r="O6" s="0" t="n">
        <v>1341.482</v>
      </c>
      <c r="P6" s="0" t="n">
        <v>1894.965</v>
      </c>
      <c r="Q6" s="0" t="n">
        <v>549.666</v>
      </c>
      <c r="R6" s="0" t="n">
        <v>101.697</v>
      </c>
      <c r="S6" s="0" t="n">
        <v>455.056</v>
      </c>
      <c r="T6" s="0" t="n">
        <v>2852.822</v>
      </c>
      <c r="U6" s="0" t="n">
        <v>0</v>
      </c>
      <c r="AA6" s="0" t="s">
        <v>18</v>
      </c>
      <c r="AB6" s="0" t="s">
        <v>14</v>
      </c>
      <c r="AC6" s="0" t="n">
        <v>0</v>
      </c>
    </row>
    <row r="7" customFormat="false" ht="15" hidden="false" customHeight="false" outlineLevel="0" collapsed="false">
      <c r="A7" s="0" t="s">
        <v>70</v>
      </c>
      <c r="B7" s="0" t="n">
        <v>2177.329</v>
      </c>
      <c r="C7" s="0" t="n">
        <v>1759.548</v>
      </c>
      <c r="D7" s="0" t="n">
        <v>417.781</v>
      </c>
      <c r="E7" s="0" t="n">
        <v>19.2</v>
      </c>
      <c r="F7" s="0" t="n">
        <v>208.401</v>
      </c>
      <c r="G7" s="0" t="n">
        <v>9.6</v>
      </c>
      <c r="H7" s="0" t="n">
        <v>292.786</v>
      </c>
      <c r="I7" s="0" t="n">
        <v>163.479</v>
      </c>
      <c r="J7" s="0" t="n">
        <v>7.5</v>
      </c>
      <c r="K7" s="0" t="n">
        <v>0.0573</v>
      </c>
      <c r="L7" s="0" t="n">
        <v>312.974</v>
      </c>
      <c r="M7" s="0" t="n">
        <v>43.927</v>
      </c>
      <c r="N7" s="0" t="n">
        <v>269.047</v>
      </c>
      <c r="O7" s="0" t="n">
        <v>1434.442</v>
      </c>
      <c r="P7" s="0" t="n">
        <v>1974.562</v>
      </c>
      <c r="Q7" s="0" t="n">
        <v>535.66</v>
      </c>
      <c r="R7" s="0" t="n">
        <v>63.7</v>
      </c>
      <c r="S7" s="0" t="n">
        <v>607.144</v>
      </c>
      <c r="T7" s="0" t="n">
        <v>2852.822</v>
      </c>
      <c r="U7" s="0" t="n">
        <v>0</v>
      </c>
      <c r="AA7" s="0" t="s">
        <v>18</v>
      </c>
      <c r="AB7" s="0" t="s">
        <v>14</v>
      </c>
      <c r="AC7" s="0" t="n">
        <v>63.7</v>
      </c>
    </row>
    <row r="8" customFormat="false" ht="15" hidden="false" customHeight="false" outlineLevel="0" collapsed="false">
      <c r="A8" s="0" t="s">
        <v>71</v>
      </c>
      <c r="B8" s="0" t="n">
        <v>2469.629</v>
      </c>
      <c r="C8" s="0" t="n">
        <v>1983.406</v>
      </c>
      <c r="D8" s="0" t="n">
        <v>486.223</v>
      </c>
      <c r="E8" s="0" t="n">
        <v>19.7</v>
      </c>
      <c r="F8" s="0" t="n">
        <v>259.348</v>
      </c>
      <c r="G8" s="0" t="n">
        <v>10.5</v>
      </c>
      <c r="H8" s="0" t="n">
        <v>343.769</v>
      </c>
      <c r="I8" s="0" t="n">
        <v>200.498</v>
      </c>
      <c r="J8" s="0" t="n">
        <v>8.1</v>
      </c>
      <c r="K8" s="0" t="n">
        <v>0.0703</v>
      </c>
      <c r="L8" s="0" t="n">
        <v>105.538</v>
      </c>
      <c r="M8" s="0" t="n">
        <v>108.787</v>
      </c>
      <c r="N8" s="0" t="n">
        <v>-3.249</v>
      </c>
      <c r="O8" s="0" t="n">
        <v>1530.656</v>
      </c>
      <c r="P8" s="0" t="n">
        <v>2254.453</v>
      </c>
      <c r="Q8" s="0" t="n">
        <v>719.007</v>
      </c>
      <c r="R8" s="0" t="n">
        <v>146.971</v>
      </c>
      <c r="S8" s="0" t="n">
        <v>573.459</v>
      </c>
      <c r="T8" s="0" t="n">
        <v>2852.822</v>
      </c>
      <c r="U8" s="0" t="n">
        <v>0</v>
      </c>
      <c r="AA8" s="0" t="s">
        <v>18</v>
      </c>
      <c r="AB8" s="0" t="s">
        <v>14</v>
      </c>
      <c r="AC8" s="0" t="n">
        <v>146.744</v>
      </c>
    </row>
    <row r="9" customFormat="false" ht="15" hidden="false" customHeight="false" outlineLevel="0" collapsed="false">
      <c r="A9" s="0" t="s">
        <v>72</v>
      </c>
      <c r="B9" s="0" t="n">
        <v>2641.179</v>
      </c>
      <c r="C9" s="0" t="n">
        <v>2115.482</v>
      </c>
      <c r="D9" s="0" t="n">
        <v>525.697</v>
      </c>
      <c r="E9" s="0" t="n">
        <v>19.9</v>
      </c>
      <c r="F9" s="0" t="n">
        <v>290.996</v>
      </c>
      <c r="G9" s="0" t="n">
        <v>11</v>
      </c>
      <c r="H9" s="0" t="n">
        <v>377.151</v>
      </c>
      <c r="I9" s="0" t="n">
        <v>224.658</v>
      </c>
      <c r="J9" s="0" t="n">
        <v>8.5</v>
      </c>
      <c r="K9" s="0" t="n">
        <v>0.0787</v>
      </c>
      <c r="L9" s="0" t="n">
        <v>266.423</v>
      </c>
      <c r="M9" s="0" t="n">
        <v>146.235</v>
      </c>
      <c r="N9" s="0" t="n">
        <v>120.188</v>
      </c>
      <c r="O9" s="0" t="n">
        <v>1608.124</v>
      </c>
      <c r="P9" s="0" t="n">
        <v>2184.967</v>
      </c>
      <c r="Q9" s="0" t="n">
        <v>573.282</v>
      </c>
      <c r="R9" s="0" t="n">
        <v>0</v>
      </c>
      <c r="S9" s="0" t="n">
        <v>382.31</v>
      </c>
      <c r="T9" s="0" t="n">
        <v>2852.822</v>
      </c>
      <c r="U9" s="0" t="n">
        <v>0</v>
      </c>
      <c r="AA9" s="0" t="s">
        <v>18</v>
      </c>
      <c r="AB9" s="0" t="s">
        <v>14</v>
      </c>
      <c r="AC9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73</v>
      </c>
      <c r="B1" s="2" t="s">
        <v>74</v>
      </c>
    </row>
    <row r="2" customFormat="false" ht="15" hidden="false" customHeight="false" outlineLevel="0" collapsed="false">
      <c r="A2" s="0" t="s">
        <v>75</v>
      </c>
      <c r="B2" s="3" t="n">
        <v>7.5</v>
      </c>
    </row>
    <row r="3" customFormat="false" ht="15" hidden="false" customHeight="false" outlineLevel="0" collapsed="false">
      <c r="A3" s="0" t="s">
        <v>76</v>
      </c>
      <c r="B3" s="3" t="n">
        <v>2852.822</v>
      </c>
    </row>
    <row r="4" customFormat="false" ht="15" hidden="false" customHeight="false" outlineLevel="0" collapsed="false">
      <c r="A4" s="0" t="s">
        <v>77</v>
      </c>
      <c r="B4" s="3" t="n">
        <v>-438.877</v>
      </c>
    </row>
    <row r="5" customFormat="false" ht="15" hidden="false" customHeight="false" outlineLevel="0" collapsed="false">
      <c r="A5" s="0" t="s">
        <v>78</v>
      </c>
      <c r="B5" s="3" t="n">
        <v>-56.541</v>
      </c>
    </row>
    <row r="6" customFormat="false" ht="15" hidden="false" customHeight="false" outlineLevel="0" collapsed="false">
      <c r="A6" s="0" t="s">
        <v>79</v>
      </c>
      <c r="B6" s="3" t="n">
        <v>15</v>
      </c>
    </row>
    <row r="7" customFormat="false" ht="15" hidden="false" customHeight="false" outlineLevel="0" collapsed="false">
      <c r="A7" s="0" t="s">
        <v>80</v>
      </c>
      <c r="B7" s="3" t="n">
        <v>2641.179</v>
      </c>
    </row>
    <row r="8" customFormat="false" ht="15" hidden="false" customHeight="false" outlineLevel="0" collapsed="false">
      <c r="A8" s="0" t="s">
        <v>81</v>
      </c>
      <c r="B8" s="3" t="s">
        <v>72</v>
      </c>
    </row>
    <row r="9" customFormat="false" ht="15" hidden="false" customHeight="false" outlineLevel="0" collapsed="false">
      <c r="A9" s="0" t="s">
        <v>82</v>
      </c>
      <c r="B9" s="3" t="s">
        <v>83</v>
      </c>
    </row>
    <row r="10" customFormat="false" ht="15" hidden="false" customHeight="false" outlineLevel="0" collapsed="false">
      <c r="A10" s="0" t="s">
        <v>84</v>
      </c>
      <c r="B10" s="3" t="n">
        <v>7.8479</v>
      </c>
    </row>
    <row r="12" customFormat="false" ht="15" hidden="false" customHeight="false" outlineLevel="0" collapsed="false">
      <c r="A12" s="2" t="s">
        <v>85</v>
      </c>
      <c r="C12" s="2" t="s">
        <v>86</v>
      </c>
      <c r="D12" s="2" t="s">
        <v>87</v>
      </c>
      <c r="E12" s="2" t="s">
        <v>88</v>
      </c>
      <c r="F12" s="2" t="s">
        <v>89</v>
      </c>
      <c r="G12" s="2" t="s">
        <v>90</v>
      </c>
      <c r="H12" s="2" t="s">
        <v>91</v>
      </c>
      <c r="I12" s="2" t="s">
        <v>92</v>
      </c>
      <c r="J12" s="2" t="s">
        <v>93</v>
      </c>
      <c r="K12" s="2" t="s">
        <v>94</v>
      </c>
      <c r="L12" s="2" t="s">
        <v>95</v>
      </c>
    </row>
    <row r="13" customFormat="false" ht="15" hidden="false" customHeight="false" outlineLevel="0" collapsed="false">
      <c r="A13" s="0" t="s">
        <v>96</v>
      </c>
      <c r="C13" s="3" t="n">
        <v>5</v>
      </c>
      <c r="D13" s="3" t="n">
        <v>1</v>
      </c>
      <c r="E13" s="3" t="n">
        <v>1.5</v>
      </c>
      <c r="F13" s="3" t="n">
        <v>2</v>
      </c>
      <c r="G13" s="3" t="n">
        <v>2</v>
      </c>
      <c r="H13" s="3" t="n">
        <v>2</v>
      </c>
      <c r="I13" s="3" t="n">
        <v>2</v>
      </c>
      <c r="J13" s="3" t="n">
        <v>2</v>
      </c>
      <c r="K13" s="3" t="n">
        <v>1.5</v>
      </c>
      <c r="L13" s="3" t="n">
        <v>1.5</v>
      </c>
    </row>
    <row r="14" customFormat="false" ht="15" hidden="false" customHeight="false" outlineLevel="0" collapsed="false">
      <c r="A14" s="0" t="s">
        <v>97</v>
      </c>
      <c r="C14" s="3" t="n">
        <v>13.4</v>
      </c>
      <c r="D14" s="3" t="n">
        <v>12.8</v>
      </c>
      <c r="E14" s="3" t="n">
        <v>12.5</v>
      </c>
      <c r="F14" s="3" t="n">
        <v>12.3</v>
      </c>
      <c r="G14" s="3" t="n">
        <v>12</v>
      </c>
      <c r="H14" s="3" t="n">
        <v>12</v>
      </c>
      <c r="I14" s="3" t="n">
        <v>12</v>
      </c>
      <c r="J14" s="3" t="n">
        <v>12</v>
      </c>
      <c r="K14" s="3" t="n">
        <v>12</v>
      </c>
      <c r="L14" s="3" t="n">
        <v>12</v>
      </c>
    </row>
    <row r="15" customFormat="false" ht="15" hidden="false" customHeight="false" outlineLevel="0" collapsed="false">
      <c r="A15" s="0" t="s">
        <v>98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 customFormat="false" ht="15" hidden="false" customHeight="false" outlineLevel="0" collapsed="false">
      <c r="A16" s="0" t="s">
        <v>99</v>
      </c>
      <c r="C16" s="3" t="n">
        <v>0.8</v>
      </c>
      <c r="D16" s="3" t="n">
        <v>0.8</v>
      </c>
      <c r="E16" s="3" t="n">
        <v>0.8</v>
      </c>
      <c r="F16" s="3" t="n">
        <v>0.8</v>
      </c>
      <c r="G16" s="3" t="n">
        <v>0.8</v>
      </c>
      <c r="H16" s="3" t="n">
        <v>0.8</v>
      </c>
      <c r="I16" s="3" t="n">
        <v>0.8</v>
      </c>
      <c r="J16" s="3" t="n">
        <v>0.8</v>
      </c>
      <c r="K16" s="3" t="n">
        <v>0.8</v>
      </c>
      <c r="L16" s="3" t="n">
        <v>0.8</v>
      </c>
    </row>
    <row r="17" customFormat="false" ht="15" hidden="false" customHeight="false" outlineLevel="0" collapsed="false">
      <c r="A17" s="0" t="s">
        <v>100</v>
      </c>
      <c r="C17" s="3" t="n">
        <v>2.5</v>
      </c>
      <c r="D17" s="3" t="n">
        <v>2.7</v>
      </c>
      <c r="E17" s="3" t="n">
        <v>2.8</v>
      </c>
      <c r="F17" s="3" t="n">
        <v>2.8</v>
      </c>
      <c r="G17" s="3" t="n">
        <v>2.8</v>
      </c>
      <c r="H17" s="3" t="n">
        <v>2.8</v>
      </c>
      <c r="I17" s="3" t="n">
        <v>2.8</v>
      </c>
      <c r="J17" s="3" t="n">
        <v>2.8</v>
      </c>
      <c r="K17" s="3" t="n">
        <v>2.8</v>
      </c>
      <c r="L17" s="3" t="n">
        <v>2.8</v>
      </c>
    </row>
    <row r="18" customFormat="false" ht="15" hidden="false" customHeight="false" outlineLevel="0" collapsed="false">
      <c r="A18" s="0" t="s">
        <v>101</v>
      </c>
      <c r="C18" s="3" t="n">
        <v>7.5</v>
      </c>
      <c r="D18" s="3" t="n">
        <v>4.5</v>
      </c>
      <c r="E18" s="3" t="n">
        <v>3.5</v>
      </c>
      <c r="F18" s="3" t="n">
        <v>3</v>
      </c>
      <c r="G18" s="3" t="n">
        <v>3</v>
      </c>
      <c r="H18" s="3" t="n">
        <v>3</v>
      </c>
      <c r="I18" s="3" t="n">
        <v>3</v>
      </c>
      <c r="J18" s="3" t="n">
        <v>3</v>
      </c>
      <c r="K18" s="3" t="n">
        <v>3</v>
      </c>
      <c r="L18" s="3" t="n">
        <v>3</v>
      </c>
    </row>
    <row r="19" customFormat="false" ht="15" hidden="false" customHeight="false" outlineLevel="0" collapsed="false">
      <c r="A19" s="0" t="s">
        <v>102</v>
      </c>
      <c r="C19" s="3" t="n">
        <v>21</v>
      </c>
      <c r="D19" s="3" t="n">
        <v>22</v>
      </c>
      <c r="E19" s="3" t="n">
        <v>22</v>
      </c>
      <c r="F19" s="3" t="n">
        <v>23</v>
      </c>
      <c r="G19" s="3" t="n">
        <v>23</v>
      </c>
      <c r="H19" s="3" t="n">
        <v>23</v>
      </c>
      <c r="I19" s="3" t="n">
        <v>23</v>
      </c>
      <c r="J19" s="3" t="n">
        <v>23</v>
      </c>
      <c r="K19" s="3" t="n">
        <v>23</v>
      </c>
      <c r="L19" s="3" t="n">
        <v>23</v>
      </c>
    </row>
    <row r="20" customFormat="false" ht="15" hidden="false" customHeight="false" outlineLevel="0" collapsed="false">
      <c r="A20" s="0" t="s">
        <v>103</v>
      </c>
      <c r="B20" s="3" t="n">
        <v>10</v>
      </c>
    </row>
    <row r="21" customFormat="false" ht="15" hidden="false" customHeight="false" outlineLevel="0" collapsed="false">
      <c r="A21" s="0" t="s">
        <v>104</v>
      </c>
      <c r="B21" s="3" t="n">
        <v>1.5</v>
      </c>
    </row>
    <row r="22" customFormat="false" ht="15" hidden="false" customHeight="false" outlineLevel="0" collapsed="false">
      <c r="A22" s="0" t="s">
        <v>105</v>
      </c>
      <c r="B22" s="3" t="n">
        <v>11</v>
      </c>
    </row>
    <row r="23" customFormat="false" ht="15" hidden="false" customHeight="false" outlineLevel="0" collapsed="false">
      <c r="A23" s="0" t="s">
        <v>106</v>
      </c>
      <c r="B23" s="3" t="n">
        <v>-13</v>
      </c>
    </row>
    <row r="24" customFormat="false" ht="15" hidden="false" customHeight="false" outlineLevel="0" collapsed="false">
      <c r="A24" s="0" t="s">
        <v>107</v>
      </c>
      <c r="B24" s="3" t="n">
        <v>0.25</v>
      </c>
    </row>
    <row r="26" customFormat="false" ht="15" hidden="false" customHeight="false" outlineLevel="0" collapsed="false">
      <c r="A26" s="2" t="s">
        <v>108</v>
      </c>
      <c r="C26" s="2" t="s">
        <v>86</v>
      </c>
      <c r="D26" s="2" t="s">
        <v>87</v>
      </c>
      <c r="E26" s="2" t="s">
        <v>88</v>
      </c>
      <c r="F26" s="2" t="s">
        <v>89</v>
      </c>
      <c r="G26" s="2" t="s">
        <v>90</v>
      </c>
      <c r="H26" s="2" t="s">
        <v>91</v>
      </c>
      <c r="I26" s="2" t="s">
        <v>92</v>
      </c>
      <c r="J26" s="2" t="s">
        <v>93</v>
      </c>
      <c r="K26" s="2" t="s">
        <v>94</v>
      </c>
      <c r="L26" s="2" t="s">
        <v>95</v>
      </c>
    </row>
    <row r="27" customFormat="false" ht="15" hidden="false" customHeight="false" outlineLevel="0" collapsed="false">
      <c r="A27" s="0" t="s">
        <v>96</v>
      </c>
      <c r="C27" s="3" t="n">
        <v>7</v>
      </c>
      <c r="D27" s="3" t="n">
        <v>6</v>
      </c>
      <c r="E27" s="3" t="n">
        <v>5</v>
      </c>
      <c r="F27" s="3" t="n">
        <v>4.5</v>
      </c>
      <c r="G27" s="3" t="n">
        <v>4</v>
      </c>
      <c r="H27" s="3" t="n">
        <v>3.5</v>
      </c>
      <c r="I27" s="3" t="n">
        <v>3</v>
      </c>
      <c r="J27" s="3" t="n">
        <v>3</v>
      </c>
      <c r="K27" s="3" t="n">
        <v>2.5</v>
      </c>
      <c r="L27" s="3" t="n">
        <v>2.5</v>
      </c>
    </row>
    <row r="28" customFormat="false" ht="15" hidden="false" customHeight="false" outlineLevel="0" collapsed="false">
      <c r="A28" s="0" t="s">
        <v>97</v>
      </c>
      <c r="C28" s="3" t="n">
        <v>13.8</v>
      </c>
      <c r="D28" s="3" t="n">
        <v>13.9</v>
      </c>
      <c r="E28" s="3" t="n">
        <v>14</v>
      </c>
      <c r="F28" s="3" t="n">
        <v>14</v>
      </c>
      <c r="G28" s="3" t="n">
        <v>14</v>
      </c>
      <c r="H28" s="3" t="n">
        <v>14</v>
      </c>
      <c r="I28" s="3" t="n">
        <v>14</v>
      </c>
      <c r="J28" s="3" t="n">
        <v>14</v>
      </c>
      <c r="K28" s="3" t="n">
        <v>14</v>
      </c>
      <c r="L28" s="3" t="n">
        <v>14</v>
      </c>
    </row>
    <row r="29" customFormat="false" ht="15" hidden="false" customHeight="false" outlineLevel="0" collapsed="false">
      <c r="A29" s="0" t="s">
        <v>98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</row>
    <row r="30" customFormat="false" ht="15" hidden="false" customHeight="false" outlineLevel="0" collapsed="false">
      <c r="A30" s="0" t="s">
        <v>99</v>
      </c>
      <c r="C30" s="3" t="n">
        <v>0.75</v>
      </c>
      <c r="D30" s="3" t="n">
        <v>0.75</v>
      </c>
      <c r="E30" s="3" t="n">
        <v>0.75</v>
      </c>
      <c r="F30" s="3" t="n">
        <v>0.75</v>
      </c>
      <c r="G30" s="3" t="n">
        <v>0.75</v>
      </c>
      <c r="H30" s="3" t="n">
        <v>0.75</v>
      </c>
      <c r="I30" s="3" t="n">
        <v>0.75</v>
      </c>
      <c r="J30" s="3" t="n">
        <v>0.75</v>
      </c>
      <c r="K30" s="3" t="n">
        <v>0.75</v>
      </c>
      <c r="L30" s="3" t="n">
        <v>0.75</v>
      </c>
    </row>
    <row r="31" customFormat="false" ht="15" hidden="false" customHeight="false" outlineLevel="0" collapsed="false">
      <c r="A31" s="0" t="s">
        <v>100</v>
      </c>
      <c r="C31" s="3" t="n">
        <v>2.5</v>
      </c>
      <c r="D31" s="3" t="n">
        <v>2.6</v>
      </c>
      <c r="E31" s="3" t="n">
        <v>2.7</v>
      </c>
      <c r="F31" s="3" t="n">
        <v>2.8</v>
      </c>
      <c r="G31" s="3" t="n">
        <v>2.8</v>
      </c>
      <c r="H31" s="3" t="n">
        <v>2.8</v>
      </c>
      <c r="I31" s="3" t="n">
        <v>2.8</v>
      </c>
      <c r="J31" s="3" t="n">
        <v>2.8</v>
      </c>
      <c r="K31" s="3" t="n">
        <v>2.8</v>
      </c>
      <c r="L31" s="3" t="n">
        <v>2.8</v>
      </c>
    </row>
    <row r="32" customFormat="false" ht="15" hidden="false" customHeight="false" outlineLevel="0" collapsed="false">
      <c r="A32" s="0" t="s">
        <v>101</v>
      </c>
      <c r="C32" s="3" t="n">
        <v>7.5</v>
      </c>
      <c r="D32" s="3" t="n">
        <v>6</v>
      </c>
      <c r="E32" s="3" t="n">
        <v>5</v>
      </c>
      <c r="F32" s="3" t="n">
        <v>4</v>
      </c>
      <c r="G32" s="3" t="n">
        <v>3.5</v>
      </c>
      <c r="H32" s="3" t="n">
        <v>3.3</v>
      </c>
      <c r="I32" s="3" t="n">
        <v>3.2</v>
      </c>
      <c r="J32" s="3" t="n">
        <v>3.2</v>
      </c>
      <c r="K32" s="3" t="n">
        <v>3.2</v>
      </c>
      <c r="L32" s="3" t="n">
        <v>3.2</v>
      </c>
    </row>
    <row r="33" customFormat="false" ht="15" hidden="false" customHeight="false" outlineLevel="0" collapsed="false">
      <c r="A33" s="0" t="s">
        <v>102</v>
      </c>
      <c r="C33" s="3" t="n">
        <v>20</v>
      </c>
      <c r="D33" s="3" t="n">
        <v>20</v>
      </c>
      <c r="E33" s="3" t="n">
        <v>20</v>
      </c>
      <c r="F33" s="3" t="n">
        <v>20</v>
      </c>
      <c r="G33" s="3" t="n">
        <v>20</v>
      </c>
      <c r="H33" s="3" t="n">
        <v>20</v>
      </c>
      <c r="I33" s="3" t="n">
        <v>20</v>
      </c>
      <c r="J33" s="3" t="n">
        <v>20</v>
      </c>
      <c r="K33" s="3" t="n">
        <v>20</v>
      </c>
      <c r="L33" s="3" t="n">
        <v>20</v>
      </c>
    </row>
    <row r="34" customFormat="false" ht="15" hidden="false" customHeight="false" outlineLevel="0" collapsed="false">
      <c r="A34" s="0" t="s">
        <v>103</v>
      </c>
      <c r="B34" s="3" t="n">
        <v>10</v>
      </c>
    </row>
    <row r="35" customFormat="false" ht="15" hidden="false" customHeight="false" outlineLevel="0" collapsed="false">
      <c r="A35" s="0" t="s">
        <v>104</v>
      </c>
      <c r="B35" s="3" t="n">
        <v>2.5</v>
      </c>
    </row>
    <row r="36" customFormat="false" ht="15" hidden="false" customHeight="false" outlineLevel="0" collapsed="false">
      <c r="A36" s="0" t="s">
        <v>105</v>
      </c>
      <c r="B36" s="3" t="n">
        <v>12</v>
      </c>
    </row>
    <row r="37" customFormat="false" ht="15" hidden="false" customHeight="false" outlineLevel="0" collapsed="false">
      <c r="A37" s="0" t="s">
        <v>106</v>
      </c>
      <c r="B37" s="3" t="n">
        <v>-13</v>
      </c>
    </row>
    <row r="38" customFormat="false" ht="15" hidden="false" customHeight="false" outlineLevel="0" collapsed="false">
      <c r="A38" s="0" t="s">
        <v>107</v>
      </c>
      <c r="B38" s="3" t="n">
        <v>0.5</v>
      </c>
    </row>
    <row r="40" customFormat="false" ht="15" hidden="false" customHeight="false" outlineLevel="0" collapsed="false">
      <c r="A40" s="2" t="s">
        <v>109</v>
      </c>
      <c r="C40" s="2" t="s">
        <v>86</v>
      </c>
      <c r="D40" s="2" t="s">
        <v>87</v>
      </c>
      <c r="E40" s="2" t="s">
        <v>88</v>
      </c>
      <c r="F40" s="2" t="s">
        <v>89</v>
      </c>
      <c r="G40" s="2" t="s">
        <v>90</v>
      </c>
      <c r="H40" s="2" t="s">
        <v>91</v>
      </c>
      <c r="I40" s="2" t="s">
        <v>92</v>
      </c>
      <c r="J40" s="2" t="s">
        <v>93</v>
      </c>
      <c r="K40" s="2" t="s">
        <v>94</v>
      </c>
      <c r="L40" s="2" t="s">
        <v>95</v>
      </c>
    </row>
    <row r="41" customFormat="false" ht="15" hidden="false" customHeight="false" outlineLevel="0" collapsed="false">
      <c r="A41" s="0" t="s">
        <v>96</v>
      </c>
      <c r="C41" s="3" t="n">
        <v>8</v>
      </c>
      <c r="D41" s="3" t="n">
        <v>8</v>
      </c>
      <c r="E41" s="3" t="n">
        <v>7</v>
      </c>
      <c r="F41" s="3" t="n">
        <v>6</v>
      </c>
      <c r="G41" s="3" t="n">
        <v>5.5</v>
      </c>
      <c r="H41" s="3" t="n">
        <v>5</v>
      </c>
      <c r="I41" s="3" t="n">
        <v>4</v>
      </c>
      <c r="J41" s="3" t="n">
        <v>3.5</v>
      </c>
      <c r="K41" s="3" t="n">
        <v>3</v>
      </c>
      <c r="L41" s="3" t="n">
        <v>3</v>
      </c>
    </row>
    <row r="42" customFormat="false" ht="15" hidden="false" customHeight="false" outlineLevel="0" collapsed="false">
      <c r="A42" s="0" t="s">
        <v>97</v>
      </c>
      <c r="C42" s="3" t="n">
        <v>14</v>
      </c>
      <c r="D42" s="3" t="n">
        <v>14.3</v>
      </c>
      <c r="E42" s="3" t="n">
        <v>14.6</v>
      </c>
      <c r="F42" s="3" t="n">
        <v>14.8</v>
      </c>
      <c r="G42" s="3" t="n">
        <v>15</v>
      </c>
      <c r="H42" s="3" t="n">
        <v>15</v>
      </c>
      <c r="I42" s="3" t="n">
        <v>15</v>
      </c>
      <c r="J42" s="3" t="n">
        <v>15</v>
      </c>
      <c r="K42" s="3" t="n">
        <v>15</v>
      </c>
      <c r="L42" s="3" t="n">
        <v>15</v>
      </c>
    </row>
    <row r="43" customFormat="false" ht="15" hidden="false" customHeight="false" outlineLevel="0" collapsed="false">
      <c r="A43" s="0" t="s">
        <v>98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 customFormat="false" ht="15" hidden="false" customHeight="false" outlineLevel="0" collapsed="false">
      <c r="A44" s="0" t="s">
        <v>99</v>
      </c>
      <c r="C44" s="3" t="n">
        <v>0.75</v>
      </c>
      <c r="D44" s="3" t="n">
        <v>0.75</v>
      </c>
      <c r="E44" s="3" t="n">
        <v>0.75</v>
      </c>
      <c r="F44" s="3" t="n">
        <v>0.75</v>
      </c>
      <c r="G44" s="3" t="n">
        <v>0.75</v>
      </c>
      <c r="H44" s="3" t="n">
        <v>0.75</v>
      </c>
      <c r="I44" s="3" t="n">
        <v>0.75</v>
      </c>
      <c r="J44" s="3" t="n">
        <v>0.75</v>
      </c>
      <c r="K44" s="3" t="n">
        <v>0.75</v>
      </c>
      <c r="L44" s="3" t="n">
        <v>0.75</v>
      </c>
    </row>
    <row r="45" customFormat="false" ht="15" hidden="false" customHeight="false" outlineLevel="0" collapsed="false">
      <c r="A45" s="0" t="s">
        <v>100</v>
      </c>
      <c r="C45" s="3" t="n">
        <v>2.5</v>
      </c>
      <c r="D45" s="3" t="n">
        <v>2.6</v>
      </c>
      <c r="E45" s="3" t="n">
        <v>2.7</v>
      </c>
      <c r="F45" s="3" t="n">
        <v>2.8</v>
      </c>
      <c r="G45" s="3" t="n">
        <v>2.8</v>
      </c>
      <c r="H45" s="3" t="n">
        <v>2.8</v>
      </c>
      <c r="I45" s="3" t="n">
        <v>2.8</v>
      </c>
      <c r="J45" s="3" t="n">
        <v>2.8</v>
      </c>
      <c r="K45" s="3" t="n">
        <v>2.8</v>
      </c>
      <c r="L45" s="3" t="n">
        <v>2.8</v>
      </c>
    </row>
    <row r="46" customFormat="false" ht="15" hidden="false" customHeight="false" outlineLevel="0" collapsed="false">
      <c r="A46" s="0" t="s">
        <v>101</v>
      </c>
      <c r="C46" s="3" t="n">
        <v>7.5</v>
      </c>
      <c r="D46" s="3" t="n">
        <v>6.5</v>
      </c>
      <c r="E46" s="3" t="n">
        <v>5.5</v>
      </c>
      <c r="F46" s="3" t="n">
        <v>4.5</v>
      </c>
      <c r="G46" s="3" t="n">
        <v>4</v>
      </c>
      <c r="H46" s="3" t="n">
        <v>3.6</v>
      </c>
      <c r="I46" s="3" t="n">
        <v>3.4</v>
      </c>
      <c r="J46" s="3" t="n">
        <v>3.3</v>
      </c>
      <c r="K46" s="3" t="n">
        <v>3.3</v>
      </c>
      <c r="L46" s="3" t="n">
        <v>3.3</v>
      </c>
    </row>
    <row r="47" customFormat="false" ht="15" hidden="false" customHeight="false" outlineLevel="0" collapsed="false">
      <c r="A47" s="0" t="s">
        <v>102</v>
      </c>
      <c r="C47" s="3" t="n">
        <v>19</v>
      </c>
      <c r="D47" s="3" t="n">
        <v>19</v>
      </c>
      <c r="E47" s="3" t="n">
        <v>19</v>
      </c>
      <c r="F47" s="3" t="n">
        <v>19</v>
      </c>
      <c r="G47" s="3" t="n">
        <v>19</v>
      </c>
      <c r="H47" s="3" t="n">
        <v>19</v>
      </c>
      <c r="I47" s="3" t="n">
        <v>19</v>
      </c>
      <c r="J47" s="3" t="n">
        <v>19</v>
      </c>
      <c r="K47" s="3" t="n">
        <v>19</v>
      </c>
      <c r="L47" s="3" t="n">
        <v>19</v>
      </c>
    </row>
    <row r="48" customFormat="false" ht="15" hidden="false" customHeight="false" outlineLevel="0" collapsed="false">
      <c r="A48" s="0" t="s">
        <v>103</v>
      </c>
      <c r="B48" s="3" t="n">
        <v>10</v>
      </c>
    </row>
    <row r="49" customFormat="false" ht="15" hidden="false" customHeight="false" outlineLevel="0" collapsed="false">
      <c r="A49" s="0" t="s">
        <v>104</v>
      </c>
      <c r="B49" s="3" t="n">
        <v>3</v>
      </c>
    </row>
    <row r="50" customFormat="false" ht="15" hidden="false" customHeight="false" outlineLevel="0" collapsed="false">
      <c r="A50" s="0" t="s">
        <v>105</v>
      </c>
      <c r="B50" s="3" t="n">
        <v>13</v>
      </c>
    </row>
    <row r="51" customFormat="false" ht="15" hidden="false" customHeight="false" outlineLevel="0" collapsed="false">
      <c r="A51" s="0" t="s">
        <v>106</v>
      </c>
      <c r="B51" s="3" t="n">
        <v>-13</v>
      </c>
    </row>
    <row r="52" customFormat="false" ht="15" hidden="false" customHeight="false" outlineLevel="0" collapsed="false">
      <c r="A52" s="0" t="s">
        <v>107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110</v>
      </c>
    </row>
    <row r="3" customFormat="false" ht="15" hidden="false" customHeight="false" outlineLevel="0" collapsed="false">
      <c r="A3" s="0" t="s">
        <v>111</v>
      </c>
      <c r="B3" s="0" t="s">
        <v>72</v>
      </c>
      <c r="C3" s="2" t="s">
        <v>86</v>
      </c>
      <c r="D3" s="2" t="s">
        <v>87</v>
      </c>
      <c r="E3" s="2" t="s">
        <v>88</v>
      </c>
      <c r="F3" s="2" t="s">
        <v>89</v>
      </c>
      <c r="G3" s="2" t="s">
        <v>90</v>
      </c>
      <c r="H3" s="2" t="s">
        <v>91</v>
      </c>
      <c r="I3" s="2" t="s">
        <v>92</v>
      </c>
      <c r="J3" s="2" t="s">
        <v>93</v>
      </c>
      <c r="K3" s="2" t="s">
        <v>94</v>
      </c>
      <c r="L3" s="2" t="s">
        <v>95</v>
      </c>
    </row>
    <row r="4" customFormat="false" ht="15" hidden="false" customHeight="false" outlineLevel="0" collapsed="false">
      <c r="A4" s="0" t="s">
        <v>112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96</v>
      </c>
      <c r="C5" s="4" t="n">
        <f aca="false">Assumptions!C13</f>
        <v>5</v>
      </c>
      <c r="D5" s="4" t="n">
        <f aca="false">Assumptions!D13</f>
        <v>1</v>
      </c>
      <c r="E5" s="4" t="n">
        <f aca="false">Assumptions!E13</f>
        <v>1.5</v>
      </c>
      <c r="F5" s="4" t="n">
        <f aca="false">Assumptions!F13</f>
        <v>2</v>
      </c>
      <c r="G5" s="4" t="n">
        <f aca="false">Assumptions!G13</f>
        <v>2</v>
      </c>
      <c r="H5" s="4" t="n">
        <f aca="false">Assumptions!H13</f>
        <v>2</v>
      </c>
      <c r="I5" s="4" t="n">
        <f aca="false">Assumptions!I13</f>
        <v>2</v>
      </c>
      <c r="J5" s="4" t="n">
        <f aca="false">Assumptions!J13</f>
        <v>2</v>
      </c>
      <c r="K5" s="4" t="n">
        <f aca="false">Assumptions!K13</f>
        <v>1.5</v>
      </c>
      <c r="L5" s="4" t="n">
        <f aca="false">Assumptions!L13</f>
        <v>1.5</v>
      </c>
    </row>
    <row r="6" customFormat="false" ht="15" hidden="false" customHeight="false" outlineLevel="0" collapsed="false">
      <c r="A6" s="0" t="s">
        <v>38</v>
      </c>
      <c r="B6" s="3" t="n">
        <v>2641.179</v>
      </c>
      <c r="C6" s="0" t="n">
        <f aca="false">B6*(1+C5/100)</f>
        <v>2773.23795</v>
      </c>
      <c r="D6" s="0" t="n">
        <f aca="false">C6*(1+D5/100)</f>
        <v>2800.9703295</v>
      </c>
      <c r="E6" s="0" t="n">
        <f aca="false">D6*(1+E5/100)</f>
        <v>2842.9848844425</v>
      </c>
      <c r="F6" s="0" t="n">
        <f aca="false">E6*(1+F5/100)</f>
        <v>2899.84458213135</v>
      </c>
      <c r="G6" s="0" t="n">
        <f aca="false">F6*(1+G5/100)</f>
        <v>2957.84147377398</v>
      </c>
      <c r="H6" s="0" t="n">
        <f aca="false">G6*(1+H5/100)</f>
        <v>3016.99830324946</v>
      </c>
      <c r="I6" s="0" t="n">
        <f aca="false">H6*(1+I5/100)</f>
        <v>3077.33826931445</v>
      </c>
      <c r="J6" s="0" t="n">
        <f aca="false">I6*(1+J5/100)</f>
        <v>3138.88503470074</v>
      </c>
      <c r="K6" s="0" t="n">
        <f aca="false">J6*(1+K5/100)</f>
        <v>3185.96831022125</v>
      </c>
      <c r="L6" s="0" t="n">
        <f aca="false">K6*(1+L5/100)</f>
        <v>3233.75783487456</v>
      </c>
    </row>
    <row r="7" customFormat="false" ht="15" hidden="false" customHeight="false" outlineLevel="0" collapsed="false">
      <c r="A7" s="0" t="s">
        <v>97</v>
      </c>
      <c r="C7" s="4" t="n">
        <f aca="false">Assumptions!C14</f>
        <v>13.4</v>
      </c>
      <c r="D7" s="4" t="n">
        <f aca="false">Assumptions!D14</f>
        <v>12.8</v>
      </c>
      <c r="E7" s="4" t="n">
        <f aca="false">Assumptions!E14</f>
        <v>12.5</v>
      </c>
      <c r="F7" s="4" t="n">
        <f aca="false">Assumptions!F14</f>
        <v>12.3</v>
      </c>
      <c r="G7" s="4" t="n">
        <f aca="false">Assumptions!G14</f>
        <v>12</v>
      </c>
      <c r="H7" s="4" t="n">
        <f aca="false">Assumptions!H14</f>
        <v>12</v>
      </c>
      <c r="I7" s="4" t="n">
        <f aca="false">Assumptions!I14</f>
        <v>12</v>
      </c>
      <c r="J7" s="4" t="n">
        <f aca="false">Assumptions!J14</f>
        <v>12</v>
      </c>
      <c r="K7" s="4" t="n">
        <f aca="false">Assumptions!K14</f>
        <v>12</v>
      </c>
      <c r="L7" s="4" t="n">
        <f aca="false">Assumptions!L14</f>
        <v>12</v>
      </c>
    </row>
    <row r="8" customFormat="false" ht="15" hidden="false" customHeight="false" outlineLevel="0" collapsed="false">
      <c r="A8" s="0" t="s">
        <v>44</v>
      </c>
      <c r="C8" s="0" t="n">
        <f aca="false">C6*C7/100</f>
        <v>371.6138853</v>
      </c>
      <c r="D8" s="0" t="n">
        <f aca="false">D6*D7/100</f>
        <v>358.524202176</v>
      </c>
      <c r="E8" s="0" t="n">
        <f aca="false">E6*E7/100</f>
        <v>355.373110555313</v>
      </c>
      <c r="F8" s="0" t="n">
        <f aca="false">F6*F7/100</f>
        <v>356.680883602156</v>
      </c>
      <c r="G8" s="0" t="n">
        <f aca="false">G6*G7/100</f>
        <v>354.940976852877</v>
      </c>
      <c r="H8" s="0" t="n">
        <f aca="false">H6*H7/100</f>
        <v>362.039796389935</v>
      </c>
      <c r="I8" s="0" t="n">
        <f aca="false">I6*I7/100</f>
        <v>369.280592317734</v>
      </c>
      <c r="J8" s="0" t="n">
        <f aca="false">J6*J7/100</f>
        <v>376.666204164088</v>
      </c>
      <c r="K8" s="0" t="n">
        <f aca="false">K6*K7/100</f>
        <v>382.31619722655</v>
      </c>
      <c r="L8" s="0" t="n">
        <f aca="false">L6*L7/100</f>
        <v>388.050940184948</v>
      </c>
    </row>
    <row r="9" customFormat="false" ht="15" hidden="false" customHeight="false" outlineLevel="0" collapsed="false">
      <c r="A9" s="0" t="s">
        <v>98</v>
      </c>
      <c r="C9" s="4" t="n">
        <f aca="false">Assumptions!C15</f>
        <v>0</v>
      </c>
      <c r="D9" s="4" t="n">
        <f aca="false">Assumptions!D15</f>
        <v>0</v>
      </c>
      <c r="E9" s="4" t="n">
        <f aca="false">Assumptions!E15</f>
        <v>0</v>
      </c>
      <c r="F9" s="4" t="n">
        <f aca="false">Assumptions!F15</f>
        <v>0</v>
      </c>
      <c r="G9" s="4" t="n">
        <f aca="false">Assumptions!G15</f>
        <v>0</v>
      </c>
      <c r="H9" s="4" t="n">
        <f aca="false">Assumptions!H15</f>
        <v>0</v>
      </c>
      <c r="I9" s="4" t="n">
        <f aca="false">Assumptions!I15</f>
        <v>0</v>
      </c>
      <c r="J9" s="4" t="n">
        <f aca="false">Assumptions!J15</f>
        <v>0</v>
      </c>
      <c r="K9" s="4" t="n">
        <f aca="false">Assumptions!K15</f>
        <v>0</v>
      </c>
      <c r="L9" s="4" t="n">
        <f aca="false">Assumptions!L15</f>
        <v>0</v>
      </c>
    </row>
    <row r="10" customFormat="false" ht="15" hidden="false" customHeight="false" outlineLevel="0" collapsed="false">
      <c r="A10" s="0" t="s">
        <v>113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114</v>
      </c>
      <c r="C11" s="0" t="n">
        <f aca="false">C8+C10+C24</f>
        <v>349.4279817</v>
      </c>
      <c r="D11" s="0" t="n">
        <f aca="false">D8+D10+D24</f>
        <v>336.11643954</v>
      </c>
      <c r="E11" s="0" t="n">
        <f aca="false">E8+E10+E24</f>
        <v>332.629231479773</v>
      </c>
      <c r="F11" s="0" t="n">
        <f aca="false">F8+F10+F24</f>
        <v>333.482126945105</v>
      </c>
      <c r="G11" s="0" t="n">
        <f aca="false">G8+G10+G24</f>
        <v>331.278245062685</v>
      </c>
      <c r="H11" s="0" t="n">
        <f aca="false">H8+H10+H24</f>
        <v>337.903809963939</v>
      </c>
      <c r="I11" s="0" t="n">
        <f aca="false">I8+I10+I24</f>
        <v>344.661886163218</v>
      </c>
      <c r="J11" s="0" t="n">
        <f aca="false">J8+J10+J24</f>
        <v>351.555123886482</v>
      </c>
      <c r="K11" s="0" t="n">
        <f aca="false">K8+K10+K24</f>
        <v>356.82845074478</v>
      </c>
      <c r="L11" s="0" t="n">
        <f aca="false">L8+L10+L24</f>
        <v>362.180877505951</v>
      </c>
    </row>
    <row r="12" customFormat="false" ht="15" hidden="false" customHeight="false" outlineLevel="0" collapsed="false">
      <c r="A12" s="0" t="s">
        <v>115</v>
      </c>
      <c r="C12" s="4" t="n">
        <f aca="false">-C6*Assumptions!C17/100</f>
        <v>-69.33094875</v>
      </c>
      <c r="D12" s="4" t="n">
        <f aca="false">-D6*Assumptions!D17/100</f>
        <v>-75.6261988965</v>
      </c>
      <c r="E12" s="4" t="n">
        <f aca="false">-E6*Assumptions!E17/100</f>
        <v>-79.60357676439</v>
      </c>
      <c r="F12" s="4" t="n">
        <f aca="false">-F6*Assumptions!F17/100</f>
        <v>-81.1956482996778</v>
      </c>
      <c r="G12" s="4" t="n">
        <f aca="false">-G6*Assumptions!G17/100</f>
        <v>-82.8195612656714</v>
      </c>
      <c r="H12" s="4" t="n">
        <f aca="false">-H6*Assumptions!H17/100</f>
        <v>-84.4759524909848</v>
      </c>
      <c r="I12" s="4" t="n">
        <f aca="false">-I6*Assumptions!I17/100</f>
        <v>-86.1654715408045</v>
      </c>
      <c r="J12" s="4" t="n">
        <f aca="false">-J6*Assumptions!J17/100</f>
        <v>-87.8887809716206</v>
      </c>
      <c r="K12" s="4" t="n">
        <f aca="false">-K6*Assumptions!K17/100</f>
        <v>-89.2071126861949</v>
      </c>
      <c r="L12" s="4" t="n">
        <f aca="false">-L6*Assumptions!L17/100</f>
        <v>-90.5452193764878</v>
      </c>
    </row>
    <row r="13" customFormat="false" ht="15" hidden="false" customHeight="false" outlineLevel="0" collapsed="false">
      <c r="A13" s="0" t="s">
        <v>116</v>
      </c>
      <c r="C13" s="0" t="n">
        <f aca="false">C11+C12</f>
        <v>280.09703295</v>
      </c>
      <c r="D13" s="0" t="n">
        <f aca="false">D11+D12</f>
        <v>260.4902406435</v>
      </c>
      <c r="E13" s="0" t="n">
        <f aca="false">E11+E12</f>
        <v>253.025654715383</v>
      </c>
      <c r="F13" s="0" t="n">
        <f aca="false">F11+F12</f>
        <v>252.286478645427</v>
      </c>
      <c r="G13" s="0" t="n">
        <f aca="false">G11+G12</f>
        <v>248.458683797014</v>
      </c>
      <c r="H13" s="0" t="n">
        <f aca="false">H11+H12</f>
        <v>253.427857472954</v>
      </c>
      <c r="I13" s="0" t="n">
        <f aca="false">I11+I12</f>
        <v>258.496414622413</v>
      </c>
      <c r="J13" s="0" t="n">
        <f aca="false">J11+J12</f>
        <v>263.666342914862</v>
      </c>
      <c r="K13" s="0" t="n">
        <f aca="false">K11+K12</f>
        <v>267.621338058585</v>
      </c>
      <c r="L13" s="0" t="n">
        <f aca="false">L11+L12</f>
        <v>271.635658129463</v>
      </c>
    </row>
    <row r="14" customFormat="false" ht="15" hidden="false" customHeight="false" outlineLevel="0" collapsed="false">
      <c r="A14" s="0" t="s">
        <v>102</v>
      </c>
      <c r="C14" s="4" t="n">
        <f aca="false">Assumptions!C19</f>
        <v>21</v>
      </c>
      <c r="D14" s="4" t="n">
        <f aca="false">Assumptions!D19</f>
        <v>22</v>
      </c>
      <c r="E14" s="4" t="n">
        <f aca="false">Assumptions!E19</f>
        <v>22</v>
      </c>
      <c r="F14" s="4" t="n">
        <f aca="false">Assumptions!F19</f>
        <v>23</v>
      </c>
      <c r="G14" s="4" t="n">
        <f aca="false">Assumptions!G19</f>
        <v>23</v>
      </c>
      <c r="H14" s="4" t="n">
        <f aca="false">Assumptions!H19</f>
        <v>23</v>
      </c>
      <c r="I14" s="4" t="n">
        <f aca="false">Assumptions!I19</f>
        <v>23</v>
      </c>
      <c r="J14" s="4" t="n">
        <f aca="false">Assumptions!J19</f>
        <v>23</v>
      </c>
      <c r="K14" s="4" t="n">
        <f aca="false">Assumptions!K19</f>
        <v>23</v>
      </c>
      <c r="L14" s="4" t="n">
        <f aca="false">Assumptions!L19</f>
        <v>23</v>
      </c>
    </row>
    <row r="15" customFormat="false" ht="15" hidden="false" customHeight="false" outlineLevel="0" collapsed="false">
      <c r="A15" s="0" t="s">
        <v>117</v>
      </c>
      <c r="C15" s="0" t="n">
        <f aca="false">C13-MAX(0,C13)*C14/100</f>
        <v>221.2766560305</v>
      </c>
      <c r="D15" s="0" t="n">
        <f aca="false">D13-MAX(0,D13)*D14/100</f>
        <v>203.18238770193</v>
      </c>
      <c r="E15" s="0" t="n">
        <f aca="false">E13-MAX(0,E13)*E14/100</f>
        <v>197.360010677998</v>
      </c>
      <c r="F15" s="0" t="n">
        <f aca="false">F13-MAX(0,F13)*F14/100</f>
        <v>194.260588556979</v>
      </c>
      <c r="G15" s="0" t="n">
        <f aca="false">G13-MAX(0,G13)*G14/100</f>
        <v>191.313186523701</v>
      </c>
      <c r="H15" s="0" t="n">
        <f aca="false">H13-MAX(0,H13)*H14/100</f>
        <v>195.139450254175</v>
      </c>
      <c r="I15" s="0" t="n">
        <f aca="false">I13-MAX(0,I13)*I14/100</f>
        <v>199.042239259258</v>
      </c>
      <c r="J15" s="0" t="n">
        <f aca="false">J13-MAX(0,J13)*J14/100</f>
        <v>203.023084044444</v>
      </c>
      <c r="K15" s="0" t="n">
        <f aca="false">K13-MAX(0,K13)*K14/100</f>
        <v>206.06843030511</v>
      </c>
      <c r="L15" s="0" t="n">
        <f aca="false">L13-MAX(0,L13)*L14/100</f>
        <v>209.159456759687</v>
      </c>
    </row>
    <row r="16" customFormat="false" ht="15" hidden="false" customHeight="false" outlineLevel="0" collapsed="false">
      <c r="A16" s="0" t="s">
        <v>118</v>
      </c>
      <c r="C16" s="0" t="n">
        <f aca="false">-C12</f>
        <v>69.33094875</v>
      </c>
      <c r="D16" s="0" t="n">
        <f aca="false">-D12</f>
        <v>75.6261988965</v>
      </c>
      <c r="E16" s="0" t="n">
        <f aca="false">-E12</f>
        <v>79.60357676439</v>
      </c>
      <c r="F16" s="0" t="n">
        <f aca="false">-F12</f>
        <v>81.1956482996778</v>
      </c>
      <c r="G16" s="0" t="n">
        <f aca="false">-G12</f>
        <v>82.8195612656714</v>
      </c>
      <c r="H16" s="0" t="n">
        <f aca="false">-H12</f>
        <v>84.4759524909848</v>
      </c>
      <c r="I16" s="0" t="n">
        <f aca="false">-I12</f>
        <v>86.1654715408045</v>
      </c>
      <c r="J16" s="0" t="n">
        <f aca="false">-J12</f>
        <v>87.8887809716206</v>
      </c>
      <c r="K16" s="0" t="n">
        <f aca="false">-K12</f>
        <v>89.2071126861949</v>
      </c>
      <c r="L16" s="0" t="n">
        <f aca="false">-L12</f>
        <v>90.5452193764878</v>
      </c>
    </row>
    <row r="17" customFormat="false" ht="15" hidden="false" customHeight="false" outlineLevel="0" collapsed="false">
      <c r="A17" s="0" t="s">
        <v>119</v>
      </c>
      <c r="C17" s="4" t="n">
        <f aca="false">-C6*Assumptions!C18/100</f>
        <v>-207.99284625</v>
      </c>
      <c r="D17" s="4" t="n">
        <f aca="false">-D6*Assumptions!D18/100</f>
        <v>-126.0436648275</v>
      </c>
      <c r="E17" s="4" t="n">
        <f aca="false">-E6*Assumptions!E18/100</f>
        <v>-99.5044709554875</v>
      </c>
      <c r="F17" s="4" t="n">
        <f aca="false">-F6*Assumptions!F18/100</f>
        <v>-86.9953374639405</v>
      </c>
      <c r="G17" s="4" t="n">
        <f aca="false">-G6*Assumptions!G18/100</f>
        <v>-88.7352442132193</v>
      </c>
      <c r="H17" s="4" t="n">
        <f aca="false">-H6*Assumptions!H18/100</f>
        <v>-90.5099490974837</v>
      </c>
      <c r="I17" s="4" t="n">
        <f aca="false">-I6*Assumptions!I18/100</f>
        <v>-92.3201480794334</v>
      </c>
      <c r="J17" s="4" t="n">
        <f aca="false">-J6*Assumptions!J18/100</f>
        <v>-94.1665510410221</v>
      </c>
      <c r="K17" s="4" t="n">
        <f aca="false">-K6*Assumptions!K18/100</f>
        <v>-95.5790493066374</v>
      </c>
      <c r="L17" s="4" t="n">
        <f aca="false">-L6*Assumptions!L18/100</f>
        <v>-97.0127350462369</v>
      </c>
    </row>
    <row r="18" customFormat="false" ht="15" hidden="false" customHeight="false" outlineLevel="0" collapsed="false">
      <c r="A18" s="0" t="s">
        <v>120</v>
      </c>
      <c r="C18" s="4" t="n">
        <f aca="false">(C6-B6)*Assumptions!$B$23/100</f>
        <v>-17.1676635</v>
      </c>
      <c r="D18" s="4" t="n">
        <f aca="false">(D6-C6)*Assumptions!$B$23/100</f>
        <v>-3.60520933500003</v>
      </c>
      <c r="E18" s="4" t="n">
        <f aca="false">(E6-D6)*Assumptions!$B$23/100</f>
        <v>-5.46189214252496</v>
      </c>
      <c r="F18" s="4" t="n">
        <f aca="false">(F6-E6)*Assumptions!$B$23/100</f>
        <v>-7.39176069955053</v>
      </c>
      <c r="G18" s="4" t="n">
        <f aca="false">(G6-F6)*Assumptions!$B$23/100</f>
        <v>-7.5395959135415</v>
      </c>
      <c r="H18" s="4" t="n">
        <f aca="false">(H6-G6)*Assumptions!$B$23/100</f>
        <v>-7.69038783181237</v>
      </c>
      <c r="I18" s="4" t="n">
        <f aca="false">(I6-H6)*Assumptions!$B$23/100</f>
        <v>-7.84419558844861</v>
      </c>
      <c r="J18" s="4" t="n">
        <f aca="false">(J6-I6)*Assumptions!$B$23/100</f>
        <v>-8.00107950021755</v>
      </c>
      <c r="K18" s="4" t="n">
        <f aca="false">(K6-J6)*Assumptions!$B$23/100</f>
        <v>-6.12082581766638</v>
      </c>
      <c r="L18" s="4" t="n">
        <f aca="false">(L6-K6)*Assumptions!$B$23/100</f>
        <v>-6.2126382049314</v>
      </c>
    </row>
    <row r="19" customFormat="false" ht="15" hidden="false" customHeight="false" outlineLevel="0" collapsed="false">
      <c r="A19" s="0" t="s">
        <v>121</v>
      </c>
      <c r="C19" s="0" t="n">
        <f aca="false">C15+C16+C17+C18</f>
        <v>65.4470950305</v>
      </c>
      <c r="D19" s="0" t="n">
        <f aca="false">D15+D16+D17+D18</f>
        <v>149.15971243593</v>
      </c>
      <c r="E19" s="0" t="n">
        <f aca="false">E15+E16+E17+E18</f>
        <v>171.997224344376</v>
      </c>
      <c r="F19" s="0" t="n">
        <f aca="false">F15+F16+F17+F18</f>
        <v>181.069138693166</v>
      </c>
      <c r="G19" s="0" t="n">
        <f aca="false">G15+G16+G17+G18</f>
        <v>177.857907662611</v>
      </c>
      <c r="H19" s="0" t="n">
        <f aca="false">H15+H16+H17+H18</f>
        <v>181.415065815864</v>
      </c>
      <c r="I19" s="0" t="n">
        <f aca="false">I15+I16+I17+I18</f>
        <v>185.043367132181</v>
      </c>
      <c r="J19" s="0" t="n">
        <f aca="false">J15+J16+J17+J18</f>
        <v>188.744234474825</v>
      </c>
      <c r="K19" s="0" t="n">
        <f aca="false">K15+K16+K17+K18</f>
        <v>193.575667867001</v>
      </c>
      <c r="L19" s="0" t="n">
        <f aca="false">L15+L16+L17+L18</f>
        <v>196.479302885006</v>
      </c>
    </row>
    <row r="20" customFormat="false" ht="15" hidden="false" customHeight="false" outlineLevel="0" collapsed="false">
      <c r="A20" s="0" t="s">
        <v>122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123</v>
      </c>
      <c r="C21" s="0" t="n">
        <f aca="false">C19*C20</f>
        <v>59.4973591186364</v>
      </c>
      <c r="D21" s="0" t="n">
        <f aca="false">D19*D20</f>
        <v>123.272489616471</v>
      </c>
      <c r="E21" s="0" t="n">
        <f aca="false">E19*E20</f>
        <v>129.224060363919</v>
      </c>
      <c r="F21" s="0" t="n">
        <f aca="false">F19*F20</f>
        <v>123.672658078796</v>
      </c>
      <c r="G21" s="0" t="n">
        <f aca="false">G19*G20</f>
        <v>110.435767342402</v>
      </c>
      <c r="H21" s="0" t="n">
        <f aca="false">H19*H20</f>
        <v>102.404075172045</v>
      </c>
      <c r="I21" s="0" t="n">
        <f aca="false">I19*I20</f>
        <v>94.9565060686237</v>
      </c>
      <c r="J21" s="0" t="n">
        <f aca="false">J19*J20</f>
        <v>88.050578354542</v>
      </c>
      <c r="K21" s="0" t="n">
        <f aca="false">K19*K20</f>
        <v>82.0949797172583</v>
      </c>
      <c r="L21" s="0" t="n">
        <f aca="false">L19*L20</f>
        <v>75.7512767391065</v>
      </c>
    </row>
    <row r="23" customFormat="false" ht="15" hidden="false" customHeight="false" outlineLevel="0" collapsed="false">
      <c r="A23" s="0" t="s">
        <v>99</v>
      </c>
      <c r="C23" s="4" t="n">
        <f aca="false">Assumptions!C16</f>
        <v>0.8</v>
      </c>
      <c r="D23" s="4" t="n">
        <f aca="false">Assumptions!D16</f>
        <v>0.8</v>
      </c>
      <c r="E23" s="4" t="n">
        <f aca="false">Assumptions!E16</f>
        <v>0.8</v>
      </c>
      <c r="F23" s="4" t="n">
        <f aca="false">Assumptions!F16</f>
        <v>0.8</v>
      </c>
      <c r="G23" s="4" t="n">
        <f aca="false">Assumptions!G16</f>
        <v>0.8</v>
      </c>
      <c r="H23" s="4" t="n">
        <f aca="false">Assumptions!H16</f>
        <v>0.8</v>
      </c>
      <c r="I23" s="4" t="n">
        <f aca="false">Assumptions!I16</f>
        <v>0.8</v>
      </c>
      <c r="J23" s="4" t="n">
        <f aca="false">Assumptions!J16</f>
        <v>0.8</v>
      </c>
      <c r="K23" s="4" t="n">
        <f aca="false">Assumptions!K16</f>
        <v>0.8</v>
      </c>
      <c r="L23" s="4" t="n">
        <f aca="false">Assumptions!L16</f>
        <v>0.8</v>
      </c>
    </row>
    <row r="24" customFormat="false" ht="15" hidden="false" customHeight="false" outlineLevel="0" collapsed="false">
      <c r="A24" s="0" t="s">
        <v>124</v>
      </c>
      <c r="C24" s="0" t="n">
        <f aca="false">-C6*C23/100</f>
        <v>-22.1859036</v>
      </c>
      <c r="D24" s="0" t="n">
        <f aca="false">-D6*D23/100</f>
        <v>-22.407762636</v>
      </c>
      <c r="E24" s="0" t="n">
        <f aca="false">-E6*E23/100</f>
        <v>-22.74387907554</v>
      </c>
      <c r="F24" s="0" t="n">
        <f aca="false">-F6*F23/100</f>
        <v>-23.1987566570508</v>
      </c>
      <c r="G24" s="0" t="n">
        <f aca="false">-G6*G23/100</f>
        <v>-23.6627317901918</v>
      </c>
      <c r="H24" s="0" t="n">
        <f aca="false">-H6*H23/100</f>
        <v>-24.1359864259957</v>
      </c>
      <c r="I24" s="0" t="n">
        <f aca="false">-I6*I23/100</f>
        <v>-24.6187061545156</v>
      </c>
      <c r="J24" s="0" t="n">
        <f aca="false">-J6*J23/100</f>
        <v>-25.1110802776059</v>
      </c>
      <c r="K24" s="0" t="n">
        <f aca="false">-K6*K23/100</f>
        <v>-25.48774648177</v>
      </c>
      <c r="L24" s="0" t="n">
        <f aca="false">-L6*L23/100</f>
        <v>-25.8700626789965</v>
      </c>
    </row>
    <row r="26" customFormat="false" ht="15" hidden="false" customHeight="false" outlineLevel="0" collapsed="false">
      <c r="A26" s="2" t="s">
        <v>125</v>
      </c>
    </row>
    <row r="27" customFormat="false" ht="15" hidden="false" customHeight="false" outlineLevel="0" collapsed="false">
      <c r="A27" s="0" t="s">
        <v>103</v>
      </c>
      <c r="B27" s="4" t="n">
        <f aca="false">Assumptions!$B$20</f>
        <v>10</v>
      </c>
    </row>
    <row r="28" customFormat="false" ht="15" hidden="false" customHeight="false" outlineLevel="0" collapsed="false">
      <c r="A28" s="0" t="s">
        <v>104</v>
      </c>
      <c r="B28" s="4" t="n">
        <f aca="false">Assumptions!$B$21</f>
        <v>1.5</v>
      </c>
    </row>
    <row r="29" customFormat="false" ht="15" hidden="false" customHeight="false" outlineLevel="0" collapsed="false">
      <c r="A29" s="0" t="s">
        <v>105</v>
      </c>
      <c r="B29" s="4" t="n">
        <f aca="false">Assumptions!$B$22</f>
        <v>11</v>
      </c>
    </row>
    <row r="30" customFormat="false" ht="15" hidden="false" customHeight="false" outlineLevel="0" collapsed="false">
      <c r="A30" s="0" t="s">
        <v>126</v>
      </c>
      <c r="B30" s="0" t="n">
        <f aca="false">SUM(C21:L21)</f>
        <v>989.3597505718</v>
      </c>
    </row>
    <row r="31" customFormat="false" ht="15" hidden="false" customHeight="false" outlineLevel="0" collapsed="false">
      <c r="A31" s="0" t="s">
        <v>127</v>
      </c>
      <c r="B31" s="0" t="n">
        <f aca="false">L19</f>
        <v>196.479302885006</v>
      </c>
    </row>
    <row r="32" customFormat="false" ht="15" hidden="false" customHeight="false" outlineLevel="0" collapsed="false">
      <c r="A32" s="0" t="s">
        <v>128</v>
      </c>
      <c r="B32" s="0" t="n">
        <f aca="false">IF(B27&gt;B28,B31*(1+B28/100)/((B27-B28)/100),B31*B29)</f>
        <v>2346.19402856802</v>
      </c>
    </row>
    <row r="33" customFormat="false" ht="15" hidden="false" customHeight="false" outlineLevel="0" collapsed="false">
      <c r="A33" s="0" t="s">
        <v>129</v>
      </c>
      <c r="B33" s="0" t="n">
        <f aca="false">B31*B29</f>
        <v>2161.27233173507</v>
      </c>
    </row>
    <row r="34" customFormat="false" ht="15" hidden="false" customHeight="false" outlineLevel="0" collapsed="false">
      <c r="A34" s="0" t="s">
        <v>130</v>
      </c>
      <c r="B34" s="0" t="n">
        <f aca="false">MAX(0,MIN(B32,B33))</f>
        <v>2161.27233173507</v>
      </c>
    </row>
    <row r="35" customFormat="false" ht="15" hidden="false" customHeight="false" outlineLevel="0" collapsed="false">
      <c r="A35" s="0" t="s">
        <v>131</v>
      </c>
      <c r="B35" s="0" t="n">
        <f aca="false">B34/(1+B27/100)^L4</f>
        <v>833.264044130172</v>
      </c>
    </row>
    <row r="36" customFormat="false" ht="15" hidden="false" customHeight="false" outlineLevel="0" collapsed="false">
      <c r="A36" s="0" t="s">
        <v>132</v>
      </c>
      <c r="B36" s="0" t="n">
        <f aca="false">B30+B35</f>
        <v>1822.62379470197</v>
      </c>
    </row>
    <row r="37" customFormat="false" ht="15" hidden="false" customHeight="false" outlineLevel="0" collapsed="false">
      <c r="A37" s="0" t="s">
        <v>133</v>
      </c>
      <c r="B37" s="0" t="n">
        <f aca="false">B36+Assumptions!$B$5-Assumptions!$B$4</f>
        <v>2204.95979470197</v>
      </c>
    </row>
    <row r="38" customFormat="false" ht="15" hidden="false" customHeight="false" outlineLevel="0" collapsed="false">
      <c r="A38" s="0" t="s">
        <v>134</v>
      </c>
      <c r="B38" s="0" t="n">
        <f aca="false">B37/Assumptions!$B$3*Assumptions!$B$10</f>
        <v>6.06567951762907</v>
      </c>
    </row>
    <row r="39" customFormat="false" ht="15" hidden="false" customHeight="false" outlineLevel="0" collapsed="false">
      <c r="A39" s="0" t="s">
        <v>135</v>
      </c>
      <c r="B39" s="4" t="n">
        <f aca="false">B38/Assumptions!$B$2-1</f>
        <v>-0.19124273098279</v>
      </c>
    </row>
    <row r="41" customFormat="false" ht="15" hidden="false" customHeight="false" outlineLevel="0" collapsed="false">
      <c r="A41" s="0" t="s">
        <v>136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137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138</v>
      </c>
      <c r="B43" s="0" t="n">
        <f aca="false">(B37+B41+B42)/Assumptions!$B$3*Assumptions!$B$10</f>
        <v>6.06567951762907</v>
      </c>
    </row>
    <row r="45" customFormat="false" ht="15" hidden="false" customHeight="false" outlineLevel="0" collapsed="false">
      <c r="A45" s="0" t="s">
        <v>79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139</v>
      </c>
      <c r="B46" s="0" t="n">
        <f aca="false">MAX(0,MIN(IF(B45&gt;B28,B31*(1+B28/100)/((B45-B28)/100),B31*B29),B31*B29))</f>
        <v>1477.23327724653</v>
      </c>
    </row>
    <row r="47" customFormat="false" ht="15" hidden="false" customHeight="false" outlineLevel="0" collapsed="false">
      <c r="A47" s="0" t="s">
        <v>140</v>
      </c>
      <c r="B47" s="0" t="n">
        <f aca="false">(SUMPRODUCT(C19:L19/(1+B45/100)^C4:L4)+B46/(1+B45/100)^L4+Assumptions!$B$5-Assumptions!$B$4)/Assumptions!$B$3*Assumptions!$B$10</f>
        <v>4.22408968686047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141</v>
      </c>
    </row>
    <row r="3" customFormat="false" ht="15" hidden="false" customHeight="false" outlineLevel="0" collapsed="false">
      <c r="A3" s="0" t="s">
        <v>111</v>
      </c>
      <c r="B3" s="0" t="s">
        <v>72</v>
      </c>
      <c r="C3" s="2" t="s">
        <v>86</v>
      </c>
      <c r="D3" s="2" t="s">
        <v>87</v>
      </c>
      <c r="E3" s="2" t="s">
        <v>88</v>
      </c>
      <c r="F3" s="2" t="s">
        <v>89</v>
      </c>
      <c r="G3" s="2" t="s">
        <v>90</v>
      </c>
      <c r="H3" s="2" t="s">
        <v>91</v>
      </c>
      <c r="I3" s="2" t="s">
        <v>92</v>
      </c>
      <c r="J3" s="2" t="s">
        <v>93</v>
      </c>
      <c r="K3" s="2" t="s">
        <v>94</v>
      </c>
      <c r="L3" s="2" t="s">
        <v>95</v>
      </c>
    </row>
    <row r="4" customFormat="false" ht="15" hidden="false" customHeight="false" outlineLevel="0" collapsed="false">
      <c r="A4" s="0" t="s">
        <v>112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96</v>
      </c>
      <c r="C5" s="4" t="n">
        <f aca="false">Assumptions!C27</f>
        <v>7</v>
      </c>
      <c r="D5" s="4" t="n">
        <f aca="false">Assumptions!D27</f>
        <v>6</v>
      </c>
      <c r="E5" s="4" t="n">
        <f aca="false">Assumptions!E27</f>
        <v>5</v>
      </c>
      <c r="F5" s="4" t="n">
        <f aca="false">Assumptions!F27</f>
        <v>4.5</v>
      </c>
      <c r="G5" s="4" t="n">
        <f aca="false">Assumptions!G27</f>
        <v>4</v>
      </c>
      <c r="H5" s="4" t="n">
        <f aca="false">Assumptions!H27</f>
        <v>3.5</v>
      </c>
      <c r="I5" s="4" t="n">
        <f aca="false">Assumptions!I27</f>
        <v>3</v>
      </c>
      <c r="J5" s="4" t="n">
        <f aca="false">Assumptions!J27</f>
        <v>3</v>
      </c>
      <c r="K5" s="4" t="n">
        <f aca="false">Assumptions!K27</f>
        <v>2.5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38</v>
      </c>
      <c r="B6" s="3" t="n">
        <v>2641.179</v>
      </c>
      <c r="C6" s="0" t="n">
        <f aca="false">B6*(1+C5/100)</f>
        <v>2826.06153</v>
      </c>
      <c r="D6" s="0" t="n">
        <f aca="false">C6*(1+D5/100)</f>
        <v>2995.6252218</v>
      </c>
      <c r="E6" s="0" t="n">
        <f aca="false">D6*(1+E5/100)</f>
        <v>3145.40648289</v>
      </c>
      <c r="F6" s="0" t="n">
        <f aca="false">E6*(1+F5/100)</f>
        <v>3286.94977462005</v>
      </c>
      <c r="G6" s="0" t="n">
        <f aca="false">F6*(1+G5/100)</f>
        <v>3418.42776560485</v>
      </c>
      <c r="H6" s="0" t="n">
        <f aca="false">G6*(1+H5/100)</f>
        <v>3538.07273740102</v>
      </c>
      <c r="I6" s="0" t="n">
        <f aca="false">H6*(1+I5/100)</f>
        <v>3644.21491952305</v>
      </c>
      <c r="J6" s="0" t="n">
        <f aca="false">I6*(1+J5/100)</f>
        <v>3753.54136710874</v>
      </c>
      <c r="K6" s="0" t="n">
        <f aca="false">J6*(1+K5/100)</f>
        <v>3847.37990128646</v>
      </c>
      <c r="L6" s="0" t="n">
        <f aca="false">K6*(1+L5/100)</f>
        <v>3943.56439881862</v>
      </c>
    </row>
    <row r="7" customFormat="false" ht="15" hidden="false" customHeight="false" outlineLevel="0" collapsed="false">
      <c r="A7" s="0" t="s">
        <v>97</v>
      </c>
      <c r="C7" s="4" t="n">
        <f aca="false">Assumptions!C28</f>
        <v>13.8</v>
      </c>
      <c r="D7" s="4" t="n">
        <f aca="false">Assumptions!D28</f>
        <v>13.9</v>
      </c>
      <c r="E7" s="4" t="n">
        <f aca="false">Assumptions!E28</f>
        <v>14</v>
      </c>
      <c r="F7" s="4" t="n">
        <f aca="false">Assumptions!F28</f>
        <v>14</v>
      </c>
      <c r="G7" s="4" t="n">
        <f aca="false">Assumptions!G28</f>
        <v>14</v>
      </c>
      <c r="H7" s="4" t="n">
        <f aca="false">Assumptions!H28</f>
        <v>14</v>
      </c>
      <c r="I7" s="4" t="n">
        <f aca="false">Assumptions!I28</f>
        <v>14</v>
      </c>
      <c r="J7" s="4" t="n">
        <f aca="false">Assumptions!J28</f>
        <v>14</v>
      </c>
      <c r="K7" s="4" t="n">
        <f aca="false">Assumptions!K28</f>
        <v>14</v>
      </c>
      <c r="L7" s="4" t="n">
        <f aca="false">Assumptions!L28</f>
        <v>14</v>
      </c>
    </row>
    <row r="8" customFormat="false" ht="15" hidden="false" customHeight="false" outlineLevel="0" collapsed="false">
      <c r="A8" s="0" t="s">
        <v>44</v>
      </c>
      <c r="C8" s="0" t="n">
        <f aca="false">C6*C7/100</f>
        <v>389.99649114</v>
      </c>
      <c r="D8" s="0" t="n">
        <f aca="false">D6*D7/100</f>
        <v>416.3919058302</v>
      </c>
      <c r="E8" s="0" t="n">
        <f aca="false">E6*E7/100</f>
        <v>440.3569076046</v>
      </c>
      <c r="F8" s="0" t="n">
        <f aca="false">F6*F7/100</f>
        <v>460.172968446807</v>
      </c>
      <c r="G8" s="0" t="n">
        <f aca="false">G6*G7/100</f>
        <v>478.579887184679</v>
      </c>
      <c r="H8" s="0" t="n">
        <f aca="false">H6*H7/100</f>
        <v>495.330183236143</v>
      </c>
      <c r="I8" s="0" t="n">
        <f aca="false">I6*I7/100</f>
        <v>510.190088733227</v>
      </c>
      <c r="J8" s="0" t="n">
        <f aca="false">J6*J7/100</f>
        <v>525.495791395224</v>
      </c>
      <c r="K8" s="0" t="n">
        <f aca="false">K6*K7/100</f>
        <v>538.633186180105</v>
      </c>
      <c r="L8" s="0" t="n">
        <f aca="false">L6*L7/100</f>
        <v>552.099015834607</v>
      </c>
    </row>
    <row r="9" customFormat="false" ht="15" hidden="false" customHeight="false" outlineLevel="0" collapsed="false">
      <c r="A9" s="0" t="s">
        <v>98</v>
      </c>
      <c r="C9" s="4" t="n">
        <f aca="false">Assumptions!C29</f>
        <v>0</v>
      </c>
      <c r="D9" s="4" t="n">
        <f aca="false">Assumptions!D29</f>
        <v>0</v>
      </c>
      <c r="E9" s="4" t="n">
        <f aca="false">Assumptions!E29</f>
        <v>0</v>
      </c>
      <c r="F9" s="4" t="n">
        <f aca="false">Assumptions!F29</f>
        <v>0</v>
      </c>
      <c r="G9" s="4" t="n">
        <f aca="false">Assumptions!G29</f>
        <v>0</v>
      </c>
      <c r="H9" s="4" t="n">
        <f aca="false">Assumptions!H29</f>
        <v>0</v>
      </c>
      <c r="I9" s="4" t="n">
        <f aca="false">Assumptions!I29</f>
        <v>0</v>
      </c>
      <c r="J9" s="4" t="n">
        <f aca="false">Assumptions!J29</f>
        <v>0</v>
      </c>
      <c r="K9" s="4" t="n">
        <f aca="false">Assumptions!K29</f>
        <v>0</v>
      </c>
      <c r="L9" s="4" t="n">
        <f aca="false">Assumptions!L29</f>
        <v>0</v>
      </c>
    </row>
    <row r="10" customFormat="false" ht="15" hidden="false" customHeight="false" outlineLevel="0" collapsed="false">
      <c r="A10" s="0" t="s">
        <v>113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114</v>
      </c>
      <c r="C11" s="0" t="n">
        <f aca="false">C8+C10+C24</f>
        <v>368.801029665</v>
      </c>
      <c r="D11" s="0" t="n">
        <f aca="false">D8+D10+D24</f>
        <v>393.9247166667</v>
      </c>
      <c r="E11" s="0" t="n">
        <f aca="false">E8+E10+E24</f>
        <v>416.766358982925</v>
      </c>
      <c r="F11" s="0" t="n">
        <f aca="false">F8+F10+F24</f>
        <v>435.520845137157</v>
      </c>
      <c r="G11" s="0" t="n">
        <f aca="false">G8+G10+G24</f>
        <v>452.941678942643</v>
      </c>
      <c r="H11" s="0" t="n">
        <f aca="false">H8+H10+H24</f>
        <v>468.794637705635</v>
      </c>
      <c r="I11" s="0" t="n">
        <f aca="false">I8+I10+I24</f>
        <v>482.858476836805</v>
      </c>
      <c r="J11" s="0" t="n">
        <f aca="false">J8+J10+J24</f>
        <v>497.344231141909</v>
      </c>
      <c r="K11" s="0" t="n">
        <f aca="false">K8+K10+K24</f>
        <v>509.777836920456</v>
      </c>
      <c r="L11" s="0" t="n">
        <f aca="false">L8+L10+L24</f>
        <v>522.522282843468</v>
      </c>
    </row>
    <row r="12" customFormat="false" ht="15" hidden="false" customHeight="false" outlineLevel="0" collapsed="false">
      <c r="A12" s="0" t="s">
        <v>115</v>
      </c>
      <c r="C12" s="4" t="n">
        <f aca="false">-C6*Assumptions!C31/100</f>
        <v>-70.65153825</v>
      </c>
      <c r="D12" s="4" t="n">
        <f aca="false">-D6*Assumptions!D31/100</f>
        <v>-77.8862557668</v>
      </c>
      <c r="E12" s="4" t="n">
        <f aca="false">-E6*Assumptions!E31/100</f>
        <v>-84.92597503803</v>
      </c>
      <c r="F12" s="4" t="n">
        <f aca="false">-F6*Assumptions!F31/100</f>
        <v>-92.0345936893614</v>
      </c>
      <c r="G12" s="4" t="n">
        <f aca="false">-G6*Assumptions!G31/100</f>
        <v>-95.7159774369359</v>
      </c>
      <c r="H12" s="4" t="n">
        <f aca="false">-H6*Assumptions!H31/100</f>
        <v>-99.0660366472286</v>
      </c>
      <c r="I12" s="4" t="n">
        <f aca="false">-I6*Assumptions!I31/100</f>
        <v>-102.038017746645</v>
      </c>
      <c r="J12" s="4" t="n">
        <f aca="false">-J6*Assumptions!J31/100</f>
        <v>-105.099158279045</v>
      </c>
      <c r="K12" s="4" t="n">
        <f aca="false">-K6*Assumptions!K31/100</f>
        <v>-107.726637236021</v>
      </c>
      <c r="L12" s="4" t="n">
        <f aca="false">-L6*Assumptions!L31/100</f>
        <v>-110.419803166921</v>
      </c>
    </row>
    <row r="13" customFormat="false" ht="15" hidden="false" customHeight="false" outlineLevel="0" collapsed="false">
      <c r="A13" s="0" t="s">
        <v>116</v>
      </c>
      <c r="C13" s="0" t="n">
        <f aca="false">C11+C12</f>
        <v>298.149491415</v>
      </c>
      <c r="D13" s="0" t="n">
        <f aca="false">D11+D12</f>
        <v>316.0384608999</v>
      </c>
      <c r="E13" s="0" t="n">
        <f aca="false">E11+E12</f>
        <v>331.840383944895</v>
      </c>
      <c r="F13" s="0" t="n">
        <f aca="false">F11+F12</f>
        <v>343.486251447795</v>
      </c>
      <c r="G13" s="0" t="n">
        <f aca="false">G11+G12</f>
        <v>357.225701505707</v>
      </c>
      <c r="H13" s="0" t="n">
        <f aca="false">H11+H12</f>
        <v>369.728601058407</v>
      </c>
      <c r="I13" s="0" t="n">
        <f aca="false">I11+I12</f>
        <v>380.820459090159</v>
      </c>
      <c r="J13" s="0" t="n">
        <f aca="false">J11+J12</f>
        <v>392.245072862864</v>
      </c>
      <c r="K13" s="0" t="n">
        <f aca="false">K11+K12</f>
        <v>402.051199684435</v>
      </c>
      <c r="L13" s="0" t="n">
        <f aca="false">L11+L12</f>
        <v>412.102479676546</v>
      </c>
    </row>
    <row r="14" customFormat="false" ht="15" hidden="false" customHeight="false" outlineLevel="0" collapsed="false">
      <c r="A14" s="0" t="s">
        <v>102</v>
      </c>
      <c r="C14" s="4" t="n">
        <f aca="false">Assumptions!C33</f>
        <v>20</v>
      </c>
      <c r="D14" s="4" t="n">
        <f aca="false">Assumptions!D33</f>
        <v>20</v>
      </c>
      <c r="E14" s="4" t="n">
        <f aca="false">Assumptions!E33</f>
        <v>20</v>
      </c>
      <c r="F14" s="4" t="n">
        <f aca="false">Assumptions!F33</f>
        <v>20</v>
      </c>
      <c r="G14" s="4" t="n">
        <f aca="false">Assumptions!G33</f>
        <v>20</v>
      </c>
      <c r="H14" s="4" t="n">
        <f aca="false">Assumptions!H33</f>
        <v>20</v>
      </c>
      <c r="I14" s="4" t="n">
        <f aca="false">Assumptions!I33</f>
        <v>20</v>
      </c>
      <c r="J14" s="4" t="n">
        <f aca="false">Assumptions!J33</f>
        <v>20</v>
      </c>
      <c r="K14" s="4" t="n">
        <f aca="false">Assumptions!K33</f>
        <v>20</v>
      </c>
      <c r="L14" s="4" t="n">
        <f aca="false">Assumptions!L33</f>
        <v>20</v>
      </c>
    </row>
    <row r="15" customFormat="false" ht="15" hidden="false" customHeight="false" outlineLevel="0" collapsed="false">
      <c r="A15" s="0" t="s">
        <v>117</v>
      </c>
      <c r="C15" s="0" t="n">
        <f aca="false">C13-MAX(0,C13)*C14/100</f>
        <v>238.519593132</v>
      </c>
      <c r="D15" s="0" t="n">
        <f aca="false">D13-MAX(0,D13)*D14/100</f>
        <v>252.83076871992</v>
      </c>
      <c r="E15" s="0" t="n">
        <f aca="false">E13-MAX(0,E13)*E14/100</f>
        <v>265.472307155916</v>
      </c>
      <c r="F15" s="0" t="n">
        <f aca="false">F13-MAX(0,F13)*F14/100</f>
        <v>274.789001158236</v>
      </c>
      <c r="G15" s="0" t="n">
        <f aca="false">G13-MAX(0,G13)*G14/100</f>
        <v>285.780561204566</v>
      </c>
      <c r="H15" s="0" t="n">
        <f aca="false">H13-MAX(0,H13)*H14/100</f>
        <v>295.782880846725</v>
      </c>
      <c r="I15" s="0" t="n">
        <f aca="false">I13-MAX(0,I13)*I14/100</f>
        <v>304.656367272127</v>
      </c>
      <c r="J15" s="0" t="n">
        <f aca="false">J13-MAX(0,J13)*J14/100</f>
        <v>313.796058290291</v>
      </c>
      <c r="K15" s="0" t="n">
        <f aca="false">K13-MAX(0,K13)*K14/100</f>
        <v>321.640959747548</v>
      </c>
      <c r="L15" s="0" t="n">
        <f aca="false">L13-MAX(0,L13)*L14/100</f>
        <v>329.681983741237</v>
      </c>
    </row>
    <row r="16" customFormat="false" ht="15" hidden="false" customHeight="false" outlineLevel="0" collapsed="false">
      <c r="A16" s="0" t="s">
        <v>118</v>
      </c>
      <c r="C16" s="0" t="n">
        <f aca="false">-C12</f>
        <v>70.65153825</v>
      </c>
      <c r="D16" s="0" t="n">
        <f aca="false">-D12</f>
        <v>77.8862557668</v>
      </c>
      <c r="E16" s="0" t="n">
        <f aca="false">-E12</f>
        <v>84.92597503803</v>
      </c>
      <c r="F16" s="0" t="n">
        <f aca="false">-F12</f>
        <v>92.0345936893614</v>
      </c>
      <c r="G16" s="0" t="n">
        <f aca="false">-G12</f>
        <v>95.7159774369359</v>
      </c>
      <c r="H16" s="0" t="n">
        <f aca="false">-H12</f>
        <v>99.0660366472286</v>
      </c>
      <c r="I16" s="0" t="n">
        <f aca="false">-I12</f>
        <v>102.038017746645</v>
      </c>
      <c r="J16" s="0" t="n">
        <f aca="false">-J12</f>
        <v>105.099158279045</v>
      </c>
      <c r="K16" s="0" t="n">
        <f aca="false">-K12</f>
        <v>107.726637236021</v>
      </c>
      <c r="L16" s="0" t="n">
        <f aca="false">-L12</f>
        <v>110.419803166921</v>
      </c>
    </row>
    <row r="17" customFormat="false" ht="15" hidden="false" customHeight="false" outlineLevel="0" collapsed="false">
      <c r="A17" s="0" t="s">
        <v>119</v>
      </c>
      <c r="C17" s="4" t="n">
        <f aca="false">-C6*Assumptions!C32/100</f>
        <v>-211.95461475</v>
      </c>
      <c r="D17" s="4" t="n">
        <f aca="false">-D6*Assumptions!D32/100</f>
        <v>-179.737513308</v>
      </c>
      <c r="E17" s="4" t="n">
        <f aca="false">-E6*Assumptions!E32/100</f>
        <v>-157.2703241445</v>
      </c>
      <c r="F17" s="4" t="n">
        <f aca="false">-F6*Assumptions!F32/100</f>
        <v>-131.477990984802</v>
      </c>
      <c r="G17" s="4" t="n">
        <f aca="false">-G6*Assumptions!G32/100</f>
        <v>-119.64497179617</v>
      </c>
      <c r="H17" s="4" t="n">
        <f aca="false">-H6*Assumptions!H32/100</f>
        <v>-116.756400334234</v>
      </c>
      <c r="I17" s="4" t="n">
        <f aca="false">-I6*Assumptions!I32/100</f>
        <v>-116.614877424738</v>
      </c>
      <c r="J17" s="4" t="n">
        <f aca="false">-J6*Assumptions!J32/100</f>
        <v>-120.11332374748</v>
      </c>
      <c r="K17" s="4" t="n">
        <f aca="false">-K6*Assumptions!K32/100</f>
        <v>-123.116156841167</v>
      </c>
      <c r="L17" s="4" t="n">
        <f aca="false">-L6*Assumptions!L32/100</f>
        <v>-126.194060762196</v>
      </c>
    </row>
    <row r="18" customFormat="false" ht="15" hidden="false" customHeight="false" outlineLevel="0" collapsed="false">
      <c r="A18" s="0" t="s">
        <v>120</v>
      </c>
      <c r="C18" s="4" t="n">
        <f aca="false">(C6-B6)*Assumptions!$B$37/100</f>
        <v>-24.0347289</v>
      </c>
      <c r="D18" s="4" t="n">
        <f aca="false">(D6-C6)*Assumptions!$B$37/100</f>
        <v>-22.043279934</v>
      </c>
      <c r="E18" s="4" t="n">
        <f aca="false">(E6-D6)*Assumptions!$B$37/100</f>
        <v>-19.4715639417</v>
      </c>
      <c r="F18" s="4" t="n">
        <f aca="false">(F6-E6)*Assumptions!$B$37/100</f>
        <v>-18.4006279249065</v>
      </c>
      <c r="G18" s="4" t="n">
        <f aca="false">(G6-F6)*Assumptions!$B$37/100</f>
        <v>-17.0921388280243</v>
      </c>
      <c r="H18" s="4" t="n">
        <f aca="false">(H6-G6)*Assumptions!$B$37/100</f>
        <v>-15.553846333502</v>
      </c>
      <c r="I18" s="4" t="n">
        <f aca="false">(I6-H6)*Assumptions!$B$37/100</f>
        <v>-13.798483675864</v>
      </c>
      <c r="J18" s="4" t="n">
        <f aca="false">(J6-I6)*Assumptions!$B$37/100</f>
        <v>-14.2124381861399</v>
      </c>
      <c r="K18" s="4" t="n">
        <f aca="false">(K6-J6)*Assumptions!$B$37/100</f>
        <v>-12.1990094431034</v>
      </c>
      <c r="L18" s="4" t="n">
        <f aca="false">(L6-K6)*Assumptions!$B$37/100</f>
        <v>-12.5039846791809</v>
      </c>
    </row>
    <row r="19" customFormat="false" ht="15" hidden="false" customHeight="false" outlineLevel="0" collapsed="false">
      <c r="A19" s="0" t="s">
        <v>121</v>
      </c>
      <c r="C19" s="0" t="n">
        <f aca="false">C15+C16+C17+C18</f>
        <v>73.181787732</v>
      </c>
      <c r="D19" s="0" t="n">
        <f aca="false">D15+D16+D17+D18</f>
        <v>128.93623124472</v>
      </c>
      <c r="E19" s="0" t="n">
        <f aca="false">E15+E16+E17+E18</f>
        <v>173.656394107746</v>
      </c>
      <c r="F19" s="0" t="n">
        <f aca="false">F15+F16+F17+F18</f>
        <v>216.944975937889</v>
      </c>
      <c r="G19" s="0" t="n">
        <f aca="false">G15+G16+G17+G18</f>
        <v>244.759428017307</v>
      </c>
      <c r="H19" s="0" t="n">
        <f aca="false">H15+H16+H17+H18</f>
        <v>262.538670826218</v>
      </c>
      <c r="I19" s="0" t="n">
        <f aca="false">I15+I16+I17+I18</f>
        <v>276.281023918171</v>
      </c>
      <c r="J19" s="0" t="n">
        <f aca="false">J15+J16+J17+J18</f>
        <v>284.569454635716</v>
      </c>
      <c r="K19" s="0" t="n">
        <f aca="false">K15+K16+K17+K18</f>
        <v>294.052430699299</v>
      </c>
      <c r="L19" s="0" t="n">
        <f aca="false">L15+L16+L17+L18</f>
        <v>301.403741466781</v>
      </c>
    </row>
    <row r="20" customFormat="false" ht="15" hidden="false" customHeight="false" outlineLevel="0" collapsed="false">
      <c r="A20" s="0" t="s">
        <v>122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123</v>
      </c>
      <c r="C21" s="0" t="n">
        <f aca="false">C19*C20</f>
        <v>66.5288979381818</v>
      </c>
      <c r="D21" s="0" t="n">
        <f aca="false">D19*D20</f>
        <v>106.558868797289</v>
      </c>
      <c r="E21" s="0" t="n">
        <f aca="false">E19*E20</f>
        <v>130.470619164347</v>
      </c>
      <c r="F21" s="0" t="n">
        <f aca="false">F19*F20</f>
        <v>148.17633763943</v>
      </c>
      <c r="G21" s="0" t="n">
        <f aca="false">G19*G20</f>
        <v>151.976347875709</v>
      </c>
      <c r="H21" s="0" t="n">
        <f aca="false">H19*H20</f>
        <v>148.19623531237</v>
      </c>
      <c r="I21" s="0" t="n">
        <f aca="false">I19*I20</f>
        <v>141.775850336701</v>
      </c>
      <c r="J21" s="0" t="n">
        <f aca="false">J19*J20</f>
        <v>132.75375076982</v>
      </c>
      <c r="K21" s="0" t="n">
        <f aca="false">K19*K20</f>
        <v>124.706935536213</v>
      </c>
      <c r="L21" s="0" t="n">
        <f aca="false">L19*L20</f>
        <v>116.204189931471</v>
      </c>
    </row>
    <row r="23" customFormat="false" ht="15" hidden="false" customHeight="false" outlineLevel="0" collapsed="false">
      <c r="A23" s="0" t="s">
        <v>99</v>
      </c>
      <c r="C23" s="4" t="n">
        <f aca="false">Assumptions!C30</f>
        <v>0.75</v>
      </c>
      <c r="D23" s="4" t="n">
        <f aca="false">Assumptions!D30</f>
        <v>0.75</v>
      </c>
      <c r="E23" s="4" t="n">
        <f aca="false">Assumptions!E30</f>
        <v>0.75</v>
      </c>
      <c r="F23" s="4" t="n">
        <f aca="false">Assumptions!F30</f>
        <v>0.75</v>
      </c>
      <c r="G23" s="4" t="n">
        <f aca="false">Assumptions!G30</f>
        <v>0.75</v>
      </c>
      <c r="H23" s="4" t="n">
        <f aca="false">Assumptions!H30</f>
        <v>0.75</v>
      </c>
      <c r="I23" s="4" t="n">
        <f aca="false">Assumptions!I30</f>
        <v>0.75</v>
      </c>
      <c r="J23" s="4" t="n">
        <f aca="false">Assumptions!J30</f>
        <v>0.75</v>
      </c>
      <c r="K23" s="4" t="n">
        <f aca="false">Assumptions!K30</f>
        <v>0.75</v>
      </c>
      <c r="L23" s="4" t="n">
        <f aca="false">Assumptions!L30</f>
        <v>0.75</v>
      </c>
    </row>
    <row r="24" customFormat="false" ht="15" hidden="false" customHeight="false" outlineLevel="0" collapsed="false">
      <c r="A24" s="0" t="s">
        <v>124</v>
      </c>
      <c r="C24" s="0" t="n">
        <f aca="false">-C6*C23/100</f>
        <v>-21.195461475</v>
      </c>
      <c r="D24" s="0" t="n">
        <f aca="false">-D6*D23/100</f>
        <v>-22.4671891635</v>
      </c>
      <c r="E24" s="0" t="n">
        <f aca="false">-E6*E23/100</f>
        <v>-23.590548621675</v>
      </c>
      <c r="F24" s="0" t="n">
        <f aca="false">-F6*F23/100</f>
        <v>-24.6521233096504</v>
      </c>
      <c r="G24" s="0" t="n">
        <f aca="false">-G6*G23/100</f>
        <v>-25.6382082420364</v>
      </c>
      <c r="H24" s="0" t="n">
        <f aca="false">-H6*H23/100</f>
        <v>-26.5355455305077</v>
      </c>
      <c r="I24" s="0" t="n">
        <f aca="false">-I6*I23/100</f>
        <v>-27.3316118964229</v>
      </c>
      <c r="J24" s="0" t="n">
        <f aca="false">-J6*J23/100</f>
        <v>-28.1515602533156</v>
      </c>
      <c r="K24" s="0" t="n">
        <f aca="false">-K6*K23/100</f>
        <v>-28.8553492596485</v>
      </c>
      <c r="L24" s="0" t="n">
        <f aca="false">-L6*L23/100</f>
        <v>-29.5767329911397</v>
      </c>
    </row>
    <row r="26" customFormat="false" ht="15" hidden="false" customHeight="false" outlineLevel="0" collapsed="false">
      <c r="A26" s="2" t="s">
        <v>125</v>
      </c>
    </row>
    <row r="27" customFormat="false" ht="15" hidden="false" customHeight="false" outlineLevel="0" collapsed="false">
      <c r="A27" s="0" t="s">
        <v>103</v>
      </c>
      <c r="B27" s="4" t="n">
        <f aca="false">Assumptions!$B$34</f>
        <v>10</v>
      </c>
    </row>
    <row r="28" customFormat="false" ht="15" hidden="false" customHeight="false" outlineLevel="0" collapsed="false">
      <c r="A28" s="0" t="s">
        <v>104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105</v>
      </c>
      <c r="B29" s="4" t="n">
        <f aca="false">Assumptions!$B$36</f>
        <v>12</v>
      </c>
    </row>
    <row r="30" customFormat="false" ht="15" hidden="false" customHeight="false" outlineLevel="0" collapsed="false">
      <c r="A30" s="0" t="s">
        <v>126</v>
      </c>
      <c r="B30" s="0" t="n">
        <f aca="false">SUM(C21:L21)</f>
        <v>1267.34803330153</v>
      </c>
    </row>
    <row r="31" customFormat="false" ht="15" hidden="false" customHeight="false" outlineLevel="0" collapsed="false">
      <c r="A31" s="0" t="s">
        <v>127</v>
      </c>
      <c r="B31" s="0" t="n">
        <f aca="false">L19</f>
        <v>301.403741466781</v>
      </c>
    </row>
    <row r="32" customFormat="false" ht="15" hidden="false" customHeight="false" outlineLevel="0" collapsed="false">
      <c r="A32" s="0" t="s">
        <v>128</v>
      </c>
      <c r="B32" s="0" t="n">
        <f aca="false">IF(B27&gt;B28,B31*(1+B28/100)/((B27-B28)/100),B31*B29)</f>
        <v>4119.18446671268</v>
      </c>
    </row>
    <row r="33" customFormat="false" ht="15" hidden="false" customHeight="false" outlineLevel="0" collapsed="false">
      <c r="A33" s="0" t="s">
        <v>129</v>
      </c>
      <c r="B33" s="0" t="n">
        <f aca="false">B31*B29</f>
        <v>3616.84489760138</v>
      </c>
    </row>
    <row r="34" customFormat="false" ht="15" hidden="false" customHeight="false" outlineLevel="0" collapsed="false">
      <c r="A34" s="0" t="s">
        <v>130</v>
      </c>
      <c r="B34" s="0" t="n">
        <f aca="false">MAX(0,MIN(B32,B33))</f>
        <v>3616.84489760138</v>
      </c>
    </row>
    <row r="35" customFormat="false" ht="15" hidden="false" customHeight="false" outlineLevel="0" collapsed="false">
      <c r="A35" s="0" t="s">
        <v>131</v>
      </c>
      <c r="B35" s="0" t="n">
        <f aca="false">B34/(1+B27/100)^L4</f>
        <v>1394.45027917765</v>
      </c>
    </row>
    <row r="36" customFormat="false" ht="15" hidden="false" customHeight="false" outlineLevel="0" collapsed="false">
      <c r="A36" s="0" t="s">
        <v>132</v>
      </c>
      <c r="B36" s="0" t="n">
        <f aca="false">B30+B35</f>
        <v>2661.79831247918</v>
      </c>
    </row>
    <row r="37" customFormat="false" ht="15" hidden="false" customHeight="false" outlineLevel="0" collapsed="false">
      <c r="A37" s="0" t="s">
        <v>133</v>
      </c>
      <c r="B37" s="0" t="n">
        <f aca="false">B36+Assumptions!$B$5-Assumptions!$B$4</f>
        <v>3044.13431247918</v>
      </c>
    </row>
    <row r="38" customFormat="false" ht="15" hidden="false" customHeight="false" outlineLevel="0" collapsed="false">
      <c r="A38" s="0" t="s">
        <v>134</v>
      </c>
      <c r="B38" s="0" t="n">
        <f aca="false">B37/Assumptions!$B$3*Assumptions!$B$10</f>
        <v>8.37418586610219</v>
      </c>
    </row>
    <row r="39" customFormat="false" ht="15" hidden="false" customHeight="false" outlineLevel="0" collapsed="false">
      <c r="A39" s="0" t="s">
        <v>135</v>
      </c>
      <c r="B39" s="4" t="n">
        <f aca="false">B38/Assumptions!$B$2-1</f>
        <v>0.116558115480292</v>
      </c>
    </row>
    <row r="41" customFormat="false" ht="15" hidden="false" customHeight="false" outlineLevel="0" collapsed="false">
      <c r="A41" s="0" t="s">
        <v>136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137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138</v>
      </c>
      <c r="B43" s="0" t="n">
        <f aca="false">(B37+B41+B42)/Assumptions!$B$3*Assumptions!$B$10</f>
        <v>8.37418586610219</v>
      </c>
    </row>
    <row r="45" customFormat="false" ht="15" hidden="false" customHeight="false" outlineLevel="0" collapsed="false">
      <c r="A45" s="0" t="s">
        <v>79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139</v>
      </c>
      <c r="B46" s="0" t="n">
        <f aca="false">MAX(0,MIN(IF(B45&gt;B28,B31*(1+B28/100)/((B45-B28)/100),B31*B29),B31*B29))</f>
        <v>2471.51068002761</v>
      </c>
    </row>
    <row r="47" customFormat="false" ht="15" hidden="false" customHeight="false" outlineLevel="0" collapsed="false">
      <c r="A47" s="0" t="s">
        <v>140</v>
      </c>
      <c r="B47" s="0" t="n">
        <f aca="false">(SUMPRODUCT(C19:L19/(1+B45/100)^C4:L4)+B46/(1+B45/100)^L4+Assumptions!$B$5-Assumptions!$B$4)/Assumptions!$B$3*Assumptions!$B$10</f>
        <v>5.45447833086887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142</v>
      </c>
    </row>
    <row r="3" customFormat="false" ht="15" hidden="false" customHeight="false" outlineLevel="0" collapsed="false">
      <c r="A3" s="0" t="s">
        <v>111</v>
      </c>
      <c r="B3" s="0" t="s">
        <v>72</v>
      </c>
      <c r="C3" s="2" t="s">
        <v>86</v>
      </c>
      <c r="D3" s="2" t="s">
        <v>87</v>
      </c>
      <c r="E3" s="2" t="s">
        <v>88</v>
      </c>
      <c r="F3" s="2" t="s">
        <v>89</v>
      </c>
      <c r="G3" s="2" t="s">
        <v>90</v>
      </c>
      <c r="H3" s="2" t="s">
        <v>91</v>
      </c>
      <c r="I3" s="2" t="s">
        <v>92</v>
      </c>
      <c r="J3" s="2" t="s">
        <v>93</v>
      </c>
      <c r="K3" s="2" t="s">
        <v>94</v>
      </c>
      <c r="L3" s="2" t="s">
        <v>95</v>
      </c>
    </row>
    <row r="4" customFormat="false" ht="15" hidden="false" customHeight="false" outlineLevel="0" collapsed="false">
      <c r="A4" s="0" t="s">
        <v>112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96</v>
      </c>
      <c r="C5" s="4" t="n">
        <f aca="false">Assumptions!C41</f>
        <v>8</v>
      </c>
      <c r="D5" s="4" t="n">
        <f aca="false">Assumptions!D41</f>
        <v>8</v>
      </c>
      <c r="E5" s="4" t="n">
        <f aca="false">Assumptions!E41</f>
        <v>7</v>
      </c>
      <c r="F5" s="4" t="n">
        <f aca="false">Assumptions!F41</f>
        <v>6</v>
      </c>
      <c r="G5" s="4" t="n">
        <f aca="false">Assumptions!G41</f>
        <v>5.5</v>
      </c>
      <c r="H5" s="4" t="n">
        <f aca="false">Assumptions!H41</f>
        <v>5</v>
      </c>
      <c r="I5" s="4" t="n">
        <f aca="false">Assumptions!I41</f>
        <v>4</v>
      </c>
      <c r="J5" s="4" t="n">
        <f aca="false">Assumptions!J41</f>
        <v>3.5</v>
      </c>
      <c r="K5" s="4" t="n">
        <f aca="false">Assumptions!K41</f>
        <v>3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38</v>
      </c>
      <c r="B6" s="3" t="n">
        <v>2641.179</v>
      </c>
      <c r="C6" s="0" t="n">
        <f aca="false">B6*(1+C5/100)</f>
        <v>2852.47332</v>
      </c>
      <c r="D6" s="0" t="n">
        <f aca="false">C6*(1+D5/100)</f>
        <v>3080.6711856</v>
      </c>
      <c r="E6" s="0" t="n">
        <f aca="false">D6*(1+E5/100)</f>
        <v>3296.318168592</v>
      </c>
      <c r="F6" s="0" t="n">
        <f aca="false">E6*(1+F5/100)</f>
        <v>3494.09725870752</v>
      </c>
      <c r="G6" s="0" t="n">
        <f aca="false">F6*(1+G5/100)</f>
        <v>3686.27260793643</v>
      </c>
      <c r="H6" s="0" t="n">
        <f aca="false">G6*(1+H5/100)</f>
        <v>3870.58623833326</v>
      </c>
      <c r="I6" s="0" t="n">
        <f aca="false">H6*(1+I5/100)</f>
        <v>4025.40968786659</v>
      </c>
      <c r="J6" s="0" t="n">
        <f aca="false">I6*(1+J5/100)</f>
        <v>4166.29902694192</v>
      </c>
      <c r="K6" s="0" t="n">
        <f aca="false">J6*(1+K5/100)</f>
        <v>4291.28799775017</v>
      </c>
      <c r="L6" s="0" t="n">
        <f aca="false">K6*(1+L5/100)</f>
        <v>4420.02663768268</v>
      </c>
    </row>
    <row r="7" customFormat="false" ht="15" hidden="false" customHeight="false" outlineLevel="0" collapsed="false">
      <c r="A7" s="0" t="s">
        <v>97</v>
      </c>
      <c r="C7" s="4" t="n">
        <f aca="false">Assumptions!C42</f>
        <v>14</v>
      </c>
      <c r="D7" s="4" t="n">
        <f aca="false">Assumptions!D42</f>
        <v>14.3</v>
      </c>
      <c r="E7" s="4" t="n">
        <f aca="false">Assumptions!E42</f>
        <v>14.6</v>
      </c>
      <c r="F7" s="4" t="n">
        <f aca="false">Assumptions!F42</f>
        <v>14.8</v>
      </c>
      <c r="G7" s="4" t="n">
        <f aca="false">Assumptions!G42</f>
        <v>15</v>
      </c>
      <c r="H7" s="4" t="n">
        <f aca="false">Assumptions!H42</f>
        <v>15</v>
      </c>
      <c r="I7" s="4" t="n">
        <f aca="false">Assumptions!I42</f>
        <v>15</v>
      </c>
      <c r="J7" s="4" t="n">
        <f aca="false">Assumptions!J42</f>
        <v>15</v>
      </c>
      <c r="K7" s="4" t="n">
        <f aca="false">Assumptions!K42</f>
        <v>15</v>
      </c>
      <c r="L7" s="4" t="n">
        <f aca="false">Assumptions!L42</f>
        <v>15</v>
      </c>
    </row>
    <row r="8" customFormat="false" ht="15" hidden="false" customHeight="false" outlineLevel="0" collapsed="false">
      <c r="A8" s="0" t="s">
        <v>44</v>
      </c>
      <c r="C8" s="0" t="n">
        <f aca="false">C6*C7/100</f>
        <v>399.3462648</v>
      </c>
      <c r="D8" s="0" t="n">
        <f aca="false">D6*D7/100</f>
        <v>440.5359795408</v>
      </c>
      <c r="E8" s="0" t="n">
        <f aca="false">E6*E7/100</f>
        <v>481.262452614432</v>
      </c>
      <c r="F8" s="0" t="n">
        <f aca="false">F6*F7/100</f>
        <v>517.126394288713</v>
      </c>
      <c r="G8" s="0" t="n">
        <f aca="false">G6*G7/100</f>
        <v>552.940891190465</v>
      </c>
      <c r="H8" s="0" t="n">
        <f aca="false">H6*H7/100</f>
        <v>580.587935749988</v>
      </c>
      <c r="I8" s="0" t="n">
        <f aca="false">I6*I7/100</f>
        <v>603.811453179988</v>
      </c>
      <c r="J8" s="0" t="n">
        <f aca="false">J6*J7/100</f>
        <v>624.944854041288</v>
      </c>
      <c r="K8" s="0" t="n">
        <f aca="false">K6*K7/100</f>
        <v>643.693199662526</v>
      </c>
      <c r="L8" s="0" t="n">
        <f aca="false">L6*L7/100</f>
        <v>663.003995652402</v>
      </c>
    </row>
    <row r="9" customFormat="false" ht="15" hidden="false" customHeight="false" outlineLevel="0" collapsed="false">
      <c r="A9" s="0" t="s">
        <v>98</v>
      </c>
      <c r="C9" s="4" t="n">
        <f aca="false">Assumptions!C43</f>
        <v>0</v>
      </c>
      <c r="D9" s="4" t="n">
        <f aca="false">Assumptions!D43</f>
        <v>0</v>
      </c>
      <c r="E9" s="4" t="n">
        <f aca="false">Assumptions!E43</f>
        <v>0</v>
      </c>
      <c r="F9" s="4" t="n">
        <f aca="false">Assumptions!F43</f>
        <v>0</v>
      </c>
      <c r="G9" s="4" t="n">
        <f aca="false">Assumptions!G43</f>
        <v>0</v>
      </c>
      <c r="H9" s="4" t="n">
        <f aca="false">Assumptions!H43</f>
        <v>0</v>
      </c>
      <c r="I9" s="4" t="n">
        <f aca="false">Assumptions!I43</f>
        <v>0</v>
      </c>
      <c r="J9" s="4" t="n">
        <f aca="false">Assumptions!J43</f>
        <v>0</v>
      </c>
      <c r="K9" s="4" t="n">
        <f aca="false">Assumptions!K43</f>
        <v>0</v>
      </c>
      <c r="L9" s="4" t="n">
        <f aca="false">Assumptions!L43</f>
        <v>0</v>
      </c>
    </row>
    <row r="10" customFormat="false" ht="15" hidden="false" customHeight="false" outlineLevel="0" collapsed="false">
      <c r="A10" s="0" t="s">
        <v>113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114</v>
      </c>
      <c r="C11" s="0" t="n">
        <f aca="false">C8+C10+C24</f>
        <v>377.9527149</v>
      </c>
      <c r="D11" s="0" t="n">
        <f aca="false">D8+D10+D24</f>
        <v>417.4309456488</v>
      </c>
      <c r="E11" s="0" t="n">
        <f aca="false">E8+E10+E24</f>
        <v>456.540066349992</v>
      </c>
      <c r="F11" s="0" t="n">
        <f aca="false">F8+F10+F24</f>
        <v>490.920664848407</v>
      </c>
      <c r="G11" s="0" t="n">
        <f aca="false">G8+G10+G24</f>
        <v>525.293846630942</v>
      </c>
      <c r="H11" s="0" t="n">
        <f aca="false">H8+H10+H24</f>
        <v>551.558538962489</v>
      </c>
      <c r="I11" s="0" t="n">
        <f aca="false">I8+I10+I24</f>
        <v>573.620880520989</v>
      </c>
      <c r="J11" s="0" t="n">
        <f aca="false">J8+J10+J24</f>
        <v>593.697611339223</v>
      </c>
      <c r="K11" s="0" t="n">
        <f aca="false">K8+K10+K24</f>
        <v>611.5085396794</v>
      </c>
      <c r="L11" s="0" t="n">
        <f aca="false">L8+L10+L24</f>
        <v>629.853795869782</v>
      </c>
    </row>
    <row r="12" customFormat="false" ht="15" hidden="false" customHeight="false" outlineLevel="0" collapsed="false">
      <c r="A12" s="0" t="s">
        <v>115</v>
      </c>
      <c r="C12" s="4" t="n">
        <f aca="false">-C6*Assumptions!C45/100</f>
        <v>-71.311833</v>
      </c>
      <c r="D12" s="4" t="n">
        <f aca="false">-D6*Assumptions!D45/100</f>
        <v>-80.0974508256</v>
      </c>
      <c r="E12" s="4" t="n">
        <f aca="false">-E6*Assumptions!E45/100</f>
        <v>-89.000590551984</v>
      </c>
      <c r="F12" s="4" t="n">
        <f aca="false">-F6*Assumptions!F45/100</f>
        <v>-97.8347232438106</v>
      </c>
      <c r="G12" s="4" t="n">
        <f aca="false">-G6*Assumptions!G45/100</f>
        <v>-103.21563302222</v>
      </c>
      <c r="H12" s="4" t="n">
        <f aca="false">-H6*Assumptions!H45/100</f>
        <v>-108.376414673331</v>
      </c>
      <c r="I12" s="4" t="n">
        <f aca="false">-I6*Assumptions!I45/100</f>
        <v>-112.711471260264</v>
      </c>
      <c r="J12" s="4" t="n">
        <f aca="false">-J6*Assumptions!J45/100</f>
        <v>-116.656372754374</v>
      </c>
      <c r="K12" s="4" t="n">
        <f aca="false">-K6*Assumptions!K45/100</f>
        <v>-120.156063937005</v>
      </c>
      <c r="L12" s="4" t="n">
        <f aca="false">-L6*Assumptions!L45/100</f>
        <v>-123.760745855115</v>
      </c>
    </row>
    <row r="13" customFormat="false" ht="15" hidden="false" customHeight="false" outlineLevel="0" collapsed="false">
      <c r="A13" s="0" t="s">
        <v>116</v>
      </c>
      <c r="C13" s="0" t="n">
        <f aca="false">C11+C12</f>
        <v>306.6408819</v>
      </c>
      <c r="D13" s="0" t="n">
        <f aca="false">D11+D12</f>
        <v>337.3334948232</v>
      </c>
      <c r="E13" s="0" t="n">
        <f aca="false">E11+E12</f>
        <v>367.539475798008</v>
      </c>
      <c r="F13" s="0" t="n">
        <f aca="false">F11+F12</f>
        <v>393.085941604596</v>
      </c>
      <c r="G13" s="0" t="n">
        <f aca="false">G11+G12</f>
        <v>422.078213608722</v>
      </c>
      <c r="H13" s="0" t="n">
        <f aca="false">H11+H12</f>
        <v>443.182124289158</v>
      </c>
      <c r="I13" s="0" t="n">
        <f aca="false">I11+I12</f>
        <v>460.909409260724</v>
      </c>
      <c r="J13" s="0" t="n">
        <f aca="false">J11+J12</f>
        <v>477.04123858485</v>
      </c>
      <c r="K13" s="0" t="n">
        <f aca="false">K11+K12</f>
        <v>491.352475742395</v>
      </c>
      <c r="L13" s="0" t="n">
        <f aca="false">L11+L12</f>
        <v>506.093050014667</v>
      </c>
    </row>
    <row r="14" customFormat="false" ht="15" hidden="false" customHeight="false" outlineLevel="0" collapsed="false">
      <c r="A14" s="0" t="s">
        <v>102</v>
      </c>
      <c r="C14" s="4" t="n">
        <f aca="false">Assumptions!C47</f>
        <v>19</v>
      </c>
      <c r="D14" s="4" t="n">
        <f aca="false">Assumptions!D47</f>
        <v>19</v>
      </c>
      <c r="E14" s="4" t="n">
        <f aca="false">Assumptions!E47</f>
        <v>19</v>
      </c>
      <c r="F14" s="4" t="n">
        <f aca="false">Assumptions!F47</f>
        <v>19</v>
      </c>
      <c r="G14" s="4" t="n">
        <f aca="false">Assumptions!G47</f>
        <v>19</v>
      </c>
      <c r="H14" s="4" t="n">
        <f aca="false">Assumptions!H47</f>
        <v>19</v>
      </c>
      <c r="I14" s="4" t="n">
        <f aca="false">Assumptions!I47</f>
        <v>19</v>
      </c>
      <c r="J14" s="4" t="n">
        <f aca="false">Assumptions!J47</f>
        <v>19</v>
      </c>
      <c r="K14" s="4" t="n">
        <f aca="false">Assumptions!K47</f>
        <v>19</v>
      </c>
      <c r="L14" s="4" t="n">
        <f aca="false">Assumptions!L47</f>
        <v>19</v>
      </c>
    </row>
    <row r="15" customFormat="false" ht="15" hidden="false" customHeight="false" outlineLevel="0" collapsed="false">
      <c r="A15" s="0" t="s">
        <v>117</v>
      </c>
      <c r="C15" s="0" t="n">
        <f aca="false">C13-MAX(0,C13)*C14/100</f>
        <v>248.379114339</v>
      </c>
      <c r="D15" s="0" t="n">
        <f aca="false">D13-MAX(0,D13)*D14/100</f>
        <v>273.240130806792</v>
      </c>
      <c r="E15" s="0" t="n">
        <f aca="false">E13-MAX(0,E13)*E14/100</f>
        <v>297.706975396387</v>
      </c>
      <c r="F15" s="0" t="n">
        <f aca="false">F13-MAX(0,F13)*F14/100</f>
        <v>318.399612699723</v>
      </c>
      <c r="G15" s="0" t="n">
        <f aca="false">G13-MAX(0,G13)*G14/100</f>
        <v>341.883353023065</v>
      </c>
      <c r="H15" s="0" t="n">
        <f aca="false">H13-MAX(0,H13)*H14/100</f>
        <v>358.977520674218</v>
      </c>
      <c r="I15" s="0" t="n">
        <f aca="false">I13-MAX(0,I13)*I14/100</f>
        <v>373.336621501187</v>
      </c>
      <c r="J15" s="0" t="n">
        <f aca="false">J13-MAX(0,J13)*J14/100</f>
        <v>386.403403253728</v>
      </c>
      <c r="K15" s="0" t="n">
        <f aca="false">K13-MAX(0,K13)*K14/100</f>
        <v>397.99550535134</v>
      </c>
      <c r="L15" s="0" t="n">
        <f aca="false">L13-MAX(0,L13)*L14/100</f>
        <v>409.93537051188</v>
      </c>
    </row>
    <row r="16" customFormat="false" ht="15" hidden="false" customHeight="false" outlineLevel="0" collapsed="false">
      <c r="A16" s="0" t="s">
        <v>118</v>
      </c>
      <c r="C16" s="0" t="n">
        <f aca="false">-C12</f>
        <v>71.311833</v>
      </c>
      <c r="D16" s="0" t="n">
        <f aca="false">-D12</f>
        <v>80.0974508256</v>
      </c>
      <c r="E16" s="0" t="n">
        <f aca="false">-E12</f>
        <v>89.000590551984</v>
      </c>
      <c r="F16" s="0" t="n">
        <f aca="false">-F12</f>
        <v>97.8347232438106</v>
      </c>
      <c r="G16" s="0" t="n">
        <f aca="false">-G12</f>
        <v>103.21563302222</v>
      </c>
      <c r="H16" s="0" t="n">
        <f aca="false">-H12</f>
        <v>108.376414673331</v>
      </c>
      <c r="I16" s="0" t="n">
        <f aca="false">-I12</f>
        <v>112.711471260264</v>
      </c>
      <c r="J16" s="0" t="n">
        <f aca="false">-J12</f>
        <v>116.656372754374</v>
      </c>
      <c r="K16" s="0" t="n">
        <f aca="false">-K12</f>
        <v>120.156063937005</v>
      </c>
      <c r="L16" s="0" t="n">
        <f aca="false">-L12</f>
        <v>123.760745855115</v>
      </c>
    </row>
    <row r="17" customFormat="false" ht="15" hidden="false" customHeight="false" outlineLevel="0" collapsed="false">
      <c r="A17" s="0" t="s">
        <v>119</v>
      </c>
      <c r="C17" s="4" t="n">
        <f aca="false">-C6*Assumptions!C46/100</f>
        <v>-213.935499</v>
      </c>
      <c r="D17" s="4" t="n">
        <f aca="false">-D6*Assumptions!D46/100</f>
        <v>-200.243627064</v>
      </c>
      <c r="E17" s="4" t="n">
        <f aca="false">-E6*Assumptions!E46/100</f>
        <v>-181.29749927256</v>
      </c>
      <c r="F17" s="4" t="n">
        <f aca="false">-F6*Assumptions!F46/100</f>
        <v>-157.234376641838</v>
      </c>
      <c r="G17" s="4" t="n">
        <f aca="false">-G6*Assumptions!G46/100</f>
        <v>-147.450904317457</v>
      </c>
      <c r="H17" s="4" t="n">
        <f aca="false">-H6*Assumptions!H46/100</f>
        <v>-139.341104579997</v>
      </c>
      <c r="I17" s="4" t="n">
        <f aca="false">-I6*Assumptions!I46/100</f>
        <v>-136.863929387464</v>
      </c>
      <c r="J17" s="4" t="n">
        <f aca="false">-J6*Assumptions!J46/100</f>
        <v>-137.487867889083</v>
      </c>
      <c r="K17" s="4" t="n">
        <f aca="false">-K6*Assumptions!K46/100</f>
        <v>-141.612503925756</v>
      </c>
      <c r="L17" s="4" t="n">
        <f aca="false">-L6*Assumptions!L46/100</f>
        <v>-145.860879043528</v>
      </c>
    </row>
    <row r="18" customFormat="false" ht="15" hidden="false" customHeight="false" outlineLevel="0" collapsed="false">
      <c r="A18" s="0" t="s">
        <v>120</v>
      </c>
      <c r="C18" s="4" t="n">
        <f aca="false">(C6-B6)*Assumptions!$B$51/100</f>
        <v>-27.4682616</v>
      </c>
      <c r="D18" s="4" t="n">
        <f aca="false">(D6-C6)*Assumptions!$B$51/100</f>
        <v>-29.665722528</v>
      </c>
      <c r="E18" s="4" t="n">
        <f aca="false">(E6-D6)*Assumptions!$B$51/100</f>
        <v>-28.03410778896</v>
      </c>
      <c r="F18" s="4" t="n">
        <f aca="false">(F6-E6)*Assumptions!$B$51/100</f>
        <v>-25.7112817150177</v>
      </c>
      <c r="G18" s="4" t="n">
        <f aca="false">(G6-F6)*Assumptions!$B$51/100</f>
        <v>-24.9827953997588</v>
      </c>
      <c r="H18" s="4" t="n">
        <f aca="false">(H6-G6)*Assumptions!$B$51/100</f>
        <v>-23.9607719515868</v>
      </c>
      <c r="I18" s="4" t="n">
        <f aca="false">(I6-H6)*Assumptions!$B$51/100</f>
        <v>-20.127048439333</v>
      </c>
      <c r="J18" s="4" t="n">
        <f aca="false">(J6-I6)*Assumptions!$B$51/100</f>
        <v>-18.315614079793</v>
      </c>
      <c r="K18" s="4" t="n">
        <f aca="false">(K6-J6)*Assumptions!$B$51/100</f>
        <v>-16.2485662050735</v>
      </c>
      <c r="L18" s="4" t="n">
        <f aca="false">(L6-K6)*Assumptions!$B$51/100</f>
        <v>-16.7360231912257</v>
      </c>
    </row>
    <row r="19" customFormat="false" ht="15" hidden="false" customHeight="false" outlineLevel="0" collapsed="false">
      <c r="A19" s="0" t="s">
        <v>121</v>
      </c>
      <c r="C19" s="0" t="n">
        <f aca="false">C15+C16+C17+C18</f>
        <v>78.287186739</v>
      </c>
      <c r="D19" s="0" t="n">
        <f aca="false">D15+D16+D17+D18</f>
        <v>123.428232040392</v>
      </c>
      <c r="E19" s="0" t="n">
        <f aca="false">E15+E16+E17+E18</f>
        <v>177.375958886851</v>
      </c>
      <c r="F19" s="0" t="n">
        <f aca="false">F15+F16+F17+F18</f>
        <v>233.288677586677</v>
      </c>
      <c r="G19" s="0" t="n">
        <f aca="false">G15+G16+G17+G18</f>
        <v>272.665286328069</v>
      </c>
      <c r="H19" s="0" t="n">
        <f aca="false">H15+H16+H17+H18</f>
        <v>304.052058815965</v>
      </c>
      <c r="I19" s="0" t="n">
        <f aca="false">I15+I16+I17+I18</f>
        <v>329.057114934654</v>
      </c>
      <c r="J19" s="0" t="n">
        <f aca="false">J15+J16+J17+J18</f>
        <v>347.256294039226</v>
      </c>
      <c r="K19" s="0" t="n">
        <f aca="false">K15+K16+K17+K18</f>
        <v>360.290499157516</v>
      </c>
      <c r="L19" s="0" t="n">
        <f aca="false">L15+L16+L17+L18</f>
        <v>371.099214132241</v>
      </c>
    </row>
    <row r="20" customFormat="false" ht="15" hidden="false" customHeight="false" outlineLevel="0" collapsed="false">
      <c r="A20" s="0" t="s">
        <v>122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123</v>
      </c>
      <c r="C21" s="0" t="n">
        <f aca="false">C19*C20</f>
        <v>71.1701697627273</v>
      </c>
      <c r="D21" s="0" t="n">
        <f aca="false">D19*D20</f>
        <v>102.006803339167</v>
      </c>
      <c r="E21" s="0" t="n">
        <f aca="false">E19*E20</f>
        <v>133.265183235801</v>
      </c>
      <c r="F21" s="0" t="n">
        <f aca="false">F19*F20</f>
        <v>159.339305776024</v>
      </c>
      <c r="G21" s="0" t="n">
        <f aca="false">G19*G20</f>
        <v>169.303690339128</v>
      </c>
      <c r="H21" s="0" t="n">
        <f aca="false">H19*H20</f>
        <v>171.62946058079</v>
      </c>
      <c r="I21" s="0" t="n">
        <f aca="false">I19*I20</f>
        <v>168.858329890292</v>
      </c>
      <c r="J21" s="0" t="n">
        <f aca="false">J19*J20</f>
        <v>161.99762399358</v>
      </c>
      <c r="K21" s="0" t="n">
        <f aca="false">K19*K20</f>
        <v>152.798342614936</v>
      </c>
      <c r="L21" s="0" t="n">
        <f aca="false">L19*L20</f>
        <v>143.074811721258</v>
      </c>
    </row>
    <row r="23" customFormat="false" ht="15" hidden="false" customHeight="false" outlineLevel="0" collapsed="false">
      <c r="A23" s="0" t="s">
        <v>99</v>
      </c>
      <c r="C23" s="4" t="n">
        <f aca="false">Assumptions!C44</f>
        <v>0.75</v>
      </c>
      <c r="D23" s="4" t="n">
        <f aca="false">Assumptions!D44</f>
        <v>0.75</v>
      </c>
      <c r="E23" s="4" t="n">
        <f aca="false">Assumptions!E44</f>
        <v>0.75</v>
      </c>
      <c r="F23" s="4" t="n">
        <f aca="false">Assumptions!F44</f>
        <v>0.75</v>
      </c>
      <c r="G23" s="4" t="n">
        <f aca="false">Assumptions!G44</f>
        <v>0.75</v>
      </c>
      <c r="H23" s="4" t="n">
        <f aca="false">Assumptions!H44</f>
        <v>0.75</v>
      </c>
      <c r="I23" s="4" t="n">
        <f aca="false">Assumptions!I44</f>
        <v>0.75</v>
      </c>
      <c r="J23" s="4" t="n">
        <f aca="false">Assumptions!J44</f>
        <v>0.75</v>
      </c>
      <c r="K23" s="4" t="n">
        <f aca="false">Assumptions!K44</f>
        <v>0.75</v>
      </c>
      <c r="L23" s="4" t="n">
        <f aca="false">Assumptions!L44</f>
        <v>0.75</v>
      </c>
    </row>
    <row r="24" customFormat="false" ht="15" hidden="false" customHeight="false" outlineLevel="0" collapsed="false">
      <c r="A24" s="0" t="s">
        <v>124</v>
      </c>
      <c r="C24" s="0" t="n">
        <f aca="false">-C6*C23/100</f>
        <v>-21.3935499</v>
      </c>
      <c r="D24" s="0" t="n">
        <f aca="false">-D6*D23/100</f>
        <v>-23.105033892</v>
      </c>
      <c r="E24" s="0" t="n">
        <f aca="false">-E6*E23/100</f>
        <v>-24.72238626444</v>
      </c>
      <c r="F24" s="0" t="n">
        <f aca="false">-F6*F23/100</f>
        <v>-26.2057294403064</v>
      </c>
      <c r="G24" s="0" t="n">
        <f aca="false">-G6*G23/100</f>
        <v>-27.6470445595233</v>
      </c>
      <c r="H24" s="0" t="n">
        <f aca="false">-H6*H23/100</f>
        <v>-29.0293967874994</v>
      </c>
      <c r="I24" s="0" t="n">
        <f aca="false">-I6*I23/100</f>
        <v>-30.1905726589994</v>
      </c>
      <c r="J24" s="0" t="n">
        <f aca="false">-J6*J23/100</f>
        <v>-31.2472427020644</v>
      </c>
      <c r="K24" s="0" t="n">
        <f aca="false">-K6*K23/100</f>
        <v>-32.1846599831263</v>
      </c>
      <c r="L24" s="0" t="n">
        <f aca="false">-L6*L23/100</f>
        <v>-33.1501997826201</v>
      </c>
    </row>
    <row r="26" customFormat="false" ht="15" hidden="false" customHeight="false" outlineLevel="0" collapsed="false">
      <c r="A26" s="2" t="s">
        <v>125</v>
      </c>
    </row>
    <row r="27" customFormat="false" ht="15" hidden="false" customHeight="false" outlineLevel="0" collapsed="false">
      <c r="A27" s="0" t="s">
        <v>103</v>
      </c>
      <c r="B27" s="4" t="n">
        <f aca="false">Assumptions!$B$48</f>
        <v>10</v>
      </c>
    </row>
    <row r="28" customFormat="false" ht="15" hidden="false" customHeight="false" outlineLevel="0" collapsed="false">
      <c r="A28" s="0" t="s">
        <v>104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105</v>
      </c>
      <c r="B29" s="4" t="n">
        <f aca="false">Assumptions!$B$50</f>
        <v>13</v>
      </c>
    </row>
    <row r="30" customFormat="false" ht="15" hidden="false" customHeight="false" outlineLevel="0" collapsed="false">
      <c r="A30" s="0" t="s">
        <v>126</v>
      </c>
      <c r="B30" s="0" t="n">
        <f aca="false">SUM(C21:L21)</f>
        <v>1433.4437212537</v>
      </c>
    </row>
    <row r="31" customFormat="false" ht="15" hidden="false" customHeight="false" outlineLevel="0" collapsed="false">
      <c r="A31" s="0" t="s">
        <v>127</v>
      </c>
      <c r="B31" s="0" t="n">
        <f aca="false">L19</f>
        <v>371.099214132241</v>
      </c>
    </row>
    <row r="32" customFormat="false" ht="15" hidden="false" customHeight="false" outlineLevel="0" collapsed="false">
      <c r="A32" s="0" t="s">
        <v>128</v>
      </c>
      <c r="B32" s="0" t="n">
        <f aca="false">IF(B27&gt;B28,B31*(1+B28/100)/((B27-B28)/100),B31*B29)</f>
        <v>5460.45986508869</v>
      </c>
    </row>
    <row r="33" customFormat="false" ht="15" hidden="false" customHeight="false" outlineLevel="0" collapsed="false">
      <c r="A33" s="0" t="s">
        <v>129</v>
      </c>
      <c r="B33" s="0" t="n">
        <f aca="false">B31*B29</f>
        <v>4824.28978371913</v>
      </c>
    </row>
    <row r="34" customFormat="false" ht="15" hidden="false" customHeight="false" outlineLevel="0" collapsed="false">
      <c r="A34" s="0" t="s">
        <v>130</v>
      </c>
      <c r="B34" s="0" t="n">
        <f aca="false">MAX(0,MIN(B32,B33))</f>
        <v>4824.28978371913</v>
      </c>
    </row>
    <row r="35" customFormat="false" ht="15" hidden="false" customHeight="false" outlineLevel="0" collapsed="false">
      <c r="A35" s="0" t="s">
        <v>131</v>
      </c>
      <c r="B35" s="0" t="n">
        <f aca="false">B34/(1+B27/100)^L4</f>
        <v>1859.97255237636</v>
      </c>
    </row>
    <row r="36" customFormat="false" ht="15" hidden="false" customHeight="false" outlineLevel="0" collapsed="false">
      <c r="A36" s="0" t="s">
        <v>132</v>
      </c>
      <c r="B36" s="0" t="n">
        <f aca="false">B30+B35</f>
        <v>3293.41627363006</v>
      </c>
    </row>
    <row r="37" customFormat="false" ht="15" hidden="false" customHeight="false" outlineLevel="0" collapsed="false">
      <c r="A37" s="0" t="s">
        <v>133</v>
      </c>
      <c r="B37" s="0" t="n">
        <f aca="false">B36+Assumptions!$B$5-Assumptions!$B$4</f>
        <v>3675.75227363006</v>
      </c>
    </row>
    <row r="38" customFormat="false" ht="15" hidden="false" customHeight="false" outlineLevel="0" collapsed="false">
      <c r="A38" s="0" t="s">
        <v>134</v>
      </c>
      <c r="B38" s="0" t="n">
        <f aca="false">B37/Assumptions!$B$3*Assumptions!$B$10</f>
        <v>10.1117196475004</v>
      </c>
    </row>
    <row r="39" customFormat="false" ht="15" hidden="false" customHeight="false" outlineLevel="0" collapsed="false">
      <c r="A39" s="0" t="s">
        <v>135</v>
      </c>
      <c r="B39" s="4" t="n">
        <f aca="false">B38/Assumptions!$B$2-1</f>
        <v>0.348229286333385</v>
      </c>
    </row>
    <row r="41" customFormat="false" ht="15" hidden="false" customHeight="false" outlineLevel="0" collapsed="false">
      <c r="A41" s="0" t="s">
        <v>136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137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138</v>
      </c>
      <c r="B43" s="0" t="n">
        <f aca="false">(B37+B41+B42)/Assumptions!$B$3*Assumptions!$B$10</f>
        <v>10.1117196475004</v>
      </c>
    </row>
    <row r="45" customFormat="false" ht="15" hidden="false" customHeight="false" outlineLevel="0" collapsed="false">
      <c r="A45" s="0" t="s">
        <v>79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139</v>
      </c>
      <c r="B46" s="0" t="n">
        <f aca="false">MAX(0,MIN(IF(B45&gt;B28,B31*(1+B28/100)/((B45-B28)/100),B31*B29),B31*B29))</f>
        <v>3185.26825463507</v>
      </c>
    </row>
    <row r="47" customFormat="false" ht="15" hidden="false" customHeight="false" outlineLevel="0" collapsed="false">
      <c r="A47" s="0" t="s">
        <v>140</v>
      </c>
      <c r="B47" s="0" t="n">
        <f aca="false">(SUMPRODUCT(C19:L19/(1+B45/100)^C4:L4)+B46/(1+B45/100)^L4+Assumptions!$B$5-Assumptions!$B$4)/Assumptions!$B$3*Assumptions!$B$10</f>
        <v>6.27069417139584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143</v>
      </c>
    </row>
    <row r="3" customFormat="false" ht="15" hidden="false" customHeight="false" outlineLevel="0" collapsed="false">
      <c r="A3" s="2" t="s">
        <v>144</v>
      </c>
      <c r="B3" s="2" t="s">
        <v>145</v>
      </c>
      <c r="C3" s="2" t="s">
        <v>135</v>
      </c>
      <c r="D3" s="2" t="s">
        <v>146</v>
      </c>
      <c r="E3" s="2" t="s">
        <v>138</v>
      </c>
      <c r="F3" s="2" t="s">
        <v>147</v>
      </c>
    </row>
    <row r="4" customFormat="false" ht="15" hidden="false" customHeight="false" outlineLevel="0" collapsed="false">
      <c r="A4" s="0" t="s">
        <v>148</v>
      </c>
      <c r="B4" s="4" t="n">
        <f aca="false">DCF_Bear!$B$38</f>
        <v>6.06567951762907</v>
      </c>
      <c r="C4" s="0" t="n">
        <f aca="false">B4/Assumptions!$B$2-1</f>
        <v>-0.19124273098279</v>
      </c>
      <c r="D4" s="4" t="n">
        <f aca="false">Assumptions!$B$24</f>
        <v>0.25</v>
      </c>
      <c r="E4" s="4" t="n">
        <f aca="false">DCF_Bear!$B$43</f>
        <v>6.06567951762907</v>
      </c>
      <c r="F4" s="4" t="n">
        <f aca="false">DCF_Bear!$B$47</f>
        <v>4.22408968686047</v>
      </c>
    </row>
    <row r="5" customFormat="false" ht="15" hidden="false" customHeight="false" outlineLevel="0" collapsed="false">
      <c r="A5" s="0" t="s">
        <v>149</v>
      </c>
      <c r="B5" s="4" t="n">
        <f aca="false">DCF_Base!$B$38</f>
        <v>8.37418586610219</v>
      </c>
      <c r="C5" s="0" t="n">
        <f aca="false">B5/Assumptions!$B$2-1</f>
        <v>0.116558115480292</v>
      </c>
      <c r="D5" s="4" t="n">
        <f aca="false">Assumptions!$B$38</f>
        <v>0.5</v>
      </c>
      <c r="E5" s="4" t="n">
        <f aca="false">DCF_Base!$B$43</f>
        <v>8.37418586610219</v>
      </c>
      <c r="F5" s="4" t="n">
        <f aca="false">DCF_Base!$B$47</f>
        <v>5.45447833086887</v>
      </c>
    </row>
    <row r="6" customFormat="false" ht="15" hidden="false" customHeight="false" outlineLevel="0" collapsed="false">
      <c r="A6" s="0" t="s">
        <v>150</v>
      </c>
      <c r="B6" s="4" t="n">
        <f aca="false">DCF_Bull!$B$38</f>
        <v>10.1117196475004</v>
      </c>
      <c r="C6" s="0" t="n">
        <f aca="false">B6/Assumptions!$B$2-1</f>
        <v>0.348229286333385</v>
      </c>
      <c r="D6" s="4" t="n">
        <f aca="false">Assumptions!$B$52</f>
        <v>0.25</v>
      </c>
      <c r="E6" s="4" t="n">
        <f aca="false">DCF_Bull!$B$43</f>
        <v>10.1117196475004</v>
      </c>
      <c r="F6" s="4" t="n">
        <f aca="false">DCF_Bull!$B$47</f>
        <v>6.27069417139584</v>
      </c>
    </row>
    <row r="8" customFormat="false" ht="15" hidden="false" customHeight="false" outlineLevel="0" collapsed="false">
      <c r="A8" s="0" t="s">
        <v>151</v>
      </c>
      <c r="B8" s="0" t="n">
        <f aca="false">SUMPRODUCT(B4:B6,D4:D6)</f>
        <v>8.23144272433346</v>
      </c>
    </row>
    <row r="9" customFormat="false" ht="15" hidden="false" customHeight="false" outlineLevel="0" collapsed="false">
      <c r="A9" s="0" t="s">
        <v>152</v>
      </c>
      <c r="B9" s="0" t="n">
        <f aca="false">SUMPRODUCT(E4:E6,D4:D6)</f>
        <v>8.23144272433346</v>
      </c>
    </row>
    <row r="10" customFormat="false" ht="15" hidden="false" customHeight="false" outlineLevel="0" collapsed="false">
      <c r="A10" s="0" t="s">
        <v>153</v>
      </c>
      <c r="B10" s="0" t="n">
        <f aca="false">1-Assumptions!$B$2/B8</f>
        <v>0.0888596019955528</v>
      </c>
    </row>
    <row r="11" customFormat="false" ht="15" hidden="false" customHeight="false" outlineLevel="0" collapsed="false">
      <c r="A11" s="0" t="s">
        <v>154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155</v>
      </c>
      <c r="B12" s="0" t="n">
        <f aca="false">SUMPRODUCT(F4:F6,D4:D6)</f>
        <v>5.35093512999852</v>
      </c>
    </row>
    <row r="14" customFormat="false" ht="15" hidden="false" customHeight="false" outlineLevel="0" collapsed="false">
      <c r="A14" s="2" t="s">
        <v>156</v>
      </c>
      <c r="C14" s="0" t="s">
        <v>157</v>
      </c>
    </row>
    <row r="15" customFormat="false" ht="15" hidden="false" customHeight="false" outlineLevel="0" collapsed="false">
      <c r="A15" s="0" t="s">
        <v>158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8.92910089373853</v>
      </c>
      <c r="C15" s="3" t="n">
        <v>9</v>
      </c>
    </row>
    <row r="16" customFormat="false" ht="15" hidden="false" customHeight="false" outlineLevel="0" collapsed="false">
      <c r="A16" s="0" t="s">
        <v>159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8.37418586610219</v>
      </c>
      <c r="C16" s="3" t="n">
        <v>10</v>
      </c>
    </row>
    <row r="17" customFormat="false" ht="15" hidden="false" customHeight="false" outlineLevel="0" collapsed="false">
      <c r="A17" s="0" t="s">
        <v>160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7.86728371126474</v>
      </c>
      <c r="C17" s="3" t="n">
        <v>11</v>
      </c>
    </row>
    <row r="18" customFormat="false" ht="15" hidden="false" customHeight="false" outlineLevel="0" collapsed="false">
      <c r="A18" s="0" t="s">
        <v>161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7.08054750744968</v>
      </c>
      <c r="C18" s="3" t="n">
        <v>12</v>
      </c>
    </row>
    <row r="19" customFormat="false" ht="15" hidden="false" customHeight="false" outlineLevel="0" collapsed="false">
      <c r="A19" s="0" t="s">
        <v>162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5.45447833086887</v>
      </c>
      <c r="C19" s="3" t="n">
        <v>15</v>
      </c>
    </row>
    <row r="21" customFormat="false" ht="15" hidden="false" customHeight="false" outlineLevel="0" collapsed="false">
      <c r="A21" s="2" t="s">
        <v>163</v>
      </c>
    </row>
    <row r="22" customFormat="false" ht="15" hidden="false" customHeight="false" outlineLevel="0" collapsed="false">
      <c r="B22" s="3" t="n">
        <v>1.5</v>
      </c>
      <c r="C22" s="3" t="n">
        <v>2</v>
      </c>
      <c r="D22" s="3" t="n">
        <v>2.5</v>
      </c>
      <c r="E22" s="3" t="n">
        <v>3</v>
      </c>
      <c r="F22" s="3" t="n">
        <v>3.5</v>
      </c>
    </row>
    <row r="23" customFormat="false" ht="15" hidden="false" customHeight="false" outlineLevel="0" collapsed="false">
      <c r="A23" s="3" t="n">
        <v>8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9.53727922878199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9.53727922878199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9.53727922878199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9.53727922878199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9.53727922878199</v>
      </c>
    </row>
    <row r="24" customFormat="false" ht="15" hidden="false" customHeight="false" outlineLevel="0" collapsed="false">
      <c r="A24" s="3" t="n">
        <v>9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8.92910089373853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8.92910089373853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8.92910089373853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8.92910089373853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8.92910089373853</v>
      </c>
    </row>
    <row r="25" customFormat="false" ht="15" hidden="false" customHeight="false" outlineLevel="0" collapsed="false">
      <c r="A25" s="3" t="n">
        <v>10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8.35538180508795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8.37418586610219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8.37418586610219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8.37418586610219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8.37418586610219</v>
      </c>
    </row>
    <row r="26" customFormat="false" ht="15" hidden="false" customHeight="false" outlineLevel="0" collapsed="false">
      <c r="A26" s="3" t="n">
        <v>11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7.48306010447353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7.67261041715719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7.86728371126474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7.86728371126474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7.86728371126474</v>
      </c>
    </row>
    <row r="27" customFormat="false" ht="15" hidden="false" customHeight="false" outlineLevel="0" collapsed="false">
      <c r="A27" s="3" t="n">
        <v>12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6.78080225288876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6.92318124880519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7.08054750744968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7.25539890594355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7.40371036002317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2026-10-17T22:52:58Z</dcterms:created>
  <dc:creator>openpyxl</dc:creator>
  <dc:description/>
  <dc:language>en-NZ</dc:language>
  <cp:lastModifiedBy/>
  <dcterms:modified xsi:type="dcterms:W3CDTF">2026-10-17T22:52:58Z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