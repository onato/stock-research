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<sst xmlns="http://schemas.openxmlformats.org/spreadsheetml/2006/main" count="350" uniqueCount="162">
  <si>
    <t xml:space="preserve">Ticker</t>
  </si>
  <si>
    <t xml:space="preserve">FRAS.L</t>
  </si>
  <si>
    <t xml:space="preserve">Company</t>
  </si>
  <si>
    <t xml:space="preserve">Frasers Group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</si>
  <si>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</si>
  <si>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</si>
  <si>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</si>
  <si>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</si>
  <si>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2026-10-09T15:35:07Z regular LSE close (prior session; 52-week range 598.0-860.0)</t>
  </si>
  <si>
    <t xml:space="preserve">Balance sheet date</t>
  </si>
  <si>
    <t xml:space="preserve">2026-04-26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</si>
  <si>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</si>
  <si>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</si>
  <si>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</si>
  <si>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</si>
  <si>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</si>
  <si>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</si>
  <si>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</si>
  <si>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</si>
  <si>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</si>
  <si>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</si>
  <si>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</si>
  <si>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2026-10-09T23:26:53Z</t>
  </si>
  <si>
    <t xml:space="preserve">Drivers file</t>
  </si>
  <si>
    <t xml:space="preserve">FRAS.L_Drivers.json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</si>
  <si>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</si>
  <si>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</si>
  <si>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</si>
  <si>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Frasers is valued as a UK-led sports and premium-lifestyle retailer on the owner cash flows of the retail estate, with the strategic-stakes programme (Hugo Boss 47.89%, Accent, ASOS, Mulberry, Boohoo, derivatives) marked to market in the bridge rather than projected as earnings, and the post-year-end cash spent acquiring Hugo Boss shares deducted against it. Impairments, option premiums, mark-to-market gains and finance income are stripped from the flows; leases are charged in full as an operating cost (so lease liabilities are not debt); the share count is held flat with the small SBC charge expensed. The 14x terminal cap acknowledges a cyclical, discount-rated retailer that has rarely traded above ~6x EBITDA (the base case's implied terminal EV/EBITDA is ~5x), and the 15% hurdle entry price is built with its own terminal value at 15%. Broker targets span 750p (Shore, RBC) to 1,100p (Jefferies); the house weighted value sits inside that range.
key_risks_to_valuation: Hugo Boss: 47.89% owned at ~EUR 38 plus ~78% economic exposure via instruments, with the final offer closed and HB's boards having recommended rejection. The bridge carries the stake at market (EUR 37.97); a 20% fall in HB on the full economic exposure is roughly -£350m (-80p/share) and is not in any scenario's flows. Gaining control would instead require consolidating ~EUR 4bn of lower-margin, lease-heavy revenue -- a rebuild, not a driver tweak.; Derivative positions (sold puts, CFDs, total-return swap) on strategic stakes: fair value £366.9m liability at 26 April 2026; exercise at above-market strikes converts contingent exposure into cash outflow and FVOCI losses bypass the income statement.; UK consumer and sector inventory glut extending into FY27; no FY27 guidance from the Board; FY26 APBT missed guidance.; International acquisitions (XXL, Holdsport, Twinsport) taking longer to reach profitability -- £216.7m of goodwill was written off in FY26 within a year of acquisition.; Property acquisitions (£397m FY26, £370m July 2026) charged as capex: value depends on realised rental yields and the Property segment holding its margin; a further capex step-up without revenue would push base owner FCF below the modelled path.; Controlled governance (~73% Ashley via MASH Holdings, advisory role): related-party and capital-allocation decisions (stakes, property, no dividend) are made without a meaningful minority veto.; Interest-rate sensitivity: £1.65bn floating-rate bank debt (more after the HB purchases) plus £879m leases; each +100bp on WACC removes roughly 13% of the base equity value (1,061p -&gt; 926p).</t>
  </si>
  <si>
    <t xml:space="preserve">Data sources</t>
  </si>
  <si>
    <t xml:space="preserve">price: Yahoo Finance chart API at inputs.price_as_of (prior-session regular LSE close); 52-week range 598.0-860.0 GBp. Bridge marks: BOSS.DE, AX1.AX, EURGBP=X, AUDGBP=X, USDGBP=X via the same API, 2026-10-10.
financials: FRAS.L_Metrics.csv (export of core_metrics, GBP millions, FY2020-FY2026 plus 4 half-years, restated comparatives) and the FY2026 Annual Report text (FRAS.L_Annual_FY2026.txt): income statement 1095-1140, balance sheet 1205-1265, cash flow 1278-1340, segment/APBT reconciliation 2222-2245, PPE note 2541-2600, associates 845-862 and 2130-2160, lease interest 2349.
qualitative: FRAS.L_Analysis.json (2026-10-10: Hugo Boss/Accent offer status, Malaysia disposal, East Midlands/York property deal, FY27 guidance withdrawal, broker targets), FY2026 Annual Report strategic report and Outlook (lines 6-120, 213-290, 365-520), FY2026 results presentation (international 3-5 year plans, FY27 store targets).</t>
  </si>
  <si>
    <t xml:space="preserve">Scenario narrative: bear</t>
  </si>
  <si>
    <t xml:space="preserve">UK consumer weakness and sector-wide excess inventory persist through FY27 (APBT already missed the £550-600m FY26 guidance); Game UK, House of Fraser and wholesale continue to shrink, International losses from XXL/Twinsport/Holdsport fail to narrow and further goodwill is written off, and brand partners' own DTC discounting compresses gross margin. Revenue is flat for two years and margin settles at 16%. Balance-sheet capacity is absorbed by the ~£520m already spent on Hugo Boss plus ~78% economic exposure via instruments: with the offer final and closed, HB's share price loses its EUR 38 support and a 20-30% fall costs £250-400m of bridge value; sold puts on ASOS/Boohoo/Mulberry are exercised at above-market strikes; leverage climbs toward 3x and capex and lease intensity stay elevated.</t>
  </si>
  <si>
    <t xml:space="preserve">Scenario narrative: base</t>
  </si>
  <si>
    <t xml:space="preserve">Elevation Strategy continues to lift gross margin and brand-partner access (Nike, adidas, Hugo Boss) in UK Sports and Premium Lifestyle, while International (~30% of revenue) absorbs XXL and Holdsport with losses narrowing over FY27-FY28 and ~145 new stores a year. Revenue grows 3-3.5% near term, decelerating to 2% nominal; underlying post-IFRS-16 EBITDA margin dips to 17.8% in FY27 on integration drag, UK wage-cost inflation and a weak consumer exit rate, then recovers to 18.5%. Property acquisitions continue but taper from the FY26 peak; capex normalises to ~4.2% of revenue against 3.9% ex-lease D&amp;A. The Hugo Boss stake (47.89% after the offer closed) is carried at market in the bridge with the EUR 38 purchase cost deducted and no earnings credit; Frasers neither controls nor consolidates HB in this case.</t>
  </si>
  <si>
    <t xml:space="preserve">Scenario narrative: bull</t>
  </si>
  <si>
    <t xml:space="preserve">Luxury 'green shoots' and brand-partner momentum convert Flannels and the Premium Lifestyle estate back to growth; the Nordics (XXL) and South Africa reach the 3-5 year plan targets (XXL back to profitability, Holdsport +10% EBITDA) and the 145-store international rollout compounds at 5-6% group revenue growth; Frasers Plus scales toward its £1bn sales / £600m balances / 2m customers targets with a &gt;15% yield, and the Visa partnership adds fee income. EBITDA margin reaches 19.5% by FY31, capex falls toward 4%, and 8-20% property yields on the owned outlet estate are realised. Hugo Boss re-rates above the EUR 38 entry price, or Frasers gains control and the associate becomes an accretive consolidated business.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</si>
  <si>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</si>
  <si>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</si>
  <si>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</si>
  <si>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</si>
  <si>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</si>
  <si>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</si>
  <si>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</si>
  <si>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</si>
  <si>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</si>
  <si>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</si>
  <si>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</si>
  <si>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</si>
  <si>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</si>
  <si>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</si>
  <si>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</si>
  <si>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</si>
  <si>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</si>
  <si>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</si>
  <si>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</si>
  <si>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</si>
  <si>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</si>
  <si>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</si>
  <si>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</si>
  <si>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</si>
  <si>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</si>
  <si>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</si>
  <si>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</si>
  <si>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</si>
  <si>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</si>
  <si>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</si>
  <si>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</si>
  <si>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</si>
  <si>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</si>
  <si>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</si>
  <si>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</si>
  <si>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</si>
  <si>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</si>
  <si>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</si>
  <si>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</si>
  <si>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</si>
  <si>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</si>
  <si>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</si>
  <si>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</si>
  <si>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</si>
  <si>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</si>
  <si>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</si>
  <si>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</si>
  <si>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</si>
  <si>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</si>
  <si>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</si>
  <si>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</si>
  <si>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</si>
  <si>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</si>
  <si>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</si>
  <si>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</si>
  <si>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</si>
  <si>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</si>
  <si>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</si>
  <si>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</si>
  <si>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</si>
  <si>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</si>
  <si>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</si>
  <si>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</si>
  <si>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</si>
  <si>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</si>
  <si>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</si>
  <si>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</si>
  <si>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</si>
  <si>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</si>
  <si>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</si>
  <si>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</si>
  <si>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FRAS.L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</si>
  <si>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</si>
  <si>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</si>
  <si>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</si>
  <si>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</si>
  <si>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</si>
  <si>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</si>
  <si>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</si>
  <si>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</si>
  <si>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</si>
  <si>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</si>
  <si>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</si>
  <si>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</si>
  <si>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</si>
  <si>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</si>
  <si>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</si>
  <si>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</si>
  <si>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</si>
  <si>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</si>
  <si>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</si>
  <si>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</si>
  <si>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</si>
  <si>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</si>
  <si>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</si>
  <si>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</si>
  <si>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</si>
  <si>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</si>
  <si>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</si>
  <si>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</si>
  <si>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</si>
  <si>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</si>
  <si>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FRAS.L owner-FCF component DCF: base case (millions, GBP)</t>
  </si>
  <si>
    <t xml:space="preserve">FRAS.L owner-FCF component DCF: bull case (millions, GBP)</t>
  </si>
  <si>
    <t xml:space="preserve">FRAS.L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</si>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</sst>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838.5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3957.4</v>
      </c>
      <c r="C2" s="0" t="n">
        <v>2294.8</v>
      </c>
      <c r="D2" s="0" t="n">
        <v>1662.6</v>
      </c>
      <c r="E2" s="0" t="n">
        <v>42</v>
      </c>
      <c r="F2" s="0" t="n">
        <v>171.9</v>
      </c>
      <c r="G2" s="0" t="n">
        <v>4.3</v>
      </c>
      <c r="H2" s="0" t="n">
        <v>570.7</v>
      </c>
      <c r="I2" s="0" t="n">
        <v>93.8</v>
      </c>
      <c r="J2" s="0" t="n">
        <v>2.4</v>
      </c>
      <c r="K2" s="0" t="n">
        <v>0.185</v>
      </c>
      <c r="L2" s="0" t="n">
        <v>376.7</v>
      </c>
      <c r="M2" s="0" t="n">
        <v>323.5</v>
      </c>
      <c r="N2" s="0" t="n">
        <v>53.2</v>
      </c>
      <c r="O2" s="0" t="n">
        <v>1267.3</v>
      </c>
      <c r="P2" s="0" t="n">
        <v>3868.2</v>
      </c>
      <c r="Q2" s="0" t="n">
        <v>2587.9</v>
      </c>
      <c r="R2" s="0" t="n">
        <v>900</v>
      </c>
      <c r="S2" s="0" t="n">
        <v>534</v>
      </c>
      <c r="T2" s="0" t="n">
        <v>505.827</v>
      </c>
      <c r="U2" s="0" t="n">
        <v>0</v>
      </c>
      <c r="X2" s="0" t="n">
        <v>3957.4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3507.3</v>
      </c>
      <c r="C3" s="0" t="n">
        <v>2023.4</v>
      </c>
      <c r="D3" s="0" t="n">
        <v>1483.9</v>
      </c>
      <c r="E3" s="0" t="n">
        <v>42.3</v>
      </c>
      <c r="F3" s="0" t="n">
        <v>-73.3</v>
      </c>
      <c r="G3" s="0" t="n">
        <v>-2.1</v>
      </c>
      <c r="H3" s="0" t="n">
        <v>234.2</v>
      </c>
      <c r="I3" s="0" t="n">
        <v>-83</v>
      </c>
      <c r="J3" s="0" t="n">
        <v>-2.4</v>
      </c>
      <c r="K3" s="0" t="n">
        <v>-0.165</v>
      </c>
      <c r="L3" s="0" t="n">
        <v>519</v>
      </c>
      <c r="M3" s="0" t="n">
        <v>220.4</v>
      </c>
      <c r="N3" s="0" t="n">
        <v>298.6</v>
      </c>
      <c r="O3" s="0" t="n">
        <v>1192.9</v>
      </c>
      <c r="P3" s="0" t="n">
        <v>3785.1</v>
      </c>
      <c r="Q3" s="0" t="n">
        <v>2574.1</v>
      </c>
      <c r="R3" s="0" t="n">
        <v>705.9</v>
      </c>
      <c r="S3" s="0" t="n">
        <v>457</v>
      </c>
      <c r="T3" s="0" t="n">
        <v>501.955</v>
      </c>
      <c r="U3" s="0" t="n">
        <v>0</v>
      </c>
      <c r="X3" s="0" t="n">
        <v>3507.3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4691.1</v>
      </c>
      <c r="C4" s="0" t="n">
        <v>2660.5</v>
      </c>
      <c r="D4" s="0" t="n">
        <v>2030.6</v>
      </c>
      <c r="E4" s="0" t="n">
        <v>43.3</v>
      </c>
      <c r="F4" s="0" t="n">
        <v>301.2</v>
      </c>
      <c r="G4" s="0" t="n">
        <v>6.4</v>
      </c>
      <c r="H4" s="0" t="n">
        <v>561.2</v>
      </c>
      <c r="I4" s="0" t="n">
        <v>249.8</v>
      </c>
      <c r="J4" s="0" t="n">
        <v>5.3</v>
      </c>
      <c r="K4" s="0" t="n">
        <v>0.529</v>
      </c>
      <c r="L4" s="0" t="n">
        <v>620.8</v>
      </c>
      <c r="M4" s="0" t="n">
        <v>323.2</v>
      </c>
      <c r="N4" s="0" t="n">
        <v>297.6</v>
      </c>
      <c r="O4" s="0" t="n">
        <v>1292.9</v>
      </c>
      <c r="P4" s="0" t="n">
        <v>4149</v>
      </c>
      <c r="Q4" s="0" t="n">
        <v>2834.1</v>
      </c>
      <c r="R4" s="0" t="n">
        <v>827.9</v>
      </c>
      <c r="S4" s="0" t="n">
        <v>336.8</v>
      </c>
      <c r="T4" s="0" t="n">
        <v>471.975</v>
      </c>
      <c r="U4" s="0" t="n">
        <v>9.2</v>
      </c>
      <c r="X4" s="0" t="n">
        <v>4691.1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5586</v>
      </c>
      <c r="C5" s="0" t="n">
        <v>3191</v>
      </c>
      <c r="D5" s="0" t="n">
        <v>2395</v>
      </c>
      <c r="E5" s="0" t="n">
        <v>42.9</v>
      </c>
      <c r="F5" s="0" t="n">
        <v>535.3</v>
      </c>
      <c r="G5" s="0" t="n">
        <v>9.6</v>
      </c>
      <c r="H5" s="0" t="n">
        <v>804.5</v>
      </c>
      <c r="I5" s="0" t="n">
        <v>491.7</v>
      </c>
      <c r="J5" s="0" t="n">
        <v>8.8</v>
      </c>
      <c r="K5" s="0" t="n">
        <v>1.069</v>
      </c>
      <c r="L5" s="0" t="n">
        <v>541.7</v>
      </c>
      <c r="M5" s="0" t="n">
        <v>469.4</v>
      </c>
      <c r="N5" s="0" t="n">
        <v>72.3</v>
      </c>
      <c r="O5" s="0" t="n">
        <v>1628.2</v>
      </c>
      <c r="P5" s="0" t="n">
        <v>4302.7</v>
      </c>
      <c r="Q5" s="0" t="n">
        <v>2634.5</v>
      </c>
      <c r="R5" s="0" t="n">
        <v>749.7</v>
      </c>
      <c r="S5" s="0" t="n">
        <v>332.9</v>
      </c>
      <c r="T5" s="0" t="n">
        <v>459.911</v>
      </c>
      <c r="U5" s="0" t="n">
        <v>19</v>
      </c>
      <c r="X5" s="0" t="n">
        <v>5586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5317</v>
      </c>
      <c r="C6" s="0" t="n">
        <v>2907.8</v>
      </c>
      <c r="D6" s="0" t="n">
        <v>2409.2</v>
      </c>
      <c r="E6" s="0" t="n">
        <v>45.3</v>
      </c>
      <c r="F6" s="0" t="n">
        <v>514.6</v>
      </c>
      <c r="G6" s="0" t="n">
        <v>9.7</v>
      </c>
      <c r="H6" s="0" t="n">
        <v>799.2</v>
      </c>
      <c r="I6" s="0" t="n">
        <v>380.8</v>
      </c>
      <c r="J6" s="0" t="n">
        <v>7.2</v>
      </c>
      <c r="K6" s="0" t="n">
        <v>0.868</v>
      </c>
      <c r="L6" s="0" t="n">
        <v>682.2</v>
      </c>
      <c r="M6" s="0" t="n">
        <v>267.2</v>
      </c>
      <c r="N6" s="0" t="n">
        <v>415</v>
      </c>
      <c r="O6" s="0" t="n">
        <v>1844.8</v>
      </c>
      <c r="P6" s="0" t="n">
        <v>4454.9</v>
      </c>
      <c r="Q6" s="0" t="n">
        <v>2581.9</v>
      </c>
      <c r="R6" s="0" t="n">
        <v>806.2</v>
      </c>
      <c r="S6" s="0" t="n">
        <v>358.6</v>
      </c>
      <c r="T6" s="0" t="n">
        <v>438.505</v>
      </c>
      <c r="U6" s="0" t="n">
        <v>23.4</v>
      </c>
      <c r="X6" s="0" t="n">
        <v>5317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4900.9</v>
      </c>
      <c r="C7" s="0" t="n">
        <v>2609.6</v>
      </c>
      <c r="D7" s="0" t="n">
        <v>2291.3</v>
      </c>
      <c r="E7" s="0" t="n">
        <v>46.8</v>
      </c>
      <c r="F7" s="0" t="n">
        <v>557.5</v>
      </c>
      <c r="G7" s="0" t="n">
        <v>11.4</v>
      </c>
      <c r="H7" s="0" t="n">
        <v>832.9</v>
      </c>
      <c r="I7" s="0" t="n">
        <v>292.1</v>
      </c>
      <c r="J7" s="0" t="n">
        <v>6</v>
      </c>
      <c r="K7" s="0" t="n">
        <v>0.675</v>
      </c>
      <c r="L7" s="0" t="n">
        <v>943.4</v>
      </c>
      <c r="M7" s="0" t="n">
        <v>411.7</v>
      </c>
      <c r="N7" s="0" t="n">
        <v>531.7</v>
      </c>
      <c r="O7" s="0" t="n">
        <v>1960.1</v>
      </c>
      <c r="P7" s="0" t="n">
        <v>5130.7</v>
      </c>
      <c r="Q7" s="0" t="n">
        <v>3142.6</v>
      </c>
      <c r="R7" s="0" t="n">
        <v>1193.2</v>
      </c>
      <c r="S7" s="0" t="n">
        <v>252.2</v>
      </c>
      <c r="T7" s="0" t="n">
        <v>432.929</v>
      </c>
      <c r="U7" s="0" t="n">
        <v>0.8</v>
      </c>
      <c r="X7" s="0" t="n">
        <v>4900.9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5325.9</v>
      </c>
      <c r="C8" s="0" t="n">
        <v>2749.9</v>
      </c>
      <c r="D8" s="0" t="n">
        <v>2576</v>
      </c>
      <c r="E8" s="0" t="n">
        <v>48.4</v>
      </c>
      <c r="F8" s="0" t="n">
        <v>386.3</v>
      </c>
      <c r="G8" s="0" t="n">
        <v>7.3</v>
      </c>
      <c r="H8" s="0" t="n">
        <v>726.7</v>
      </c>
      <c r="I8" s="0" t="n">
        <v>375</v>
      </c>
      <c r="J8" s="0" t="n">
        <v>7</v>
      </c>
      <c r="K8" s="0" t="n">
        <v>0.867</v>
      </c>
      <c r="L8" s="0" t="n">
        <v>583.8</v>
      </c>
      <c r="M8" s="0" t="n">
        <v>654.8</v>
      </c>
      <c r="N8" s="0" t="n">
        <v>-71</v>
      </c>
      <c r="O8" s="0" t="n">
        <v>2422.7</v>
      </c>
      <c r="P8" s="0" t="n">
        <v>6486.5</v>
      </c>
      <c r="Q8" s="0" t="n">
        <v>4033.8</v>
      </c>
      <c r="R8" s="0" t="n">
        <v>1651.3</v>
      </c>
      <c r="S8" s="0" t="n">
        <v>388.9</v>
      </c>
      <c r="T8" s="0" t="n">
        <v>432.499</v>
      </c>
      <c r="U8" s="0" t="n">
        <v>4.5</v>
      </c>
      <c r="X8" s="0" t="n">
        <v>5325.9</v>
      </c>
      <c r="AA8" s="0" t="s">
        <v>18</v>
      </c>
      <c r="AB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838.5</v>
      </c>
    </row>
    <row r="3" customFormat="false" ht="15" hidden="false" customHeight="false" outlineLevel="0" collapsed="false">
      <c r="A3" s="0" t="s">
        <v>74</v>
      </c>
      <c r="B3" s="3" t="n">
        <v>432.5</v>
      </c>
    </row>
    <row r="4" customFormat="false" ht="15" hidden="false" customHeight="false" outlineLevel="0" collapsed="false">
      <c r="A4" s="0" t="s">
        <v>75</v>
      </c>
      <c r="B4" s="3" t="n">
        <v>1262.4</v>
      </c>
    </row>
    <row r="5" customFormat="false" ht="15" hidden="false" customHeight="false" outlineLevel="0" collapsed="false">
      <c r="A5" s="0" t="s">
        <v>76</v>
      </c>
      <c r="B5" s="3" t="n">
        <v>902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5325.9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100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0</v>
      </c>
      <c r="D13" s="3" t="n">
        <v>0.5</v>
      </c>
      <c r="E13" s="3" t="n">
        <v>1</v>
      </c>
      <c r="F13" s="3" t="n">
        <v>1.5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16.5</v>
      </c>
      <c r="D14" s="3" t="n">
        <v>16.2</v>
      </c>
      <c r="E14" s="3" t="n">
        <v>16</v>
      </c>
      <c r="F14" s="3" t="n">
        <v>16</v>
      </c>
      <c r="G14" s="3" t="n">
        <v>16</v>
      </c>
      <c r="H14" s="3" t="n">
        <v>16</v>
      </c>
      <c r="I14" s="3" t="n">
        <v>16</v>
      </c>
      <c r="J14" s="3" t="n">
        <v>16</v>
      </c>
      <c r="K14" s="3" t="n">
        <v>16</v>
      </c>
      <c r="L14" s="3" t="n">
        <v>16</v>
      </c>
    </row>
    <row r="15" customFormat="false" ht="15" hidden="false" customHeight="false" outlineLevel="0" collapsed="false">
      <c r="A15" s="0" t="s">
        <v>96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97</v>
      </c>
      <c r="C16" s="3" t="n">
        <v>4.5</v>
      </c>
      <c r="D16" s="3" t="n">
        <v>4.5</v>
      </c>
      <c r="E16" s="3" t="n">
        <v>4.5</v>
      </c>
      <c r="F16" s="3" t="n">
        <v>4.5</v>
      </c>
      <c r="G16" s="3" t="n">
        <v>4.5</v>
      </c>
      <c r="H16" s="3" t="n">
        <v>4.5</v>
      </c>
      <c r="I16" s="3" t="n">
        <v>4.5</v>
      </c>
      <c r="J16" s="3" t="n">
        <v>4.5</v>
      </c>
      <c r="K16" s="3" t="n">
        <v>4.5</v>
      </c>
      <c r="L16" s="3" t="n">
        <v>4.5</v>
      </c>
    </row>
    <row r="17" customFormat="false" ht="15" hidden="false" customHeight="false" outlineLevel="0" collapsed="false">
      <c r="A17" s="0" t="s">
        <v>98</v>
      </c>
      <c r="C17" s="3" t="n">
        <v>3.9</v>
      </c>
      <c r="D17" s="3" t="n">
        <v>3.9</v>
      </c>
      <c r="E17" s="3" t="n">
        <v>3.9</v>
      </c>
      <c r="F17" s="3" t="n">
        <v>3.9</v>
      </c>
      <c r="G17" s="3" t="n">
        <v>3.9</v>
      </c>
      <c r="H17" s="3" t="n">
        <v>3.9</v>
      </c>
      <c r="I17" s="3" t="n">
        <v>3.9</v>
      </c>
      <c r="J17" s="3" t="n">
        <v>3.9</v>
      </c>
      <c r="K17" s="3" t="n">
        <v>3.9</v>
      </c>
      <c r="L17" s="3" t="n">
        <v>3.9</v>
      </c>
    </row>
    <row r="18" customFormat="false" ht="15" hidden="false" customHeight="false" outlineLevel="0" collapsed="false">
      <c r="A18" s="0" t="s">
        <v>99</v>
      </c>
      <c r="C18" s="3" t="n">
        <v>7.5</v>
      </c>
      <c r="D18" s="3" t="n">
        <v>6.5</v>
      </c>
      <c r="E18" s="3" t="n">
        <v>6</v>
      </c>
      <c r="F18" s="3" t="n">
        <v>5.5</v>
      </c>
      <c r="G18" s="3" t="n">
        <v>5</v>
      </c>
      <c r="H18" s="3" t="n">
        <v>5</v>
      </c>
      <c r="I18" s="3" t="n">
        <v>4.8</v>
      </c>
      <c r="J18" s="3" t="n">
        <v>4.8</v>
      </c>
      <c r="K18" s="3" t="n">
        <v>4.8</v>
      </c>
      <c r="L18" s="3" t="n">
        <v>4.8</v>
      </c>
    </row>
    <row r="19" customFormat="false" ht="15" hidden="false" customHeight="false" outlineLevel="0" collapsed="false">
      <c r="A19" s="0" t="s">
        <v>100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101</v>
      </c>
      <c r="B20" s="3" t="n">
        <v>9</v>
      </c>
    </row>
    <row r="21" customFormat="false" ht="15" hidden="false" customHeight="false" outlineLevel="0" collapsed="false">
      <c r="A21" s="0" t="s">
        <v>102</v>
      </c>
      <c r="B21" s="3" t="n">
        <v>1.5</v>
      </c>
    </row>
    <row r="22" customFormat="false" ht="15" hidden="false" customHeight="false" outlineLevel="0" collapsed="false">
      <c r="A22" s="0" t="s">
        <v>103</v>
      </c>
      <c r="B22" s="3" t="n">
        <v>14</v>
      </c>
    </row>
    <row r="23" customFormat="false" ht="15" hidden="false" customHeight="false" outlineLevel="0" collapsed="false">
      <c r="A23" s="0" t="s">
        <v>104</v>
      </c>
      <c r="B23" s="3" t="n">
        <v>-15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3.5</v>
      </c>
      <c r="D27" s="3" t="n">
        <v>3</v>
      </c>
      <c r="E27" s="3" t="n">
        <v>3</v>
      </c>
      <c r="F27" s="3" t="n">
        <v>2.5</v>
      </c>
      <c r="G27" s="3" t="n">
        <v>2.5</v>
      </c>
      <c r="H27" s="3" t="n">
        <v>2.5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95</v>
      </c>
      <c r="C28" s="3" t="n">
        <v>17.8</v>
      </c>
      <c r="D28" s="3" t="n">
        <v>18</v>
      </c>
      <c r="E28" s="3" t="n">
        <v>18.2</v>
      </c>
      <c r="F28" s="3" t="n">
        <v>18.4</v>
      </c>
      <c r="G28" s="3" t="n">
        <v>18.5</v>
      </c>
      <c r="H28" s="3" t="n">
        <v>18.5</v>
      </c>
      <c r="I28" s="3" t="n">
        <v>18.5</v>
      </c>
      <c r="J28" s="3" t="n">
        <v>18.5</v>
      </c>
      <c r="K28" s="3" t="n">
        <v>18.5</v>
      </c>
      <c r="L28" s="3" t="n">
        <v>18.5</v>
      </c>
    </row>
    <row r="29" customFormat="false" ht="15" hidden="false" customHeight="false" outlineLevel="0" collapsed="false">
      <c r="A29" s="0" t="s">
        <v>96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97</v>
      </c>
      <c r="C30" s="3" t="n">
        <v>4.3</v>
      </c>
      <c r="D30" s="3" t="n">
        <v>4.3</v>
      </c>
      <c r="E30" s="3" t="n">
        <v>4.3</v>
      </c>
      <c r="F30" s="3" t="n">
        <v>4.3</v>
      </c>
      <c r="G30" s="3" t="n">
        <v>4.3</v>
      </c>
      <c r="H30" s="3" t="n">
        <v>4.3</v>
      </c>
      <c r="I30" s="3" t="n">
        <v>4.3</v>
      </c>
      <c r="J30" s="3" t="n">
        <v>4.3</v>
      </c>
      <c r="K30" s="3" t="n">
        <v>4.3</v>
      </c>
      <c r="L30" s="3" t="n">
        <v>4.3</v>
      </c>
    </row>
    <row r="31" customFormat="false" ht="15" hidden="false" customHeight="false" outlineLevel="0" collapsed="false">
      <c r="A31" s="0" t="s">
        <v>98</v>
      </c>
      <c r="C31" s="3" t="n">
        <v>3.9</v>
      </c>
      <c r="D31" s="3" t="n">
        <v>3.9</v>
      </c>
      <c r="E31" s="3" t="n">
        <v>3.9</v>
      </c>
      <c r="F31" s="3" t="n">
        <v>3.9</v>
      </c>
      <c r="G31" s="3" t="n">
        <v>3.9</v>
      </c>
      <c r="H31" s="3" t="n">
        <v>3.9</v>
      </c>
      <c r="I31" s="3" t="n">
        <v>3.9</v>
      </c>
      <c r="J31" s="3" t="n">
        <v>3.9</v>
      </c>
      <c r="K31" s="3" t="n">
        <v>3.9</v>
      </c>
      <c r="L31" s="3" t="n">
        <v>3.9</v>
      </c>
    </row>
    <row r="32" customFormat="false" ht="15" hidden="false" customHeight="false" outlineLevel="0" collapsed="false">
      <c r="A32" s="0" t="s">
        <v>99</v>
      </c>
      <c r="C32" s="3" t="n">
        <v>7</v>
      </c>
      <c r="D32" s="3" t="n">
        <v>6</v>
      </c>
      <c r="E32" s="3" t="n">
        <v>5.5</v>
      </c>
      <c r="F32" s="3" t="n">
        <v>5</v>
      </c>
      <c r="G32" s="3" t="n">
        <v>4.8</v>
      </c>
      <c r="H32" s="3" t="n">
        <v>4.5</v>
      </c>
      <c r="I32" s="3" t="n">
        <v>4.5</v>
      </c>
      <c r="J32" s="3" t="n">
        <v>4.3</v>
      </c>
      <c r="K32" s="3" t="n">
        <v>4.2</v>
      </c>
      <c r="L32" s="3" t="n">
        <v>4.2</v>
      </c>
    </row>
    <row r="33" customFormat="false" ht="15" hidden="false" customHeight="false" outlineLevel="0" collapsed="false">
      <c r="A33" s="0" t="s">
        <v>100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101</v>
      </c>
      <c r="B34" s="3" t="n">
        <v>9</v>
      </c>
    </row>
    <row r="35" customFormat="false" ht="15" hidden="false" customHeight="false" outlineLevel="0" collapsed="false">
      <c r="A35" s="0" t="s">
        <v>102</v>
      </c>
      <c r="B35" s="3" t="n">
        <v>2</v>
      </c>
    </row>
    <row r="36" customFormat="false" ht="15" hidden="false" customHeight="false" outlineLevel="0" collapsed="false">
      <c r="A36" s="0" t="s">
        <v>103</v>
      </c>
      <c r="B36" s="3" t="n">
        <v>14</v>
      </c>
    </row>
    <row r="37" customFormat="false" ht="15" hidden="false" customHeight="false" outlineLevel="0" collapsed="false">
      <c r="A37" s="0" t="s">
        <v>104</v>
      </c>
      <c r="B37" s="3" t="n">
        <v>-15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6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95</v>
      </c>
      <c r="C42" s="3" t="n">
        <v>18.6</v>
      </c>
      <c r="D42" s="3" t="n">
        <v>18.9</v>
      </c>
      <c r="E42" s="3" t="n">
        <v>19.2</v>
      </c>
      <c r="F42" s="3" t="n">
        <v>19.4</v>
      </c>
      <c r="G42" s="3" t="n">
        <v>19.5</v>
      </c>
      <c r="H42" s="3" t="n">
        <v>19.5</v>
      </c>
      <c r="I42" s="3" t="n">
        <v>19.5</v>
      </c>
      <c r="J42" s="3" t="n">
        <v>19.5</v>
      </c>
      <c r="K42" s="3" t="n">
        <v>19.5</v>
      </c>
      <c r="L42" s="3" t="n">
        <v>19.5</v>
      </c>
    </row>
    <row r="43" customFormat="false" ht="15" hidden="false" customHeight="false" outlineLevel="0" collapsed="false">
      <c r="A43" s="0" t="s">
        <v>96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97</v>
      </c>
      <c r="C44" s="3" t="n">
        <v>4.2</v>
      </c>
      <c r="D44" s="3" t="n">
        <v>4.2</v>
      </c>
      <c r="E44" s="3" t="n">
        <v>4.2</v>
      </c>
      <c r="F44" s="3" t="n">
        <v>4.2</v>
      </c>
      <c r="G44" s="3" t="n">
        <v>4.2</v>
      </c>
      <c r="H44" s="3" t="n">
        <v>4.2</v>
      </c>
      <c r="I44" s="3" t="n">
        <v>4.2</v>
      </c>
      <c r="J44" s="3" t="n">
        <v>4.2</v>
      </c>
      <c r="K44" s="3" t="n">
        <v>4.2</v>
      </c>
      <c r="L44" s="3" t="n">
        <v>4.2</v>
      </c>
    </row>
    <row r="45" customFormat="false" ht="15" hidden="false" customHeight="false" outlineLevel="0" collapsed="false">
      <c r="A45" s="0" t="s">
        <v>98</v>
      </c>
      <c r="C45" s="3" t="n">
        <v>3.9</v>
      </c>
      <c r="D45" s="3" t="n">
        <v>3.9</v>
      </c>
      <c r="E45" s="3" t="n">
        <v>3.9</v>
      </c>
      <c r="F45" s="3" t="n">
        <v>3.9</v>
      </c>
      <c r="G45" s="3" t="n">
        <v>3.9</v>
      </c>
      <c r="H45" s="3" t="n">
        <v>3.9</v>
      </c>
      <c r="I45" s="3" t="n">
        <v>3.9</v>
      </c>
      <c r="J45" s="3" t="n">
        <v>3.9</v>
      </c>
      <c r="K45" s="3" t="n">
        <v>3.9</v>
      </c>
      <c r="L45" s="3" t="n">
        <v>3.9</v>
      </c>
    </row>
    <row r="46" customFormat="false" ht="15" hidden="false" customHeight="false" outlineLevel="0" collapsed="false">
      <c r="A46" s="0" t="s">
        <v>99</v>
      </c>
      <c r="C46" s="3" t="n">
        <v>6.5</v>
      </c>
      <c r="D46" s="3" t="n">
        <v>5.5</v>
      </c>
      <c r="E46" s="3" t="n">
        <v>5</v>
      </c>
      <c r="F46" s="3" t="n">
        <v>4.5</v>
      </c>
      <c r="G46" s="3" t="n">
        <v>4.3</v>
      </c>
      <c r="H46" s="3" t="n">
        <v>4.2</v>
      </c>
      <c r="I46" s="3" t="n">
        <v>4.2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100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101</v>
      </c>
      <c r="B48" s="3" t="n">
        <v>9</v>
      </c>
    </row>
    <row r="49" customFormat="false" ht="15" hidden="false" customHeight="false" outlineLevel="0" collapsed="false">
      <c r="A49" s="0" t="s">
        <v>102</v>
      </c>
      <c r="B49" s="3" t="n">
        <v>2.5</v>
      </c>
    </row>
    <row r="50" customFormat="false" ht="15" hidden="false" customHeight="false" outlineLevel="0" collapsed="false">
      <c r="A50" s="0" t="s">
        <v>103</v>
      </c>
      <c r="B50" s="3" t="n">
        <v>14</v>
      </c>
    </row>
    <row r="51" customFormat="false" ht="15" hidden="false" customHeight="false" outlineLevel="0" collapsed="false">
      <c r="A51" s="0" t="s">
        <v>104</v>
      </c>
      <c r="B51" s="3" t="n">
        <v>-15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0</v>
      </c>
      <c r="D5" s="4" t="n">
        <f aca="false">Assumptions!D13</f>
        <v>0.5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5325.9</v>
      </c>
      <c r="C6" s="0" t="n">
        <f aca="false">B6*(1+C5/100)</f>
        <v>5325.9</v>
      </c>
      <c r="D6" s="0" t="n">
        <f aca="false">C6*(1+D5/100)</f>
        <v>5352.5295</v>
      </c>
      <c r="E6" s="0" t="n">
        <f aca="false">D6*(1+E5/100)</f>
        <v>5406.054795</v>
      </c>
      <c r="F6" s="0" t="n">
        <f aca="false">E6*(1+F5/100)</f>
        <v>5487.145616925</v>
      </c>
      <c r="G6" s="0" t="n">
        <f aca="false">F6*(1+G5/100)</f>
        <v>5569.45280117887</v>
      </c>
      <c r="H6" s="0" t="n">
        <f aca="false">G6*(1+H5/100)</f>
        <v>5680.84185720245</v>
      </c>
      <c r="I6" s="0" t="n">
        <f aca="false">H6*(1+I5/100)</f>
        <v>5794.4586943465</v>
      </c>
      <c r="J6" s="0" t="n">
        <f aca="false">I6*(1+J5/100)</f>
        <v>5910.34786823343</v>
      </c>
      <c r="K6" s="0" t="n">
        <f aca="false">J6*(1+K5/100)</f>
        <v>6028.5548255981</v>
      </c>
      <c r="L6" s="0" t="n">
        <f aca="false">K6*(1+L5/100)</f>
        <v>6149.12592211006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16.5</v>
      </c>
      <c r="D7" s="4" t="n">
        <f aca="false">Assumptions!D14</f>
        <v>16.2</v>
      </c>
      <c r="E7" s="4" t="n">
        <f aca="false">Assumptions!E14</f>
        <v>16</v>
      </c>
      <c r="F7" s="4" t="n">
        <f aca="false">Assumptions!F14</f>
        <v>16</v>
      </c>
      <c r="G7" s="4" t="n">
        <f aca="false">Assumptions!G14</f>
        <v>16</v>
      </c>
      <c r="H7" s="4" t="n">
        <f aca="false">Assumptions!H14</f>
        <v>16</v>
      </c>
      <c r="I7" s="4" t="n">
        <f aca="false">Assumptions!I14</f>
        <v>16</v>
      </c>
      <c r="J7" s="4" t="n">
        <f aca="false">Assumptions!J14</f>
        <v>16</v>
      </c>
      <c r="K7" s="4" t="n">
        <f aca="false">Assumptions!K14</f>
        <v>16</v>
      </c>
      <c r="L7" s="4" t="n">
        <f aca="false">Assumptions!L14</f>
        <v>16</v>
      </c>
    </row>
    <row r="8" customFormat="false" ht="15" hidden="false" customHeight="false" outlineLevel="0" collapsed="false">
      <c r="A8" s="0" t="s">
        <v>44</v>
      </c>
      <c r="C8" s="0" t="n">
        <f aca="false">C6*C7/100</f>
        <v>878.7735</v>
      </c>
      <c r="D8" s="0" t="n">
        <f aca="false">D6*D7/100</f>
        <v>867.109779</v>
      </c>
      <c r="E8" s="0" t="n">
        <f aca="false">E6*E7/100</f>
        <v>864.9687672</v>
      </c>
      <c r="F8" s="0" t="n">
        <f aca="false">F6*F7/100</f>
        <v>877.943298708</v>
      </c>
      <c r="G8" s="0" t="n">
        <f aca="false">G6*G7/100</f>
        <v>891.11244818862</v>
      </c>
      <c r="H8" s="0" t="n">
        <f aca="false">H6*H7/100</f>
        <v>908.934697152392</v>
      </c>
      <c r="I8" s="0" t="n">
        <f aca="false">I6*I7/100</f>
        <v>927.11339109544</v>
      </c>
      <c r="J8" s="0" t="n">
        <f aca="false">J6*J7/100</f>
        <v>945.655658917349</v>
      </c>
      <c r="K8" s="0" t="n">
        <f aca="false">K6*K7/100</f>
        <v>964.568772095696</v>
      </c>
      <c r="L8" s="0" t="n">
        <f aca="false">L6*L7/100</f>
        <v>983.86014753761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-5.3259</v>
      </c>
      <c r="D10" s="0" t="n">
        <f aca="false">-D6*D9/100</f>
        <v>-5.3525295</v>
      </c>
      <c r="E10" s="0" t="n">
        <f aca="false">-E6*E9/100</f>
        <v>-5.406054795</v>
      </c>
      <c r="F10" s="0" t="n">
        <f aca="false">-F6*F9/100</f>
        <v>-5.487145616925</v>
      </c>
      <c r="G10" s="0" t="n">
        <f aca="false">-G6*G9/100</f>
        <v>-5.56945280117887</v>
      </c>
      <c r="H10" s="0" t="n">
        <f aca="false">-H6*H9/100</f>
        <v>-5.68084185720245</v>
      </c>
      <c r="I10" s="0" t="n">
        <f aca="false">-I6*I9/100</f>
        <v>-5.7944586943465</v>
      </c>
      <c r="J10" s="0" t="n">
        <f aca="false">-J6*J9/100</f>
        <v>-5.91034786823343</v>
      </c>
      <c r="K10" s="0" t="n">
        <f aca="false">-K6*K9/100</f>
        <v>-6.0285548255981</v>
      </c>
      <c r="L10" s="0" t="n">
        <f aca="false">-L6*L9/100</f>
        <v>-6.14912592211006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633.7821</v>
      </c>
      <c r="D11" s="0" t="n">
        <f aca="false">D8+D10+D24</f>
        <v>620.893422</v>
      </c>
      <c r="E11" s="0" t="n">
        <f aca="false">E8+E10+E24</f>
        <v>616.29024663</v>
      </c>
      <c r="F11" s="0" t="n">
        <f aca="false">F8+F10+F24</f>
        <v>625.53460032945</v>
      </c>
      <c r="G11" s="0" t="n">
        <f aca="false">G8+G10+G24</f>
        <v>634.917619334392</v>
      </c>
      <c r="H11" s="0" t="n">
        <f aca="false">H8+H10+H24</f>
        <v>647.615971721079</v>
      </c>
      <c r="I11" s="0" t="n">
        <f aca="false">I8+I10+I24</f>
        <v>660.568291155501</v>
      </c>
      <c r="J11" s="0" t="n">
        <f aca="false">J8+J10+J24</f>
        <v>673.779656978611</v>
      </c>
      <c r="K11" s="0" t="n">
        <f aca="false">K8+K10+K24</f>
        <v>687.255250118183</v>
      </c>
      <c r="L11" s="0" t="n">
        <f aca="false">L8+L10+L24</f>
        <v>701.000355120547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-207.7101</v>
      </c>
      <c r="D12" s="4" t="n">
        <f aca="false">-D6*Assumptions!D17/100</f>
        <v>-208.7486505</v>
      </c>
      <c r="E12" s="4" t="n">
        <f aca="false">-E6*Assumptions!E17/100</f>
        <v>-210.836137005</v>
      </c>
      <c r="F12" s="4" t="n">
        <f aca="false">-F6*Assumptions!F17/100</f>
        <v>-213.998679060075</v>
      </c>
      <c r="G12" s="4" t="n">
        <f aca="false">-G6*Assumptions!G17/100</f>
        <v>-217.208659245976</v>
      </c>
      <c r="H12" s="4" t="n">
        <f aca="false">-H6*Assumptions!H17/100</f>
        <v>-221.552832430896</v>
      </c>
      <c r="I12" s="4" t="n">
        <f aca="false">-I6*Assumptions!I17/100</f>
        <v>-225.983889079514</v>
      </c>
      <c r="J12" s="4" t="n">
        <f aca="false">-J6*Assumptions!J17/100</f>
        <v>-230.503566861104</v>
      </c>
      <c r="K12" s="4" t="n">
        <f aca="false">-K6*Assumptions!K17/100</f>
        <v>-235.113638198326</v>
      </c>
      <c r="L12" s="4" t="n">
        <f aca="false">-L6*Assumptions!L17/100</f>
        <v>-239.815910962292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426.072</v>
      </c>
      <c r="D13" s="0" t="n">
        <f aca="false">D11+D12</f>
        <v>412.1447715</v>
      </c>
      <c r="E13" s="0" t="n">
        <f aca="false">E11+E12</f>
        <v>405.454109625</v>
      </c>
      <c r="F13" s="0" t="n">
        <f aca="false">F11+F12</f>
        <v>411.535921269375</v>
      </c>
      <c r="G13" s="0" t="n">
        <f aca="false">G11+G12</f>
        <v>417.708960088416</v>
      </c>
      <c r="H13" s="0" t="n">
        <f aca="false">H11+H12</f>
        <v>426.063139290184</v>
      </c>
      <c r="I13" s="0" t="n">
        <f aca="false">I11+I12</f>
        <v>434.584402075987</v>
      </c>
      <c r="J13" s="0" t="n">
        <f aca="false">J11+J12</f>
        <v>443.276090117507</v>
      </c>
      <c r="K13" s="0" t="n">
        <f aca="false">K11+K12</f>
        <v>452.141611919857</v>
      </c>
      <c r="L13" s="0" t="n">
        <f aca="false">L11+L12</f>
        <v>461.184444158254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311.03256</v>
      </c>
      <c r="D15" s="0" t="n">
        <f aca="false">D13-MAX(0,D13)*D14/100</f>
        <v>300.865683195</v>
      </c>
      <c r="E15" s="0" t="n">
        <f aca="false">E13-MAX(0,E13)*E14/100</f>
        <v>295.98150002625</v>
      </c>
      <c r="F15" s="0" t="n">
        <f aca="false">F13-MAX(0,F13)*F14/100</f>
        <v>300.421222526644</v>
      </c>
      <c r="G15" s="0" t="n">
        <f aca="false">G13-MAX(0,G13)*G14/100</f>
        <v>304.927540864543</v>
      </c>
      <c r="H15" s="0" t="n">
        <f aca="false">H13-MAX(0,H13)*H14/100</f>
        <v>311.026091681834</v>
      </c>
      <c r="I15" s="0" t="n">
        <f aca="false">I13-MAX(0,I13)*I14/100</f>
        <v>317.246613515471</v>
      </c>
      <c r="J15" s="0" t="n">
        <f aca="false">J13-MAX(0,J13)*J14/100</f>
        <v>323.59154578578</v>
      </c>
      <c r="K15" s="0" t="n">
        <f aca="false">K13-MAX(0,K13)*K14/100</f>
        <v>330.063376701496</v>
      </c>
      <c r="L15" s="0" t="n">
        <f aca="false">L13-MAX(0,L13)*L14/100</f>
        <v>336.664644235526</v>
      </c>
    </row>
    <row r="16" customFormat="false" ht="15" hidden="false" customHeight="false" outlineLevel="0" collapsed="false">
      <c r="A16" s="0" t="s">
        <v>116</v>
      </c>
      <c r="C16" s="0" t="n">
        <f aca="false">-C12</f>
        <v>207.7101</v>
      </c>
      <c r="D16" s="0" t="n">
        <f aca="false">-D12</f>
        <v>208.7486505</v>
      </c>
      <c r="E16" s="0" t="n">
        <f aca="false">-E12</f>
        <v>210.836137005</v>
      </c>
      <c r="F16" s="0" t="n">
        <f aca="false">-F12</f>
        <v>213.998679060075</v>
      </c>
      <c r="G16" s="0" t="n">
        <f aca="false">-G12</f>
        <v>217.208659245976</v>
      </c>
      <c r="H16" s="0" t="n">
        <f aca="false">-H12</f>
        <v>221.552832430896</v>
      </c>
      <c r="I16" s="0" t="n">
        <f aca="false">-I12</f>
        <v>225.983889079514</v>
      </c>
      <c r="J16" s="0" t="n">
        <f aca="false">-J12</f>
        <v>230.503566861104</v>
      </c>
      <c r="K16" s="0" t="n">
        <f aca="false">-K12</f>
        <v>235.113638198326</v>
      </c>
      <c r="L16" s="0" t="n">
        <f aca="false">-L12</f>
        <v>239.815910962292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-399.4425</v>
      </c>
      <c r="D17" s="4" t="n">
        <f aca="false">-D6*Assumptions!D18/100</f>
        <v>-347.9144175</v>
      </c>
      <c r="E17" s="4" t="n">
        <f aca="false">-E6*Assumptions!E18/100</f>
        <v>-324.3632877</v>
      </c>
      <c r="F17" s="4" t="n">
        <f aca="false">-F6*Assumptions!F18/100</f>
        <v>-301.793008930875</v>
      </c>
      <c r="G17" s="4" t="n">
        <f aca="false">-G6*Assumptions!G18/100</f>
        <v>-278.472640058944</v>
      </c>
      <c r="H17" s="4" t="n">
        <f aca="false">-H6*Assumptions!H18/100</f>
        <v>-284.042092860123</v>
      </c>
      <c r="I17" s="4" t="n">
        <f aca="false">-I6*Assumptions!I18/100</f>
        <v>-278.134017328632</v>
      </c>
      <c r="J17" s="4" t="n">
        <f aca="false">-J6*Assumptions!J18/100</f>
        <v>-283.696697675205</v>
      </c>
      <c r="K17" s="4" t="n">
        <f aca="false">-K6*Assumptions!K18/100</f>
        <v>-289.370631628709</v>
      </c>
      <c r="L17" s="4" t="n">
        <f aca="false">-L6*Assumptions!L18/100</f>
        <v>-295.158044261283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-0</v>
      </c>
      <c r="D18" s="4" t="n">
        <f aca="false">(D6-C6)*Assumptions!$B$23/100</f>
        <v>-3.99442499999986</v>
      </c>
      <c r="E18" s="4" t="n">
        <f aca="false">(E6-D6)*Assumptions!$B$23/100</f>
        <v>-8.02879425000006</v>
      </c>
      <c r="F18" s="4" t="n">
        <f aca="false">(F6-E6)*Assumptions!$B$23/100</f>
        <v>-12.1636232887499</v>
      </c>
      <c r="G18" s="4" t="n">
        <f aca="false">(G6-F6)*Assumptions!$B$23/100</f>
        <v>-12.3460776380812</v>
      </c>
      <c r="H18" s="4" t="n">
        <f aca="false">(H6-G6)*Assumptions!$B$23/100</f>
        <v>-16.7083584035367</v>
      </c>
      <c r="I18" s="4" t="n">
        <f aca="false">(I6-H6)*Assumptions!$B$23/100</f>
        <v>-17.0425255716074</v>
      </c>
      <c r="J18" s="4" t="n">
        <f aca="false">(J6-I6)*Assumptions!$B$23/100</f>
        <v>-17.3833760830395</v>
      </c>
      <c r="K18" s="4" t="n">
        <f aca="false">(K6-J6)*Assumptions!$B$23/100</f>
        <v>-17.7310436047003</v>
      </c>
      <c r="L18" s="4" t="n">
        <f aca="false">(L6-K6)*Assumptions!$B$23/100</f>
        <v>-18.0856644767944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119.30016</v>
      </c>
      <c r="D19" s="0" t="n">
        <f aca="false">D15+D16+D17+D18</f>
        <v>157.705491195</v>
      </c>
      <c r="E19" s="0" t="n">
        <f aca="false">E15+E16+E17+E18</f>
        <v>174.42555508125</v>
      </c>
      <c r="F19" s="0" t="n">
        <f aca="false">F15+F16+F17+F18</f>
        <v>200.463269367094</v>
      </c>
      <c r="G19" s="0" t="n">
        <f aca="false">G15+G16+G17+G18</f>
        <v>231.317482413495</v>
      </c>
      <c r="H19" s="0" t="n">
        <f aca="false">H15+H16+H17+H18</f>
        <v>231.828472849071</v>
      </c>
      <c r="I19" s="0" t="n">
        <f aca="false">I15+I16+I17+I18</f>
        <v>248.053959694745</v>
      </c>
      <c r="J19" s="0" t="n">
        <f aca="false">J15+J16+J17+J18</f>
        <v>253.01503888864</v>
      </c>
      <c r="K19" s="0" t="n">
        <f aca="false">K15+K16+K17+K18</f>
        <v>258.075339666413</v>
      </c>
      <c r="L19" s="0" t="n">
        <f aca="false">L15+L16+L17+L18</f>
        <v>263.236846459741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109.449688073394</v>
      </c>
      <c r="D21" s="0" t="n">
        <f aca="false">D19*D20</f>
        <v>132.737556767107</v>
      </c>
      <c r="E21" s="0" t="n">
        <f aca="false">E19*E20</f>
        <v>134.688532134222</v>
      </c>
      <c r="F21" s="0" t="n">
        <f aca="false">F19*F20</f>
        <v>142.013233912203</v>
      </c>
      <c r="G21" s="0" t="n">
        <f aca="false">G19*G20</f>
        <v>150.340492020046</v>
      </c>
      <c r="H21" s="0" t="n">
        <f aca="false">H19*H20</f>
        <v>138.231743800206</v>
      </c>
      <c r="I21" s="0" t="n">
        <f aca="false">I19*I20</f>
        <v>135.694010522009</v>
      </c>
      <c r="J21" s="0" t="n">
        <f aca="false">J19*J20</f>
        <v>126.979716268302</v>
      </c>
      <c r="K21" s="0" t="n">
        <f aca="false">K19*K20</f>
        <v>118.825055590521</v>
      </c>
      <c r="L21" s="0" t="n">
        <f aca="false">L19*L20</f>
        <v>111.194088717736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4.5</v>
      </c>
      <c r="D23" s="4" t="n">
        <f aca="false">Assumptions!D16</f>
        <v>4.5</v>
      </c>
      <c r="E23" s="4" t="n">
        <f aca="false">Assumptions!E16</f>
        <v>4.5</v>
      </c>
      <c r="F23" s="4" t="n">
        <f aca="false">Assumptions!F16</f>
        <v>4.5</v>
      </c>
      <c r="G23" s="4" t="n">
        <f aca="false">Assumptions!G16</f>
        <v>4.5</v>
      </c>
      <c r="H23" s="4" t="n">
        <f aca="false">Assumptions!H16</f>
        <v>4.5</v>
      </c>
      <c r="I23" s="4" t="n">
        <f aca="false">Assumptions!I16</f>
        <v>4.5</v>
      </c>
      <c r="J23" s="4" t="n">
        <f aca="false">Assumptions!J16</f>
        <v>4.5</v>
      </c>
      <c r="K23" s="4" t="n">
        <f aca="false">Assumptions!K16</f>
        <v>4.5</v>
      </c>
      <c r="L23" s="4" t="n">
        <f aca="false">Assumptions!L16</f>
        <v>4.5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-239.6655</v>
      </c>
      <c r="D24" s="0" t="n">
        <f aca="false">-D6*D23/100</f>
        <v>-240.8638275</v>
      </c>
      <c r="E24" s="0" t="n">
        <f aca="false">-E6*E23/100</f>
        <v>-243.272465775</v>
      </c>
      <c r="F24" s="0" t="n">
        <f aca="false">-F6*F23/100</f>
        <v>-246.921552761625</v>
      </c>
      <c r="G24" s="0" t="n">
        <f aca="false">-G6*G23/100</f>
        <v>-250.625376053049</v>
      </c>
      <c r="H24" s="0" t="n">
        <f aca="false">-H6*H23/100</f>
        <v>-255.63788357411</v>
      </c>
      <c r="I24" s="0" t="n">
        <f aca="false">-I6*I23/100</f>
        <v>-260.750641245593</v>
      </c>
      <c r="J24" s="0" t="n">
        <f aca="false">-J6*J23/100</f>
        <v>-265.965654070504</v>
      </c>
      <c r="K24" s="0" t="n">
        <f aca="false">-K6*K23/100</f>
        <v>-271.284967151914</v>
      </c>
      <c r="L24" s="0" t="n">
        <f aca="false">-L6*L23/100</f>
        <v>-276.710666494953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1300.15411780575</v>
      </c>
    </row>
    <row r="31" customFormat="false" ht="15" hidden="false" customHeight="false" outlineLevel="0" collapsed="false">
      <c r="A31" s="0" t="s">
        <v>125</v>
      </c>
      <c r="B31" s="0" t="n">
        <f aca="false">L19</f>
        <v>263.236846459741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3562.47198875516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3685.31585043637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3562.47198875516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1504.82666731336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2804.9807851191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2444.5807851191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565.220990778984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-0.325914143376287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35.9691678347843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35.1522546813151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581.665250320278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1979.15110486398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256.816373515958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3.5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5325.9</v>
      </c>
      <c r="C6" s="0" t="n">
        <f aca="false">B6*(1+C5/100)</f>
        <v>5512.3065</v>
      </c>
      <c r="D6" s="0" t="n">
        <f aca="false">C6*(1+D5/100)</f>
        <v>5677.675695</v>
      </c>
      <c r="E6" s="0" t="n">
        <f aca="false">D6*(1+E5/100)</f>
        <v>5848.00596585</v>
      </c>
      <c r="F6" s="0" t="n">
        <f aca="false">E6*(1+F5/100)</f>
        <v>5994.20611499625</v>
      </c>
      <c r="G6" s="0" t="n">
        <f aca="false">F6*(1+G5/100)</f>
        <v>6144.06126787116</v>
      </c>
      <c r="H6" s="0" t="n">
        <f aca="false">G6*(1+H5/100)</f>
        <v>6297.66279956793</v>
      </c>
      <c r="I6" s="0" t="n">
        <f aca="false">H6*(1+I5/100)</f>
        <v>6423.61605555929</v>
      </c>
      <c r="J6" s="0" t="n">
        <f aca="false">I6*(1+J5/100)</f>
        <v>6552.08837667048</v>
      </c>
      <c r="K6" s="0" t="n">
        <f aca="false">J6*(1+K5/100)</f>
        <v>6683.13014420389</v>
      </c>
      <c r="L6" s="0" t="n">
        <f aca="false">K6*(1+L5/100)</f>
        <v>6816.79274708797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17.8</v>
      </c>
      <c r="D7" s="4" t="n">
        <f aca="false">Assumptions!D28</f>
        <v>18</v>
      </c>
      <c r="E7" s="4" t="n">
        <f aca="false">Assumptions!E28</f>
        <v>18.2</v>
      </c>
      <c r="F7" s="4" t="n">
        <f aca="false">Assumptions!F28</f>
        <v>18.4</v>
      </c>
      <c r="G7" s="4" t="n">
        <f aca="false">Assumptions!G28</f>
        <v>18.5</v>
      </c>
      <c r="H7" s="4" t="n">
        <f aca="false">Assumptions!H28</f>
        <v>18.5</v>
      </c>
      <c r="I7" s="4" t="n">
        <f aca="false">Assumptions!I28</f>
        <v>18.5</v>
      </c>
      <c r="J7" s="4" t="n">
        <f aca="false">Assumptions!J28</f>
        <v>18.5</v>
      </c>
      <c r="K7" s="4" t="n">
        <f aca="false">Assumptions!K28</f>
        <v>18.5</v>
      </c>
      <c r="L7" s="4" t="n">
        <f aca="false">Assumptions!L28</f>
        <v>18.5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981.190557</v>
      </c>
      <c r="D8" s="0" t="n">
        <f aca="false">D6*D7/100</f>
        <v>1021.9816251</v>
      </c>
      <c r="E8" s="0" t="n">
        <f aca="false">E6*E7/100</f>
        <v>1064.3370857847</v>
      </c>
      <c r="F8" s="0" t="n">
        <f aca="false">F6*F7/100</f>
        <v>1102.93392515931</v>
      </c>
      <c r="G8" s="0" t="n">
        <f aca="false">G6*G7/100</f>
        <v>1136.65133455616</v>
      </c>
      <c r="H8" s="0" t="n">
        <f aca="false">H6*H7/100</f>
        <v>1165.06761792007</v>
      </c>
      <c r="I8" s="0" t="n">
        <f aca="false">I6*I7/100</f>
        <v>1188.36897027847</v>
      </c>
      <c r="J8" s="0" t="n">
        <f aca="false">J6*J7/100</f>
        <v>1212.13634968404</v>
      </c>
      <c r="K8" s="0" t="n">
        <f aca="false">K6*K7/100</f>
        <v>1236.37907667772</v>
      </c>
      <c r="L8" s="0" t="n">
        <f aca="false">L6*L7/100</f>
        <v>1261.10665821127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-5.5123065</v>
      </c>
      <c r="D10" s="0" t="n">
        <f aca="false">-D6*D9/100</f>
        <v>-5.677675695</v>
      </c>
      <c r="E10" s="0" t="n">
        <f aca="false">-E6*E9/100</f>
        <v>-5.84800596585</v>
      </c>
      <c r="F10" s="0" t="n">
        <f aca="false">-F6*F9/100</f>
        <v>-5.99420611499625</v>
      </c>
      <c r="G10" s="0" t="n">
        <f aca="false">-G6*G9/100</f>
        <v>-6.14406126787116</v>
      </c>
      <c r="H10" s="0" t="n">
        <f aca="false">-H6*H9/100</f>
        <v>-6.29766279956793</v>
      </c>
      <c r="I10" s="0" t="n">
        <f aca="false">-I6*I9/100</f>
        <v>-6.42361605555929</v>
      </c>
      <c r="J10" s="0" t="n">
        <f aca="false">-J6*J9/100</f>
        <v>-6.55208837667048</v>
      </c>
      <c r="K10" s="0" t="n">
        <f aca="false">-K6*K9/100</f>
        <v>-6.68313014420389</v>
      </c>
      <c r="L10" s="0" t="n">
        <f aca="false">-L6*L9/100</f>
        <v>-6.81679274708797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738.649071</v>
      </c>
      <c r="D11" s="0" t="n">
        <f aca="false">D8+D10+D24</f>
        <v>772.16389452</v>
      </c>
      <c r="E11" s="0" t="n">
        <f aca="false">E8+E10+E24</f>
        <v>807.0248232873</v>
      </c>
      <c r="F11" s="0" t="n">
        <f aca="false">F8+F10+F24</f>
        <v>839.188856099475</v>
      </c>
      <c r="G11" s="0" t="n">
        <f aca="false">G8+G10+G24</f>
        <v>866.312638769833</v>
      </c>
      <c r="H11" s="0" t="n">
        <f aca="false">H8+H10+H24</f>
        <v>887.970454739079</v>
      </c>
      <c r="I11" s="0" t="n">
        <f aca="false">I8+I10+I24</f>
        <v>905.72986383386</v>
      </c>
      <c r="J11" s="0" t="n">
        <f aca="false">J8+J10+J24</f>
        <v>923.844461110537</v>
      </c>
      <c r="K11" s="0" t="n">
        <f aca="false">K8+K10+K24</f>
        <v>942.321350332748</v>
      </c>
      <c r="L11" s="0" t="n">
        <f aca="false">L8+L10+L24</f>
        <v>961.167777339403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-214.9799535</v>
      </c>
      <c r="D12" s="4" t="n">
        <f aca="false">-D6*Assumptions!D31/100</f>
        <v>-221.429352105</v>
      </c>
      <c r="E12" s="4" t="n">
        <f aca="false">-E6*Assumptions!E31/100</f>
        <v>-228.07223266815</v>
      </c>
      <c r="F12" s="4" t="n">
        <f aca="false">-F6*Assumptions!F31/100</f>
        <v>-233.774038484854</v>
      </c>
      <c r="G12" s="4" t="n">
        <f aca="false">-G6*Assumptions!G31/100</f>
        <v>-239.618389446975</v>
      </c>
      <c r="H12" s="4" t="n">
        <f aca="false">-H6*Assumptions!H31/100</f>
        <v>-245.608849183149</v>
      </c>
      <c r="I12" s="4" t="n">
        <f aca="false">-I6*Assumptions!I31/100</f>
        <v>-250.521026166812</v>
      </c>
      <c r="J12" s="4" t="n">
        <f aca="false">-J6*Assumptions!J31/100</f>
        <v>-255.531446690149</v>
      </c>
      <c r="K12" s="4" t="n">
        <f aca="false">-K6*Assumptions!K31/100</f>
        <v>-260.642075623952</v>
      </c>
      <c r="L12" s="4" t="n">
        <f aca="false">-L6*Assumptions!L31/100</f>
        <v>-265.854917136431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523.6691175</v>
      </c>
      <c r="D13" s="0" t="n">
        <f aca="false">D11+D12</f>
        <v>550.734542415</v>
      </c>
      <c r="E13" s="0" t="n">
        <f aca="false">E11+E12</f>
        <v>578.95259061915</v>
      </c>
      <c r="F13" s="0" t="n">
        <f aca="false">F11+F12</f>
        <v>605.414817614621</v>
      </c>
      <c r="G13" s="0" t="n">
        <f aca="false">G11+G12</f>
        <v>626.694249322858</v>
      </c>
      <c r="H13" s="0" t="n">
        <f aca="false">H11+H12</f>
        <v>642.361605555929</v>
      </c>
      <c r="I13" s="0" t="n">
        <f aca="false">I11+I12</f>
        <v>655.208837667048</v>
      </c>
      <c r="J13" s="0" t="n">
        <f aca="false">J11+J12</f>
        <v>668.313014420389</v>
      </c>
      <c r="K13" s="0" t="n">
        <f aca="false">K11+K12</f>
        <v>681.679274708797</v>
      </c>
      <c r="L13" s="0" t="n">
        <f aca="false">L11+L12</f>
        <v>695.312860202972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387.51514695</v>
      </c>
      <c r="D15" s="0" t="n">
        <f aca="false">D13-MAX(0,D13)*D14/100</f>
        <v>407.5435613871</v>
      </c>
      <c r="E15" s="0" t="n">
        <f aca="false">E13-MAX(0,E13)*E14/100</f>
        <v>428.424917058171</v>
      </c>
      <c r="F15" s="0" t="n">
        <f aca="false">F13-MAX(0,F13)*F14/100</f>
        <v>448.00696503482</v>
      </c>
      <c r="G15" s="0" t="n">
        <f aca="false">G13-MAX(0,G13)*G14/100</f>
        <v>463.753744498915</v>
      </c>
      <c r="H15" s="0" t="n">
        <f aca="false">H13-MAX(0,H13)*H14/100</f>
        <v>475.347588111388</v>
      </c>
      <c r="I15" s="0" t="n">
        <f aca="false">I13-MAX(0,I13)*I14/100</f>
        <v>484.854539873615</v>
      </c>
      <c r="J15" s="0" t="n">
        <f aca="false">J13-MAX(0,J13)*J14/100</f>
        <v>494.551630671088</v>
      </c>
      <c r="K15" s="0" t="n">
        <f aca="false">K13-MAX(0,K13)*K14/100</f>
        <v>504.44266328451</v>
      </c>
      <c r="L15" s="0" t="n">
        <f aca="false">L13-MAX(0,L13)*L14/100</f>
        <v>514.5315165502</v>
      </c>
    </row>
    <row r="16" customFormat="false" ht="15" hidden="false" customHeight="false" outlineLevel="0" collapsed="false">
      <c r="A16" s="0" t="s">
        <v>116</v>
      </c>
      <c r="C16" s="0" t="n">
        <f aca="false">-C12</f>
        <v>214.9799535</v>
      </c>
      <c r="D16" s="0" t="n">
        <f aca="false">-D12</f>
        <v>221.429352105</v>
      </c>
      <c r="E16" s="0" t="n">
        <f aca="false">-E12</f>
        <v>228.07223266815</v>
      </c>
      <c r="F16" s="0" t="n">
        <f aca="false">-F12</f>
        <v>233.774038484854</v>
      </c>
      <c r="G16" s="0" t="n">
        <f aca="false">-G12</f>
        <v>239.618389446975</v>
      </c>
      <c r="H16" s="0" t="n">
        <f aca="false">-H12</f>
        <v>245.608849183149</v>
      </c>
      <c r="I16" s="0" t="n">
        <f aca="false">-I12</f>
        <v>250.521026166812</v>
      </c>
      <c r="J16" s="0" t="n">
        <f aca="false">-J12</f>
        <v>255.531446690149</v>
      </c>
      <c r="K16" s="0" t="n">
        <f aca="false">-K12</f>
        <v>260.642075623952</v>
      </c>
      <c r="L16" s="0" t="n">
        <f aca="false">-L12</f>
        <v>265.854917136431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-385.861455</v>
      </c>
      <c r="D17" s="4" t="n">
        <f aca="false">-D6*Assumptions!D32/100</f>
        <v>-340.6605417</v>
      </c>
      <c r="E17" s="4" t="n">
        <f aca="false">-E6*Assumptions!E32/100</f>
        <v>-321.64032812175</v>
      </c>
      <c r="F17" s="4" t="n">
        <f aca="false">-F6*Assumptions!F32/100</f>
        <v>-299.710305749812</v>
      </c>
      <c r="G17" s="4" t="n">
        <f aca="false">-G6*Assumptions!G32/100</f>
        <v>-294.914940857815</v>
      </c>
      <c r="H17" s="4" t="n">
        <f aca="false">-H6*Assumptions!H32/100</f>
        <v>-283.394825980557</v>
      </c>
      <c r="I17" s="4" t="n">
        <f aca="false">-I6*Assumptions!I32/100</f>
        <v>-289.062722500168</v>
      </c>
      <c r="J17" s="4" t="n">
        <f aca="false">-J6*Assumptions!J32/100</f>
        <v>-281.739800196831</v>
      </c>
      <c r="K17" s="4" t="n">
        <f aca="false">-K6*Assumptions!K32/100</f>
        <v>-280.691466056563</v>
      </c>
      <c r="L17" s="4" t="n">
        <f aca="false">-L6*Assumptions!L32/100</f>
        <v>-286.305295377695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-27.9609749999999</v>
      </c>
      <c r="D18" s="4" t="n">
        <f aca="false">(D6-C6)*Assumptions!$B$37/100</f>
        <v>-24.80537925</v>
      </c>
      <c r="E18" s="4" t="n">
        <f aca="false">(E6-D6)*Assumptions!$B$37/100</f>
        <v>-25.5495406275001</v>
      </c>
      <c r="F18" s="4" t="n">
        <f aca="false">(F6-E6)*Assumptions!$B$37/100</f>
        <v>-21.9300223719375</v>
      </c>
      <c r="G18" s="4" t="n">
        <f aca="false">(G6-F6)*Assumptions!$B$37/100</f>
        <v>-22.4782729312359</v>
      </c>
      <c r="H18" s="4" t="n">
        <f aca="false">(H6-G6)*Assumptions!$B$37/100</f>
        <v>-23.0402297545168</v>
      </c>
      <c r="I18" s="4" t="n">
        <f aca="false">(I6-H6)*Assumptions!$B$37/100</f>
        <v>-18.8929883987038</v>
      </c>
      <c r="J18" s="4" t="n">
        <f aca="false">(J6-I6)*Assumptions!$B$37/100</f>
        <v>-19.2708481666779</v>
      </c>
      <c r="K18" s="4" t="n">
        <f aca="false">(K6-J6)*Assumptions!$B$37/100</f>
        <v>-19.6562651300114</v>
      </c>
      <c r="L18" s="4" t="n">
        <f aca="false">(L6-K6)*Assumptions!$B$37/100</f>
        <v>-20.0493904326117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188.67267045</v>
      </c>
      <c r="D19" s="0" t="n">
        <f aca="false">D15+D16+D17+D18</f>
        <v>263.5069925421</v>
      </c>
      <c r="E19" s="0" t="n">
        <f aca="false">E15+E16+E17+E18</f>
        <v>309.307280977071</v>
      </c>
      <c r="F19" s="0" t="n">
        <f aca="false">F15+F16+F17+F18</f>
        <v>360.140675397923</v>
      </c>
      <c r="G19" s="0" t="n">
        <f aca="false">G15+G16+G17+G18</f>
        <v>385.978920156839</v>
      </c>
      <c r="H19" s="0" t="n">
        <f aca="false">H15+H16+H17+H18</f>
        <v>414.521381559463</v>
      </c>
      <c r="I19" s="0" t="n">
        <f aca="false">I15+I16+I17+I18</f>
        <v>427.419855141556</v>
      </c>
      <c r="J19" s="0" t="n">
        <f aca="false">J15+J16+J17+J18</f>
        <v>449.072428997728</v>
      </c>
      <c r="K19" s="0" t="n">
        <f aca="false">K15+K16+K17+K18</f>
        <v>464.737007721886</v>
      </c>
      <c r="L19" s="0" t="n">
        <f aca="false">L15+L16+L17+L18</f>
        <v>474.031747876324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173.094193073395</v>
      </c>
      <c r="D21" s="0" t="n">
        <f aca="false">D19*D20</f>
        <v>221.788563708526</v>
      </c>
      <c r="E21" s="0" t="n">
        <f aca="false">E19*E20</f>
        <v>238.8419726331</v>
      </c>
      <c r="F21" s="0" t="n">
        <f aca="false">F19*F20</f>
        <v>255.132733981936</v>
      </c>
      <c r="G21" s="0" t="n">
        <f aca="false">G19*G20</f>
        <v>250.859814659472</v>
      </c>
      <c r="H21" s="0" t="n">
        <f aca="false">H19*H20</f>
        <v>247.165556116741</v>
      </c>
      <c r="I21" s="0" t="n">
        <f aca="false">I19*I20</f>
        <v>233.813297688401</v>
      </c>
      <c r="J21" s="0" t="n">
        <f aca="false">J19*J20</f>
        <v>225.374309244703</v>
      </c>
      <c r="K21" s="0" t="n">
        <f aca="false">K19*K20</f>
        <v>213.977828524438</v>
      </c>
      <c r="L21" s="0" t="n">
        <f aca="false">L19*L20</f>
        <v>200.236133114612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4.3</v>
      </c>
      <c r="D23" s="4" t="n">
        <f aca="false">Assumptions!D30</f>
        <v>4.3</v>
      </c>
      <c r="E23" s="4" t="n">
        <f aca="false">Assumptions!E30</f>
        <v>4.3</v>
      </c>
      <c r="F23" s="4" t="n">
        <f aca="false">Assumptions!F30</f>
        <v>4.3</v>
      </c>
      <c r="G23" s="4" t="n">
        <f aca="false">Assumptions!G30</f>
        <v>4.3</v>
      </c>
      <c r="H23" s="4" t="n">
        <f aca="false">Assumptions!H30</f>
        <v>4.3</v>
      </c>
      <c r="I23" s="4" t="n">
        <f aca="false">Assumptions!I30</f>
        <v>4.3</v>
      </c>
      <c r="J23" s="4" t="n">
        <f aca="false">Assumptions!J30</f>
        <v>4.3</v>
      </c>
      <c r="K23" s="4" t="n">
        <f aca="false">Assumptions!K30</f>
        <v>4.3</v>
      </c>
      <c r="L23" s="4" t="n">
        <f aca="false">Assumptions!L30</f>
        <v>4.3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-237.0291795</v>
      </c>
      <c r="D24" s="0" t="n">
        <f aca="false">-D6*D23/100</f>
        <v>-244.140054885</v>
      </c>
      <c r="E24" s="0" t="n">
        <f aca="false">-E6*E23/100</f>
        <v>-251.46425653155</v>
      </c>
      <c r="F24" s="0" t="n">
        <f aca="false">-F6*F23/100</f>
        <v>-257.750862944839</v>
      </c>
      <c r="G24" s="0" t="n">
        <f aca="false">-G6*G23/100</f>
        <v>-264.19463451846</v>
      </c>
      <c r="H24" s="0" t="n">
        <f aca="false">-H6*H23/100</f>
        <v>-270.799500381421</v>
      </c>
      <c r="I24" s="0" t="n">
        <f aca="false">-I6*I23/100</f>
        <v>-276.21549038905</v>
      </c>
      <c r="J24" s="0" t="n">
        <f aca="false">-J6*J23/100</f>
        <v>-281.739800196831</v>
      </c>
      <c r="K24" s="0" t="n">
        <f aca="false">-K6*K23/100</f>
        <v>-287.374596200767</v>
      </c>
      <c r="L24" s="0" t="n">
        <f aca="false">-L6*L23/100</f>
        <v>-293.122088124783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2260.28440274532</v>
      </c>
    </row>
    <row r="31" customFormat="false" ht="15" hidden="false" customHeight="false" outlineLevel="0" collapsed="false">
      <c r="A31" s="0" t="s">
        <v>125</v>
      </c>
      <c r="B31" s="0" t="n">
        <f aca="false">L19</f>
        <v>474.031747876324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6907.31975476929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6636.44447026853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6636.44447026853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2803.30586360456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5063.59026634989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4703.19026634989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1087.44283615026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0.296890681157141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39.1052329911252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41.9582380461838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1106.18583523403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3719.32602179885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522.412477398358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6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5325.9</v>
      </c>
      <c r="C6" s="0" t="n">
        <f aca="false">B6*(1+C5/100)</f>
        <v>5645.454</v>
      </c>
      <c r="D6" s="0" t="n">
        <f aca="false">C6*(1+D5/100)</f>
        <v>5955.95397</v>
      </c>
      <c r="E6" s="0" t="n">
        <f aca="false">D6*(1+E5/100)</f>
        <v>6253.7516685</v>
      </c>
      <c r="F6" s="0" t="n">
        <f aca="false">E6*(1+F5/100)</f>
        <v>6535.1704935825</v>
      </c>
      <c r="G6" s="0" t="n">
        <f aca="false">F6*(1+G5/100)</f>
        <v>6796.5773133258</v>
      </c>
      <c r="H6" s="0" t="n">
        <f aca="false">G6*(1+H5/100)</f>
        <v>7034.4575192922</v>
      </c>
      <c r="I6" s="0" t="n">
        <f aca="false">H6*(1+I5/100)</f>
        <v>7245.49124487097</v>
      </c>
      <c r="J6" s="0" t="n">
        <f aca="false">I6*(1+J5/100)</f>
        <v>7462.8559822171</v>
      </c>
      <c r="K6" s="0" t="n">
        <f aca="false">J6*(1+K5/100)</f>
        <v>7649.42738177252</v>
      </c>
      <c r="L6" s="0" t="n">
        <f aca="false">K6*(1+L5/100)</f>
        <v>7840.66306631684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18.6</v>
      </c>
      <c r="D7" s="4" t="n">
        <f aca="false">Assumptions!D42</f>
        <v>18.9</v>
      </c>
      <c r="E7" s="4" t="n">
        <f aca="false">Assumptions!E42</f>
        <v>19.2</v>
      </c>
      <c r="F7" s="4" t="n">
        <f aca="false">Assumptions!F42</f>
        <v>19.4</v>
      </c>
      <c r="G7" s="4" t="n">
        <f aca="false">Assumptions!G42</f>
        <v>19.5</v>
      </c>
      <c r="H7" s="4" t="n">
        <f aca="false">Assumptions!H42</f>
        <v>19.5</v>
      </c>
      <c r="I7" s="4" t="n">
        <f aca="false">Assumptions!I42</f>
        <v>19.5</v>
      </c>
      <c r="J7" s="4" t="n">
        <f aca="false">Assumptions!J42</f>
        <v>19.5</v>
      </c>
      <c r="K7" s="4" t="n">
        <f aca="false">Assumptions!K42</f>
        <v>19.5</v>
      </c>
      <c r="L7" s="4" t="n">
        <f aca="false">Assumptions!L42</f>
        <v>19.5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1050.054444</v>
      </c>
      <c r="D8" s="0" t="n">
        <f aca="false">D6*D7/100</f>
        <v>1125.67530033</v>
      </c>
      <c r="E8" s="0" t="n">
        <f aca="false">E6*E7/100</f>
        <v>1200.720320352</v>
      </c>
      <c r="F8" s="0" t="n">
        <f aca="false">F6*F7/100</f>
        <v>1267.82307575501</v>
      </c>
      <c r="G8" s="0" t="n">
        <f aca="false">G6*G7/100</f>
        <v>1325.33257609853</v>
      </c>
      <c r="H8" s="0" t="n">
        <f aca="false">H6*H7/100</f>
        <v>1371.71921626198</v>
      </c>
      <c r="I8" s="0" t="n">
        <f aca="false">I6*I7/100</f>
        <v>1412.87079274984</v>
      </c>
      <c r="J8" s="0" t="n">
        <f aca="false">J6*J7/100</f>
        <v>1455.25691653233</v>
      </c>
      <c r="K8" s="0" t="n">
        <f aca="false">K6*K7/100</f>
        <v>1491.63833944564</v>
      </c>
      <c r="L8" s="0" t="n">
        <f aca="false">L6*L7/100</f>
        <v>1528.92929793178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-5.645454</v>
      </c>
      <c r="D10" s="0" t="n">
        <f aca="false">-D6*D9/100</f>
        <v>-5.95595397</v>
      </c>
      <c r="E10" s="0" t="n">
        <f aca="false">-E6*E9/100</f>
        <v>-6.2537516685</v>
      </c>
      <c r="F10" s="0" t="n">
        <f aca="false">-F6*F9/100</f>
        <v>-6.5351704935825</v>
      </c>
      <c r="G10" s="0" t="n">
        <f aca="false">-G6*G9/100</f>
        <v>-6.7965773133258</v>
      </c>
      <c r="H10" s="0" t="n">
        <f aca="false">-H6*H9/100</f>
        <v>-7.0344575192922</v>
      </c>
      <c r="I10" s="0" t="n">
        <f aca="false">-I6*I9/100</f>
        <v>-7.24549124487097</v>
      </c>
      <c r="J10" s="0" t="n">
        <f aca="false">-J6*J9/100</f>
        <v>-7.4628559822171</v>
      </c>
      <c r="K10" s="0" t="n">
        <f aca="false">-K6*K9/100</f>
        <v>-7.64942738177253</v>
      </c>
      <c r="L10" s="0" t="n">
        <f aca="false">-L6*L9/100</f>
        <v>-7.84066306631684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807.299922</v>
      </c>
      <c r="D11" s="0" t="n">
        <f aca="false">D8+D10+D24</f>
        <v>869.56927962</v>
      </c>
      <c r="E11" s="0" t="n">
        <f aca="false">E8+E10+E24</f>
        <v>931.8089986065</v>
      </c>
      <c r="F11" s="0" t="n">
        <f aca="false">F8+F10+F24</f>
        <v>986.810744530958</v>
      </c>
      <c r="G11" s="0" t="n">
        <f aca="false">G8+G10+G24</f>
        <v>1033.07975162552</v>
      </c>
      <c r="H11" s="0" t="n">
        <f aca="false">H8+H10+H24</f>
        <v>1069.23754293241</v>
      </c>
      <c r="I11" s="0" t="n">
        <f aca="false">I8+I10+I24</f>
        <v>1101.31466922039</v>
      </c>
      <c r="J11" s="0" t="n">
        <f aca="false">J8+J10+J24</f>
        <v>1134.354109297</v>
      </c>
      <c r="K11" s="0" t="n">
        <f aca="false">K8+K10+K24</f>
        <v>1162.71296202942</v>
      </c>
      <c r="L11" s="0" t="n">
        <f aca="false">L8+L10+L24</f>
        <v>1191.78078608016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-220.172706</v>
      </c>
      <c r="D12" s="4" t="n">
        <f aca="false">-D6*Assumptions!D45/100</f>
        <v>-232.28220483</v>
      </c>
      <c r="E12" s="4" t="n">
        <f aca="false">-E6*Assumptions!E45/100</f>
        <v>-243.8963150715</v>
      </c>
      <c r="F12" s="4" t="n">
        <f aca="false">-F6*Assumptions!F45/100</f>
        <v>-254.871649249717</v>
      </c>
      <c r="G12" s="4" t="n">
        <f aca="false">-G6*Assumptions!G45/100</f>
        <v>-265.066515219706</v>
      </c>
      <c r="H12" s="4" t="n">
        <f aca="false">-H6*Assumptions!H45/100</f>
        <v>-274.343843252396</v>
      </c>
      <c r="I12" s="4" t="n">
        <f aca="false">-I6*Assumptions!I45/100</f>
        <v>-282.574158549968</v>
      </c>
      <c r="J12" s="4" t="n">
        <f aca="false">-J6*Assumptions!J45/100</f>
        <v>-291.051383306467</v>
      </c>
      <c r="K12" s="4" t="n">
        <f aca="false">-K6*Assumptions!K45/100</f>
        <v>-298.327667889128</v>
      </c>
      <c r="L12" s="4" t="n">
        <f aca="false">-L6*Assumptions!L45/100</f>
        <v>-305.785859586357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587.127216</v>
      </c>
      <c r="D13" s="0" t="n">
        <f aca="false">D11+D12</f>
        <v>637.28707479</v>
      </c>
      <c r="E13" s="0" t="n">
        <f aca="false">E11+E12</f>
        <v>687.912683535</v>
      </c>
      <c r="F13" s="0" t="n">
        <f aca="false">F11+F12</f>
        <v>731.93909528124</v>
      </c>
      <c r="G13" s="0" t="n">
        <f aca="false">G11+G12</f>
        <v>768.013236405815</v>
      </c>
      <c r="H13" s="0" t="n">
        <f aca="false">H11+H12</f>
        <v>794.893699680019</v>
      </c>
      <c r="I13" s="0" t="n">
        <f aca="false">I11+I12</f>
        <v>818.74051067042</v>
      </c>
      <c r="J13" s="0" t="n">
        <f aca="false">J11+J12</f>
        <v>843.302725990532</v>
      </c>
      <c r="K13" s="0" t="n">
        <f aca="false">K11+K12</f>
        <v>864.385294140295</v>
      </c>
      <c r="L13" s="0" t="n">
        <f aca="false">L11+L12</f>
        <v>885.994926493803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440.345412</v>
      </c>
      <c r="D15" s="0" t="n">
        <f aca="false">D13-MAX(0,D13)*D14/100</f>
        <v>477.9653060925</v>
      </c>
      <c r="E15" s="0" t="n">
        <f aca="false">E13-MAX(0,E13)*E14/100</f>
        <v>515.93451265125</v>
      </c>
      <c r="F15" s="0" t="n">
        <f aca="false">F13-MAX(0,F13)*F14/100</f>
        <v>548.95432146093</v>
      </c>
      <c r="G15" s="0" t="n">
        <f aca="false">G13-MAX(0,G13)*G14/100</f>
        <v>576.009927304362</v>
      </c>
      <c r="H15" s="0" t="n">
        <f aca="false">H13-MAX(0,H13)*H14/100</f>
        <v>596.170274760014</v>
      </c>
      <c r="I15" s="0" t="n">
        <f aca="false">I13-MAX(0,I13)*I14/100</f>
        <v>614.055383002815</v>
      </c>
      <c r="J15" s="0" t="n">
        <f aca="false">J13-MAX(0,J13)*J14/100</f>
        <v>632.477044492899</v>
      </c>
      <c r="K15" s="0" t="n">
        <f aca="false">K13-MAX(0,K13)*K14/100</f>
        <v>648.288970605221</v>
      </c>
      <c r="L15" s="0" t="n">
        <f aca="false">L13-MAX(0,L13)*L14/100</f>
        <v>664.496194870352</v>
      </c>
    </row>
    <row r="16" customFormat="false" ht="15" hidden="false" customHeight="false" outlineLevel="0" collapsed="false">
      <c r="A16" s="0" t="s">
        <v>116</v>
      </c>
      <c r="C16" s="0" t="n">
        <f aca="false">-C12</f>
        <v>220.172706</v>
      </c>
      <c r="D16" s="0" t="n">
        <f aca="false">-D12</f>
        <v>232.28220483</v>
      </c>
      <c r="E16" s="0" t="n">
        <f aca="false">-E12</f>
        <v>243.8963150715</v>
      </c>
      <c r="F16" s="0" t="n">
        <f aca="false">-F12</f>
        <v>254.871649249717</v>
      </c>
      <c r="G16" s="0" t="n">
        <f aca="false">-G12</f>
        <v>265.066515219706</v>
      </c>
      <c r="H16" s="0" t="n">
        <f aca="false">-H12</f>
        <v>274.343843252396</v>
      </c>
      <c r="I16" s="0" t="n">
        <f aca="false">-I12</f>
        <v>282.574158549968</v>
      </c>
      <c r="J16" s="0" t="n">
        <f aca="false">-J12</f>
        <v>291.051383306467</v>
      </c>
      <c r="K16" s="0" t="n">
        <f aca="false">-K12</f>
        <v>298.327667889128</v>
      </c>
      <c r="L16" s="0" t="n">
        <f aca="false">-L12</f>
        <v>305.785859586357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-366.95451</v>
      </c>
      <c r="D17" s="4" t="n">
        <f aca="false">-D6*Assumptions!D46/100</f>
        <v>-327.57746835</v>
      </c>
      <c r="E17" s="4" t="n">
        <f aca="false">-E6*Assumptions!E46/100</f>
        <v>-312.687583425</v>
      </c>
      <c r="F17" s="4" t="n">
        <f aca="false">-F6*Assumptions!F46/100</f>
        <v>-294.082672211212</v>
      </c>
      <c r="G17" s="4" t="n">
        <f aca="false">-G6*Assumptions!G46/100</f>
        <v>-292.252824473009</v>
      </c>
      <c r="H17" s="4" t="n">
        <f aca="false">-H6*Assumptions!H46/100</f>
        <v>-295.447215810273</v>
      </c>
      <c r="I17" s="4" t="n">
        <f aca="false">-I6*Assumptions!I46/100</f>
        <v>-304.310632284581</v>
      </c>
      <c r="J17" s="4" t="n">
        <f aca="false">-J6*Assumptions!J46/100</f>
        <v>-298.514239288684</v>
      </c>
      <c r="K17" s="4" t="n">
        <f aca="false">-K6*Assumptions!K46/100</f>
        <v>-305.977095270901</v>
      </c>
      <c r="L17" s="4" t="n">
        <f aca="false">-L6*Assumptions!L46/100</f>
        <v>-313.626522652674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-47.9331</v>
      </c>
      <c r="D18" s="4" t="n">
        <f aca="false">(D6-C6)*Assumptions!$B$51/100</f>
        <v>-46.5749955</v>
      </c>
      <c r="E18" s="4" t="n">
        <f aca="false">(E6-D6)*Assumptions!$B$51/100</f>
        <v>-44.6696547750001</v>
      </c>
      <c r="F18" s="4" t="n">
        <f aca="false">(F6-E6)*Assumptions!$B$51/100</f>
        <v>-42.212823762375</v>
      </c>
      <c r="G18" s="4" t="n">
        <f aca="false">(G6-F6)*Assumptions!$B$51/100</f>
        <v>-39.211022961495</v>
      </c>
      <c r="H18" s="4" t="n">
        <f aca="false">(H6-G6)*Assumptions!$B$51/100</f>
        <v>-35.6820308949603</v>
      </c>
      <c r="I18" s="4" t="n">
        <f aca="false">(I6-H6)*Assumptions!$B$51/100</f>
        <v>-31.6550588368149</v>
      </c>
      <c r="J18" s="4" t="n">
        <f aca="false">(J6-I6)*Assumptions!$B$51/100</f>
        <v>-32.6047106019194</v>
      </c>
      <c r="K18" s="4" t="n">
        <f aca="false">(K6-J6)*Assumptions!$B$51/100</f>
        <v>-27.985709933314</v>
      </c>
      <c r="L18" s="4" t="n">
        <f aca="false">(L6-K6)*Assumptions!$B$51/100</f>
        <v>-28.6853526816469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245.630508</v>
      </c>
      <c r="D19" s="0" t="n">
        <f aca="false">D15+D16+D17+D18</f>
        <v>336.0950470725</v>
      </c>
      <c r="E19" s="0" t="n">
        <f aca="false">E15+E16+E17+E18</f>
        <v>402.47358952275</v>
      </c>
      <c r="F19" s="0" t="n">
        <f aca="false">F15+F16+F17+F18</f>
        <v>467.53047473706</v>
      </c>
      <c r="G19" s="0" t="n">
        <f aca="false">G15+G16+G17+G18</f>
        <v>509.612595089563</v>
      </c>
      <c r="H19" s="0" t="n">
        <f aca="false">H15+H16+H17+H18</f>
        <v>539.384871307177</v>
      </c>
      <c r="I19" s="0" t="n">
        <f aca="false">I15+I16+I17+I18</f>
        <v>560.663850431387</v>
      </c>
      <c r="J19" s="0" t="n">
        <f aca="false">J15+J16+J17+J18</f>
        <v>592.409477908763</v>
      </c>
      <c r="K19" s="0" t="n">
        <f aca="false">K15+K16+K17+K18</f>
        <v>612.653833290135</v>
      </c>
      <c r="L19" s="0" t="n">
        <f aca="false">L15+L16+L17+L18</f>
        <v>627.970179122388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225.349089908257</v>
      </c>
      <c r="D21" s="0" t="n">
        <f aca="false">D19*D20</f>
        <v>282.884476956906</v>
      </c>
      <c r="E21" s="0" t="n">
        <f aca="false">E19*E20</f>
        <v>310.783456990345</v>
      </c>
      <c r="F21" s="0" t="n">
        <f aca="false">F19*F20</f>
        <v>331.210375245013</v>
      </c>
      <c r="G21" s="0" t="n">
        <f aca="false">G19*G20</f>
        <v>331.213220401657</v>
      </c>
      <c r="H21" s="0" t="n">
        <f aca="false">H19*H20</f>
        <v>321.61757537342</v>
      </c>
      <c r="I21" s="0" t="n">
        <f aca="false">I19*I20</f>
        <v>306.70232603168</v>
      </c>
      <c r="J21" s="0" t="n">
        <f aca="false">J19*J20</f>
        <v>297.310340720957</v>
      </c>
      <c r="K21" s="0" t="n">
        <f aca="false">K19*K20</f>
        <v>282.082844073927</v>
      </c>
      <c r="L21" s="0" t="n">
        <f aca="false">L19*L20</f>
        <v>265.261390069518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4.2</v>
      </c>
      <c r="D23" s="4" t="n">
        <f aca="false">Assumptions!D44</f>
        <v>4.2</v>
      </c>
      <c r="E23" s="4" t="n">
        <f aca="false">Assumptions!E44</f>
        <v>4.2</v>
      </c>
      <c r="F23" s="4" t="n">
        <f aca="false">Assumptions!F44</f>
        <v>4.2</v>
      </c>
      <c r="G23" s="4" t="n">
        <f aca="false">Assumptions!G44</f>
        <v>4.2</v>
      </c>
      <c r="H23" s="4" t="n">
        <f aca="false">Assumptions!H44</f>
        <v>4.2</v>
      </c>
      <c r="I23" s="4" t="n">
        <f aca="false">Assumptions!I44</f>
        <v>4.2</v>
      </c>
      <c r="J23" s="4" t="n">
        <f aca="false">Assumptions!J44</f>
        <v>4.2</v>
      </c>
      <c r="K23" s="4" t="n">
        <f aca="false">Assumptions!K44</f>
        <v>4.2</v>
      </c>
      <c r="L23" s="4" t="n">
        <f aca="false">Assumptions!L44</f>
        <v>4.2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-237.109068</v>
      </c>
      <c r="D24" s="0" t="n">
        <f aca="false">-D6*D23/100</f>
        <v>-250.15006674</v>
      </c>
      <c r="E24" s="0" t="n">
        <f aca="false">-E6*E23/100</f>
        <v>-262.657570077</v>
      </c>
      <c r="F24" s="0" t="n">
        <f aca="false">-F6*F23/100</f>
        <v>-274.477160730465</v>
      </c>
      <c r="G24" s="0" t="n">
        <f aca="false">-G6*G23/100</f>
        <v>-285.456247159684</v>
      </c>
      <c r="H24" s="0" t="n">
        <f aca="false">-H6*H23/100</f>
        <v>-295.447215810273</v>
      </c>
      <c r="I24" s="0" t="n">
        <f aca="false">-I6*I23/100</f>
        <v>-304.310632284581</v>
      </c>
      <c r="J24" s="0" t="n">
        <f aca="false">-J6*J23/100</f>
        <v>-313.439951253118</v>
      </c>
      <c r="K24" s="0" t="n">
        <f aca="false">-K6*K23/100</f>
        <v>-321.275950034446</v>
      </c>
      <c r="L24" s="0" t="n">
        <f aca="false">-L6*L23/100</f>
        <v>-329.307848785307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2954.41509577168</v>
      </c>
    </row>
    <row r="31" customFormat="false" ht="15" hidden="false" customHeight="false" outlineLevel="0" collapsed="false">
      <c r="A31" s="0" t="s">
        <v>125</v>
      </c>
      <c r="B31" s="0" t="n">
        <f aca="false">L19</f>
        <v>627.970179122388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9902.60667077612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8791.58250771343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8791.58250771343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3713.65946097326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6668.07455674494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6307.67455674494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1458.4218628312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0.739322436292426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42.8056495287732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52.2273897346327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1480.39481988632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5149.35546880358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724.274307385598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565.220990778984</v>
      </c>
      <c r="C4" s="0" t="n">
        <f aca="false">B4/Assumptions!$B$2-1</f>
        <v>-0.325914143376287</v>
      </c>
      <c r="D4" s="4" t="n">
        <f aca="false">Assumptions!$B$24</f>
        <v>0.25</v>
      </c>
      <c r="E4" s="4" t="n">
        <f aca="false">DCF_Bear!$B$43</f>
        <v>581.665250320278</v>
      </c>
      <c r="F4" s="4" t="n">
        <f aca="false">DCF_Bear!$B$47</f>
        <v>256.816373515958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1087.44283615026</v>
      </c>
      <c r="C5" s="0" t="n">
        <f aca="false">B5/Assumptions!$B$2-1</f>
        <v>0.296890681157141</v>
      </c>
      <c r="D5" s="4" t="n">
        <f aca="false">Assumptions!$B$38</f>
        <v>0.5</v>
      </c>
      <c r="E5" s="4" t="n">
        <f aca="false">DCF_Base!$B$43</f>
        <v>1106.18583523403</v>
      </c>
      <c r="F5" s="4" t="n">
        <f aca="false">DCF_Base!$B$47</f>
        <v>522.412477398358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1458.4218628312</v>
      </c>
      <c r="C6" s="0" t="n">
        <f aca="false">B6/Assumptions!$B$2-1</f>
        <v>0.739322436292426</v>
      </c>
      <c r="D6" s="4" t="n">
        <f aca="false">Assumptions!$B$52</f>
        <v>0.25</v>
      </c>
      <c r="E6" s="4" t="n">
        <f aca="false">DCF_Bull!$B$43</f>
        <v>1480.39481988632</v>
      </c>
      <c r="F6" s="4" t="n">
        <f aca="false">DCF_Bull!$B$47</f>
        <v>724.274307385598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1049.63213147768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1068.60793516867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0.201148693095403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-1112.63867879243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506.478908924568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1087.44283615026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952.550803326018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827.501116227814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727.836658902365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522.412477398358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1276.22325051261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1276.22325051261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1276.22325051261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1276.22325051261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1276.22325051261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1177.43334397633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1177.43334397633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1177.43334397633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1177.43334397633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1177.43334397633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1023.78394989995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1065.83739596834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1087.44283615026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1087.44283615026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1087.44283615026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887.992121467541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918.372677636236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952.550803326018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991.286012441103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1005.37154302841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779.893986441381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802.444732129691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827.501116227814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855.505310219834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887.010028460857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2026-10-09T23:26:53Z</dcterms:created>
  <dc:creator>openpyxl</dc:creator>
  <dc:description/>
  <dc:language>en-NZ</dc:language>
  <cp:lastModifiedBy/>
  <dcterms:modified xsi:type="dcterms:W3CDTF">2026-10-09T23:26:53Z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