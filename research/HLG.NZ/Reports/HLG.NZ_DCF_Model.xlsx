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FCF Quality" sheetId="3" r:id="rId3"/>
    <sheet name="Historical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<sst xmlns="http://schemas.openxmlformats.org/spreadsheetml/2006/main" count="154" uniqueCount="138">
  <si>
    <t>HLG.NZ DCF Valuation Model (Base Case)</t>
  </si>
  <si>
    <t>Gray cells are INPUTS - adjust to see valuation change. 10-year horizon (margin not mature by Y5).</t>
  </si>
  <si>
    <t>KEY INPUTS</t>
  </si>
  <si>
    <t>Current Stock Price (NZD)</t>
  </si>
  <si>
    <t>Shares Outstanding (M)</t>
  </si>
  <si>
    <t>Cash &amp; Equivalents (M)</t>
  </si>
  <si>
    <t>Total Debt excl. Leases (M)</t>
  </si>
  <si>
    <t>Net Debt (M)  [debt - cash; leases excluded]</t>
  </si>
  <si>
    <t>Reported FCF FY2025 (OCF - Capex, M)</t>
  </si>
  <si>
    <t>Less: Lease Principal Repayments (M)</t>
  </si>
  <si>
    <t>Less: Interest Income (M)</t>
  </si>
  <si>
    <t>Less: SBC (negligible, M)</t>
  </si>
  <si>
    <t>Base Year Owner FCF (M)</t>
  </si>
  <si>
    <t>WACC</t>
  </si>
  <si>
    <t>Terminal Growth Rate</t>
  </si>
  <si>
    <t>Terminal Cap Multiple (x FCF)</t>
  </si>
  <si>
    <t>Base Revenue FY2025 (M)</t>
  </si>
  <si>
    <t>COMPONENT ASSUMPTIONS (BASE CASE)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</si>
  <si>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</si>
  <si>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</si>
  <si>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</si>
  <si>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</si>
  <si>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</si>
  <si>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</si>
  <si>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</si>
  <si>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</si>
  <si>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</si>
  <si>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</si>
  <si>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Revenue Growth %</t>
  </si>
  <si>
    <t>EBIT Margin %</t>
  </si>
  <si>
    <t>D&amp;A % of Revenue</t>
  </si>
  <si>
    <t>Capex % of Revenue</t>
  </si>
  <si>
    <t>Lease Principal % of Revenue</t>
  </si>
  <si>
    <t>Lease Interest % of Revenue</t>
  </si>
  <si>
    <t>Cash Tax Rate %</t>
  </si>
  <si>
    <t>WC Capture % of Rev Growth (drag)</t>
  </si>
  <si>
    <t>PROJECTIONS (FORMULAS)</t>
  </si>
  <si>
    <t>Revenue</t>
  </si>
  <si>
    <t>EBIT</t>
  </si>
  <si>
    <t>D&amp;A</t>
  </si>
  <si>
    <t>NOPAT (EBIT x (1-tax))</t>
  </si>
  <si>
    <t>Capex</t>
  </si>
  <si>
    <t>Lease Principal Repayment</t>
  </si>
  <si>
    <t>Lease Interest (after-tax)</t>
  </si>
  <si>
    <t>Working Capital (on rev change)</t>
  </si>
  <si>
    <t>Owner FCF</t>
  </si>
  <si>
    <t>Owner FCF Margin %</t>
  </si>
  <si>
    <t>Discount Factor</t>
  </si>
  <si>
    <t>PV of Owner FCF</t>
  </si>
  <si>
    <t>VALUATION</t>
  </si>
  <si>
    <t>Sum of PV of FCF (Yr1-10)</t>
  </si>
  <si>
    <t>Terminal FCF (Year 10 x (1+g))</t>
  </si>
  <si>
    <t>Terminal Value (Gordon)</t>
  </si>
  <si>
    <t>Terminal Value (Cap, 14x)</t>
  </si>
  <si>
    <t>Terminal Value Used (MIN)</t>
  </si>
  <si>
    <t>PV of Terminal Value</t>
  </si>
  <si>
    <t>Enterprise Value</t>
  </si>
  <si>
    <t>Less: Net Debt</t>
  </si>
  <si>
    <t>Equity Value</t>
  </si>
  <si>
    <t>INTRINSIC VALUE/SHARE</t>
  </si>
  <si>
    <t>Upside/(Downside) vs Current Price</t>
  </si>
  <si>
    <t>Terminal Value % of EV</t>
  </si>
  <si>
    <t>Implied Exit Multiple (TV/FCF10)</t>
  </si>
  <si>
    <t>ENTRY PRICE (15% IRR Target)</t>
  </si>
  <si>
    <t>PV of Yr1-10 FCF @15%</t>
  </si>
  <si>
    <t>PV of Terminal Value @15%</t>
  </si>
  <si>
    <t>Entry Price (15% IRR)</t>
  </si>
  <si>
    <t>Entry Discount from Current Price</t>
  </si>
  <si>
    <t>Sensitivity Analysis</t>
  </si>
  <si>
    <t>Intrinsic Value by WACC &amp; Terminal Growth (Base Case, 10yr)</t>
  </si>
  <si>
    <t>WACC \ Term G</t>
  </si>
  <si>
    <t>FCF Quality: Reported vs Owner FCF Reconciliation</t>
  </si>
  <si>
    <t>IFRS 16 adopted FY2020: reported FCF post-2019 excludes rent (now financing outflow). Owner FCF restores rent as a cash cost via actual lease principal repayments.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</si>
  <si>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</si>
  <si>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</si>
  <si>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</si>
  <si>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</si>
  <si>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</si>
  <si>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</si>
  <si>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</si>
  <si>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</si>
  <si>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</si>
  <si>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Reported FCF (OCF - Capex)</t>
  </si>
  <si>
    <t xml:space="preserve">  less: Lease Principal Repayment</t>
  </si>
  <si>
    <t xml:space="preserve">  less: Interest Income</t>
  </si>
  <si>
    <t xml:space="preserve">  less: SBC (negligible)</t>
  </si>
  <si>
    <t>Reported FCF Margin %</t>
  </si>
  <si>
    <t>Memo: NPAT (sanity check)</t>
  </si>
  <si>
    <t>Memo: Owner FCF / NPAT</t>
  </si>
  <si>
    <t>Memo: Effective Cash Tax Rate %</t>
  </si>
  <si>
    <t>Note: FY2020 owner FCF ($42.4m) exceeds NPAT ($27.8m) due to COVID-era working-capital conservation (inventory destocking, deferred capex) in the first IFRS16 transition year - not repeatable.</t>
  </si>
  <si>
    <t>Historical Growth Rates</t>
  </si>
  <si>
    <t>Metric</t>
  </si>
  <si>
    <t>3-Year CAGR</t>
  </si>
  <si>
    <t>5-Year CAGR</t>
  </si>
  <si>
    <t>EPS</t>
  </si>
  <si>
    <t>Equity/Book Value</t>
  </si>
  <si>
    <t>Reported FCF</t>
  </si>
  <si>
    <t>Selected Growth Rate:</t>
  </si>
  <si>
    <t>Source:</t>
  </si>
  <si>
    <t>blend of equity_5yr_cagr (5.1%) and revenue/NPAT trend (~9-11%), weighted toward the conservative equity anchor but adjusted up given HLG's ~85% payout ratio structurally suppresses equity CAGR relative to true earnings power</t>
  </si>
  <si>
    <t>Divergence Warning:</t>
  </si>
  <si>
    <t>Equity 5yr CAGR (5.1%) diverges &gt;30% from revenue 5yr CAGR (10.3%). This is NOT a quality red flag: HLG pays out ~80-90% of earnings as dividends (FY2025 DPS $0.51 / EPS $0.66), so retained earnings — and hence book value growth — mechanically lag revenue/earnings growth. Revenue and NPAT CAGRs are the more meaningful growth signals for this income-oriented compounder; equity CAGR understates growth because most profit leaves the balance sheet as dividends rather than being retained.</t>
  </si>
  <si>
    <t>Notes:</t>
  </si>
  <si>
    <t>Owner FCF CAGRs are noisy and not used as the primary growth anchor: the 5yr figure (-0.8%) is distorted by an unusually strong FY2020 (COVID-era inventory destocking + first year of IFRS16 transition creating one-off working-capital tailwinds), while the 3yr figure (26.6%) reflects rebound from the FY2022 trough (post-COVID reopening cost inflation, weak NZ consumer) to a record FY2025. Owner FCF broadly tracks NPAT ($40.7m owner FCF vs $39.5m NPAT in FY2025), confirming the lease-adjusted FCF series is sound; the DCF instead anchors forward growth on revenue/NPBT trends and NZ/AU apparel retail's structurally low-to-mid-single-digit long-run volume growth plus continued Australian expansion.</t>
  </si>
  <si>
    <t>Model Provenance &amp; Methodology</t>
  </si>
  <si>
    <t>Ticker</t>
  </si>
  <si>
    <t>HLG.NZ - Hallenstein Glasson Holdings Limited</t>
  </si>
  <si>
    <t>Built by</t>
  </si>
  <si>
    <t>Claude DCF-analyst agent, per .claude/agents/dcf-analyst.md workflow</t>
  </si>
  <si>
    <t>Valuation date</t>
  </si>
  <si>
    <t>2026-08-01</t>
  </si>
  <si>
    <t>Share price data vintage</t>
  </si>
  <si>
    <t>NZ$10.65, Yahoo Finance, 1 Aug 2026 (regularMarketPrice via chart API)</t>
  </si>
  <si>
    <t>Financial data vintage</t>
  </si>
  <si>
    <t>FY2025 Annual Report (year ended 1 Aug 2025) + H1-2026 interim report (6 months to 1 Feb 2026), plus FY2017-FY2025 annuals for history</t>
  </si>
  <si>
    <t>Horizon</t>
  </si>
  <si>
    <t>10 years (FY2026-FY2035). Base-case owner-FCF margin was still rising at Year 5 (8.26%) vs Year 10 (8.86%) so the horizon was extended per the component-build maturity test.</t>
  </si>
  <si>
    <t>IFRS 16 lease adjustment</t>
  </si>
  <si>
    <t>Reported FCF (OCF-Capex) is inflated post-FY2020 because rent is excluded from OCF (moved to financing as lease principal repayments). Owner FCF deducts ACTUAL lease principal repayments per year, sourced from the financing-activities section of each Annual Report cash flow statement (Extracted/*.txt), converted from $000s to $m. Lease interest (finance expense) is also deducted after-tax in the projection build since it is a real cash cost of the lease-funded store network. Lease liabilities (~$76.6m FY2025) are EXCLUDED from net debt (operating obligations, not financial debt) to avoid double-counting since their cash service cost already sits inside owner FCF.</t>
  </si>
  <si>
    <t>SBC treatment</t>
  </si>
  <si>
    <t>Negligible ($0.0-0.2m/yr historically, no material LTI expense line) - no share dilution or SBC deduction from FCF is material. Documented as "sbc_source" in the JSON per the SBC-adjustment policy even though the amount essentially nets to zero.</t>
  </si>
  <si>
    <t>Net cash treatment</t>
  </si>
  <si>
    <t>Net cash was $58.3m FY2025 (no bank debt ever). Interest income ($2.0m FY2025) is stripped from owner FCF each year (net cash &gt; owner FCF base) to avoid double-counting the cash pile (once via interest inside FCF, once via subtracting negative net debt in the EV bridge).</t>
  </si>
  <si>
    <t>Component margin build</t>
  </si>
  <si>
    <t>Owner FCF built from EBIT (already net of D&amp;A incl. ROU depreciation) -&gt; NOPAT at a normalizing cash tax rate (effective 32.4% FY25 -&gt; ~29% blended NZ 28%/AU 30% as AU mix grows) -&gt; add back D&amp;A -&gt; less capex -&gt; less lease principal repayment -&gt; less after-tax lease interest -&gt; +/- working capital (modeled as a DRAG scaling with revenue GROWTH, not a tailwind, since HLG is an inventory-heavy apparel retailer with no deferred-revenue offset).</t>
  </si>
  <si>
    <t>Terminal value</t>
  </si>
  <si>
    <t>MIN of Gordon growth (WACC 10.5% base, terminal growth 2.25% base) and a 14x terminal-FCF cap (12-15x across scenarios, appropriate for a cyclical mature retailer). Gordon bound in all three scenarios (below the cap) in the base run; sensitivity table shows the cap flattening the low-WACC corner.</t>
  </si>
  <si>
    <t>WACC rationale</t>
  </si>
  <si>
    <t>Base WACC 10.5% reflects: NZ risk-free rate ~4.5-5.0%, NZ equity risk premium ~5.5-6.0%, HLG beta modestly above 1.0 given discretionary-retail/consumer-cyclical exposure, small-cap illiquidity premium for a ~NZ$635m market cap NZX stock, plus a ~0.5-1.0pp fashion/cyclical risk premium for unhedged USD sourcing exposure and intensifying online fast-fashion competition (Shein/Temu). No interest-bearing debt (lease liabilities excluded), so WACC ≈ cost of equity. Bull case uses a lower 10.0% WACC (established AU growth track record reduces execution risk); Bear case uses 11.5% (consumer recession + competitive share-loss risk both realized, raising required return).</t>
  </si>
  <si>
    <t>Entry price</t>
  </si>
  <si>
    <t>15% IRR hurdle: PV of Yr1-10 owner FCF at 15% + PV of Gordon terminal value (computed at WACC, discounted at 15%) - net debt, over the flat 59.649m share count (no dilution).</t>
  </si>
  <si>
    <t>Colour conventions</t>
  </si>
  <si>
    <t>Gray-shaded cells with border = INPUTS you can change. White cells = FORMULAS that recalculate automatically. Green cell = key output (Intrinsic Value / Entry Price).</t>
  </si>
  <si>
    <t>Refresh triggers</t>
  </si>
  <si>
    <t>Re-run after: FY2026 Annual Report (Aug/Sep 2026) - update FY2025 actuals to FY2026 actuals, refresh lease principal repayment figure, refresh effective tax rate, re-check margin trajectory vs H1-2026 momentum (H1 NPBT +32.9 percent, may prove unsustainable per managements own seasonality caution). Also refresh current_price and re-run entry price / sensitivity whenever price moves materially.</t>
  </si>
  <si>
    <t>Known limitations</t>
  </si>
  <si>
    <t>Owner FCF historical series is noisy (FY2020 COVID-era spike, FY2022 trough) - CAGRs on this series are not reliable growth anchors; revenue/NPAT CAGRs and component build are used instead. Effective tax rate includes permanent one-off items not expected to recur at the same magnitude - normalized path may differ from actual outturns. All figures go stale - always re-verify against the latest filings before relying on this model for investment decisions.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</si>
</sst>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#,##0.0"/>
    <numFmt numFmtId="166" formatCode="0.00%"/>
    <numFmt numFmtId="167" formatCode="0.0%"/>
    <numFmt numFmtId="168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7" fontId="0" fillId="0" borderId="2" xfId="0" applyNumberFormat="1" applyBorder="1"/>
    <xf numFmtId="168" fontId="4" fillId="4" borderId="2" xfId="0" applyNumberFormat="1" applyFont="1" applyFill="1" applyBorder="1"/>
    <xf numFmtId="166" fontId="4" fillId="3" borderId="0" xfId="0" applyNumberFormat="1" applyFont="1" applyFill="1"/>
    <xf numFmtId="168" fontId="0" fillId="0" borderId="2" xfId="0" applyNumberForma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/>
  </sheetViews>
  <sheetFormatPr defaultRowHeight="15"/>
  <cols>
    <col min="1" max="1" width="30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10.65</v>
      </c>
    </row>
    <row r="6" spans="1:2">
      <c r="A6" t="s">
        <v>4</v>
      </c>
      <c r="B6" s="4">
        <v>59.649</v>
      </c>
    </row>
    <row r="7" spans="1:2">
      <c r="A7" t="s">
        <v>5</v>
      </c>
      <c r="B7" s="4">
        <v>58.3</v>
      </c>
    </row>
    <row r="8" spans="1:2">
      <c r="A8" t="s">
        <v>6</v>
      </c>
      <c r="B8" s="4">
        <v>0</v>
      </c>
    </row>
    <row r="9" spans="1:2">
      <c r="A9" t="s">
        <v>7</v>
      </c>
      <c r="B9" s="5">
        <f>B8-B7</f>
        <v>0</v>
      </c>
    </row>
    <row r="10" spans="1:2">
      <c r="A10" t="s">
        <v>8</v>
      </c>
      <c r="B10" s="4">
        <v>72.8</v>
      </c>
    </row>
    <row r="11" spans="1:2">
      <c r="A11" t="s">
        <v>9</v>
      </c>
      <c r="B11" s="4">
        <v>30.141</v>
      </c>
    </row>
    <row r="12" spans="1:2">
      <c r="A12" t="s">
        <v>10</v>
      </c>
      <c r="B12" s="4">
        <v>2</v>
      </c>
    </row>
    <row r="13" spans="1:2">
      <c r="A13" t="s">
        <v>11</v>
      </c>
      <c r="B13" s="4">
        <v>0</v>
      </c>
    </row>
    <row r="14" spans="1:2">
      <c r="A14" t="s">
        <v>12</v>
      </c>
      <c r="B14" s="5">
        <f>B10-B11-B12-B13</f>
        <v>0</v>
      </c>
    </row>
    <row r="16" spans="1:2">
      <c r="A16" t="s">
        <v>13</v>
      </c>
      <c r="B16" s="6">
        <v>0.105</v>
      </c>
    </row>
    <row r="17" spans="1:11">
      <c r="A17" t="s">
        <v>14</v>
      </c>
      <c r="B17" s="6">
        <v>0.0225</v>
      </c>
    </row>
    <row r="18" spans="1:11">
      <c r="A18" t="s">
        <v>15</v>
      </c>
      <c r="B18" s="4">
        <v>14</v>
      </c>
    </row>
    <row r="19" spans="1:11">
      <c r="A19" t="s">
        <v>16</v>
      </c>
      <c r="B19" s="4">
        <v>470.7207207207207</v>
      </c>
    </row>
    <row r="22" spans="1:11">
      <c r="A22" s="3" t="s">
        <v>17</v>
      </c>
    </row>
    <row r="23" spans="1:11">
      <c r="A23" s="7"/>
      <c r="B23" s="7" t="s">
        <v>18</v>
      </c>
      <c r="C23" s="7" t="s">
        <v>19</v>
      </c>
      <c r="D23" s="7" t="s">
        <v>20</v>
      </c>
      <c r="E23" s="7" t="s">
        <v>21</v>
      </c>
      <c r="F23" s="7" t="s">
        <v>22</v>
      </c>
      <c r="G23" s="7" t="s">
        <v>23</v>
      </c>
      <c r="H23" s="7" t="s">
        <v>24</v>
      </c>
      <c r="I23" s="7" t="s">
        <v>25</v>
      </c>
      <c r="J23" s="7" t="s">
        <v>26</v>
      </c>
      <c r="K23" s="7" t="s">
        <v>27</v>
      </c>
    </row>
    <row r="24" spans="1:11">
      <c r="A24" s="8" t="s">
        <v>28</v>
      </c>
      <c r="B24" s="6">
        <v>0.11</v>
      </c>
      <c r="C24" s="6">
        <v>0.09</v>
      </c>
      <c r="D24" s="6">
        <v>0.075</v>
      </c>
      <c r="E24" s="6">
        <v>0.065</v>
      </c>
      <c r="F24" s="6">
        <v>0.055</v>
      </c>
      <c r="G24" s="6">
        <v>0.05</v>
      </c>
      <c r="H24" s="6">
        <v>0.045</v>
      </c>
      <c r="I24" s="6">
        <v>0.043</v>
      </c>
      <c r="J24" s="6">
        <v>0.04099999999999999</v>
      </c>
      <c r="K24" s="6">
        <v>0.04</v>
      </c>
    </row>
    <row r="25" spans="1:11">
      <c r="A25" s="8" t="s">
        <v>29</v>
      </c>
      <c r="B25" s="6">
        <v>0.133</v>
      </c>
      <c r="C25" s="6">
        <v>0.135</v>
      </c>
      <c r="D25" s="6">
        <v>0.137</v>
      </c>
      <c r="E25" s="6">
        <v>0.139</v>
      </c>
      <c r="F25" s="6">
        <v>0.14</v>
      </c>
      <c r="G25" s="6">
        <v>0.141</v>
      </c>
      <c r="H25" s="6">
        <v>0.142</v>
      </c>
      <c r="I25" s="6">
        <v>0.143</v>
      </c>
      <c r="J25" s="6">
        <v>0.144</v>
      </c>
      <c r="K25" s="6">
        <v>0.145</v>
      </c>
    </row>
    <row r="26" spans="1:11">
      <c r="A26" s="8" t="s">
        <v>30</v>
      </c>
      <c r="B26" s="6">
        <v>0.08599999999999999</v>
      </c>
      <c r="C26" s="6">
        <v>0.08599999999999999</v>
      </c>
      <c r="D26" s="6">
        <v>0.08599999999999999</v>
      </c>
      <c r="E26" s="6">
        <v>0.08599999999999999</v>
      </c>
      <c r="F26" s="6">
        <v>0.08599999999999999</v>
      </c>
      <c r="G26" s="6">
        <v>0.08599999999999999</v>
      </c>
      <c r="H26" s="6">
        <v>0.08599999999999999</v>
      </c>
      <c r="I26" s="6">
        <v>0.08599999999999999</v>
      </c>
      <c r="J26" s="6">
        <v>0.08599999999999999</v>
      </c>
      <c r="K26" s="6">
        <v>0.08599999999999999</v>
      </c>
    </row>
    <row r="27" spans="1:11">
      <c r="A27" s="8" t="s">
        <v>31</v>
      </c>
      <c r="B27" s="6">
        <v>0.038</v>
      </c>
      <c r="C27" s="6">
        <v>0.036</v>
      </c>
      <c r="D27" s="6">
        <v>0.034</v>
      </c>
      <c r="E27" s="6">
        <v>0.033</v>
      </c>
      <c r="F27" s="6">
        <v>0.033</v>
      </c>
      <c r="G27" s="6">
        <v>0.033</v>
      </c>
      <c r="H27" s="6">
        <v>0.033</v>
      </c>
      <c r="I27" s="6">
        <v>0.033</v>
      </c>
      <c r="J27" s="6">
        <v>0.033</v>
      </c>
      <c r="K27" s="6">
        <v>0.033</v>
      </c>
    </row>
    <row r="28" spans="1:11">
      <c r="A28" s="8" t="s">
        <v>32</v>
      </c>
      <c r="B28" s="6">
        <v>0.062</v>
      </c>
      <c r="C28" s="6">
        <v>0.061</v>
      </c>
      <c r="D28" s="6">
        <v>0.06</v>
      </c>
      <c r="E28" s="6">
        <v>0.059</v>
      </c>
      <c r="F28" s="6">
        <v>0.059</v>
      </c>
      <c r="G28" s="6">
        <v>0.058</v>
      </c>
      <c r="H28" s="6">
        <v>0.058</v>
      </c>
      <c r="I28" s="6">
        <v>0.058</v>
      </c>
      <c r="J28" s="6">
        <v>0.058</v>
      </c>
      <c r="K28" s="6">
        <v>0.058</v>
      </c>
    </row>
    <row r="29" spans="1:11">
      <c r="A29" s="8" t="s">
        <v>33</v>
      </c>
      <c r="B29" s="6">
        <v>0.01</v>
      </c>
      <c r="C29" s="6">
        <v>0.01</v>
      </c>
      <c r="D29" s="6">
        <v>0.01</v>
      </c>
      <c r="E29" s="6">
        <v>0.01</v>
      </c>
      <c r="F29" s="6">
        <v>0.01</v>
      </c>
      <c r="G29" s="6">
        <v>0.01</v>
      </c>
      <c r="H29" s="6">
        <v>0.01</v>
      </c>
      <c r="I29" s="6">
        <v>0.01</v>
      </c>
      <c r="J29" s="6">
        <v>0.01</v>
      </c>
      <c r="K29" s="6">
        <v>0.01</v>
      </c>
    </row>
    <row r="30" spans="1:11">
      <c r="A30" s="8" t="s">
        <v>34</v>
      </c>
      <c r="B30" s="6">
        <v>0.31</v>
      </c>
      <c r="C30" s="6">
        <v>0.305</v>
      </c>
      <c r="D30" s="6">
        <v>0.3</v>
      </c>
      <c r="E30" s="6">
        <v>0.3</v>
      </c>
      <c r="F30" s="6">
        <v>0.295</v>
      </c>
      <c r="G30" s="6">
        <v>0.29</v>
      </c>
      <c r="H30" s="6">
        <v>0.29</v>
      </c>
      <c r="I30" s="6">
        <v>0.29</v>
      </c>
      <c r="J30" s="6">
        <v>0.29</v>
      </c>
      <c r="K30" s="6">
        <v>0.29</v>
      </c>
    </row>
    <row r="31" spans="1:11">
      <c r="A31" s="8" t="s">
        <v>35</v>
      </c>
      <c r="B31" s="6">
        <v>-0.06</v>
      </c>
    </row>
    <row r="33" spans="1:11">
      <c r="A33" s="3" t="s">
        <v>36</v>
      </c>
    </row>
    <row r="34" spans="1:11">
      <c r="B34" s="7" t="s">
        <v>18</v>
      </c>
      <c r="C34" s="7" t="s">
        <v>19</v>
      </c>
      <c r="D34" s="7" t="s">
        <v>20</v>
      </c>
      <c r="E34" s="7" t="s">
        <v>21</v>
      </c>
      <c r="F34" s="7" t="s">
        <v>22</v>
      </c>
      <c r="G34" s="7" t="s">
        <v>23</v>
      </c>
      <c r="H34" s="7" t="s">
        <v>24</v>
      </c>
      <c r="I34" s="7" t="s">
        <v>25</v>
      </c>
      <c r="J34" s="7" t="s">
        <v>26</v>
      </c>
      <c r="K34" s="7" t="s">
        <v>27</v>
      </c>
    </row>
    <row r="35" spans="1:11">
      <c r="A35" t="s">
        <v>37</v>
      </c>
      <c r="B35" s="5">
        <f>$B$19*(1+B24)</f>
        <v>0</v>
      </c>
      <c r="C35" s="5">
        <f>B35*(1+C24)</f>
        <v>0</v>
      </c>
      <c r="D35" s="5">
        <f>C35*(1+D24)</f>
        <v>0</v>
      </c>
      <c r="E35" s="5">
        <f>D35*(1+E24)</f>
        <v>0</v>
      </c>
      <c r="F35" s="5">
        <f>E35*(1+F24)</f>
        <v>0</v>
      </c>
      <c r="G35" s="5">
        <f>F35*(1+G24)</f>
        <v>0</v>
      </c>
      <c r="H35" s="5">
        <f>G35*(1+H24)</f>
        <v>0</v>
      </c>
      <c r="I35" s="5">
        <f>H35*(1+I24)</f>
        <v>0</v>
      </c>
      <c r="J35" s="5">
        <f>I35*(1+J24)</f>
        <v>0</v>
      </c>
      <c r="K35" s="5">
        <f>J35*(1+K24)</f>
        <v>0</v>
      </c>
    </row>
    <row r="36" spans="1:11">
      <c r="A36" t="s">
        <v>38</v>
      </c>
      <c r="B36" s="5">
        <f>B35*B25</f>
        <v>0</v>
      </c>
      <c r="C36" s="5">
        <f>C35*C25</f>
        <v>0</v>
      </c>
      <c r="D36" s="5">
        <f>D35*D25</f>
        <v>0</v>
      </c>
      <c r="E36" s="5">
        <f>E35*E25</f>
        <v>0</v>
      </c>
      <c r="F36" s="5">
        <f>F35*F25</f>
        <v>0</v>
      </c>
      <c r="G36" s="5">
        <f>G35*G25</f>
        <v>0</v>
      </c>
      <c r="H36" s="5">
        <f>H35*H25</f>
        <v>0</v>
      </c>
      <c r="I36" s="5">
        <f>I35*I25</f>
        <v>0</v>
      </c>
      <c r="J36" s="5">
        <f>J35*J25</f>
        <v>0</v>
      </c>
      <c r="K36" s="5">
        <f>K35*K25</f>
        <v>0</v>
      </c>
    </row>
    <row r="37" spans="1:11">
      <c r="A37" t="s">
        <v>39</v>
      </c>
      <c r="B37" s="5">
        <f>B35*B26</f>
        <v>0</v>
      </c>
      <c r="C37" s="5">
        <f>C35*C26</f>
        <v>0</v>
      </c>
      <c r="D37" s="5">
        <f>D35*D26</f>
        <v>0</v>
      </c>
      <c r="E37" s="5">
        <f>E35*E26</f>
        <v>0</v>
      </c>
      <c r="F37" s="5">
        <f>F35*F26</f>
        <v>0</v>
      </c>
      <c r="G37" s="5">
        <f>G35*G26</f>
        <v>0</v>
      </c>
      <c r="H37" s="5">
        <f>H35*H26</f>
        <v>0</v>
      </c>
      <c r="I37" s="5">
        <f>I35*I26</f>
        <v>0</v>
      </c>
      <c r="J37" s="5">
        <f>J35*J26</f>
        <v>0</v>
      </c>
      <c r="K37" s="5">
        <f>K35*K26</f>
        <v>0</v>
      </c>
    </row>
    <row r="38" spans="1:11">
      <c r="A38" t="s">
        <v>40</v>
      </c>
      <c r="B38" s="5">
        <f>B36*(1-B30)</f>
        <v>0</v>
      </c>
      <c r="C38" s="5">
        <f>C36*(1-C30)</f>
        <v>0</v>
      </c>
      <c r="D38" s="5">
        <f>D36*(1-D30)</f>
        <v>0</v>
      </c>
      <c r="E38" s="5">
        <f>E36*(1-E30)</f>
        <v>0</v>
      </c>
      <c r="F38" s="5">
        <f>F36*(1-F30)</f>
        <v>0</v>
      </c>
      <c r="G38" s="5">
        <f>G36*(1-G30)</f>
        <v>0</v>
      </c>
      <c r="H38" s="5">
        <f>H36*(1-H30)</f>
        <v>0</v>
      </c>
      <c r="I38" s="5">
        <f>I36*(1-I30)</f>
        <v>0</v>
      </c>
      <c r="J38" s="5">
        <f>J36*(1-J30)</f>
        <v>0</v>
      </c>
      <c r="K38" s="5">
        <f>K36*(1-K30)</f>
        <v>0</v>
      </c>
    </row>
    <row r="39" spans="1:11">
      <c r="A39" t="s">
        <v>41</v>
      </c>
      <c r="B39" s="5">
        <f>B35*B27</f>
        <v>0</v>
      </c>
      <c r="C39" s="5">
        <f>C35*C27</f>
        <v>0</v>
      </c>
      <c r="D39" s="5">
        <f>D35*D27</f>
        <v>0</v>
      </c>
      <c r="E39" s="5">
        <f>E35*E27</f>
        <v>0</v>
      </c>
      <c r="F39" s="5">
        <f>F35*F27</f>
        <v>0</v>
      </c>
      <c r="G39" s="5">
        <f>G35*G27</f>
        <v>0</v>
      </c>
      <c r="H39" s="5">
        <f>H35*H27</f>
        <v>0</v>
      </c>
      <c r="I39" s="5">
        <f>I35*I27</f>
        <v>0</v>
      </c>
      <c r="J39" s="5">
        <f>J35*J27</f>
        <v>0</v>
      </c>
      <c r="K39" s="5">
        <f>K35*K27</f>
        <v>0</v>
      </c>
    </row>
    <row r="40" spans="1:11">
      <c r="A40" t="s">
        <v>42</v>
      </c>
      <c r="B40" s="5">
        <f>B35*B28</f>
        <v>0</v>
      </c>
      <c r="C40" s="5">
        <f>C35*C28</f>
        <v>0</v>
      </c>
      <c r="D40" s="5">
        <f>D35*D28</f>
        <v>0</v>
      </c>
      <c r="E40" s="5">
        <f>E35*E28</f>
        <v>0</v>
      </c>
      <c r="F40" s="5">
        <f>F35*F28</f>
        <v>0</v>
      </c>
      <c r="G40" s="5">
        <f>G35*G28</f>
        <v>0</v>
      </c>
      <c r="H40" s="5">
        <f>H35*H28</f>
        <v>0</v>
      </c>
      <c r="I40" s="5">
        <f>I35*I28</f>
        <v>0</v>
      </c>
      <c r="J40" s="5">
        <f>J35*J28</f>
        <v>0</v>
      </c>
      <c r="K40" s="5">
        <f>K35*K28</f>
        <v>0</v>
      </c>
    </row>
    <row r="41" spans="1:11">
      <c r="A41" t="s">
        <v>43</v>
      </c>
      <c r="B41" s="5">
        <f>B35*B29*(1-B30)</f>
        <v>0</v>
      </c>
      <c r="C41" s="5">
        <f>C35*C29*(1-C30)</f>
        <v>0</v>
      </c>
      <c r="D41" s="5">
        <f>D35*D29*(1-D30)</f>
        <v>0</v>
      </c>
      <c r="E41" s="5">
        <f>E35*E29*(1-E30)</f>
        <v>0</v>
      </c>
      <c r="F41" s="5">
        <f>F35*F29*(1-F30)</f>
        <v>0</v>
      </c>
      <c r="G41" s="5">
        <f>G35*G29*(1-G30)</f>
        <v>0</v>
      </c>
      <c r="H41" s="5">
        <f>H35*H29*(1-H30)</f>
        <v>0</v>
      </c>
      <c r="I41" s="5">
        <f>I35*I29*(1-I30)</f>
        <v>0</v>
      </c>
      <c r="J41" s="5">
        <f>J35*J29*(1-J30)</f>
        <v>0</v>
      </c>
      <c r="K41" s="5">
        <f>K35*K29*(1-K30)</f>
        <v>0</v>
      </c>
    </row>
    <row r="42" spans="1:11">
      <c r="A42" t="s">
        <v>44</v>
      </c>
      <c r="B42" s="5">
        <f>$B$31*(B35-$B$19)</f>
        <v>0</v>
      </c>
      <c r="C42" s="5">
        <f>$B$31*(C35-B35)</f>
        <v>0</v>
      </c>
      <c r="D42" s="5">
        <f>$B$31*(D35-C35)</f>
        <v>0</v>
      </c>
      <c r="E42" s="5">
        <f>$B$31*(E35-D35)</f>
        <v>0</v>
      </c>
      <c r="F42" s="5">
        <f>$B$31*(F35-E35)</f>
        <v>0</v>
      </c>
      <c r="G42" s="5">
        <f>$B$31*(G35-F35)</f>
        <v>0</v>
      </c>
      <c r="H42" s="5">
        <f>$B$31*(H35-G35)</f>
        <v>0</v>
      </c>
      <c r="I42" s="5">
        <f>$B$31*(I35-H35)</f>
        <v>0</v>
      </c>
      <c r="J42" s="5">
        <f>$B$31*(J35-I35)</f>
        <v>0</v>
      </c>
      <c r="K42" s="5">
        <f>$B$31*(K35-J35)</f>
        <v>0</v>
      </c>
    </row>
    <row r="43" spans="1:11">
      <c r="A43" s="8" t="s">
        <v>45</v>
      </c>
      <c r="B43" s="5">
        <f>B38+B37-B39-B40-B41+B42</f>
        <v>0</v>
      </c>
      <c r="C43" s="5">
        <f>C38+C37-C39-C40-C41+C42</f>
        <v>0</v>
      </c>
      <c r="D43" s="5">
        <f>D38+D37-D39-D40-D41+D42</f>
        <v>0</v>
      </c>
      <c r="E43" s="5">
        <f>E38+E37-E39-E40-E41+E42</f>
        <v>0</v>
      </c>
      <c r="F43" s="5">
        <f>F38+F37-F39-F40-F41+F42</f>
        <v>0</v>
      </c>
      <c r="G43" s="5">
        <f>G38+G37-G39-G40-G41+G42</f>
        <v>0</v>
      </c>
      <c r="H43" s="5">
        <f>H38+H37-H39-H40-H41+H42</f>
        <v>0</v>
      </c>
      <c r="I43" s="5">
        <f>I38+I37-I39-I40-I41+I42</f>
        <v>0</v>
      </c>
      <c r="J43" s="5">
        <f>J38+J37-J39-J40-J41+J42</f>
        <v>0</v>
      </c>
      <c r="K43" s="5">
        <f>K38+K37-K39-K40-K41+K42</f>
        <v>0</v>
      </c>
    </row>
    <row r="44" spans="1:11">
      <c r="A44" t="s">
        <v>46</v>
      </c>
      <c r="B44" s="9">
        <f>B43/B35</f>
        <v>0</v>
      </c>
      <c r="C44" s="9">
        <f>C43/C35</f>
        <v>0</v>
      </c>
      <c r="D44" s="9">
        <f>D43/D35</f>
        <v>0</v>
      </c>
      <c r="E44" s="9">
        <f>E43/E35</f>
        <v>0</v>
      </c>
      <c r="F44" s="9">
        <f>F43/F35</f>
        <v>0</v>
      </c>
      <c r="G44" s="9">
        <f>G43/G35</f>
        <v>0</v>
      </c>
      <c r="H44" s="9">
        <f>H43/H35</f>
        <v>0</v>
      </c>
      <c r="I44" s="9">
        <f>I43/I35</f>
        <v>0</v>
      </c>
      <c r="J44" s="9">
        <f>J43/J35</f>
        <v>0</v>
      </c>
      <c r="K44" s="9">
        <f>K43/K35</f>
        <v>0</v>
      </c>
    </row>
    <row r="45" spans="1:11">
      <c r="A45" t="s">
        <v>47</v>
      </c>
      <c r="B45" s="5">
        <f>1/(1+$B$16)^1</f>
        <v>0</v>
      </c>
      <c r="C45" s="5">
        <f>1/(1+$B$16)^2</f>
        <v>0</v>
      </c>
      <c r="D45" s="5">
        <f>1/(1+$B$16)^3</f>
        <v>0</v>
      </c>
      <c r="E45" s="5">
        <f>1/(1+$B$16)^4</f>
        <v>0</v>
      </c>
      <c r="F45" s="5">
        <f>1/(1+$B$16)^5</f>
        <v>0</v>
      </c>
      <c r="G45" s="5">
        <f>1/(1+$B$16)^6</f>
        <v>0</v>
      </c>
      <c r="H45" s="5">
        <f>1/(1+$B$16)^7</f>
        <v>0</v>
      </c>
      <c r="I45" s="5">
        <f>1/(1+$B$16)^8</f>
        <v>0</v>
      </c>
      <c r="J45" s="5">
        <f>1/(1+$B$16)^9</f>
        <v>0</v>
      </c>
      <c r="K45" s="5">
        <f>1/(1+$B$16)^10</f>
        <v>0</v>
      </c>
    </row>
    <row r="46" spans="1:11">
      <c r="A46" t="s">
        <v>48</v>
      </c>
      <c r="B46" s="5">
        <f>B43*B45</f>
        <v>0</v>
      </c>
      <c r="C46" s="5">
        <f>C43*C45</f>
        <v>0</v>
      </c>
      <c r="D46" s="5">
        <f>D43*D45</f>
        <v>0</v>
      </c>
      <c r="E46" s="5">
        <f>E43*E45</f>
        <v>0</v>
      </c>
      <c r="F46" s="5">
        <f>F43*F45</f>
        <v>0</v>
      </c>
      <c r="G46" s="5">
        <f>G43*G45</f>
        <v>0</v>
      </c>
      <c r="H46" s="5">
        <f>H43*H45</f>
        <v>0</v>
      </c>
      <c r="I46" s="5">
        <f>I43*I45</f>
        <v>0</v>
      </c>
      <c r="J46" s="5">
        <f>J43*J45</f>
        <v>0</v>
      </c>
      <c r="K46" s="5">
        <f>K43*K45</f>
        <v>0</v>
      </c>
    </row>
    <row r="48" spans="1:11">
      <c r="A48" s="3" t="s">
        <v>49</v>
      </c>
    </row>
    <row r="49" spans="1:2">
      <c r="A49" t="s">
        <v>50</v>
      </c>
      <c r="B49" s="5">
        <f>SUM(B46:K46)</f>
        <v>0</v>
      </c>
    </row>
    <row r="50" spans="1:2">
      <c r="A50" t="s">
        <v>51</v>
      </c>
      <c r="B50" s="5">
        <f>K43*(1+$B$17)</f>
        <v>0</v>
      </c>
    </row>
    <row r="51" spans="1:2">
      <c r="A51" t="s">
        <v>52</v>
      </c>
      <c r="B51" s="5">
        <f>B50/($B$16-$B$17)</f>
        <v>0</v>
      </c>
    </row>
    <row r="52" spans="1:2">
      <c r="A52" t="s">
        <v>53</v>
      </c>
      <c r="B52" s="5">
        <f>K43*$B$18</f>
        <v>0</v>
      </c>
    </row>
    <row r="53" spans="1:2">
      <c r="A53" t="s">
        <v>54</v>
      </c>
      <c r="B53" s="5">
        <f>MIN(B51,B52)</f>
        <v>0</v>
      </c>
    </row>
    <row r="54" spans="1:2">
      <c r="A54" t="s">
        <v>55</v>
      </c>
      <c r="B54" s="5">
        <f>B53*K45</f>
        <v>0</v>
      </c>
    </row>
    <row r="55" spans="1:2">
      <c r="A55" t="s">
        <v>56</v>
      </c>
      <c r="B55" s="5">
        <f>B49+B54</f>
        <v>0</v>
      </c>
    </row>
    <row r="56" spans="1:2">
      <c r="A56" t="s">
        <v>57</v>
      </c>
      <c r="B56" s="5">
        <f>B9</f>
        <v>0</v>
      </c>
    </row>
    <row r="57" spans="1:2">
      <c r="A57" t="s">
        <v>58</v>
      </c>
      <c r="B57" s="5">
        <f>B55-B56</f>
        <v>0</v>
      </c>
    </row>
    <row r="58" spans="1:2">
      <c r="A58" s="8" t="s">
        <v>59</v>
      </c>
      <c r="B58" s="10">
        <f>B57/B6</f>
        <v>0</v>
      </c>
    </row>
    <row r="59" spans="1:2">
      <c r="A59" t="s">
        <v>60</v>
      </c>
      <c r="B59" s="9">
        <f>(B58-B5)/B5</f>
        <v>0</v>
      </c>
    </row>
    <row r="60" spans="1:2">
      <c r="A60" t="s">
        <v>61</v>
      </c>
      <c r="B60" s="9">
        <f>B54/B55</f>
        <v>0</v>
      </c>
    </row>
    <row r="61" spans="1:2">
      <c r="A61" t="s">
        <v>62</v>
      </c>
      <c r="B61" s="5">
        <f>B53/K43</f>
        <v>0</v>
      </c>
    </row>
    <row r="63" spans="1:2">
      <c r="A63" s="3" t="s">
        <v>63</v>
      </c>
    </row>
    <row r="64" spans="1:2">
      <c r="A64" t="s">
        <v>64</v>
      </c>
      <c r="B64" s="5">
        <f>NPV(0.15,B43:K43)</f>
        <v>0</v>
      </c>
    </row>
    <row r="65" spans="1:2">
      <c r="A65" t="s">
        <v>65</v>
      </c>
      <c r="B65" s="5">
        <f>B51/(1.15^10)</f>
        <v>0</v>
      </c>
    </row>
    <row r="66" spans="1:2">
      <c r="A66" t="s">
        <v>57</v>
      </c>
      <c r="B66" s="5">
        <f>B9</f>
        <v>0</v>
      </c>
    </row>
    <row r="67" spans="1:2">
      <c r="A67" s="8" t="s">
        <v>66</v>
      </c>
      <c r="B67" s="10">
        <f>(B64+B65-B66)/B6</f>
        <v>0</v>
      </c>
    </row>
    <row r="68" spans="1:2">
      <c r="A68" t="s">
        <v>67</v>
      </c>
      <c r="B68" s="9">
        <f>(B5-B67)/B5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68</v>
      </c>
    </row>
    <row r="2" spans="1:6">
      <c r="A2" t="s">
        <v>69</v>
      </c>
    </row>
    <row r="4" spans="1:6">
      <c r="A4" s="7" t="s">
        <v>70</v>
      </c>
      <c r="B4" s="11">
        <v>0.0125</v>
      </c>
      <c r="C4" s="11">
        <v>0.0175</v>
      </c>
      <c r="D4" s="11">
        <v>0.0225</v>
      </c>
      <c r="E4" s="11">
        <v>0.0275</v>
      </c>
      <c r="F4" s="11">
        <v>0.0325</v>
      </c>
    </row>
    <row r="5" spans="1:6">
      <c r="A5" s="11">
        <v>0.08500000000000001</v>
      </c>
      <c r="B5" s="12">
        <f>('DCF Model'!B43/(1+0.085)^1+'DCF Model'!C43/(1+0.085)^2+'DCF Model'!D43/(1+0.085)^3+'DCF Model'!E43/(1+0.085)^4+'DCF Model'!F43/(1+0.085)^5+'DCF Model'!G43/(1+0.085)^6+'DCF Model'!H43/(1+0.085)^7+'DCF Model'!I43/(1+0.085)^8+'DCF Model'!J43/(1+0.085)^9+'DCF Model'!K43/(1+0.085)^10+MIN(('DCF Model'!K43*(1+0.0125)/(0.085-0.0125)),('DCF Model'!K43*'DCF Model'!$B$18))/(1+0.085)^10-'DCF Model'!$B$9)/'DCF Model'!$B$6</f>
        <v>0</v>
      </c>
      <c r="C5" s="12">
        <f>('DCF Model'!B43/(1+0.085)^1+'DCF Model'!C43/(1+0.085)^2+'DCF Model'!D43/(1+0.085)^3+'DCF Model'!E43/(1+0.085)^4+'DCF Model'!F43/(1+0.085)^5+'DCF Model'!G43/(1+0.085)^6+'DCF Model'!H43/(1+0.085)^7+'DCF Model'!I43/(1+0.085)^8+'DCF Model'!J43/(1+0.085)^9+'DCF Model'!K43/(1+0.085)^10+MIN(('DCF Model'!K43*(1+0.0175)/(0.085-0.0175)),('DCF Model'!K43*'DCF Model'!$B$18))/(1+0.085)^10-'DCF Model'!$B$9)/'DCF Model'!$B$6</f>
        <v>0</v>
      </c>
      <c r="D5" s="12">
        <f>('DCF Model'!B43/(1+0.085)^1+'DCF Model'!C43/(1+0.085)^2+'DCF Model'!D43/(1+0.085)^3+'DCF Model'!E43/(1+0.085)^4+'DCF Model'!F43/(1+0.085)^5+'DCF Model'!G43/(1+0.085)^6+'DCF Model'!H43/(1+0.085)^7+'DCF Model'!I43/(1+0.085)^8+'DCF Model'!J43/(1+0.085)^9+'DCF Model'!K43/(1+0.085)^10+MIN(('DCF Model'!K43*(1+0.0225)/(0.085-0.0225)),('DCF Model'!K43*'DCF Model'!$B$18))/(1+0.085)^10-'DCF Model'!$B$9)/'DCF Model'!$B$6</f>
        <v>0</v>
      </c>
      <c r="E5" s="12">
        <f>('DCF Model'!B43/(1+0.085)^1+'DCF Model'!C43/(1+0.085)^2+'DCF Model'!D43/(1+0.085)^3+'DCF Model'!E43/(1+0.085)^4+'DCF Model'!F43/(1+0.085)^5+'DCF Model'!G43/(1+0.085)^6+'DCF Model'!H43/(1+0.085)^7+'DCF Model'!I43/(1+0.085)^8+'DCF Model'!J43/(1+0.085)^9+'DCF Model'!K43/(1+0.085)^10+MIN(('DCF Model'!K43*(1+0.0275)/(0.085-0.0275)),('DCF Model'!K43*'DCF Model'!$B$18))/(1+0.085)^10-'DCF Model'!$B$9)/'DCF Model'!$B$6</f>
        <v>0</v>
      </c>
      <c r="F5" s="12">
        <f>('DCF Model'!B43/(1+0.085)^1+'DCF Model'!C43/(1+0.085)^2+'DCF Model'!D43/(1+0.085)^3+'DCF Model'!E43/(1+0.085)^4+'DCF Model'!F43/(1+0.085)^5+'DCF Model'!G43/(1+0.085)^6+'DCF Model'!H43/(1+0.085)^7+'DCF Model'!I43/(1+0.085)^8+'DCF Model'!J43/(1+0.085)^9+'DCF Model'!K43/(1+0.085)^10+MIN(('DCF Model'!K43*(1+0.0325)/(0.085-0.0325)),('DCF Model'!K43*'DCF Model'!$B$18))/(1+0.085)^10-'DCF Model'!$B$9)/'DCF Model'!$B$6</f>
        <v>0</v>
      </c>
    </row>
    <row r="6" spans="1:6">
      <c r="A6" s="11">
        <v>0.095</v>
      </c>
      <c r="B6" s="12">
        <f>('DCF Model'!B43/(1+0.095)^1+'DCF Model'!C43/(1+0.095)^2+'DCF Model'!D43/(1+0.095)^3+'DCF Model'!E43/(1+0.095)^4+'DCF Model'!F43/(1+0.095)^5+'DCF Model'!G43/(1+0.095)^6+'DCF Model'!H43/(1+0.095)^7+'DCF Model'!I43/(1+0.095)^8+'DCF Model'!J43/(1+0.095)^9+'DCF Model'!K43/(1+0.095)^10+MIN(('DCF Model'!K43*(1+0.0125)/(0.095-0.0125)),('DCF Model'!K43*'DCF Model'!$B$18))/(1+0.095)^10-'DCF Model'!$B$9)/'DCF Model'!$B$6</f>
        <v>0</v>
      </c>
      <c r="C6" s="12">
        <f>('DCF Model'!B43/(1+0.095)^1+'DCF Model'!C43/(1+0.095)^2+'DCF Model'!D43/(1+0.095)^3+'DCF Model'!E43/(1+0.095)^4+'DCF Model'!F43/(1+0.095)^5+'DCF Model'!G43/(1+0.095)^6+'DCF Model'!H43/(1+0.095)^7+'DCF Model'!I43/(1+0.095)^8+'DCF Model'!J43/(1+0.095)^9+'DCF Model'!K43/(1+0.095)^10+MIN(('DCF Model'!K43*(1+0.0175)/(0.095-0.0175)),('DCF Model'!K43*'DCF Model'!$B$18))/(1+0.095)^10-'DCF Model'!$B$9)/'DCF Model'!$B$6</f>
        <v>0</v>
      </c>
      <c r="D6" s="12">
        <f>('DCF Model'!B43/(1+0.095)^1+'DCF Model'!C43/(1+0.095)^2+'DCF Model'!D43/(1+0.095)^3+'DCF Model'!E43/(1+0.095)^4+'DCF Model'!F43/(1+0.095)^5+'DCF Model'!G43/(1+0.095)^6+'DCF Model'!H43/(1+0.095)^7+'DCF Model'!I43/(1+0.095)^8+'DCF Model'!J43/(1+0.095)^9+'DCF Model'!K43/(1+0.095)^10+MIN(('DCF Model'!K43*(1+0.0225)/(0.095-0.0225)),('DCF Model'!K43*'DCF Model'!$B$18))/(1+0.095)^10-'DCF Model'!$B$9)/'DCF Model'!$B$6</f>
        <v>0</v>
      </c>
      <c r="E6" s="12">
        <f>('DCF Model'!B43/(1+0.095)^1+'DCF Model'!C43/(1+0.095)^2+'DCF Model'!D43/(1+0.095)^3+'DCF Model'!E43/(1+0.095)^4+'DCF Model'!F43/(1+0.095)^5+'DCF Model'!G43/(1+0.095)^6+'DCF Model'!H43/(1+0.095)^7+'DCF Model'!I43/(1+0.095)^8+'DCF Model'!J43/(1+0.095)^9+'DCF Model'!K43/(1+0.095)^10+MIN(('DCF Model'!K43*(1+0.0275)/(0.095-0.0275)),('DCF Model'!K43*'DCF Model'!$B$18))/(1+0.095)^10-'DCF Model'!$B$9)/'DCF Model'!$B$6</f>
        <v>0</v>
      </c>
      <c r="F6" s="12">
        <f>('DCF Model'!B43/(1+0.095)^1+'DCF Model'!C43/(1+0.095)^2+'DCF Model'!D43/(1+0.095)^3+'DCF Model'!E43/(1+0.095)^4+'DCF Model'!F43/(1+0.095)^5+'DCF Model'!G43/(1+0.095)^6+'DCF Model'!H43/(1+0.095)^7+'DCF Model'!I43/(1+0.095)^8+'DCF Model'!J43/(1+0.095)^9+'DCF Model'!K43/(1+0.095)^10+MIN(('DCF Model'!K43*(1+0.0325)/(0.095-0.0325)),('DCF Model'!K43*'DCF Model'!$B$18))/(1+0.095)^10-'DCF Model'!$B$9)/'DCF Model'!$B$6</f>
        <v>0</v>
      </c>
    </row>
    <row r="7" spans="1:6">
      <c r="A7" s="11">
        <v>0.105</v>
      </c>
      <c r="B7" s="12">
        <f>('DCF Model'!B43/(1+0.105)^1+'DCF Model'!C43/(1+0.105)^2+'DCF Model'!D43/(1+0.105)^3+'DCF Model'!E43/(1+0.105)^4+'DCF Model'!F43/(1+0.105)^5+'DCF Model'!G43/(1+0.105)^6+'DCF Model'!H43/(1+0.105)^7+'DCF Model'!I43/(1+0.105)^8+'DCF Model'!J43/(1+0.105)^9+'DCF Model'!K43/(1+0.105)^10+MIN(('DCF Model'!K43*(1+0.0125)/(0.105-0.0125)),('DCF Model'!K43*'DCF Model'!$B$18))/(1+0.105)^10-'DCF Model'!$B$9)/'DCF Model'!$B$6</f>
        <v>0</v>
      </c>
      <c r="C7" s="12">
        <f>('DCF Model'!B43/(1+0.105)^1+'DCF Model'!C43/(1+0.105)^2+'DCF Model'!D43/(1+0.105)^3+'DCF Model'!E43/(1+0.105)^4+'DCF Model'!F43/(1+0.105)^5+'DCF Model'!G43/(1+0.105)^6+'DCF Model'!H43/(1+0.105)^7+'DCF Model'!I43/(1+0.105)^8+'DCF Model'!J43/(1+0.105)^9+'DCF Model'!K43/(1+0.105)^10+MIN(('DCF Model'!K43*(1+0.0175)/(0.105-0.0175)),('DCF Model'!K43*'DCF Model'!$B$18))/(1+0.105)^10-'DCF Model'!$B$9)/'DCF Model'!$B$6</f>
        <v>0</v>
      </c>
      <c r="D7" s="12">
        <f>('DCF Model'!B43/(1+0.105)^1+'DCF Model'!C43/(1+0.105)^2+'DCF Model'!D43/(1+0.105)^3+'DCF Model'!E43/(1+0.105)^4+'DCF Model'!F43/(1+0.105)^5+'DCF Model'!G43/(1+0.105)^6+'DCF Model'!H43/(1+0.105)^7+'DCF Model'!I43/(1+0.105)^8+'DCF Model'!J43/(1+0.105)^9+'DCF Model'!K43/(1+0.105)^10+MIN(('DCF Model'!K43*(1+0.0225)/(0.105-0.0225)),('DCF Model'!K43*'DCF Model'!$B$18))/(1+0.105)^10-'DCF Model'!$B$9)/'DCF Model'!$B$6</f>
        <v>0</v>
      </c>
      <c r="E7" s="12">
        <f>('DCF Model'!B43/(1+0.105)^1+'DCF Model'!C43/(1+0.105)^2+'DCF Model'!D43/(1+0.105)^3+'DCF Model'!E43/(1+0.105)^4+'DCF Model'!F43/(1+0.105)^5+'DCF Model'!G43/(1+0.105)^6+'DCF Model'!H43/(1+0.105)^7+'DCF Model'!I43/(1+0.105)^8+'DCF Model'!J43/(1+0.105)^9+'DCF Model'!K43/(1+0.105)^10+MIN(('DCF Model'!K43*(1+0.0275)/(0.105-0.0275)),('DCF Model'!K43*'DCF Model'!$B$18))/(1+0.105)^10-'DCF Model'!$B$9)/'DCF Model'!$B$6</f>
        <v>0</v>
      </c>
      <c r="F7" s="12">
        <f>('DCF Model'!B43/(1+0.105)^1+'DCF Model'!C43/(1+0.105)^2+'DCF Model'!D43/(1+0.105)^3+'DCF Model'!E43/(1+0.105)^4+'DCF Model'!F43/(1+0.105)^5+'DCF Model'!G43/(1+0.105)^6+'DCF Model'!H43/(1+0.105)^7+'DCF Model'!I43/(1+0.105)^8+'DCF Model'!J43/(1+0.105)^9+'DCF Model'!K43/(1+0.105)^10+MIN(('DCF Model'!K43*(1+0.0325)/(0.105-0.0325)),('DCF Model'!K43*'DCF Model'!$B$18))/(1+0.105)^10-'DCF Model'!$B$9)/'DCF Model'!$B$6</f>
        <v>0</v>
      </c>
    </row>
    <row r="8" spans="1:6">
      <c r="A8" s="11">
        <v>0.115</v>
      </c>
      <c r="B8" s="12">
        <f>('DCF Model'!B43/(1+0.115)^1+'DCF Model'!C43/(1+0.115)^2+'DCF Model'!D43/(1+0.115)^3+'DCF Model'!E43/(1+0.115)^4+'DCF Model'!F43/(1+0.115)^5+'DCF Model'!G43/(1+0.115)^6+'DCF Model'!H43/(1+0.115)^7+'DCF Model'!I43/(1+0.115)^8+'DCF Model'!J43/(1+0.115)^9+'DCF Model'!K43/(1+0.115)^10+MIN(('DCF Model'!K43*(1+0.0125)/(0.115-0.0125)),('DCF Model'!K43*'DCF Model'!$B$18))/(1+0.115)^10-'DCF Model'!$B$9)/'DCF Model'!$B$6</f>
        <v>0</v>
      </c>
      <c r="C8" s="12">
        <f>('DCF Model'!B43/(1+0.115)^1+'DCF Model'!C43/(1+0.115)^2+'DCF Model'!D43/(1+0.115)^3+'DCF Model'!E43/(1+0.115)^4+'DCF Model'!F43/(1+0.115)^5+'DCF Model'!G43/(1+0.115)^6+'DCF Model'!H43/(1+0.115)^7+'DCF Model'!I43/(1+0.115)^8+'DCF Model'!J43/(1+0.115)^9+'DCF Model'!K43/(1+0.115)^10+MIN(('DCF Model'!K43*(1+0.0175)/(0.115-0.0175)),('DCF Model'!K43*'DCF Model'!$B$18))/(1+0.115)^10-'DCF Model'!$B$9)/'DCF Model'!$B$6</f>
        <v>0</v>
      </c>
      <c r="D8" s="12">
        <f>('DCF Model'!B43/(1+0.115)^1+'DCF Model'!C43/(1+0.115)^2+'DCF Model'!D43/(1+0.115)^3+'DCF Model'!E43/(1+0.115)^4+'DCF Model'!F43/(1+0.115)^5+'DCF Model'!G43/(1+0.115)^6+'DCF Model'!H43/(1+0.115)^7+'DCF Model'!I43/(1+0.115)^8+'DCF Model'!J43/(1+0.115)^9+'DCF Model'!K43/(1+0.115)^10+MIN(('DCF Model'!K43*(1+0.0225)/(0.115-0.0225)),('DCF Model'!K43*'DCF Model'!$B$18))/(1+0.115)^10-'DCF Model'!$B$9)/'DCF Model'!$B$6</f>
        <v>0</v>
      </c>
      <c r="E8" s="12">
        <f>('DCF Model'!B43/(1+0.115)^1+'DCF Model'!C43/(1+0.115)^2+'DCF Model'!D43/(1+0.115)^3+'DCF Model'!E43/(1+0.115)^4+'DCF Model'!F43/(1+0.115)^5+'DCF Model'!G43/(1+0.115)^6+'DCF Model'!H43/(1+0.115)^7+'DCF Model'!I43/(1+0.115)^8+'DCF Model'!J43/(1+0.115)^9+'DCF Model'!K43/(1+0.115)^10+MIN(('DCF Model'!K43*(1+0.0275)/(0.115-0.0275)),('DCF Model'!K43*'DCF Model'!$B$18))/(1+0.115)^10-'DCF Model'!$B$9)/'DCF Model'!$B$6</f>
        <v>0</v>
      </c>
      <c r="F8" s="12">
        <f>('DCF Model'!B43/(1+0.115)^1+'DCF Model'!C43/(1+0.115)^2+'DCF Model'!D43/(1+0.115)^3+'DCF Model'!E43/(1+0.115)^4+'DCF Model'!F43/(1+0.115)^5+'DCF Model'!G43/(1+0.115)^6+'DCF Model'!H43/(1+0.115)^7+'DCF Model'!I43/(1+0.115)^8+'DCF Model'!J43/(1+0.115)^9+'DCF Model'!K43/(1+0.115)^10+MIN(('DCF Model'!K43*(1+0.0325)/(0.115-0.0325)),('DCF Model'!K43*'DCF Model'!$B$18))/(1+0.115)^10-'DCF Model'!$B$9)/'DCF Model'!$B$6</f>
        <v>0</v>
      </c>
    </row>
    <row r="9" spans="1:6">
      <c r="A9" s="11">
        <v>0.125</v>
      </c>
      <c r="B9" s="12">
        <f>('DCF Model'!B43/(1+0.125)^1+'DCF Model'!C43/(1+0.125)^2+'DCF Model'!D43/(1+0.125)^3+'DCF Model'!E43/(1+0.125)^4+'DCF Model'!F43/(1+0.125)^5+'DCF Model'!G43/(1+0.125)^6+'DCF Model'!H43/(1+0.125)^7+'DCF Model'!I43/(1+0.125)^8+'DCF Model'!J43/(1+0.125)^9+'DCF Model'!K43/(1+0.125)^10+MIN(('DCF Model'!K43*(1+0.0125)/(0.125-0.0125)),('DCF Model'!K43*'DCF Model'!$B$18))/(1+0.125)^10-'DCF Model'!$B$9)/'DCF Model'!$B$6</f>
        <v>0</v>
      </c>
      <c r="C9" s="12">
        <f>('DCF Model'!B43/(1+0.125)^1+'DCF Model'!C43/(1+0.125)^2+'DCF Model'!D43/(1+0.125)^3+'DCF Model'!E43/(1+0.125)^4+'DCF Model'!F43/(1+0.125)^5+'DCF Model'!G43/(1+0.125)^6+'DCF Model'!H43/(1+0.125)^7+'DCF Model'!I43/(1+0.125)^8+'DCF Model'!J43/(1+0.125)^9+'DCF Model'!K43/(1+0.125)^10+MIN(('DCF Model'!K43*(1+0.0175)/(0.125-0.0175)),('DCF Model'!K43*'DCF Model'!$B$18))/(1+0.125)^10-'DCF Model'!$B$9)/'DCF Model'!$B$6</f>
        <v>0</v>
      </c>
      <c r="D9" s="12">
        <f>('DCF Model'!B43/(1+0.125)^1+'DCF Model'!C43/(1+0.125)^2+'DCF Model'!D43/(1+0.125)^3+'DCF Model'!E43/(1+0.125)^4+'DCF Model'!F43/(1+0.125)^5+'DCF Model'!G43/(1+0.125)^6+'DCF Model'!H43/(1+0.125)^7+'DCF Model'!I43/(1+0.125)^8+'DCF Model'!J43/(1+0.125)^9+'DCF Model'!K43/(1+0.125)^10+MIN(('DCF Model'!K43*(1+0.0225)/(0.125-0.0225)),('DCF Model'!K43*'DCF Model'!$B$18))/(1+0.125)^10-'DCF Model'!$B$9)/'DCF Model'!$B$6</f>
        <v>0</v>
      </c>
      <c r="E9" s="12">
        <f>('DCF Model'!B43/(1+0.125)^1+'DCF Model'!C43/(1+0.125)^2+'DCF Model'!D43/(1+0.125)^3+'DCF Model'!E43/(1+0.125)^4+'DCF Model'!F43/(1+0.125)^5+'DCF Model'!G43/(1+0.125)^6+'DCF Model'!H43/(1+0.125)^7+'DCF Model'!I43/(1+0.125)^8+'DCF Model'!J43/(1+0.125)^9+'DCF Model'!K43/(1+0.125)^10+MIN(('DCF Model'!K43*(1+0.0275)/(0.125-0.0275)),('DCF Model'!K43*'DCF Model'!$B$18))/(1+0.125)^10-'DCF Model'!$B$9)/'DCF Model'!$B$6</f>
        <v>0</v>
      </c>
      <c r="F9" s="12">
        <f>('DCF Model'!B43/(1+0.125)^1+'DCF Model'!C43/(1+0.125)^2+'DCF Model'!D43/(1+0.125)^3+'DCF Model'!E43/(1+0.125)^4+'DCF Model'!F43/(1+0.125)^5+'DCF Model'!G43/(1+0.125)^6+'DCF Model'!H43/(1+0.125)^7+'DCF Model'!I43/(1+0.125)^8+'DCF Model'!J43/(1+0.125)^9+'DCF Model'!K43/(1+0.125)^10+MIN(('DCF Model'!K43*(1+0.0325)/(0.125-0.0325)),('DCF Model'!K43*'DCF Model'!$B$18))/(1+0.125)^10-'DCF Model'!$B$9)/'DCF Model'!$B$6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34.7109375" customWidth="1"/>
    <col min="2" max="11" width="11.7109375" customWidth="1"/>
  </cols>
  <sheetData>
    <row r="1" spans="1:10">
      <c r="A1" s="1" t="s">
        <v>71</v>
      </c>
    </row>
    <row r="2" spans="1:10">
      <c r="A2" s="2" t="s">
        <v>72</v>
      </c>
    </row>
    <row r="4" spans="1:10">
      <c r="A4" s="7"/>
      <c r="B4" s="7" t="s">
        <v>73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</row>
    <row r="5" spans="1:10">
      <c r="A5" t="s">
        <v>37</v>
      </c>
      <c r="B5" s="5">
        <v>239</v>
      </c>
      <c r="C5" s="5">
        <v>277.6</v>
      </c>
      <c r="D5" s="5">
        <v>287.6</v>
      </c>
      <c r="E5" s="5">
        <v>287.8</v>
      </c>
      <c r="F5" s="5">
        <v>350.8</v>
      </c>
      <c r="G5" s="5">
        <v>351.2</v>
      </c>
      <c r="H5" s="5">
        <v>409.7</v>
      </c>
      <c r="I5" s="5">
        <v>435.6</v>
      </c>
      <c r="J5" s="5">
        <v>470.7</v>
      </c>
    </row>
    <row r="6" spans="1:10">
      <c r="A6" s="8" t="s">
        <v>82</v>
      </c>
      <c r="B6" s="5">
        <v>17.1</v>
      </c>
      <c r="C6" s="5">
        <v>26</v>
      </c>
      <c r="D6" s="5">
        <v>15.8</v>
      </c>
      <c r="E6" s="5">
        <v>59.5</v>
      </c>
      <c r="F6" s="5">
        <v>53.5</v>
      </c>
      <c r="G6" s="5">
        <v>44.2</v>
      </c>
      <c r="H6" s="5">
        <v>53.2</v>
      </c>
      <c r="I6" s="5">
        <v>69.40000000000001</v>
      </c>
      <c r="J6" s="5">
        <v>72.8</v>
      </c>
    </row>
    <row r="7" spans="1:10">
      <c r="A7" t="s">
        <v>83</v>
      </c>
      <c r="B7" s="5">
        <v>0</v>
      </c>
      <c r="C7" s="5">
        <v>0</v>
      </c>
      <c r="D7" s="5">
        <v>0</v>
      </c>
      <c r="E7" s="5">
        <v>16.992</v>
      </c>
      <c r="F7" s="5">
        <v>25.411</v>
      </c>
      <c r="G7" s="5">
        <v>23.762</v>
      </c>
      <c r="H7" s="5">
        <v>28.083</v>
      </c>
      <c r="I7" s="5">
        <v>27.896</v>
      </c>
      <c r="J7" s="5">
        <v>30.141</v>
      </c>
    </row>
    <row r="8" spans="1:10">
      <c r="A8" t="s">
        <v>84</v>
      </c>
      <c r="B8" s="5">
        <v>0.2</v>
      </c>
      <c r="C8" s="5">
        <v>0.2</v>
      </c>
      <c r="D8" s="5">
        <v>0.2</v>
      </c>
      <c r="E8" s="5">
        <v>0.1</v>
      </c>
      <c r="F8" s="5">
        <v>0.1</v>
      </c>
      <c r="G8" s="5">
        <v>0.2</v>
      </c>
      <c r="H8" s="5">
        <v>1.2</v>
      </c>
      <c r="I8" s="5">
        <v>2</v>
      </c>
      <c r="J8" s="5">
        <v>2</v>
      </c>
    </row>
    <row r="9" spans="1:10">
      <c r="A9" t="s">
        <v>85</v>
      </c>
      <c r="B9" s="5">
        <v>0.1</v>
      </c>
      <c r="C9" s="5">
        <v>0.1</v>
      </c>
      <c r="D9" s="5">
        <v>0.1</v>
      </c>
      <c r="E9" s="5">
        <v>0</v>
      </c>
      <c r="F9" s="5">
        <v>0.1</v>
      </c>
      <c r="G9" s="5">
        <v>0.2</v>
      </c>
      <c r="H9" s="5">
        <v>0.1</v>
      </c>
      <c r="I9" s="5">
        <v>0</v>
      </c>
      <c r="J9" s="5">
        <v>0</v>
      </c>
    </row>
    <row r="10" spans="1:10">
      <c r="A10" s="8" t="s">
        <v>45</v>
      </c>
      <c r="B10" s="5">
        <v>16.8</v>
      </c>
      <c r="C10" s="5">
        <v>25.7</v>
      </c>
      <c r="D10" s="5">
        <v>15.5</v>
      </c>
      <c r="E10" s="5">
        <v>42.40799999999999</v>
      </c>
      <c r="F10" s="5">
        <v>27.889</v>
      </c>
      <c r="G10" s="5">
        <v>20.038</v>
      </c>
      <c r="H10" s="5">
        <v>23.817</v>
      </c>
      <c r="I10" s="5">
        <v>39.504</v>
      </c>
      <c r="J10" s="5">
        <v>40.659</v>
      </c>
    </row>
    <row r="11" spans="1:10">
      <c r="A11" t="s">
        <v>86</v>
      </c>
      <c r="B11" s="9">
        <v>0.07154811715481173</v>
      </c>
      <c r="C11" s="9">
        <v>0.09365994236311238</v>
      </c>
      <c r="D11" s="9">
        <v>0.05493741307371349</v>
      </c>
      <c r="E11" s="9">
        <v>0.2067407922168172</v>
      </c>
      <c r="F11" s="9">
        <v>0.1525085518814139</v>
      </c>
      <c r="G11" s="9">
        <v>0.1258542141230068</v>
      </c>
      <c r="H11" s="9">
        <v>0.1298511105687088</v>
      </c>
      <c r="I11" s="9">
        <v>0.1593204775022957</v>
      </c>
      <c r="J11" s="9">
        <v>0.1546632674739749</v>
      </c>
    </row>
    <row r="12" spans="1:10">
      <c r="A12" t="s">
        <v>46</v>
      </c>
      <c r="B12" s="9">
        <v>0.07029288702928871</v>
      </c>
      <c r="C12" s="9">
        <v>0.09257925072046108</v>
      </c>
      <c r="D12" s="9">
        <v>0.05389429763560501</v>
      </c>
      <c r="E12" s="9">
        <v>0.1473523280055594</v>
      </c>
      <c r="F12" s="9">
        <v>0.07950114025085517</v>
      </c>
      <c r="G12" s="9">
        <v>0.05705580865603646</v>
      </c>
      <c r="H12" s="9">
        <v>0.05813278008298756</v>
      </c>
      <c r="I12" s="9">
        <v>0.09068870523415978</v>
      </c>
      <c r="J12" s="9">
        <v>0.08637985978330147</v>
      </c>
    </row>
    <row r="14" spans="1:10">
      <c r="A14" t="s">
        <v>87</v>
      </c>
      <c r="B14" s="5">
        <v>17.3</v>
      </c>
      <c r="C14" s="5">
        <v>27.4</v>
      </c>
      <c r="D14" s="5">
        <v>29</v>
      </c>
      <c r="E14" s="5">
        <v>27.8</v>
      </c>
      <c r="F14" s="5">
        <v>33.3</v>
      </c>
      <c r="G14" s="5">
        <v>25.6</v>
      </c>
      <c r="H14" s="5">
        <v>32</v>
      </c>
      <c r="I14" s="5">
        <v>34.5</v>
      </c>
      <c r="J14" s="5">
        <v>39.5</v>
      </c>
    </row>
    <row r="15" spans="1:10">
      <c r="A15" t="s">
        <v>88</v>
      </c>
      <c r="B15" s="9">
        <v>0.9710982658959537</v>
      </c>
      <c r="C15" s="9">
        <v>0.9379562043795621</v>
      </c>
      <c r="D15" s="9">
        <v>0.5344827586206897</v>
      </c>
      <c r="E15" s="9">
        <v>1.52546762589928</v>
      </c>
      <c r="F15" s="9">
        <v>0.8375075075075075</v>
      </c>
      <c r="G15" s="9">
        <v>0.7827343750000001</v>
      </c>
      <c r="H15" s="9">
        <v>0.7442812500000001</v>
      </c>
      <c r="I15" s="9">
        <v>1.14504347826087</v>
      </c>
      <c r="J15" s="9">
        <v>1.029341772151899</v>
      </c>
    </row>
    <row r="16" spans="1:10">
      <c r="A16" t="s">
        <v>89</v>
      </c>
      <c r="I16" s="9">
        <v>0.338</v>
      </c>
      <c r="J16" s="9">
        <v>0.324</v>
      </c>
    </row>
    <row r="18" spans="1:10">
      <c r="A18" s="13" t="s">
        <v>90</v>
      </c>
      <c r="B18" s="13"/>
      <c r="C18" s="13"/>
      <c r="D18" s="13"/>
      <c r="E18" s="13"/>
      <c r="F18" s="13"/>
      <c r="G18" s="13"/>
      <c r="H18" s="13"/>
      <c r="I18" s="13"/>
      <c r="J18" s="13"/>
    </row>
  </sheetData>
  <mergeCells count="1">
    <mergeCell ref="B18:J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1" width="24.7109375" customWidth="1"/>
    <col min="2" max="3" width="15.7109375" customWidth="1"/>
  </cols>
  <sheetData>
    <row r="1" spans="1:6">
      <c r="A1" s="1" t="s">
        <v>91</v>
      </c>
    </row>
    <row r="3" spans="1:6">
      <c r="A3" s="7" t="s">
        <v>92</v>
      </c>
      <c r="B3" s="7" t="s">
        <v>93</v>
      </c>
      <c r="C3" s="7" t="s">
        <v>94</v>
      </c>
    </row>
    <row r="4" spans="1:6">
      <c r="A4" t="s">
        <v>37</v>
      </c>
      <c r="B4" s="9">
        <v>0.1025</v>
      </c>
      <c r="C4" s="9">
        <v>0.1034</v>
      </c>
    </row>
    <row r="5" spans="1:6">
      <c r="A5" t="s">
        <v>95</v>
      </c>
      <c r="B5" s="9">
        <v>0.1535</v>
      </c>
      <c r="C5" s="9">
        <v>0.0703</v>
      </c>
    </row>
    <row r="6" spans="1:6">
      <c r="A6" t="s">
        <v>96</v>
      </c>
      <c r="B6" s="9">
        <v>0.0733</v>
      </c>
      <c r="C6" s="9">
        <v>0.05139999999999999</v>
      </c>
    </row>
    <row r="7" spans="1:6">
      <c r="A7" t="s">
        <v>97</v>
      </c>
      <c r="B7" s="9">
        <v>0.181</v>
      </c>
      <c r="C7" s="9">
        <v>0.0412</v>
      </c>
    </row>
    <row r="8" spans="1:6">
      <c r="A8" t="s">
        <v>45</v>
      </c>
      <c r="B8" s="9">
        <v>0.266</v>
      </c>
      <c r="C8" s="9">
        <v>-0.008399999999999999</v>
      </c>
    </row>
    <row r="10" spans="1:6">
      <c r="A10" s="8" t="s">
        <v>98</v>
      </c>
      <c r="B10" s="9">
        <v>0.08</v>
      </c>
    </row>
    <row r="11" spans="1:6">
      <c r="A11" t="s">
        <v>99</v>
      </c>
      <c r="B11" t="s">
        <v>100</v>
      </c>
    </row>
    <row r="13" spans="1:6">
      <c r="A13" s="8" t="s">
        <v>101</v>
      </c>
    </row>
    <row r="14" spans="1:6">
      <c r="A14" s="13" t="s">
        <v>102</v>
      </c>
      <c r="B14" s="13"/>
      <c r="C14" s="13"/>
      <c r="D14" s="13"/>
      <c r="E14" s="13"/>
      <c r="F14" s="13"/>
    </row>
    <row r="15" spans="1:6">
      <c r="A15" s="13"/>
      <c r="B15" s="13"/>
      <c r="C15" s="13"/>
      <c r="D15" s="13"/>
      <c r="E15" s="13"/>
      <c r="F15" s="13"/>
    </row>
    <row r="16" spans="1:6">
      <c r="A16" s="13"/>
      <c r="B16" s="13"/>
      <c r="C16" s="13"/>
      <c r="D16" s="13"/>
      <c r="E16" s="13"/>
      <c r="F16" s="13"/>
    </row>
    <row r="17" spans="1:6">
      <c r="A17" s="13"/>
      <c r="B17" s="13"/>
      <c r="C17" s="13"/>
      <c r="D17" s="13"/>
      <c r="E17" s="13"/>
      <c r="F17" s="13"/>
    </row>
    <row r="19" spans="1:6">
      <c r="A19" s="8" t="s">
        <v>103</v>
      </c>
    </row>
    <row r="20" spans="1:6">
      <c r="A20" s="13" t="s">
        <v>104</v>
      </c>
      <c r="B20" s="13"/>
      <c r="C20" s="13"/>
      <c r="D20" s="13"/>
      <c r="E20" s="13"/>
      <c r="F20" s="13"/>
    </row>
    <row r="21" spans="1:6">
      <c r="A21" s="13"/>
      <c r="B21" s="13"/>
      <c r="C21" s="13"/>
      <c r="D21" s="13"/>
      <c r="E21" s="13"/>
      <c r="F21" s="13"/>
    </row>
    <row r="22" spans="1:6">
      <c r="A22" s="13"/>
      <c r="B22" s="13"/>
      <c r="C22" s="13"/>
      <c r="D22" s="13"/>
      <c r="E22" s="13"/>
      <c r="F22" s="13"/>
    </row>
    <row r="23" spans="1:6">
      <c r="A23" s="13"/>
      <c r="B23" s="13"/>
      <c r="C23" s="13"/>
      <c r="D23" s="13"/>
      <c r="E23" s="13"/>
      <c r="F23" s="13"/>
    </row>
    <row r="24" spans="1:6">
      <c r="A24" s="13"/>
      <c r="B24" s="13"/>
      <c r="C24" s="13"/>
      <c r="D24" s="13"/>
      <c r="E24" s="13"/>
      <c r="F24" s="13"/>
    </row>
  </sheetData>
  <mergeCells count="2">
    <mergeCell ref="A14:F17"/>
    <mergeCell ref="A20:F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105</v>
      </c>
    </row>
    <row r="3" spans="1:2" ht="30" customHeight="1">
      <c r="A3" s="8" t="s">
        <v>106</v>
      </c>
      <c r="B3" s="13" t="s">
        <v>107</v>
      </c>
    </row>
    <row r="4" spans="1:2" ht="30" customHeight="1">
      <c r="A4" s="8" t="s">
        <v>108</v>
      </c>
      <c r="B4" s="13" t="s">
        <v>109</v>
      </c>
    </row>
    <row r="5" spans="1:2" ht="30" customHeight="1">
      <c r="A5" s="8" t="s">
        <v>110</v>
      </c>
      <c r="B5" s="13" t="s">
        <v>111</v>
      </c>
    </row>
    <row r="6" spans="1:2" ht="30" customHeight="1">
      <c r="A6" s="8" t="s">
        <v>112</v>
      </c>
      <c r="B6" s="13" t="s">
        <v>113</v>
      </c>
    </row>
    <row r="7" spans="1:2" ht="30" customHeight="1">
      <c r="A7" s="8" t="s">
        <v>114</v>
      </c>
      <c r="B7" s="13" t="s">
        <v>115</v>
      </c>
    </row>
    <row r="8" spans="1:2" ht="30" customHeight="1">
      <c r="A8" s="8" t="s">
        <v>116</v>
      </c>
      <c r="B8" s="13" t="s">
        <v>117</v>
      </c>
    </row>
    <row r="9" spans="1:2" ht="30" customHeight="1">
      <c r="A9" s="8" t="s">
        <v>118</v>
      </c>
      <c r="B9" s="13" t="s">
        <v>119</v>
      </c>
    </row>
    <row r="10" spans="1:2" ht="30" customHeight="1">
      <c r="A10" s="8" t="s">
        <v>120</v>
      </c>
      <c r="B10" s="13" t="s">
        <v>121</v>
      </c>
    </row>
    <row r="11" spans="1:2" ht="30" customHeight="1">
      <c r="A11" s="8" t="s">
        <v>122</v>
      </c>
      <c r="B11" s="13" t="s">
        <v>123</v>
      </c>
    </row>
    <row r="12" spans="1:2" ht="30" customHeight="1">
      <c r="A12" s="8" t="s">
        <v>124</v>
      </c>
      <c r="B12" s="13" t="s">
        <v>125</v>
      </c>
    </row>
    <row r="13" spans="1:2" ht="30" customHeight="1">
      <c r="A13" s="8" t="s">
        <v>126</v>
      </c>
      <c r="B13" s="13" t="s">
        <v>127</v>
      </c>
    </row>
    <row r="14" spans="1:2" ht="30" customHeight="1">
      <c r="A14" s="8" t="s">
        <v>128</v>
      </c>
      <c r="B14" s="13" t="s">
        <v>129</v>
      </c>
    </row>
    <row r="15" spans="1:2" ht="30" customHeight="1">
      <c r="A15" s="8" t="s">
        <v>130</v>
      </c>
      <c r="B15" s="13" t="s">
        <v>131</v>
      </c>
    </row>
    <row r="16" spans="1:2" ht="30" customHeight="1">
      <c r="A16" s="8" t="s">
        <v>132</v>
      </c>
      <c r="B16" s="13" t="s">
        <v>133</v>
      </c>
    </row>
    <row r="17" spans="1:2" ht="30" customHeight="1">
      <c r="A17" s="8" t="s">
        <v>134</v>
      </c>
      <c r="B17" s="13" t="s">
        <v>135</v>
      </c>
    </row>
    <row r="18" spans="1:2" ht="30" customHeight="1">
      <c r="A18" s="8" t="s">
        <v>136</v>
      </c>
      <c r="B18" s="1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2026-08-01T00:33:24Z</dcterms:created>
  <dcterms:modified xsi:type="dcterms:W3CDTF">2026-08-01T00:33:24Z</dcterms:modified>
</cp:coreProperties>
</file>