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<sst xmlns="http://schemas.openxmlformats.org/spreadsheetml/2006/main" count="358" uniqueCount="168">
  <si>
    <t xml:space="preserve">Ticker</t>
  </si>
  <si>
    <t xml:space="preserve">QBE.AX</t>
  </si>
  <si>
    <t xml:space="preserve">Company</t>
  </si>
  <si>
    <t xml:space="preserve">QBE Insurance Group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</si>
  <si>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</si>
  <si>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</si>
  <si>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</si>
  <si>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</si>
  <si>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2026-09-25T04:15:20Z (regular ASX session, 14:15 AEST). 52-week range 18.57-25.83.</t>
  </si>
  <si>
    <t xml:space="preserve">Balance sheet date</t>
  </si>
  <si>
    <t xml:space="preserve">2026-06-30</t>
  </si>
  <si>
    <t xml:space="preserve">Model</t>
  </si>
  <si>
    <t xml:space="preserve">General insurer free cash flow to equity capitalisation at cost of equity (engine route; attributable earnings after regulatory capital retention, net debt zero, USD flows converted to the AUD quote at fx_rate)</t>
  </si>
  <si>
    <t xml:space="preserve">Currency (model)</t>
  </si>
  <si>
    <t xml:space="preserve">USD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</si>
  <si>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</si>
  <si>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</si>
  <si>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</si>
  <si>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</si>
  <si>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</si>
  <si>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</si>
  <si>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</si>
  <si>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2026-09-25T04:40:33Z</t>
  </si>
  <si>
    <t xml:space="preserve">Drivers file</t>
  </si>
  <si>
    <t xml:space="preserve">QBE.AX_Drivers.json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</si>
  <si>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</si>
  <si>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</si>
  <si>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</si>
  <si>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QBE is valued on the cash it can actually pay its shareholders: attributable profit after the interest on its Tier 2 capital and the AT1 distribution, less the equity it must retain to keep the APRA PCA multiple at target as premium grows, discounted at a 9.5% USD cost of equity with no separate debt deduction and converted to AUD at spot. The base case takes FY26 at guidance and then normalises the COR to 93% and the investment return to 3.5% -- roughly management's 15%+ medium-term ROE guide -- which lands modestly below the current price; the market is capitalising something between that guide and the FY25 decade-high (91.9% COR, 19.8% ROE). A BVPS x sustainable-P/B cross-check (15% ROE, 9.5% CoE, 2.5% g -&gt; 1.79x book -&gt; ~A$19.7) gives the same answer from the balance-sheet side. AUD holders also carry the USD translation risk: every 5% move in AUD/USD moves the AUD value ~5%.
key_risks_to_valuation: Catastrophe experience versus the $1,130m allowance is the single largest swing: each $100m of pre-tax overrun is ~0.5pp of COR and ~US$0.05 of EPS; climate is raising the allowance every year.; Prior-year development has been a consistent tailwind (+$449m FY25, +$403m H1 FY26); a return to the adverse development of FY17-FY20 is the bear case's second leg and is not in the base.; The soft market: renewal rate increases have gone 5.5% -&gt; 1.0% -&gt; 0.3% in eighteen months; the base assumes the COR gives back only ~1pt to 93.0%, the bear 3pts.; Investment return: ~US$36bn of funds at a 4.9% FY25 return; the base fades to 3.5% (each 50bp is ~US$180m pre-tax, ~1pt of NIR margin) and management's own floor is 3%.; Currency: financials are USD, the quote and dividend are AUD; the AUD has risen ~8% against the USD in 2026 and the AUD value here scales with the fx_rate.; Capital retention is modelled at 0.5 x NIR growth on a PCA that the annual report does not disclose in dollars; an APRA change or a shift toward long-tail / reinsurance business raises the intensity and cuts FCFE.; Discount rate: the base is terminal-heavy and the 14x FCFE cap binds; each 1pp on the cost of equity moves the value ~12-15%.</t>
  </si>
  <si>
    <t xml:space="preserve">Data sources</t>
  </si>
  <si>
    <t xml:space="preserve">price: Yahoo Finance v8 chart API, QBE.AX regularMarketPrice at inputs.price_as_of (regular session); 52-week range 18.57-25.83. FX: Yahoo AUDUSD=X at the same hour, see inputs.fx_note.
financials: QBE.AX_Metrics.csv / core_metrics and kpis (H1 FY2016-H1 FY2026, USD millions); QBE.AX_Annual_FY2025.txt summary financial performance (lines 829-869), underwriting performance (892-965), statutory-to-management reconciliation (1310-1346), capital and adjusted NPAT (1193-1242), EPS note 5.5 (11797-11815); QBE.AX_HalfYear_H1-2026.txt summary (375-399), divisional NIR (521/547/590), capital (684-692), adjusted NPAT (701-729), outlook (753-759), EPS denominator (1949-1958); QBE.AX_Annual_FY2023.txt management reinsurance expenses (1285/1324) for the NIR series
qualitative: QBE.AX_Analysis.json (2026-09-25); FY25 Annual Report 2026 outlook (COR ~92.5%, mid-single-digit cc GWP growth, catastrophe allowance $1,130m, expense ratio ~12%, medium-term 15%+ adjusted ROE at 3%+ investment returns and ~25% tax), reaffirmed in the H1 FY26 report of 14 Aug 2026</t>
  </si>
  <si>
    <t xml:space="preserve">Scenario narrative: bear</t>
  </si>
  <si>
    <t xml:space="preserve">The pricing cycle turns: property and Lloyd's rates go negative, a heavy H2 FY26 catastrophe season takes cat costs to allowance, FY27 brings a 95% COR with reserve strengthening in International long-tail lines, and rate cuts pull the investment return to management's 3% floor. QBE sheds volume to hold discipline, so NIR grows ~2% and ROE settles at 11-12%. No solvency question (PCA 1.8x, AA-), so this is an earnings-and-multiple case: FY17/FY20-style losses are not modelled because the lines that produced them have been exited.</t>
  </si>
  <si>
    <t xml:space="preserve">Scenario narrative: base</t>
  </si>
  <si>
    <t xml:space="preserve">QBE delivers FY26 on guidance (COR ~92.5%, NIR +6% in USD with the FX tailwind, NPAT ~US$2.06bn) and then normalises toward its own medium-term guide: the COR drifts to 93.0% as renewal rate increases sit near zero and claims inflation runs low-to-mid single digit, the investment return eases from 4.9% to 3.5% as rates fall, and premium growth fades from mid-single-digit to 2.5%. Around 70-90% of profit is distributed (40-60% dividend plus buybacks); the rest funds the regulatory capital a growing premium base requires. Long-run ROE settles at ~15%, which is what management guides. The axes that matter are the catastrophe allowance versus experience, prior-year development, North America's 97% COR, and yields on ~US$36bn of funds.</t>
  </si>
  <si>
    <t xml:space="preserve">Scenario narrative: bull</t>
  </si>
  <si>
    <t xml:space="preserve">The underwriting turnaround is structural: COR holds at 92.0% (North America closes toward International, expense ratio below 12%, reserving initiatives keep releasing), investment returns stay at 4.5% in a higher-for-longer rate world, and the growth franchises compound NIR at 5-6% for four years on capital-efficient structures. ROE sustains at 17-18% -- between the 15% guide and FY25's 19.8% -- and value is capped at a 16x terminal multiple on free cash to equity.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</si>
  <si>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</si>
  <si>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</si>
  <si>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</si>
  <si>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</si>
  <si>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</si>
  <si>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</si>
  <si>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</si>
  <si>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</si>
  <si>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</si>
  <si>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</si>
  <si>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</si>
  <si>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</si>
  <si>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</si>
  <si>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</si>
  <si>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</si>
  <si>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</si>
  <si>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</si>
  <si>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</si>
  <si>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</si>
  <si>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</si>
  <si>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</si>
  <si>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</si>
  <si>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</si>
  <si>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</si>
  <si>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</si>
  <si>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</si>
  <si>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</si>
  <si>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CombinedOperatingRatio</t>
  </si>
  <si>
    <t xml:space="preserve">GrossWrittenPremium</t>
  </si>
  <si>
    <t xml:space="preserve">InsuranceServiceResult</t>
  </si>
  <si>
    <t xml:space="preserve">NetEarnedPremium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</si>
  <si>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</si>
  <si>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</si>
  <si>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</si>
  <si>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</si>
  <si>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</si>
  <si>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</si>
  <si>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</si>
  <si>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</si>
  <si>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</si>
  <si>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</si>
  <si>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</si>
  <si>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</si>
  <si>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</si>
  <si>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</si>
  <si>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</si>
  <si>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</si>
  <si>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</si>
  <si>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</si>
  <si>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</si>
  <si>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</si>
  <si>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</si>
  <si>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</si>
  <si>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</si>
  <si>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</si>
  <si>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</si>
  <si>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</si>
  <si>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</si>
  <si>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</si>
  <si>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</si>
  <si>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</si>
  <si>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</si>
  <si>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</si>
  <si>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</si>
  <si>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</si>
  <si>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</si>
  <si>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</si>
  <si>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</si>
  <si>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</si>
  <si>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</si>
  <si>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</si>
  <si>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</si>
  <si>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</si>
  <si>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</si>
  <si>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</si>
  <si>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</si>
  <si>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QBE.AX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</si>
  <si>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</si>
  <si>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</si>
  <si>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</si>
  <si>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</si>
  <si>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</si>
  <si>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</si>
  <si>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</si>
  <si>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</si>
  <si>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</si>
  <si>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</si>
  <si>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</si>
  <si>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</si>
  <si>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</si>
  <si>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</si>
  <si>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</si>
  <si>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</si>
  <si>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</si>
  <si>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</si>
  <si>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</si>
  <si>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</si>
  <si>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</si>
  <si>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</si>
  <si>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</si>
  <si>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</si>
  <si>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</si>
  <si>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</si>
  <si>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</si>
  <si>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</si>
  <si>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</si>
  <si>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</si>
  <si>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QBE.AX owner-FCF component DCF: base case (millions, USD)</t>
  </si>
  <si>
    <t xml:space="preserve">QBE.AX owner-FCF component DCF: bull case (millions, USD)</t>
  </si>
  <si>
    <t xml:space="preserve">QBE.AX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</si>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</sst>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22.95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13601</v>
      </c>
      <c r="F2" s="0" t="n">
        <v>826</v>
      </c>
      <c r="G2" s="0" t="n">
        <v>6.1</v>
      </c>
      <c r="I2" s="0" t="n">
        <v>390</v>
      </c>
      <c r="J2" s="0" t="n">
        <v>2.9</v>
      </c>
      <c r="K2" s="0" t="n">
        <v>0.286</v>
      </c>
      <c r="L2" s="0" t="n">
        <v>-443</v>
      </c>
      <c r="M2" s="0" t="n">
        <v>100</v>
      </c>
      <c r="N2" s="0" t="n">
        <v>-543</v>
      </c>
      <c r="O2" s="0" t="n">
        <v>8381</v>
      </c>
      <c r="P2" s="0" t="n">
        <v>39582</v>
      </c>
      <c r="Q2" s="0" t="n">
        <v>31182</v>
      </c>
      <c r="R2" s="0" t="n">
        <v>3188</v>
      </c>
      <c r="S2" s="0" t="n">
        <v>863</v>
      </c>
      <c r="T2" s="0" t="n">
        <v>1327</v>
      </c>
      <c r="U2" s="0" t="n">
        <v>34</v>
      </c>
      <c r="AA2" s="0" t="s">
        <v>18</v>
      </c>
      <c r="AB2" s="0" t="s">
        <v>14</v>
      </c>
      <c r="AD2" s="0" t="n">
        <v>13657</v>
      </c>
      <c r="AF2" s="0" t="n">
        <v>11640</v>
      </c>
    </row>
    <row r="3" customFormat="false" ht="15" hidden="false" customHeight="false" outlineLevel="0" collapsed="false">
      <c r="A3" s="0" t="s">
        <v>69</v>
      </c>
      <c r="B3" s="0" t="n">
        <v>13257</v>
      </c>
      <c r="F3" s="0" t="n">
        <v>647</v>
      </c>
      <c r="G3" s="0" t="n">
        <v>4.9</v>
      </c>
      <c r="I3" s="0" t="n">
        <v>550</v>
      </c>
      <c r="J3" s="0" t="n">
        <v>4.1</v>
      </c>
      <c r="K3" s="0" t="n">
        <v>0.415</v>
      </c>
      <c r="L3" s="0" t="n">
        <v>1779</v>
      </c>
      <c r="M3" s="0" t="n">
        <v>114</v>
      </c>
      <c r="N3" s="0" t="n">
        <v>1665</v>
      </c>
      <c r="O3" s="0" t="n">
        <v>8153</v>
      </c>
      <c r="P3" s="0" t="n">
        <v>40035</v>
      </c>
      <c r="Q3" s="0" t="n">
        <v>31882</v>
      </c>
      <c r="R3" s="0" t="n">
        <v>3095</v>
      </c>
      <c r="S3" s="0" t="n">
        <v>547</v>
      </c>
      <c r="T3" s="0" t="n">
        <v>1305</v>
      </c>
      <c r="U3" s="0" t="n">
        <v>38</v>
      </c>
      <c r="AA3" s="0" t="s">
        <v>18</v>
      </c>
      <c r="AB3" s="0" t="s">
        <v>14</v>
      </c>
      <c r="AD3" s="0" t="n">
        <v>13442</v>
      </c>
      <c r="AF3" s="0" t="n">
        <v>11609</v>
      </c>
    </row>
    <row r="4" customFormat="false" ht="15" hidden="false" customHeight="false" outlineLevel="0" collapsed="false">
      <c r="A4" s="0" t="s">
        <v>70</v>
      </c>
      <c r="B4" s="0" t="n">
        <v>14008</v>
      </c>
      <c r="F4" s="0" t="n">
        <v>-727</v>
      </c>
      <c r="G4" s="0" t="n">
        <v>-5.2</v>
      </c>
      <c r="I4" s="0" t="n">
        <v>-1517</v>
      </c>
      <c r="J4" s="0" t="n">
        <v>-10.8</v>
      </c>
      <c r="K4" s="0" t="n">
        <v>-1.085</v>
      </c>
      <c r="L4" s="0" t="n">
        <v>1234</v>
      </c>
      <c r="M4" s="0" t="n">
        <v>111</v>
      </c>
      <c r="N4" s="0" t="n">
        <v>1123</v>
      </c>
      <c r="O4" s="0" t="n">
        <v>8491</v>
      </c>
      <c r="P4" s="0" t="n">
        <v>46625</v>
      </c>
      <c r="Q4" s="0" t="n">
        <v>38133</v>
      </c>
      <c r="R4" s="0" t="n">
        <v>2955</v>
      </c>
      <c r="S4" s="0" t="n">
        <v>766</v>
      </c>
      <c r="T4" s="0" t="n">
        <v>1471</v>
      </c>
      <c r="U4" s="0" t="n">
        <v>20</v>
      </c>
      <c r="AA4" s="0" t="s">
        <v>18</v>
      </c>
      <c r="AB4" s="0" t="s">
        <v>14</v>
      </c>
      <c r="AD4" s="0" t="n">
        <v>14643</v>
      </c>
      <c r="AF4" s="0" t="n">
        <v>11708</v>
      </c>
    </row>
    <row r="5" customFormat="false" ht="15" hidden="false" customHeight="false" outlineLevel="0" collapsed="false">
      <c r="A5" s="0" t="s">
        <v>71</v>
      </c>
      <c r="B5" s="0" t="n">
        <v>17035</v>
      </c>
      <c r="F5" s="0" t="n">
        <v>1215</v>
      </c>
      <c r="G5" s="0" t="n">
        <v>7.1</v>
      </c>
      <c r="I5" s="0" t="n">
        <v>750</v>
      </c>
      <c r="J5" s="0" t="n">
        <v>4.4</v>
      </c>
      <c r="K5" s="0" t="n">
        <v>0.472</v>
      </c>
      <c r="L5" s="0" t="n">
        <v>2754</v>
      </c>
      <c r="M5" s="0" t="n">
        <v>120</v>
      </c>
      <c r="N5" s="0" t="n">
        <v>2634</v>
      </c>
      <c r="O5" s="0" t="n">
        <v>8881</v>
      </c>
      <c r="P5" s="0" t="n">
        <v>49303</v>
      </c>
      <c r="Q5" s="0" t="n">
        <v>40421</v>
      </c>
      <c r="R5" s="0" t="n">
        <v>3268</v>
      </c>
      <c r="S5" s="0" t="n">
        <v>819</v>
      </c>
      <c r="T5" s="0" t="n">
        <v>1477</v>
      </c>
      <c r="U5" s="0" t="n">
        <v>32</v>
      </c>
      <c r="AA5" s="0" t="s">
        <v>18</v>
      </c>
      <c r="AB5" s="0" t="s">
        <v>14</v>
      </c>
      <c r="AD5" s="0" t="n">
        <v>18457</v>
      </c>
      <c r="AF5" s="0" t="n">
        <v>13408</v>
      </c>
    </row>
    <row r="6" customFormat="false" ht="15" hidden="false" customHeight="false" outlineLevel="0" collapsed="false">
      <c r="A6" s="0" t="s">
        <v>72</v>
      </c>
      <c r="B6" s="0" t="n">
        <v>18904</v>
      </c>
      <c r="F6" s="0" t="n">
        <v>1295</v>
      </c>
      <c r="G6" s="0" t="n">
        <v>6.9</v>
      </c>
      <c r="I6" s="0" t="n">
        <v>587</v>
      </c>
      <c r="J6" s="0" t="n">
        <v>3.1</v>
      </c>
      <c r="K6" s="0" t="n">
        <v>0.36</v>
      </c>
      <c r="L6" s="0" t="n">
        <v>2833</v>
      </c>
      <c r="M6" s="0" t="n">
        <v>165</v>
      </c>
      <c r="N6" s="0" t="n">
        <v>2668</v>
      </c>
      <c r="O6" s="0" t="n">
        <v>8855</v>
      </c>
      <c r="P6" s="0" t="n">
        <v>39201</v>
      </c>
      <c r="Q6" s="0" t="n">
        <v>30344</v>
      </c>
      <c r="R6" s="0" t="n">
        <v>2744</v>
      </c>
      <c r="S6" s="0" t="n">
        <v>833</v>
      </c>
      <c r="T6" s="0" t="n">
        <v>1485</v>
      </c>
      <c r="U6" s="0" t="n">
        <v>39</v>
      </c>
      <c r="AA6" s="0" t="s">
        <v>18</v>
      </c>
      <c r="AB6" s="0" t="s">
        <v>14</v>
      </c>
      <c r="AC6" s="0" t="n">
        <v>95.9</v>
      </c>
      <c r="AD6" s="0" t="n">
        <v>19993</v>
      </c>
      <c r="AE6" s="0" t="n">
        <v>971</v>
      </c>
    </row>
    <row r="7" customFormat="false" ht="15" hidden="false" customHeight="false" outlineLevel="0" collapsed="false">
      <c r="A7" s="0" t="s">
        <v>73</v>
      </c>
      <c r="B7" s="0" t="n">
        <v>20826</v>
      </c>
      <c r="F7" s="0" t="n">
        <v>1619</v>
      </c>
      <c r="G7" s="0" t="n">
        <v>7.8</v>
      </c>
      <c r="I7" s="0" t="n">
        <v>1355</v>
      </c>
      <c r="J7" s="0" t="n">
        <v>6.5</v>
      </c>
      <c r="K7" s="0" t="n">
        <v>0.87</v>
      </c>
      <c r="L7" s="0" t="n">
        <v>1503</v>
      </c>
      <c r="M7" s="0" t="n">
        <v>168</v>
      </c>
      <c r="N7" s="0" t="n">
        <v>1335</v>
      </c>
      <c r="O7" s="0" t="n">
        <v>9950</v>
      </c>
      <c r="P7" s="0" t="n">
        <v>42108</v>
      </c>
      <c r="Q7" s="0" t="n">
        <v>32155</v>
      </c>
      <c r="R7" s="0" t="n">
        <v>2798</v>
      </c>
      <c r="S7" s="0" t="n">
        <v>1366</v>
      </c>
      <c r="T7" s="0" t="n">
        <v>1494</v>
      </c>
      <c r="U7" s="0" t="n">
        <v>42</v>
      </c>
      <c r="AA7" s="0" t="s">
        <v>18</v>
      </c>
      <c r="AB7" s="0" t="s">
        <v>14</v>
      </c>
      <c r="AC7" s="0" t="n">
        <v>95.2</v>
      </c>
      <c r="AD7" s="0" t="n">
        <v>21748</v>
      </c>
      <c r="AE7" s="0" t="n">
        <v>1503</v>
      </c>
    </row>
    <row r="8" customFormat="false" ht="15" hidden="false" customHeight="false" outlineLevel="0" collapsed="false">
      <c r="A8" s="0" t="s">
        <v>74</v>
      </c>
      <c r="B8" s="0" t="n">
        <v>21778</v>
      </c>
      <c r="F8" s="0" t="n">
        <v>2133</v>
      </c>
      <c r="G8" s="0" t="n">
        <v>9.8</v>
      </c>
      <c r="I8" s="0" t="n">
        <v>1779</v>
      </c>
      <c r="J8" s="0" t="n">
        <v>8.2</v>
      </c>
      <c r="K8" s="0" t="n">
        <v>1.142</v>
      </c>
      <c r="L8" s="0" t="n">
        <v>2575</v>
      </c>
      <c r="M8" s="0" t="n">
        <v>152</v>
      </c>
      <c r="N8" s="0" t="n">
        <v>2423</v>
      </c>
      <c r="O8" s="0" t="n">
        <v>10728</v>
      </c>
      <c r="P8" s="0" t="n">
        <v>43846</v>
      </c>
      <c r="Q8" s="0" t="n">
        <v>33115</v>
      </c>
      <c r="R8" s="0" t="n">
        <v>2664</v>
      </c>
      <c r="S8" s="0" t="n">
        <v>1638</v>
      </c>
      <c r="T8" s="0" t="n">
        <v>1505</v>
      </c>
      <c r="U8" s="0" t="n">
        <v>59</v>
      </c>
      <c r="AA8" s="0" t="s">
        <v>18</v>
      </c>
      <c r="AB8" s="0" t="s">
        <v>14</v>
      </c>
      <c r="AC8" s="0" t="n">
        <v>93.1</v>
      </c>
      <c r="AD8" s="0" t="n">
        <v>22395</v>
      </c>
      <c r="AE8" s="0" t="n">
        <v>2006</v>
      </c>
    </row>
    <row r="9" customFormat="false" ht="15" hidden="false" customHeight="false" outlineLevel="0" collapsed="false">
      <c r="A9" s="0" t="s">
        <v>75</v>
      </c>
      <c r="B9" s="0" t="n">
        <v>22955</v>
      </c>
      <c r="F9" s="0" t="n">
        <v>2486</v>
      </c>
      <c r="G9" s="0" t="n">
        <v>10.8</v>
      </c>
      <c r="I9" s="0" t="n">
        <v>2157</v>
      </c>
      <c r="J9" s="0" t="n">
        <v>9.4</v>
      </c>
      <c r="K9" s="0" t="n">
        <v>1.4</v>
      </c>
      <c r="L9" s="0" t="n">
        <v>4223</v>
      </c>
      <c r="M9" s="0" t="n">
        <v>135</v>
      </c>
      <c r="N9" s="0" t="n">
        <v>4088</v>
      </c>
      <c r="O9" s="0" t="n">
        <v>11671</v>
      </c>
      <c r="P9" s="0" t="n">
        <v>48535</v>
      </c>
      <c r="Q9" s="0" t="n">
        <v>36862</v>
      </c>
      <c r="R9" s="0" t="n">
        <v>3700</v>
      </c>
      <c r="S9" s="0" t="n">
        <v>1869</v>
      </c>
      <c r="T9" s="0" t="n">
        <v>1506</v>
      </c>
      <c r="U9" s="0" t="n">
        <v>64</v>
      </c>
      <c r="AA9" s="0" t="s">
        <v>18</v>
      </c>
      <c r="AB9" s="0" t="s">
        <v>14</v>
      </c>
      <c r="AC9" s="0" t="n">
        <v>91.9</v>
      </c>
      <c r="AD9" s="0" t="n">
        <v>23959</v>
      </c>
      <c r="AE9" s="0" t="n">
        <v>2394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22.95</v>
      </c>
    </row>
    <row r="3" customFormat="false" ht="15" hidden="false" customHeight="false" outlineLevel="0" collapsed="false">
      <c r="A3" s="0" t="s">
        <v>79</v>
      </c>
      <c r="B3" s="3" t="n">
        <v>1506</v>
      </c>
    </row>
    <row r="4" customFormat="false" ht="15" hidden="false" customHeight="false" outlineLevel="0" collapsed="false">
      <c r="A4" s="0" t="s">
        <v>80</v>
      </c>
      <c r="B4" s="3" t="n">
        <v>0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18412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1.4253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4</v>
      </c>
      <c r="D13" s="3" t="n">
        <v>2</v>
      </c>
      <c r="E13" s="3" t="n">
        <v>2</v>
      </c>
      <c r="F13" s="3" t="n">
        <v>2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100</v>
      </c>
      <c r="C14" s="3" t="n">
        <v>12.1</v>
      </c>
      <c r="D14" s="3" t="n">
        <v>10.1</v>
      </c>
      <c r="E14" s="3" t="n">
        <v>9.9</v>
      </c>
      <c r="F14" s="3" t="n">
        <v>9.4</v>
      </c>
      <c r="G14" s="3" t="n">
        <v>9.1</v>
      </c>
      <c r="H14" s="3" t="n">
        <v>9.1</v>
      </c>
      <c r="I14" s="3" t="n">
        <v>9.1</v>
      </c>
      <c r="J14" s="3" t="n">
        <v>9.1</v>
      </c>
      <c r="K14" s="3" t="n">
        <v>9.1</v>
      </c>
      <c r="L14" s="3" t="n">
        <v>9.1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104</v>
      </c>
      <c r="C18" s="3" t="n">
        <v>2.2</v>
      </c>
      <c r="D18" s="3" t="n">
        <v>1.1</v>
      </c>
      <c r="E18" s="3" t="n">
        <v>1.1</v>
      </c>
      <c r="F18" s="3" t="n">
        <v>1.1</v>
      </c>
      <c r="G18" s="3" t="n">
        <v>1.4</v>
      </c>
      <c r="H18" s="3" t="n">
        <v>1.4</v>
      </c>
      <c r="I18" s="3" t="n">
        <v>1.1</v>
      </c>
      <c r="J18" s="3" t="n">
        <v>1.1</v>
      </c>
      <c r="K18" s="3" t="n">
        <v>1.1</v>
      </c>
      <c r="L18" s="3" t="n">
        <v>1.1</v>
      </c>
    </row>
    <row r="19" customFormat="false" ht="15" hidden="false" customHeight="false" outlineLevel="0" collapsed="false">
      <c r="A19" s="0" t="s">
        <v>105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106</v>
      </c>
      <c r="B20" s="3" t="n">
        <v>9.5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11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6</v>
      </c>
      <c r="D27" s="3" t="n">
        <v>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14.1</v>
      </c>
      <c r="D28" s="3" t="n">
        <v>13.2</v>
      </c>
      <c r="E28" s="3" t="n">
        <v>12.6</v>
      </c>
      <c r="F28" s="3" t="n">
        <v>12.2</v>
      </c>
      <c r="G28" s="3" t="n">
        <v>11.8</v>
      </c>
      <c r="H28" s="3" t="n">
        <v>11.8</v>
      </c>
      <c r="I28" s="3" t="n">
        <v>11.8</v>
      </c>
      <c r="J28" s="3" t="n">
        <v>11.8</v>
      </c>
      <c r="K28" s="3" t="n">
        <v>11.8</v>
      </c>
      <c r="L28" s="3" t="n">
        <v>11.8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104</v>
      </c>
      <c r="C32" s="3" t="n">
        <v>3</v>
      </c>
      <c r="D32" s="3" t="n">
        <v>2.5</v>
      </c>
      <c r="E32" s="3" t="n">
        <v>2.25</v>
      </c>
      <c r="F32" s="3" t="n">
        <v>2</v>
      </c>
      <c r="G32" s="3" t="n">
        <v>1.75</v>
      </c>
      <c r="H32" s="3" t="n">
        <v>1.5</v>
      </c>
      <c r="I32" s="3" t="n">
        <v>1.5</v>
      </c>
      <c r="J32" s="3" t="n">
        <v>1.5</v>
      </c>
      <c r="K32" s="3" t="n">
        <v>1.25</v>
      </c>
      <c r="L32" s="3" t="n">
        <v>1.25</v>
      </c>
    </row>
    <row r="33" customFormat="false" ht="15" hidden="false" customHeight="false" outlineLevel="0" collapsed="false">
      <c r="A33" s="0" t="s">
        <v>105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106</v>
      </c>
      <c r="B34" s="3" t="n">
        <v>9.5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14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7</v>
      </c>
      <c r="D41" s="3" t="n">
        <v>6</v>
      </c>
      <c r="E41" s="3" t="n">
        <v>6</v>
      </c>
      <c r="F41" s="3" t="n">
        <v>5</v>
      </c>
      <c r="G41" s="3" t="n">
        <v>5</v>
      </c>
      <c r="H41" s="3" t="n">
        <v>4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14.6</v>
      </c>
      <c r="D42" s="3" t="n">
        <v>14.3</v>
      </c>
      <c r="E42" s="3" t="n">
        <v>14</v>
      </c>
      <c r="F42" s="3" t="n">
        <v>13.8</v>
      </c>
      <c r="G42" s="3" t="n">
        <v>13.5</v>
      </c>
      <c r="H42" s="3" t="n">
        <v>13.5</v>
      </c>
      <c r="I42" s="3" t="n">
        <v>13.5</v>
      </c>
      <c r="J42" s="3" t="n">
        <v>13.5</v>
      </c>
      <c r="K42" s="3" t="n">
        <v>13.5</v>
      </c>
      <c r="L42" s="3" t="n">
        <v>13.5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104</v>
      </c>
      <c r="C46" s="3" t="n">
        <v>3.5</v>
      </c>
      <c r="D46" s="3" t="n">
        <v>3</v>
      </c>
      <c r="E46" s="3" t="n">
        <v>3</v>
      </c>
      <c r="F46" s="3" t="n">
        <v>2.5</v>
      </c>
      <c r="G46" s="3" t="n">
        <v>2.5</v>
      </c>
      <c r="H46" s="3" t="n">
        <v>2</v>
      </c>
      <c r="I46" s="3" t="n">
        <v>2</v>
      </c>
      <c r="J46" s="3" t="n">
        <v>1.75</v>
      </c>
      <c r="K46" s="3" t="n">
        <v>1.5</v>
      </c>
      <c r="L46" s="3" t="n">
        <v>1.5</v>
      </c>
    </row>
    <row r="47" customFormat="false" ht="15" hidden="false" customHeight="false" outlineLevel="0" collapsed="false">
      <c r="A47" s="0" t="s">
        <v>105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106</v>
      </c>
      <c r="B48" s="3" t="n">
        <v>9.5</v>
      </c>
    </row>
    <row r="49" customFormat="false" ht="15" hidden="false" customHeight="false" outlineLevel="0" collapsed="false">
      <c r="A49" s="0" t="s">
        <v>107</v>
      </c>
      <c r="B49" s="3" t="n">
        <v>3</v>
      </c>
    </row>
    <row r="50" customFormat="false" ht="15" hidden="false" customHeight="false" outlineLevel="0" collapsed="false">
      <c r="A50" s="0" t="s">
        <v>108</v>
      </c>
      <c r="B50" s="3" t="n">
        <v>16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4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18412</v>
      </c>
      <c r="C6" s="0" t="n">
        <f aca="false">B6*(1+C5/100)</f>
        <v>19148.48</v>
      </c>
      <c r="D6" s="0" t="n">
        <f aca="false">C6*(1+D5/100)</f>
        <v>19531.4496</v>
      </c>
      <c r="E6" s="0" t="n">
        <f aca="false">D6*(1+E5/100)</f>
        <v>19922.078592</v>
      </c>
      <c r="F6" s="0" t="n">
        <f aca="false">E6*(1+F5/100)</f>
        <v>20320.52016384</v>
      </c>
      <c r="G6" s="0" t="n">
        <f aca="false">F6*(1+G5/100)</f>
        <v>20828.533167936</v>
      </c>
      <c r="H6" s="0" t="n">
        <f aca="false">G6*(1+H5/100)</f>
        <v>21349.2464971344</v>
      </c>
      <c r="I6" s="0" t="n">
        <f aca="false">H6*(1+I5/100)</f>
        <v>21776.2314270771</v>
      </c>
      <c r="J6" s="0" t="n">
        <f aca="false">I6*(1+J5/100)</f>
        <v>22211.7560556186</v>
      </c>
      <c r="K6" s="0" t="n">
        <f aca="false">J6*(1+K5/100)</f>
        <v>22655.991176731</v>
      </c>
      <c r="L6" s="0" t="n">
        <f aca="false">K6*(1+L5/100)</f>
        <v>23109.1110002656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12.1</v>
      </c>
      <c r="D7" s="4" t="n">
        <f aca="false">Assumptions!D14</f>
        <v>10.1</v>
      </c>
      <c r="E7" s="4" t="n">
        <f aca="false">Assumptions!E14</f>
        <v>9.9</v>
      </c>
      <c r="F7" s="4" t="n">
        <f aca="false">Assumptions!F14</f>
        <v>9.4</v>
      </c>
      <c r="G7" s="4" t="n">
        <f aca="false">Assumptions!G14</f>
        <v>9.1</v>
      </c>
      <c r="H7" s="4" t="n">
        <f aca="false">Assumptions!H14</f>
        <v>9.1</v>
      </c>
      <c r="I7" s="4" t="n">
        <f aca="false">Assumptions!I14</f>
        <v>9.1</v>
      </c>
      <c r="J7" s="4" t="n">
        <f aca="false">Assumptions!J14</f>
        <v>9.1</v>
      </c>
      <c r="K7" s="4" t="n">
        <f aca="false">Assumptions!K14</f>
        <v>9.1</v>
      </c>
      <c r="L7" s="4" t="n">
        <f aca="false">Assumptions!L14</f>
        <v>9.1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2316.96608</v>
      </c>
      <c r="D8" s="0" t="n">
        <f aca="false">D6*D7/100</f>
        <v>1972.6764096</v>
      </c>
      <c r="E8" s="0" t="n">
        <f aca="false">E6*E7/100</f>
        <v>1972.285780608</v>
      </c>
      <c r="F8" s="0" t="n">
        <f aca="false">F6*F7/100</f>
        <v>1910.12889540096</v>
      </c>
      <c r="G8" s="0" t="n">
        <f aca="false">G6*G7/100</f>
        <v>1895.39651828218</v>
      </c>
      <c r="H8" s="0" t="n">
        <f aca="false">H6*H7/100</f>
        <v>1942.78143123923</v>
      </c>
      <c r="I8" s="0" t="n">
        <f aca="false">I6*I7/100</f>
        <v>1981.63705986402</v>
      </c>
      <c r="J8" s="0" t="n">
        <f aca="false">J6*J7/100</f>
        <v>2021.2698010613</v>
      </c>
      <c r="K8" s="0" t="n">
        <f aca="false">K6*K7/100</f>
        <v>2061.69519708252</v>
      </c>
      <c r="L8" s="0" t="n">
        <f aca="false">L6*L7/100</f>
        <v>2102.92910102417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2316.96608</v>
      </c>
      <c r="D11" s="0" t="n">
        <f aca="false">D8+D10+D24</f>
        <v>1972.6764096</v>
      </c>
      <c r="E11" s="0" t="n">
        <f aca="false">E8+E10+E24</f>
        <v>1972.285780608</v>
      </c>
      <c r="F11" s="0" t="n">
        <f aca="false">F8+F10+F24</f>
        <v>1910.12889540096</v>
      </c>
      <c r="G11" s="0" t="n">
        <f aca="false">G8+G10+G24</f>
        <v>1895.39651828218</v>
      </c>
      <c r="H11" s="0" t="n">
        <f aca="false">H8+H10+H24</f>
        <v>1942.78143123923</v>
      </c>
      <c r="I11" s="0" t="n">
        <f aca="false">I8+I10+I24</f>
        <v>1981.63705986402</v>
      </c>
      <c r="J11" s="0" t="n">
        <f aca="false">J8+J10+J24</f>
        <v>2021.2698010613</v>
      </c>
      <c r="K11" s="0" t="n">
        <f aca="false">K8+K10+K24</f>
        <v>2061.69519708252</v>
      </c>
      <c r="L11" s="0" t="n">
        <f aca="false">L8+L10+L24</f>
        <v>2102.92910102417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2316.96608</v>
      </c>
      <c r="D13" s="0" t="n">
        <f aca="false">D11+D12</f>
        <v>1972.6764096</v>
      </c>
      <c r="E13" s="0" t="n">
        <f aca="false">E11+E12</f>
        <v>1972.285780608</v>
      </c>
      <c r="F13" s="0" t="n">
        <f aca="false">F11+F12</f>
        <v>1910.12889540096</v>
      </c>
      <c r="G13" s="0" t="n">
        <f aca="false">G11+G12</f>
        <v>1895.39651828218</v>
      </c>
      <c r="H13" s="0" t="n">
        <f aca="false">H11+H12</f>
        <v>1942.78143123923</v>
      </c>
      <c r="I13" s="0" t="n">
        <f aca="false">I11+I12</f>
        <v>1981.63705986402</v>
      </c>
      <c r="J13" s="0" t="n">
        <f aca="false">J11+J12</f>
        <v>2021.2698010613</v>
      </c>
      <c r="K13" s="0" t="n">
        <f aca="false">K11+K12</f>
        <v>2061.69519708252</v>
      </c>
      <c r="L13" s="0" t="n">
        <f aca="false">L11+L12</f>
        <v>2102.92910102417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1737.72456</v>
      </c>
      <c r="D15" s="0" t="n">
        <f aca="false">D13-MAX(0,D13)*D14/100</f>
        <v>1479.5073072</v>
      </c>
      <c r="E15" s="0" t="n">
        <f aca="false">E13-MAX(0,E13)*E14/100</f>
        <v>1479.214335456</v>
      </c>
      <c r="F15" s="0" t="n">
        <f aca="false">F13-MAX(0,F13)*F14/100</f>
        <v>1432.59667155072</v>
      </c>
      <c r="G15" s="0" t="n">
        <f aca="false">G13-MAX(0,G13)*G14/100</f>
        <v>1421.54738871163</v>
      </c>
      <c r="H15" s="0" t="n">
        <f aca="false">H13-MAX(0,H13)*H14/100</f>
        <v>1457.08607342942</v>
      </c>
      <c r="I15" s="0" t="n">
        <f aca="false">I13-MAX(0,I13)*I14/100</f>
        <v>1486.22779489801</v>
      </c>
      <c r="J15" s="0" t="n">
        <f aca="false">J13-MAX(0,J13)*J14/100</f>
        <v>1515.95235079597</v>
      </c>
      <c r="K15" s="0" t="n">
        <f aca="false">K13-MAX(0,K13)*K14/100</f>
        <v>1546.27139781189</v>
      </c>
      <c r="L15" s="0" t="n">
        <f aca="false">L13-MAX(0,L13)*L14/100</f>
        <v>1577.19682576813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-421.26656</v>
      </c>
      <c r="D17" s="4" t="n">
        <f aca="false">-D6*Assumptions!D18/100</f>
        <v>-214.8459456</v>
      </c>
      <c r="E17" s="4" t="n">
        <f aca="false">-E6*Assumptions!E18/100</f>
        <v>-219.142864512</v>
      </c>
      <c r="F17" s="4" t="n">
        <f aca="false">-F6*Assumptions!F18/100</f>
        <v>-223.52572180224</v>
      </c>
      <c r="G17" s="4" t="n">
        <f aca="false">-G6*Assumptions!G18/100</f>
        <v>-291.599464351104</v>
      </c>
      <c r="H17" s="4" t="n">
        <f aca="false">-H6*Assumptions!H18/100</f>
        <v>-298.889450959882</v>
      </c>
      <c r="I17" s="4" t="n">
        <f aca="false">-I6*Assumptions!I18/100</f>
        <v>-239.538545697848</v>
      </c>
      <c r="J17" s="4" t="n">
        <f aca="false">-J6*Assumptions!J18/100</f>
        <v>-244.329316611805</v>
      </c>
      <c r="K17" s="4" t="n">
        <f aca="false">-K6*Assumptions!K18/100</f>
        <v>-249.215902944041</v>
      </c>
      <c r="L17" s="4" t="n">
        <f aca="false">-L6*Assumptions!L18/100</f>
        <v>-254.200221002922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1316.458</v>
      </c>
      <c r="D19" s="0" t="n">
        <f aca="false">D15+D16+D17+D18</f>
        <v>1264.6613616</v>
      </c>
      <c r="E19" s="0" t="n">
        <f aca="false">E15+E16+E17+E18</f>
        <v>1260.071470944</v>
      </c>
      <c r="F19" s="0" t="n">
        <f aca="false">F15+F16+F17+F18</f>
        <v>1209.07094974848</v>
      </c>
      <c r="G19" s="0" t="n">
        <f aca="false">G15+G16+G17+G18</f>
        <v>1129.94792436053</v>
      </c>
      <c r="H19" s="0" t="n">
        <f aca="false">H15+H16+H17+H18</f>
        <v>1158.19662246954</v>
      </c>
      <c r="I19" s="0" t="n">
        <f aca="false">I15+I16+I17+I18</f>
        <v>1246.68924920016</v>
      </c>
      <c r="J19" s="0" t="n">
        <f aca="false">J15+J16+J17+J18</f>
        <v>1271.62303418417</v>
      </c>
      <c r="K19" s="0" t="n">
        <f aca="false">K15+K16+K17+K18</f>
        <v>1297.05549486785</v>
      </c>
      <c r="L19" s="0" t="n">
        <f aca="false">L15+L16+L17+L18</f>
        <v>1322.99660476521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1202.24474885845</v>
      </c>
      <c r="D21" s="0" t="n">
        <f aca="false">D19*D20</f>
        <v>1054.74144542441</v>
      </c>
      <c r="E21" s="0" t="n">
        <f aca="false">E19*E20</f>
        <v>959.738288839134</v>
      </c>
      <c r="F21" s="0" t="n">
        <f aca="false">F19*F20</f>
        <v>840.998671642891</v>
      </c>
      <c r="G21" s="0" t="n">
        <f aca="false">G19*G20</f>
        <v>717.774181881624</v>
      </c>
      <c r="H21" s="0" t="n">
        <f aca="false">H19*H20</f>
        <v>671.889074364077</v>
      </c>
      <c r="I21" s="0" t="n">
        <f aca="false">I19*I20</f>
        <v>660.479557224759</v>
      </c>
      <c r="J21" s="0" t="n">
        <f aca="false">J19*J20</f>
        <v>615.241231387447</v>
      </c>
      <c r="K21" s="0" t="n">
        <f aca="false">K19*K20</f>
        <v>573.101421018443</v>
      </c>
      <c r="L21" s="0" t="n">
        <f aca="false">L19*L20</f>
        <v>533.847899030879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7830.05651967211</v>
      </c>
    </row>
    <row r="31" customFormat="false" ht="15" hidden="false" customHeight="false" outlineLevel="0" collapsed="false">
      <c r="A31" s="0" t="s">
        <v>130</v>
      </c>
      <c r="B31" s="0" t="n">
        <f aca="false">L19</f>
        <v>1322.99660476521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17992.7538248068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14552.9626524173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14552.9626524173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5872.32688933967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13702.3834090118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13702.3834090118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12.968132186497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-0.434939774008845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12.968132186497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10380.434898927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8.35618517100429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18412</v>
      </c>
      <c r="C6" s="0" t="n">
        <f aca="false">B6*(1+C5/100)</f>
        <v>19516.72</v>
      </c>
      <c r="D6" s="0" t="n">
        <f aca="false">C6*(1+D5/100)</f>
        <v>20492.556</v>
      </c>
      <c r="E6" s="0" t="n">
        <f aca="false">D6*(1+E5/100)</f>
        <v>21414.72102</v>
      </c>
      <c r="F6" s="0" t="n">
        <f aca="false">E6*(1+F5/100)</f>
        <v>22271.3098608</v>
      </c>
      <c r="G6" s="0" t="n">
        <f aca="false">F6*(1+G5/100)</f>
        <v>23050.805705928</v>
      </c>
      <c r="H6" s="0" t="n">
        <f aca="false">G6*(1+H5/100)</f>
        <v>23742.3298771058</v>
      </c>
      <c r="I6" s="0" t="n">
        <f aca="false">H6*(1+I5/100)</f>
        <v>24454.599773419</v>
      </c>
      <c r="J6" s="0" t="n">
        <f aca="false">I6*(1+J5/100)</f>
        <v>25188.2377666216</v>
      </c>
      <c r="K6" s="0" t="n">
        <f aca="false">J6*(1+K5/100)</f>
        <v>25817.9437107871</v>
      </c>
      <c r="L6" s="0" t="n">
        <f aca="false">K6*(1+L5/100)</f>
        <v>26463.3923035568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14.1</v>
      </c>
      <c r="D7" s="4" t="n">
        <f aca="false">Assumptions!D28</f>
        <v>13.2</v>
      </c>
      <c r="E7" s="4" t="n">
        <f aca="false">Assumptions!E28</f>
        <v>12.6</v>
      </c>
      <c r="F7" s="4" t="n">
        <f aca="false">Assumptions!F28</f>
        <v>12.2</v>
      </c>
      <c r="G7" s="4" t="n">
        <f aca="false">Assumptions!G28</f>
        <v>11.8</v>
      </c>
      <c r="H7" s="4" t="n">
        <f aca="false">Assumptions!H28</f>
        <v>11.8</v>
      </c>
      <c r="I7" s="4" t="n">
        <f aca="false">Assumptions!I28</f>
        <v>11.8</v>
      </c>
      <c r="J7" s="4" t="n">
        <f aca="false">Assumptions!J28</f>
        <v>11.8</v>
      </c>
      <c r="K7" s="4" t="n">
        <f aca="false">Assumptions!K28</f>
        <v>11.8</v>
      </c>
      <c r="L7" s="4" t="n">
        <f aca="false">Assumptions!L28</f>
        <v>11.8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2751.85752</v>
      </c>
      <c r="D8" s="0" t="n">
        <f aca="false">D6*D7/100</f>
        <v>2705.017392</v>
      </c>
      <c r="E8" s="0" t="n">
        <f aca="false">E6*E7/100</f>
        <v>2698.25484852</v>
      </c>
      <c r="F8" s="0" t="n">
        <f aca="false">F6*F7/100</f>
        <v>2717.0998030176</v>
      </c>
      <c r="G8" s="0" t="n">
        <f aca="false">G6*G7/100</f>
        <v>2719.9950732995</v>
      </c>
      <c r="H8" s="0" t="n">
        <f aca="false">H6*H7/100</f>
        <v>2801.59492549849</v>
      </c>
      <c r="I8" s="0" t="n">
        <f aca="false">I6*I7/100</f>
        <v>2885.64277326344</v>
      </c>
      <c r="J8" s="0" t="n">
        <f aca="false">J6*J7/100</f>
        <v>2972.21205646135</v>
      </c>
      <c r="K8" s="0" t="n">
        <f aca="false">K6*K7/100</f>
        <v>3046.51735787288</v>
      </c>
      <c r="L8" s="0" t="n">
        <f aca="false">L6*L7/100</f>
        <v>3122.6802918197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2751.85752</v>
      </c>
      <c r="D11" s="0" t="n">
        <f aca="false">D8+D10+D24</f>
        <v>2705.017392</v>
      </c>
      <c r="E11" s="0" t="n">
        <f aca="false">E8+E10+E24</f>
        <v>2698.25484852</v>
      </c>
      <c r="F11" s="0" t="n">
        <f aca="false">F8+F10+F24</f>
        <v>2717.0998030176</v>
      </c>
      <c r="G11" s="0" t="n">
        <f aca="false">G8+G10+G24</f>
        <v>2719.9950732995</v>
      </c>
      <c r="H11" s="0" t="n">
        <f aca="false">H8+H10+H24</f>
        <v>2801.59492549849</v>
      </c>
      <c r="I11" s="0" t="n">
        <f aca="false">I8+I10+I24</f>
        <v>2885.64277326344</v>
      </c>
      <c r="J11" s="0" t="n">
        <f aca="false">J8+J10+J24</f>
        <v>2972.21205646135</v>
      </c>
      <c r="K11" s="0" t="n">
        <f aca="false">K8+K10+K24</f>
        <v>3046.51735787288</v>
      </c>
      <c r="L11" s="0" t="n">
        <f aca="false">L8+L10+L24</f>
        <v>3122.6802918197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2751.85752</v>
      </c>
      <c r="D13" s="0" t="n">
        <f aca="false">D11+D12</f>
        <v>2705.017392</v>
      </c>
      <c r="E13" s="0" t="n">
        <f aca="false">E11+E12</f>
        <v>2698.25484852</v>
      </c>
      <c r="F13" s="0" t="n">
        <f aca="false">F11+F12</f>
        <v>2717.0998030176</v>
      </c>
      <c r="G13" s="0" t="n">
        <f aca="false">G11+G12</f>
        <v>2719.9950732995</v>
      </c>
      <c r="H13" s="0" t="n">
        <f aca="false">H11+H12</f>
        <v>2801.59492549849</v>
      </c>
      <c r="I13" s="0" t="n">
        <f aca="false">I11+I12</f>
        <v>2885.64277326344</v>
      </c>
      <c r="J13" s="0" t="n">
        <f aca="false">J11+J12</f>
        <v>2972.21205646135</v>
      </c>
      <c r="K13" s="0" t="n">
        <f aca="false">K11+K12</f>
        <v>3046.51735787288</v>
      </c>
      <c r="L13" s="0" t="n">
        <f aca="false">L11+L12</f>
        <v>3122.6802918197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2063.89314</v>
      </c>
      <c r="D15" s="0" t="n">
        <f aca="false">D13-MAX(0,D13)*D14/100</f>
        <v>2028.763044</v>
      </c>
      <c r="E15" s="0" t="n">
        <f aca="false">E13-MAX(0,E13)*E14/100</f>
        <v>2023.69113639</v>
      </c>
      <c r="F15" s="0" t="n">
        <f aca="false">F13-MAX(0,F13)*F14/100</f>
        <v>2037.8248522632</v>
      </c>
      <c r="G15" s="0" t="n">
        <f aca="false">G13-MAX(0,G13)*G14/100</f>
        <v>2039.99630497463</v>
      </c>
      <c r="H15" s="0" t="n">
        <f aca="false">H13-MAX(0,H13)*H14/100</f>
        <v>2101.19619412387</v>
      </c>
      <c r="I15" s="0" t="n">
        <f aca="false">I13-MAX(0,I13)*I14/100</f>
        <v>2164.23207994758</v>
      </c>
      <c r="J15" s="0" t="n">
        <f aca="false">J13-MAX(0,J13)*J14/100</f>
        <v>2229.15904234601</v>
      </c>
      <c r="K15" s="0" t="n">
        <f aca="false">K13-MAX(0,K13)*K14/100</f>
        <v>2284.88801840466</v>
      </c>
      <c r="L15" s="0" t="n">
        <f aca="false">L13-MAX(0,L13)*L14/100</f>
        <v>2342.01021886478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-585.5016</v>
      </c>
      <c r="D17" s="4" t="n">
        <f aca="false">-D6*Assumptions!D32/100</f>
        <v>-512.3139</v>
      </c>
      <c r="E17" s="4" t="n">
        <f aca="false">-E6*Assumptions!E32/100</f>
        <v>-481.83122295</v>
      </c>
      <c r="F17" s="4" t="n">
        <f aca="false">-F6*Assumptions!F32/100</f>
        <v>-445.426197216</v>
      </c>
      <c r="G17" s="4" t="n">
        <f aca="false">-G6*Assumptions!G32/100</f>
        <v>-403.38909985374</v>
      </c>
      <c r="H17" s="4" t="n">
        <f aca="false">-H6*Assumptions!H32/100</f>
        <v>-356.134948156588</v>
      </c>
      <c r="I17" s="4" t="n">
        <f aca="false">-I6*Assumptions!I32/100</f>
        <v>-366.818996601285</v>
      </c>
      <c r="J17" s="4" t="n">
        <f aca="false">-J6*Assumptions!J32/100</f>
        <v>-377.823566499324</v>
      </c>
      <c r="K17" s="4" t="n">
        <f aca="false">-K6*Assumptions!K32/100</f>
        <v>-322.724296384839</v>
      </c>
      <c r="L17" s="4" t="n">
        <f aca="false">-L6*Assumptions!L32/100</f>
        <v>-330.79240379446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1478.39154</v>
      </c>
      <c r="D19" s="0" t="n">
        <f aca="false">D15+D16+D17+D18</f>
        <v>1516.449144</v>
      </c>
      <c r="E19" s="0" t="n">
        <f aca="false">E15+E16+E17+E18</f>
        <v>1541.85991344</v>
      </c>
      <c r="F19" s="0" t="n">
        <f aca="false">F15+F16+F17+F18</f>
        <v>1592.3986550472</v>
      </c>
      <c r="G19" s="0" t="n">
        <f aca="false">G15+G16+G17+G18</f>
        <v>1636.60720512089</v>
      </c>
      <c r="H19" s="0" t="n">
        <f aca="false">H15+H16+H17+H18</f>
        <v>1745.06124596728</v>
      </c>
      <c r="I19" s="0" t="n">
        <f aca="false">I15+I16+I17+I18</f>
        <v>1797.4130833463</v>
      </c>
      <c r="J19" s="0" t="n">
        <f aca="false">J15+J16+J17+J18</f>
        <v>1851.33547584669</v>
      </c>
      <c r="K19" s="0" t="n">
        <f aca="false">K15+K16+K17+K18</f>
        <v>1962.16372201982</v>
      </c>
      <c r="L19" s="0" t="n">
        <f aca="false">L15+L16+L17+L18</f>
        <v>2011.21781507032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1350.12926027397</v>
      </c>
      <c r="D21" s="0" t="n">
        <f aca="false">D19*D20</f>
        <v>1264.73521736411</v>
      </c>
      <c r="E21" s="0" t="n">
        <f aca="false">E19*E20</f>
        <v>1174.36354133624</v>
      </c>
      <c r="F21" s="0" t="n">
        <f aca="false">F19*F20</f>
        <v>1107.63156942875</v>
      </c>
      <c r="G21" s="0" t="n">
        <f aca="false">G19*G20</f>
        <v>1039.61817389241</v>
      </c>
      <c r="H21" s="0" t="n">
        <f aca="false">H19*H20</f>
        <v>1012.33897812754</v>
      </c>
      <c r="I21" s="0" t="n">
        <f aca="false">I19*I20</f>
        <v>952.245796777499</v>
      </c>
      <c r="J21" s="0" t="n">
        <f aca="false">J19*J20</f>
        <v>895.719790576095</v>
      </c>
      <c r="K21" s="0" t="n">
        <f aca="false">K19*K20</f>
        <v>866.978183901814</v>
      </c>
      <c r="L21" s="0" t="n">
        <f aca="false">L19*L20</f>
        <v>811.554921003982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10475.3154326824</v>
      </c>
    </row>
    <row r="31" customFormat="false" ht="15" hidden="false" customHeight="false" outlineLevel="0" collapsed="false">
      <c r="A31" s="0" t="s">
        <v>130</v>
      </c>
      <c r="B31" s="0" t="n">
        <f aca="false">L19</f>
        <v>2011.21781507032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29449.9751492439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28157.0494109844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28157.0494109844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11361.7688940557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21837.0843267382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21837.0843267382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20.6669298080345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-0.0994801826564505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20.6669298080345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16491.9860835766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11.6759013227184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7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18412</v>
      </c>
      <c r="C6" s="0" t="n">
        <f aca="false">B6*(1+C5/100)</f>
        <v>19700.84</v>
      </c>
      <c r="D6" s="0" t="n">
        <f aca="false">C6*(1+D5/100)</f>
        <v>20882.8904</v>
      </c>
      <c r="E6" s="0" t="n">
        <f aca="false">D6*(1+E5/100)</f>
        <v>22135.863824</v>
      </c>
      <c r="F6" s="0" t="n">
        <f aca="false">E6*(1+F5/100)</f>
        <v>23242.6570152</v>
      </c>
      <c r="G6" s="0" t="n">
        <f aca="false">F6*(1+G5/100)</f>
        <v>24404.78986596</v>
      </c>
      <c r="H6" s="0" t="n">
        <f aca="false">G6*(1+H5/100)</f>
        <v>25380.9814605984</v>
      </c>
      <c r="I6" s="0" t="n">
        <f aca="false">H6*(1+I5/100)</f>
        <v>26396.2207190223</v>
      </c>
      <c r="J6" s="0" t="n">
        <f aca="false">I6*(1+J5/100)</f>
        <v>27320.0884441881</v>
      </c>
      <c r="K6" s="0" t="n">
        <f aca="false">J6*(1+K5/100)</f>
        <v>28139.6910975138</v>
      </c>
      <c r="L6" s="0" t="n">
        <f aca="false">K6*(1+L5/100)</f>
        <v>28983.8818304392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14.6</v>
      </c>
      <c r="D7" s="4" t="n">
        <f aca="false">Assumptions!D42</f>
        <v>14.3</v>
      </c>
      <c r="E7" s="4" t="n">
        <f aca="false">Assumptions!E42</f>
        <v>14</v>
      </c>
      <c r="F7" s="4" t="n">
        <f aca="false">Assumptions!F42</f>
        <v>13.8</v>
      </c>
      <c r="G7" s="4" t="n">
        <f aca="false">Assumptions!G42</f>
        <v>13.5</v>
      </c>
      <c r="H7" s="4" t="n">
        <f aca="false">Assumptions!H42</f>
        <v>13.5</v>
      </c>
      <c r="I7" s="4" t="n">
        <f aca="false">Assumptions!I42</f>
        <v>13.5</v>
      </c>
      <c r="J7" s="4" t="n">
        <f aca="false">Assumptions!J42</f>
        <v>13.5</v>
      </c>
      <c r="K7" s="4" t="n">
        <f aca="false">Assumptions!K42</f>
        <v>13.5</v>
      </c>
      <c r="L7" s="4" t="n">
        <f aca="false">Assumptions!L42</f>
        <v>13.5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2876.32264</v>
      </c>
      <c r="D8" s="0" t="n">
        <f aca="false">D6*D7/100</f>
        <v>2986.2533272</v>
      </c>
      <c r="E8" s="0" t="n">
        <f aca="false">E6*E7/100</f>
        <v>3099.02093536</v>
      </c>
      <c r="F8" s="0" t="n">
        <f aca="false">F6*F7/100</f>
        <v>3207.4866680976</v>
      </c>
      <c r="G8" s="0" t="n">
        <f aca="false">G6*G7/100</f>
        <v>3294.6466319046</v>
      </c>
      <c r="H8" s="0" t="n">
        <f aca="false">H6*H7/100</f>
        <v>3426.43249718078</v>
      </c>
      <c r="I8" s="0" t="n">
        <f aca="false">I6*I7/100</f>
        <v>3563.48979706802</v>
      </c>
      <c r="J8" s="0" t="n">
        <f aca="false">J6*J7/100</f>
        <v>3688.2119399654</v>
      </c>
      <c r="K8" s="0" t="n">
        <f aca="false">K6*K7/100</f>
        <v>3798.85829816436</v>
      </c>
      <c r="L8" s="0" t="n">
        <f aca="false">L6*L7/100</f>
        <v>3912.82404710929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2876.32264</v>
      </c>
      <c r="D11" s="0" t="n">
        <f aca="false">D8+D10+D24</f>
        <v>2986.2533272</v>
      </c>
      <c r="E11" s="0" t="n">
        <f aca="false">E8+E10+E24</f>
        <v>3099.02093536</v>
      </c>
      <c r="F11" s="0" t="n">
        <f aca="false">F8+F10+F24</f>
        <v>3207.4866680976</v>
      </c>
      <c r="G11" s="0" t="n">
        <f aca="false">G8+G10+G24</f>
        <v>3294.6466319046</v>
      </c>
      <c r="H11" s="0" t="n">
        <f aca="false">H8+H10+H24</f>
        <v>3426.43249718078</v>
      </c>
      <c r="I11" s="0" t="n">
        <f aca="false">I8+I10+I24</f>
        <v>3563.48979706802</v>
      </c>
      <c r="J11" s="0" t="n">
        <f aca="false">J8+J10+J24</f>
        <v>3688.2119399654</v>
      </c>
      <c r="K11" s="0" t="n">
        <f aca="false">K8+K10+K24</f>
        <v>3798.85829816436</v>
      </c>
      <c r="L11" s="0" t="n">
        <f aca="false">L8+L10+L24</f>
        <v>3912.82404710929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2876.32264</v>
      </c>
      <c r="D13" s="0" t="n">
        <f aca="false">D11+D12</f>
        <v>2986.2533272</v>
      </c>
      <c r="E13" s="0" t="n">
        <f aca="false">E11+E12</f>
        <v>3099.02093536</v>
      </c>
      <c r="F13" s="0" t="n">
        <f aca="false">F11+F12</f>
        <v>3207.4866680976</v>
      </c>
      <c r="G13" s="0" t="n">
        <f aca="false">G11+G12</f>
        <v>3294.6466319046</v>
      </c>
      <c r="H13" s="0" t="n">
        <f aca="false">H11+H12</f>
        <v>3426.43249718078</v>
      </c>
      <c r="I13" s="0" t="n">
        <f aca="false">I11+I12</f>
        <v>3563.48979706802</v>
      </c>
      <c r="J13" s="0" t="n">
        <f aca="false">J11+J12</f>
        <v>3688.2119399654</v>
      </c>
      <c r="K13" s="0" t="n">
        <f aca="false">K11+K12</f>
        <v>3798.85829816436</v>
      </c>
      <c r="L13" s="0" t="n">
        <f aca="false">L11+L12</f>
        <v>3912.82404710929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2157.24198</v>
      </c>
      <c r="D15" s="0" t="n">
        <f aca="false">D13-MAX(0,D13)*D14/100</f>
        <v>2239.6899954</v>
      </c>
      <c r="E15" s="0" t="n">
        <f aca="false">E13-MAX(0,E13)*E14/100</f>
        <v>2324.26570152</v>
      </c>
      <c r="F15" s="0" t="n">
        <f aca="false">F13-MAX(0,F13)*F14/100</f>
        <v>2405.6150010732</v>
      </c>
      <c r="G15" s="0" t="n">
        <f aca="false">G13-MAX(0,G13)*G14/100</f>
        <v>2470.98497392845</v>
      </c>
      <c r="H15" s="0" t="n">
        <f aca="false">H13-MAX(0,H13)*H14/100</f>
        <v>2569.82437288559</v>
      </c>
      <c r="I15" s="0" t="n">
        <f aca="false">I13-MAX(0,I13)*I14/100</f>
        <v>2672.61734780101</v>
      </c>
      <c r="J15" s="0" t="n">
        <f aca="false">J13-MAX(0,J13)*J14/100</f>
        <v>2766.15895497405</v>
      </c>
      <c r="K15" s="0" t="n">
        <f aca="false">K13-MAX(0,K13)*K14/100</f>
        <v>2849.14372362327</v>
      </c>
      <c r="L15" s="0" t="n">
        <f aca="false">L13-MAX(0,L13)*L14/100</f>
        <v>2934.61803533197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-689.5294</v>
      </c>
      <c r="D17" s="4" t="n">
        <f aca="false">-D6*Assumptions!D46/100</f>
        <v>-626.486712</v>
      </c>
      <c r="E17" s="4" t="n">
        <f aca="false">-E6*Assumptions!E46/100</f>
        <v>-664.07591472</v>
      </c>
      <c r="F17" s="4" t="n">
        <f aca="false">-F6*Assumptions!F46/100</f>
        <v>-581.06642538</v>
      </c>
      <c r="G17" s="4" t="n">
        <f aca="false">-G6*Assumptions!G46/100</f>
        <v>-610.119746649</v>
      </c>
      <c r="H17" s="4" t="n">
        <f aca="false">-H6*Assumptions!H46/100</f>
        <v>-507.619629211968</v>
      </c>
      <c r="I17" s="4" t="n">
        <f aca="false">-I6*Assumptions!I46/100</f>
        <v>-527.924414380447</v>
      </c>
      <c r="J17" s="4" t="n">
        <f aca="false">-J6*Assumptions!J46/100</f>
        <v>-478.101547773292</v>
      </c>
      <c r="K17" s="4" t="n">
        <f aca="false">-K6*Assumptions!K46/100</f>
        <v>-422.095366462706</v>
      </c>
      <c r="L17" s="4" t="n">
        <f aca="false">-L6*Assumptions!L46/100</f>
        <v>-434.758227456588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1467.71258</v>
      </c>
      <c r="D19" s="0" t="n">
        <f aca="false">D15+D16+D17+D18</f>
        <v>1613.2032834</v>
      </c>
      <c r="E19" s="0" t="n">
        <f aca="false">E15+E16+E17+E18</f>
        <v>1660.1897868</v>
      </c>
      <c r="F19" s="0" t="n">
        <f aca="false">F15+F16+F17+F18</f>
        <v>1824.5485756932</v>
      </c>
      <c r="G19" s="0" t="n">
        <f aca="false">G15+G16+G17+G18</f>
        <v>1860.86522727945</v>
      </c>
      <c r="H19" s="0" t="n">
        <f aca="false">H15+H16+H17+H18</f>
        <v>2062.20474367362</v>
      </c>
      <c r="I19" s="0" t="n">
        <f aca="false">I15+I16+I17+I18</f>
        <v>2144.69293342057</v>
      </c>
      <c r="J19" s="0" t="n">
        <f aca="false">J15+J16+J17+J18</f>
        <v>2288.05740720076</v>
      </c>
      <c r="K19" s="0" t="n">
        <f aca="false">K15+K16+K17+K18</f>
        <v>2427.04835716056</v>
      </c>
      <c r="L19" s="0" t="n">
        <f aca="false">L15+L16+L17+L18</f>
        <v>2499.85980787538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1340.37678538813</v>
      </c>
      <c r="D21" s="0" t="n">
        <f aca="false">D19*D20</f>
        <v>1345.42923074998</v>
      </c>
      <c r="E21" s="0" t="n">
        <f aca="false">E19*E20</f>
        <v>1264.48994511237</v>
      </c>
      <c r="F21" s="0" t="n">
        <f aca="false">F19*F20</f>
        <v>1269.10908646438</v>
      </c>
      <c r="G21" s="0" t="n">
        <f aca="false">G19*G20</f>
        <v>1182.07307372893</v>
      </c>
      <c r="H21" s="0" t="n">
        <f aca="false">H19*H20</f>
        <v>1196.31918233514</v>
      </c>
      <c r="I21" s="0" t="n">
        <f aca="false">I19*I20</f>
        <v>1136.23009098497</v>
      </c>
      <c r="J21" s="0" t="n">
        <f aca="false">J19*J20</f>
        <v>1107.01616662245</v>
      </c>
      <c r="K21" s="0" t="n">
        <f aca="false">K19*K20</f>
        <v>1072.38654619856</v>
      </c>
      <c r="L21" s="0" t="n">
        <f aca="false">L19*L20</f>
        <v>1008.72889733746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11922.1590049224</v>
      </c>
    </row>
    <row r="31" customFormat="false" ht="15" hidden="false" customHeight="false" outlineLevel="0" collapsed="false">
      <c r="A31" s="0" t="s">
        <v>130</v>
      </c>
      <c r="B31" s="0" t="n">
        <f aca="false">L19</f>
        <v>2499.85980787538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39613.1631094099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39997.7569260061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39613.1631094099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15984.4732962705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27906.6323011928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27906.6323011928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26.4112370643361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0.150816429818566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26.4112370643361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21457.130017597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13.8304876307783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12.968132186497</v>
      </c>
      <c r="C4" s="0" t="n">
        <f aca="false">B4/Assumptions!$B$2-1</f>
        <v>-0.434939774008845</v>
      </c>
      <c r="D4" s="4" t="n">
        <f aca="false">Assumptions!$B$24</f>
        <v>0.25</v>
      </c>
      <c r="E4" s="4" t="n">
        <f aca="false">DCF_Bear!$B$43</f>
        <v>12.968132186497</v>
      </c>
      <c r="F4" s="4" t="n">
        <f aca="false">DCF_Bear!$B$47</f>
        <v>8.35618517100429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20.6669298080345</v>
      </c>
      <c r="C5" s="0" t="n">
        <f aca="false">B5/Assumptions!$B$2-1</f>
        <v>-0.0994801826564505</v>
      </c>
      <c r="D5" s="4" t="n">
        <f aca="false">Assumptions!$B$38</f>
        <v>0.5</v>
      </c>
      <c r="E5" s="4" t="n">
        <f aca="false">DCF_Base!$B$43</f>
        <v>20.6669298080345</v>
      </c>
      <c r="F5" s="4" t="n">
        <f aca="false">DCF_Base!$B$47</f>
        <v>11.6759013227184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26.4112370643361</v>
      </c>
      <c r="C6" s="0" t="n">
        <f aca="false">B6/Assumptions!$B$2-1</f>
        <v>0.150816429818566</v>
      </c>
      <c r="D6" s="4" t="n">
        <f aca="false">Assumptions!$B$52</f>
        <v>0.25</v>
      </c>
      <c r="E6" s="4" t="n">
        <f aca="false">DCF_Bull!$B$43</f>
        <v>26.4112370643361</v>
      </c>
      <c r="F6" s="4" t="n">
        <f aca="false">DCF_Bull!$B$47</f>
        <v>13.8304876307783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20.1783072167255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20.1783072167255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-0.137360024976579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11.3846188618048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21.402964511096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20.6669298080345</v>
      </c>
      <c r="C16" s="3" t="n">
        <v>9.5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19.7189441542653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17.3470330273367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15.4775148873711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11.6759013227184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23.8251022164862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23.8251022164862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23.8251022164862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23.8251022164862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23.8251022164862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22.173417551645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22.173417551645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22.173417551645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22.173417551645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22.173417551645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19.6588415856305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20.3597029212066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20.6669298080345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20.6669298080345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20.6669298080345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17.3820616987425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17.8885722393239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18.458396597478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19.1041975367192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19.2912168132416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15.5659504424719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15.9420588252217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16.3599570282771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16.8270197258095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17.3524652605336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2026-09-25T04:40:33Z</dcterms:created>
  <dc:creator>openpyxl</dc:creator>
  <dc:description/>
  <dc:language>en-NZ</dc:language>
  <cp:lastModifiedBy/>
  <dcterms:modified xsi:type="dcterms:W3CDTF">2026-09-25T04:40:33Z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