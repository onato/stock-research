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<sst xmlns="http://schemas.openxmlformats.org/spreadsheetml/2006/main" count="363" uniqueCount="167">
  <si>
    <t xml:space="preserve">Ticker</t>
  </si>
  <si>
    <t xml:space="preserve">CUV.AX</t>
  </si>
  <si>
    <t xml:space="preserve">Company</t>
  </si>
  <si>
    <t xml:space="preserve">Clinuvel Pharmaceuticals Limited</t>
  </si>
  <si>
    <t xml:space="preserve">Valuation date</t>
  </si>
  <si>
    <t xml:space="preserve">2026-09-22</t>
  </si>
  <si>
    <t xml:space="preserve">Current price</t>
  </si>
  <si>
    <t xml:space="preserve">Price as of</t>
  </si>
  <si>
    <t xml:space="preserve">2026-09-22T06:10:05Z regular ASX session (Yahoo regularMarketPrice; 52w range 7.93-13.48)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</si>
  <si>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</si>
  <si>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</si>
  <si>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</si>
  <si>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</si>
  <si>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</si>
  <si>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</si>
  <si>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</si>
  <si>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</si>
  <si>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</si>
  <si>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</si>
  <si>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</si>
  <si>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</si>
  <si>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2026-09-22T09:35:48Z</t>
  </si>
  <si>
    <t xml:space="preserve">Drivers file</t>
  </si>
  <si>
    <t xml:space="preserve">CUV.AX_Drivers.json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</si>
  <si>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</si>
  <si>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</si>
  <si>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</si>
  <si>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EPP franchise as a mature, highly cash-generative single-product business, strip the interest on the cash pile from the flows and add the cash back once, and treat vitiligo as scenario optionality rather than a risked NPV. At A$8.25 the market pays ~A$168m EV for a business earning ~A$40m of operating EBIT: the market is pricing either franchise erosion or the cash being spent badly, and the 30% bear weight is where that view lives in this model.
key_risks_to_valuation: Single-product concentration: SCENESSE for EPP is essentially all product revenue; an approved oral MC1R agonist competitor would erode the base directly.; CUV105 topline (late CY2026) is a binary that moves the bull weight; a negative read-out also removes the main use for the cash pile.; Capital allocation: A$252m of cash reserves, ~5c/share dividend on 68c EPS, no buyback, and a stated intent to fund a multi-product pipeline plus a Nasdaq primary listing from reserves; the DCF credits the cash at face.; FX: revenue is earned in EUR/USD and reported in AUD; FY2026 carried a A$4.0m unrealised FX loss on cash balances.; Key-person dependency on the CEO (agreement extended March 2026) and a history of governance friction with shareholders.</t>
  </si>
  <si>
    <t xml:space="preserve">Data sources</t>
  </si>
  <si>
    <t xml:space="preserve">price: Yahoo Finance chart API, CUV.AX, 2026-09-22T06:10:05Z
financials: CUV.AX_Metrics.csv (FY2016-FY2026 annual + half-years); FY2026 Annual Report (income statement, balance sheet, cash-flow statement, note 14 EPS, note 15(b) reconciliation, chairman's cash-reserves letter)
qualitative: FY2026 Annual Report operating review, 'Melanocortin House' market slide (EPP US$64m revenue vs US$300m TAM; vitiligo US$450-570m year-1/2 estimate), chairman's three-year milestones; CUV.AX_Analysis.json not yet available at build time</t>
  </si>
  <si>
    <t xml:space="preserve">Scenario narrative: bear</t>
  </si>
  <si>
    <t xml:space="preserve">The single-product dependency bites: an oral MC1R agonist competitor takes EPP share, European growth stalls and AUD strength compresses reported revenue 2-3%/yr. CUV105 is equivocal, the vitiligo program never reaches regulators, and management continues to spend the cash pile on the diversification pipeline, the US build-out and the Nasdaq move with no revenue payoff, so EBITDA margin compresses from 44% to 32%. Terminal growth 0%, 12x cap. The cash pile still supports the value, which is why the bear case is not far below the price.</t>
  </si>
  <si>
    <t xml:space="preserve">Scenario narrative: base</t>
  </si>
  <si>
    <t xml:space="preserve">SCENESSE remains the only approved EPP therapy and grows low-to-mid single digits on North American center expansion, Canadian reimbursement and the EMA year-round dosing label, while AUD strength and a mature European base cap the rate. The vitiligo program (CUV105 topline late CY2026, CUV107 to follow) reaches a dossier around FY2029-30 and contributes modestly from FY2031, at a small fraction of management's US$450-570m year-1/2 estimate. EBITDA margin drifts from 44% to 42% as the US team, Nasdaq listing and Phase III spend absorb leverage, then recovers to 45%. The A$252m cash pile is credited at face after the A$6.7m tax payable.</t>
  </si>
  <si>
    <t xml:space="preserve">Scenario narrative: bull</t>
  </si>
  <si>
    <t xml:space="preserve">CUV105 reads out positive, CUV107 confirms, and systemic repigmentation for vitiligo (skin types IV-VI) is approved and launched around FY2030-31 through the specialty-center network already built for EPP, reaching ~A$150m by FY2035. EPP itself grows 5-10% toward the US$300m TAM as year-round dosing lifts implants per patient. NEURACTHEL and PhotoCosmetics add small lines. Margins expand to 50% on shared infrastructure. Revenue ~A$310m by FY2036.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</si>
  <si>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</si>
  <si>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</si>
  <si>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</si>
  <si>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</si>
  <si>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</si>
  <si>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</si>
  <si>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</si>
  <si>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</si>
  <si>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</si>
  <si>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</si>
  <si>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</si>
  <si>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</si>
  <si>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</si>
  <si>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</si>
  <si>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</si>
  <si>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</si>
  <si>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</si>
  <si>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</si>
  <si>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</si>
  <si>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</si>
  <si>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</si>
  <si>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</si>
  <si>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</si>
  <si>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</si>
  <si>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</si>
  <si>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</si>
  <si>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</si>
  <si>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</si>
  <si>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absolute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</si>
  <si>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</si>
  <si>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</si>
  <si>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</si>
  <si>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</si>
  <si>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</si>
  <si>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</si>
  <si>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</si>
  <si>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</si>
  <si>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</si>
  <si>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</si>
  <si>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</si>
  <si>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</si>
  <si>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</si>
  <si>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</si>
  <si>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</si>
  <si>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</si>
  <si>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</si>
  <si>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</si>
  <si>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</si>
  <si>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</si>
  <si>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</si>
  <si>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</si>
  <si>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</si>
  <si>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</si>
  <si>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</si>
  <si>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</si>
  <si>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</si>
  <si>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</si>
  <si>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</si>
  <si>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</si>
  <si>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</si>
  <si>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</si>
  <si>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</si>
  <si>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</si>
  <si>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</si>
  <si>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</si>
  <si>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</si>
  <si>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</si>
  <si>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</si>
  <si>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</si>
  <si>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</si>
  <si>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</si>
  <si>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</si>
  <si>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</si>
  <si>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</si>
  <si>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</si>
  <si>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</si>
  <si>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CUV.AX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</si>
  <si>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</si>
  <si>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</si>
  <si>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</si>
  <si>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</si>
  <si>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</si>
  <si>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</si>
  <si>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</si>
  <si>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</si>
  <si>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</si>
  <si>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</si>
  <si>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</si>
  <si>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</si>
  <si>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</si>
  <si>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</si>
  <si>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</si>
  <si>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</si>
  <si>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</si>
  <si>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</si>
  <si>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</si>
  <si>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</si>
  <si>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</si>
  <si>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</si>
  <si>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</si>
  <si>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</si>
  <si>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</si>
  <si>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</si>
  <si>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</si>
  <si>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</si>
  <si>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</si>
  <si>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</si>
  <si>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CUV.AX owner-FCF component DCF: base case (millions, AUD)</t>
  </si>
  <si>
    <t xml:space="preserve">CUV.AX owner-FCF component DCF: bull case (millions, AUD)</t>
  </si>
  <si>
    <t xml:space="preserve">CUV.AX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</si>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</sst>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8.25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B2" s="0" t="n">
        <v>6419707</v>
      </c>
      <c r="F2" s="0" t="n">
        <v>-3950249</v>
      </c>
      <c r="G2" s="0" t="n">
        <v>-61.5331665448283</v>
      </c>
      <c r="H2" s="0" t="n">
        <v>-3924723</v>
      </c>
      <c r="I2" s="0" t="n">
        <v>-3153718</v>
      </c>
      <c r="J2" s="0" t="n">
        <v>-49.1255753572554</v>
      </c>
      <c r="K2" s="0" t="n">
        <v>-0.07</v>
      </c>
      <c r="L2" s="0" t="n">
        <v>-5036933</v>
      </c>
      <c r="M2" s="0" t="n">
        <v>98051</v>
      </c>
      <c r="N2" s="0" t="n">
        <v>-5134984</v>
      </c>
      <c r="O2" s="0" t="n">
        <v>17834520</v>
      </c>
      <c r="P2" s="0" t="n">
        <v>20138267</v>
      </c>
      <c r="Q2" s="0" t="n">
        <v>2303747</v>
      </c>
      <c r="R2" s="0" t="n">
        <v>0</v>
      </c>
      <c r="S2" s="0" t="n">
        <v>13844703</v>
      </c>
      <c r="T2" s="0" t="n">
        <v>45286317</v>
      </c>
      <c r="U2" s="0" t="n">
        <v>1670425</v>
      </c>
      <c r="AA2" s="0" t="s">
        <v>64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16984536</v>
      </c>
      <c r="F3" s="0" t="n">
        <v>6929118</v>
      </c>
      <c r="G3" s="0" t="n">
        <v>40.7966281798926</v>
      </c>
      <c r="H3" s="0" t="n">
        <v>6982256</v>
      </c>
      <c r="I3" s="0" t="n">
        <v>7114286</v>
      </c>
      <c r="J3" s="0" t="n">
        <v>41.8868434203914</v>
      </c>
      <c r="K3" s="0" t="n">
        <v>0.149</v>
      </c>
      <c r="L3" s="0" t="n">
        <v>9916936</v>
      </c>
      <c r="M3" s="0" t="n">
        <v>67479</v>
      </c>
      <c r="N3" s="0" t="n">
        <v>9849457</v>
      </c>
      <c r="O3" s="0" t="n">
        <v>25444025</v>
      </c>
      <c r="P3" s="0" t="n">
        <v>28606964</v>
      </c>
      <c r="Q3" s="0" t="n">
        <v>3162939</v>
      </c>
      <c r="R3" s="0" t="n">
        <v>0</v>
      </c>
      <c r="S3" s="0" t="n">
        <v>23752312</v>
      </c>
      <c r="T3" s="0" t="n">
        <v>49626791</v>
      </c>
      <c r="U3" s="0" t="n">
        <v>395364</v>
      </c>
      <c r="AA3" s="0" t="s">
        <v>64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25750125</v>
      </c>
      <c r="F4" s="0" t="n">
        <v>12192116</v>
      </c>
      <c r="G4" s="0" t="n">
        <v>47.3477934573133</v>
      </c>
      <c r="I4" s="0" t="n">
        <v>13224185</v>
      </c>
      <c r="J4" s="0" t="n">
        <v>51.3558089523837</v>
      </c>
      <c r="K4" s="0" t="n">
        <v>0.277</v>
      </c>
      <c r="L4" s="0" t="n">
        <v>11693333</v>
      </c>
      <c r="M4" s="0" t="n">
        <v>75123</v>
      </c>
      <c r="N4" s="0" t="n">
        <v>11618210</v>
      </c>
      <c r="O4" s="0" t="n">
        <v>39415988</v>
      </c>
      <c r="P4" s="0" t="n">
        <v>42904617</v>
      </c>
      <c r="Q4" s="0" t="n">
        <v>3488629</v>
      </c>
      <c r="R4" s="0" t="n">
        <v>0</v>
      </c>
      <c r="S4" s="0" t="n">
        <v>36198451</v>
      </c>
      <c r="T4" s="0" t="n">
        <v>49590644</v>
      </c>
      <c r="U4" s="0" t="n">
        <v>427635</v>
      </c>
      <c r="AA4" s="0" t="s">
        <v>64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31047776</v>
      </c>
      <c r="F5" s="0" t="n">
        <v>16664133</v>
      </c>
      <c r="G5" s="0" t="n">
        <v>53.6725496860065</v>
      </c>
      <c r="H5" s="0" t="n">
        <v>16747026</v>
      </c>
      <c r="I5" s="0" t="n">
        <v>18134160</v>
      </c>
      <c r="J5" s="0" t="n">
        <v>58.4072752908292</v>
      </c>
      <c r="K5" s="0" t="n">
        <v>0.376</v>
      </c>
      <c r="L5" s="0" t="n">
        <v>18456107</v>
      </c>
      <c r="M5" s="0" t="n">
        <v>257616</v>
      </c>
      <c r="N5" s="0" t="n">
        <v>18198491</v>
      </c>
      <c r="O5" s="0" t="n">
        <v>57179853</v>
      </c>
      <c r="P5" s="0" t="n">
        <v>62345372</v>
      </c>
      <c r="Q5" s="0" t="n">
        <v>5165519</v>
      </c>
      <c r="R5" s="0" t="n">
        <v>432518</v>
      </c>
      <c r="S5" s="0" t="n">
        <v>54268758</v>
      </c>
      <c r="T5" s="0" t="n">
        <v>49600786</v>
      </c>
      <c r="U5" s="0" t="n">
        <v>139583</v>
      </c>
      <c r="AA5" s="0" t="s">
        <v>64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32565423</v>
      </c>
      <c r="F6" s="0" t="n">
        <v>11792224</v>
      </c>
      <c r="G6" s="0" t="n">
        <v>36.210873109187</v>
      </c>
      <c r="H6" s="0" t="n">
        <v>11956698</v>
      </c>
      <c r="I6" s="0" t="n">
        <v>16646859</v>
      </c>
      <c r="J6" s="0" t="n">
        <v>51.1182028865401</v>
      </c>
      <c r="K6" s="0" t="n">
        <v>0.338</v>
      </c>
      <c r="L6" s="0" t="n">
        <v>14188368</v>
      </c>
      <c r="M6" s="0" t="n">
        <v>888826</v>
      </c>
      <c r="N6" s="0" t="n">
        <v>13299542</v>
      </c>
      <c r="O6" s="0" t="n">
        <v>73668547</v>
      </c>
      <c r="P6" s="0" t="n">
        <v>81541845</v>
      </c>
      <c r="Q6" s="0" t="n">
        <v>7873298</v>
      </c>
      <c r="R6" s="0" t="n">
        <v>1319555</v>
      </c>
      <c r="S6" s="0" t="n">
        <v>66746521</v>
      </c>
      <c r="T6" s="0" t="n">
        <v>50458922</v>
      </c>
      <c r="U6" s="0" t="n">
        <v>1658713</v>
      </c>
      <c r="AA6" s="0" t="s">
        <v>64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47975583</v>
      </c>
      <c r="F7" s="0" t="n">
        <v>25237628</v>
      </c>
      <c r="G7" s="0" t="n">
        <v>52.6051512495429</v>
      </c>
      <c r="H7" s="0" t="n">
        <v>26099060</v>
      </c>
      <c r="I7" s="0" t="n">
        <v>24728247</v>
      </c>
      <c r="J7" s="0" t="n">
        <v>51.5434007336607</v>
      </c>
      <c r="K7" s="0" t="n">
        <v>0.5</v>
      </c>
      <c r="L7" s="0" t="n">
        <v>19262061</v>
      </c>
      <c r="M7" s="0" t="n">
        <v>854325</v>
      </c>
      <c r="N7" s="0" t="n">
        <v>18407736</v>
      </c>
      <c r="O7" s="0" t="n">
        <v>98737434</v>
      </c>
      <c r="P7" s="0" t="n">
        <v>108567574</v>
      </c>
      <c r="Q7" s="0" t="n">
        <v>9830140</v>
      </c>
      <c r="R7" s="0" t="n">
        <v>1303472</v>
      </c>
      <c r="S7" s="0" t="n">
        <v>82690982</v>
      </c>
      <c r="T7" s="0" t="n">
        <v>51131070</v>
      </c>
      <c r="U7" s="0" t="n">
        <v>2602393</v>
      </c>
      <c r="AA7" s="0" t="s">
        <v>64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65722292</v>
      </c>
      <c r="F8" s="0" t="n">
        <v>33055692</v>
      </c>
      <c r="G8" s="0" t="n">
        <v>50.296012196288</v>
      </c>
      <c r="H8" s="0" t="n">
        <v>33813518</v>
      </c>
      <c r="I8" s="0" t="n">
        <v>20878465</v>
      </c>
      <c r="J8" s="0" t="n">
        <v>31.7677067622657</v>
      </c>
      <c r="K8" s="0" t="n">
        <v>0.423</v>
      </c>
      <c r="L8" s="0" t="n">
        <v>39872282</v>
      </c>
      <c r="M8" s="0" t="n">
        <v>434438</v>
      </c>
      <c r="N8" s="0" t="n">
        <v>39437844</v>
      </c>
      <c r="O8" s="0" t="n">
        <v>125559043</v>
      </c>
      <c r="P8" s="0" t="n">
        <v>143949537</v>
      </c>
      <c r="Q8" s="0" t="n">
        <v>18390494</v>
      </c>
      <c r="R8" s="0" t="n">
        <v>1256531</v>
      </c>
      <c r="S8" s="0" t="n">
        <v>121509282</v>
      </c>
      <c r="T8" s="0" t="n">
        <v>51776444</v>
      </c>
      <c r="U8" s="0" t="n">
        <v>6120977</v>
      </c>
      <c r="AA8" s="0" t="s">
        <v>64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78321318</v>
      </c>
      <c r="F9" s="0" t="n">
        <v>40909785</v>
      </c>
      <c r="G9" s="0" t="n">
        <v>52.2332693635212</v>
      </c>
      <c r="H9" s="0" t="n">
        <v>41699193</v>
      </c>
      <c r="I9" s="0" t="n">
        <v>30604566</v>
      </c>
      <c r="J9" s="0" t="n">
        <v>39.0756524296489</v>
      </c>
      <c r="K9" s="0" t="n">
        <v>0.619</v>
      </c>
      <c r="L9" s="0" t="n">
        <v>36912063</v>
      </c>
      <c r="M9" s="0" t="n">
        <v>1027532</v>
      </c>
      <c r="N9" s="0" t="n">
        <v>35884531</v>
      </c>
      <c r="O9" s="0" t="n">
        <v>164631143</v>
      </c>
      <c r="P9" s="0" t="n">
        <v>193713556</v>
      </c>
      <c r="Q9" s="0" t="n">
        <v>29082413</v>
      </c>
      <c r="R9" s="0" t="n">
        <v>999865</v>
      </c>
      <c r="S9" s="0" t="n">
        <v>156813537</v>
      </c>
      <c r="T9" s="0" t="n">
        <v>51815997</v>
      </c>
      <c r="U9" s="0" t="n">
        <v>8989788</v>
      </c>
      <c r="AA9" s="0" t="s">
        <v>64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88178308</v>
      </c>
      <c r="F10" s="0" t="n">
        <v>43551549</v>
      </c>
      <c r="G10" s="0" t="n">
        <v>49.3903205763486</v>
      </c>
      <c r="H10" s="0" t="n">
        <v>44693875</v>
      </c>
      <c r="I10" s="0" t="n">
        <v>35636359</v>
      </c>
      <c r="J10" s="0" t="n">
        <v>40.4139746024612</v>
      </c>
      <c r="K10" s="0" t="n">
        <v>0.715</v>
      </c>
      <c r="L10" s="0" t="n">
        <v>37053882</v>
      </c>
      <c r="M10" s="0" t="n">
        <v>5576215</v>
      </c>
      <c r="N10" s="0" t="n">
        <v>31477667</v>
      </c>
      <c r="O10" s="0" t="n">
        <v>203011366</v>
      </c>
      <c r="P10" s="0" t="n">
        <v>231123549</v>
      </c>
      <c r="Q10" s="0" t="n">
        <v>28112183</v>
      </c>
      <c r="R10" s="0" t="n">
        <v>879784</v>
      </c>
      <c r="S10" s="0" t="n">
        <v>183868471</v>
      </c>
      <c r="T10" s="0" t="n">
        <v>51026713</v>
      </c>
      <c r="U10" s="0" t="n">
        <v>6107272</v>
      </c>
      <c r="AA10" s="0" t="s">
        <v>64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95017570</v>
      </c>
      <c r="D11" s="0" t="n">
        <v>80204091</v>
      </c>
      <c r="E11" s="0" t="n">
        <v>84.4097475866832</v>
      </c>
      <c r="F11" s="0" t="n">
        <v>41270373</v>
      </c>
      <c r="G11" s="0" t="n">
        <v>43.4344648047724</v>
      </c>
      <c r="H11" s="0" t="n">
        <v>42451767</v>
      </c>
      <c r="I11" s="0" t="n">
        <v>36172518</v>
      </c>
      <c r="J11" s="0" t="n">
        <v>38.0692939211138</v>
      </c>
      <c r="K11" s="0" t="n">
        <v>0.722</v>
      </c>
      <c r="L11" s="0" t="n">
        <v>41095462</v>
      </c>
      <c r="M11" s="0" t="n">
        <v>298567</v>
      </c>
      <c r="N11" s="0" t="n">
        <v>40796895</v>
      </c>
      <c r="O11" s="0" t="n">
        <v>240808626</v>
      </c>
      <c r="P11" s="0" t="n">
        <v>271750012</v>
      </c>
      <c r="Q11" s="0" t="n">
        <v>30941386</v>
      </c>
      <c r="R11" s="0" t="n">
        <v>528528</v>
      </c>
      <c r="S11" s="0" t="n">
        <v>224105942</v>
      </c>
      <c r="T11" s="0" t="n">
        <v>50380016</v>
      </c>
      <c r="U11" s="0" t="n">
        <v>2001467</v>
      </c>
      <c r="AA11" s="0" t="s">
        <v>64</v>
      </c>
      <c r="AB11" s="0" t="s">
        <v>14</v>
      </c>
    </row>
    <row r="12" customFormat="false" ht="15" hidden="false" customHeight="false" outlineLevel="0" collapsed="false">
      <c r="A12" s="0" t="s">
        <v>74</v>
      </c>
      <c r="B12" s="0" t="n">
        <v>94024398</v>
      </c>
      <c r="D12" s="0" t="n">
        <v>78210676</v>
      </c>
      <c r="E12" s="0" t="n">
        <v>83.1812568478237</v>
      </c>
      <c r="F12" s="0" t="n">
        <v>40531563</v>
      </c>
      <c r="G12" s="0" t="n">
        <v>43.1074953545568</v>
      </c>
      <c r="H12" s="0" t="n">
        <v>41517031</v>
      </c>
      <c r="I12" s="0" t="n">
        <v>33916819</v>
      </c>
      <c r="J12" s="0" t="n">
        <v>36.0723596443553</v>
      </c>
      <c r="K12" s="0" t="n">
        <v>0.678</v>
      </c>
      <c r="L12" s="0" t="n">
        <v>36909768</v>
      </c>
      <c r="M12" s="0" t="n">
        <v>1601939</v>
      </c>
      <c r="N12" s="0" t="n">
        <v>35307829</v>
      </c>
      <c r="O12" s="0" t="n">
        <v>272881295</v>
      </c>
      <c r="P12" s="0" t="n">
        <v>295091228</v>
      </c>
      <c r="Q12" s="0" t="n">
        <v>22209933</v>
      </c>
      <c r="R12" s="0" t="n">
        <v>1938486</v>
      </c>
      <c r="S12" s="0" t="n">
        <v>252055390</v>
      </c>
      <c r="T12" s="0" t="n">
        <v>50746879</v>
      </c>
      <c r="U12" s="0" t="n">
        <v>2338206</v>
      </c>
      <c r="AA12" s="0" t="s">
        <v>64</v>
      </c>
      <c r="AB12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8.25</v>
      </c>
    </row>
    <row r="3" customFormat="false" ht="15" hidden="false" customHeight="false" outlineLevel="0" collapsed="false">
      <c r="A3" s="0" t="s">
        <v>78</v>
      </c>
      <c r="B3" s="3" t="n">
        <v>50.747</v>
      </c>
    </row>
    <row r="4" customFormat="false" ht="15" hidden="false" customHeight="false" outlineLevel="0" collapsed="false">
      <c r="A4" s="0" t="s">
        <v>79</v>
      </c>
      <c r="B4" s="3" t="n">
        <v>-250.117</v>
      </c>
    </row>
    <row r="5" customFormat="false" ht="15" hidden="false" customHeight="false" outlineLevel="0" collapsed="false">
      <c r="A5" s="0" t="s">
        <v>80</v>
      </c>
      <c r="B5" s="3" t="n">
        <v>-6.714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94.024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-3</v>
      </c>
      <c r="D13" s="3" t="n">
        <v>-3</v>
      </c>
      <c r="E13" s="3" t="n">
        <v>-3</v>
      </c>
      <c r="F13" s="3" t="n">
        <v>-2</v>
      </c>
      <c r="G13" s="3" t="n">
        <v>-2</v>
      </c>
      <c r="H13" s="3" t="n">
        <v>-2</v>
      </c>
      <c r="I13" s="3" t="n">
        <v>-1</v>
      </c>
      <c r="J13" s="3" t="n">
        <v>-1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99</v>
      </c>
      <c r="C14" s="3" t="n">
        <v>41</v>
      </c>
      <c r="D14" s="3" t="n">
        <v>38</v>
      </c>
      <c r="E14" s="3" t="n">
        <v>35</v>
      </c>
      <c r="F14" s="3" t="n">
        <v>33</v>
      </c>
      <c r="G14" s="3" t="n">
        <v>32</v>
      </c>
      <c r="H14" s="3" t="n">
        <v>32</v>
      </c>
      <c r="I14" s="3" t="n">
        <v>32</v>
      </c>
      <c r="J14" s="3" t="n">
        <v>32</v>
      </c>
      <c r="K14" s="3" t="n">
        <v>32</v>
      </c>
      <c r="L14" s="3" t="n">
        <v>32</v>
      </c>
    </row>
    <row r="15" customFormat="false" ht="15" hidden="false" customHeight="false" outlineLevel="0" collapsed="false">
      <c r="A15" s="0" t="s">
        <v>100</v>
      </c>
      <c r="C15" s="3" t="n">
        <v>2.5</v>
      </c>
      <c r="D15" s="3" t="n">
        <v>2.5</v>
      </c>
      <c r="E15" s="3" t="n">
        <v>2.5</v>
      </c>
      <c r="F15" s="3" t="n">
        <v>2.5</v>
      </c>
      <c r="G15" s="3" t="n">
        <v>2.5</v>
      </c>
      <c r="H15" s="3" t="n">
        <v>2.5</v>
      </c>
      <c r="I15" s="3" t="n">
        <v>2.5</v>
      </c>
      <c r="J15" s="3" t="n">
        <v>2.5</v>
      </c>
      <c r="K15" s="3" t="n">
        <v>2.5</v>
      </c>
      <c r="L15" s="3" t="n">
        <v>2.5</v>
      </c>
    </row>
    <row r="16" customFormat="false" ht="15" hidden="false" customHeight="false" outlineLevel="0" collapsed="false">
      <c r="A16" s="0" t="s">
        <v>101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102</v>
      </c>
      <c r="C17" s="3" t="n">
        <v>1.1</v>
      </c>
      <c r="D17" s="3" t="n">
        <v>1.1</v>
      </c>
      <c r="E17" s="3" t="n">
        <v>1.1</v>
      </c>
      <c r="F17" s="3" t="n">
        <v>1.1</v>
      </c>
      <c r="G17" s="3" t="n">
        <v>1.1</v>
      </c>
      <c r="H17" s="3" t="n">
        <v>1.1</v>
      </c>
      <c r="I17" s="3" t="n">
        <v>1.1</v>
      </c>
      <c r="J17" s="3" t="n">
        <v>1.1</v>
      </c>
      <c r="K17" s="3" t="n">
        <v>1.1</v>
      </c>
      <c r="L17" s="3" t="n">
        <v>1.1</v>
      </c>
    </row>
    <row r="18" customFormat="false" ht="15" hidden="false" customHeight="false" outlineLevel="0" collapsed="false">
      <c r="A18" s="0" t="s">
        <v>103</v>
      </c>
      <c r="C18" s="3" t="n">
        <v>2</v>
      </c>
      <c r="D18" s="3" t="n">
        <v>2</v>
      </c>
      <c r="E18" s="3" t="n">
        <v>2</v>
      </c>
      <c r="F18" s="3" t="n">
        <v>2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2</v>
      </c>
      <c r="L18" s="3" t="n">
        <v>2</v>
      </c>
    </row>
    <row r="19" customFormat="false" ht="15" hidden="false" customHeight="false" outlineLevel="0" collapsed="false">
      <c r="A19" s="0" t="s">
        <v>104</v>
      </c>
      <c r="C19" s="3" t="n">
        <v>30</v>
      </c>
      <c r="D19" s="3" t="n">
        <v>30</v>
      </c>
      <c r="E19" s="3" t="n">
        <v>30</v>
      </c>
      <c r="F19" s="3" t="n">
        <v>30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105</v>
      </c>
      <c r="B20" s="3" t="n">
        <v>10.5</v>
      </c>
    </row>
    <row r="21" customFormat="false" ht="15" hidden="false" customHeight="false" outlineLevel="0" collapsed="false">
      <c r="A21" s="0" t="s">
        <v>106</v>
      </c>
      <c r="B21" s="3" t="n">
        <v>0</v>
      </c>
    </row>
    <row r="22" customFormat="false" ht="15" hidden="false" customHeight="false" outlineLevel="0" collapsed="false">
      <c r="A22" s="0" t="s">
        <v>107</v>
      </c>
      <c r="B22" s="3" t="n">
        <v>12</v>
      </c>
    </row>
    <row r="23" customFormat="false" ht="15" hidden="false" customHeight="false" outlineLevel="0" collapsed="false">
      <c r="A23" s="0" t="s">
        <v>108</v>
      </c>
      <c r="B23" s="3" t="n">
        <v>-15</v>
      </c>
    </row>
    <row r="24" customFormat="false" ht="15" hidden="false" customHeight="false" outlineLevel="0" collapsed="false">
      <c r="A24" s="0" t="s">
        <v>109</v>
      </c>
      <c r="B24" s="3" t="n">
        <v>0.3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3</v>
      </c>
      <c r="D27" s="3" t="n">
        <v>4</v>
      </c>
      <c r="E27" s="3" t="n">
        <v>4</v>
      </c>
      <c r="F27" s="3" t="n">
        <v>5</v>
      </c>
      <c r="G27" s="3" t="n">
        <v>8</v>
      </c>
      <c r="H27" s="3" t="n">
        <v>10</v>
      </c>
      <c r="I27" s="3" t="n">
        <v>8</v>
      </c>
      <c r="J27" s="3" t="n">
        <v>6</v>
      </c>
      <c r="K27" s="3" t="n">
        <v>4</v>
      </c>
      <c r="L27" s="3" t="n">
        <v>3</v>
      </c>
    </row>
    <row r="28" customFormat="false" ht="15" hidden="false" customHeight="false" outlineLevel="0" collapsed="false">
      <c r="A28" s="0" t="s">
        <v>99</v>
      </c>
      <c r="C28" s="3" t="n">
        <v>43</v>
      </c>
      <c r="D28" s="3" t="n">
        <v>42</v>
      </c>
      <c r="E28" s="3" t="n">
        <v>42</v>
      </c>
      <c r="F28" s="3" t="n">
        <v>42</v>
      </c>
      <c r="G28" s="3" t="n">
        <v>42</v>
      </c>
      <c r="H28" s="3" t="n">
        <v>43</v>
      </c>
      <c r="I28" s="3" t="n">
        <v>44</v>
      </c>
      <c r="J28" s="3" t="n">
        <v>45</v>
      </c>
      <c r="K28" s="3" t="n">
        <v>45</v>
      </c>
      <c r="L28" s="3" t="n">
        <v>45</v>
      </c>
    </row>
    <row r="29" customFormat="false" ht="15" hidden="false" customHeight="false" outlineLevel="0" collapsed="false">
      <c r="A29" s="0" t="s">
        <v>100</v>
      </c>
      <c r="C29" s="3" t="n">
        <v>2.5</v>
      </c>
      <c r="D29" s="3" t="n">
        <v>2.5</v>
      </c>
      <c r="E29" s="3" t="n">
        <v>2.4</v>
      </c>
      <c r="F29" s="3" t="n">
        <v>2.4</v>
      </c>
      <c r="G29" s="3" t="n">
        <v>2.3</v>
      </c>
      <c r="H29" s="3" t="n">
        <v>2.3</v>
      </c>
      <c r="I29" s="3" t="n">
        <v>2.2</v>
      </c>
      <c r="J29" s="3" t="n">
        <v>2.2</v>
      </c>
      <c r="K29" s="3" t="n">
        <v>2.1</v>
      </c>
      <c r="L29" s="3" t="n">
        <v>2</v>
      </c>
    </row>
    <row r="30" customFormat="false" ht="15" hidden="false" customHeight="false" outlineLevel="0" collapsed="false">
      <c r="A30" s="0" t="s">
        <v>101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102</v>
      </c>
      <c r="C31" s="3" t="n">
        <v>1.1</v>
      </c>
      <c r="D31" s="3" t="n">
        <v>1.1</v>
      </c>
      <c r="E31" s="3" t="n">
        <v>1.1</v>
      </c>
      <c r="F31" s="3" t="n">
        <v>1.1</v>
      </c>
      <c r="G31" s="3" t="n">
        <v>1.1</v>
      </c>
      <c r="H31" s="3" t="n">
        <v>1.1</v>
      </c>
      <c r="I31" s="3" t="n">
        <v>1.1</v>
      </c>
      <c r="J31" s="3" t="n">
        <v>1.1</v>
      </c>
      <c r="K31" s="3" t="n">
        <v>1.1</v>
      </c>
      <c r="L31" s="3" t="n">
        <v>1.1</v>
      </c>
    </row>
    <row r="32" customFormat="false" ht="15" hidden="false" customHeight="false" outlineLevel="0" collapsed="false">
      <c r="A32" s="0" t="s">
        <v>103</v>
      </c>
      <c r="C32" s="3" t="n">
        <v>2</v>
      </c>
      <c r="D32" s="3" t="n">
        <v>2</v>
      </c>
      <c r="E32" s="3" t="n">
        <v>2</v>
      </c>
      <c r="F32" s="3" t="n">
        <v>2</v>
      </c>
      <c r="G32" s="3" t="n">
        <v>2</v>
      </c>
      <c r="H32" s="3" t="n">
        <v>2</v>
      </c>
      <c r="I32" s="3" t="n">
        <v>2</v>
      </c>
      <c r="J32" s="3" t="n">
        <v>2</v>
      </c>
      <c r="K32" s="3" t="n">
        <v>2</v>
      </c>
      <c r="L32" s="3" t="n">
        <v>2</v>
      </c>
    </row>
    <row r="33" customFormat="false" ht="15" hidden="false" customHeight="false" outlineLevel="0" collapsed="false">
      <c r="A33" s="0" t="s">
        <v>104</v>
      </c>
      <c r="C33" s="3" t="n">
        <v>30</v>
      </c>
      <c r="D33" s="3" t="n">
        <v>30</v>
      </c>
      <c r="E33" s="3" t="n">
        <v>30</v>
      </c>
      <c r="F33" s="3" t="n">
        <v>30</v>
      </c>
      <c r="G33" s="3" t="n">
        <v>30</v>
      </c>
      <c r="H33" s="3" t="n">
        <v>30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105</v>
      </c>
      <c r="B34" s="3" t="n">
        <v>10.5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-15</v>
      </c>
    </row>
    <row r="38" customFormat="false" ht="15" hidden="false" customHeight="false" outlineLevel="0" collapsed="false">
      <c r="A38" s="0" t="s">
        <v>109</v>
      </c>
      <c r="B38" s="3" t="n">
        <v>0.45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5</v>
      </c>
      <c r="D41" s="3" t="n">
        <v>7</v>
      </c>
      <c r="E41" s="3" t="n">
        <v>8</v>
      </c>
      <c r="F41" s="3" t="n">
        <v>10</v>
      </c>
      <c r="G41" s="3" t="n">
        <v>20</v>
      </c>
      <c r="H41" s="3" t="n">
        <v>25</v>
      </c>
      <c r="I41" s="3" t="n">
        <v>20</v>
      </c>
      <c r="J41" s="3" t="n">
        <v>15</v>
      </c>
      <c r="K41" s="3" t="n">
        <v>10</v>
      </c>
      <c r="L41" s="3" t="n">
        <v>6</v>
      </c>
    </row>
    <row r="42" customFormat="false" ht="15" hidden="false" customHeight="false" outlineLevel="0" collapsed="false">
      <c r="A42" s="0" t="s">
        <v>99</v>
      </c>
      <c r="C42" s="3" t="n">
        <v>44</v>
      </c>
      <c r="D42" s="3" t="n">
        <v>44</v>
      </c>
      <c r="E42" s="3" t="n">
        <v>44</v>
      </c>
      <c r="F42" s="3" t="n">
        <v>45</v>
      </c>
      <c r="G42" s="3" t="n">
        <v>47</v>
      </c>
      <c r="H42" s="3" t="n">
        <v>49</v>
      </c>
      <c r="I42" s="3" t="n">
        <v>50</v>
      </c>
      <c r="J42" s="3" t="n">
        <v>50</v>
      </c>
      <c r="K42" s="3" t="n">
        <v>50</v>
      </c>
      <c r="L42" s="3" t="n">
        <v>50</v>
      </c>
    </row>
    <row r="43" customFormat="false" ht="15" hidden="false" customHeight="false" outlineLevel="0" collapsed="false">
      <c r="A43" s="0" t="s">
        <v>100</v>
      </c>
      <c r="C43" s="3" t="n">
        <v>2.5</v>
      </c>
      <c r="D43" s="3" t="n">
        <v>2.5</v>
      </c>
      <c r="E43" s="3" t="n">
        <v>2.4</v>
      </c>
      <c r="F43" s="3" t="n">
        <v>2.4</v>
      </c>
      <c r="G43" s="3" t="n">
        <v>2.3</v>
      </c>
      <c r="H43" s="3" t="n">
        <v>2.3</v>
      </c>
      <c r="I43" s="3" t="n">
        <v>2.2</v>
      </c>
      <c r="J43" s="3" t="n">
        <v>2.2</v>
      </c>
      <c r="K43" s="3" t="n">
        <v>2.1</v>
      </c>
      <c r="L43" s="3" t="n">
        <v>2</v>
      </c>
    </row>
    <row r="44" customFormat="false" ht="15" hidden="false" customHeight="false" outlineLevel="0" collapsed="false">
      <c r="A44" s="0" t="s">
        <v>101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102</v>
      </c>
      <c r="C45" s="3" t="n">
        <v>1.1</v>
      </c>
      <c r="D45" s="3" t="n">
        <v>1.1</v>
      </c>
      <c r="E45" s="3" t="n">
        <v>1.1</v>
      </c>
      <c r="F45" s="3" t="n">
        <v>1.1</v>
      </c>
      <c r="G45" s="3" t="n">
        <v>1.1</v>
      </c>
      <c r="H45" s="3" t="n">
        <v>1.1</v>
      </c>
      <c r="I45" s="3" t="n">
        <v>1.1</v>
      </c>
      <c r="J45" s="3" t="n">
        <v>1.1</v>
      </c>
      <c r="K45" s="3" t="n">
        <v>1.1</v>
      </c>
      <c r="L45" s="3" t="n">
        <v>1.1</v>
      </c>
    </row>
    <row r="46" customFormat="false" ht="15" hidden="false" customHeight="false" outlineLevel="0" collapsed="false">
      <c r="A46" s="0" t="s">
        <v>103</v>
      </c>
      <c r="C46" s="3" t="n">
        <v>2</v>
      </c>
      <c r="D46" s="3" t="n">
        <v>2</v>
      </c>
      <c r="E46" s="3" t="n">
        <v>2</v>
      </c>
      <c r="F46" s="3" t="n">
        <v>2</v>
      </c>
      <c r="G46" s="3" t="n">
        <v>2</v>
      </c>
      <c r="H46" s="3" t="n">
        <v>2</v>
      </c>
      <c r="I46" s="3" t="n">
        <v>2</v>
      </c>
      <c r="J46" s="3" t="n">
        <v>2</v>
      </c>
      <c r="K46" s="3" t="n">
        <v>2</v>
      </c>
      <c r="L46" s="3" t="n">
        <v>2</v>
      </c>
    </row>
    <row r="47" customFormat="false" ht="15" hidden="false" customHeight="false" outlineLevel="0" collapsed="false">
      <c r="A47" s="0" t="s">
        <v>104</v>
      </c>
      <c r="C47" s="3" t="n">
        <v>30</v>
      </c>
      <c r="D47" s="3" t="n">
        <v>30</v>
      </c>
      <c r="E47" s="3" t="n">
        <v>30</v>
      </c>
      <c r="F47" s="3" t="n">
        <v>30</v>
      </c>
      <c r="G47" s="3" t="n">
        <v>30</v>
      </c>
      <c r="H47" s="3" t="n">
        <v>30</v>
      </c>
      <c r="I47" s="3" t="n">
        <v>30</v>
      </c>
      <c r="J47" s="3" t="n">
        <v>30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105</v>
      </c>
      <c r="B48" s="3" t="n">
        <v>10.5</v>
      </c>
    </row>
    <row r="49" customFormat="false" ht="15" hidden="false" customHeight="false" outlineLevel="0" collapsed="false">
      <c r="A49" s="0" t="s">
        <v>106</v>
      </c>
      <c r="B49" s="3" t="n">
        <v>3</v>
      </c>
    </row>
    <row r="50" customFormat="false" ht="15" hidden="false" customHeight="false" outlineLevel="0" collapsed="false">
      <c r="A50" s="0" t="s">
        <v>107</v>
      </c>
      <c r="B50" s="3" t="n">
        <v>18</v>
      </c>
    </row>
    <row r="51" customFormat="false" ht="15" hidden="false" customHeight="false" outlineLevel="0" collapsed="false">
      <c r="A51" s="0" t="s">
        <v>108</v>
      </c>
      <c r="B51" s="3" t="n">
        <v>-15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-3</v>
      </c>
      <c r="D5" s="4" t="n">
        <f aca="false">Assumptions!D13</f>
        <v>-3</v>
      </c>
      <c r="E5" s="4" t="n">
        <f aca="false">Assumptions!E13</f>
        <v>-3</v>
      </c>
      <c r="F5" s="4" t="n">
        <f aca="false">Assumptions!F13</f>
        <v>-2</v>
      </c>
      <c r="G5" s="4" t="n">
        <f aca="false">Assumptions!G13</f>
        <v>-2</v>
      </c>
      <c r="H5" s="4" t="n">
        <f aca="false">Assumptions!H13</f>
        <v>-2</v>
      </c>
      <c r="I5" s="4" t="n">
        <f aca="false">Assumptions!I13</f>
        <v>-1</v>
      </c>
      <c r="J5" s="4" t="n">
        <f aca="false">Assumptions!J13</f>
        <v>-1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37</v>
      </c>
      <c r="B6" s="3" t="n">
        <v>94.024</v>
      </c>
      <c r="C6" s="0" t="n">
        <f aca="false">B6*(1+C5/100)</f>
        <v>91.20328</v>
      </c>
      <c r="D6" s="0" t="n">
        <f aca="false">C6*(1+D5/100)</f>
        <v>88.4671816</v>
      </c>
      <c r="E6" s="0" t="n">
        <f aca="false">D6*(1+E5/100)</f>
        <v>85.813166152</v>
      </c>
      <c r="F6" s="0" t="n">
        <f aca="false">E6*(1+F5/100)</f>
        <v>84.09690282896</v>
      </c>
      <c r="G6" s="0" t="n">
        <f aca="false">F6*(1+G5/100)</f>
        <v>82.4149647723808</v>
      </c>
      <c r="H6" s="0" t="n">
        <f aca="false">G6*(1+H5/100)</f>
        <v>80.7666654769332</v>
      </c>
      <c r="I6" s="0" t="n">
        <f aca="false">H6*(1+I5/100)</f>
        <v>79.9589988221639</v>
      </c>
      <c r="J6" s="0" t="n">
        <f aca="false">I6*(1+J5/100)</f>
        <v>79.1594088339422</v>
      </c>
      <c r="K6" s="0" t="n">
        <f aca="false">J6*(1+K5/100)</f>
        <v>79.1594088339422</v>
      </c>
      <c r="L6" s="0" t="n">
        <f aca="false">K6*(1+L5/100)</f>
        <v>79.1594088339422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41</v>
      </c>
      <c r="D7" s="4" t="n">
        <f aca="false">Assumptions!D14</f>
        <v>38</v>
      </c>
      <c r="E7" s="4" t="n">
        <f aca="false">Assumptions!E14</f>
        <v>35</v>
      </c>
      <c r="F7" s="4" t="n">
        <f aca="false">Assumptions!F14</f>
        <v>33</v>
      </c>
      <c r="G7" s="4" t="n">
        <f aca="false">Assumptions!G14</f>
        <v>32</v>
      </c>
      <c r="H7" s="4" t="n">
        <f aca="false">Assumptions!H14</f>
        <v>32</v>
      </c>
      <c r="I7" s="4" t="n">
        <f aca="false">Assumptions!I14</f>
        <v>32</v>
      </c>
      <c r="J7" s="4" t="n">
        <f aca="false">Assumptions!J14</f>
        <v>32</v>
      </c>
      <c r="K7" s="4" t="n">
        <f aca="false">Assumptions!K14</f>
        <v>32</v>
      </c>
      <c r="L7" s="4" t="n">
        <f aca="false">Assumptions!L14</f>
        <v>32</v>
      </c>
    </row>
    <row r="8" customFormat="false" ht="15" hidden="false" customHeight="false" outlineLevel="0" collapsed="false">
      <c r="A8" s="0" t="s">
        <v>43</v>
      </c>
      <c r="C8" s="0" t="n">
        <f aca="false">C6*C7/100</f>
        <v>37.3933448</v>
      </c>
      <c r="D8" s="0" t="n">
        <f aca="false">D6*D7/100</f>
        <v>33.617529008</v>
      </c>
      <c r="E8" s="0" t="n">
        <f aca="false">E6*E7/100</f>
        <v>30.0346081532</v>
      </c>
      <c r="F8" s="0" t="n">
        <f aca="false">F6*F7/100</f>
        <v>27.7519779335568</v>
      </c>
      <c r="G8" s="0" t="n">
        <f aca="false">G6*G7/100</f>
        <v>26.3727887271619</v>
      </c>
      <c r="H8" s="0" t="n">
        <f aca="false">H6*H7/100</f>
        <v>25.8453329526186</v>
      </c>
      <c r="I8" s="0" t="n">
        <f aca="false">I6*I7/100</f>
        <v>25.5868796230924</v>
      </c>
      <c r="J8" s="0" t="n">
        <f aca="false">J6*J7/100</f>
        <v>25.3310108268615</v>
      </c>
      <c r="K8" s="0" t="n">
        <f aca="false">K6*K7/100</f>
        <v>25.3310108268615</v>
      </c>
      <c r="L8" s="0" t="n">
        <f aca="false">L6*L7/100</f>
        <v>25.3310108268615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2.5</v>
      </c>
      <c r="D9" s="4" t="n">
        <f aca="false">Assumptions!D15</f>
        <v>2.5</v>
      </c>
      <c r="E9" s="4" t="n">
        <f aca="false">Assumptions!E15</f>
        <v>2.5</v>
      </c>
      <c r="F9" s="4" t="n">
        <f aca="false">Assumptions!F15</f>
        <v>2.5</v>
      </c>
      <c r="G9" s="4" t="n">
        <f aca="false">Assumptions!G15</f>
        <v>2.5</v>
      </c>
      <c r="H9" s="4" t="n">
        <f aca="false">Assumptions!H15</f>
        <v>2.5</v>
      </c>
      <c r="I9" s="4" t="n">
        <f aca="false">Assumptions!I15</f>
        <v>2.5</v>
      </c>
      <c r="J9" s="4" t="n">
        <f aca="false">Assumptions!J15</f>
        <v>2.5</v>
      </c>
      <c r="K9" s="4" t="n">
        <f aca="false">Assumptions!K15</f>
        <v>2.5</v>
      </c>
      <c r="L9" s="4" t="n">
        <f aca="false">Assumptions!L15</f>
        <v>2.5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-2.280082</v>
      </c>
      <c r="D10" s="0" t="n">
        <f aca="false">-D6*D9/100</f>
        <v>-2.21167954</v>
      </c>
      <c r="E10" s="0" t="n">
        <f aca="false">-E6*E9/100</f>
        <v>-2.1453291538</v>
      </c>
      <c r="F10" s="0" t="n">
        <f aca="false">-F6*F9/100</f>
        <v>-2.102422570724</v>
      </c>
      <c r="G10" s="0" t="n">
        <f aca="false">-G6*G9/100</f>
        <v>-2.06037411930952</v>
      </c>
      <c r="H10" s="0" t="n">
        <f aca="false">-H6*H9/100</f>
        <v>-2.01916663692333</v>
      </c>
      <c r="I10" s="0" t="n">
        <f aca="false">-I6*I9/100</f>
        <v>-1.9989749705541</v>
      </c>
      <c r="J10" s="0" t="n">
        <f aca="false">-J6*J9/100</f>
        <v>-1.97898522084856</v>
      </c>
      <c r="K10" s="0" t="n">
        <f aca="false">-K6*K9/100</f>
        <v>-1.97898522084856</v>
      </c>
      <c r="L10" s="0" t="n">
        <f aca="false">-L6*L9/100</f>
        <v>-1.97898522084856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35.1132628</v>
      </c>
      <c r="D11" s="0" t="n">
        <f aca="false">D8+D10+D24</f>
        <v>31.405849468</v>
      </c>
      <c r="E11" s="0" t="n">
        <f aca="false">E8+E10+E24</f>
        <v>27.8892789994</v>
      </c>
      <c r="F11" s="0" t="n">
        <f aca="false">F8+F10+F24</f>
        <v>25.6495553628328</v>
      </c>
      <c r="G11" s="0" t="n">
        <f aca="false">G8+G10+G24</f>
        <v>24.3124146078523</v>
      </c>
      <c r="H11" s="0" t="n">
        <f aca="false">H8+H10+H24</f>
        <v>23.8261663156953</v>
      </c>
      <c r="I11" s="0" t="n">
        <f aca="false">I8+I10+I24</f>
        <v>23.5879046525383</v>
      </c>
      <c r="J11" s="0" t="n">
        <f aca="false">J8+J10+J24</f>
        <v>23.352025606013</v>
      </c>
      <c r="K11" s="0" t="n">
        <f aca="false">K8+K10+K24</f>
        <v>23.352025606013</v>
      </c>
      <c r="L11" s="0" t="n">
        <f aca="false">L8+L10+L24</f>
        <v>23.352025606013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-1.00323608</v>
      </c>
      <c r="D12" s="4" t="n">
        <f aca="false">-D6*Assumptions!D17/100</f>
        <v>-0.9731389976</v>
      </c>
      <c r="E12" s="4" t="n">
        <f aca="false">-E6*Assumptions!E17/100</f>
        <v>-0.943944827672</v>
      </c>
      <c r="F12" s="4" t="n">
        <f aca="false">-F6*Assumptions!F17/100</f>
        <v>-0.92506593111856</v>
      </c>
      <c r="G12" s="4" t="n">
        <f aca="false">-G6*Assumptions!G17/100</f>
        <v>-0.906564612496189</v>
      </c>
      <c r="H12" s="4" t="n">
        <f aca="false">-H6*Assumptions!H17/100</f>
        <v>-0.888433320246265</v>
      </c>
      <c r="I12" s="4" t="n">
        <f aca="false">-I6*Assumptions!I17/100</f>
        <v>-0.879548987043803</v>
      </c>
      <c r="J12" s="4" t="n">
        <f aca="false">-J6*Assumptions!J17/100</f>
        <v>-0.870753497173364</v>
      </c>
      <c r="K12" s="4" t="n">
        <f aca="false">-K6*Assumptions!K17/100</f>
        <v>-0.870753497173364</v>
      </c>
      <c r="L12" s="4" t="n">
        <f aca="false">-L6*Assumptions!L17/100</f>
        <v>-0.870753497173364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34.11002672</v>
      </c>
      <c r="D13" s="0" t="n">
        <f aca="false">D11+D12</f>
        <v>30.4327104704</v>
      </c>
      <c r="E13" s="0" t="n">
        <f aca="false">E11+E12</f>
        <v>26.945334171728</v>
      </c>
      <c r="F13" s="0" t="n">
        <f aca="false">F11+F12</f>
        <v>24.7244894317142</v>
      </c>
      <c r="G13" s="0" t="n">
        <f aca="false">G11+G12</f>
        <v>23.4058499953561</v>
      </c>
      <c r="H13" s="0" t="n">
        <f aca="false">H11+H12</f>
        <v>22.937732995449</v>
      </c>
      <c r="I13" s="0" t="n">
        <f aca="false">I11+I12</f>
        <v>22.7083556654945</v>
      </c>
      <c r="J13" s="0" t="n">
        <f aca="false">J11+J12</f>
        <v>22.4812721088396</v>
      </c>
      <c r="K13" s="0" t="n">
        <f aca="false">K11+K12</f>
        <v>22.4812721088396</v>
      </c>
      <c r="L13" s="0" t="n">
        <f aca="false">L11+L12</f>
        <v>22.4812721088396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30</v>
      </c>
      <c r="F14" s="4" t="n">
        <f aca="false">Assumptions!F19</f>
        <v>30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23.877018704</v>
      </c>
      <c r="D15" s="0" t="n">
        <f aca="false">D13-MAX(0,D13)*D14/100</f>
        <v>21.30289732928</v>
      </c>
      <c r="E15" s="0" t="n">
        <f aca="false">E13-MAX(0,E13)*E14/100</f>
        <v>18.8617339202096</v>
      </c>
      <c r="F15" s="0" t="n">
        <f aca="false">F13-MAX(0,F13)*F14/100</f>
        <v>17.3071426022</v>
      </c>
      <c r="G15" s="0" t="n">
        <f aca="false">G13-MAX(0,G13)*G14/100</f>
        <v>16.3840949967493</v>
      </c>
      <c r="H15" s="0" t="n">
        <f aca="false">H13-MAX(0,H13)*H14/100</f>
        <v>16.0564130968143</v>
      </c>
      <c r="I15" s="0" t="n">
        <f aca="false">I13-MAX(0,I13)*I14/100</f>
        <v>15.8958489658462</v>
      </c>
      <c r="J15" s="0" t="n">
        <f aca="false">J13-MAX(0,J13)*J14/100</f>
        <v>15.7368904761877</v>
      </c>
      <c r="K15" s="0" t="n">
        <f aca="false">K13-MAX(0,K13)*K14/100</f>
        <v>15.7368904761877</v>
      </c>
      <c r="L15" s="0" t="n">
        <f aca="false">L13-MAX(0,L13)*L14/100</f>
        <v>15.7368904761877</v>
      </c>
    </row>
    <row r="16" customFormat="false" ht="15" hidden="false" customHeight="false" outlineLevel="0" collapsed="false">
      <c r="A16" s="0" t="s">
        <v>120</v>
      </c>
      <c r="C16" s="0" t="n">
        <f aca="false">-C12</f>
        <v>1.00323608</v>
      </c>
      <c r="D16" s="0" t="n">
        <f aca="false">-D12</f>
        <v>0.9731389976</v>
      </c>
      <c r="E16" s="0" t="n">
        <f aca="false">-E12</f>
        <v>0.943944827672</v>
      </c>
      <c r="F16" s="0" t="n">
        <f aca="false">-F12</f>
        <v>0.92506593111856</v>
      </c>
      <c r="G16" s="0" t="n">
        <f aca="false">-G12</f>
        <v>0.906564612496189</v>
      </c>
      <c r="H16" s="0" t="n">
        <f aca="false">-H12</f>
        <v>0.888433320246265</v>
      </c>
      <c r="I16" s="0" t="n">
        <f aca="false">-I12</f>
        <v>0.879548987043803</v>
      </c>
      <c r="J16" s="0" t="n">
        <f aca="false">-J12</f>
        <v>0.870753497173364</v>
      </c>
      <c r="K16" s="0" t="n">
        <f aca="false">-K12</f>
        <v>0.870753497173364</v>
      </c>
      <c r="L16" s="0" t="n">
        <f aca="false">-L12</f>
        <v>0.870753497173364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-1.8240656</v>
      </c>
      <c r="D17" s="4" t="n">
        <f aca="false">-D6*Assumptions!D18/100</f>
        <v>-1.769343632</v>
      </c>
      <c r="E17" s="4" t="n">
        <f aca="false">-E6*Assumptions!E18/100</f>
        <v>-1.71626332304</v>
      </c>
      <c r="F17" s="4" t="n">
        <f aca="false">-F6*Assumptions!F18/100</f>
        <v>-1.6819380565792</v>
      </c>
      <c r="G17" s="4" t="n">
        <f aca="false">-G6*Assumptions!G18/100</f>
        <v>-1.64829929544762</v>
      </c>
      <c r="H17" s="4" t="n">
        <f aca="false">-H6*Assumptions!H18/100</f>
        <v>-1.61533330953866</v>
      </c>
      <c r="I17" s="4" t="n">
        <f aca="false">-I6*Assumptions!I18/100</f>
        <v>-1.59917997644328</v>
      </c>
      <c r="J17" s="4" t="n">
        <f aca="false">-J6*Assumptions!J18/100</f>
        <v>-1.58318817667884</v>
      </c>
      <c r="K17" s="4" t="n">
        <f aca="false">-K6*Assumptions!K18/100</f>
        <v>-1.58318817667884</v>
      </c>
      <c r="L17" s="4" t="n">
        <f aca="false">-L6*Assumptions!L18/100</f>
        <v>-1.58318817667884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0.423108000000001</v>
      </c>
      <c r="D18" s="4" t="n">
        <f aca="false">(D6-C6)*Assumptions!$B$23/100</f>
        <v>0.41041476</v>
      </c>
      <c r="E18" s="4" t="n">
        <f aca="false">(E6-D6)*Assumptions!$B$23/100</f>
        <v>0.398102317199999</v>
      </c>
      <c r="F18" s="4" t="n">
        <f aca="false">(F6-E6)*Assumptions!$B$23/100</f>
        <v>0.257439498455999</v>
      </c>
      <c r="G18" s="4" t="n">
        <f aca="false">(G6-F6)*Assumptions!$B$23/100</f>
        <v>0.25229070848688</v>
      </c>
      <c r="H18" s="4" t="n">
        <f aca="false">(H6-G6)*Assumptions!$B$23/100</f>
        <v>0.247244894317142</v>
      </c>
      <c r="I18" s="4" t="n">
        <f aca="false">(I6-H6)*Assumptions!$B$23/100</f>
        <v>0.1211499982154</v>
      </c>
      <c r="J18" s="4" t="n">
        <f aca="false">(J6-I6)*Assumptions!$B$23/100</f>
        <v>0.119938498233246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23.479297184</v>
      </c>
      <c r="D19" s="0" t="n">
        <f aca="false">D15+D16+D17+D18</f>
        <v>20.91710745488</v>
      </c>
      <c r="E19" s="0" t="n">
        <f aca="false">E15+E16+E17+E18</f>
        <v>18.4875177420416</v>
      </c>
      <c r="F19" s="0" t="n">
        <f aca="false">F15+F16+F17+F18</f>
        <v>16.8077099751953</v>
      </c>
      <c r="G19" s="0" t="n">
        <f aca="false">G15+G16+G17+G18</f>
        <v>15.8946510222848</v>
      </c>
      <c r="H19" s="0" t="n">
        <f aca="false">H15+H16+H17+H18</f>
        <v>15.5767580018391</v>
      </c>
      <c r="I19" s="0" t="n">
        <f aca="false">I15+I16+I17+I18</f>
        <v>15.2973679746621</v>
      </c>
      <c r="J19" s="0" t="n">
        <f aca="false">J15+J16+J17+J18</f>
        <v>15.1443942949155</v>
      </c>
      <c r="K19" s="0" t="n">
        <f aca="false">K15+K16+K17+K18</f>
        <v>15.0244557966822</v>
      </c>
      <c r="L19" s="0" t="n">
        <f aca="false">L15+L16+L17+L18</f>
        <v>15.0244557966822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21.2482327457014</v>
      </c>
      <c r="D21" s="0" t="n">
        <f aca="false">D19*D20</f>
        <v>17.1307773836572</v>
      </c>
      <c r="E21" s="0" t="n">
        <f aca="false">E19*E20</f>
        <v>13.7022462987371</v>
      </c>
      <c r="F21" s="0" t="n">
        <f aca="false">F19*F20</f>
        <v>11.2735172428996</v>
      </c>
      <c r="G21" s="0" t="n">
        <f aca="false">G19*G20</f>
        <v>9.64805136705559</v>
      </c>
      <c r="H21" s="0" t="n">
        <f aca="false">H19*H20</f>
        <v>8.55664284137057</v>
      </c>
      <c r="I21" s="0" t="n">
        <f aca="false">I19*I20</f>
        <v>7.60467691072565</v>
      </c>
      <c r="J21" s="0" t="n">
        <f aca="false">J19*J20</f>
        <v>6.81323994716596</v>
      </c>
      <c r="K21" s="0" t="n">
        <f aca="false">K19*K20</f>
        <v>6.11699672693293</v>
      </c>
      <c r="L21" s="0" t="n">
        <f aca="false">L19*L20</f>
        <v>5.5357436442832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107.630125108529</v>
      </c>
    </row>
    <row r="31" customFormat="false" ht="15" hidden="false" customHeight="false" outlineLevel="0" collapsed="false">
      <c r="A31" s="0" t="s">
        <v>129</v>
      </c>
      <c r="B31" s="0" t="n">
        <f aca="false">L19</f>
        <v>15.0244557966822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143.090055206497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180.293469560187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143.090055206497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52.7213680407923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160.351493149321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403.754493149321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7.95622387824544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-0.0356092268793403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12.6536995357774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6.9443319337187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8.34241481503966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100.163038644548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7.08383921977277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5</v>
      </c>
      <c r="G5" s="4" t="n">
        <f aca="false">Assumptions!G27</f>
        <v>8</v>
      </c>
      <c r="H5" s="4" t="n">
        <f aca="false">Assumptions!H27</f>
        <v>10</v>
      </c>
      <c r="I5" s="4" t="n">
        <f aca="false">Assumptions!I27</f>
        <v>8</v>
      </c>
      <c r="J5" s="4" t="n">
        <f aca="false">Assumptions!J27</f>
        <v>6</v>
      </c>
      <c r="K5" s="4" t="n">
        <f aca="false">Assumptions!K27</f>
        <v>4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94.024</v>
      </c>
      <c r="C6" s="0" t="n">
        <f aca="false">B6*(1+C5/100)</f>
        <v>96.84472</v>
      </c>
      <c r="D6" s="0" t="n">
        <f aca="false">C6*(1+D5/100)</f>
        <v>100.7185088</v>
      </c>
      <c r="E6" s="0" t="n">
        <f aca="false">D6*(1+E5/100)</f>
        <v>104.747249152</v>
      </c>
      <c r="F6" s="0" t="n">
        <f aca="false">E6*(1+F5/100)</f>
        <v>109.9846116096</v>
      </c>
      <c r="G6" s="0" t="n">
        <f aca="false">F6*(1+G5/100)</f>
        <v>118.783380538368</v>
      </c>
      <c r="H6" s="0" t="n">
        <f aca="false">G6*(1+H5/100)</f>
        <v>130.661718592205</v>
      </c>
      <c r="I6" s="0" t="n">
        <f aca="false">H6*(1+I5/100)</f>
        <v>141.114656079581</v>
      </c>
      <c r="J6" s="0" t="n">
        <f aca="false">I6*(1+J5/100)</f>
        <v>149.581535444356</v>
      </c>
      <c r="K6" s="0" t="n">
        <f aca="false">J6*(1+K5/100)</f>
        <v>155.56479686213</v>
      </c>
      <c r="L6" s="0" t="n">
        <f aca="false">K6*(1+L5/100)</f>
        <v>160.231740767994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43</v>
      </c>
      <c r="D7" s="4" t="n">
        <f aca="false">Assumptions!D28</f>
        <v>42</v>
      </c>
      <c r="E7" s="4" t="n">
        <f aca="false">Assumptions!E28</f>
        <v>42</v>
      </c>
      <c r="F7" s="4" t="n">
        <f aca="false">Assumptions!F28</f>
        <v>42</v>
      </c>
      <c r="G7" s="4" t="n">
        <f aca="false">Assumptions!G28</f>
        <v>42</v>
      </c>
      <c r="H7" s="4" t="n">
        <f aca="false">Assumptions!H28</f>
        <v>43</v>
      </c>
      <c r="I7" s="4" t="n">
        <f aca="false">Assumptions!I28</f>
        <v>44</v>
      </c>
      <c r="J7" s="4" t="n">
        <f aca="false">Assumptions!J28</f>
        <v>45</v>
      </c>
      <c r="K7" s="4" t="n">
        <f aca="false">Assumptions!K28</f>
        <v>45</v>
      </c>
      <c r="L7" s="4" t="n">
        <f aca="false">Assumptions!L28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41.6432296</v>
      </c>
      <c r="D8" s="0" t="n">
        <f aca="false">D6*D7/100</f>
        <v>42.301773696</v>
      </c>
      <c r="E8" s="0" t="n">
        <f aca="false">E6*E7/100</f>
        <v>43.99384464384</v>
      </c>
      <c r="F8" s="0" t="n">
        <f aca="false">F6*F7/100</f>
        <v>46.193536876032</v>
      </c>
      <c r="G8" s="0" t="n">
        <f aca="false">G6*G7/100</f>
        <v>49.8890198261146</v>
      </c>
      <c r="H8" s="0" t="n">
        <f aca="false">H6*H7/100</f>
        <v>56.1845389946481</v>
      </c>
      <c r="I8" s="0" t="n">
        <f aca="false">I6*I7/100</f>
        <v>62.0904486750157</v>
      </c>
      <c r="J8" s="0" t="n">
        <f aca="false">J6*J7/100</f>
        <v>67.3116909499603</v>
      </c>
      <c r="K8" s="0" t="n">
        <f aca="false">K6*K7/100</f>
        <v>70.0041585879587</v>
      </c>
      <c r="L8" s="0" t="n">
        <f aca="false">L6*L7/100</f>
        <v>72.1042833455974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2.5</v>
      </c>
      <c r="D9" s="4" t="n">
        <f aca="false">Assumptions!D29</f>
        <v>2.5</v>
      </c>
      <c r="E9" s="4" t="n">
        <f aca="false">Assumptions!E29</f>
        <v>2.4</v>
      </c>
      <c r="F9" s="4" t="n">
        <f aca="false">Assumptions!F29</f>
        <v>2.4</v>
      </c>
      <c r="G9" s="4" t="n">
        <f aca="false">Assumptions!G29</f>
        <v>2.3</v>
      </c>
      <c r="H9" s="4" t="n">
        <f aca="false">Assumptions!H29</f>
        <v>2.3</v>
      </c>
      <c r="I9" s="4" t="n">
        <f aca="false">Assumptions!I29</f>
        <v>2.2</v>
      </c>
      <c r="J9" s="4" t="n">
        <f aca="false">Assumptions!J29</f>
        <v>2.2</v>
      </c>
      <c r="K9" s="4" t="n">
        <f aca="false">Assumptions!K29</f>
        <v>2.1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-2.421118</v>
      </c>
      <c r="D10" s="0" t="n">
        <f aca="false">-D6*D9/100</f>
        <v>-2.51796272</v>
      </c>
      <c r="E10" s="0" t="n">
        <f aca="false">-E6*E9/100</f>
        <v>-2.513933979648</v>
      </c>
      <c r="F10" s="0" t="n">
        <f aca="false">-F6*F9/100</f>
        <v>-2.6396306786304</v>
      </c>
      <c r="G10" s="0" t="n">
        <f aca="false">-G6*G9/100</f>
        <v>-2.73201775238246</v>
      </c>
      <c r="H10" s="0" t="n">
        <f aca="false">-H6*H9/100</f>
        <v>-3.00521952762071</v>
      </c>
      <c r="I10" s="0" t="n">
        <f aca="false">-I6*I9/100</f>
        <v>-3.10452243375079</v>
      </c>
      <c r="J10" s="0" t="n">
        <f aca="false">-J6*J9/100</f>
        <v>-3.29079377977584</v>
      </c>
      <c r="K10" s="0" t="n">
        <f aca="false">-K6*K9/100</f>
        <v>-3.26686073410474</v>
      </c>
      <c r="L10" s="0" t="n">
        <f aca="false">-L6*L9/100</f>
        <v>-3.20463481535989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39.2221116</v>
      </c>
      <c r="D11" s="0" t="n">
        <f aca="false">D8+D10+D24</f>
        <v>39.783810976</v>
      </c>
      <c r="E11" s="0" t="n">
        <f aca="false">E8+E10+E24</f>
        <v>41.479910664192</v>
      </c>
      <c r="F11" s="0" t="n">
        <f aca="false">F8+F10+F24</f>
        <v>43.5539061974016</v>
      </c>
      <c r="G11" s="0" t="n">
        <f aca="false">G8+G10+G24</f>
        <v>47.1570020737321</v>
      </c>
      <c r="H11" s="0" t="n">
        <f aca="false">H8+H10+H24</f>
        <v>53.1793194670274</v>
      </c>
      <c r="I11" s="0" t="n">
        <f aca="false">I8+I10+I24</f>
        <v>58.985926241265</v>
      </c>
      <c r="J11" s="0" t="n">
        <f aca="false">J8+J10+J24</f>
        <v>64.0208971701844</v>
      </c>
      <c r="K11" s="0" t="n">
        <f aca="false">K8+K10+K24</f>
        <v>66.7372978538539</v>
      </c>
      <c r="L11" s="0" t="n">
        <f aca="false">L8+L10+L24</f>
        <v>68.8996485302376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-1.06529192</v>
      </c>
      <c r="D12" s="4" t="n">
        <f aca="false">-D6*Assumptions!D31/100</f>
        <v>-1.1079035968</v>
      </c>
      <c r="E12" s="4" t="n">
        <f aca="false">-E6*Assumptions!E31/100</f>
        <v>-1.152219740672</v>
      </c>
      <c r="F12" s="4" t="n">
        <f aca="false">-F6*Assumptions!F31/100</f>
        <v>-1.2098307277056</v>
      </c>
      <c r="G12" s="4" t="n">
        <f aca="false">-G6*Assumptions!G31/100</f>
        <v>-1.30661718592205</v>
      </c>
      <c r="H12" s="4" t="n">
        <f aca="false">-H6*Assumptions!H31/100</f>
        <v>-1.43727890451425</v>
      </c>
      <c r="I12" s="4" t="n">
        <f aca="false">-I6*Assumptions!I31/100</f>
        <v>-1.55226121687539</v>
      </c>
      <c r="J12" s="4" t="n">
        <f aca="false">-J6*Assumptions!J31/100</f>
        <v>-1.64539688988792</v>
      </c>
      <c r="K12" s="4" t="n">
        <f aca="false">-K6*Assumptions!K31/100</f>
        <v>-1.71121276548343</v>
      </c>
      <c r="L12" s="4" t="n">
        <f aca="false">-L6*Assumptions!L31/100</f>
        <v>-1.76254914844794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38.15681968</v>
      </c>
      <c r="D13" s="0" t="n">
        <f aca="false">D11+D12</f>
        <v>38.6759073792</v>
      </c>
      <c r="E13" s="0" t="n">
        <f aca="false">E11+E12</f>
        <v>40.32769092352</v>
      </c>
      <c r="F13" s="0" t="n">
        <f aca="false">F11+F12</f>
        <v>42.344075469696</v>
      </c>
      <c r="G13" s="0" t="n">
        <f aca="false">G11+G12</f>
        <v>45.8503848878101</v>
      </c>
      <c r="H13" s="0" t="n">
        <f aca="false">H11+H12</f>
        <v>51.7420405625131</v>
      </c>
      <c r="I13" s="0" t="n">
        <f aca="false">I11+I12</f>
        <v>57.4336650243896</v>
      </c>
      <c r="J13" s="0" t="n">
        <f aca="false">J11+J12</f>
        <v>62.3755002802965</v>
      </c>
      <c r="K13" s="0" t="n">
        <f aca="false">K11+K12</f>
        <v>65.0260850883705</v>
      </c>
      <c r="L13" s="0" t="n">
        <f aca="false">L11+L12</f>
        <v>67.1370993817896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30</v>
      </c>
      <c r="H14" s="4" t="n">
        <f aca="false">Assumptions!H33</f>
        <v>30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26.709773776</v>
      </c>
      <c r="D15" s="0" t="n">
        <f aca="false">D13-MAX(0,D13)*D14/100</f>
        <v>27.07313516544</v>
      </c>
      <c r="E15" s="0" t="n">
        <f aca="false">E13-MAX(0,E13)*E14/100</f>
        <v>28.229383646464</v>
      </c>
      <c r="F15" s="0" t="n">
        <f aca="false">F13-MAX(0,F13)*F14/100</f>
        <v>29.6408528287872</v>
      </c>
      <c r="G15" s="0" t="n">
        <f aca="false">G13-MAX(0,G13)*G14/100</f>
        <v>32.095269421467</v>
      </c>
      <c r="H15" s="0" t="n">
        <f aca="false">H13-MAX(0,H13)*H14/100</f>
        <v>36.2194283937592</v>
      </c>
      <c r="I15" s="0" t="n">
        <f aca="false">I13-MAX(0,I13)*I14/100</f>
        <v>40.2035655170727</v>
      </c>
      <c r="J15" s="0" t="n">
        <f aca="false">J13-MAX(0,J13)*J14/100</f>
        <v>43.6628501962075</v>
      </c>
      <c r="K15" s="0" t="n">
        <f aca="false">K13-MAX(0,K13)*K14/100</f>
        <v>45.5182595618593</v>
      </c>
      <c r="L15" s="0" t="n">
        <f aca="false">L13-MAX(0,L13)*L14/100</f>
        <v>46.9959695672527</v>
      </c>
    </row>
    <row r="16" customFormat="false" ht="15" hidden="false" customHeight="false" outlineLevel="0" collapsed="false">
      <c r="A16" s="0" t="s">
        <v>120</v>
      </c>
      <c r="C16" s="0" t="n">
        <f aca="false">-C12</f>
        <v>1.06529192</v>
      </c>
      <c r="D16" s="0" t="n">
        <f aca="false">-D12</f>
        <v>1.1079035968</v>
      </c>
      <c r="E16" s="0" t="n">
        <f aca="false">-E12</f>
        <v>1.152219740672</v>
      </c>
      <c r="F16" s="0" t="n">
        <f aca="false">-F12</f>
        <v>1.2098307277056</v>
      </c>
      <c r="G16" s="0" t="n">
        <f aca="false">-G12</f>
        <v>1.30661718592205</v>
      </c>
      <c r="H16" s="0" t="n">
        <f aca="false">-H12</f>
        <v>1.43727890451425</v>
      </c>
      <c r="I16" s="0" t="n">
        <f aca="false">-I12</f>
        <v>1.55226121687539</v>
      </c>
      <c r="J16" s="0" t="n">
        <f aca="false">-J12</f>
        <v>1.64539688988792</v>
      </c>
      <c r="K16" s="0" t="n">
        <f aca="false">-K12</f>
        <v>1.71121276548343</v>
      </c>
      <c r="L16" s="0" t="n">
        <f aca="false">-L12</f>
        <v>1.76254914844794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-1.9368944</v>
      </c>
      <c r="D17" s="4" t="n">
        <f aca="false">-D6*Assumptions!D32/100</f>
        <v>-2.014370176</v>
      </c>
      <c r="E17" s="4" t="n">
        <f aca="false">-E6*Assumptions!E32/100</f>
        <v>-2.09494498304</v>
      </c>
      <c r="F17" s="4" t="n">
        <f aca="false">-F6*Assumptions!F32/100</f>
        <v>-2.199692232192</v>
      </c>
      <c r="G17" s="4" t="n">
        <f aca="false">-G6*Assumptions!G32/100</f>
        <v>-2.37566761076736</v>
      </c>
      <c r="H17" s="4" t="n">
        <f aca="false">-H6*Assumptions!H32/100</f>
        <v>-2.6132343718441</v>
      </c>
      <c r="I17" s="4" t="n">
        <f aca="false">-I6*Assumptions!I32/100</f>
        <v>-2.82229312159163</v>
      </c>
      <c r="J17" s="4" t="n">
        <f aca="false">-J6*Assumptions!J32/100</f>
        <v>-2.99163070888712</v>
      </c>
      <c r="K17" s="4" t="n">
        <f aca="false">-K6*Assumptions!K32/100</f>
        <v>-3.11129593724261</v>
      </c>
      <c r="L17" s="4" t="n">
        <f aca="false">-L6*Assumptions!L32/100</f>
        <v>-3.20463481535989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-0.423108000000001</v>
      </c>
      <c r="D18" s="4" t="n">
        <f aca="false">(D6-C6)*Assumptions!$B$37/100</f>
        <v>-0.58106832</v>
      </c>
      <c r="E18" s="4" t="n">
        <f aca="false">(E6-D6)*Assumptions!$B$37/100</f>
        <v>-0.6043110528</v>
      </c>
      <c r="F18" s="4" t="n">
        <f aca="false">(F6-E6)*Assumptions!$B$37/100</f>
        <v>-0.78560436864</v>
      </c>
      <c r="G18" s="4" t="n">
        <f aca="false">(G6-F6)*Assumptions!$B$37/100</f>
        <v>-1.3198153393152</v>
      </c>
      <c r="H18" s="4" t="n">
        <f aca="false">(H6-G6)*Assumptions!$B$37/100</f>
        <v>-1.78175070807552</v>
      </c>
      <c r="I18" s="4" t="n">
        <f aca="false">(I6-H6)*Assumptions!$B$37/100</f>
        <v>-1.56794062310646</v>
      </c>
      <c r="J18" s="4" t="n">
        <f aca="false">(J6-I6)*Assumptions!$B$37/100</f>
        <v>-1.27003190471623</v>
      </c>
      <c r="K18" s="4" t="n">
        <f aca="false">(K6-J6)*Assumptions!$B$37/100</f>
        <v>-0.897489212666139</v>
      </c>
      <c r="L18" s="4" t="n">
        <f aca="false">(L6-K6)*Assumptions!$B$37/100</f>
        <v>-0.700041585879588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25.415063296</v>
      </c>
      <c r="D19" s="0" t="n">
        <f aca="false">D15+D16+D17+D18</f>
        <v>25.58560026624</v>
      </c>
      <c r="E19" s="0" t="n">
        <f aca="false">E15+E16+E17+E18</f>
        <v>26.682347351296</v>
      </c>
      <c r="F19" s="0" t="n">
        <f aca="false">F15+F16+F17+F18</f>
        <v>27.8653869556608</v>
      </c>
      <c r="G19" s="0" t="n">
        <f aca="false">G15+G16+G17+G18</f>
        <v>29.7064036573065</v>
      </c>
      <c r="H19" s="0" t="n">
        <f aca="false">H15+H16+H17+H18</f>
        <v>33.2617222183538</v>
      </c>
      <c r="I19" s="0" t="n">
        <f aca="false">I15+I16+I17+I18</f>
        <v>37.36559298925</v>
      </c>
      <c r="J19" s="0" t="n">
        <f aca="false">J15+J16+J17+J18</f>
        <v>41.0465844724921</v>
      </c>
      <c r="K19" s="0" t="n">
        <f aca="false">K15+K16+K17+K18</f>
        <v>43.220687177434</v>
      </c>
      <c r="L19" s="0" t="n">
        <f aca="false">L15+L16+L17+L18</f>
        <v>44.8538423144612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23.000057281448</v>
      </c>
      <c r="D21" s="0" t="n">
        <f aca="false">D19*D20</f>
        <v>20.9541985350341</v>
      </c>
      <c r="E21" s="0" t="n">
        <f aca="false">E19*E20</f>
        <v>19.7759429003549</v>
      </c>
      <c r="F21" s="0" t="n">
        <f aca="false">F19*F20</f>
        <v>18.6902868260054</v>
      </c>
      <c r="G21" s="0" t="n">
        <f aca="false">G19*G20</f>
        <v>18.0317836493766</v>
      </c>
      <c r="H21" s="0" t="n">
        <f aca="false">H19*H20</f>
        <v>18.2713679751416</v>
      </c>
      <c r="I21" s="0" t="n">
        <f aca="false">I19*I20</f>
        <v>18.5753041132031</v>
      </c>
      <c r="J21" s="0" t="n">
        <f aca="false">J19*J20</f>
        <v>18.4662538214947</v>
      </c>
      <c r="K21" s="0" t="n">
        <f aca="false">K19*K20</f>
        <v>17.5966973831117</v>
      </c>
      <c r="L21" s="0" t="n">
        <f aca="false">L19*L20</f>
        <v>16.5263471685137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189.888239653684</v>
      </c>
    </row>
    <row r="31" customFormat="false" ht="15" hidden="false" customHeight="false" outlineLevel="0" collapsed="false">
      <c r="A31" s="0" t="s">
        <v>129</v>
      </c>
      <c r="B31" s="0" t="n">
        <f aca="false">L19</f>
        <v>44.8538423144612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574.689854654034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672.807634716918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574.689854654034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211.743823096582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401.632062750266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645.035062750266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12.7108018749929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0.540703257574901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16.7307287571663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15.1282831619074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13.3386027680324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367.801506978582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9.64053755905861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5</v>
      </c>
      <c r="D5" s="4" t="n">
        <f aca="false">Assumptions!D41</f>
        <v>7</v>
      </c>
      <c r="E5" s="4" t="n">
        <f aca="false">Assumptions!E41</f>
        <v>8</v>
      </c>
      <c r="F5" s="4" t="n">
        <f aca="false">Assumptions!F41</f>
        <v>10</v>
      </c>
      <c r="G5" s="4" t="n">
        <f aca="false">Assumptions!G41</f>
        <v>20</v>
      </c>
      <c r="H5" s="4" t="n">
        <f aca="false">Assumptions!H41</f>
        <v>25</v>
      </c>
      <c r="I5" s="4" t="n">
        <f aca="false">Assumptions!I41</f>
        <v>20</v>
      </c>
      <c r="J5" s="4" t="n">
        <f aca="false">Assumptions!J41</f>
        <v>15</v>
      </c>
      <c r="K5" s="4" t="n">
        <f aca="false">Assumptions!K41</f>
        <v>10</v>
      </c>
      <c r="L5" s="4" t="n">
        <f aca="false">Assumptions!L41</f>
        <v>6</v>
      </c>
    </row>
    <row r="6" customFormat="false" ht="15" hidden="false" customHeight="false" outlineLevel="0" collapsed="false">
      <c r="A6" s="0" t="s">
        <v>37</v>
      </c>
      <c r="B6" s="3" t="n">
        <v>94.024</v>
      </c>
      <c r="C6" s="0" t="n">
        <f aca="false">B6*(1+C5/100)</f>
        <v>98.7252</v>
      </c>
      <c r="D6" s="0" t="n">
        <f aca="false">C6*(1+D5/100)</f>
        <v>105.635964</v>
      </c>
      <c r="E6" s="0" t="n">
        <f aca="false">D6*(1+E5/100)</f>
        <v>114.08684112</v>
      </c>
      <c r="F6" s="0" t="n">
        <f aca="false">E6*(1+F5/100)</f>
        <v>125.495525232</v>
      </c>
      <c r="G6" s="0" t="n">
        <f aca="false">F6*(1+G5/100)</f>
        <v>150.5946302784</v>
      </c>
      <c r="H6" s="0" t="n">
        <f aca="false">G6*(1+H5/100)</f>
        <v>188.243287848</v>
      </c>
      <c r="I6" s="0" t="n">
        <f aca="false">H6*(1+I5/100)</f>
        <v>225.8919454176</v>
      </c>
      <c r="J6" s="0" t="n">
        <f aca="false">I6*(1+J5/100)</f>
        <v>259.77573723024</v>
      </c>
      <c r="K6" s="0" t="n">
        <f aca="false">J6*(1+K5/100)</f>
        <v>285.753310953264</v>
      </c>
      <c r="L6" s="0" t="n">
        <f aca="false">K6*(1+L5/100)</f>
        <v>302.89850961046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44</v>
      </c>
      <c r="D7" s="4" t="n">
        <f aca="false">Assumptions!D42</f>
        <v>44</v>
      </c>
      <c r="E7" s="4" t="n">
        <f aca="false">Assumptions!E42</f>
        <v>44</v>
      </c>
      <c r="F7" s="4" t="n">
        <f aca="false">Assumptions!F42</f>
        <v>45</v>
      </c>
      <c r="G7" s="4" t="n">
        <f aca="false">Assumptions!G42</f>
        <v>47</v>
      </c>
      <c r="H7" s="4" t="n">
        <f aca="false">Assumptions!H42</f>
        <v>49</v>
      </c>
      <c r="I7" s="4" t="n">
        <f aca="false">Assumptions!I42</f>
        <v>50</v>
      </c>
      <c r="J7" s="4" t="n">
        <f aca="false">Assumptions!J42</f>
        <v>50</v>
      </c>
      <c r="K7" s="4" t="n">
        <f aca="false">Assumptions!K42</f>
        <v>50</v>
      </c>
      <c r="L7" s="4" t="n">
        <f aca="false">Assumptions!L42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43.439088</v>
      </c>
      <c r="D8" s="0" t="n">
        <f aca="false">D6*D7/100</f>
        <v>46.47982416</v>
      </c>
      <c r="E8" s="0" t="n">
        <f aca="false">E6*E7/100</f>
        <v>50.1982100928</v>
      </c>
      <c r="F8" s="0" t="n">
        <f aca="false">F6*F7/100</f>
        <v>56.4729863544</v>
      </c>
      <c r="G8" s="0" t="n">
        <f aca="false">G6*G7/100</f>
        <v>70.779476230848</v>
      </c>
      <c r="H8" s="0" t="n">
        <f aca="false">H6*H7/100</f>
        <v>92.23921104552</v>
      </c>
      <c r="I8" s="0" t="n">
        <f aca="false">I6*I7/100</f>
        <v>112.9459727088</v>
      </c>
      <c r="J8" s="0" t="n">
        <f aca="false">J6*J7/100</f>
        <v>129.88786861512</v>
      </c>
      <c r="K8" s="0" t="n">
        <f aca="false">K6*K7/100</f>
        <v>142.876655476632</v>
      </c>
      <c r="L8" s="0" t="n">
        <f aca="false">L6*L7/100</f>
        <v>151.44925480523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2.5</v>
      </c>
      <c r="D9" s="4" t="n">
        <f aca="false">Assumptions!D43</f>
        <v>2.5</v>
      </c>
      <c r="E9" s="4" t="n">
        <f aca="false">Assumptions!E43</f>
        <v>2.4</v>
      </c>
      <c r="F9" s="4" t="n">
        <f aca="false">Assumptions!F43</f>
        <v>2.4</v>
      </c>
      <c r="G9" s="4" t="n">
        <f aca="false">Assumptions!G43</f>
        <v>2.3</v>
      </c>
      <c r="H9" s="4" t="n">
        <f aca="false">Assumptions!H43</f>
        <v>2.3</v>
      </c>
      <c r="I9" s="4" t="n">
        <f aca="false">Assumptions!I43</f>
        <v>2.2</v>
      </c>
      <c r="J9" s="4" t="n">
        <f aca="false">Assumptions!J43</f>
        <v>2.2</v>
      </c>
      <c r="K9" s="4" t="n">
        <f aca="false">Assumptions!K43</f>
        <v>2.1</v>
      </c>
      <c r="L9" s="4" t="n">
        <f aca="false">Assumptions!L43</f>
        <v>2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-2.46813</v>
      </c>
      <c r="D10" s="0" t="n">
        <f aca="false">-D6*D9/100</f>
        <v>-2.6408991</v>
      </c>
      <c r="E10" s="0" t="n">
        <f aca="false">-E6*E9/100</f>
        <v>-2.73808418688</v>
      </c>
      <c r="F10" s="0" t="n">
        <f aca="false">-F6*F9/100</f>
        <v>-3.011892605568</v>
      </c>
      <c r="G10" s="0" t="n">
        <f aca="false">-G6*G9/100</f>
        <v>-3.4636764964032</v>
      </c>
      <c r="H10" s="0" t="n">
        <f aca="false">-H6*H9/100</f>
        <v>-4.329595620504</v>
      </c>
      <c r="I10" s="0" t="n">
        <f aca="false">-I6*I9/100</f>
        <v>-4.9696227991872</v>
      </c>
      <c r="J10" s="0" t="n">
        <f aca="false">-J6*J9/100</f>
        <v>-5.71506621906528</v>
      </c>
      <c r="K10" s="0" t="n">
        <f aca="false">-K6*K9/100</f>
        <v>-6.00081953001854</v>
      </c>
      <c r="L10" s="0" t="n">
        <f aca="false">-L6*L9/100</f>
        <v>-6.0579701922092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40.970958</v>
      </c>
      <c r="D11" s="0" t="n">
        <f aca="false">D8+D10+D24</f>
        <v>43.83892506</v>
      </c>
      <c r="E11" s="0" t="n">
        <f aca="false">E8+E10+E24</f>
        <v>47.46012590592</v>
      </c>
      <c r="F11" s="0" t="n">
        <f aca="false">F8+F10+F24</f>
        <v>53.461093748832</v>
      </c>
      <c r="G11" s="0" t="n">
        <f aca="false">G8+G10+G24</f>
        <v>67.3157997344448</v>
      </c>
      <c r="H11" s="0" t="n">
        <f aca="false">H8+H10+H24</f>
        <v>87.909615425016</v>
      </c>
      <c r="I11" s="0" t="n">
        <f aca="false">I8+I10+I24</f>
        <v>107.976349909613</v>
      </c>
      <c r="J11" s="0" t="n">
        <f aca="false">J8+J10+J24</f>
        <v>124.172802396055</v>
      </c>
      <c r="K11" s="0" t="n">
        <f aca="false">K8+K10+K24</f>
        <v>136.875835946613</v>
      </c>
      <c r="L11" s="0" t="n">
        <f aca="false">L8+L10+L24</f>
        <v>145.391284613021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-1.0859772</v>
      </c>
      <c r="D12" s="4" t="n">
        <f aca="false">-D6*Assumptions!D45/100</f>
        <v>-1.161995604</v>
      </c>
      <c r="E12" s="4" t="n">
        <f aca="false">-E6*Assumptions!E45/100</f>
        <v>-1.25495525232</v>
      </c>
      <c r="F12" s="4" t="n">
        <f aca="false">-F6*Assumptions!F45/100</f>
        <v>-1.380450777552</v>
      </c>
      <c r="G12" s="4" t="n">
        <f aca="false">-G6*Assumptions!G45/100</f>
        <v>-1.6565409330624</v>
      </c>
      <c r="H12" s="4" t="n">
        <f aca="false">-H6*Assumptions!H45/100</f>
        <v>-2.070676166328</v>
      </c>
      <c r="I12" s="4" t="n">
        <f aca="false">-I6*Assumptions!I45/100</f>
        <v>-2.4848113995936</v>
      </c>
      <c r="J12" s="4" t="n">
        <f aca="false">-J6*Assumptions!J45/100</f>
        <v>-2.85753310953264</v>
      </c>
      <c r="K12" s="4" t="n">
        <f aca="false">-K6*Assumptions!K45/100</f>
        <v>-3.1432864204859</v>
      </c>
      <c r="L12" s="4" t="n">
        <f aca="false">-L6*Assumptions!L45/100</f>
        <v>-3.33188360571506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39.8849808</v>
      </c>
      <c r="D13" s="0" t="n">
        <f aca="false">D11+D12</f>
        <v>42.676929456</v>
      </c>
      <c r="E13" s="0" t="n">
        <f aca="false">E11+E12</f>
        <v>46.2051706536</v>
      </c>
      <c r="F13" s="0" t="n">
        <f aca="false">F11+F12</f>
        <v>52.08064297128</v>
      </c>
      <c r="G13" s="0" t="n">
        <f aca="false">G11+G12</f>
        <v>65.6592588013824</v>
      </c>
      <c r="H13" s="0" t="n">
        <f aca="false">H11+H12</f>
        <v>85.838939258688</v>
      </c>
      <c r="I13" s="0" t="n">
        <f aca="false">I11+I12</f>
        <v>105.491538510019</v>
      </c>
      <c r="J13" s="0" t="n">
        <f aca="false">J11+J12</f>
        <v>121.315269286522</v>
      </c>
      <c r="K13" s="0" t="n">
        <f aca="false">K11+K12</f>
        <v>133.732549526128</v>
      </c>
      <c r="L13" s="0" t="n">
        <f aca="false">L11+L12</f>
        <v>142.059401007306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30</v>
      </c>
      <c r="D14" s="4" t="n">
        <f aca="false">Assumptions!D47</f>
        <v>30</v>
      </c>
      <c r="E14" s="4" t="n">
        <f aca="false">Assumptions!E47</f>
        <v>30</v>
      </c>
      <c r="F14" s="4" t="n">
        <f aca="false">Assumptions!F47</f>
        <v>30</v>
      </c>
      <c r="G14" s="4" t="n">
        <f aca="false">Assumptions!G47</f>
        <v>30</v>
      </c>
      <c r="H14" s="4" t="n">
        <f aca="false">Assumptions!H47</f>
        <v>30</v>
      </c>
      <c r="I14" s="4" t="n">
        <f aca="false">Assumptions!I47</f>
        <v>30</v>
      </c>
      <c r="J14" s="4" t="n">
        <f aca="false">Assumptions!J47</f>
        <v>30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27.91948656</v>
      </c>
      <c r="D15" s="0" t="n">
        <f aca="false">D13-MAX(0,D13)*D14/100</f>
        <v>29.8738506192</v>
      </c>
      <c r="E15" s="0" t="n">
        <f aca="false">E13-MAX(0,E13)*E14/100</f>
        <v>32.34361945752</v>
      </c>
      <c r="F15" s="0" t="n">
        <f aca="false">F13-MAX(0,F13)*F14/100</f>
        <v>36.456450079896</v>
      </c>
      <c r="G15" s="0" t="n">
        <f aca="false">G13-MAX(0,G13)*G14/100</f>
        <v>45.9614811609677</v>
      </c>
      <c r="H15" s="0" t="n">
        <f aca="false">H13-MAX(0,H13)*H14/100</f>
        <v>60.0872574810816</v>
      </c>
      <c r="I15" s="0" t="n">
        <f aca="false">I13-MAX(0,I13)*I14/100</f>
        <v>73.8440769570134</v>
      </c>
      <c r="J15" s="0" t="n">
        <f aca="false">J13-MAX(0,J13)*J14/100</f>
        <v>84.9206885005655</v>
      </c>
      <c r="K15" s="0" t="n">
        <f aca="false">K13-MAX(0,K13)*K14/100</f>
        <v>93.6127846682893</v>
      </c>
      <c r="L15" s="0" t="n">
        <f aca="false">L13-MAX(0,L13)*L14/100</f>
        <v>99.441580705114</v>
      </c>
    </row>
    <row r="16" customFormat="false" ht="15" hidden="false" customHeight="false" outlineLevel="0" collapsed="false">
      <c r="A16" s="0" t="s">
        <v>120</v>
      </c>
      <c r="C16" s="0" t="n">
        <f aca="false">-C12</f>
        <v>1.0859772</v>
      </c>
      <c r="D16" s="0" t="n">
        <f aca="false">-D12</f>
        <v>1.161995604</v>
      </c>
      <c r="E16" s="0" t="n">
        <f aca="false">-E12</f>
        <v>1.25495525232</v>
      </c>
      <c r="F16" s="0" t="n">
        <f aca="false">-F12</f>
        <v>1.380450777552</v>
      </c>
      <c r="G16" s="0" t="n">
        <f aca="false">-G12</f>
        <v>1.6565409330624</v>
      </c>
      <c r="H16" s="0" t="n">
        <f aca="false">-H12</f>
        <v>2.070676166328</v>
      </c>
      <c r="I16" s="0" t="n">
        <f aca="false">-I12</f>
        <v>2.4848113995936</v>
      </c>
      <c r="J16" s="0" t="n">
        <f aca="false">-J12</f>
        <v>2.85753310953264</v>
      </c>
      <c r="K16" s="0" t="n">
        <f aca="false">-K12</f>
        <v>3.1432864204859</v>
      </c>
      <c r="L16" s="0" t="n">
        <f aca="false">-L12</f>
        <v>3.33188360571506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-1.974504</v>
      </c>
      <c r="D17" s="4" t="n">
        <f aca="false">-D6*Assumptions!D46/100</f>
        <v>-2.11271928</v>
      </c>
      <c r="E17" s="4" t="n">
        <f aca="false">-E6*Assumptions!E46/100</f>
        <v>-2.2817368224</v>
      </c>
      <c r="F17" s="4" t="n">
        <f aca="false">-F6*Assumptions!F46/100</f>
        <v>-2.50991050464</v>
      </c>
      <c r="G17" s="4" t="n">
        <f aca="false">-G6*Assumptions!G46/100</f>
        <v>-3.011892605568</v>
      </c>
      <c r="H17" s="4" t="n">
        <f aca="false">-H6*Assumptions!H46/100</f>
        <v>-3.76486575696</v>
      </c>
      <c r="I17" s="4" t="n">
        <f aca="false">-I6*Assumptions!I46/100</f>
        <v>-4.517838908352</v>
      </c>
      <c r="J17" s="4" t="n">
        <f aca="false">-J6*Assumptions!J46/100</f>
        <v>-5.1955147446048</v>
      </c>
      <c r="K17" s="4" t="n">
        <f aca="false">-K6*Assumptions!K46/100</f>
        <v>-5.71506621906528</v>
      </c>
      <c r="L17" s="4" t="n">
        <f aca="false">-L6*Assumptions!L46/100</f>
        <v>-6.0579701922092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-0.70518</v>
      </c>
      <c r="D18" s="4" t="n">
        <f aca="false">(D6-C6)*Assumptions!$B$51/100</f>
        <v>-1.0366146</v>
      </c>
      <c r="E18" s="4" t="n">
        <f aca="false">(E6-D6)*Assumptions!$B$51/100</f>
        <v>-1.267631568</v>
      </c>
      <c r="F18" s="4" t="n">
        <f aca="false">(F6-E6)*Assumptions!$B$51/100</f>
        <v>-1.7113026168</v>
      </c>
      <c r="G18" s="4" t="n">
        <f aca="false">(G6-F6)*Assumptions!$B$51/100</f>
        <v>-3.76486575696</v>
      </c>
      <c r="H18" s="4" t="n">
        <f aca="false">(H6-G6)*Assumptions!$B$51/100</f>
        <v>-5.64729863544</v>
      </c>
      <c r="I18" s="4" t="n">
        <f aca="false">(I6-H6)*Assumptions!$B$51/100</f>
        <v>-5.64729863544</v>
      </c>
      <c r="J18" s="4" t="n">
        <f aca="false">(J6-I6)*Assumptions!$B$51/100</f>
        <v>-5.082568771896</v>
      </c>
      <c r="K18" s="4" t="n">
        <f aca="false">(K6-J6)*Assumptions!$B$51/100</f>
        <v>-3.8966360584536</v>
      </c>
      <c r="L18" s="4" t="n">
        <f aca="false">(L6-K6)*Assumptions!$B$51/100</f>
        <v>-2.57177979857938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26.32577976</v>
      </c>
      <c r="D19" s="0" t="n">
        <f aca="false">D15+D16+D17+D18</f>
        <v>27.8865123432</v>
      </c>
      <c r="E19" s="0" t="n">
        <f aca="false">E15+E16+E17+E18</f>
        <v>30.04920631944</v>
      </c>
      <c r="F19" s="0" t="n">
        <f aca="false">F15+F16+F17+F18</f>
        <v>33.615687736008</v>
      </c>
      <c r="G19" s="0" t="n">
        <f aca="false">G15+G16+G17+G18</f>
        <v>40.8412637315021</v>
      </c>
      <c r="H19" s="0" t="n">
        <f aca="false">H15+H16+H17+H18</f>
        <v>52.7457692550096</v>
      </c>
      <c r="I19" s="0" t="n">
        <f aca="false">I15+I16+I17+I18</f>
        <v>66.163750812815</v>
      </c>
      <c r="J19" s="0" t="n">
        <f aca="false">J15+J16+J17+J18</f>
        <v>77.5001380935973</v>
      </c>
      <c r="K19" s="0" t="n">
        <f aca="false">K15+K16+K17+K18</f>
        <v>87.1443688112563</v>
      </c>
      <c r="L19" s="0" t="n">
        <f aca="false">L15+L16+L17+L18</f>
        <v>94.1437143200404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23.8242350769231</v>
      </c>
      <c r="D21" s="0" t="n">
        <f aca="false">D19*D20</f>
        <v>22.8386088271739</v>
      </c>
      <c r="E21" s="0" t="n">
        <f aca="false">E19*E20</f>
        <v>22.27133094965</v>
      </c>
      <c r="F21" s="0" t="n">
        <f aca="false">F19*F20</f>
        <v>22.5472140989517</v>
      </c>
      <c r="G21" s="0" t="n">
        <f aca="false">G19*G20</f>
        <v>24.7906424510072</v>
      </c>
      <c r="H21" s="0" t="n">
        <f aca="false">H19*H20</f>
        <v>28.9743673783194</v>
      </c>
      <c r="I21" s="0" t="n">
        <f aca="false">I19*I20</f>
        <v>32.8915372217379</v>
      </c>
      <c r="J21" s="0" t="n">
        <f aca="false">J19*J20</f>
        <v>34.8661707089503</v>
      </c>
      <c r="K21" s="0" t="n">
        <f aca="false">K19*K20</f>
        <v>35.479609112152</v>
      </c>
      <c r="L21" s="0" t="n">
        <f aca="false">L19*L20</f>
        <v>34.6871444296479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283.170860254513</v>
      </c>
    </row>
    <row r="31" customFormat="false" ht="15" hidden="false" customHeight="false" outlineLevel="0" collapsed="false">
      <c r="A31" s="0" t="s">
        <v>129</v>
      </c>
      <c r="B31" s="0" t="n">
        <f aca="false">L19</f>
        <v>94.1437143200404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1292.90700999522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1694.58685776073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1292.90700999522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476.370116833831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759.540977088344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1002.94397708834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19.7636111905796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1.39558923522177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22.6436321382424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30.6535172218529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20.8138634096289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808.066881247014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13.1527096386806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7.95622387824544</v>
      </c>
      <c r="C4" s="0" t="n">
        <f aca="false">B4/Assumptions!$B$2-1</f>
        <v>-0.0356092268793403</v>
      </c>
      <c r="D4" s="4" t="n">
        <f aca="false">Assumptions!$B$24</f>
        <v>0.3</v>
      </c>
      <c r="E4" s="4" t="n">
        <f aca="false">DCF_Bear!$B$43</f>
        <v>8.34241481503966</v>
      </c>
      <c r="F4" s="4" t="n">
        <f aca="false">DCF_Bear!$B$47</f>
        <v>7.08383921977277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12.7108018749929</v>
      </c>
      <c r="C5" s="0" t="n">
        <f aca="false">B5/Assumptions!$B$2-1</f>
        <v>0.540703257574901</v>
      </c>
      <c r="D5" s="4" t="n">
        <f aca="false">Assumptions!$B$38</f>
        <v>0.45</v>
      </c>
      <c r="E5" s="4" t="n">
        <f aca="false">DCF_Base!$B$43</f>
        <v>13.3386027680324</v>
      </c>
      <c r="F5" s="4" t="n">
        <f aca="false">DCF_Base!$B$47</f>
        <v>9.64053755905861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19.7636111905796</v>
      </c>
      <c r="C6" s="0" t="n">
        <f aca="false">B6/Assumptions!$B$2-1</f>
        <v>1.39558923522177</v>
      </c>
      <c r="D6" s="4" t="n">
        <f aca="false">Assumptions!$B$52</f>
        <v>0.25</v>
      </c>
      <c r="E6" s="4" t="n">
        <f aca="false">DCF_Bull!$B$43</f>
        <v>20.8138634096289</v>
      </c>
      <c r="F6" s="4" t="n">
        <f aca="false">DCF_Bull!$B$47</f>
        <v>13.1527096386806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13.0476308048654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13.7085615425337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0.367701299693149</v>
      </c>
    </row>
    <row r="11" customFormat="false" ht="15" hidden="false" customHeight="false" outlineLevel="0" collapsed="false">
      <c r="A11" s="0" t="s">
        <v>156</v>
      </c>
      <c r="B11" s="0" t="n">
        <f aca="false">IF(ABS(B9-B8)&gt;0.01*ABS(B8),(Assumptions!$B$2-B8)/(B9-B8)*100,"n/a")</f>
        <v>-725.890101857053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9.75157107717836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14.4210849246143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13.2862554154212</v>
      </c>
      <c r="C16" s="3" t="n">
        <v>10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12.7108018749929</v>
      </c>
      <c r="C17" s="3" t="n">
        <v>10.5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12.2043873185231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11.3548954038538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9.64053755905861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14.5903142742031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14.7857760775024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14.7857760775024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14.7857760775024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14.7857760775024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13.248217580079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13.5736650952935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13.9456051126814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14.072981830965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14.072981830965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12.2110018424456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12.446201857762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12.7108018749929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13.0106818945213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13.3534019168394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11.3867584061166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11.5614057042396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11.7554582577097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11.9723405233526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12.216333072201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10.717034095939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10.8495916850547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10.995405033082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11.1565671545859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11.3356361784791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2026-09-22T09:35:48Z</dcterms:created>
  <dc:creator>openpyxl</dc:creator>
  <dc:description/>
  <dc:language>en-NZ</dc:language>
  <cp:lastModifiedBy/>
  <dcterms:modified xsi:type="dcterms:W3CDTF">2026-09-22T09:35:48Z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