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<sst xmlns="http://schemas.openxmlformats.org/spreadsheetml/2006/main" count="387" uniqueCount="174">
  <si>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</si>
  <si>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AOS</t>
  </si>
  <si>
    <t xml:space="preserve">Company</t>
  </si>
  <si>
    <t xml:space="preserve">A. O. Smith Corporation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</si>
  <si>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</si>
  <si>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</si>
  <si>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</si>
  <si>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</si>
  <si>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</si>
  <si>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</si>
  <si>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</si>
  <si>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</si>
  <si>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</si>
  <si>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</si>
  <si>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</si>
  <si>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</si>
  <si>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</si>
  <si>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</si>
  <si>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</si>
  <si>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</si>
  <si>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</si>
  <si>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2026-09-25T10:04:53Z</t>
  </si>
  <si>
    <t xml:space="preserve">Drivers file</t>
  </si>
  <si>
    <t xml:space="preserve">AOS_Drivers.json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</si>
  <si>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</si>
  <si>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</si>
  <si>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</si>
  <si>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A. O. Smith is a durable, replacement-demand-dominated North American water heater/boiler/water-treatment manufacturer trading near 52-week lows after two guidance cuts in FY2026, a debt-funded acquisition that tripled leverage, and an unresolved China strategic review. The owner-FCF DCF values the North America core on its historical ~20-21% EBITDA margin and modest mid-single-digit growth, treats the current steel/tariff margin compression as temporary (recovering as pricing catches up per management's own timeline), and treats China as a persistent but bounded drag rather than either a value driver or a write-off. The critical correction in this build is capex: it is NOT present in the parsed XBRL/CSV data (CapEx and FreeCashFlow columns are null for every period), and the automated dcf-context tool's FCF column silently defaulted to raw operating cash flow as a result -- using that figure directly would have overstated owner FCF by the full ~$57-108M/yr capex amount. CapEx was recovered from the non-standard SEC XBRL tag AOS actually uses (PaymentsToAcquireProductiveAssets) and applied consistently across the historical series and the projection.
key_risks_to_valuation: Capex was reconstructed from a non-standard XBRL tag rather than read from the parsed CSV/DuckDB -- if AOS later restates or the tag mapping is wrong, the whole FCF base shifts; China strategic review outcome is unresolved and could swing meaningfully positive (accretive divestiture) or negative (disorderly wind-down / continued bleed) versus the base case's assumed stabilization; Post-Leonard-Valve leverage (total debt ~3.2x the FY2025 level) reduces balance-sheet flexibility if end markets stay soft longer than the base case assumes; Steel/tariff cost inflation could persist beyond the assumed FY2026-27 pricing catch-up window, especially if Section 301 tariff policy escalates further; FY2026 guidance has already been cut twice in one year, and management flagged Q3 2026 earnings will be below both Q2 and Q4 -- near-term earnings momentum has visibly stalled</t>
  </si>
  <si>
    <t xml:space="preserve">Data sources</t>
  </si>
  <si>
    <t xml:space="preserve">price: Yahoo Finance chart API at inputs.price_as_of; 52-week range 54.16-81.87
financials: research/AOS/Reports/AOS_Metrics.csv (core_metrics-derived) for revenue/EBITDA/NI/OCF/SBC/debt/cash/shares history; SEC XBRL companyconcept API (CIK0000091142) for capex (PaymentsToAcquireProductiveAssets, not present in the parsed CSV), interest expense, and Q2 2026 weighted-average diluted shares, used to fill the gap the CSV/DuckDB left null
qualitative: research/AOS/Reports/AOS_Analysis.json (2026-09-25) -- China decline, Leonard Valve acquisition, steel/tariff cost pressure, guidance history, CFO transition, strategic review timeline</t>
  </si>
  <si>
    <t xml:space="preserve">Scenario narrative: bear</t>
  </si>
  <si>
    <t xml:space="preserve">China decline is structural and unresolved; NA residential demand stays soft; steel/tariff inflation outruns pricing for longer; post-acquisition leverage limits flexibility; margin compresses well below the historical norm.</t>
  </si>
  <si>
    <t xml:space="preserve">Scenario narrative: base</t>
  </si>
  <si>
    <t xml:space="preserve">FY2026 guidance taken at face value; steel/tariff margin compression recovers via pricing by 2027; China shrinks but stabilizes; Leonard Valve integrates cleanly; growth settles near AOS's long-run replacement-cycle-driven 3% pace.</t>
  </si>
  <si>
    <t xml:space="preserve">Scenario narrative: bull</t>
  </si>
  <si>
    <t xml:space="preserve">China review resolves favorably; DOE heat-pump mandate pulls forward higher-ASP replacement demand; pricing outpaces input cost inflation; further accretive bolt-on M&amp;A; margin expands past its historical ceiling.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</si>
  <si>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</si>
  <si>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</si>
  <si>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</si>
  <si>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</si>
  <si>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</si>
  <si>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</si>
  <si>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</si>
  <si>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</si>
  <si>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</si>
  <si>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</si>
  <si>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</si>
  <si>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</si>
  <si>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</si>
  <si>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</si>
  <si>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</si>
  <si>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</si>
  <si>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</si>
  <si>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</si>
  <si>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</si>
  <si>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</si>
  <si>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</si>
  <si>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</si>
  <si>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</si>
  <si>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</si>
  <si>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</si>
  <si>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</si>
  <si>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</si>
  <si>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</si>
  <si>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</si>
  <si>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</si>
  <si>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</si>
  <si>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</si>
  <si>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</si>
  <si>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</si>
  <si>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</si>
  <si>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</si>
  <si>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</si>
  <si>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</si>
  <si>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</si>
  <si>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</si>
  <si>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</si>
  <si>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</si>
  <si>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</si>
  <si>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</si>
  <si>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</si>
  <si>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</si>
  <si>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</si>
  <si>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</si>
  <si>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</si>
  <si>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</si>
  <si>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</si>
  <si>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</si>
  <si>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</si>
  <si>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</si>
  <si>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</si>
  <si>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</si>
  <si>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</si>
  <si>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</si>
  <si>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</si>
  <si>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</si>
  <si>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</si>
  <si>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</si>
  <si>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</si>
  <si>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</si>
  <si>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</si>
  <si>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</si>
  <si>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</si>
  <si>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</si>
  <si>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</si>
  <si>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</si>
  <si>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</si>
  <si>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</si>
  <si>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</si>
  <si>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</si>
  <si>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</si>
  <si>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</si>
  <si>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</si>
  <si>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</si>
  <si>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</si>
  <si>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</si>
  <si>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</si>
  <si>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</si>
  <si>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</si>
  <si>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AOS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</si>
  <si>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</si>
  <si>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</si>
  <si>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</si>
  <si>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</si>
  <si>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</si>
  <si>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</si>
  <si>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</si>
  <si>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</si>
  <si>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</si>
  <si>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</si>
  <si>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</si>
  <si>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</si>
  <si>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</si>
  <si>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</si>
  <si>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</si>
  <si>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</si>
  <si>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</si>
  <si>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</si>
  <si>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</si>
  <si>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</si>
  <si>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</si>
  <si>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</si>
  <si>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</si>
  <si>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</si>
  <si>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</si>
  <si>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</si>
  <si>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</si>
  <si>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</si>
  <si>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</si>
  <si>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</si>
  <si>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AOS owner-FCF component DCF: base case (millions, USD)</t>
  </si>
  <si>
    <t xml:space="preserve">AOS owner-FCF component DCF: bull case (millions, USD)</t>
  </si>
  <si>
    <t xml:space="preserve">AOS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</si>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</sst>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57.7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55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374.1</v>
      </c>
      <c r="I3" s="0" t="n">
        <v>21.7</v>
      </c>
      <c r="K3" s="0" t="n">
        <v>1.53</v>
      </c>
      <c r="L3" s="0" t="n">
        <v>101</v>
      </c>
      <c r="O3" s="0" t="n">
        <v>663.2</v>
      </c>
      <c r="S3" s="0" t="n">
        <v>35.3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394.9</v>
      </c>
      <c r="I4" s="0" t="n">
        <v>81.3</v>
      </c>
      <c r="K4" s="0" t="n">
        <v>2.36</v>
      </c>
      <c r="L4" s="0" t="n">
        <v>262.9</v>
      </c>
      <c r="O4" s="0" t="n">
        <v>789.8</v>
      </c>
      <c r="P4" s="0" t="n">
        <v>1973</v>
      </c>
      <c r="Q4" s="0" t="n">
        <v>1184.7</v>
      </c>
      <c r="R4" s="0" t="n">
        <v>253.2</v>
      </c>
      <c r="S4" s="0" t="n">
        <v>76.3</v>
      </c>
      <c r="T4" s="0" t="n">
        <v>34.476856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446</v>
      </c>
      <c r="F5" s="0" t="n">
        <v>132.9</v>
      </c>
      <c r="H5" s="0" t="n">
        <v>173.7</v>
      </c>
      <c r="I5" s="0" t="n">
        <v>111.7</v>
      </c>
      <c r="K5" s="0" t="n">
        <v>2.42</v>
      </c>
      <c r="L5" s="0" t="n">
        <v>124.8</v>
      </c>
      <c r="O5" s="0" t="n">
        <v>881.4</v>
      </c>
      <c r="P5" s="0" t="n">
        <v>2110.6</v>
      </c>
      <c r="Q5" s="0" t="n">
        <v>1229.2</v>
      </c>
      <c r="R5" s="0" t="n">
        <v>279.6</v>
      </c>
      <c r="S5" s="0" t="n">
        <v>118.9</v>
      </c>
      <c r="T5" s="0" t="n">
        <v>46.162715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512.6</v>
      </c>
      <c r="F6" s="0" t="n">
        <v>196.5</v>
      </c>
      <c r="H6" s="0" t="n">
        <v>243.5</v>
      </c>
      <c r="I6" s="0" t="n">
        <v>305.7</v>
      </c>
      <c r="K6" s="0" t="n">
        <v>3.28</v>
      </c>
      <c r="L6" s="0" t="n">
        <v>58.7</v>
      </c>
      <c r="O6" s="0" t="n">
        <v>1085.8</v>
      </c>
      <c r="P6" s="0" t="n">
        <v>2349</v>
      </c>
      <c r="Q6" s="0" t="n">
        <v>1263.2</v>
      </c>
      <c r="R6" s="0" t="n">
        <v>480.2</v>
      </c>
      <c r="S6" s="0" t="n">
        <v>463.4</v>
      </c>
      <c r="T6" s="0" t="n">
        <v>93.149236</v>
      </c>
      <c r="U6" s="0" t="n">
        <v>5.7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652</v>
      </c>
      <c r="F7" s="0" t="n">
        <v>259.4</v>
      </c>
      <c r="H7" s="0" t="n">
        <v>314</v>
      </c>
      <c r="I7" s="0" t="n">
        <v>158.7</v>
      </c>
      <c r="K7" s="0" t="n">
        <v>1.71</v>
      </c>
      <c r="L7" s="0" t="n">
        <v>143.8</v>
      </c>
      <c r="O7" s="0" t="n">
        <v>1194.1</v>
      </c>
      <c r="P7" s="0" t="n">
        <v>2278.8</v>
      </c>
      <c r="Q7" s="0" t="n">
        <v>1084.7</v>
      </c>
      <c r="R7" s="0" t="n">
        <v>262.3</v>
      </c>
      <c r="S7" s="0" t="n">
        <v>266.9</v>
      </c>
      <c r="T7" s="0" t="n">
        <v>93.108122</v>
      </c>
      <c r="U7" s="0" t="n">
        <v>6.8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773.8</v>
      </c>
      <c r="F8" s="0" t="n">
        <v>299.9</v>
      </c>
      <c r="H8" s="0" t="n">
        <v>359.6</v>
      </c>
      <c r="I8" s="0" t="n">
        <v>169.7</v>
      </c>
      <c r="K8" s="0" t="n">
        <v>1.83</v>
      </c>
      <c r="L8" s="0" t="n">
        <v>279.6</v>
      </c>
      <c r="O8" s="0" t="n">
        <v>1328.7</v>
      </c>
      <c r="P8" s="0" t="n">
        <v>2391.5</v>
      </c>
      <c r="Q8" s="0" t="n">
        <v>1062.8</v>
      </c>
      <c r="R8" s="0" t="n">
        <v>206.1</v>
      </c>
      <c r="S8" s="0" t="n">
        <v>380.7</v>
      </c>
      <c r="T8" s="0" t="n">
        <v>92.78767</v>
      </c>
      <c r="U8" s="0" t="n">
        <v>10.5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859.3</v>
      </c>
      <c r="F9" s="0" t="n">
        <v>345.3</v>
      </c>
      <c r="H9" s="0" t="n">
        <v>405.1</v>
      </c>
      <c r="I9" s="0" t="n">
        <v>207.8</v>
      </c>
      <c r="K9" s="0" t="n">
        <v>1.14</v>
      </c>
      <c r="L9" s="0" t="n">
        <v>264</v>
      </c>
      <c r="O9" s="0" t="n">
        <v>1381.3</v>
      </c>
      <c r="P9" s="0" t="n">
        <v>2498.1</v>
      </c>
      <c r="Q9" s="0" t="n">
        <v>1134</v>
      </c>
      <c r="R9" s="0" t="n">
        <v>237.5</v>
      </c>
      <c r="S9" s="0" t="n">
        <v>319.4</v>
      </c>
      <c r="T9" s="0" t="n">
        <v>181.973962</v>
      </c>
      <c r="U9" s="0" t="n">
        <v>10.8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1009.8</v>
      </c>
      <c r="F10" s="0" t="n">
        <v>452.9</v>
      </c>
      <c r="H10" s="0" t="n">
        <v>515.9</v>
      </c>
      <c r="I10" s="0" t="n">
        <v>282.9</v>
      </c>
      <c r="K10" s="0" t="n">
        <v>1.58</v>
      </c>
      <c r="L10" s="0" t="n">
        <v>351.7</v>
      </c>
      <c r="O10" s="0" t="n">
        <v>1442.3</v>
      </c>
      <c r="P10" s="0" t="n">
        <v>2629.2</v>
      </c>
      <c r="Q10" s="0" t="n">
        <v>1186.9</v>
      </c>
      <c r="R10" s="0" t="n">
        <v>261.9</v>
      </c>
      <c r="S10" s="0" t="n">
        <v>323.6</v>
      </c>
      <c r="T10" s="0" t="n">
        <v>179.00918</v>
      </c>
      <c r="U10" s="0" t="n">
        <v>8.8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2685.9</v>
      </c>
      <c r="C11" s="0" t="n">
        <v>1571.7</v>
      </c>
      <c r="D11" s="0" t="n">
        <v>1114.2</v>
      </c>
      <c r="E11" s="0" t="n">
        <v>41.4833016865855</v>
      </c>
      <c r="F11" s="0" t="n">
        <v>515</v>
      </c>
      <c r="G11" s="0" t="n">
        <v>19.1742060389441</v>
      </c>
      <c r="H11" s="0" t="n">
        <v>580.1</v>
      </c>
      <c r="I11" s="0" t="n">
        <v>326.5</v>
      </c>
      <c r="J11" s="0" t="n">
        <v>12.1560743140102</v>
      </c>
      <c r="K11" s="0" t="n">
        <v>1.85</v>
      </c>
      <c r="L11" s="0" t="n">
        <v>446.6</v>
      </c>
      <c r="O11" s="0" t="n">
        <v>1511.4</v>
      </c>
      <c r="P11" s="0" t="n">
        <v>2891</v>
      </c>
      <c r="Q11" s="0" t="n">
        <v>1375.7</v>
      </c>
      <c r="R11" s="0" t="n">
        <v>330.8</v>
      </c>
      <c r="S11" s="0" t="n">
        <v>330.4</v>
      </c>
      <c r="T11" s="0" t="n">
        <v>176.82528</v>
      </c>
      <c r="U11" s="0" t="n">
        <v>9.4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2996.7</v>
      </c>
      <c r="C12" s="0" t="n">
        <v>1764.3</v>
      </c>
      <c r="D12" s="0" t="n">
        <v>1232.4</v>
      </c>
      <c r="E12" s="0" t="n">
        <v>41.1252377615377</v>
      </c>
      <c r="F12" s="0" t="n">
        <v>577.9</v>
      </c>
      <c r="G12" s="0" t="n">
        <v>19.2845463343011</v>
      </c>
      <c r="H12" s="0" t="n">
        <v>648</v>
      </c>
      <c r="I12" s="0" t="n">
        <v>296.5</v>
      </c>
      <c r="J12" s="0" t="n">
        <v>9.89421697200254</v>
      </c>
      <c r="K12" s="0" t="n">
        <v>1.7</v>
      </c>
      <c r="L12" s="0" t="n">
        <v>326.4</v>
      </c>
      <c r="O12" s="0" t="n">
        <v>1644.9</v>
      </c>
      <c r="P12" s="0" t="n">
        <v>3197.4</v>
      </c>
      <c r="Q12" s="0" t="n">
        <v>1552.5</v>
      </c>
      <c r="R12" s="0" t="n">
        <v>417.9</v>
      </c>
      <c r="S12" s="0" t="n">
        <v>346.6</v>
      </c>
      <c r="T12" s="0" t="n">
        <v>174.605189</v>
      </c>
      <c r="U12" s="0" t="n">
        <v>9.9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3187.9</v>
      </c>
      <c r="C13" s="0" t="n">
        <v>1882.4</v>
      </c>
      <c r="D13" s="0" t="n">
        <v>1305.5</v>
      </c>
      <c r="E13" s="0" t="n">
        <v>40.9517237052605</v>
      </c>
      <c r="F13" s="0" t="n">
        <v>613.4</v>
      </c>
      <c r="G13" s="0" t="n">
        <v>19.2415069481477</v>
      </c>
      <c r="H13" s="0" t="n">
        <v>685.3</v>
      </c>
      <c r="I13" s="0" t="n">
        <v>444.2</v>
      </c>
      <c r="J13" s="0" t="n">
        <v>13.9339377019354</v>
      </c>
      <c r="K13" s="0" t="n">
        <v>2.58</v>
      </c>
      <c r="L13" s="0" t="n">
        <v>448.9</v>
      </c>
      <c r="O13" s="0" t="n">
        <v>1717</v>
      </c>
      <c r="P13" s="0" t="n">
        <v>3071.5</v>
      </c>
      <c r="Q13" s="0" t="n">
        <v>1354.5</v>
      </c>
      <c r="R13" s="0" t="n">
        <v>221.4</v>
      </c>
      <c r="S13" s="0" t="n">
        <v>259.7</v>
      </c>
      <c r="T13" s="0" t="n">
        <v>172.19404</v>
      </c>
      <c r="U13" s="0" t="n">
        <v>10.1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2992.7</v>
      </c>
      <c r="C14" s="0" t="n">
        <v>1812</v>
      </c>
      <c r="D14" s="0" t="n">
        <v>1180.7</v>
      </c>
      <c r="E14" s="0" t="n">
        <v>39.4526681591874</v>
      </c>
      <c r="F14" s="0" t="n">
        <v>529.1</v>
      </c>
      <c r="G14" s="0" t="n">
        <v>17.6796872389481</v>
      </c>
      <c r="H14" s="0" t="n">
        <v>607.4</v>
      </c>
      <c r="I14" s="0" t="n">
        <v>370</v>
      </c>
      <c r="J14" s="0" t="n">
        <v>12.3634176496141</v>
      </c>
      <c r="K14" s="0" t="n">
        <v>2.22</v>
      </c>
      <c r="L14" s="0" t="n">
        <v>456.2</v>
      </c>
      <c r="O14" s="0" t="n">
        <v>1666.8</v>
      </c>
      <c r="P14" s="0" t="n">
        <v>3058</v>
      </c>
      <c r="Q14" s="0" t="n">
        <v>1391.2</v>
      </c>
      <c r="R14" s="0" t="n">
        <v>290.8</v>
      </c>
      <c r="S14" s="0" t="n">
        <v>374</v>
      </c>
      <c r="T14" s="0" t="n">
        <v>166.710897</v>
      </c>
      <c r="U14" s="0" t="n">
        <v>13.3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2895.3</v>
      </c>
      <c r="C15" s="0" t="n">
        <v>1787.1</v>
      </c>
      <c r="D15" s="0" t="n">
        <v>1108.2</v>
      </c>
      <c r="E15" s="0" t="n">
        <v>38.2758263392395</v>
      </c>
      <c r="F15" s="0" t="n">
        <v>503.2</v>
      </c>
      <c r="G15" s="0" t="n">
        <v>17.3798915483715</v>
      </c>
      <c r="H15" s="0" t="n">
        <v>583.2</v>
      </c>
      <c r="I15" s="0" t="n">
        <v>344.9</v>
      </c>
      <c r="J15" s="0" t="n">
        <v>11.9124097675543</v>
      </c>
      <c r="K15" s="0" t="n">
        <v>2.12</v>
      </c>
      <c r="L15" s="0" t="n">
        <v>562.1</v>
      </c>
      <c r="O15" s="0" t="n">
        <v>1848.3</v>
      </c>
      <c r="P15" s="0" t="n">
        <v>3160.7</v>
      </c>
      <c r="Q15" s="0" t="n">
        <v>1312.4</v>
      </c>
      <c r="R15" s="0" t="n">
        <v>120</v>
      </c>
      <c r="S15" s="0" t="n">
        <v>573.1</v>
      </c>
      <c r="T15" s="0" t="n">
        <v>162.604149</v>
      </c>
      <c r="U15" s="0" t="n">
        <v>12.7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3538.9</v>
      </c>
      <c r="C16" s="0" t="n">
        <v>2228</v>
      </c>
      <c r="D16" s="0" t="n">
        <v>1310.9</v>
      </c>
      <c r="E16" s="0" t="n">
        <v>37.0425838537399</v>
      </c>
      <c r="F16" s="0" t="n">
        <v>682</v>
      </c>
      <c r="G16" s="0" t="n">
        <v>19.2715250501568</v>
      </c>
      <c r="H16" s="0" t="n">
        <v>759.9</v>
      </c>
      <c r="I16" s="0" t="n">
        <v>487.1</v>
      </c>
      <c r="J16" s="0" t="n">
        <v>13.7641640057645</v>
      </c>
      <c r="K16" s="0" t="n">
        <v>3.02</v>
      </c>
      <c r="L16" s="0" t="n">
        <v>641.1</v>
      </c>
      <c r="O16" s="0" t="n">
        <v>1832.2</v>
      </c>
      <c r="P16" s="0" t="n">
        <v>3474.4</v>
      </c>
      <c r="Q16" s="0" t="n">
        <v>1642.2</v>
      </c>
      <c r="R16" s="0" t="n">
        <v>203.5</v>
      </c>
      <c r="S16" s="0" t="n">
        <v>443.3</v>
      </c>
      <c r="T16" s="0" t="n">
        <v>161.319902</v>
      </c>
      <c r="U16" s="0" t="n">
        <v>11.9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3753.9</v>
      </c>
      <c r="C17" s="0" t="n">
        <v>2424.3</v>
      </c>
      <c r="D17" s="0" t="n">
        <v>1329.6</v>
      </c>
      <c r="E17" s="0" t="n">
        <v>35.4191640693679</v>
      </c>
      <c r="F17" s="0" t="n">
        <v>362</v>
      </c>
      <c r="G17" s="0" t="n">
        <v>9.64330429686459</v>
      </c>
      <c r="H17" s="0" t="n">
        <v>438.9</v>
      </c>
      <c r="I17" s="0" t="n">
        <v>235.7</v>
      </c>
      <c r="J17" s="0" t="n">
        <v>6.2788033778204</v>
      </c>
      <c r="K17" s="0" t="n">
        <v>1.51</v>
      </c>
      <c r="L17" s="0" t="n">
        <v>391.4</v>
      </c>
      <c r="O17" s="0" t="n">
        <v>1747.7</v>
      </c>
      <c r="P17" s="0" t="n">
        <v>3332.3</v>
      </c>
      <c r="Q17" s="0" t="n">
        <v>1584.6</v>
      </c>
      <c r="R17" s="0" t="n">
        <v>354.5</v>
      </c>
      <c r="S17" s="0" t="n">
        <v>391.2</v>
      </c>
      <c r="T17" s="0" t="n">
        <v>155.779364</v>
      </c>
      <c r="U17" s="0" t="n">
        <v>11.1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3852.8</v>
      </c>
      <c r="C18" s="0" t="n">
        <v>2368</v>
      </c>
      <c r="D18" s="0" t="n">
        <v>1484.8</v>
      </c>
      <c r="E18" s="0" t="n">
        <v>38.5382059800664</v>
      </c>
      <c r="F18" s="0" t="n">
        <v>745.5</v>
      </c>
      <c r="G18" s="0" t="n">
        <v>19.3495639534884</v>
      </c>
      <c r="H18" s="0" t="n">
        <v>823.8</v>
      </c>
      <c r="I18" s="0" t="n">
        <v>556.6</v>
      </c>
      <c r="J18" s="0" t="n">
        <v>14.4466362126246</v>
      </c>
      <c r="K18" s="0" t="n">
        <v>3.69</v>
      </c>
      <c r="L18" s="0" t="n">
        <v>670.3</v>
      </c>
      <c r="O18" s="0" t="n">
        <v>1844.4</v>
      </c>
      <c r="P18" s="0" t="n">
        <v>3213.9</v>
      </c>
      <c r="Q18" s="0" t="n">
        <v>1369.5</v>
      </c>
      <c r="R18" s="0" t="n">
        <v>137.3</v>
      </c>
      <c r="S18" s="0" t="n">
        <v>339.9</v>
      </c>
      <c r="T18" s="0" t="n">
        <v>151.015574</v>
      </c>
      <c r="U18" s="0" t="n">
        <v>11.5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3818.1</v>
      </c>
      <c r="C19" s="0" t="n">
        <v>2362</v>
      </c>
      <c r="D19" s="0" t="n">
        <v>1456.1</v>
      </c>
      <c r="E19" s="0" t="n">
        <v>38.1367695974438</v>
      </c>
      <c r="F19" s="0" t="n">
        <v>707.7</v>
      </c>
      <c r="G19" s="0" t="n">
        <v>18.5353971870826</v>
      </c>
      <c r="H19" s="0" t="n">
        <v>786.5</v>
      </c>
      <c r="I19" s="0" t="n">
        <v>533.6</v>
      </c>
      <c r="J19" s="0" t="n">
        <v>13.9755375710432</v>
      </c>
      <c r="K19" s="0" t="n">
        <v>3.63</v>
      </c>
      <c r="L19" s="0" t="n">
        <v>581.8</v>
      </c>
      <c r="O19" s="0" t="n">
        <v>1883.5</v>
      </c>
      <c r="P19" s="0" t="n">
        <v>3240</v>
      </c>
      <c r="Q19" s="0" t="n">
        <v>1356.5</v>
      </c>
      <c r="R19" s="0" t="n">
        <v>203.2</v>
      </c>
      <c r="S19" s="0" t="n">
        <v>239.6</v>
      </c>
      <c r="T19" s="0" t="n">
        <v>147.08408</v>
      </c>
      <c r="U19" s="0" t="n">
        <v>14.9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3830.2</v>
      </c>
      <c r="C20" s="0" t="n">
        <v>2342.8</v>
      </c>
      <c r="D20" s="0" t="n">
        <v>1487.4</v>
      </c>
      <c r="E20" s="0" t="n">
        <v>38.8334812803509</v>
      </c>
      <c r="F20" s="0" t="n">
        <v>728.6</v>
      </c>
      <c r="G20" s="0" t="n">
        <v>19.0225053522009</v>
      </c>
      <c r="H20" s="0" t="n">
        <v>813.7</v>
      </c>
      <c r="I20" s="0" t="n">
        <v>546.2</v>
      </c>
      <c r="J20" s="0" t="n">
        <v>14.2603519398465</v>
      </c>
      <c r="K20" s="0" t="n">
        <v>3.85</v>
      </c>
      <c r="L20" s="0" t="n">
        <v>616.8</v>
      </c>
      <c r="O20" s="0" t="n">
        <v>1858</v>
      </c>
      <c r="P20" s="0" t="n">
        <v>3142.8</v>
      </c>
      <c r="Q20" s="0" t="n">
        <v>1284.8</v>
      </c>
      <c r="R20" s="0" t="n">
        <v>197.3</v>
      </c>
      <c r="S20" s="0" t="n">
        <v>174.5</v>
      </c>
      <c r="T20" s="0" t="n">
        <v>141.91484</v>
      </c>
      <c r="U20" s="0" t="n">
        <v>13.8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57.7</v>
      </c>
    </row>
    <row r="3" customFormat="false" ht="15" hidden="false" customHeight="false" outlineLevel="0" collapsed="false">
      <c r="A3" s="0" t="s">
        <v>85</v>
      </c>
      <c r="B3" s="3" t="n">
        <v>137.86</v>
      </c>
    </row>
    <row r="4" customFormat="false" ht="15" hidden="false" customHeight="false" outlineLevel="0" collapsed="false">
      <c r="A4" s="0" t="s">
        <v>86</v>
      </c>
      <c r="B4" s="3" t="n">
        <v>456.2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3830.2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0.5</v>
      </c>
      <c r="D13" s="3" t="n">
        <v>0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17.5</v>
      </c>
      <c r="D14" s="3" t="n">
        <v>17</v>
      </c>
      <c r="E14" s="3" t="n">
        <v>17.5</v>
      </c>
      <c r="F14" s="3" t="n">
        <v>18</v>
      </c>
      <c r="G14" s="3" t="n">
        <v>18.5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107</v>
      </c>
      <c r="C15" s="3" t="n">
        <v>0.38</v>
      </c>
      <c r="D15" s="3" t="n">
        <v>0.38</v>
      </c>
      <c r="E15" s="3" t="n">
        <v>0.38</v>
      </c>
      <c r="F15" s="3" t="n">
        <v>0.37</v>
      </c>
      <c r="G15" s="3" t="n">
        <v>0.37</v>
      </c>
      <c r="H15" s="3" t="n">
        <v>0.36</v>
      </c>
      <c r="I15" s="3" t="n">
        <v>0.36</v>
      </c>
      <c r="J15" s="3" t="n">
        <v>0.36</v>
      </c>
      <c r="K15" s="3" t="n">
        <v>0.36</v>
      </c>
      <c r="L15" s="3" t="n">
        <v>0.36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110</v>
      </c>
      <c r="C18" s="3" t="n">
        <v>2.2</v>
      </c>
      <c r="D18" s="3" t="n">
        <v>2.2</v>
      </c>
      <c r="E18" s="3" t="n">
        <v>2.1</v>
      </c>
      <c r="F18" s="3" t="n">
        <v>2.1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111</v>
      </c>
      <c r="C19" s="3" t="n">
        <v>26</v>
      </c>
      <c r="D19" s="3" t="n">
        <v>26</v>
      </c>
      <c r="E19" s="3" t="n">
        <v>26.5</v>
      </c>
      <c r="F19" s="3" t="n">
        <v>26.5</v>
      </c>
      <c r="G19" s="3" t="n">
        <v>26.5</v>
      </c>
      <c r="H19" s="3" t="n">
        <v>26.5</v>
      </c>
      <c r="I19" s="3" t="n">
        <v>26.5</v>
      </c>
      <c r="J19" s="3" t="n">
        <v>26.5</v>
      </c>
      <c r="K19" s="3" t="n">
        <v>26.5</v>
      </c>
      <c r="L19" s="3" t="n">
        <v>26.5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13</v>
      </c>
    </row>
    <row r="23" customFormat="false" ht="15" hidden="false" customHeight="false" outlineLevel="0" collapsed="false">
      <c r="A23" s="0" t="s">
        <v>115</v>
      </c>
      <c r="B23" s="3" t="n">
        <v>-12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2.5</v>
      </c>
      <c r="D27" s="3" t="n">
        <v>3</v>
      </c>
      <c r="E27" s="3" t="n">
        <v>3.5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19.5</v>
      </c>
      <c r="D28" s="3" t="n">
        <v>20</v>
      </c>
      <c r="E28" s="3" t="n">
        <v>20.5</v>
      </c>
      <c r="F28" s="3" t="n">
        <v>21</v>
      </c>
      <c r="G28" s="3" t="n">
        <v>21.2</v>
      </c>
      <c r="H28" s="3" t="n">
        <v>21.3</v>
      </c>
      <c r="I28" s="3" t="n">
        <v>21.3</v>
      </c>
      <c r="J28" s="3" t="n">
        <v>21.3</v>
      </c>
      <c r="K28" s="3" t="n">
        <v>21.3</v>
      </c>
      <c r="L28" s="3" t="n">
        <v>21.3</v>
      </c>
    </row>
    <row r="29" customFormat="false" ht="15" hidden="false" customHeight="false" outlineLevel="0" collapsed="false">
      <c r="A29" s="0" t="s">
        <v>107</v>
      </c>
      <c r="C29" s="3" t="n">
        <v>0.36</v>
      </c>
      <c r="D29" s="3" t="n">
        <v>0.36</v>
      </c>
      <c r="E29" s="3" t="n">
        <v>0.35</v>
      </c>
      <c r="F29" s="3" t="n">
        <v>0.35</v>
      </c>
      <c r="G29" s="3" t="n">
        <v>0.35</v>
      </c>
      <c r="H29" s="3" t="n">
        <v>0.34</v>
      </c>
      <c r="I29" s="3" t="n">
        <v>0.34</v>
      </c>
      <c r="J29" s="3" t="n">
        <v>0.34</v>
      </c>
      <c r="K29" s="3" t="n">
        <v>0.34</v>
      </c>
      <c r="L29" s="3" t="n">
        <v>0.34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2.6</v>
      </c>
      <c r="D31" s="3" t="n">
        <v>2.6</v>
      </c>
      <c r="E31" s="3" t="n">
        <v>2.6</v>
      </c>
      <c r="F31" s="3" t="n">
        <v>2.6</v>
      </c>
      <c r="G31" s="3" t="n">
        <v>2.6</v>
      </c>
      <c r="H31" s="3" t="n">
        <v>2.6</v>
      </c>
      <c r="I31" s="3" t="n">
        <v>2.6</v>
      </c>
      <c r="J31" s="3" t="n">
        <v>2.6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110</v>
      </c>
      <c r="C32" s="3" t="n">
        <v>2.1</v>
      </c>
      <c r="D32" s="3" t="n">
        <v>2</v>
      </c>
      <c r="E32" s="3" t="n">
        <v>1.95</v>
      </c>
      <c r="F32" s="3" t="n">
        <v>1.9</v>
      </c>
      <c r="G32" s="3" t="n">
        <v>1.9</v>
      </c>
      <c r="H32" s="3" t="n">
        <v>1.9</v>
      </c>
      <c r="I32" s="3" t="n">
        <v>1.9</v>
      </c>
      <c r="J32" s="3" t="n">
        <v>1.9</v>
      </c>
      <c r="K32" s="3" t="n">
        <v>1.9</v>
      </c>
      <c r="L32" s="3" t="n">
        <v>1.9</v>
      </c>
    </row>
    <row r="33" customFormat="false" ht="15" hidden="false" customHeight="false" outlineLevel="0" collapsed="false">
      <c r="A33" s="0" t="s">
        <v>111</v>
      </c>
      <c r="C33" s="3" t="n">
        <v>25</v>
      </c>
      <c r="D33" s="3" t="n">
        <v>25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16</v>
      </c>
    </row>
    <row r="37" customFormat="false" ht="15" hidden="false" customHeight="false" outlineLevel="0" collapsed="false">
      <c r="A37" s="0" t="s">
        <v>115</v>
      </c>
      <c r="B37" s="3" t="n">
        <v>-8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4.5</v>
      </c>
      <c r="D41" s="3" t="n">
        <v>5.5</v>
      </c>
      <c r="E41" s="3" t="n">
        <v>6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20.5</v>
      </c>
      <c r="D42" s="3" t="n">
        <v>21.5</v>
      </c>
      <c r="E42" s="3" t="n">
        <v>22</v>
      </c>
      <c r="F42" s="3" t="n">
        <v>22.5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107</v>
      </c>
      <c r="C43" s="3" t="n">
        <v>0.36</v>
      </c>
      <c r="D43" s="3" t="n">
        <v>0.35</v>
      </c>
      <c r="E43" s="3" t="n">
        <v>0.34</v>
      </c>
      <c r="F43" s="3" t="n">
        <v>0.33</v>
      </c>
      <c r="G43" s="3" t="n">
        <v>0.32</v>
      </c>
      <c r="H43" s="3" t="n">
        <v>0.31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2.5</v>
      </c>
      <c r="D45" s="3" t="n">
        <v>2.5</v>
      </c>
      <c r="E45" s="3" t="n">
        <v>2.5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110</v>
      </c>
      <c r="C46" s="3" t="n">
        <v>2</v>
      </c>
      <c r="D46" s="3" t="n">
        <v>1.9</v>
      </c>
      <c r="E46" s="3" t="n">
        <v>1.85</v>
      </c>
      <c r="F46" s="3" t="n">
        <v>1.8</v>
      </c>
      <c r="G46" s="3" t="n">
        <v>1.8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111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18</v>
      </c>
    </row>
    <row r="51" customFormat="false" ht="15" hidden="false" customHeight="false" outlineLevel="0" collapsed="false">
      <c r="A51" s="0" t="s">
        <v>115</v>
      </c>
      <c r="B51" s="3" t="n">
        <v>-6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0.5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3830.2</v>
      </c>
      <c r="C6" s="0" t="n">
        <f aca="false">B6*(1+C5/100)</f>
        <v>3849.351</v>
      </c>
      <c r="D6" s="0" t="n">
        <f aca="false">C6*(1+D5/100)</f>
        <v>3849.351</v>
      </c>
      <c r="E6" s="0" t="n">
        <f aca="false">D6*(1+E5/100)</f>
        <v>3887.84451</v>
      </c>
      <c r="F6" s="0" t="n">
        <f aca="false">E6*(1+F5/100)</f>
        <v>3946.16217765</v>
      </c>
      <c r="G6" s="0" t="n">
        <f aca="false">F6*(1+G5/100)</f>
        <v>4005.35461031475</v>
      </c>
      <c r="H6" s="0" t="n">
        <f aca="false">G6*(1+H5/100)</f>
        <v>4065.43492946947</v>
      </c>
      <c r="I6" s="0" t="n">
        <f aca="false">H6*(1+I5/100)</f>
        <v>4146.74362805886</v>
      </c>
      <c r="J6" s="0" t="n">
        <f aca="false">I6*(1+J5/100)</f>
        <v>4229.67850062004</v>
      </c>
      <c r="K6" s="0" t="n">
        <f aca="false">J6*(1+K5/100)</f>
        <v>4314.27207063244</v>
      </c>
      <c r="L6" s="0" t="n">
        <f aca="false">K6*(1+L5/100)</f>
        <v>4400.55751204509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17.5</v>
      </c>
      <c r="D7" s="4" t="n">
        <f aca="false">Assumptions!D14</f>
        <v>17</v>
      </c>
      <c r="E7" s="4" t="n">
        <f aca="false">Assumptions!E14</f>
        <v>17.5</v>
      </c>
      <c r="F7" s="4" t="n">
        <f aca="false">Assumptions!F14</f>
        <v>18</v>
      </c>
      <c r="G7" s="4" t="n">
        <f aca="false">Assumptions!G14</f>
        <v>18.5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673.636425</v>
      </c>
      <c r="D8" s="0" t="n">
        <f aca="false">D6*D7/100</f>
        <v>654.38967</v>
      </c>
      <c r="E8" s="0" t="n">
        <f aca="false">E6*E7/100</f>
        <v>680.37278925</v>
      </c>
      <c r="F8" s="0" t="n">
        <f aca="false">F6*F7/100</f>
        <v>710.309191977</v>
      </c>
      <c r="G8" s="0" t="n">
        <f aca="false">G6*G7/100</f>
        <v>740.990602908228</v>
      </c>
      <c r="H8" s="0" t="n">
        <f aca="false">H6*H7/100</f>
        <v>772.432636599199</v>
      </c>
      <c r="I8" s="0" t="n">
        <f aca="false">I6*I7/100</f>
        <v>787.881289331183</v>
      </c>
      <c r="J8" s="0" t="n">
        <f aca="false">J6*J7/100</f>
        <v>803.638915117807</v>
      </c>
      <c r="K8" s="0" t="n">
        <f aca="false">K6*K7/100</f>
        <v>819.711693420163</v>
      </c>
      <c r="L8" s="0" t="n">
        <f aca="false">L6*L7/100</f>
        <v>836.105927288566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0.38</v>
      </c>
      <c r="D9" s="4" t="n">
        <f aca="false">Assumptions!D15</f>
        <v>0.38</v>
      </c>
      <c r="E9" s="4" t="n">
        <f aca="false">Assumptions!E15</f>
        <v>0.38</v>
      </c>
      <c r="F9" s="4" t="n">
        <f aca="false">Assumptions!F15</f>
        <v>0.37</v>
      </c>
      <c r="G9" s="4" t="n">
        <f aca="false">Assumptions!G15</f>
        <v>0.37</v>
      </c>
      <c r="H9" s="4" t="n">
        <f aca="false">Assumptions!H15</f>
        <v>0.36</v>
      </c>
      <c r="I9" s="4" t="n">
        <f aca="false">Assumptions!I15</f>
        <v>0.36</v>
      </c>
      <c r="J9" s="4" t="n">
        <f aca="false">Assumptions!J15</f>
        <v>0.36</v>
      </c>
      <c r="K9" s="4" t="n">
        <f aca="false">Assumptions!K15</f>
        <v>0.36</v>
      </c>
      <c r="L9" s="4" t="n">
        <f aca="false">Assumptions!L15</f>
        <v>0.36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-14.6275338</v>
      </c>
      <c r="D10" s="0" t="n">
        <f aca="false">-D6*D9/100</f>
        <v>-14.6275338</v>
      </c>
      <c r="E10" s="0" t="n">
        <f aca="false">-E6*E9/100</f>
        <v>-14.773809138</v>
      </c>
      <c r="F10" s="0" t="n">
        <f aca="false">-F6*F9/100</f>
        <v>-14.600800057305</v>
      </c>
      <c r="G10" s="0" t="n">
        <f aca="false">-G6*G9/100</f>
        <v>-14.8198120581646</v>
      </c>
      <c r="H10" s="0" t="n">
        <f aca="false">-H6*H9/100</f>
        <v>-14.6355657460901</v>
      </c>
      <c r="I10" s="0" t="n">
        <f aca="false">-I6*I9/100</f>
        <v>-14.9282770610119</v>
      </c>
      <c r="J10" s="0" t="n">
        <f aca="false">-J6*J9/100</f>
        <v>-15.2268426022321</v>
      </c>
      <c r="K10" s="0" t="n">
        <f aca="false">-K6*K9/100</f>
        <v>-15.5313794542768</v>
      </c>
      <c r="L10" s="0" t="n">
        <f aca="false">-L6*L9/100</f>
        <v>-15.8420070433623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659.0088912</v>
      </c>
      <c r="D11" s="0" t="n">
        <f aca="false">D8+D10+D24</f>
        <v>639.7621362</v>
      </c>
      <c r="E11" s="0" t="n">
        <f aca="false">E8+E10+E24</f>
        <v>665.598980112</v>
      </c>
      <c r="F11" s="0" t="n">
        <f aca="false">F8+F10+F24</f>
        <v>695.708391919695</v>
      </c>
      <c r="G11" s="0" t="n">
        <f aca="false">G8+G10+G24</f>
        <v>726.170790850064</v>
      </c>
      <c r="H11" s="0" t="n">
        <f aca="false">H8+H10+H24</f>
        <v>757.797070853109</v>
      </c>
      <c r="I11" s="0" t="n">
        <f aca="false">I8+I10+I24</f>
        <v>772.953012270171</v>
      </c>
      <c r="J11" s="0" t="n">
        <f aca="false">J8+J10+J24</f>
        <v>788.412072515575</v>
      </c>
      <c r="K11" s="0" t="n">
        <f aca="false">K8+K10+K24</f>
        <v>804.180313965886</v>
      </c>
      <c r="L11" s="0" t="n">
        <f aca="false">L8+L10+L24</f>
        <v>820.263920245204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-107.781828</v>
      </c>
      <c r="D12" s="4" t="n">
        <f aca="false">-D6*Assumptions!D17/100</f>
        <v>-107.781828</v>
      </c>
      <c r="E12" s="4" t="n">
        <f aca="false">-E6*Assumptions!E17/100</f>
        <v>-108.85964628</v>
      </c>
      <c r="F12" s="4" t="n">
        <f aca="false">-F6*Assumptions!F17/100</f>
        <v>-110.4925409742</v>
      </c>
      <c r="G12" s="4" t="n">
        <f aca="false">-G6*Assumptions!G17/100</f>
        <v>-112.149929088813</v>
      </c>
      <c r="H12" s="4" t="n">
        <f aca="false">-H6*Assumptions!H17/100</f>
        <v>-113.832178025145</v>
      </c>
      <c r="I12" s="4" t="n">
        <f aca="false">-I6*Assumptions!I17/100</f>
        <v>-116.108821585648</v>
      </c>
      <c r="J12" s="4" t="n">
        <f aca="false">-J6*Assumptions!J17/100</f>
        <v>-118.430998017361</v>
      </c>
      <c r="K12" s="4" t="n">
        <f aca="false">-K6*Assumptions!K17/100</f>
        <v>-120.799617977708</v>
      </c>
      <c r="L12" s="4" t="n">
        <f aca="false">-L6*Assumptions!L17/100</f>
        <v>-123.215610337262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551.2270632</v>
      </c>
      <c r="D13" s="0" t="n">
        <f aca="false">D11+D12</f>
        <v>531.9803082</v>
      </c>
      <c r="E13" s="0" t="n">
        <f aca="false">E11+E12</f>
        <v>556.739333832</v>
      </c>
      <c r="F13" s="0" t="n">
        <f aca="false">F11+F12</f>
        <v>585.215850945495</v>
      </c>
      <c r="G13" s="0" t="n">
        <f aca="false">G11+G12</f>
        <v>614.020861761251</v>
      </c>
      <c r="H13" s="0" t="n">
        <f aca="false">H11+H12</f>
        <v>643.964892827964</v>
      </c>
      <c r="I13" s="0" t="n">
        <f aca="false">I11+I12</f>
        <v>656.844190684523</v>
      </c>
      <c r="J13" s="0" t="n">
        <f aca="false">J11+J12</f>
        <v>669.981074498214</v>
      </c>
      <c r="K13" s="0" t="n">
        <f aca="false">K11+K12</f>
        <v>683.380695988178</v>
      </c>
      <c r="L13" s="0" t="n">
        <f aca="false">L11+L12</f>
        <v>697.048309907942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26.5</v>
      </c>
      <c r="F14" s="4" t="n">
        <f aca="false">Assumptions!F19</f>
        <v>26.5</v>
      </c>
      <c r="G14" s="4" t="n">
        <f aca="false">Assumptions!G19</f>
        <v>26.5</v>
      </c>
      <c r="H14" s="4" t="n">
        <f aca="false">Assumptions!H19</f>
        <v>26.5</v>
      </c>
      <c r="I14" s="4" t="n">
        <f aca="false">Assumptions!I19</f>
        <v>26.5</v>
      </c>
      <c r="J14" s="4" t="n">
        <f aca="false">Assumptions!J19</f>
        <v>26.5</v>
      </c>
      <c r="K14" s="4" t="n">
        <f aca="false">Assumptions!K19</f>
        <v>26.5</v>
      </c>
      <c r="L14" s="4" t="n">
        <f aca="false">Assumptions!L19</f>
        <v>26.5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407.908026768</v>
      </c>
      <c r="D15" s="0" t="n">
        <f aca="false">D13-MAX(0,D13)*D14/100</f>
        <v>393.665428068</v>
      </c>
      <c r="E15" s="0" t="n">
        <f aca="false">E13-MAX(0,E13)*E14/100</f>
        <v>409.20341036652</v>
      </c>
      <c r="F15" s="0" t="n">
        <f aca="false">F13-MAX(0,F13)*F14/100</f>
        <v>430.133650444939</v>
      </c>
      <c r="G15" s="0" t="n">
        <f aca="false">G13-MAX(0,G13)*G14/100</f>
        <v>451.305333394519</v>
      </c>
      <c r="H15" s="0" t="n">
        <f aca="false">H13-MAX(0,H13)*H14/100</f>
        <v>473.314196228554</v>
      </c>
      <c r="I15" s="0" t="n">
        <f aca="false">I13-MAX(0,I13)*I14/100</f>
        <v>482.780480153125</v>
      </c>
      <c r="J15" s="0" t="n">
        <f aca="false">J13-MAX(0,J13)*J14/100</f>
        <v>492.436089756187</v>
      </c>
      <c r="K15" s="0" t="n">
        <f aca="false">K13-MAX(0,K13)*K14/100</f>
        <v>502.284811551311</v>
      </c>
      <c r="L15" s="0" t="n">
        <f aca="false">L13-MAX(0,L13)*L14/100</f>
        <v>512.330507782337</v>
      </c>
    </row>
    <row r="16" customFormat="false" ht="15" hidden="false" customHeight="false" outlineLevel="0" collapsed="false">
      <c r="A16" s="0" t="s">
        <v>127</v>
      </c>
      <c r="C16" s="0" t="n">
        <f aca="false">-C12</f>
        <v>107.781828</v>
      </c>
      <c r="D16" s="0" t="n">
        <f aca="false">-D12</f>
        <v>107.781828</v>
      </c>
      <c r="E16" s="0" t="n">
        <f aca="false">-E12</f>
        <v>108.85964628</v>
      </c>
      <c r="F16" s="0" t="n">
        <f aca="false">-F12</f>
        <v>110.4925409742</v>
      </c>
      <c r="G16" s="0" t="n">
        <f aca="false">-G12</f>
        <v>112.149929088813</v>
      </c>
      <c r="H16" s="0" t="n">
        <f aca="false">-H12</f>
        <v>113.832178025145</v>
      </c>
      <c r="I16" s="0" t="n">
        <f aca="false">-I12</f>
        <v>116.108821585648</v>
      </c>
      <c r="J16" s="0" t="n">
        <f aca="false">-J12</f>
        <v>118.430998017361</v>
      </c>
      <c r="K16" s="0" t="n">
        <f aca="false">-K12</f>
        <v>120.799617977708</v>
      </c>
      <c r="L16" s="0" t="n">
        <f aca="false">-L12</f>
        <v>123.215610337262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-84.685722</v>
      </c>
      <c r="D17" s="4" t="n">
        <f aca="false">-D6*Assumptions!D18/100</f>
        <v>-84.685722</v>
      </c>
      <c r="E17" s="4" t="n">
        <f aca="false">-E6*Assumptions!E18/100</f>
        <v>-81.64473471</v>
      </c>
      <c r="F17" s="4" t="n">
        <f aca="false">-F6*Assumptions!F18/100</f>
        <v>-82.86940573065</v>
      </c>
      <c r="G17" s="4" t="n">
        <f aca="false">-G6*Assumptions!G18/100</f>
        <v>-80.107092206295</v>
      </c>
      <c r="H17" s="4" t="n">
        <f aca="false">-H6*Assumptions!H18/100</f>
        <v>-81.3086985893894</v>
      </c>
      <c r="I17" s="4" t="n">
        <f aca="false">-I6*Assumptions!I18/100</f>
        <v>-82.9348725611772</v>
      </c>
      <c r="J17" s="4" t="n">
        <f aca="false">-J6*Assumptions!J18/100</f>
        <v>-84.5935700124007</v>
      </c>
      <c r="K17" s="4" t="n">
        <f aca="false">-K6*Assumptions!K18/100</f>
        <v>-86.2854414126487</v>
      </c>
      <c r="L17" s="4" t="n">
        <f aca="false">-L6*Assumptions!L18/100</f>
        <v>-88.0111502409017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-2.29811999999993</v>
      </c>
      <c r="D18" s="4" t="n">
        <f aca="false">(D6-C6)*Assumptions!$B$23/100</f>
        <v>-0</v>
      </c>
      <c r="E18" s="4" t="n">
        <f aca="false">(E6-D6)*Assumptions!$B$23/100</f>
        <v>-4.61922120000003</v>
      </c>
      <c r="F18" s="4" t="n">
        <f aca="false">(F6-E6)*Assumptions!$B$23/100</f>
        <v>-6.99812011799997</v>
      </c>
      <c r="G18" s="4" t="n">
        <f aca="false">(G6-F6)*Assumptions!$B$23/100</f>
        <v>-7.10309191976994</v>
      </c>
      <c r="H18" s="4" t="n">
        <f aca="false">(H6-G6)*Assumptions!$B$23/100</f>
        <v>-7.20963829856648</v>
      </c>
      <c r="I18" s="4" t="n">
        <f aca="false">(I6-H6)*Assumptions!$B$23/100</f>
        <v>-9.75704383072676</v>
      </c>
      <c r="J18" s="4" t="n">
        <f aca="false">(J6-I6)*Assumptions!$B$23/100</f>
        <v>-9.95218470734126</v>
      </c>
      <c r="K18" s="4" t="n">
        <f aca="false">(K6-J6)*Assumptions!$B$23/100</f>
        <v>-10.1512284014881</v>
      </c>
      <c r="L18" s="4" t="n">
        <f aca="false">(L6-K6)*Assumptions!$B$23/100</f>
        <v>-10.3542529695178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428.706012768</v>
      </c>
      <c r="D19" s="0" t="n">
        <f aca="false">D15+D16+D17+D18</f>
        <v>416.761534068</v>
      </c>
      <c r="E19" s="0" t="n">
        <f aca="false">E15+E16+E17+E18</f>
        <v>431.79910073652</v>
      </c>
      <c r="F19" s="0" t="n">
        <f aca="false">F15+F16+F17+F18</f>
        <v>450.758665570489</v>
      </c>
      <c r="G19" s="0" t="n">
        <f aca="false">G15+G16+G17+G18</f>
        <v>476.245078357267</v>
      </c>
      <c r="H19" s="0" t="n">
        <f aca="false">H15+H16+H17+H18</f>
        <v>498.628037365743</v>
      </c>
      <c r="I19" s="0" t="n">
        <f aca="false">I15+I16+I17+I18</f>
        <v>506.197385346869</v>
      </c>
      <c r="J19" s="0" t="n">
        <f aca="false">J15+J16+J17+J18</f>
        <v>516.321333053806</v>
      </c>
      <c r="K19" s="0" t="n">
        <f aca="false">K15+K16+K17+K18</f>
        <v>526.647759714882</v>
      </c>
      <c r="L19" s="0" t="n">
        <f aca="false">L15+L16+L17+L18</f>
        <v>537.18071490918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391.512340427397</v>
      </c>
      <c r="D21" s="0" t="n">
        <f aca="false">D19*D20</f>
        <v>347.583690138237</v>
      </c>
      <c r="E21" s="0" t="n">
        <f aca="false">E19*E20</f>
        <v>328.881448091734</v>
      </c>
      <c r="F21" s="0" t="n">
        <f aca="false">F19*F20</f>
        <v>313.53614033582</v>
      </c>
      <c r="G21" s="0" t="n">
        <f aca="false">G19*G20</f>
        <v>302.524049226864</v>
      </c>
      <c r="H21" s="0" t="n">
        <f aca="false">H19*H20</f>
        <v>289.262396365222</v>
      </c>
      <c r="I21" s="0" t="n">
        <f aca="false">I19*I20</f>
        <v>268.176712967348</v>
      </c>
      <c r="J21" s="0" t="n">
        <f aca="false">J19*J20</f>
        <v>249.808444955886</v>
      </c>
      <c r="K21" s="0" t="n">
        <f aca="false">K19*K20</f>
        <v>232.698277493154</v>
      </c>
      <c r="L21" s="0" t="n">
        <f aca="false">L19*L20</f>
        <v>216.760039308691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2940.74353931035</v>
      </c>
    </row>
    <row r="31" customFormat="false" ht="15" hidden="false" customHeight="false" outlineLevel="0" collapsed="false">
      <c r="A31" s="0" t="s">
        <v>136</v>
      </c>
      <c r="B31" s="0" t="n">
        <f aca="false">L19</f>
        <v>537.18071490918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7305.65772276485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6983.34929381934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6983.34929381934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2817.88051101299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5758.62405032334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5302.42405032334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38.4623824918275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-0.333407582463995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93.4016554465177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86.9376544025514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39.7705161770812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4214.80253236434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21.1019451981598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2.5</v>
      </c>
      <c r="D5" s="4" t="n">
        <f aca="false">Assumptions!D27</f>
        <v>3</v>
      </c>
      <c r="E5" s="4" t="n">
        <f aca="false">Assumptions!E27</f>
        <v>3.5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3830.2</v>
      </c>
      <c r="C6" s="0" t="n">
        <f aca="false">B6*(1+C5/100)</f>
        <v>3925.955</v>
      </c>
      <c r="D6" s="0" t="n">
        <f aca="false">C6*(1+D5/100)</f>
        <v>4043.73365</v>
      </c>
      <c r="E6" s="0" t="n">
        <f aca="false">D6*(1+E5/100)</f>
        <v>4185.26432775</v>
      </c>
      <c r="F6" s="0" t="n">
        <f aca="false">E6*(1+F5/100)</f>
        <v>4352.67490086</v>
      </c>
      <c r="G6" s="0" t="n">
        <f aca="false">F6*(1+G5/100)</f>
        <v>4526.7818968944</v>
      </c>
      <c r="H6" s="0" t="n">
        <f aca="false">G6*(1+H5/100)</f>
        <v>4685.2192632857</v>
      </c>
      <c r="I6" s="0" t="n">
        <f aca="false">H6*(1+I5/100)</f>
        <v>4849.2019375007</v>
      </c>
      <c r="J6" s="0" t="n">
        <f aca="false">I6*(1+J5/100)</f>
        <v>4994.67799562572</v>
      </c>
      <c r="K6" s="0" t="n">
        <f aca="false">J6*(1+K5/100)</f>
        <v>5144.5183354945</v>
      </c>
      <c r="L6" s="0" t="n">
        <f aca="false">K6*(1+L5/100)</f>
        <v>5298.85388555933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19.5</v>
      </c>
      <c r="D7" s="4" t="n">
        <f aca="false">Assumptions!D28</f>
        <v>20</v>
      </c>
      <c r="E7" s="4" t="n">
        <f aca="false">Assumptions!E28</f>
        <v>20.5</v>
      </c>
      <c r="F7" s="4" t="n">
        <f aca="false">Assumptions!F28</f>
        <v>21</v>
      </c>
      <c r="G7" s="4" t="n">
        <f aca="false">Assumptions!G28</f>
        <v>21.2</v>
      </c>
      <c r="H7" s="4" t="n">
        <f aca="false">Assumptions!H28</f>
        <v>21.3</v>
      </c>
      <c r="I7" s="4" t="n">
        <f aca="false">Assumptions!I28</f>
        <v>21.3</v>
      </c>
      <c r="J7" s="4" t="n">
        <f aca="false">Assumptions!J28</f>
        <v>21.3</v>
      </c>
      <c r="K7" s="4" t="n">
        <f aca="false">Assumptions!K28</f>
        <v>21.3</v>
      </c>
      <c r="L7" s="4" t="n">
        <f aca="false">Assumptions!L28</f>
        <v>21.3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765.561225</v>
      </c>
      <c r="D8" s="0" t="n">
        <f aca="false">D6*D7/100</f>
        <v>808.74673</v>
      </c>
      <c r="E8" s="0" t="n">
        <f aca="false">E6*E7/100</f>
        <v>857.97918718875</v>
      </c>
      <c r="F8" s="0" t="n">
        <f aca="false">F6*F7/100</f>
        <v>914.0617291806</v>
      </c>
      <c r="G8" s="0" t="n">
        <f aca="false">G6*G7/100</f>
        <v>959.677762141613</v>
      </c>
      <c r="H8" s="0" t="n">
        <f aca="false">H6*H7/100</f>
        <v>997.951703079855</v>
      </c>
      <c r="I8" s="0" t="n">
        <f aca="false">I6*I7/100</f>
        <v>1032.88001268765</v>
      </c>
      <c r="J8" s="0" t="n">
        <f aca="false">J6*J7/100</f>
        <v>1063.86641306828</v>
      </c>
      <c r="K8" s="0" t="n">
        <f aca="false">K6*K7/100</f>
        <v>1095.78240546033</v>
      </c>
      <c r="L8" s="0" t="n">
        <f aca="false">L6*L7/100</f>
        <v>1128.65587762414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0.36</v>
      </c>
      <c r="D9" s="4" t="n">
        <f aca="false">Assumptions!D29</f>
        <v>0.36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0.34</v>
      </c>
      <c r="I9" s="4" t="n">
        <f aca="false">Assumptions!I29</f>
        <v>0.34</v>
      </c>
      <c r="J9" s="4" t="n">
        <f aca="false">Assumptions!J29</f>
        <v>0.34</v>
      </c>
      <c r="K9" s="4" t="n">
        <f aca="false">Assumptions!K29</f>
        <v>0.34</v>
      </c>
      <c r="L9" s="4" t="n">
        <f aca="false">Assumptions!L29</f>
        <v>0.34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-14.133438</v>
      </c>
      <c r="D10" s="0" t="n">
        <f aca="false">-D6*D9/100</f>
        <v>-14.55744114</v>
      </c>
      <c r="E10" s="0" t="n">
        <f aca="false">-E6*E9/100</f>
        <v>-14.648425147125</v>
      </c>
      <c r="F10" s="0" t="n">
        <f aca="false">-F6*F9/100</f>
        <v>-15.23436215301</v>
      </c>
      <c r="G10" s="0" t="n">
        <f aca="false">-G6*G9/100</f>
        <v>-15.8437366391304</v>
      </c>
      <c r="H10" s="0" t="n">
        <f aca="false">-H6*H9/100</f>
        <v>-15.9297454951714</v>
      </c>
      <c r="I10" s="0" t="n">
        <f aca="false">-I6*I9/100</f>
        <v>-16.4872865875024</v>
      </c>
      <c r="J10" s="0" t="n">
        <f aca="false">-J6*J9/100</f>
        <v>-16.9819051851275</v>
      </c>
      <c r="K10" s="0" t="n">
        <f aca="false">-K6*K9/100</f>
        <v>-17.4913623406813</v>
      </c>
      <c r="L10" s="0" t="n">
        <f aca="false">-L6*L9/100</f>
        <v>-18.0161032109017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751.427787</v>
      </c>
      <c r="D11" s="0" t="n">
        <f aca="false">D8+D10+D24</f>
        <v>794.18928886</v>
      </c>
      <c r="E11" s="0" t="n">
        <f aca="false">E8+E10+E24</f>
        <v>843.330762041625</v>
      </c>
      <c r="F11" s="0" t="n">
        <f aca="false">F8+F10+F24</f>
        <v>898.82736702759</v>
      </c>
      <c r="G11" s="0" t="n">
        <f aca="false">G8+G10+G24</f>
        <v>943.834025502482</v>
      </c>
      <c r="H11" s="0" t="n">
        <f aca="false">H8+H10+H24</f>
        <v>982.021957584683</v>
      </c>
      <c r="I11" s="0" t="n">
        <f aca="false">I8+I10+I24</f>
        <v>1016.39272610015</v>
      </c>
      <c r="J11" s="0" t="n">
        <f aca="false">J8+J10+J24</f>
        <v>1046.88450788315</v>
      </c>
      <c r="K11" s="0" t="n">
        <f aca="false">K8+K10+K24</f>
        <v>1078.29104311965</v>
      </c>
      <c r="L11" s="0" t="n">
        <f aca="false">L8+L10+L24</f>
        <v>1110.63977441324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-102.07483</v>
      </c>
      <c r="D12" s="4" t="n">
        <f aca="false">-D6*Assumptions!D31/100</f>
        <v>-105.1370749</v>
      </c>
      <c r="E12" s="4" t="n">
        <f aca="false">-E6*Assumptions!E31/100</f>
        <v>-108.8168725215</v>
      </c>
      <c r="F12" s="4" t="n">
        <f aca="false">-F6*Assumptions!F31/100</f>
        <v>-113.16954742236</v>
      </c>
      <c r="G12" s="4" t="n">
        <f aca="false">-G6*Assumptions!G31/100</f>
        <v>-117.696329319254</v>
      </c>
      <c r="H12" s="4" t="n">
        <f aca="false">-H6*Assumptions!H31/100</f>
        <v>-121.815700845428</v>
      </c>
      <c r="I12" s="4" t="n">
        <f aca="false">-I6*Assumptions!I31/100</f>
        <v>-126.079250375018</v>
      </c>
      <c r="J12" s="4" t="n">
        <f aca="false">-J6*Assumptions!J31/100</f>
        <v>-129.861627886269</v>
      </c>
      <c r="K12" s="4" t="n">
        <f aca="false">-K6*Assumptions!K31/100</f>
        <v>-133.757476722857</v>
      </c>
      <c r="L12" s="4" t="n">
        <f aca="false">-L6*Assumptions!L31/100</f>
        <v>-137.770201024543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649.352957</v>
      </c>
      <c r="D13" s="0" t="n">
        <f aca="false">D11+D12</f>
        <v>689.05221396</v>
      </c>
      <c r="E13" s="0" t="n">
        <f aca="false">E11+E12</f>
        <v>734.513889520125</v>
      </c>
      <c r="F13" s="0" t="n">
        <f aca="false">F11+F12</f>
        <v>785.65781960523</v>
      </c>
      <c r="G13" s="0" t="n">
        <f aca="false">G11+G12</f>
        <v>826.137696183228</v>
      </c>
      <c r="H13" s="0" t="n">
        <f aca="false">H11+H12</f>
        <v>860.206256739255</v>
      </c>
      <c r="I13" s="0" t="n">
        <f aca="false">I11+I12</f>
        <v>890.313475725129</v>
      </c>
      <c r="J13" s="0" t="n">
        <f aca="false">J11+J12</f>
        <v>917.022879996883</v>
      </c>
      <c r="K13" s="0" t="n">
        <f aca="false">K11+K12</f>
        <v>944.533566396789</v>
      </c>
      <c r="L13" s="0" t="n">
        <f aca="false">L11+L12</f>
        <v>972.869573388693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487.01471775</v>
      </c>
      <c r="D15" s="0" t="n">
        <f aca="false">D13-MAX(0,D13)*D14/100</f>
        <v>516.78916047</v>
      </c>
      <c r="E15" s="0" t="n">
        <f aca="false">E13-MAX(0,E13)*E14/100</f>
        <v>547.212847692493</v>
      </c>
      <c r="F15" s="0" t="n">
        <f aca="false">F13-MAX(0,F13)*F14/100</f>
        <v>585.315075605896</v>
      </c>
      <c r="G15" s="0" t="n">
        <f aca="false">G13-MAX(0,G13)*G14/100</f>
        <v>615.472583656505</v>
      </c>
      <c r="H15" s="0" t="n">
        <f aca="false">H13-MAX(0,H13)*H14/100</f>
        <v>640.853661270745</v>
      </c>
      <c r="I15" s="0" t="n">
        <f aca="false">I13-MAX(0,I13)*I14/100</f>
        <v>663.283539415221</v>
      </c>
      <c r="J15" s="0" t="n">
        <f aca="false">J13-MAX(0,J13)*J14/100</f>
        <v>683.182045597678</v>
      </c>
      <c r="K15" s="0" t="n">
        <f aca="false">K13-MAX(0,K13)*K14/100</f>
        <v>703.677506965608</v>
      </c>
      <c r="L15" s="0" t="n">
        <f aca="false">L13-MAX(0,L13)*L14/100</f>
        <v>724.787832174576</v>
      </c>
    </row>
    <row r="16" customFormat="false" ht="15" hidden="false" customHeight="false" outlineLevel="0" collapsed="false">
      <c r="A16" s="0" t="s">
        <v>127</v>
      </c>
      <c r="C16" s="0" t="n">
        <f aca="false">-C12</f>
        <v>102.07483</v>
      </c>
      <c r="D16" s="0" t="n">
        <f aca="false">-D12</f>
        <v>105.1370749</v>
      </c>
      <c r="E16" s="0" t="n">
        <f aca="false">-E12</f>
        <v>108.8168725215</v>
      </c>
      <c r="F16" s="0" t="n">
        <f aca="false">-F12</f>
        <v>113.16954742236</v>
      </c>
      <c r="G16" s="0" t="n">
        <f aca="false">-G12</f>
        <v>117.696329319254</v>
      </c>
      <c r="H16" s="0" t="n">
        <f aca="false">-H12</f>
        <v>121.815700845428</v>
      </c>
      <c r="I16" s="0" t="n">
        <f aca="false">-I12</f>
        <v>126.079250375018</v>
      </c>
      <c r="J16" s="0" t="n">
        <f aca="false">-J12</f>
        <v>129.861627886269</v>
      </c>
      <c r="K16" s="0" t="n">
        <f aca="false">-K12</f>
        <v>133.757476722857</v>
      </c>
      <c r="L16" s="0" t="n">
        <f aca="false">-L12</f>
        <v>137.770201024543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-82.445055</v>
      </c>
      <c r="D17" s="4" t="n">
        <f aca="false">-D6*Assumptions!D32/100</f>
        <v>-80.874673</v>
      </c>
      <c r="E17" s="4" t="n">
        <f aca="false">-E6*Assumptions!E32/100</f>
        <v>-81.612654391125</v>
      </c>
      <c r="F17" s="4" t="n">
        <f aca="false">-F6*Assumptions!F32/100</f>
        <v>-82.70082311634</v>
      </c>
      <c r="G17" s="4" t="n">
        <f aca="false">-G6*Assumptions!G32/100</f>
        <v>-86.0088560409936</v>
      </c>
      <c r="H17" s="4" t="n">
        <f aca="false">-H6*Assumptions!H32/100</f>
        <v>-89.0191660024284</v>
      </c>
      <c r="I17" s="4" t="n">
        <f aca="false">-I6*Assumptions!I32/100</f>
        <v>-92.1348368125133</v>
      </c>
      <c r="J17" s="4" t="n">
        <f aca="false">-J6*Assumptions!J32/100</f>
        <v>-94.8988819168887</v>
      </c>
      <c r="K17" s="4" t="n">
        <f aca="false">-K6*Assumptions!K32/100</f>
        <v>-97.7458483743954</v>
      </c>
      <c r="L17" s="4" t="n">
        <f aca="false">-L6*Assumptions!L32/100</f>
        <v>-100.678223825627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-7.66039999999997</v>
      </c>
      <c r="D18" s="4" t="n">
        <f aca="false">(D6-C6)*Assumptions!$B$37/100</f>
        <v>-9.42229200000002</v>
      </c>
      <c r="E18" s="4" t="n">
        <f aca="false">(E6-D6)*Assumptions!$B$37/100</f>
        <v>-11.32245422</v>
      </c>
      <c r="F18" s="4" t="n">
        <f aca="false">(F6-E6)*Assumptions!$B$37/100</f>
        <v>-13.3928458488</v>
      </c>
      <c r="G18" s="4" t="n">
        <f aca="false">(G6-F6)*Assumptions!$B$37/100</f>
        <v>-13.928559682752</v>
      </c>
      <c r="H18" s="4" t="n">
        <f aca="false">(H6-G6)*Assumptions!$B$37/100</f>
        <v>-12.6749893113043</v>
      </c>
      <c r="I18" s="4" t="n">
        <f aca="false">(I6-H6)*Assumptions!$B$37/100</f>
        <v>-13.1186139371999</v>
      </c>
      <c r="J18" s="4" t="n">
        <f aca="false">(J6-I6)*Assumptions!$B$37/100</f>
        <v>-11.6380846500017</v>
      </c>
      <c r="K18" s="4" t="n">
        <f aca="false">(K6-J6)*Assumptions!$B$37/100</f>
        <v>-11.9872271895017</v>
      </c>
      <c r="L18" s="4" t="n">
        <f aca="false">(L6-K6)*Assumptions!$B$37/100</f>
        <v>-12.3468440051868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498.98409275</v>
      </c>
      <c r="D19" s="0" t="n">
        <f aca="false">D15+D16+D17+D18</f>
        <v>531.62927037</v>
      </c>
      <c r="E19" s="0" t="n">
        <f aca="false">E15+E16+E17+E18</f>
        <v>563.094611602868</v>
      </c>
      <c r="F19" s="0" t="n">
        <f aca="false">F15+F16+F17+F18</f>
        <v>602.390954063116</v>
      </c>
      <c r="G19" s="0" t="n">
        <f aca="false">G15+G16+G17+G18</f>
        <v>633.231497252014</v>
      </c>
      <c r="H19" s="0" t="n">
        <f aca="false">H15+H16+H17+H18</f>
        <v>660.975206802441</v>
      </c>
      <c r="I19" s="0" t="n">
        <f aca="false">I15+I16+I17+I18</f>
        <v>684.109339040526</v>
      </c>
      <c r="J19" s="0" t="n">
        <f aca="false">J15+J16+J17+J18</f>
        <v>706.506706917056</v>
      </c>
      <c r="K19" s="0" t="n">
        <f aca="false">K15+K16+K17+K18</f>
        <v>727.701908124568</v>
      </c>
      <c r="L19" s="0" t="n">
        <f aca="false">L15+L16+L17+L18</f>
        <v>749.532965368305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459.893173041475</v>
      </c>
      <c r="D21" s="0" t="n">
        <f aca="false">D19*D20</f>
        <v>451.59529433201</v>
      </c>
      <c r="E21" s="0" t="n">
        <f aca="false">E19*E20</f>
        <v>440.851331606592</v>
      </c>
      <c r="F21" s="0" t="n">
        <f aca="false">F19*F20</f>
        <v>434.669821527583</v>
      </c>
      <c r="G21" s="0" t="n">
        <f aca="false">G19*G20</f>
        <v>421.127709129536</v>
      </c>
      <c r="H21" s="0" t="n">
        <f aca="false">H19*H20</f>
        <v>405.141508010222</v>
      </c>
      <c r="I21" s="0" t="n">
        <f aca="false">I19*I20</f>
        <v>386.471392433714</v>
      </c>
      <c r="J21" s="0" t="n">
        <f aca="false">J19*J20</f>
        <v>367.856456898725</v>
      </c>
      <c r="K21" s="0" t="n">
        <f aca="false">K19*K20</f>
        <v>349.209355396946</v>
      </c>
      <c r="L21" s="0" t="n">
        <f aca="false">L19*L20</f>
        <v>331.507498671756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4048.32354104856</v>
      </c>
    </row>
    <row r="31" customFormat="false" ht="15" hidden="false" customHeight="false" outlineLevel="0" collapsed="false">
      <c r="A31" s="0" t="s">
        <v>136</v>
      </c>
      <c r="B31" s="0" t="n">
        <f aca="false">L19</f>
        <v>749.532965368305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12804.5214917085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11992.5274458929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11992.5274458929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5304.11997874809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9352.44351979665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8896.24351979665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64.5309989830019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0.118388197279063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102.672134762656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136.124436302179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66.2631661893332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6146.1703160201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29.7000359991974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4.5</v>
      </c>
      <c r="D5" s="4" t="n">
        <f aca="false">Assumptions!D41</f>
        <v>5.5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3830.2</v>
      </c>
      <c r="C6" s="0" t="n">
        <f aca="false">B6*(1+C5/100)</f>
        <v>4002.559</v>
      </c>
      <c r="D6" s="0" t="n">
        <f aca="false">C6*(1+D5/100)</f>
        <v>4222.699745</v>
      </c>
      <c r="E6" s="0" t="n">
        <f aca="false">D6*(1+E5/100)</f>
        <v>4476.0617297</v>
      </c>
      <c r="F6" s="0" t="n">
        <f aca="false">E6*(1+F5/100)</f>
        <v>4744.625433482</v>
      </c>
      <c r="G6" s="0" t="n">
        <f aca="false">F6*(1+G5/100)</f>
        <v>5005.57983232351</v>
      </c>
      <c r="H6" s="0" t="n">
        <f aca="false">G6*(1+H5/100)</f>
        <v>5255.85882393969</v>
      </c>
      <c r="I6" s="0" t="n">
        <f aca="false">H6*(1+I5/100)</f>
        <v>5492.37247101697</v>
      </c>
      <c r="J6" s="0" t="n">
        <f aca="false">I6*(1+J5/100)</f>
        <v>5712.06736985765</v>
      </c>
      <c r="K6" s="0" t="n">
        <f aca="false">J6*(1+K5/100)</f>
        <v>5940.55006465196</v>
      </c>
      <c r="L6" s="0" t="n">
        <f aca="false">K6*(1+L5/100)</f>
        <v>6148.46931691478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20.5</v>
      </c>
      <c r="D7" s="4" t="n">
        <f aca="false">Assumptions!D42</f>
        <v>21.5</v>
      </c>
      <c r="E7" s="4" t="n">
        <f aca="false">Assumptions!E42</f>
        <v>22</v>
      </c>
      <c r="F7" s="4" t="n">
        <f aca="false">Assumptions!F42</f>
        <v>22.5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820.524595</v>
      </c>
      <c r="D8" s="0" t="n">
        <f aca="false">D6*D7/100</f>
        <v>907.880445175</v>
      </c>
      <c r="E8" s="0" t="n">
        <f aca="false">E6*E7/100</f>
        <v>984.733580534</v>
      </c>
      <c r="F8" s="0" t="n">
        <f aca="false">F6*F7/100</f>
        <v>1067.54072253345</v>
      </c>
      <c r="G8" s="0" t="n">
        <f aca="false">G6*G7/100</f>
        <v>1151.28336143441</v>
      </c>
      <c r="H8" s="0" t="n">
        <f aca="false">H6*H7/100</f>
        <v>1208.84752950613</v>
      </c>
      <c r="I8" s="0" t="n">
        <f aca="false">I6*I7/100</f>
        <v>1263.2456683339</v>
      </c>
      <c r="J8" s="0" t="n">
        <f aca="false">J6*J7/100</f>
        <v>1313.77549506726</v>
      </c>
      <c r="K8" s="0" t="n">
        <f aca="false">K6*K7/100</f>
        <v>1366.32651486995</v>
      </c>
      <c r="L8" s="0" t="n">
        <f aca="false">L6*L7/100</f>
        <v>1414.1479428904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0.36</v>
      </c>
      <c r="D9" s="4" t="n">
        <f aca="false">Assumptions!D43</f>
        <v>0.35</v>
      </c>
      <c r="E9" s="4" t="n">
        <f aca="false">Assumptions!E43</f>
        <v>0.34</v>
      </c>
      <c r="F9" s="4" t="n">
        <f aca="false">Assumptions!F43</f>
        <v>0.33</v>
      </c>
      <c r="G9" s="4" t="n">
        <f aca="false">Assumptions!G43</f>
        <v>0.32</v>
      </c>
      <c r="H9" s="4" t="n">
        <f aca="false">Assumptions!H43</f>
        <v>0.31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-14.4092124</v>
      </c>
      <c r="D10" s="0" t="n">
        <f aca="false">-D6*D9/100</f>
        <v>-14.7794491075</v>
      </c>
      <c r="E10" s="0" t="n">
        <f aca="false">-E6*E9/100</f>
        <v>-15.21860988098</v>
      </c>
      <c r="F10" s="0" t="n">
        <f aca="false">-F6*F9/100</f>
        <v>-15.6572639304906</v>
      </c>
      <c r="G10" s="0" t="n">
        <f aca="false">-G6*G9/100</f>
        <v>-16.0178554634352</v>
      </c>
      <c r="H10" s="0" t="n">
        <f aca="false">-H6*H9/100</f>
        <v>-16.293162354213</v>
      </c>
      <c r="I10" s="0" t="n">
        <f aca="false">-I6*I9/100</f>
        <v>-16.4771174130509</v>
      </c>
      <c r="J10" s="0" t="n">
        <f aca="false">-J6*J9/100</f>
        <v>-17.136202109573</v>
      </c>
      <c r="K10" s="0" t="n">
        <f aca="false">-K6*K9/100</f>
        <v>-17.8216501939559</v>
      </c>
      <c r="L10" s="0" t="n">
        <f aca="false">-L6*L9/100</f>
        <v>-18.4454079507443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806.1153826</v>
      </c>
      <c r="D11" s="0" t="n">
        <f aca="false">D8+D10+D24</f>
        <v>893.1009960675</v>
      </c>
      <c r="E11" s="0" t="n">
        <f aca="false">E8+E10+E24</f>
        <v>969.51497065302</v>
      </c>
      <c r="F11" s="0" t="n">
        <f aca="false">F8+F10+F24</f>
        <v>1051.88345860296</v>
      </c>
      <c r="G11" s="0" t="n">
        <f aca="false">G8+G10+G24</f>
        <v>1135.26550597097</v>
      </c>
      <c r="H11" s="0" t="n">
        <f aca="false">H8+H10+H24</f>
        <v>1192.55436715191</v>
      </c>
      <c r="I11" s="0" t="n">
        <f aca="false">I8+I10+I24</f>
        <v>1246.76855092085</v>
      </c>
      <c r="J11" s="0" t="n">
        <f aca="false">J8+J10+J24</f>
        <v>1296.63929295769</v>
      </c>
      <c r="K11" s="0" t="n">
        <f aca="false">K8+K10+K24</f>
        <v>1348.50486467599</v>
      </c>
      <c r="L11" s="0" t="n">
        <f aca="false">L8+L10+L24</f>
        <v>1395.70253493965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-100.063975</v>
      </c>
      <c r="D12" s="4" t="n">
        <f aca="false">-D6*Assumptions!D45/100</f>
        <v>-105.567493625</v>
      </c>
      <c r="E12" s="4" t="n">
        <f aca="false">-E6*Assumptions!E45/100</f>
        <v>-111.9015432425</v>
      </c>
      <c r="F12" s="4" t="n">
        <f aca="false">-F6*Assumptions!F45/100</f>
        <v>-118.61563583705</v>
      </c>
      <c r="G12" s="4" t="n">
        <f aca="false">-G6*Assumptions!G45/100</f>
        <v>-125.139495808088</v>
      </c>
      <c r="H12" s="4" t="n">
        <f aca="false">-H6*Assumptions!H45/100</f>
        <v>-131.396470598492</v>
      </c>
      <c r="I12" s="4" t="n">
        <f aca="false">-I6*Assumptions!I45/100</f>
        <v>-137.309311775424</v>
      </c>
      <c r="J12" s="4" t="n">
        <f aca="false">-J6*Assumptions!J45/100</f>
        <v>-142.801684246441</v>
      </c>
      <c r="K12" s="4" t="n">
        <f aca="false">-K6*Assumptions!K45/100</f>
        <v>-148.513751616299</v>
      </c>
      <c r="L12" s="4" t="n">
        <f aca="false">-L6*Assumptions!L45/100</f>
        <v>-153.711732922869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706.0514076</v>
      </c>
      <c r="D13" s="0" t="n">
        <f aca="false">D11+D12</f>
        <v>787.5335024425</v>
      </c>
      <c r="E13" s="0" t="n">
        <f aca="false">E11+E12</f>
        <v>857.61342741052</v>
      </c>
      <c r="F13" s="0" t="n">
        <f aca="false">F11+F12</f>
        <v>933.26782276591</v>
      </c>
      <c r="G13" s="0" t="n">
        <f aca="false">G11+G12</f>
        <v>1010.12601016288</v>
      </c>
      <c r="H13" s="0" t="n">
        <f aca="false">H11+H12</f>
        <v>1061.15789655342</v>
      </c>
      <c r="I13" s="0" t="n">
        <f aca="false">I11+I12</f>
        <v>1109.45923914543</v>
      </c>
      <c r="J13" s="0" t="n">
        <f aca="false">J11+J12</f>
        <v>1153.83760871125</v>
      </c>
      <c r="K13" s="0" t="n">
        <f aca="false">K11+K12</f>
        <v>1199.9911130597</v>
      </c>
      <c r="L13" s="0" t="n">
        <f aca="false">L11+L12</f>
        <v>1241.99080201678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533.068812738</v>
      </c>
      <c r="D15" s="0" t="n">
        <f aca="false">D13-MAX(0,D13)*D14/100</f>
        <v>594.587794344087</v>
      </c>
      <c r="E15" s="0" t="n">
        <f aca="false">E13-MAX(0,E13)*E14/100</f>
        <v>647.498137694942</v>
      </c>
      <c r="F15" s="0" t="n">
        <f aca="false">F13-MAX(0,F13)*F14/100</f>
        <v>704.617206188262</v>
      </c>
      <c r="G15" s="0" t="n">
        <f aca="false">G13-MAX(0,G13)*G14/100</f>
        <v>762.645137672978</v>
      </c>
      <c r="H15" s="0" t="n">
        <f aca="false">H13-MAX(0,H13)*H14/100</f>
        <v>801.174211897834</v>
      </c>
      <c r="I15" s="0" t="n">
        <f aca="false">I13-MAX(0,I13)*I14/100</f>
        <v>837.641725554798</v>
      </c>
      <c r="J15" s="0" t="n">
        <f aca="false">J13-MAX(0,J13)*J14/100</f>
        <v>871.14739457699</v>
      </c>
      <c r="K15" s="0" t="n">
        <f aca="false">K13-MAX(0,K13)*K14/100</f>
        <v>905.99329036007</v>
      </c>
      <c r="L15" s="0" t="n">
        <f aca="false">L13-MAX(0,L13)*L14/100</f>
        <v>937.703055522673</v>
      </c>
    </row>
    <row r="16" customFormat="false" ht="15" hidden="false" customHeight="false" outlineLevel="0" collapsed="false">
      <c r="A16" s="0" t="s">
        <v>127</v>
      </c>
      <c r="C16" s="0" t="n">
        <f aca="false">-C12</f>
        <v>100.063975</v>
      </c>
      <c r="D16" s="0" t="n">
        <f aca="false">-D12</f>
        <v>105.567493625</v>
      </c>
      <c r="E16" s="0" t="n">
        <f aca="false">-E12</f>
        <v>111.9015432425</v>
      </c>
      <c r="F16" s="0" t="n">
        <f aca="false">-F12</f>
        <v>118.61563583705</v>
      </c>
      <c r="G16" s="0" t="n">
        <f aca="false">-G12</f>
        <v>125.139495808088</v>
      </c>
      <c r="H16" s="0" t="n">
        <f aca="false">-H12</f>
        <v>131.396470598492</v>
      </c>
      <c r="I16" s="0" t="n">
        <f aca="false">-I12</f>
        <v>137.309311775424</v>
      </c>
      <c r="J16" s="0" t="n">
        <f aca="false">-J12</f>
        <v>142.801684246441</v>
      </c>
      <c r="K16" s="0" t="n">
        <f aca="false">-K12</f>
        <v>148.513751616299</v>
      </c>
      <c r="L16" s="0" t="n">
        <f aca="false">-L12</f>
        <v>153.711732922869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-80.05118</v>
      </c>
      <c r="D17" s="4" t="n">
        <f aca="false">-D6*Assumptions!D46/100</f>
        <v>-80.231295155</v>
      </c>
      <c r="E17" s="4" t="n">
        <f aca="false">-E6*Assumptions!E46/100</f>
        <v>-82.80714199945</v>
      </c>
      <c r="F17" s="4" t="n">
        <f aca="false">-F6*Assumptions!F46/100</f>
        <v>-85.403257802676</v>
      </c>
      <c r="G17" s="4" t="n">
        <f aca="false">-G6*Assumptions!G46/100</f>
        <v>-90.1004369818232</v>
      </c>
      <c r="H17" s="4" t="n">
        <f aca="false">-H6*Assumptions!H46/100</f>
        <v>-94.6054588309143</v>
      </c>
      <c r="I17" s="4" t="n">
        <f aca="false">-I6*Assumptions!I46/100</f>
        <v>-98.8627044783055</v>
      </c>
      <c r="J17" s="4" t="n">
        <f aca="false">-J6*Assumptions!J46/100</f>
        <v>-102.817212657438</v>
      </c>
      <c r="K17" s="4" t="n">
        <f aca="false">-K6*Assumptions!K46/100</f>
        <v>-106.929901163735</v>
      </c>
      <c r="L17" s="4" t="n">
        <f aca="false">-L6*Assumptions!L46/100</f>
        <v>-110.672447704466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-10.34154</v>
      </c>
      <c r="D18" s="4" t="n">
        <f aca="false">(D6-C6)*Assumptions!$B$51/100</f>
        <v>-13.2084447</v>
      </c>
      <c r="E18" s="4" t="n">
        <f aca="false">(E6-D6)*Assumptions!$B$51/100</f>
        <v>-15.201719082</v>
      </c>
      <c r="F18" s="4" t="n">
        <f aca="false">(F6-E6)*Assumptions!$B$51/100</f>
        <v>-16.11382222692</v>
      </c>
      <c r="G18" s="4" t="n">
        <f aca="false">(G6-F6)*Assumptions!$B$51/100</f>
        <v>-15.6572639304906</v>
      </c>
      <c r="H18" s="4" t="n">
        <f aca="false">(H6-G6)*Assumptions!$B$51/100</f>
        <v>-15.0167394969705</v>
      </c>
      <c r="I18" s="4" t="n">
        <f aca="false">(I6-H6)*Assumptions!$B$51/100</f>
        <v>-14.1908188246372</v>
      </c>
      <c r="J18" s="4" t="n">
        <f aca="false">(J6-I6)*Assumptions!$B$51/100</f>
        <v>-13.1816939304408</v>
      </c>
      <c r="K18" s="4" t="n">
        <f aca="false">(K6-J6)*Assumptions!$B$51/100</f>
        <v>-13.7089616876584</v>
      </c>
      <c r="L18" s="4" t="n">
        <f aca="false">(L6-K6)*Assumptions!$B$51/100</f>
        <v>-12.4751551357691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542.740067738</v>
      </c>
      <c r="D19" s="0" t="n">
        <f aca="false">D15+D16+D17+D18</f>
        <v>606.715548114087</v>
      </c>
      <c r="E19" s="0" t="n">
        <f aca="false">E15+E16+E17+E18</f>
        <v>661.390819855993</v>
      </c>
      <c r="F19" s="0" t="n">
        <f aca="false">F15+F16+F17+F18</f>
        <v>721.715761995716</v>
      </c>
      <c r="G19" s="0" t="n">
        <f aca="false">G15+G16+G17+G18</f>
        <v>782.026932568752</v>
      </c>
      <c r="H19" s="0" t="n">
        <f aca="false">H15+H16+H17+H18</f>
        <v>822.948484168441</v>
      </c>
      <c r="I19" s="0" t="n">
        <f aca="false">I15+I16+I17+I18</f>
        <v>861.89751402728</v>
      </c>
      <c r="J19" s="0" t="n">
        <f aca="false">J15+J16+J17+J18</f>
        <v>897.950172235553</v>
      </c>
      <c r="K19" s="0" t="n">
        <f aca="false">K15+K16+K17+K18</f>
        <v>933.868179124975</v>
      </c>
      <c r="L19" s="0" t="n">
        <f aca="false">L15+L16+L17+L18</f>
        <v>968.267185605307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502.537099757407</v>
      </c>
      <c r="D21" s="0" t="n">
        <f aca="false">D19*D20</f>
        <v>520.160792278881</v>
      </c>
      <c r="E21" s="0" t="n">
        <f aca="false">E19*E20</f>
        <v>525.03335671645</v>
      </c>
      <c r="F21" s="0" t="n">
        <f aca="false">F19*F20</f>
        <v>530.482630300591</v>
      </c>
      <c r="G21" s="0" t="n">
        <f aca="false">G19*G20</f>
        <v>532.23438993414</v>
      </c>
      <c r="H21" s="0" t="n">
        <f aca="false">H19*H20</f>
        <v>518.597139212443</v>
      </c>
      <c r="I21" s="0" t="n">
        <f aca="false">I19*I20</f>
        <v>502.908921135228</v>
      </c>
      <c r="J21" s="0" t="n">
        <f aca="false">J19*J20</f>
        <v>485.134537892059</v>
      </c>
      <c r="K21" s="0" t="n">
        <f aca="false">K19*K20</f>
        <v>467.166592044205</v>
      </c>
      <c r="L21" s="0" t="n">
        <f aca="false">L19*L20</f>
        <v>448.495055098462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5032.75051436987</v>
      </c>
    </row>
    <row r="31" customFormat="false" ht="15" hidden="false" customHeight="false" outlineLevel="0" collapsed="false">
      <c r="A31" s="0" t="s">
        <v>136</v>
      </c>
      <c r="B31" s="0" t="n">
        <f aca="false">L19</f>
        <v>968.267185605307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19946.3040234693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17428.8093408955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17428.8093408955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8072.91099177232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13105.6615061422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12649.4615061422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91.7558501823748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0.590222706800256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107.102829207767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176.002132665715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93.8094187437666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8310.96000977888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38.0337069751483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38.4623824918275</v>
      </c>
      <c r="C4" s="0" t="n">
        <f aca="false">B4/Assumptions!$B$2-1</f>
        <v>-0.333407582463995</v>
      </c>
      <c r="D4" s="4" t="n">
        <f aca="false">Assumptions!$B$24</f>
        <v>0.25</v>
      </c>
      <c r="E4" s="4" t="n">
        <f aca="false">DCF_Bear!$B$43</f>
        <v>39.7705161770812</v>
      </c>
      <c r="F4" s="4" t="n">
        <f aca="false">DCF_Bear!$B$47</f>
        <v>21.1019451981598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64.5309989830019</v>
      </c>
      <c r="C5" s="0" t="n">
        <f aca="false">B5/Assumptions!$B$2-1</f>
        <v>0.118388197279063</v>
      </c>
      <c r="D5" s="4" t="n">
        <f aca="false">Assumptions!$B$38</f>
        <v>0.5</v>
      </c>
      <c r="E5" s="4" t="n">
        <f aca="false">DCF_Base!$B$43</f>
        <v>66.2631661893332</v>
      </c>
      <c r="F5" s="4" t="n">
        <f aca="false">DCF_Base!$B$47</f>
        <v>29.7000359991974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91.7558501823748</v>
      </c>
      <c r="C6" s="0" t="n">
        <f aca="false">B6/Assumptions!$B$2-1</f>
        <v>0.590222706800256</v>
      </c>
      <c r="D6" s="4" t="n">
        <f aca="false">Assumptions!$B$52</f>
        <v>0.25</v>
      </c>
      <c r="E6" s="4" t="n">
        <f aca="false">DCF_Bull!$B$43</f>
        <v>93.8094187437666</v>
      </c>
      <c r="F6" s="4" t="n">
        <f aca="false">DCF_Bull!$B$47</f>
        <v>38.0337069751483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64.8200576600515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66.5265668248786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0.109843432990952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-417.229383047185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29.6339310429257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64.5309989830019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61.5802902761009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52.6996689696451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45.9181876508753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40.5724199400236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29.7000359991974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75.428993575874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75.428993575874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75.428993575874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75.428993575874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75.428993575874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69.7238804793715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69.7238804793715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69.7238804793715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69.7238804793715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69.7238804793715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60.9239973290948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63.7911012078415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64.5309989830019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64.5309989830019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64.5309989830019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52.5315088546736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54.5334169953339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56.8213120132314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59.4611908800363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59.7987096392625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46.0213821052448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47.4681555582084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49.0957756927925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50.9404118453211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53.048567448211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2026-09-25T10:04:53Z</dcterms:created>
  <dc:creator>openpyxl</dc:creator>
  <dc:description/>
  <dc:language>en-NZ</dc:language>
  <cp:lastModifiedBy/>
  <dcterms:modified xsi:type="dcterms:W3CDTF">2026-09-25T10:04:53Z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