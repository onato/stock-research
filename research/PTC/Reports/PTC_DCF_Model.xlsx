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<sst xmlns="http://schemas.openxmlformats.org/spreadsheetml/2006/main" count="386" uniqueCount="174">
  <si>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</si>
  <si>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PTC</t>
  </si>
  <si>
    <t xml:space="preserve">Company</t>
  </si>
  <si>
    <t xml:space="preserve">PTC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</si>
  <si>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</si>
  <si>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</si>
  <si>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</si>
  <si>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</si>
  <si>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2026-10-01T20:00:00Z regular close (Yahoo chart API regularMarketTime)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</si>
  <si>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</si>
  <si>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</si>
  <si>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</si>
  <si>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</si>
  <si>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</si>
  <si>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</si>
  <si>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</si>
  <si>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</si>
  <si>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</si>
  <si>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</si>
  <si>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</si>
  <si>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</si>
  <si>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2026-10-02T07:41:40Z</t>
  </si>
  <si>
    <t xml:space="preserve">Drivers file</t>
  </si>
  <si>
    <t xml:space="preserve">PTC_Drivers.json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</si>
  <si>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</si>
  <si>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</si>
  <si>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</si>
  <si>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cash-calibrated margin: SBC and equity-award withholding fully expensed, share count held flat, ASC-606 upfront licence revenue not mistaken for cash. The divestiture gain and sale proceeds are excluded from the flows; their effect sits in the reduced share count and the June-2026 net-debt anchor.
key_risks_to_valuation: Base revenue is an FY26E estimate (Q4 FY26 not yet reported); a Q4 miss lowers the compounding base.; ASC-606 timing makes revenue lumpy; the margin path is calibrated to cash, so a reader comparing to GAAP EBITDA will see a ~5pp gap by design.; Debt-funded buybacks: net debt rose in FY26 even after $523M of divestiture proceeds.; Discrete-manufacturing cycle and tariffs on PTC's automotive/industrial customer base.; AI-native design tools and Siemens/Dassault bundling pressuring CAD seat growth.</t>
  </si>
  <si>
    <t xml:space="preserve">Data sources</t>
  </si>
  <si>
    <t xml:space="preserve">price: Yahoo Finance chart API at inputs.price_as_of; 52-week range 108.50-206.82
financials: SEC XBRL companyfacts (CIK 857005): 10-K FY2025, 10-Qs Q1-Q3 FY2026; PTC_Metrics.csv / PTC.duckdb core_metrics and kpis
qualitative: Filings and business-mix knowledge; PTC_Analysis.json not yet available at build time</t>
  </si>
  <si>
    <t xml:space="preserve">Scenario narrative: bear</t>
  </si>
  <si>
    <t xml:space="preserve">Industrial capex weakens (tariffs, auto/EV retrenchment, China) and the CAD/PLM duopoly with Dassault and Siemens turns more price-competitive just as AI-native design tools and Siemens' bundling compress seat growth. ARR growth slips to 3-4%, the SaaS migration costs margin rather than adding to it, and cash EBITDA drifts to 41% with SBC stuck near 10.5% of revenue to retain engineers.</t>
  </si>
  <si>
    <t xml:space="preserve">Scenario narrative: base</t>
  </si>
  <si>
    <t xml:space="preserve">PTC becomes a focused CAD + PLM franchise after selling Kepware/ThingWorx: Creo and Windchill are deeply embedded in discrete-manufacturing engineering workflows (switching means re-certifying product data and retraining engineers), so ARR compounds ~8% on price, seat expansion and the shift of on-premise Windchill/Creo to SaaS, decelerating to 4% by FY36 as the installed base matures. Cash margins expand ~3.5pp from the go-to-market restructuring and operating leverage, SBC+withholding glides from 11% to ~8.6% of revenue, and buybacks keep the count flat-to-down.</t>
  </si>
  <si>
    <t xml:space="preserve">Scenario narrative: bull</t>
  </si>
  <si>
    <t xml:space="preserve">PLM becomes the system of record for AI-driven product development: Windchill+Codebeamer (ALM) and ServiceMax win the digital-thread consolidation in aerospace/defence, automotive and medtech, Onshape takes cloud-native CAD share from SolidWorks/Fusion, and SaaS conversion lifts ARR growth to ~10-11% for several years. Pricing power plus a leaner cost base take cash EBITDA to 50%, and SBC falls to 8%.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</si>
  <si>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</si>
  <si>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</si>
  <si>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</si>
  <si>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</si>
  <si>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</si>
  <si>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</si>
  <si>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</si>
  <si>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</si>
  <si>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</si>
  <si>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</si>
  <si>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</si>
  <si>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</si>
  <si>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</si>
  <si>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</si>
  <si>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</si>
  <si>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</si>
  <si>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</si>
  <si>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</si>
  <si>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</si>
  <si>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</si>
  <si>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</si>
  <si>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</si>
  <si>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</si>
  <si>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</si>
  <si>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</si>
  <si>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</si>
  <si>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</si>
  <si>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</si>
  <si>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</si>
  <si>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</si>
  <si>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</si>
  <si>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</si>
  <si>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</si>
  <si>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</si>
  <si>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</si>
  <si>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</si>
  <si>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</si>
  <si>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</si>
  <si>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</si>
  <si>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</si>
  <si>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</si>
  <si>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</si>
  <si>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</si>
  <si>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</si>
  <si>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</si>
  <si>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</si>
  <si>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</si>
  <si>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</si>
  <si>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</si>
  <si>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</si>
  <si>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</si>
  <si>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</si>
  <si>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</si>
  <si>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</si>
  <si>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</si>
  <si>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</si>
  <si>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</si>
  <si>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</si>
  <si>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</si>
  <si>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</si>
  <si>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</si>
  <si>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</si>
  <si>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</si>
  <si>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</si>
  <si>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</si>
  <si>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</si>
  <si>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</si>
  <si>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</si>
  <si>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</si>
  <si>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</si>
  <si>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</si>
  <si>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</si>
  <si>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</si>
  <si>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</si>
  <si>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</si>
  <si>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</si>
  <si>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</si>
  <si>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</si>
  <si>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</si>
  <si>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</si>
  <si>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</si>
  <si>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</si>
  <si>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</si>
  <si>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</si>
  <si>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PTC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</si>
  <si>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</si>
  <si>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</si>
  <si>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</si>
  <si>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</si>
  <si>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</si>
  <si>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</si>
  <si>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</si>
  <si>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</si>
  <si>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</si>
  <si>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</si>
  <si>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</si>
  <si>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</si>
  <si>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</si>
  <si>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</si>
  <si>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</si>
  <si>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</si>
  <si>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</si>
  <si>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</si>
  <si>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</si>
  <si>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</si>
  <si>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</si>
  <si>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</si>
  <si>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</si>
  <si>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</si>
  <si>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</si>
  <si>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</si>
  <si>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</si>
  <si>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</si>
  <si>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</si>
  <si>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</si>
  <si>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PTC owner-FCF component DCF: base case (millions, USD)</t>
  </si>
  <si>
    <t xml:space="preserve">PTC owner-FCF component DCF: bull case (millions, USD)</t>
  </si>
  <si>
    <t xml:space="preserve">PTC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</si>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</sst>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146.47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594.507</v>
      </c>
      <c r="S2" s="0" t="n">
        <v>263.271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1070.33</v>
      </c>
      <c r="F3" s="0" t="n">
        <v>125.245</v>
      </c>
      <c r="G3" s="0" t="n">
        <v>11.7015313034298</v>
      </c>
      <c r="H3" s="0" t="n">
        <v>185.266</v>
      </c>
      <c r="I3" s="0" t="n">
        <v>79.702</v>
      </c>
      <c r="J3" s="0" t="n">
        <v>7.44648846617398</v>
      </c>
      <c r="K3" s="0" t="n">
        <v>0.7</v>
      </c>
      <c r="L3" s="0" t="n">
        <v>222.24</v>
      </c>
      <c r="M3" s="0" t="n">
        <v>25.439</v>
      </c>
      <c r="N3" s="0" t="n">
        <v>196.801</v>
      </c>
      <c r="O3" s="0" t="n">
        <v>702.525</v>
      </c>
      <c r="S3" s="0" t="n">
        <v>256.941</v>
      </c>
      <c r="T3" s="0" t="n">
        <v>117.87</v>
      </c>
      <c r="U3" s="0" t="n">
        <v>44.396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938.185</v>
      </c>
      <c r="F4" s="0" t="n">
        <v>19.295</v>
      </c>
      <c r="G4" s="0" t="n">
        <v>2.05663062189227</v>
      </c>
      <c r="H4" s="0" t="n">
        <v>80.905</v>
      </c>
      <c r="I4" s="0" t="n">
        <v>31.522</v>
      </c>
      <c r="J4" s="0" t="n">
        <v>3.35989170579363</v>
      </c>
      <c r="K4" s="0" t="n">
        <v>0.27</v>
      </c>
      <c r="L4" s="0" t="n">
        <v>69.676</v>
      </c>
      <c r="M4" s="0" t="n">
        <v>30.087</v>
      </c>
      <c r="N4" s="0" t="n">
        <v>39.589</v>
      </c>
      <c r="O4" s="0" t="n">
        <v>761.581</v>
      </c>
      <c r="P4" s="0" t="n">
        <v>1350.212</v>
      </c>
      <c r="Q4" s="0" t="n">
        <v>588.631</v>
      </c>
      <c r="S4" s="0" t="n">
        <v>235.122</v>
      </c>
      <c r="T4" s="0" t="n">
        <v>117.359</v>
      </c>
      <c r="U4" s="0" t="n">
        <v>43.328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1010.049</v>
      </c>
      <c r="C5" s="0" t="n">
        <v>307.695</v>
      </c>
      <c r="D5" s="0" t="n">
        <v>702.354</v>
      </c>
      <c r="E5" s="0" t="n">
        <v>69.5366264408955</v>
      </c>
      <c r="F5" s="0" t="n">
        <v>74.775</v>
      </c>
      <c r="G5" s="0" t="n">
        <v>7.40310618593752</v>
      </c>
      <c r="H5" s="0" t="n">
        <v>136.957</v>
      </c>
      <c r="I5" s="0" t="n">
        <v>24.368</v>
      </c>
      <c r="J5" s="0" t="n">
        <v>2.4125562225199</v>
      </c>
      <c r="K5" s="0" t="n">
        <v>0.21</v>
      </c>
      <c r="L5" s="0" t="n">
        <v>156.644</v>
      </c>
      <c r="M5" s="0" t="n">
        <v>26.729</v>
      </c>
      <c r="N5" s="0" t="n">
        <v>129.915</v>
      </c>
      <c r="O5" s="0" t="n">
        <v>747.304</v>
      </c>
      <c r="P5" s="0" t="n">
        <v>1307.064</v>
      </c>
      <c r="Q5" s="0" t="n">
        <v>559.76</v>
      </c>
      <c r="S5" s="0" t="n">
        <v>240.253</v>
      </c>
      <c r="T5" s="0" t="n">
        <v>119.925</v>
      </c>
      <c r="U5" s="0" t="n">
        <v>48.911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1166.949</v>
      </c>
      <c r="C6" s="0" t="n">
        <v>356.768</v>
      </c>
      <c r="D6" s="0" t="n">
        <v>810.181</v>
      </c>
      <c r="E6" s="0" t="n">
        <v>69.4272843114823</v>
      </c>
      <c r="F6" s="0" t="n">
        <v>117.114</v>
      </c>
      <c r="G6" s="0" t="n">
        <v>10.0359141659147</v>
      </c>
      <c r="H6" s="0" t="n">
        <v>179.508</v>
      </c>
      <c r="I6" s="0" t="n">
        <v>85.424</v>
      </c>
      <c r="J6" s="0" t="n">
        <v>7.32028563373378</v>
      </c>
      <c r="K6" s="0" t="n">
        <v>0.73</v>
      </c>
      <c r="L6" s="0" t="n">
        <v>78.698</v>
      </c>
      <c r="M6" s="0" t="n">
        <v>27.817</v>
      </c>
      <c r="N6" s="0" t="n">
        <v>50.881</v>
      </c>
      <c r="O6" s="0" t="n">
        <v>822.69</v>
      </c>
      <c r="P6" s="0" t="n">
        <v>1629.682</v>
      </c>
      <c r="Q6" s="0" t="n">
        <v>806.992</v>
      </c>
      <c r="S6" s="0" t="n">
        <v>167.878</v>
      </c>
      <c r="T6" s="0" t="n">
        <v>120.974</v>
      </c>
      <c r="U6" s="0" t="n">
        <v>45.402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1255.679</v>
      </c>
      <c r="C7" s="0" t="n">
        <v>372.128</v>
      </c>
      <c r="D7" s="0" t="n">
        <v>883.551</v>
      </c>
      <c r="E7" s="0" t="n">
        <v>70.364400455849</v>
      </c>
      <c r="F7" s="0" t="n">
        <v>128.096</v>
      </c>
      <c r="G7" s="0" t="n">
        <v>10.2013333025399</v>
      </c>
      <c r="H7" s="0" t="n">
        <v>194.567</v>
      </c>
      <c r="I7" s="0" t="n">
        <v>-35.398</v>
      </c>
      <c r="J7" s="0" t="n">
        <v>-2.81903257122242</v>
      </c>
      <c r="K7" s="0" t="n">
        <v>-0.3</v>
      </c>
      <c r="L7" s="0" t="n">
        <v>217.975</v>
      </c>
      <c r="M7" s="0" t="n">
        <v>31.413</v>
      </c>
      <c r="N7" s="0" t="n">
        <v>186.562</v>
      </c>
      <c r="O7" s="0" t="n">
        <v>797.259</v>
      </c>
      <c r="P7" s="0" t="n">
        <v>1791.634</v>
      </c>
      <c r="Q7" s="0" t="n">
        <v>994.375</v>
      </c>
      <c r="S7" s="0" t="n">
        <v>489.543</v>
      </c>
      <c r="T7" s="0" t="n">
        <v>119.553</v>
      </c>
      <c r="U7" s="0" t="n">
        <v>51.305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1293.541</v>
      </c>
      <c r="C8" s="0" t="n">
        <v>373.039</v>
      </c>
      <c r="D8" s="0" t="n">
        <v>920.502</v>
      </c>
      <c r="E8" s="0" t="n">
        <v>71.1614088768736</v>
      </c>
      <c r="F8" s="0" t="n">
        <v>127.324</v>
      </c>
      <c r="G8" s="0" t="n">
        <v>9.84305870474921</v>
      </c>
      <c r="H8" s="0" t="n">
        <v>203.875</v>
      </c>
      <c r="I8" s="0" t="n">
        <v>143.769</v>
      </c>
      <c r="J8" s="0" t="n">
        <v>11.1143751918184</v>
      </c>
      <c r="K8" s="0" t="n">
        <v>1.2</v>
      </c>
      <c r="L8" s="0" t="n">
        <v>224.683</v>
      </c>
      <c r="M8" s="0" t="n">
        <v>29.328</v>
      </c>
      <c r="N8" s="0" t="n">
        <v>195.355</v>
      </c>
      <c r="O8" s="0" t="n">
        <v>926.48</v>
      </c>
      <c r="P8" s="0" t="n">
        <v>1828.906</v>
      </c>
      <c r="Q8" s="0" t="n">
        <v>902.426</v>
      </c>
      <c r="S8" s="0" t="n">
        <v>241.913</v>
      </c>
      <c r="T8" s="0" t="n">
        <v>121.24</v>
      </c>
      <c r="U8" s="0" t="n">
        <v>48.787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1356.967</v>
      </c>
      <c r="C9" s="0" t="n">
        <v>373.683</v>
      </c>
      <c r="D9" s="0" t="n">
        <v>983.284</v>
      </c>
      <c r="E9" s="0" t="n">
        <v>72.4618947992103</v>
      </c>
      <c r="F9" s="0" t="n">
        <v>196.576</v>
      </c>
      <c r="G9" s="0" t="n">
        <v>14.4864245040594</v>
      </c>
      <c r="H9" s="0" t="n">
        <v>273.883</v>
      </c>
      <c r="I9" s="0" t="n">
        <v>160.194</v>
      </c>
      <c r="J9" s="0" t="n">
        <v>11.8052981391589</v>
      </c>
      <c r="K9" s="0" t="n">
        <v>1.36</v>
      </c>
      <c r="L9" s="0" t="n">
        <v>304.552</v>
      </c>
      <c r="M9" s="0" t="n">
        <v>25.275</v>
      </c>
      <c r="N9" s="0" t="n">
        <v>279.277</v>
      </c>
      <c r="O9" s="0" t="n">
        <v>853.889</v>
      </c>
      <c r="P9" s="0" t="n">
        <v>2199.954</v>
      </c>
      <c r="Q9" s="0" t="n">
        <v>1346.065</v>
      </c>
      <c r="S9" s="0" t="n">
        <v>293.654</v>
      </c>
      <c r="T9" s="0" t="n">
        <v>119.984</v>
      </c>
      <c r="U9" s="0" t="n">
        <v>50.889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1255.242</v>
      </c>
      <c r="C10" s="0" t="n">
        <v>334.734</v>
      </c>
      <c r="D10" s="0" t="n">
        <v>920.508</v>
      </c>
      <c r="E10" s="0" t="n">
        <v>73.3331102687769</v>
      </c>
      <c r="F10" s="0" t="n">
        <v>41.616</v>
      </c>
      <c r="G10" s="0" t="n">
        <v>3.31537663653702</v>
      </c>
      <c r="H10" s="0" t="n">
        <v>126.049</v>
      </c>
      <c r="I10" s="0" t="n">
        <v>47.557</v>
      </c>
      <c r="J10" s="0" t="n">
        <v>3.7886718258312</v>
      </c>
      <c r="K10" s="0" t="n">
        <v>0.41</v>
      </c>
      <c r="L10" s="0" t="n">
        <v>179.903</v>
      </c>
      <c r="M10" s="0" t="n">
        <v>30.628</v>
      </c>
      <c r="N10" s="0" t="n">
        <v>149.275</v>
      </c>
      <c r="O10" s="0" t="n">
        <v>860.171</v>
      </c>
      <c r="P10" s="0" t="n">
        <v>2209.913</v>
      </c>
      <c r="Q10" s="0" t="n">
        <v>1349.742</v>
      </c>
      <c r="S10" s="0" t="n">
        <v>273.417</v>
      </c>
      <c r="T10" s="0" t="n">
        <v>116.012</v>
      </c>
      <c r="U10" s="0" t="n">
        <v>50.182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1140.533</v>
      </c>
      <c r="C11" s="0" t="n">
        <v>325.665</v>
      </c>
      <c r="D11" s="0" t="n">
        <v>814.868</v>
      </c>
      <c r="E11" s="0" t="n">
        <v>71.4462448697232</v>
      </c>
      <c r="F11" s="0" t="n">
        <v>-37.014</v>
      </c>
      <c r="G11" s="0" t="n">
        <v>-3.2453247735927</v>
      </c>
      <c r="H11" s="0" t="n">
        <v>49.54</v>
      </c>
      <c r="I11" s="0" t="n">
        <v>-54.465</v>
      </c>
      <c r="J11" s="0" t="n">
        <v>-4.77539887052808</v>
      </c>
      <c r="K11" s="0" t="n">
        <v>-0.48</v>
      </c>
      <c r="L11" s="0" t="n">
        <v>183.261</v>
      </c>
      <c r="M11" s="0" t="n">
        <v>26.189</v>
      </c>
      <c r="N11" s="0" t="n">
        <v>157.072</v>
      </c>
      <c r="O11" s="0" t="n">
        <v>842.666</v>
      </c>
      <c r="P11" s="0" t="n">
        <v>2345.729</v>
      </c>
      <c r="Q11" s="0" t="n">
        <v>1503.063</v>
      </c>
      <c r="S11" s="0" t="n">
        <v>277.935</v>
      </c>
      <c r="T11" s="0" t="n">
        <v>114.968</v>
      </c>
      <c r="U11" s="0" t="n">
        <v>65.996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1164.039</v>
      </c>
      <c r="C12" s="0" t="n">
        <v>328.502</v>
      </c>
      <c r="D12" s="0" t="n">
        <v>835.537</v>
      </c>
      <c r="E12" s="0" t="n">
        <v>71.7791242389645</v>
      </c>
      <c r="F12" s="0" t="n">
        <v>41.766</v>
      </c>
      <c r="G12" s="0" t="n">
        <v>3.58802411259417</v>
      </c>
      <c r="H12" s="0" t="n">
        <v>128.508</v>
      </c>
      <c r="I12" s="0" t="n">
        <v>6.239</v>
      </c>
      <c r="J12" s="0" t="n">
        <v>0.535978605527822</v>
      </c>
      <c r="K12" s="0" t="n">
        <v>0.05</v>
      </c>
      <c r="L12" s="0" t="n">
        <v>135.203</v>
      </c>
      <c r="M12" s="0" t="n">
        <v>25.444</v>
      </c>
      <c r="N12" s="0" t="n">
        <v>109.759</v>
      </c>
      <c r="O12" s="0" t="n">
        <v>885.436</v>
      </c>
      <c r="P12" s="0" t="n">
        <v>2360.384</v>
      </c>
      <c r="Q12" s="0" t="n">
        <v>1474.948</v>
      </c>
      <c r="S12" s="0" t="n">
        <v>280.003</v>
      </c>
      <c r="T12" s="0" t="n">
        <v>117.356</v>
      </c>
      <c r="U12" s="0" t="n">
        <v>76.708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1241.824</v>
      </c>
      <c r="C13" s="0" t="n">
        <v>326.502</v>
      </c>
      <c r="D13" s="0" t="n">
        <v>915.322</v>
      </c>
      <c r="E13" s="0" t="n">
        <v>73.7078684257995</v>
      </c>
      <c r="F13" s="0" t="n">
        <v>72.613</v>
      </c>
      <c r="G13" s="0" t="n">
        <v>5.84728592779653</v>
      </c>
      <c r="H13" s="0" t="n">
        <v>160.021</v>
      </c>
      <c r="I13" s="0" t="n">
        <v>51.987</v>
      </c>
      <c r="J13" s="0" t="n">
        <v>4.18634202592316</v>
      </c>
      <c r="K13" s="0" t="n">
        <v>0.45</v>
      </c>
      <c r="L13" s="0" t="n">
        <v>247.752</v>
      </c>
      <c r="M13" s="0" t="n">
        <v>36.041</v>
      </c>
      <c r="N13" s="0" t="n">
        <v>211.711</v>
      </c>
      <c r="O13" s="0" t="n">
        <v>874.589</v>
      </c>
      <c r="P13" s="0" t="n">
        <v>2329.022</v>
      </c>
      <c r="Q13" s="0" t="n">
        <v>1454.433</v>
      </c>
      <c r="R13" s="0" t="n">
        <v>643.268</v>
      </c>
      <c r="S13" s="0" t="n">
        <v>259.946</v>
      </c>
      <c r="T13" s="0" t="n">
        <v>118.158</v>
      </c>
      <c r="U13" s="0" t="n">
        <v>82.939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1255.631</v>
      </c>
      <c r="C14" s="0" t="n">
        <v>325.378</v>
      </c>
      <c r="D14" s="0" t="n">
        <v>930.253</v>
      </c>
      <c r="E14" s="0" t="n">
        <v>74.0864951566185</v>
      </c>
      <c r="F14" s="0" t="n">
        <v>63.042</v>
      </c>
      <c r="G14" s="0" t="n">
        <v>5.02074255892058</v>
      </c>
      <c r="H14" s="0" t="n">
        <v>140.866</v>
      </c>
      <c r="I14" s="0" t="n">
        <v>-27.46</v>
      </c>
      <c r="J14" s="0" t="n">
        <v>-2.18694823558832</v>
      </c>
      <c r="K14" s="0" t="n">
        <v>-0.23</v>
      </c>
      <c r="L14" s="0" t="n">
        <v>285.145</v>
      </c>
      <c r="M14" s="0" t="n">
        <v>64.411</v>
      </c>
      <c r="N14" s="0" t="n">
        <v>220.734</v>
      </c>
      <c r="O14" s="0" t="n">
        <v>1201.998</v>
      </c>
      <c r="P14" s="0" t="n">
        <v>2664.588</v>
      </c>
      <c r="Q14" s="0" t="n">
        <v>1462.59</v>
      </c>
      <c r="R14" s="0" t="n">
        <v>669.134</v>
      </c>
      <c r="S14" s="0" t="n">
        <v>269.579</v>
      </c>
      <c r="T14" s="0" t="n">
        <v>117.724</v>
      </c>
      <c r="U14" s="0" t="n">
        <v>86.4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1458.415</v>
      </c>
      <c r="C15" s="0" t="n">
        <v>334.271</v>
      </c>
      <c r="D15" s="0" t="n">
        <v>1124.144</v>
      </c>
      <c r="E15" s="0" t="n">
        <v>77.0798435287624</v>
      </c>
      <c r="F15" s="0" t="n">
        <v>210.863</v>
      </c>
      <c r="G15" s="0" t="n">
        <v>14.4583674742786</v>
      </c>
      <c r="H15" s="0" t="n">
        <v>291.68</v>
      </c>
      <c r="I15" s="0" t="n">
        <v>130.695</v>
      </c>
      <c r="J15" s="0" t="n">
        <v>8.96144101644594</v>
      </c>
      <c r="K15" s="0" t="n">
        <v>1.13</v>
      </c>
      <c r="L15" s="0" t="n">
        <v>233.808</v>
      </c>
      <c r="M15" s="0" t="n">
        <v>20.196</v>
      </c>
      <c r="N15" s="0" t="n">
        <v>213.612</v>
      </c>
      <c r="O15" s="0" t="n">
        <v>1438.248</v>
      </c>
      <c r="P15" s="0" t="n">
        <v>3382.738</v>
      </c>
      <c r="Q15" s="0" t="n">
        <v>1944.49</v>
      </c>
      <c r="R15" s="0" t="n">
        <v>1005.314</v>
      </c>
      <c r="S15" s="0" t="n">
        <v>275.458</v>
      </c>
      <c r="T15" s="0" t="n">
        <v>116.267</v>
      </c>
      <c r="U15" s="0" t="n">
        <v>115.149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1807.159</v>
      </c>
      <c r="C16" s="0" t="n">
        <v>371.102</v>
      </c>
      <c r="D16" s="0" t="n">
        <v>1436.057</v>
      </c>
      <c r="E16" s="0" t="n">
        <v>79.4648948985673</v>
      </c>
      <c r="F16" s="0" t="n">
        <v>380.748</v>
      </c>
      <c r="G16" s="0" t="n">
        <v>21.0688710843927</v>
      </c>
      <c r="H16" s="0" t="n">
        <v>465.987</v>
      </c>
      <c r="I16" s="0" t="n">
        <v>476.923</v>
      </c>
      <c r="J16" s="0" t="n">
        <v>26.3907603038803</v>
      </c>
      <c r="K16" s="0" t="n">
        <v>4.08</v>
      </c>
      <c r="L16" s="0" t="n">
        <v>368.809</v>
      </c>
      <c r="M16" s="0" t="n">
        <v>24.713</v>
      </c>
      <c r="N16" s="0" t="n">
        <v>344.096</v>
      </c>
      <c r="O16" s="0" t="n">
        <v>2038.468</v>
      </c>
      <c r="P16" s="0" t="n">
        <v>4507.56</v>
      </c>
      <c r="Q16" s="0" t="n">
        <v>2469.092</v>
      </c>
      <c r="R16" s="0" t="n">
        <v>1439.471</v>
      </c>
      <c r="S16" s="0" t="n">
        <v>326.532</v>
      </c>
      <c r="T16" s="0" t="n">
        <v>118.367</v>
      </c>
      <c r="U16" s="0" t="n">
        <v>177.289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1933.347</v>
      </c>
      <c r="C17" s="0" t="n">
        <v>385.98</v>
      </c>
      <c r="D17" s="0" t="n">
        <v>1547.367</v>
      </c>
      <c r="E17" s="0" t="n">
        <v>80.0356583686219</v>
      </c>
      <c r="F17" s="0" t="n">
        <v>447.362</v>
      </c>
      <c r="G17" s="0" t="n">
        <v>23.1392502225415</v>
      </c>
      <c r="H17" s="0" t="n">
        <v>535.056</v>
      </c>
      <c r="I17" s="0" t="n">
        <v>313.081</v>
      </c>
      <c r="J17" s="0" t="n">
        <v>16.1937303546647</v>
      </c>
      <c r="K17" s="0" t="n">
        <v>2.67</v>
      </c>
      <c r="L17" s="0" t="n">
        <v>435.326</v>
      </c>
      <c r="M17" s="0" t="n">
        <v>19.496</v>
      </c>
      <c r="N17" s="0" t="n">
        <v>415.83</v>
      </c>
      <c r="O17" s="0" t="n">
        <v>2296.034</v>
      </c>
      <c r="P17" s="0" t="n">
        <v>4687.268</v>
      </c>
      <c r="Q17" s="0" t="n">
        <v>2391.234</v>
      </c>
      <c r="R17" s="0" t="n">
        <v>1350.628</v>
      </c>
      <c r="S17" s="0" t="n">
        <v>272.182</v>
      </c>
      <c r="T17" s="0" t="n">
        <v>118.233</v>
      </c>
      <c r="U17" s="0" t="n">
        <v>174.863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2097.053</v>
      </c>
      <c r="C18" s="0" t="n">
        <v>441.006</v>
      </c>
      <c r="D18" s="0" t="n">
        <v>1656.047</v>
      </c>
      <c r="E18" s="0" t="n">
        <v>78.970202469847</v>
      </c>
      <c r="F18" s="0" t="n">
        <v>458.474</v>
      </c>
      <c r="G18" s="0" t="n">
        <v>21.8627760004158</v>
      </c>
      <c r="H18" s="0" t="n">
        <v>563.234</v>
      </c>
      <c r="I18" s="0" t="n">
        <v>245.54</v>
      </c>
      <c r="J18" s="0" t="n">
        <v>11.708812319002</v>
      </c>
      <c r="K18" s="0" t="n">
        <v>2.07</v>
      </c>
      <c r="L18" s="0" t="n">
        <v>610.861</v>
      </c>
      <c r="M18" s="0" t="n">
        <v>23.814</v>
      </c>
      <c r="N18" s="0" t="n">
        <v>587.047</v>
      </c>
      <c r="O18" s="0" t="n">
        <v>2677.29</v>
      </c>
      <c r="P18" s="0" t="n">
        <v>6288.842</v>
      </c>
      <c r="Q18" s="0" t="n">
        <v>3611.552</v>
      </c>
      <c r="R18" s="0" t="n">
        <v>1695.785</v>
      </c>
      <c r="S18" s="0" t="n">
        <v>288.103</v>
      </c>
      <c r="T18" s="0" t="n">
        <v>119.334</v>
      </c>
      <c r="U18" s="0" t="n">
        <v>206.459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2298.472</v>
      </c>
      <c r="C19" s="0" t="n">
        <v>444.816</v>
      </c>
      <c r="D19" s="0" t="n">
        <v>1853.656</v>
      </c>
      <c r="E19" s="0" t="n">
        <v>80.6473170001636</v>
      </c>
      <c r="F19" s="0" t="n">
        <v>588.062</v>
      </c>
      <c r="G19" s="0" t="n">
        <v>25.584910323032</v>
      </c>
      <c r="H19" s="0" t="n">
        <v>696.181</v>
      </c>
      <c r="I19" s="0" t="n">
        <v>376.333</v>
      </c>
      <c r="J19" s="0" t="n">
        <v>16.3731818355847</v>
      </c>
      <c r="K19" s="0" t="n">
        <v>3.14</v>
      </c>
      <c r="L19" s="0" t="n">
        <v>749.984</v>
      </c>
      <c r="M19" s="0" t="n">
        <v>14.378</v>
      </c>
      <c r="N19" s="0" t="n">
        <v>735.606</v>
      </c>
      <c r="O19" s="0" t="n">
        <v>3214.398</v>
      </c>
      <c r="P19" s="0" t="n">
        <v>6383.542</v>
      </c>
      <c r="Q19" s="0" t="n">
        <v>3169.144</v>
      </c>
      <c r="R19" s="0" t="n">
        <v>1748.572</v>
      </c>
      <c r="S19" s="0" t="n">
        <v>265.808</v>
      </c>
      <c r="T19" s="0" t="n">
        <v>120.742</v>
      </c>
      <c r="U19" s="0" t="n">
        <v>223.461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2739.226</v>
      </c>
      <c r="C20" s="0" t="n">
        <v>444.983</v>
      </c>
      <c r="D20" s="0" t="n">
        <v>2294.243</v>
      </c>
      <c r="E20" s="0" t="n">
        <v>83.7551556534583</v>
      </c>
      <c r="F20" s="0" t="n">
        <v>982.385</v>
      </c>
      <c r="G20" s="0" t="n">
        <v>35.8635979652646</v>
      </c>
      <c r="H20" s="0" t="n">
        <v>1084.889</v>
      </c>
      <c r="I20" s="0" t="n">
        <v>733.997</v>
      </c>
      <c r="J20" s="0" t="n">
        <v>26.7957809979899</v>
      </c>
      <c r="K20" s="0" t="n">
        <v>6.12</v>
      </c>
      <c r="L20" s="0" t="n">
        <v>867.696</v>
      </c>
      <c r="M20" s="0" t="n">
        <v>11.008</v>
      </c>
      <c r="N20" s="0" t="n">
        <v>856.688</v>
      </c>
      <c r="O20" s="0" t="n">
        <v>3826.229</v>
      </c>
      <c r="P20" s="0" t="n">
        <v>6617.172</v>
      </c>
      <c r="Q20" s="0" t="n">
        <v>2790.943</v>
      </c>
      <c r="R20" s="0" t="n">
        <v>1197.434</v>
      </c>
      <c r="S20" s="0" t="n">
        <v>184.415</v>
      </c>
      <c r="T20" s="0" t="n">
        <v>120.777</v>
      </c>
      <c r="U20" s="0" t="n">
        <v>216.205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146.47</v>
      </c>
    </row>
    <row r="3" customFormat="false" ht="15" hidden="false" customHeight="false" outlineLevel="0" collapsed="false">
      <c r="A3" s="0" t="s">
        <v>85</v>
      </c>
      <c r="B3" s="3" t="n">
        <v>109.4</v>
      </c>
    </row>
    <row r="4" customFormat="false" ht="15" hidden="false" customHeight="false" outlineLevel="0" collapsed="false">
      <c r="A4" s="0" t="s">
        <v>86</v>
      </c>
      <c r="B4" s="3" t="n">
        <v>1071.9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2880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</v>
      </c>
      <c r="D13" s="3" t="n">
        <v>4</v>
      </c>
      <c r="E13" s="3" t="n">
        <v>4</v>
      </c>
      <c r="F13" s="3" t="n">
        <v>4</v>
      </c>
      <c r="G13" s="3" t="n">
        <v>3.5</v>
      </c>
      <c r="H13" s="3" t="n">
        <v>3.5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107</v>
      </c>
      <c r="C14" s="3" t="n">
        <v>42.5</v>
      </c>
      <c r="D14" s="3" t="n">
        <v>42.5</v>
      </c>
      <c r="E14" s="3" t="n">
        <v>42.5</v>
      </c>
      <c r="F14" s="3" t="n">
        <v>42</v>
      </c>
      <c r="G14" s="3" t="n">
        <v>42</v>
      </c>
      <c r="H14" s="3" t="n">
        <v>41.5</v>
      </c>
      <c r="I14" s="3" t="n">
        <v>41.5</v>
      </c>
      <c r="J14" s="3" t="n">
        <v>41</v>
      </c>
      <c r="K14" s="3" t="n">
        <v>41</v>
      </c>
      <c r="L14" s="3" t="n">
        <v>41</v>
      </c>
    </row>
    <row r="15" customFormat="false" ht="15" hidden="false" customHeight="false" outlineLevel="0" collapsed="false">
      <c r="A15" s="0" t="s">
        <v>108</v>
      </c>
      <c r="C15" s="3" t="n">
        <v>11.2</v>
      </c>
      <c r="D15" s="3" t="n">
        <v>11.2</v>
      </c>
      <c r="E15" s="3" t="n">
        <v>11</v>
      </c>
      <c r="F15" s="3" t="n">
        <v>11</v>
      </c>
      <c r="G15" s="3" t="n">
        <v>10.8</v>
      </c>
      <c r="H15" s="3" t="n">
        <v>10.8</v>
      </c>
      <c r="I15" s="3" t="n">
        <v>10.6</v>
      </c>
      <c r="J15" s="3" t="n">
        <v>10.5</v>
      </c>
      <c r="K15" s="3" t="n">
        <v>10.5</v>
      </c>
      <c r="L15" s="3" t="n">
        <v>10.5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3.4</v>
      </c>
      <c r="D17" s="3" t="n">
        <v>3.2</v>
      </c>
      <c r="E17" s="3" t="n">
        <v>3</v>
      </c>
      <c r="F17" s="3" t="n">
        <v>2.8</v>
      </c>
      <c r="G17" s="3" t="n">
        <v>2.6</v>
      </c>
      <c r="H17" s="3" t="n">
        <v>2.4</v>
      </c>
      <c r="I17" s="3" t="n">
        <v>2.2</v>
      </c>
      <c r="J17" s="3" t="n">
        <v>2</v>
      </c>
      <c r="K17" s="3" t="n">
        <v>1.8</v>
      </c>
      <c r="L17" s="3" t="n">
        <v>1.6</v>
      </c>
    </row>
    <row r="18" customFormat="false" ht="15" hidden="false" customHeight="false" outlineLevel="0" collapsed="false">
      <c r="A18" s="0" t="s">
        <v>111</v>
      </c>
      <c r="C18" s="3" t="n">
        <v>0.6</v>
      </c>
      <c r="D18" s="3" t="n">
        <v>0.6</v>
      </c>
      <c r="E18" s="3" t="n">
        <v>0.6</v>
      </c>
      <c r="F18" s="3" t="n">
        <v>0.6</v>
      </c>
      <c r="G18" s="3" t="n">
        <v>0.6</v>
      </c>
      <c r="H18" s="3" t="n">
        <v>0.6</v>
      </c>
      <c r="I18" s="3" t="n">
        <v>0.6</v>
      </c>
      <c r="J18" s="3" t="n">
        <v>0.6</v>
      </c>
      <c r="K18" s="3" t="n">
        <v>0.6</v>
      </c>
      <c r="L18" s="3" t="n">
        <v>0.6</v>
      </c>
    </row>
    <row r="19" customFormat="false" ht="15" hidden="false" customHeight="false" outlineLevel="0" collapsed="false">
      <c r="A19" s="0" t="s">
        <v>112</v>
      </c>
      <c r="C19" s="3" t="n">
        <v>17</v>
      </c>
      <c r="D19" s="3" t="n">
        <v>18</v>
      </c>
      <c r="E19" s="3" t="n">
        <v>19</v>
      </c>
      <c r="F19" s="3" t="n">
        <v>20</v>
      </c>
      <c r="G19" s="3" t="n">
        <v>20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16</v>
      </c>
    </row>
    <row r="23" customFormat="false" ht="15" hidden="false" customHeight="false" outlineLevel="0" collapsed="false">
      <c r="A23" s="0" t="s">
        <v>116</v>
      </c>
      <c r="B23" s="3" t="n">
        <v>-10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7</v>
      </c>
      <c r="D27" s="3" t="n">
        <v>8</v>
      </c>
      <c r="E27" s="3" t="n">
        <v>7.5</v>
      </c>
      <c r="F27" s="3" t="n">
        <v>7</v>
      </c>
      <c r="G27" s="3" t="n">
        <v>6.5</v>
      </c>
      <c r="H27" s="3" t="n">
        <v>6</v>
      </c>
      <c r="I27" s="3" t="n">
        <v>5.5</v>
      </c>
      <c r="J27" s="3" t="n">
        <v>5</v>
      </c>
      <c r="K27" s="3" t="n">
        <v>4.5</v>
      </c>
      <c r="L27" s="3" t="n">
        <v>4</v>
      </c>
    </row>
    <row r="28" customFormat="false" ht="15" hidden="false" customHeight="false" outlineLevel="0" collapsed="false">
      <c r="A28" s="0" t="s">
        <v>107</v>
      </c>
      <c r="C28" s="3" t="n">
        <v>43.5</v>
      </c>
      <c r="D28" s="3" t="n">
        <v>44.5</v>
      </c>
      <c r="E28" s="3" t="n">
        <v>45.5</v>
      </c>
      <c r="F28" s="3" t="n">
        <v>46</v>
      </c>
      <c r="G28" s="3" t="n">
        <v>46.5</v>
      </c>
      <c r="H28" s="3" t="n">
        <v>47</v>
      </c>
      <c r="I28" s="3" t="n">
        <v>47</v>
      </c>
      <c r="J28" s="3" t="n">
        <v>47</v>
      </c>
      <c r="K28" s="3" t="n">
        <v>47</v>
      </c>
      <c r="L28" s="3" t="n">
        <v>47</v>
      </c>
    </row>
    <row r="29" customFormat="false" ht="15" hidden="false" customHeight="false" outlineLevel="0" collapsed="false">
      <c r="A29" s="0" t="s">
        <v>108</v>
      </c>
      <c r="C29" s="3" t="n">
        <v>11</v>
      </c>
      <c r="D29" s="3" t="n">
        <v>10.7</v>
      </c>
      <c r="E29" s="3" t="n">
        <v>10.4</v>
      </c>
      <c r="F29" s="3" t="n">
        <v>10.1</v>
      </c>
      <c r="G29" s="3" t="n">
        <v>9.8</v>
      </c>
      <c r="H29" s="3" t="n">
        <v>9.5</v>
      </c>
      <c r="I29" s="3" t="n">
        <v>9.2</v>
      </c>
      <c r="J29" s="3" t="n">
        <v>9</v>
      </c>
      <c r="K29" s="3" t="n">
        <v>8.8</v>
      </c>
      <c r="L29" s="3" t="n">
        <v>8.6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3.4</v>
      </c>
      <c r="D31" s="3" t="n">
        <v>3.2</v>
      </c>
      <c r="E31" s="3" t="n">
        <v>3</v>
      </c>
      <c r="F31" s="3" t="n">
        <v>2.8</v>
      </c>
      <c r="G31" s="3" t="n">
        <v>2.6</v>
      </c>
      <c r="H31" s="3" t="n">
        <v>2.4</v>
      </c>
      <c r="I31" s="3" t="n">
        <v>2.2</v>
      </c>
      <c r="J31" s="3" t="n">
        <v>2</v>
      </c>
      <c r="K31" s="3" t="n">
        <v>1.8</v>
      </c>
      <c r="L31" s="3" t="n">
        <v>1.6</v>
      </c>
    </row>
    <row r="32" customFormat="false" ht="15" hidden="false" customHeight="false" outlineLevel="0" collapsed="false">
      <c r="A32" s="0" t="s">
        <v>111</v>
      </c>
      <c r="C32" s="3" t="n">
        <v>0.6</v>
      </c>
      <c r="D32" s="3" t="n">
        <v>0.6</v>
      </c>
      <c r="E32" s="3" t="n">
        <v>0.6</v>
      </c>
      <c r="F32" s="3" t="n">
        <v>0.6</v>
      </c>
      <c r="G32" s="3" t="n">
        <v>0.6</v>
      </c>
      <c r="H32" s="3" t="n">
        <v>0.6</v>
      </c>
      <c r="I32" s="3" t="n">
        <v>0.6</v>
      </c>
      <c r="J32" s="3" t="n">
        <v>0.6</v>
      </c>
      <c r="K32" s="3" t="n">
        <v>0.6</v>
      </c>
      <c r="L32" s="3" t="n">
        <v>0.6</v>
      </c>
    </row>
    <row r="33" customFormat="false" ht="15" hidden="false" customHeight="false" outlineLevel="0" collapsed="false">
      <c r="A33" s="0" t="s">
        <v>112</v>
      </c>
      <c r="C33" s="3" t="n">
        <v>17</v>
      </c>
      <c r="D33" s="3" t="n">
        <v>18</v>
      </c>
      <c r="E33" s="3" t="n">
        <v>19</v>
      </c>
      <c r="F33" s="3" t="n">
        <v>20</v>
      </c>
      <c r="G33" s="3" t="n">
        <v>20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-10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11</v>
      </c>
      <c r="E41" s="3" t="n">
        <v>10.5</v>
      </c>
      <c r="F41" s="3" t="n">
        <v>10</v>
      </c>
      <c r="G41" s="3" t="n">
        <v>9</v>
      </c>
      <c r="H41" s="3" t="n">
        <v>8</v>
      </c>
      <c r="I41" s="3" t="n">
        <v>7</v>
      </c>
      <c r="J41" s="3" t="n">
        <v>6</v>
      </c>
      <c r="K41" s="3" t="n">
        <v>5</v>
      </c>
      <c r="L41" s="3" t="n">
        <v>4.5</v>
      </c>
    </row>
    <row r="42" customFormat="false" ht="15" hidden="false" customHeight="false" outlineLevel="0" collapsed="false">
      <c r="A42" s="0" t="s">
        <v>107</v>
      </c>
      <c r="C42" s="3" t="n">
        <v>44</v>
      </c>
      <c r="D42" s="3" t="n">
        <v>45.5</v>
      </c>
      <c r="E42" s="3" t="n">
        <v>47</v>
      </c>
      <c r="F42" s="3" t="n">
        <v>48</v>
      </c>
      <c r="G42" s="3" t="n">
        <v>49</v>
      </c>
      <c r="H42" s="3" t="n">
        <v>49.5</v>
      </c>
      <c r="I42" s="3" t="n">
        <v>50</v>
      </c>
      <c r="J42" s="3" t="n">
        <v>50</v>
      </c>
      <c r="K42" s="3" t="n">
        <v>50</v>
      </c>
      <c r="L42" s="3" t="n">
        <v>50</v>
      </c>
    </row>
    <row r="43" customFormat="false" ht="15" hidden="false" customHeight="false" outlineLevel="0" collapsed="false">
      <c r="A43" s="0" t="s">
        <v>108</v>
      </c>
      <c r="C43" s="3" t="n">
        <v>10.8</v>
      </c>
      <c r="D43" s="3" t="n">
        <v>10.4</v>
      </c>
      <c r="E43" s="3" t="n">
        <v>10</v>
      </c>
      <c r="F43" s="3" t="n">
        <v>9.6</v>
      </c>
      <c r="G43" s="3" t="n">
        <v>9.2</v>
      </c>
      <c r="H43" s="3" t="n">
        <v>8.8</v>
      </c>
      <c r="I43" s="3" t="n">
        <v>8.5</v>
      </c>
      <c r="J43" s="3" t="n">
        <v>8.2</v>
      </c>
      <c r="K43" s="3" t="n">
        <v>8</v>
      </c>
      <c r="L43" s="3" t="n">
        <v>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3.4</v>
      </c>
      <c r="D45" s="3" t="n">
        <v>3.2</v>
      </c>
      <c r="E45" s="3" t="n">
        <v>3</v>
      </c>
      <c r="F45" s="3" t="n">
        <v>2.8</v>
      </c>
      <c r="G45" s="3" t="n">
        <v>2.6</v>
      </c>
      <c r="H45" s="3" t="n">
        <v>2.4</v>
      </c>
      <c r="I45" s="3" t="n">
        <v>2.2</v>
      </c>
      <c r="J45" s="3" t="n">
        <v>2</v>
      </c>
      <c r="K45" s="3" t="n">
        <v>1.8</v>
      </c>
      <c r="L45" s="3" t="n">
        <v>1.6</v>
      </c>
    </row>
    <row r="46" customFormat="false" ht="15" hidden="false" customHeight="false" outlineLevel="0" collapsed="false">
      <c r="A46" s="0" t="s">
        <v>111</v>
      </c>
      <c r="C46" s="3" t="n">
        <v>0.6</v>
      </c>
      <c r="D46" s="3" t="n">
        <v>0.6</v>
      </c>
      <c r="E46" s="3" t="n">
        <v>0.6</v>
      </c>
      <c r="F46" s="3" t="n">
        <v>0.6</v>
      </c>
      <c r="G46" s="3" t="n">
        <v>0.6</v>
      </c>
      <c r="H46" s="3" t="n">
        <v>0.6</v>
      </c>
      <c r="I46" s="3" t="n">
        <v>0.6</v>
      </c>
      <c r="J46" s="3" t="n">
        <v>0.6</v>
      </c>
      <c r="K46" s="3" t="n">
        <v>0.6</v>
      </c>
      <c r="L46" s="3" t="n">
        <v>0.6</v>
      </c>
    </row>
    <row r="47" customFormat="false" ht="15" hidden="false" customHeight="false" outlineLevel="0" collapsed="false">
      <c r="A47" s="0" t="s">
        <v>112</v>
      </c>
      <c r="C47" s="3" t="n">
        <v>17</v>
      </c>
      <c r="D47" s="3" t="n">
        <v>18</v>
      </c>
      <c r="E47" s="3" t="n">
        <v>19</v>
      </c>
      <c r="F47" s="3" t="n">
        <v>20</v>
      </c>
      <c r="G47" s="3" t="n">
        <v>20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3.5</v>
      </c>
    </row>
    <row r="50" customFormat="false" ht="15" hidden="false" customHeight="false" outlineLevel="0" collapsed="false">
      <c r="A50" s="0" t="s">
        <v>115</v>
      </c>
      <c r="B50" s="3" t="n">
        <v>22</v>
      </c>
    </row>
    <row r="51" customFormat="false" ht="15" hidden="false" customHeight="false" outlineLevel="0" collapsed="false">
      <c r="A51" s="0" t="s">
        <v>116</v>
      </c>
      <c r="B51" s="3" t="n">
        <v>-10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</v>
      </c>
      <c r="D5" s="4" t="n">
        <f aca="false">Assumptions!D13</f>
        <v>4</v>
      </c>
      <c r="E5" s="4" t="n">
        <f aca="false">Assumptions!E13</f>
        <v>4</v>
      </c>
      <c r="F5" s="4" t="n">
        <f aca="false">Assumptions!F13</f>
        <v>4</v>
      </c>
      <c r="G5" s="4" t="n">
        <f aca="false">Assumptions!G13</f>
        <v>3.5</v>
      </c>
      <c r="H5" s="4" t="n">
        <f aca="false">Assumptions!H13</f>
        <v>3.5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2880</v>
      </c>
      <c r="C6" s="0" t="n">
        <f aca="false">B6*(1+C5/100)</f>
        <v>2966.4</v>
      </c>
      <c r="D6" s="0" t="n">
        <f aca="false">C6*(1+D5/100)</f>
        <v>3085.056</v>
      </c>
      <c r="E6" s="0" t="n">
        <f aca="false">D6*(1+E5/100)</f>
        <v>3208.45824</v>
      </c>
      <c r="F6" s="0" t="n">
        <f aca="false">E6*(1+F5/100)</f>
        <v>3336.7965696</v>
      </c>
      <c r="G6" s="0" t="n">
        <f aca="false">F6*(1+G5/100)</f>
        <v>3453.584449536</v>
      </c>
      <c r="H6" s="0" t="n">
        <f aca="false">G6*(1+H5/100)</f>
        <v>3574.45990526976</v>
      </c>
      <c r="I6" s="0" t="n">
        <f aca="false">H6*(1+I5/100)</f>
        <v>3681.69370242785</v>
      </c>
      <c r="J6" s="0" t="n">
        <f aca="false">I6*(1+J5/100)</f>
        <v>3792.14451350069</v>
      </c>
      <c r="K6" s="0" t="n">
        <f aca="false">J6*(1+K5/100)</f>
        <v>3905.90884890571</v>
      </c>
      <c r="L6" s="0" t="n">
        <f aca="false">K6*(1+L5/100)</f>
        <v>4023.08611437288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42.5</v>
      </c>
      <c r="D7" s="4" t="n">
        <f aca="false">Assumptions!D14</f>
        <v>42.5</v>
      </c>
      <c r="E7" s="4" t="n">
        <f aca="false">Assumptions!E14</f>
        <v>42.5</v>
      </c>
      <c r="F7" s="4" t="n">
        <f aca="false">Assumptions!F14</f>
        <v>42</v>
      </c>
      <c r="G7" s="4" t="n">
        <f aca="false">Assumptions!G14</f>
        <v>42</v>
      </c>
      <c r="H7" s="4" t="n">
        <f aca="false">Assumptions!H14</f>
        <v>41.5</v>
      </c>
      <c r="I7" s="4" t="n">
        <f aca="false">Assumptions!I14</f>
        <v>41.5</v>
      </c>
      <c r="J7" s="4" t="n">
        <f aca="false">Assumptions!J14</f>
        <v>41</v>
      </c>
      <c r="K7" s="4" t="n">
        <f aca="false">Assumptions!K14</f>
        <v>41</v>
      </c>
      <c r="L7" s="4" t="n">
        <f aca="false">Assumptions!L14</f>
        <v>41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1260.72</v>
      </c>
      <c r="D8" s="0" t="n">
        <f aca="false">D6*D7/100</f>
        <v>1311.1488</v>
      </c>
      <c r="E8" s="0" t="n">
        <f aca="false">E6*E7/100</f>
        <v>1363.594752</v>
      </c>
      <c r="F8" s="0" t="n">
        <f aca="false">F6*F7/100</f>
        <v>1401.454559232</v>
      </c>
      <c r="G8" s="0" t="n">
        <f aca="false">G6*G7/100</f>
        <v>1450.50546880512</v>
      </c>
      <c r="H8" s="0" t="n">
        <f aca="false">H6*H7/100</f>
        <v>1483.40086068695</v>
      </c>
      <c r="I8" s="0" t="n">
        <f aca="false">I6*I7/100</f>
        <v>1527.90288650756</v>
      </c>
      <c r="J8" s="0" t="n">
        <f aca="false">J6*J7/100</f>
        <v>1554.77925053528</v>
      </c>
      <c r="K8" s="0" t="n">
        <f aca="false">K6*K7/100</f>
        <v>1601.42262805134</v>
      </c>
      <c r="L8" s="0" t="n">
        <f aca="false">L6*L7/100</f>
        <v>1649.46530689288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11.2</v>
      </c>
      <c r="D9" s="4" t="n">
        <f aca="false">Assumptions!D15</f>
        <v>11.2</v>
      </c>
      <c r="E9" s="4" t="n">
        <f aca="false">Assumptions!E15</f>
        <v>11</v>
      </c>
      <c r="F9" s="4" t="n">
        <f aca="false">Assumptions!F15</f>
        <v>11</v>
      </c>
      <c r="G9" s="4" t="n">
        <f aca="false">Assumptions!G15</f>
        <v>10.8</v>
      </c>
      <c r="H9" s="4" t="n">
        <f aca="false">Assumptions!H15</f>
        <v>10.8</v>
      </c>
      <c r="I9" s="4" t="n">
        <f aca="false">Assumptions!I15</f>
        <v>10.6</v>
      </c>
      <c r="J9" s="4" t="n">
        <f aca="false">Assumptions!J15</f>
        <v>10.5</v>
      </c>
      <c r="K9" s="4" t="n">
        <f aca="false">Assumptions!K15</f>
        <v>10.5</v>
      </c>
      <c r="L9" s="4" t="n">
        <f aca="false">Assumptions!L15</f>
        <v>10.5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-332.2368</v>
      </c>
      <c r="D10" s="0" t="n">
        <f aca="false">-D6*D9/100</f>
        <v>-345.526272</v>
      </c>
      <c r="E10" s="0" t="n">
        <f aca="false">-E6*E9/100</f>
        <v>-352.9304064</v>
      </c>
      <c r="F10" s="0" t="n">
        <f aca="false">-F6*F9/100</f>
        <v>-367.047622656</v>
      </c>
      <c r="G10" s="0" t="n">
        <f aca="false">-G6*G9/100</f>
        <v>-372.987120549888</v>
      </c>
      <c r="H10" s="0" t="n">
        <f aca="false">-H6*H9/100</f>
        <v>-386.041669769134</v>
      </c>
      <c r="I10" s="0" t="n">
        <f aca="false">-I6*I9/100</f>
        <v>-390.259532457352</v>
      </c>
      <c r="J10" s="0" t="n">
        <f aca="false">-J6*J9/100</f>
        <v>-398.175173917572</v>
      </c>
      <c r="K10" s="0" t="n">
        <f aca="false">-K6*K9/100</f>
        <v>-410.120429135099</v>
      </c>
      <c r="L10" s="0" t="n">
        <f aca="false">-L6*L9/100</f>
        <v>-422.424042009152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928.4832</v>
      </c>
      <c r="D11" s="0" t="n">
        <f aca="false">D8+D10+D24</f>
        <v>965.622528</v>
      </c>
      <c r="E11" s="0" t="n">
        <f aca="false">E8+E10+E24</f>
        <v>1010.6643456</v>
      </c>
      <c r="F11" s="0" t="n">
        <f aca="false">F8+F10+F24</f>
        <v>1034.406936576</v>
      </c>
      <c r="G11" s="0" t="n">
        <f aca="false">G8+G10+G24</f>
        <v>1077.51834825523</v>
      </c>
      <c r="H11" s="0" t="n">
        <f aca="false">H8+H10+H24</f>
        <v>1097.35919091782</v>
      </c>
      <c r="I11" s="0" t="n">
        <f aca="false">I8+I10+I24</f>
        <v>1137.64335405021</v>
      </c>
      <c r="J11" s="0" t="n">
        <f aca="false">J8+J10+J24</f>
        <v>1156.60407661771</v>
      </c>
      <c r="K11" s="0" t="n">
        <f aca="false">K8+K10+K24</f>
        <v>1191.30219891624</v>
      </c>
      <c r="L11" s="0" t="n">
        <f aca="false">L8+L10+L24</f>
        <v>1227.04126488373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-100.8576</v>
      </c>
      <c r="D12" s="4" t="n">
        <f aca="false">-D6*Assumptions!D17/100</f>
        <v>-98.721792</v>
      </c>
      <c r="E12" s="4" t="n">
        <f aca="false">-E6*Assumptions!E17/100</f>
        <v>-96.2537472</v>
      </c>
      <c r="F12" s="4" t="n">
        <f aca="false">-F6*Assumptions!F17/100</f>
        <v>-93.4303039488</v>
      </c>
      <c r="G12" s="4" t="n">
        <f aca="false">-G6*Assumptions!G17/100</f>
        <v>-89.793195687936</v>
      </c>
      <c r="H12" s="4" t="n">
        <f aca="false">-H6*Assumptions!H17/100</f>
        <v>-85.7870377264742</v>
      </c>
      <c r="I12" s="4" t="n">
        <f aca="false">-I6*Assumptions!I17/100</f>
        <v>-80.9972614534128</v>
      </c>
      <c r="J12" s="4" t="n">
        <f aca="false">-J6*Assumptions!J17/100</f>
        <v>-75.8428902700138</v>
      </c>
      <c r="K12" s="4" t="n">
        <f aca="false">-K6*Assumptions!K17/100</f>
        <v>-70.3063592803028</v>
      </c>
      <c r="L12" s="4" t="n">
        <f aca="false">-L6*Assumptions!L17/100</f>
        <v>-64.3693778299661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827.6256</v>
      </c>
      <c r="D13" s="0" t="n">
        <f aca="false">D11+D12</f>
        <v>866.900736</v>
      </c>
      <c r="E13" s="0" t="n">
        <f aca="false">E11+E12</f>
        <v>914.4105984</v>
      </c>
      <c r="F13" s="0" t="n">
        <f aca="false">F11+F12</f>
        <v>940.9766326272</v>
      </c>
      <c r="G13" s="0" t="n">
        <f aca="false">G11+G12</f>
        <v>987.725152567296</v>
      </c>
      <c r="H13" s="0" t="n">
        <f aca="false">H11+H12</f>
        <v>1011.57215319134</v>
      </c>
      <c r="I13" s="0" t="n">
        <f aca="false">I11+I12</f>
        <v>1056.64609259679</v>
      </c>
      <c r="J13" s="0" t="n">
        <f aca="false">J11+J12</f>
        <v>1080.7611863477</v>
      </c>
      <c r="K13" s="0" t="n">
        <f aca="false">K11+K12</f>
        <v>1120.99583963594</v>
      </c>
      <c r="L13" s="0" t="n">
        <f aca="false">L11+L12</f>
        <v>1162.67188705376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17</v>
      </c>
      <c r="D14" s="4" t="n">
        <f aca="false">Assumptions!D19</f>
        <v>18</v>
      </c>
      <c r="E14" s="4" t="n">
        <f aca="false">Assumptions!E19</f>
        <v>19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686.929248</v>
      </c>
      <c r="D15" s="0" t="n">
        <f aca="false">D13-MAX(0,D13)*D14/100</f>
        <v>710.85860352</v>
      </c>
      <c r="E15" s="0" t="n">
        <f aca="false">E13-MAX(0,E13)*E14/100</f>
        <v>740.672584704</v>
      </c>
      <c r="F15" s="0" t="n">
        <f aca="false">F13-MAX(0,F13)*F14/100</f>
        <v>752.78130610176</v>
      </c>
      <c r="G15" s="0" t="n">
        <f aca="false">G13-MAX(0,G13)*G14/100</f>
        <v>790.180122053837</v>
      </c>
      <c r="H15" s="0" t="n">
        <f aca="false">H13-MAX(0,H13)*H14/100</f>
        <v>799.14200102116</v>
      </c>
      <c r="I15" s="0" t="n">
        <f aca="false">I13-MAX(0,I13)*I14/100</f>
        <v>834.750413151467</v>
      </c>
      <c r="J15" s="0" t="n">
        <f aca="false">J13-MAX(0,J13)*J14/100</f>
        <v>853.80133721468</v>
      </c>
      <c r="K15" s="0" t="n">
        <f aca="false">K13-MAX(0,K13)*K14/100</f>
        <v>885.586713312391</v>
      </c>
      <c r="L15" s="0" t="n">
        <f aca="false">L13-MAX(0,L13)*L14/100</f>
        <v>918.510790772472</v>
      </c>
    </row>
    <row r="16" customFormat="false" ht="15" hidden="false" customHeight="false" outlineLevel="0" collapsed="false">
      <c r="A16" s="0" t="s">
        <v>128</v>
      </c>
      <c r="C16" s="0" t="n">
        <f aca="false">-C12</f>
        <v>100.8576</v>
      </c>
      <c r="D16" s="0" t="n">
        <f aca="false">-D12</f>
        <v>98.721792</v>
      </c>
      <c r="E16" s="0" t="n">
        <f aca="false">-E12</f>
        <v>96.2537472</v>
      </c>
      <c r="F16" s="0" t="n">
        <f aca="false">-F12</f>
        <v>93.4303039488</v>
      </c>
      <c r="G16" s="0" t="n">
        <f aca="false">-G12</f>
        <v>89.793195687936</v>
      </c>
      <c r="H16" s="0" t="n">
        <f aca="false">-H12</f>
        <v>85.7870377264742</v>
      </c>
      <c r="I16" s="0" t="n">
        <f aca="false">-I12</f>
        <v>80.9972614534128</v>
      </c>
      <c r="J16" s="0" t="n">
        <f aca="false">-J12</f>
        <v>75.8428902700138</v>
      </c>
      <c r="K16" s="0" t="n">
        <f aca="false">-K12</f>
        <v>70.3063592803028</v>
      </c>
      <c r="L16" s="0" t="n">
        <f aca="false">-L12</f>
        <v>64.3693778299661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-17.7984</v>
      </c>
      <c r="D17" s="4" t="n">
        <f aca="false">-D6*Assumptions!D18/100</f>
        <v>-18.510336</v>
      </c>
      <c r="E17" s="4" t="n">
        <f aca="false">-E6*Assumptions!E18/100</f>
        <v>-19.25074944</v>
      </c>
      <c r="F17" s="4" t="n">
        <f aca="false">-F6*Assumptions!F18/100</f>
        <v>-20.0207794176</v>
      </c>
      <c r="G17" s="4" t="n">
        <f aca="false">-G6*Assumptions!G18/100</f>
        <v>-20.721506697216</v>
      </c>
      <c r="H17" s="4" t="n">
        <f aca="false">-H6*Assumptions!H18/100</f>
        <v>-21.4467594316186</v>
      </c>
      <c r="I17" s="4" t="n">
        <f aca="false">-I6*Assumptions!I18/100</f>
        <v>-22.0901622145671</v>
      </c>
      <c r="J17" s="4" t="n">
        <f aca="false">-J6*Assumptions!J18/100</f>
        <v>-22.7528670810041</v>
      </c>
      <c r="K17" s="4" t="n">
        <f aca="false">-K6*Assumptions!K18/100</f>
        <v>-23.4354530934342</v>
      </c>
      <c r="L17" s="4" t="n">
        <f aca="false">-L6*Assumptions!L18/100</f>
        <v>-24.1385166862373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-8.64000000000001</v>
      </c>
      <c r="D18" s="4" t="n">
        <f aca="false">(D6-C6)*Assumptions!$B$23/100</f>
        <v>-11.8656</v>
      </c>
      <c r="E18" s="4" t="n">
        <f aca="false">(E6-D6)*Assumptions!$B$23/100</f>
        <v>-12.340224</v>
      </c>
      <c r="F18" s="4" t="n">
        <f aca="false">(F6-E6)*Assumptions!$B$23/100</f>
        <v>-12.83383296</v>
      </c>
      <c r="G18" s="4" t="n">
        <f aca="false">(G6-F6)*Assumptions!$B$23/100</f>
        <v>-11.6787879936</v>
      </c>
      <c r="H18" s="4" t="n">
        <f aca="false">(H6-G6)*Assumptions!$B$23/100</f>
        <v>-12.087545573376</v>
      </c>
      <c r="I18" s="4" t="n">
        <f aca="false">(I6-H6)*Assumptions!$B$23/100</f>
        <v>-10.7233797158093</v>
      </c>
      <c r="J18" s="4" t="n">
        <f aca="false">(J6-I6)*Assumptions!$B$23/100</f>
        <v>-11.0450811072836</v>
      </c>
      <c r="K18" s="4" t="n">
        <f aca="false">(K6-J6)*Assumptions!$B$23/100</f>
        <v>-11.3764335405021</v>
      </c>
      <c r="L18" s="4" t="n">
        <f aca="false">(L6-K6)*Assumptions!$B$23/100</f>
        <v>-11.7177265467171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761.348448</v>
      </c>
      <c r="D19" s="0" t="n">
        <f aca="false">D15+D16+D17+D18</f>
        <v>779.20445952</v>
      </c>
      <c r="E19" s="0" t="n">
        <f aca="false">E15+E16+E17+E18</f>
        <v>805.335358464</v>
      </c>
      <c r="F19" s="0" t="n">
        <f aca="false">F15+F16+F17+F18</f>
        <v>813.35699767296</v>
      </c>
      <c r="G19" s="0" t="n">
        <f aca="false">G15+G16+G17+G18</f>
        <v>847.573023050957</v>
      </c>
      <c r="H19" s="0" t="n">
        <f aca="false">H15+H16+H17+H18</f>
        <v>851.39473374264</v>
      </c>
      <c r="I19" s="0" t="n">
        <f aca="false">I15+I16+I17+I18</f>
        <v>882.934132674503</v>
      </c>
      <c r="J19" s="0" t="n">
        <f aca="false">J15+J16+J17+J18</f>
        <v>895.846279296406</v>
      </c>
      <c r="K19" s="0" t="n">
        <f aca="false">K15+K16+K17+K18</f>
        <v>921.081185958758</v>
      </c>
      <c r="L19" s="0" t="n">
        <f aca="false">L15+L16+L17+L18</f>
        <v>947.023925369484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698.484814678899</v>
      </c>
      <c r="D21" s="0" t="n">
        <f aca="false">D19*D20</f>
        <v>655.840804242067</v>
      </c>
      <c r="E21" s="0" t="n">
        <f aca="false">E19*E20</f>
        <v>621.866659714956</v>
      </c>
      <c r="F21" s="0" t="n">
        <f aca="false">F19*F20</f>
        <v>576.202602747821</v>
      </c>
      <c r="G21" s="0" t="n">
        <f aca="false">G19*G20</f>
        <v>550.864309860588</v>
      </c>
      <c r="H21" s="0" t="n">
        <f aca="false">H19*H20</f>
        <v>507.658862007765</v>
      </c>
      <c r="I21" s="0" t="n">
        <f aca="false">I19*I20</f>
        <v>482.995206513986</v>
      </c>
      <c r="J21" s="0" t="n">
        <f aca="false">J19*J20</f>
        <v>449.595039349179</v>
      </c>
      <c r="K21" s="0" t="n">
        <f aca="false">K19*K20</f>
        <v>424.091365205232</v>
      </c>
      <c r="L21" s="0" t="n">
        <f aca="false">L19*L20</f>
        <v>400.033140464846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5367.63280478534</v>
      </c>
    </row>
    <row r="31" customFormat="false" ht="15" hidden="false" customHeight="false" outlineLevel="0" collapsed="false">
      <c r="A31" s="0" t="s">
        <v>137</v>
      </c>
      <c r="B31" s="0" t="n">
        <f aca="false">L19</f>
        <v>947.023925369484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14933.8388231342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15152.3828059117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14933.8388231342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6308.21490733027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11675.8477121156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10603.9477121156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96.9282240595577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-0.33823838288006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2381.36318455308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2813.80603766392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144.416059728817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7765.59618802977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45.7367900473832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7</v>
      </c>
      <c r="D5" s="4" t="n">
        <f aca="false">Assumptions!D27</f>
        <v>8</v>
      </c>
      <c r="E5" s="4" t="n">
        <f aca="false">Assumptions!E27</f>
        <v>7.5</v>
      </c>
      <c r="F5" s="4" t="n">
        <f aca="false">Assumptions!F27</f>
        <v>7</v>
      </c>
      <c r="G5" s="4" t="n">
        <f aca="false">Assumptions!G27</f>
        <v>6.5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4.5</v>
      </c>
      <c r="L5" s="4" t="n">
        <f aca="false">Assumptions!L27</f>
        <v>4</v>
      </c>
    </row>
    <row r="6" customFormat="false" ht="15" hidden="false" customHeight="false" outlineLevel="0" collapsed="false">
      <c r="A6" s="0" t="s">
        <v>37</v>
      </c>
      <c r="B6" s="3" t="n">
        <v>2880</v>
      </c>
      <c r="C6" s="0" t="n">
        <f aca="false">B6*(1+C5/100)</f>
        <v>3081.6</v>
      </c>
      <c r="D6" s="0" t="n">
        <f aca="false">C6*(1+D5/100)</f>
        <v>3328.128</v>
      </c>
      <c r="E6" s="0" t="n">
        <f aca="false">D6*(1+E5/100)</f>
        <v>3577.7376</v>
      </c>
      <c r="F6" s="0" t="n">
        <f aca="false">E6*(1+F5/100)</f>
        <v>3828.179232</v>
      </c>
      <c r="G6" s="0" t="n">
        <f aca="false">F6*(1+G5/100)</f>
        <v>4077.01088208</v>
      </c>
      <c r="H6" s="0" t="n">
        <f aca="false">G6*(1+H5/100)</f>
        <v>4321.6315350048</v>
      </c>
      <c r="I6" s="0" t="n">
        <f aca="false">H6*(1+I5/100)</f>
        <v>4559.32126943007</v>
      </c>
      <c r="J6" s="0" t="n">
        <f aca="false">I6*(1+J5/100)</f>
        <v>4787.28733290157</v>
      </c>
      <c r="K6" s="0" t="n">
        <f aca="false">J6*(1+K5/100)</f>
        <v>5002.71526288214</v>
      </c>
      <c r="L6" s="0" t="n">
        <f aca="false">K6*(1+L5/100)</f>
        <v>5202.82387339742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43.5</v>
      </c>
      <c r="D7" s="4" t="n">
        <f aca="false">Assumptions!D28</f>
        <v>44.5</v>
      </c>
      <c r="E7" s="4" t="n">
        <f aca="false">Assumptions!E28</f>
        <v>45.5</v>
      </c>
      <c r="F7" s="4" t="n">
        <f aca="false">Assumptions!F28</f>
        <v>46</v>
      </c>
      <c r="G7" s="4" t="n">
        <f aca="false">Assumptions!G28</f>
        <v>46.5</v>
      </c>
      <c r="H7" s="4" t="n">
        <f aca="false">Assumptions!H28</f>
        <v>47</v>
      </c>
      <c r="I7" s="4" t="n">
        <f aca="false">Assumptions!I28</f>
        <v>47</v>
      </c>
      <c r="J7" s="4" t="n">
        <f aca="false">Assumptions!J28</f>
        <v>47</v>
      </c>
      <c r="K7" s="4" t="n">
        <f aca="false">Assumptions!K28</f>
        <v>47</v>
      </c>
      <c r="L7" s="4" t="n">
        <f aca="false">Assumptions!L28</f>
        <v>47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1340.496</v>
      </c>
      <c r="D8" s="0" t="n">
        <f aca="false">D6*D7/100</f>
        <v>1481.01696</v>
      </c>
      <c r="E8" s="0" t="n">
        <f aca="false">E6*E7/100</f>
        <v>1627.870608</v>
      </c>
      <c r="F8" s="0" t="n">
        <f aca="false">F6*F7/100</f>
        <v>1760.96244672</v>
      </c>
      <c r="G8" s="0" t="n">
        <f aca="false">G6*G7/100</f>
        <v>1895.8100601672</v>
      </c>
      <c r="H8" s="0" t="n">
        <f aca="false">H6*H7/100</f>
        <v>2031.16682145226</v>
      </c>
      <c r="I8" s="0" t="n">
        <f aca="false">I6*I7/100</f>
        <v>2142.88099663213</v>
      </c>
      <c r="J8" s="0" t="n">
        <f aca="false">J6*J7/100</f>
        <v>2250.02504646374</v>
      </c>
      <c r="K8" s="0" t="n">
        <f aca="false">K6*K7/100</f>
        <v>2351.27617355461</v>
      </c>
      <c r="L8" s="0" t="n">
        <f aca="false">L6*L7/100</f>
        <v>2445.32722049679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11</v>
      </c>
      <c r="D9" s="4" t="n">
        <f aca="false">Assumptions!D29</f>
        <v>10.7</v>
      </c>
      <c r="E9" s="4" t="n">
        <f aca="false">Assumptions!E29</f>
        <v>10.4</v>
      </c>
      <c r="F9" s="4" t="n">
        <f aca="false">Assumptions!F29</f>
        <v>10.1</v>
      </c>
      <c r="G9" s="4" t="n">
        <f aca="false">Assumptions!G29</f>
        <v>9.8</v>
      </c>
      <c r="H9" s="4" t="n">
        <f aca="false">Assumptions!H29</f>
        <v>9.5</v>
      </c>
      <c r="I9" s="4" t="n">
        <f aca="false">Assumptions!I29</f>
        <v>9.2</v>
      </c>
      <c r="J9" s="4" t="n">
        <f aca="false">Assumptions!J29</f>
        <v>9</v>
      </c>
      <c r="K9" s="4" t="n">
        <f aca="false">Assumptions!K29</f>
        <v>8.8</v>
      </c>
      <c r="L9" s="4" t="n">
        <f aca="false">Assumptions!L29</f>
        <v>8.6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-338.976</v>
      </c>
      <c r="D10" s="0" t="n">
        <f aca="false">-D6*D9/100</f>
        <v>-356.109696</v>
      </c>
      <c r="E10" s="0" t="n">
        <f aca="false">-E6*E9/100</f>
        <v>-372.0847104</v>
      </c>
      <c r="F10" s="0" t="n">
        <f aca="false">-F6*F9/100</f>
        <v>-386.646102432</v>
      </c>
      <c r="G10" s="0" t="n">
        <f aca="false">-G6*G9/100</f>
        <v>-399.54706644384</v>
      </c>
      <c r="H10" s="0" t="n">
        <f aca="false">-H6*H9/100</f>
        <v>-410.554995825456</v>
      </c>
      <c r="I10" s="0" t="n">
        <f aca="false">-I6*I9/100</f>
        <v>-419.457556787566</v>
      </c>
      <c r="J10" s="0" t="n">
        <f aca="false">-J6*J9/100</f>
        <v>-430.855859961141</v>
      </c>
      <c r="K10" s="0" t="n">
        <f aca="false">-K6*K9/100</f>
        <v>-440.238943133628</v>
      </c>
      <c r="L10" s="0" t="n">
        <f aca="false">-L6*L9/100</f>
        <v>-447.442853112178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1001.52</v>
      </c>
      <c r="D11" s="0" t="n">
        <f aca="false">D8+D10+D24</f>
        <v>1124.907264</v>
      </c>
      <c r="E11" s="0" t="n">
        <f aca="false">E8+E10+E24</f>
        <v>1255.7858976</v>
      </c>
      <c r="F11" s="0" t="n">
        <f aca="false">F8+F10+F24</f>
        <v>1374.316344288</v>
      </c>
      <c r="G11" s="0" t="n">
        <f aca="false">G8+G10+G24</f>
        <v>1496.26299372336</v>
      </c>
      <c r="H11" s="0" t="n">
        <f aca="false">H8+H10+H24</f>
        <v>1620.6118256268</v>
      </c>
      <c r="I11" s="0" t="n">
        <f aca="false">I8+I10+I24</f>
        <v>1723.42343984456</v>
      </c>
      <c r="J11" s="0" t="n">
        <f aca="false">J8+J10+J24</f>
        <v>1819.1691865026</v>
      </c>
      <c r="K11" s="0" t="n">
        <f aca="false">K8+K10+K24</f>
        <v>1911.03723042098</v>
      </c>
      <c r="L11" s="0" t="n">
        <f aca="false">L8+L10+L24</f>
        <v>1997.88436738461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-104.7744</v>
      </c>
      <c r="D12" s="4" t="n">
        <f aca="false">-D6*Assumptions!D31/100</f>
        <v>-106.500096</v>
      </c>
      <c r="E12" s="4" t="n">
        <f aca="false">-E6*Assumptions!E31/100</f>
        <v>-107.332128</v>
      </c>
      <c r="F12" s="4" t="n">
        <f aca="false">-F6*Assumptions!F31/100</f>
        <v>-107.189018496</v>
      </c>
      <c r="G12" s="4" t="n">
        <f aca="false">-G6*Assumptions!G31/100</f>
        <v>-106.00228293408</v>
      </c>
      <c r="H12" s="4" t="n">
        <f aca="false">-H6*Assumptions!H31/100</f>
        <v>-103.719156840115</v>
      </c>
      <c r="I12" s="4" t="n">
        <f aca="false">-I6*Assumptions!I31/100</f>
        <v>-100.305067927461</v>
      </c>
      <c r="J12" s="4" t="n">
        <f aca="false">-J6*Assumptions!J31/100</f>
        <v>-95.7457466580314</v>
      </c>
      <c r="K12" s="4" t="n">
        <f aca="false">-K6*Assumptions!K31/100</f>
        <v>-90.0488747318785</v>
      </c>
      <c r="L12" s="4" t="n">
        <f aca="false">-L6*Assumptions!L31/100</f>
        <v>-83.2451819743588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896.7456</v>
      </c>
      <c r="D13" s="0" t="n">
        <f aca="false">D11+D12</f>
        <v>1018.407168</v>
      </c>
      <c r="E13" s="0" t="n">
        <f aca="false">E11+E12</f>
        <v>1148.4537696</v>
      </c>
      <c r="F13" s="0" t="n">
        <f aca="false">F11+F12</f>
        <v>1267.127325792</v>
      </c>
      <c r="G13" s="0" t="n">
        <f aca="false">G11+G12</f>
        <v>1390.26071078928</v>
      </c>
      <c r="H13" s="0" t="n">
        <f aca="false">H11+H12</f>
        <v>1516.89266878669</v>
      </c>
      <c r="I13" s="0" t="n">
        <f aca="false">I11+I12</f>
        <v>1623.1183719171</v>
      </c>
      <c r="J13" s="0" t="n">
        <f aca="false">J11+J12</f>
        <v>1723.42343984456</v>
      </c>
      <c r="K13" s="0" t="n">
        <f aca="false">K11+K12</f>
        <v>1820.9883556891</v>
      </c>
      <c r="L13" s="0" t="n">
        <f aca="false">L11+L12</f>
        <v>1914.63918541025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17</v>
      </c>
      <c r="D14" s="4" t="n">
        <f aca="false">Assumptions!D33</f>
        <v>18</v>
      </c>
      <c r="E14" s="4" t="n">
        <f aca="false">Assumptions!E33</f>
        <v>19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744.298848</v>
      </c>
      <c r="D15" s="0" t="n">
        <f aca="false">D13-MAX(0,D13)*D14/100</f>
        <v>835.09387776</v>
      </c>
      <c r="E15" s="0" t="n">
        <f aca="false">E13-MAX(0,E13)*E14/100</f>
        <v>930.247553376</v>
      </c>
      <c r="F15" s="0" t="n">
        <f aca="false">F13-MAX(0,F13)*F14/100</f>
        <v>1013.7018606336</v>
      </c>
      <c r="G15" s="0" t="n">
        <f aca="false">G13-MAX(0,G13)*G14/100</f>
        <v>1112.20856863142</v>
      </c>
      <c r="H15" s="0" t="n">
        <f aca="false">H13-MAX(0,H13)*H14/100</f>
        <v>1198.34520834148</v>
      </c>
      <c r="I15" s="0" t="n">
        <f aca="false">I13-MAX(0,I13)*I14/100</f>
        <v>1282.26351381451</v>
      </c>
      <c r="J15" s="0" t="n">
        <f aca="false">J13-MAX(0,J13)*J14/100</f>
        <v>1361.50451747721</v>
      </c>
      <c r="K15" s="0" t="n">
        <f aca="false">K13-MAX(0,K13)*K14/100</f>
        <v>1438.58080099439</v>
      </c>
      <c r="L15" s="0" t="n">
        <f aca="false">L13-MAX(0,L13)*L14/100</f>
        <v>1512.5649564741</v>
      </c>
    </row>
    <row r="16" customFormat="false" ht="15" hidden="false" customHeight="false" outlineLevel="0" collapsed="false">
      <c r="A16" s="0" t="s">
        <v>128</v>
      </c>
      <c r="C16" s="0" t="n">
        <f aca="false">-C12</f>
        <v>104.7744</v>
      </c>
      <c r="D16" s="0" t="n">
        <f aca="false">-D12</f>
        <v>106.500096</v>
      </c>
      <c r="E16" s="0" t="n">
        <f aca="false">-E12</f>
        <v>107.332128</v>
      </c>
      <c r="F16" s="0" t="n">
        <f aca="false">-F12</f>
        <v>107.189018496</v>
      </c>
      <c r="G16" s="0" t="n">
        <f aca="false">-G12</f>
        <v>106.00228293408</v>
      </c>
      <c r="H16" s="0" t="n">
        <f aca="false">-H12</f>
        <v>103.719156840115</v>
      </c>
      <c r="I16" s="0" t="n">
        <f aca="false">-I12</f>
        <v>100.305067927461</v>
      </c>
      <c r="J16" s="0" t="n">
        <f aca="false">-J12</f>
        <v>95.7457466580314</v>
      </c>
      <c r="K16" s="0" t="n">
        <f aca="false">-K12</f>
        <v>90.0488747318785</v>
      </c>
      <c r="L16" s="0" t="n">
        <f aca="false">-L12</f>
        <v>83.2451819743588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-18.4896</v>
      </c>
      <c r="D17" s="4" t="n">
        <f aca="false">-D6*Assumptions!D32/100</f>
        <v>-19.968768</v>
      </c>
      <c r="E17" s="4" t="n">
        <f aca="false">-E6*Assumptions!E32/100</f>
        <v>-21.4664256</v>
      </c>
      <c r="F17" s="4" t="n">
        <f aca="false">-F6*Assumptions!F32/100</f>
        <v>-22.969075392</v>
      </c>
      <c r="G17" s="4" t="n">
        <f aca="false">-G6*Assumptions!G32/100</f>
        <v>-24.46206529248</v>
      </c>
      <c r="H17" s="4" t="n">
        <f aca="false">-H6*Assumptions!H32/100</f>
        <v>-25.9297892100288</v>
      </c>
      <c r="I17" s="4" t="n">
        <f aca="false">-I6*Assumptions!I32/100</f>
        <v>-27.3559276165804</v>
      </c>
      <c r="J17" s="4" t="n">
        <f aca="false">-J6*Assumptions!J32/100</f>
        <v>-28.7237239974094</v>
      </c>
      <c r="K17" s="4" t="n">
        <f aca="false">-K6*Assumptions!K32/100</f>
        <v>-30.0162915772928</v>
      </c>
      <c r="L17" s="4" t="n">
        <f aca="false">-L6*Assumptions!L32/100</f>
        <v>-31.2169432403845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-20.16</v>
      </c>
      <c r="D18" s="4" t="n">
        <f aca="false">(D6-C6)*Assumptions!$B$37/100</f>
        <v>-24.6528</v>
      </c>
      <c r="E18" s="4" t="n">
        <f aca="false">(E6-D6)*Assumptions!$B$37/100</f>
        <v>-24.96096</v>
      </c>
      <c r="F18" s="4" t="n">
        <f aca="false">(F6-E6)*Assumptions!$B$37/100</f>
        <v>-25.0441632</v>
      </c>
      <c r="G18" s="4" t="n">
        <f aca="false">(G6-F6)*Assumptions!$B$37/100</f>
        <v>-24.883165008</v>
      </c>
      <c r="H18" s="4" t="n">
        <f aca="false">(H6-G6)*Assumptions!$B$37/100</f>
        <v>-24.4620652924801</v>
      </c>
      <c r="I18" s="4" t="n">
        <f aca="false">(I6-H6)*Assumptions!$B$37/100</f>
        <v>-23.7689734425264</v>
      </c>
      <c r="J18" s="4" t="n">
        <f aca="false">(J6-I6)*Assumptions!$B$37/100</f>
        <v>-22.7966063471504</v>
      </c>
      <c r="K18" s="4" t="n">
        <f aca="false">(K6-J6)*Assumptions!$B$37/100</f>
        <v>-21.542792998057</v>
      </c>
      <c r="L18" s="4" t="n">
        <f aca="false">(L6-K6)*Assumptions!$B$37/100</f>
        <v>-20.0108610515285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810.423648</v>
      </c>
      <c r="D19" s="0" t="n">
        <f aca="false">D15+D16+D17+D18</f>
        <v>896.97240576</v>
      </c>
      <c r="E19" s="0" t="n">
        <f aca="false">E15+E16+E17+E18</f>
        <v>991.152295776</v>
      </c>
      <c r="F19" s="0" t="n">
        <f aca="false">F15+F16+F17+F18</f>
        <v>1072.8776405376</v>
      </c>
      <c r="G19" s="0" t="n">
        <f aca="false">G15+G16+G17+G18</f>
        <v>1168.86562126502</v>
      </c>
      <c r="H19" s="0" t="n">
        <f aca="false">H15+H16+H17+H18</f>
        <v>1251.67251067909</v>
      </c>
      <c r="I19" s="0" t="n">
        <f aca="false">I15+I16+I17+I18</f>
        <v>1331.44368068287</v>
      </c>
      <c r="J19" s="0" t="n">
        <f aca="false">J15+J16+J17+J18</f>
        <v>1405.72993379068</v>
      </c>
      <c r="K19" s="0" t="n">
        <f aca="false">K15+K16+K17+K18</f>
        <v>1477.07059115092</v>
      </c>
      <c r="L19" s="0" t="n">
        <f aca="false">L15+L16+L17+L18</f>
        <v>1544.58233415655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743.507933944954</v>
      </c>
      <c r="D21" s="0" t="n">
        <f aca="false">D19*D20</f>
        <v>754.963728440367</v>
      </c>
      <c r="E21" s="0" t="n">
        <f aca="false">E19*E20</f>
        <v>765.351429022825</v>
      </c>
      <c r="F21" s="0" t="n">
        <f aca="false">F19*F20</f>
        <v>760.053568944979</v>
      </c>
      <c r="G21" s="0" t="n">
        <f aca="false">G19*G20</f>
        <v>759.682453625254</v>
      </c>
      <c r="H21" s="0" t="n">
        <f aca="false">H19*H20</f>
        <v>746.331422070816</v>
      </c>
      <c r="I21" s="0" t="n">
        <f aca="false">I19*I20</f>
        <v>728.345288413759</v>
      </c>
      <c r="J21" s="0" t="n">
        <f aca="false">J19*J20</f>
        <v>705.488452096174</v>
      </c>
      <c r="K21" s="0" t="n">
        <f aca="false">K19*K20</f>
        <v>680.084332472446</v>
      </c>
      <c r="L21" s="0" t="n">
        <f aca="false">L19*L20</f>
        <v>652.448270087893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7296.25687911947</v>
      </c>
    </row>
    <row r="31" customFormat="false" ht="15" hidden="false" customHeight="false" outlineLevel="0" collapsed="false">
      <c r="A31" s="0" t="s">
        <v>137</v>
      </c>
      <c r="B31" s="0" t="n">
        <f aca="false">L19</f>
        <v>1544.58233415655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26515.3300696874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30891.6466831309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26515.3300696874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11200.3619698422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18496.6188489616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17424.7188489616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159.275309405499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0.0874261582952092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2513.81639545635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3244.58062535849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211.911479614044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13257.6650348437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70.724689188996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11</v>
      </c>
      <c r="E5" s="4" t="n">
        <f aca="false">Assumptions!E41</f>
        <v>10.5</v>
      </c>
      <c r="F5" s="4" t="n">
        <f aca="false">Assumptions!F41</f>
        <v>10</v>
      </c>
      <c r="G5" s="4" t="n">
        <f aca="false">Assumptions!G41</f>
        <v>9</v>
      </c>
      <c r="H5" s="4" t="n">
        <f aca="false">Assumptions!H41</f>
        <v>8</v>
      </c>
      <c r="I5" s="4" t="n">
        <f aca="false">Assumptions!I41</f>
        <v>7</v>
      </c>
      <c r="J5" s="4" t="n">
        <f aca="false">Assumptions!J41</f>
        <v>6</v>
      </c>
      <c r="K5" s="4" t="n">
        <f aca="false">Assumptions!K41</f>
        <v>5</v>
      </c>
      <c r="L5" s="4" t="n">
        <f aca="false">Assumptions!L41</f>
        <v>4.5</v>
      </c>
    </row>
    <row r="6" customFormat="false" ht="15" hidden="false" customHeight="false" outlineLevel="0" collapsed="false">
      <c r="A6" s="0" t="s">
        <v>37</v>
      </c>
      <c r="B6" s="3" t="n">
        <v>2880</v>
      </c>
      <c r="C6" s="0" t="n">
        <f aca="false">B6*(1+C5/100)</f>
        <v>3139.2</v>
      </c>
      <c r="D6" s="0" t="n">
        <f aca="false">C6*(1+D5/100)</f>
        <v>3484.512</v>
      </c>
      <c r="E6" s="0" t="n">
        <f aca="false">D6*(1+E5/100)</f>
        <v>3850.38576</v>
      </c>
      <c r="F6" s="0" t="n">
        <f aca="false">E6*(1+F5/100)</f>
        <v>4235.424336</v>
      </c>
      <c r="G6" s="0" t="n">
        <f aca="false">F6*(1+G5/100)</f>
        <v>4616.61252624</v>
      </c>
      <c r="H6" s="0" t="n">
        <f aca="false">G6*(1+H5/100)</f>
        <v>4985.9415283392</v>
      </c>
      <c r="I6" s="0" t="n">
        <f aca="false">H6*(1+I5/100)</f>
        <v>5334.95743532295</v>
      </c>
      <c r="J6" s="0" t="n">
        <f aca="false">I6*(1+J5/100)</f>
        <v>5655.05488144232</v>
      </c>
      <c r="K6" s="0" t="n">
        <f aca="false">J6*(1+K5/100)</f>
        <v>5937.80762551444</v>
      </c>
      <c r="L6" s="0" t="n">
        <f aca="false">K6*(1+L5/100)</f>
        <v>6205.00896866259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44</v>
      </c>
      <c r="D7" s="4" t="n">
        <f aca="false">Assumptions!D42</f>
        <v>45.5</v>
      </c>
      <c r="E7" s="4" t="n">
        <f aca="false">Assumptions!E42</f>
        <v>47</v>
      </c>
      <c r="F7" s="4" t="n">
        <f aca="false">Assumptions!F42</f>
        <v>48</v>
      </c>
      <c r="G7" s="4" t="n">
        <f aca="false">Assumptions!G42</f>
        <v>49</v>
      </c>
      <c r="H7" s="4" t="n">
        <f aca="false">Assumptions!H42</f>
        <v>49.5</v>
      </c>
      <c r="I7" s="4" t="n">
        <f aca="false">Assumptions!I42</f>
        <v>50</v>
      </c>
      <c r="J7" s="4" t="n">
        <f aca="false">Assumptions!J42</f>
        <v>50</v>
      </c>
      <c r="K7" s="4" t="n">
        <f aca="false">Assumptions!K42</f>
        <v>50</v>
      </c>
      <c r="L7" s="4" t="n">
        <f aca="false">Assumptions!L42</f>
        <v>50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1381.248</v>
      </c>
      <c r="D8" s="0" t="n">
        <f aca="false">D6*D7/100</f>
        <v>1585.45296</v>
      </c>
      <c r="E8" s="0" t="n">
        <f aca="false">E6*E7/100</f>
        <v>1809.6813072</v>
      </c>
      <c r="F8" s="0" t="n">
        <f aca="false">F6*F7/100</f>
        <v>2033.00368128</v>
      </c>
      <c r="G8" s="0" t="n">
        <f aca="false">G6*G7/100</f>
        <v>2262.1401378576</v>
      </c>
      <c r="H8" s="0" t="n">
        <f aca="false">H6*H7/100</f>
        <v>2468.04105652791</v>
      </c>
      <c r="I8" s="0" t="n">
        <f aca="false">I6*I7/100</f>
        <v>2667.47871766147</v>
      </c>
      <c r="J8" s="0" t="n">
        <f aca="false">J6*J7/100</f>
        <v>2827.52744072116</v>
      </c>
      <c r="K8" s="0" t="n">
        <f aca="false">K6*K7/100</f>
        <v>2968.90381275722</v>
      </c>
      <c r="L8" s="0" t="n">
        <f aca="false">L6*L7/100</f>
        <v>3102.5044843313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10.8</v>
      </c>
      <c r="D9" s="4" t="n">
        <f aca="false">Assumptions!D43</f>
        <v>10.4</v>
      </c>
      <c r="E9" s="4" t="n">
        <f aca="false">Assumptions!E43</f>
        <v>10</v>
      </c>
      <c r="F9" s="4" t="n">
        <f aca="false">Assumptions!F43</f>
        <v>9.6</v>
      </c>
      <c r="G9" s="4" t="n">
        <f aca="false">Assumptions!G43</f>
        <v>9.2</v>
      </c>
      <c r="H9" s="4" t="n">
        <f aca="false">Assumptions!H43</f>
        <v>8.8</v>
      </c>
      <c r="I9" s="4" t="n">
        <f aca="false">Assumptions!I43</f>
        <v>8.5</v>
      </c>
      <c r="J9" s="4" t="n">
        <f aca="false">Assumptions!J43</f>
        <v>8.2</v>
      </c>
      <c r="K9" s="4" t="n">
        <f aca="false">Assumptions!K43</f>
        <v>8</v>
      </c>
      <c r="L9" s="4" t="n">
        <f aca="false">Assumptions!L43</f>
        <v>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-339.0336</v>
      </c>
      <c r="D10" s="0" t="n">
        <f aca="false">-D6*D9/100</f>
        <v>-362.389248</v>
      </c>
      <c r="E10" s="0" t="n">
        <f aca="false">-E6*E9/100</f>
        <v>-385.038576</v>
      </c>
      <c r="F10" s="0" t="n">
        <f aca="false">-F6*F9/100</f>
        <v>-406.600736256</v>
      </c>
      <c r="G10" s="0" t="n">
        <f aca="false">-G6*G9/100</f>
        <v>-424.72835241408</v>
      </c>
      <c r="H10" s="0" t="n">
        <f aca="false">-H6*H9/100</f>
        <v>-438.76285449385</v>
      </c>
      <c r="I10" s="0" t="n">
        <f aca="false">-I6*I9/100</f>
        <v>-453.47138200245</v>
      </c>
      <c r="J10" s="0" t="n">
        <f aca="false">-J6*J9/100</f>
        <v>-463.714500278271</v>
      </c>
      <c r="K10" s="0" t="n">
        <f aca="false">-K6*K9/100</f>
        <v>-475.024610041155</v>
      </c>
      <c r="L10" s="0" t="n">
        <f aca="false">-L6*L9/100</f>
        <v>-496.400717493007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1042.2144</v>
      </c>
      <c r="D11" s="0" t="n">
        <f aca="false">D8+D10+D24</f>
        <v>1223.063712</v>
      </c>
      <c r="E11" s="0" t="n">
        <f aca="false">E8+E10+E24</f>
        <v>1424.6427312</v>
      </c>
      <c r="F11" s="0" t="n">
        <f aca="false">F8+F10+F24</f>
        <v>1626.402945024</v>
      </c>
      <c r="G11" s="0" t="n">
        <f aca="false">G8+G10+G24</f>
        <v>1837.41178544352</v>
      </c>
      <c r="H11" s="0" t="n">
        <f aca="false">H8+H10+H24</f>
        <v>2029.27820203406</v>
      </c>
      <c r="I11" s="0" t="n">
        <f aca="false">I8+I10+I24</f>
        <v>2214.00733565902</v>
      </c>
      <c r="J11" s="0" t="n">
        <f aca="false">J8+J10+J24</f>
        <v>2363.81294044289</v>
      </c>
      <c r="K11" s="0" t="n">
        <f aca="false">K8+K10+K24</f>
        <v>2493.87920271607</v>
      </c>
      <c r="L11" s="0" t="n">
        <f aca="false">L8+L10+L24</f>
        <v>2606.10376683829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-106.7328</v>
      </c>
      <c r="D12" s="4" t="n">
        <f aca="false">-D6*Assumptions!D45/100</f>
        <v>-111.504384</v>
      </c>
      <c r="E12" s="4" t="n">
        <f aca="false">-E6*Assumptions!E45/100</f>
        <v>-115.5115728</v>
      </c>
      <c r="F12" s="4" t="n">
        <f aca="false">-F6*Assumptions!F45/100</f>
        <v>-118.591881408</v>
      </c>
      <c r="G12" s="4" t="n">
        <f aca="false">-G6*Assumptions!G45/100</f>
        <v>-120.03192568224</v>
      </c>
      <c r="H12" s="4" t="n">
        <f aca="false">-H6*Assumptions!H45/100</f>
        <v>-119.662596680141</v>
      </c>
      <c r="I12" s="4" t="n">
        <f aca="false">-I6*Assumptions!I45/100</f>
        <v>-117.369063577105</v>
      </c>
      <c r="J12" s="4" t="n">
        <f aca="false">-J6*Assumptions!J45/100</f>
        <v>-113.101097628846</v>
      </c>
      <c r="K12" s="4" t="n">
        <f aca="false">-K6*Assumptions!K45/100</f>
        <v>-106.88053725926</v>
      </c>
      <c r="L12" s="4" t="n">
        <f aca="false">-L6*Assumptions!L45/100</f>
        <v>-99.2801434986014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935.4816</v>
      </c>
      <c r="D13" s="0" t="n">
        <f aca="false">D11+D12</f>
        <v>1111.559328</v>
      </c>
      <c r="E13" s="0" t="n">
        <f aca="false">E11+E12</f>
        <v>1309.1311584</v>
      </c>
      <c r="F13" s="0" t="n">
        <f aca="false">F11+F12</f>
        <v>1507.811063616</v>
      </c>
      <c r="G13" s="0" t="n">
        <f aca="false">G11+G12</f>
        <v>1717.37985976128</v>
      </c>
      <c r="H13" s="0" t="n">
        <f aca="false">H11+H12</f>
        <v>1909.61560535391</v>
      </c>
      <c r="I13" s="0" t="n">
        <f aca="false">I11+I12</f>
        <v>2096.63827208192</v>
      </c>
      <c r="J13" s="0" t="n">
        <f aca="false">J11+J12</f>
        <v>2250.71184281405</v>
      </c>
      <c r="K13" s="0" t="n">
        <f aca="false">K11+K12</f>
        <v>2386.9986654568</v>
      </c>
      <c r="L13" s="0" t="n">
        <f aca="false">L11+L12</f>
        <v>2506.82362333969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17</v>
      </c>
      <c r="D14" s="4" t="n">
        <f aca="false">Assumptions!D47</f>
        <v>18</v>
      </c>
      <c r="E14" s="4" t="n">
        <f aca="false">Assumptions!E47</f>
        <v>19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776.449728</v>
      </c>
      <c r="D15" s="0" t="n">
        <f aca="false">D13-MAX(0,D13)*D14/100</f>
        <v>911.47864896</v>
      </c>
      <c r="E15" s="0" t="n">
        <f aca="false">E13-MAX(0,E13)*E14/100</f>
        <v>1060.396238304</v>
      </c>
      <c r="F15" s="0" t="n">
        <f aca="false">F13-MAX(0,F13)*F14/100</f>
        <v>1206.2488508928</v>
      </c>
      <c r="G15" s="0" t="n">
        <f aca="false">G13-MAX(0,G13)*G14/100</f>
        <v>1373.90388780902</v>
      </c>
      <c r="H15" s="0" t="n">
        <f aca="false">H13-MAX(0,H13)*H14/100</f>
        <v>1508.59632822959</v>
      </c>
      <c r="I15" s="0" t="n">
        <f aca="false">I13-MAX(0,I13)*I14/100</f>
        <v>1656.34423494472</v>
      </c>
      <c r="J15" s="0" t="n">
        <f aca="false">J13-MAX(0,J13)*J14/100</f>
        <v>1778.0623558231</v>
      </c>
      <c r="K15" s="0" t="n">
        <f aca="false">K13-MAX(0,K13)*K14/100</f>
        <v>1885.72894571088</v>
      </c>
      <c r="L15" s="0" t="n">
        <f aca="false">L13-MAX(0,L13)*L14/100</f>
        <v>1980.39066243835</v>
      </c>
    </row>
    <row r="16" customFormat="false" ht="15" hidden="false" customHeight="false" outlineLevel="0" collapsed="false">
      <c r="A16" s="0" t="s">
        <v>128</v>
      </c>
      <c r="C16" s="0" t="n">
        <f aca="false">-C12</f>
        <v>106.7328</v>
      </c>
      <c r="D16" s="0" t="n">
        <f aca="false">-D12</f>
        <v>111.504384</v>
      </c>
      <c r="E16" s="0" t="n">
        <f aca="false">-E12</f>
        <v>115.5115728</v>
      </c>
      <c r="F16" s="0" t="n">
        <f aca="false">-F12</f>
        <v>118.591881408</v>
      </c>
      <c r="G16" s="0" t="n">
        <f aca="false">-G12</f>
        <v>120.03192568224</v>
      </c>
      <c r="H16" s="0" t="n">
        <f aca="false">-H12</f>
        <v>119.662596680141</v>
      </c>
      <c r="I16" s="0" t="n">
        <f aca="false">-I12</f>
        <v>117.369063577105</v>
      </c>
      <c r="J16" s="0" t="n">
        <f aca="false">-J12</f>
        <v>113.101097628846</v>
      </c>
      <c r="K16" s="0" t="n">
        <f aca="false">-K12</f>
        <v>106.88053725926</v>
      </c>
      <c r="L16" s="0" t="n">
        <f aca="false">-L12</f>
        <v>99.2801434986014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-18.8352</v>
      </c>
      <c r="D17" s="4" t="n">
        <f aca="false">-D6*Assumptions!D46/100</f>
        <v>-20.907072</v>
      </c>
      <c r="E17" s="4" t="n">
        <f aca="false">-E6*Assumptions!E46/100</f>
        <v>-23.10231456</v>
      </c>
      <c r="F17" s="4" t="n">
        <f aca="false">-F6*Assumptions!F46/100</f>
        <v>-25.412546016</v>
      </c>
      <c r="G17" s="4" t="n">
        <f aca="false">-G6*Assumptions!G46/100</f>
        <v>-27.69967515744</v>
      </c>
      <c r="H17" s="4" t="n">
        <f aca="false">-H6*Assumptions!H46/100</f>
        <v>-29.9156491700352</v>
      </c>
      <c r="I17" s="4" t="n">
        <f aca="false">-I6*Assumptions!I46/100</f>
        <v>-32.0097446119377</v>
      </c>
      <c r="J17" s="4" t="n">
        <f aca="false">-J6*Assumptions!J46/100</f>
        <v>-33.9303292886539</v>
      </c>
      <c r="K17" s="4" t="n">
        <f aca="false">-K6*Assumptions!K46/100</f>
        <v>-35.6268457530866</v>
      </c>
      <c r="L17" s="4" t="n">
        <f aca="false">-L6*Assumptions!L46/100</f>
        <v>-37.2300538119755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-25.92</v>
      </c>
      <c r="D18" s="4" t="n">
        <f aca="false">(D6-C6)*Assumptions!$B$51/100</f>
        <v>-34.5312</v>
      </c>
      <c r="E18" s="4" t="n">
        <f aca="false">(E6-D6)*Assumptions!$B$51/100</f>
        <v>-36.587376</v>
      </c>
      <c r="F18" s="4" t="n">
        <f aca="false">(F6-E6)*Assumptions!$B$51/100</f>
        <v>-38.5038576</v>
      </c>
      <c r="G18" s="4" t="n">
        <f aca="false">(G6-F6)*Assumptions!$B$51/100</f>
        <v>-38.118819024</v>
      </c>
      <c r="H18" s="4" t="n">
        <f aca="false">(H6-G6)*Assumptions!$B$51/100</f>
        <v>-36.9329002099201</v>
      </c>
      <c r="I18" s="4" t="n">
        <f aca="false">(I6-H6)*Assumptions!$B$51/100</f>
        <v>-34.9015906983745</v>
      </c>
      <c r="J18" s="4" t="n">
        <f aca="false">(J6-I6)*Assumptions!$B$51/100</f>
        <v>-32.0097446119377</v>
      </c>
      <c r="K18" s="4" t="n">
        <f aca="false">(K6-J6)*Assumptions!$B$51/100</f>
        <v>-28.2752744072116</v>
      </c>
      <c r="L18" s="4" t="n">
        <f aca="false">(L6-K6)*Assumptions!$B$51/100</f>
        <v>-26.7201343148149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838.427328</v>
      </c>
      <c r="D19" s="0" t="n">
        <f aca="false">D15+D16+D17+D18</f>
        <v>967.54476096</v>
      </c>
      <c r="E19" s="0" t="n">
        <f aca="false">E15+E16+E17+E18</f>
        <v>1116.218120544</v>
      </c>
      <c r="F19" s="0" t="n">
        <f aca="false">F15+F16+F17+F18</f>
        <v>1260.9243286848</v>
      </c>
      <c r="G19" s="0" t="n">
        <f aca="false">G15+G16+G17+G18</f>
        <v>1428.11731930982</v>
      </c>
      <c r="H19" s="0" t="n">
        <f aca="false">H15+H16+H17+H18</f>
        <v>1561.41037552978</v>
      </c>
      <c r="I19" s="0" t="n">
        <f aca="false">I15+I16+I17+I18</f>
        <v>1706.80196321151</v>
      </c>
      <c r="J19" s="0" t="n">
        <f aca="false">J15+J16+J17+J18</f>
        <v>1825.22337955135</v>
      </c>
      <c r="K19" s="0" t="n">
        <f aca="false">K15+K16+K17+K18</f>
        <v>1928.70736280984</v>
      </c>
      <c r="L19" s="0" t="n">
        <f aca="false">L15+L16+L17+L18</f>
        <v>2015.72061781016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769.199383486239</v>
      </c>
      <c r="D21" s="0" t="n">
        <f aca="false">D19*D20</f>
        <v>814.363067889908</v>
      </c>
      <c r="E21" s="0" t="n">
        <f aca="false">E19*E20</f>
        <v>861.925192828887</v>
      </c>
      <c r="F21" s="0" t="n">
        <f aca="false">F19*F20</f>
        <v>893.270583685771</v>
      </c>
      <c r="G21" s="0" t="n">
        <f aca="false">G19*G20</f>
        <v>928.178269135711</v>
      </c>
      <c r="H21" s="0" t="n">
        <f aca="false">H19*H20</f>
        <v>931.017990778613</v>
      </c>
      <c r="I21" s="0" t="n">
        <f aca="false">I19*I20</f>
        <v>933.679123042498</v>
      </c>
      <c r="J21" s="0" t="n">
        <f aca="false">J19*J20</f>
        <v>916.018067067193</v>
      </c>
      <c r="K21" s="0" t="n">
        <f aca="false">K19*K20</f>
        <v>888.030448395274</v>
      </c>
      <c r="L21" s="0" t="n">
        <f aca="false">L19*L20</f>
        <v>851.462172645468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8787.14429895556</v>
      </c>
    </row>
    <row r="31" customFormat="false" ht="15" hidden="false" customHeight="false" outlineLevel="0" collapsed="false">
      <c r="A31" s="0" t="s">
        <v>137</v>
      </c>
      <c r="B31" s="0" t="n">
        <f aca="false">L19</f>
        <v>2015.72061781016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37932.1970806094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44345.8535918236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37932.1970806094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16022.9699761465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24810.1142751021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23738.2142751021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216.985505256875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0.481433093854541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2648.27326119241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3945.89097430025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277.261229530116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18141.4855602915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91.3879124965379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96.9282240595577</v>
      </c>
      <c r="C4" s="0" t="n">
        <f aca="false">B4/Assumptions!$B$2-1</f>
        <v>-0.33823838288006</v>
      </c>
      <c r="D4" s="4" t="n">
        <f aca="false">Assumptions!$B$24</f>
        <v>0.2</v>
      </c>
      <c r="E4" s="4" t="n">
        <f aca="false">DCF_Bear!$B$43</f>
        <v>144.416059728817</v>
      </c>
      <c r="F4" s="4" t="n">
        <f aca="false">DCF_Bear!$B$47</f>
        <v>45.7367900473832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159.275309405499</v>
      </c>
      <c r="C5" s="0" t="n">
        <f aca="false">B5/Assumptions!$B$2-1</f>
        <v>0.0874261582952092</v>
      </c>
      <c r="D5" s="4" t="n">
        <f aca="false">Assumptions!$B$38</f>
        <v>0.5</v>
      </c>
      <c r="E5" s="4" t="n">
        <f aca="false">DCF_Base!$B$43</f>
        <v>211.911479614044</v>
      </c>
      <c r="F5" s="4" t="n">
        <f aca="false">DCF_Base!$B$47</f>
        <v>70.724689188996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216.985505256875</v>
      </c>
      <c r="C6" s="0" t="n">
        <f aca="false">B6/Assumptions!$B$2-1</f>
        <v>0.481433093854541</v>
      </c>
      <c r="D6" s="4" t="n">
        <f aca="false">Assumptions!$B$52</f>
        <v>0.3</v>
      </c>
      <c r="E6" s="4" t="n">
        <f aca="false">DCF_Bull!$B$43</f>
        <v>277.261229530116</v>
      </c>
      <c r="F6" s="4" t="n">
        <f aca="false">DCF_Bull!$B$47</f>
        <v>91.3879124965379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164.118951091724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218.017320611821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0.107537557206662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-32.744870111781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71.926076352936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159.275309405499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133.814187501428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114.780035269355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100.02673235298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70.724689188996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207.52850226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207.52850226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207.52850226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207.52850226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207.52850226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171.484204532659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182.185491404734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191.103230464796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191.103230464796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191.103230464796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143.797625623924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150.941171984651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159.275309405499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169.124744539229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176.172964176209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123.121877347079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128.111622085775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133.814187501428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140.394070673334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148.070601040559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107.114289078644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110.721699050743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114.780035269355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119.379482983781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124.635994657411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2026-10-02T07:41:40Z</dcterms:created>
  <dc:creator>openpyxl</dc:creator>
  <dc:description/>
  <dc:language>en-NZ</dc:language>
  <cp:lastModifiedBy/>
  <dcterms:modified xsi:type="dcterms:W3CDTF">2026-10-02T07:41:40Z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