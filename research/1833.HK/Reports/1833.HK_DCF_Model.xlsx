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<sst xmlns="http://schemas.openxmlformats.org/spreadsheetml/2006/main" count="357" uniqueCount="165">
  <si>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</si>
  <si>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1833.HK</t>
  </si>
  <si>
    <t xml:space="preserve">Company</t>
  </si>
  <si>
    <t xml:space="preserve">Ping An Healthcare and Technology Company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</si>
  <si>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</si>
  <si>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</si>
  <si>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</si>
  <si>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</si>
  <si>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regular-session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</si>
  <si>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</si>
  <si>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</si>
  <si>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</si>
  <si>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</si>
  <si>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</si>
  <si>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</si>
  <si>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</si>
  <si>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</si>
  <si>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</si>
  <si>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</si>
  <si>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</si>
  <si>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</si>
  <si>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</si>
  <si>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2026-10-16T20:30:35Z</t>
  </si>
  <si>
    <t xml:space="preserve">Drivers file</t>
  </si>
  <si>
    <t xml:space="preserve">1833.HK_Drivers.json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</si>
  <si>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</si>
  <si>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</si>
  <si>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</si>
  <si>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of the core operating business plus the RMB8.7bn treasury book at carrying value. At the current price the market capitalises the operating business at roughly RMB1.9bn (~6x a FY2026E core EBIT of ~RMB300m), i.e. it either doubts the margin inflection or discounts the related-party-managed cash. Most of the per-share value in every scenario is the treasury; the operating business decides the spread between bear and bull.
key_risks_to_valuation: Related-party pricing: Ping An Group (53.7% owner and main customer) can move margin between parent and subsidiary at will; Treasury is invested in Ping An AM/WM wealth-management products (related-party counterparty) and partly funded by negative operating working capital (~RMB1.36bn float); a cash haircut or a value-destructive acquisition would cut the floor; H2 seasonality: FY2025 H2 core EBIT was only ~RMB36m; a weak H2 FY2026 would put the base margin path one to two years too early; Governance turnover (CEO/chairman Oct-2025, five directors Aug-2026) and strategic drift; Tax: cash rate ramps from ~12% to 20%; faster normalisation to 25% statutory trims ~6% from operating value</t>
  </si>
  <si>
    <t xml:space="preserve">Data sources</t>
  </si>
  <si>
    <t xml:space="preserve">price: Yahoo Finance chart API at inputs.price_as_of; 52-week range 5.57-18.79 HKD
fx: Yahoo CNYHKD=X with USDCNY/USDHKD cross-check, see inputs.fx_note
financials: FY2025 annual report (income statement, cash flow statement p.89-90), H1 FY2026 interim report (balance sheet at 30 Jun 2026, EPS note 8), 1833.HK_Metrics.csv / kpis
qualitative: research/1833.HK/Reports/1833.HK_Analysis.json (2026-10-17)</t>
  </si>
  <si>
    <t xml:space="preserve">Scenario narrative: bear</t>
  </si>
  <si>
    <t xml:space="preserve">Ping An Group, now a 53.7% parent and the source of most revenue, reprices the health-benefit enablement contracts once the subsidiary is visibly profitable -- the H1 FY2026 margin proves a high-water mark and core EBIT reverts toward the FY2025 ~2% level. Insurance-channel volumes soften with Chinese consumer demand, JD Health/Alibaba Health/Meituan compete away the B-end growth, and the 2025-26 board and CEO turnover produces strategic drift. Revenue shrinks 3% in FY2026 and grows ~2% thereafter. The business stays marginally profitable; the value floor is the treasury.</t>
  </si>
  <si>
    <t xml:space="preserve">Scenario narrative: base</t>
  </si>
  <si>
    <t xml:space="preserve">The H1 FY2026 margin step-up (gross margin 38.5% vs 33.6%, core EBIT 7.1% vs 2.9%) is mostly real but H2 stays seasonally weaker, so FY2026 lands near 5% core EBIT on ~2% revenue growth as the F-end insurance-enablement line plateaus. Corporate health management (+65% in H1) carries group growth to 6-7% for three years, decelerating to 3%; AI cost-per-consultation gains and opex leverage lift core EBIT to ~10% by FY2032 and hold there -- Ping An, as majority owner and dominant customer, is assumed to leave the subsidiary a services margin rather than extract it through pricing. Treasury of RMB8.7bn credited at carrying value.</t>
  </si>
  <si>
    <t xml:space="preserve">Scenario narrative: bull</t>
  </si>
  <si>
    <t xml:space="preserve">B-end corporate wellness keeps adding 70%+ clients a year and becomes the largest segment, home-based senior care scales across Ping An's ~240m retail customers, and AI (Ping An Medical Master) structurally lowers delivery cost, so revenue compounds at ~10-12% and core EBIT reaches ~14% -- closer to a scaled health-services platform than an insurer's cost centre. Majority ownership is a stable, aligned funnel rather than a cap on margins.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</si>
  <si>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</si>
  <si>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</si>
  <si>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</si>
  <si>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</si>
  <si>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</si>
  <si>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</si>
  <si>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</si>
  <si>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</si>
  <si>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</si>
  <si>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</si>
  <si>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</si>
  <si>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</si>
  <si>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</si>
  <si>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</si>
  <si>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</si>
  <si>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</si>
  <si>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</si>
  <si>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</si>
  <si>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</si>
  <si>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</si>
  <si>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</si>
  <si>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</si>
  <si>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</si>
  <si>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</si>
  <si>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</si>
  <si>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</si>
  <si>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</si>
  <si>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NetIncomeTotal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</si>
  <si>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</si>
  <si>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</si>
  <si>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</si>
  <si>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</si>
  <si>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</si>
  <si>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</si>
  <si>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</si>
  <si>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</si>
  <si>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</si>
  <si>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</si>
  <si>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</si>
  <si>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</si>
  <si>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</si>
  <si>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</si>
  <si>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</si>
  <si>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</si>
  <si>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</si>
  <si>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</si>
  <si>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</si>
  <si>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</si>
  <si>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</si>
  <si>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</si>
  <si>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</si>
  <si>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</si>
  <si>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</si>
  <si>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</si>
  <si>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</si>
  <si>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</si>
  <si>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</si>
  <si>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</si>
  <si>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</si>
  <si>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</si>
  <si>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</si>
  <si>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</si>
  <si>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</si>
  <si>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</si>
  <si>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</si>
  <si>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</si>
  <si>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</si>
  <si>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</si>
  <si>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</si>
  <si>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</si>
  <si>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</si>
  <si>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</si>
  <si>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</si>
  <si>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</si>
  <si>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1833.HK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</si>
  <si>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</si>
  <si>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</si>
  <si>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</si>
  <si>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</si>
  <si>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</si>
  <si>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</si>
  <si>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</si>
  <si>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</si>
  <si>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</si>
  <si>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</si>
  <si>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</si>
  <si>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</si>
  <si>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</si>
  <si>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</si>
  <si>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</si>
  <si>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</si>
  <si>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</si>
  <si>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</si>
  <si>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</si>
  <si>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</si>
  <si>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</si>
  <si>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</si>
  <si>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</si>
  <si>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</si>
  <si>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</si>
  <si>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</si>
  <si>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</si>
  <si>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</si>
  <si>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</si>
  <si>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</si>
  <si>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1833.HK owner-FCF component DCF: base case (millions, CNY)</t>
  </si>
  <si>
    <t xml:space="preserve">1833.HK owner-FCF component DCF: bull case (millions, CNY)</t>
  </si>
  <si>
    <t xml:space="preserve">1833.HK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</si>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</sst>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5.735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1868.021</v>
      </c>
      <c r="C2" s="0" t="n">
        <v>1255.951</v>
      </c>
      <c r="D2" s="0" t="n">
        <v>612.07</v>
      </c>
      <c r="E2" s="0" t="n">
        <v>32.8</v>
      </c>
      <c r="F2" s="0" t="n">
        <v>-996.425</v>
      </c>
      <c r="G2" s="0" t="n">
        <v>-53.3</v>
      </c>
      <c r="I2" s="0" t="n">
        <v>-1001.643</v>
      </c>
      <c r="J2" s="0" t="n">
        <v>-53.6</v>
      </c>
      <c r="K2" s="0" t="n">
        <v>-1.2</v>
      </c>
      <c r="L2" s="0" t="n">
        <v>-483.942</v>
      </c>
      <c r="M2" s="0" t="n">
        <v>12.068</v>
      </c>
      <c r="N2" s="0" t="n">
        <v>-496.01</v>
      </c>
      <c r="O2" s="0" t="n">
        <v>4033.962</v>
      </c>
      <c r="P2" s="0" t="n">
        <v>5972.08</v>
      </c>
      <c r="Q2" s="0" t="n">
        <v>1938.118</v>
      </c>
      <c r="R2" s="0" t="n">
        <v>0</v>
      </c>
      <c r="S2" s="0" t="n">
        <v>4594.641</v>
      </c>
      <c r="U2" s="0" t="n">
        <v>47.63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3337.849</v>
      </c>
      <c r="C3" s="0" t="n">
        <v>2425.911</v>
      </c>
      <c r="D3" s="0" t="n">
        <v>911.938</v>
      </c>
      <c r="E3" s="0" t="n">
        <v>27.3</v>
      </c>
      <c r="F3" s="0" t="n">
        <v>-1109.499</v>
      </c>
      <c r="G3" s="0" t="n">
        <v>-33.2</v>
      </c>
      <c r="I3" s="0" t="n">
        <v>-911.662</v>
      </c>
      <c r="J3" s="0" t="n">
        <v>-27.3</v>
      </c>
      <c r="K3" s="0" t="n">
        <v>-0.97</v>
      </c>
      <c r="L3" s="0" t="n">
        <v>-1085.193</v>
      </c>
      <c r="M3" s="0" t="n">
        <v>197.66</v>
      </c>
      <c r="N3" s="0" t="n">
        <v>-1282.853</v>
      </c>
      <c r="O3" s="0" t="n">
        <v>10198.92</v>
      </c>
      <c r="P3" s="0" t="n">
        <v>12373.521</v>
      </c>
      <c r="Q3" s="0" t="n">
        <v>2106.229</v>
      </c>
      <c r="R3" s="0" t="n">
        <v>0</v>
      </c>
      <c r="S3" s="0" t="n">
        <v>926.485</v>
      </c>
      <c r="T3" s="0" t="n">
        <v>944.306</v>
      </c>
      <c r="U3" s="0" t="n">
        <v>126.945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5065.429</v>
      </c>
      <c r="C4" s="0" t="n">
        <v>3894</v>
      </c>
      <c r="D4" s="0" t="n">
        <v>1171.429</v>
      </c>
      <c r="E4" s="0" t="n">
        <v>23.1</v>
      </c>
      <c r="F4" s="0" t="n">
        <v>-959.389</v>
      </c>
      <c r="G4" s="0" t="n">
        <v>-18.9</v>
      </c>
      <c r="I4" s="0" t="n">
        <v>-733.86</v>
      </c>
      <c r="J4" s="0" t="n">
        <v>-14.5</v>
      </c>
      <c r="K4" s="0" t="n">
        <v>-0.73</v>
      </c>
      <c r="L4" s="0" t="n">
        <v>-504.204</v>
      </c>
      <c r="M4" s="0" t="n">
        <v>133.023</v>
      </c>
      <c r="N4" s="0" t="n">
        <v>-637.227</v>
      </c>
      <c r="O4" s="0" t="n">
        <v>9648.761</v>
      </c>
      <c r="P4" s="0" t="n">
        <v>12379.138</v>
      </c>
      <c r="Q4" s="0" t="n">
        <v>2709.651</v>
      </c>
      <c r="R4" s="0" t="n">
        <v>0</v>
      </c>
      <c r="S4" s="0" t="n">
        <v>4965.455</v>
      </c>
      <c r="T4" s="0" t="n">
        <v>1000.996</v>
      </c>
      <c r="U4" s="0" t="n">
        <v>91.805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6865.987</v>
      </c>
      <c r="C5" s="0" t="n">
        <v>5001.573</v>
      </c>
      <c r="D5" s="0" t="n">
        <v>1864.414</v>
      </c>
      <c r="E5" s="0" t="n">
        <v>27.2</v>
      </c>
      <c r="F5" s="0" t="n">
        <v>-919.139</v>
      </c>
      <c r="G5" s="0" t="n">
        <v>-13.4</v>
      </c>
      <c r="I5" s="0" t="n">
        <v>-948.478</v>
      </c>
      <c r="J5" s="0" t="n">
        <v>-13.8</v>
      </c>
      <c r="K5" s="0" t="n">
        <v>-0.92</v>
      </c>
      <c r="L5" s="0" t="n">
        <v>-1102.272</v>
      </c>
      <c r="M5" s="0" t="n">
        <v>73.169</v>
      </c>
      <c r="N5" s="0" t="n">
        <v>-1175.441</v>
      </c>
      <c r="O5" s="0" t="n">
        <v>15833.21</v>
      </c>
      <c r="P5" s="0" t="n">
        <v>18562.871</v>
      </c>
      <c r="Q5" s="0" t="n">
        <v>2706.672</v>
      </c>
      <c r="R5" s="0" t="n">
        <v>0</v>
      </c>
      <c r="S5" s="0" t="n">
        <v>7920.375</v>
      </c>
      <c r="T5" s="0" t="n">
        <v>1029.29</v>
      </c>
      <c r="U5" s="0" t="n">
        <v>64.993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7334.214</v>
      </c>
      <c r="C6" s="0" t="n">
        <v>5627.353</v>
      </c>
      <c r="D6" s="0" t="n">
        <v>1706.861</v>
      </c>
      <c r="E6" s="0" t="n">
        <v>23.3</v>
      </c>
      <c r="F6" s="0" t="n">
        <v>-1643.475</v>
      </c>
      <c r="G6" s="0" t="n">
        <v>-22.4</v>
      </c>
      <c r="I6" s="0" t="n">
        <v>-1538.183</v>
      </c>
      <c r="J6" s="0" t="n">
        <v>-21</v>
      </c>
      <c r="K6" s="0" t="n">
        <v>-1.39</v>
      </c>
      <c r="L6" s="0" t="n">
        <v>-1402.996</v>
      </c>
      <c r="M6" s="0" t="n">
        <v>89.154</v>
      </c>
      <c r="N6" s="0" t="n">
        <v>-1492.15</v>
      </c>
      <c r="O6" s="0" t="n">
        <v>14083.417</v>
      </c>
      <c r="P6" s="0" t="n">
        <v>17880.691</v>
      </c>
      <c r="Q6" s="0" t="n">
        <v>3794.811</v>
      </c>
      <c r="R6" s="0" t="n">
        <v>0</v>
      </c>
      <c r="S6" s="0" t="n">
        <v>3064.876</v>
      </c>
      <c r="T6" s="0" t="n">
        <v>1102.771</v>
      </c>
      <c r="U6" s="0" t="n">
        <v>79.566</v>
      </c>
      <c r="AA6" s="0" t="s">
        <v>18</v>
      </c>
      <c r="AB6" s="0" t="s">
        <v>14</v>
      </c>
      <c r="AC6" s="0" t="n">
        <v>-1539.399</v>
      </c>
    </row>
    <row r="7" customFormat="false" ht="15" hidden="false" customHeight="false" outlineLevel="0" collapsed="false">
      <c r="A7" s="0" t="s">
        <v>70</v>
      </c>
      <c r="B7" s="0" t="n">
        <v>6159.821</v>
      </c>
      <c r="C7" s="0" t="n">
        <v>4475.129</v>
      </c>
      <c r="D7" s="0" t="n">
        <v>1684.692</v>
      </c>
      <c r="E7" s="0" t="n">
        <v>27.3</v>
      </c>
      <c r="F7" s="0" t="n">
        <v>-697.849</v>
      </c>
      <c r="G7" s="0" t="n">
        <v>-11.3</v>
      </c>
      <c r="I7" s="0" t="n">
        <v>-607.569</v>
      </c>
      <c r="J7" s="0" t="n">
        <v>-9.9</v>
      </c>
      <c r="K7" s="0" t="n">
        <v>-0.56</v>
      </c>
      <c r="L7" s="0" t="n">
        <v>-810.615</v>
      </c>
      <c r="M7" s="0" t="n">
        <v>34.437</v>
      </c>
      <c r="N7" s="0" t="n">
        <v>-845.052</v>
      </c>
      <c r="O7" s="0" t="n">
        <v>13459.58</v>
      </c>
      <c r="P7" s="0" t="n">
        <v>17142.068</v>
      </c>
      <c r="Q7" s="0" t="n">
        <v>3683.56</v>
      </c>
      <c r="R7" s="0" t="n">
        <v>0</v>
      </c>
      <c r="S7" s="0" t="n">
        <v>3700.689</v>
      </c>
      <c r="T7" s="0" t="n">
        <v>1080.866</v>
      </c>
      <c r="U7" s="0" t="n">
        <v>77.432</v>
      </c>
      <c r="AA7" s="0" t="s">
        <v>18</v>
      </c>
      <c r="AB7" s="0" t="s">
        <v>14</v>
      </c>
      <c r="AC7" s="0" t="n">
        <v>-611.104</v>
      </c>
    </row>
    <row r="8" customFormat="false" ht="15" hidden="false" customHeight="false" outlineLevel="0" collapsed="false">
      <c r="A8" s="0" t="s">
        <v>71</v>
      </c>
      <c r="B8" s="0" t="n">
        <v>4673.562</v>
      </c>
      <c r="C8" s="0" t="n">
        <v>3165.049</v>
      </c>
      <c r="D8" s="0" t="n">
        <v>1508.513</v>
      </c>
      <c r="E8" s="0" t="n">
        <v>32.3</v>
      </c>
      <c r="F8" s="0" t="n">
        <v>-575.26</v>
      </c>
      <c r="G8" s="0" t="n">
        <v>-12.3</v>
      </c>
      <c r="I8" s="0" t="n">
        <v>-322.594</v>
      </c>
      <c r="J8" s="0" t="n">
        <v>-6.9</v>
      </c>
      <c r="K8" s="0" t="n">
        <v>-0.3</v>
      </c>
      <c r="L8" s="0" t="n">
        <v>-282.859</v>
      </c>
      <c r="M8" s="0" t="n">
        <v>42.96</v>
      </c>
      <c r="N8" s="0" t="n">
        <v>-325.819</v>
      </c>
      <c r="O8" s="0" t="n">
        <v>13283.63</v>
      </c>
      <c r="P8" s="0" t="n">
        <v>16520.041</v>
      </c>
      <c r="Q8" s="0" t="n">
        <v>3253.055</v>
      </c>
      <c r="R8" s="0" t="n">
        <v>0</v>
      </c>
      <c r="S8" s="0" t="n">
        <v>1866.511</v>
      </c>
      <c r="T8" s="0" t="n">
        <v>1080.013</v>
      </c>
      <c r="U8" s="0" t="n">
        <v>29.113</v>
      </c>
      <c r="AA8" s="0" t="s">
        <v>18</v>
      </c>
      <c r="AB8" s="0" t="s">
        <v>14</v>
      </c>
      <c r="AC8" s="0" t="n">
        <v>-334.858</v>
      </c>
    </row>
    <row r="9" customFormat="false" ht="15" hidden="false" customHeight="false" outlineLevel="0" collapsed="false">
      <c r="A9" s="0" t="s">
        <v>72</v>
      </c>
      <c r="B9" s="0" t="n">
        <v>4808.082</v>
      </c>
      <c r="C9" s="0" t="n">
        <v>3284.726</v>
      </c>
      <c r="D9" s="0" t="n">
        <v>1523.356</v>
      </c>
      <c r="E9" s="0" t="n">
        <v>31.7</v>
      </c>
      <c r="F9" s="0" t="n">
        <v>-89.064</v>
      </c>
      <c r="G9" s="0" t="n">
        <v>-1.9</v>
      </c>
      <c r="H9" s="0" t="n">
        <v>7.193</v>
      </c>
      <c r="I9" s="0" t="n">
        <v>81.428</v>
      </c>
      <c r="J9" s="0" t="n">
        <v>1.7</v>
      </c>
      <c r="K9" s="0" t="n">
        <v>0.08</v>
      </c>
      <c r="L9" s="0" t="n">
        <v>99.329</v>
      </c>
      <c r="M9" s="0" t="n">
        <v>34.244</v>
      </c>
      <c r="N9" s="0" t="n">
        <v>65.085</v>
      </c>
      <c r="O9" s="0" t="n">
        <v>3589.369</v>
      </c>
      <c r="P9" s="0" t="n">
        <v>16779.513</v>
      </c>
      <c r="Q9" s="0" t="n">
        <v>13199.894</v>
      </c>
      <c r="R9" s="0" t="n">
        <v>0</v>
      </c>
      <c r="S9" s="0" t="n">
        <v>2044.653</v>
      </c>
      <c r="T9" s="0" t="n">
        <v>1081.531</v>
      </c>
      <c r="U9" s="0" t="n">
        <v>49.242</v>
      </c>
      <c r="AA9" s="0" t="s">
        <v>18</v>
      </c>
      <c r="AB9" s="0" t="s">
        <v>14</v>
      </c>
      <c r="AC9" s="0" t="n">
        <v>88.322</v>
      </c>
    </row>
    <row r="10" customFormat="false" ht="15" hidden="false" customHeight="false" outlineLevel="0" collapsed="false">
      <c r="A10" s="0" t="s">
        <v>73</v>
      </c>
      <c r="B10" s="0" t="n">
        <v>5468.174</v>
      </c>
      <c r="C10" s="0" t="n">
        <v>3695.896</v>
      </c>
      <c r="D10" s="0" t="n">
        <v>1772.278</v>
      </c>
      <c r="E10" s="0" t="n">
        <v>32.4</v>
      </c>
      <c r="F10" s="0" t="n">
        <v>271.641</v>
      </c>
      <c r="G10" s="0" t="n">
        <v>5</v>
      </c>
      <c r="H10" s="0" t="n">
        <v>346.319</v>
      </c>
      <c r="I10" s="0" t="n">
        <v>379.511</v>
      </c>
      <c r="J10" s="0" t="n">
        <v>6.9</v>
      </c>
      <c r="K10" s="0" t="n">
        <v>0.18</v>
      </c>
      <c r="L10" s="0" t="n">
        <v>450.946</v>
      </c>
      <c r="M10" s="0" t="n">
        <v>39.923</v>
      </c>
      <c r="N10" s="0" t="n">
        <v>411.023</v>
      </c>
      <c r="O10" s="0" t="n">
        <v>9916.425</v>
      </c>
      <c r="P10" s="0" t="n">
        <v>13230.503</v>
      </c>
      <c r="Q10" s="0" t="n">
        <v>3325.388</v>
      </c>
      <c r="R10" s="0" t="n">
        <v>0</v>
      </c>
      <c r="S10" s="0" t="n">
        <v>1720.072</v>
      </c>
      <c r="T10" s="0" t="n">
        <v>2058.057</v>
      </c>
      <c r="U10" s="0" t="n">
        <v>9.838</v>
      </c>
      <c r="AA10" s="0" t="s">
        <v>18</v>
      </c>
      <c r="AB10" s="0" t="s">
        <v>14</v>
      </c>
      <c r="AC10" s="0" t="n">
        <v>377.951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5.735</v>
      </c>
    </row>
    <row r="3" customFormat="false" ht="15" hidden="false" customHeight="false" outlineLevel="0" collapsed="false">
      <c r="A3" s="0" t="s">
        <v>77</v>
      </c>
      <c r="B3" s="3" t="n">
        <v>2166.8</v>
      </c>
    </row>
    <row r="4" customFormat="false" ht="15" hidden="false" customHeight="false" outlineLevel="0" collapsed="false">
      <c r="A4" s="0" t="s">
        <v>78</v>
      </c>
      <c r="B4" s="3" t="n">
        <v>-4421.438</v>
      </c>
    </row>
    <row r="5" customFormat="false" ht="15" hidden="false" customHeight="false" outlineLevel="0" collapsed="false">
      <c r="A5" s="0" t="s">
        <v>79</v>
      </c>
      <c r="B5" s="3" t="n">
        <v>4244.186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5468.174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1.1733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-3</v>
      </c>
      <c r="D13" s="3" t="n">
        <v>1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5</v>
      </c>
      <c r="D14" s="3" t="n">
        <v>4.5</v>
      </c>
      <c r="E14" s="3" t="n">
        <v>4</v>
      </c>
      <c r="F14" s="3" t="n">
        <v>4</v>
      </c>
      <c r="G14" s="3" t="n">
        <v>4</v>
      </c>
      <c r="H14" s="3" t="n">
        <v>4</v>
      </c>
      <c r="I14" s="3" t="n">
        <v>4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99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100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101</v>
      </c>
      <c r="C17" s="3" t="n">
        <v>0.75</v>
      </c>
      <c r="D17" s="3" t="n">
        <v>0.75</v>
      </c>
      <c r="E17" s="3" t="n">
        <v>0.75</v>
      </c>
      <c r="F17" s="3" t="n">
        <v>0.75</v>
      </c>
      <c r="G17" s="3" t="n">
        <v>0.75</v>
      </c>
      <c r="H17" s="3" t="n">
        <v>0.75</v>
      </c>
      <c r="I17" s="3" t="n">
        <v>0.75</v>
      </c>
      <c r="J17" s="3" t="n">
        <v>0.75</v>
      </c>
      <c r="K17" s="3" t="n">
        <v>0.75</v>
      </c>
      <c r="L17" s="3" t="n">
        <v>0.75</v>
      </c>
    </row>
    <row r="18" customFormat="false" ht="15" hidden="false" customHeight="false" outlineLevel="0" collapsed="false">
      <c r="A18" s="0" t="s">
        <v>102</v>
      </c>
      <c r="C18" s="3" t="n">
        <v>0.8</v>
      </c>
      <c r="D18" s="3" t="n">
        <v>0.8</v>
      </c>
      <c r="E18" s="3" t="n">
        <v>0.8</v>
      </c>
      <c r="F18" s="3" t="n">
        <v>0.8</v>
      </c>
      <c r="G18" s="3" t="n">
        <v>0.8</v>
      </c>
      <c r="H18" s="3" t="n">
        <v>0.8</v>
      </c>
      <c r="I18" s="3" t="n">
        <v>0.8</v>
      </c>
      <c r="J18" s="3" t="n">
        <v>0.8</v>
      </c>
      <c r="K18" s="3" t="n">
        <v>0.8</v>
      </c>
      <c r="L18" s="3" t="n">
        <v>0.8</v>
      </c>
    </row>
    <row r="19" customFormat="false" ht="15" hidden="false" customHeight="false" outlineLevel="0" collapsed="false">
      <c r="A19" s="0" t="s">
        <v>103</v>
      </c>
      <c r="C19" s="3" t="n">
        <v>12</v>
      </c>
      <c r="D19" s="3" t="n">
        <v>14</v>
      </c>
      <c r="E19" s="3" t="n">
        <v>16</v>
      </c>
      <c r="F19" s="3" t="n">
        <v>18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7</v>
      </c>
      <c r="E27" s="3" t="n">
        <v>7</v>
      </c>
      <c r="F27" s="3" t="n">
        <v>7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6.8</v>
      </c>
      <c r="D28" s="3" t="n">
        <v>8</v>
      </c>
      <c r="E28" s="3" t="n">
        <v>9</v>
      </c>
      <c r="F28" s="3" t="n">
        <v>10</v>
      </c>
      <c r="G28" s="3" t="n">
        <v>10.8</v>
      </c>
      <c r="H28" s="3" t="n">
        <v>11.5</v>
      </c>
      <c r="I28" s="3" t="n">
        <v>12</v>
      </c>
      <c r="J28" s="3" t="n">
        <v>12</v>
      </c>
      <c r="K28" s="3" t="n">
        <v>12</v>
      </c>
      <c r="L28" s="3" t="n">
        <v>12</v>
      </c>
    </row>
    <row r="29" customFormat="false" ht="15" hidden="false" customHeight="false" outlineLevel="0" collapsed="false">
      <c r="A29" s="0" t="s">
        <v>99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100</v>
      </c>
      <c r="C30" s="3" t="n">
        <v>0.7</v>
      </c>
      <c r="D30" s="3" t="n">
        <v>0.7</v>
      </c>
      <c r="E30" s="3" t="n">
        <v>0.7</v>
      </c>
      <c r="F30" s="3" t="n">
        <v>0.7</v>
      </c>
      <c r="G30" s="3" t="n">
        <v>0.7</v>
      </c>
      <c r="H30" s="3" t="n">
        <v>0.7</v>
      </c>
      <c r="I30" s="3" t="n">
        <v>0.7</v>
      </c>
      <c r="J30" s="3" t="n">
        <v>0.7</v>
      </c>
      <c r="K30" s="3" t="n">
        <v>0.7</v>
      </c>
      <c r="L30" s="3" t="n">
        <v>0.7</v>
      </c>
    </row>
    <row r="31" customFormat="false" ht="15" hidden="false" customHeight="false" outlineLevel="0" collapsed="false">
      <c r="A31" s="0" t="s">
        <v>101</v>
      </c>
      <c r="C31" s="3" t="n">
        <v>0.75</v>
      </c>
      <c r="D31" s="3" t="n">
        <v>0.75</v>
      </c>
      <c r="E31" s="3" t="n">
        <v>0.75</v>
      </c>
      <c r="F31" s="3" t="n">
        <v>0.75</v>
      </c>
      <c r="G31" s="3" t="n">
        <v>0.75</v>
      </c>
      <c r="H31" s="3" t="n">
        <v>0.75</v>
      </c>
      <c r="I31" s="3" t="n">
        <v>0.75</v>
      </c>
      <c r="J31" s="3" t="n">
        <v>0.75</v>
      </c>
      <c r="K31" s="3" t="n">
        <v>0.75</v>
      </c>
      <c r="L31" s="3" t="n">
        <v>0.75</v>
      </c>
    </row>
    <row r="32" customFormat="false" ht="15" hidden="false" customHeight="false" outlineLevel="0" collapsed="false">
      <c r="A32" s="0" t="s">
        <v>102</v>
      </c>
      <c r="C32" s="3" t="n">
        <v>0.8</v>
      </c>
      <c r="D32" s="3" t="n">
        <v>0.8</v>
      </c>
      <c r="E32" s="3" t="n">
        <v>0.8</v>
      </c>
      <c r="F32" s="3" t="n">
        <v>0.8</v>
      </c>
      <c r="G32" s="3" t="n">
        <v>0.8</v>
      </c>
      <c r="H32" s="3" t="n">
        <v>0.8</v>
      </c>
      <c r="I32" s="3" t="n">
        <v>0.8</v>
      </c>
      <c r="J32" s="3" t="n">
        <v>0.8</v>
      </c>
      <c r="K32" s="3" t="n">
        <v>0.8</v>
      </c>
      <c r="L32" s="3" t="n">
        <v>0.8</v>
      </c>
    </row>
    <row r="33" customFormat="false" ht="15" hidden="false" customHeight="false" outlineLevel="0" collapsed="false">
      <c r="A33" s="0" t="s">
        <v>103</v>
      </c>
      <c r="C33" s="3" t="n">
        <v>12</v>
      </c>
      <c r="D33" s="3" t="n">
        <v>14</v>
      </c>
      <c r="E33" s="3" t="n">
        <v>16</v>
      </c>
      <c r="F33" s="3" t="n">
        <v>18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12</v>
      </c>
      <c r="E41" s="3" t="n">
        <v>12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98</v>
      </c>
      <c r="C42" s="3" t="n">
        <v>7.5</v>
      </c>
      <c r="D42" s="3" t="n">
        <v>9.5</v>
      </c>
      <c r="E42" s="3" t="n">
        <v>11</v>
      </c>
      <c r="F42" s="3" t="n">
        <v>12.5</v>
      </c>
      <c r="G42" s="3" t="n">
        <v>13.5</v>
      </c>
      <c r="H42" s="3" t="n">
        <v>14.5</v>
      </c>
      <c r="I42" s="3" t="n">
        <v>15.5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99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100</v>
      </c>
      <c r="C44" s="3" t="n">
        <v>0.7</v>
      </c>
      <c r="D44" s="3" t="n">
        <v>0.7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101</v>
      </c>
      <c r="C45" s="3" t="n">
        <v>0.75</v>
      </c>
      <c r="D45" s="3" t="n">
        <v>0.75</v>
      </c>
      <c r="E45" s="3" t="n">
        <v>0.75</v>
      </c>
      <c r="F45" s="3" t="n">
        <v>0.75</v>
      </c>
      <c r="G45" s="3" t="n">
        <v>0.75</v>
      </c>
      <c r="H45" s="3" t="n">
        <v>0.75</v>
      </c>
      <c r="I45" s="3" t="n">
        <v>0.75</v>
      </c>
      <c r="J45" s="3" t="n">
        <v>0.75</v>
      </c>
      <c r="K45" s="3" t="n">
        <v>0.75</v>
      </c>
      <c r="L45" s="3" t="n">
        <v>0.75</v>
      </c>
    </row>
    <row r="46" customFormat="false" ht="15" hidden="false" customHeight="false" outlineLevel="0" collapsed="false">
      <c r="A46" s="0" t="s">
        <v>102</v>
      </c>
      <c r="C46" s="3" t="n">
        <v>0.8</v>
      </c>
      <c r="D46" s="3" t="n">
        <v>0.8</v>
      </c>
      <c r="E46" s="3" t="n">
        <v>0.8</v>
      </c>
      <c r="F46" s="3" t="n">
        <v>0.8</v>
      </c>
      <c r="G46" s="3" t="n">
        <v>0.8</v>
      </c>
      <c r="H46" s="3" t="n">
        <v>0.8</v>
      </c>
      <c r="I46" s="3" t="n">
        <v>0.8</v>
      </c>
      <c r="J46" s="3" t="n">
        <v>0.8</v>
      </c>
      <c r="K46" s="3" t="n">
        <v>0.8</v>
      </c>
      <c r="L46" s="3" t="n">
        <v>0.8</v>
      </c>
    </row>
    <row r="47" customFormat="false" ht="15" hidden="false" customHeight="false" outlineLevel="0" collapsed="false">
      <c r="A47" s="0" t="s">
        <v>103</v>
      </c>
      <c r="C47" s="3" t="n">
        <v>12</v>
      </c>
      <c r="D47" s="3" t="n">
        <v>14</v>
      </c>
      <c r="E47" s="3" t="n">
        <v>16</v>
      </c>
      <c r="F47" s="3" t="n">
        <v>18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5468.174</v>
      </c>
      <c r="C6" s="0" t="n">
        <f aca="false">B6*(1+C5/100)</f>
        <v>5304.12878</v>
      </c>
      <c r="D6" s="0" t="n">
        <f aca="false">C6*(1+D5/100)</f>
        <v>5357.1700678</v>
      </c>
      <c r="E6" s="0" t="n">
        <f aca="false">D6*(1+E5/100)</f>
        <v>5464.313469156</v>
      </c>
      <c r="F6" s="0" t="n">
        <f aca="false">E6*(1+F5/100)</f>
        <v>5573.59973853912</v>
      </c>
      <c r="G6" s="0" t="n">
        <f aca="false">F6*(1+G5/100)</f>
        <v>5685.0717333099</v>
      </c>
      <c r="H6" s="0" t="n">
        <f aca="false">G6*(1+H5/100)</f>
        <v>5798.7731679761</v>
      </c>
      <c r="I6" s="0" t="n">
        <f aca="false">H6*(1+I5/100)</f>
        <v>5914.74863133562</v>
      </c>
      <c r="J6" s="0" t="n">
        <f aca="false">I6*(1+J5/100)</f>
        <v>6033.04360396234</v>
      </c>
      <c r="K6" s="0" t="n">
        <f aca="false">J6*(1+K5/100)</f>
        <v>6153.70447604158</v>
      </c>
      <c r="L6" s="0" t="n">
        <f aca="false">K6*(1+L5/100)</f>
        <v>6276.77856556241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5</v>
      </c>
      <c r="D7" s="4" t="n">
        <f aca="false">Assumptions!D14</f>
        <v>4.5</v>
      </c>
      <c r="E7" s="4" t="n">
        <f aca="false">Assumptions!E14</f>
        <v>4</v>
      </c>
      <c r="F7" s="4" t="n">
        <f aca="false">Assumptions!F14</f>
        <v>4</v>
      </c>
      <c r="G7" s="4" t="n">
        <f aca="false">Assumptions!G14</f>
        <v>4</v>
      </c>
      <c r="H7" s="4" t="n">
        <f aca="false">Assumptions!H14</f>
        <v>4</v>
      </c>
      <c r="I7" s="4" t="n">
        <f aca="false">Assumptions!I14</f>
        <v>4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265.206439</v>
      </c>
      <c r="D8" s="0" t="n">
        <f aca="false">D6*D7/100</f>
        <v>241.072653051</v>
      </c>
      <c r="E8" s="0" t="n">
        <f aca="false">E6*E7/100</f>
        <v>218.57253876624</v>
      </c>
      <c r="F8" s="0" t="n">
        <f aca="false">F6*F7/100</f>
        <v>222.943989541565</v>
      </c>
      <c r="G8" s="0" t="n">
        <f aca="false">G6*G7/100</f>
        <v>227.402869332396</v>
      </c>
      <c r="H8" s="0" t="n">
        <f aca="false">H6*H7/100</f>
        <v>231.950926719044</v>
      </c>
      <c r="I8" s="0" t="n">
        <f aca="false">I6*I7/100</f>
        <v>236.589945253425</v>
      </c>
      <c r="J8" s="0" t="n">
        <f aca="false">J6*J7/100</f>
        <v>241.321744158493</v>
      </c>
      <c r="K8" s="0" t="n">
        <f aca="false">K6*K7/100</f>
        <v>246.148179041663</v>
      </c>
      <c r="L8" s="0" t="n">
        <f aca="false">L6*L7/100</f>
        <v>251.071142622497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-10.60825756</v>
      </c>
      <c r="D10" s="0" t="n">
        <f aca="false">-D6*D9/100</f>
        <v>-10.7143401356</v>
      </c>
      <c r="E10" s="0" t="n">
        <f aca="false">-E6*E9/100</f>
        <v>-10.928626938312</v>
      </c>
      <c r="F10" s="0" t="n">
        <f aca="false">-F6*F9/100</f>
        <v>-11.1471994770782</v>
      </c>
      <c r="G10" s="0" t="n">
        <f aca="false">-G6*G9/100</f>
        <v>-11.3701434666198</v>
      </c>
      <c r="H10" s="0" t="n">
        <f aca="false">-H6*H9/100</f>
        <v>-11.5975463359522</v>
      </c>
      <c r="I10" s="0" t="n">
        <f aca="false">-I6*I9/100</f>
        <v>-11.8294972626712</v>
      </c>
      <c r="J10" s="0" t="n">
        <f aca="false">-J6*J9/100</f>
        <v>-12.0660872079247</v>
      </c>
      <c r="K10" s="0" t="n">
        <f aca="false">-K6*K9/100</f>
        <v>-12.3074089520832</v>
      </c>
      <c r="L10" s="0" t="n">
        <f aca="false">-L6*L9/100</f>
        <v>-12.5535571311248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217.46927998</v>
      </c>
      <c r="D11" s="0" t="n">
        <f aca="false">D8+D10+D24</f>
        <v>192.8581224408</v>
      </c>
      <c r="E11" s="0" t="n">
        <f aca="false">E8+E10+E24</f>
        <v>169.393717543836</v>
      </c>
      <c r="F11" s="0" t="n">
        <f aca="false">F8+F10+F24</f>
        <v>172.781591894713</v>
      </c>
      <c r="G11" s="0" t="n">
        <f aca="false">G8+G10+G24</f>
        <v>176.237223732607</v>
      </c>
      <c r="H11" s="0" t="n">
        <f aca="false">H8+H10+H24</f>
        <v>179.761968207259</v>
      </c>
      <c r="I11" s="0" t="n">
        <f aca="false">I8+I10+I24</f>
        <v>183.357207571404</v>
      </c>
      <c r="J11" s="0" t="n">
        <f aca="false">J8+J10+J24</f>
        <v>187.024351722832</v>
      </c>
      <c r="K11" s="0" t="n">
        <f aca="false">K8+K10+K24</f>
        <v>190.764838757289</v>
      </c>
      <c r="L11" s="0" t="n">
        <f aca="false">L8+L10+L24</f>
        <v>194.580135532435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-39.78096585</v>
      </c>
      <c r="D12" s="4" t="n">
        <f aca="false">-D6*Assumptions!D17/100</f>
        <v>-40.1787755085</v>
      </c>
      <c r="E12" s="4" t="n">
        <f aca="false">-E6*Assumptions!E17/100</f>
        <v>-40.98235101867</v>
      </c>
      <c r="F12" s="4" t="n">
        <f aca="false">-F6*Assumptions!F17/100</f>
        <v>-41.8019980390434</v>
      </c>
      <c r="G12" s="4" t="n">
        <f aca="false">-G6*Assumptions!G17/100</f>
        <v>-42.6380379998243</v>
      </c>
      <c r="H12" s="4" t="n">
        <f aca="false">-H6*Assumptions!H17/100</f>
        <v>-43.4907987598208</v>
      </c>
      <c r="I12" s="4" t="n">
        <f aca="false">-I6*Assumptions!I17/100</f>
        <v>-44.3606147350172</v>
      </c>
      <c r="J12" s="4" t="n">
        <f aca="false">-J6*Assumptions!J17/100</f>
        <v>-45.2478270297175</v>
      </c>
      <c r="K12" s="4" t="n">
        <f aca="false">-K6*Assumptions!K17/100</f>
        <v>-46.1527835703119</v>
      </c>
      <c r="L12" s="4" t="n">
        <f aca="false">-L6*Assumptions!L17/100</f>
        <v>-47.0758392417181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177.68831413</v>
      </c>
      <c r="D13" s="0" t="n">
        <f aca="false">D11+D12</f>
        <v>152.6793469323</v>
      </c>
      <c r="E13" s="0" t="n">
        <f aca="false">E11+E12</f>
        <v>128.411366525166</v>
      </c>
      <c r="F13" s="0" t="n">
        <f aca="false">F11+F12</f>
        <v>130.979593855669</v>
      </c>
      <c r="G13" s="0" t="n">
        <f aca="false">G11+G12</f>
        <v>133.599185732783</v>
      </c>
      <c r="H13" s="0" t="n">
        <f aca="false">H11+H12</f>
        <v>136.271169447438</v>
      </c>
      <c r="I13" s="0" t="n">
        <f aca="false">I11+I12</f>
        <v>138.996592836387</v>
      </c>
      <c r="J13" s="0" t="n">
        <f aca="false">J11+J12</f>
        <v>141.776524693115</v>
      </c>
      <c r="K13" s="0" t="n">
        <f aca="false">K11+K12</f>
        <v>144.612055186977</v>
      </c>
      <c r="L13" s="0" t="n">
        <f aca="false">L11+L12</f>
        <v>147.504296290717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12</v>
      </c>
      <c r="D14" s="4" t="n">
        <f aca="false">Assumptions!D19</f>
        <v>14</v>
      </c>
      <c r="E14" s="4" t="n">
        <f aca="false">Assumptions!E19</f>
        <v>16</v>
      </c>
      <c r="F14" s="4" t="n">
        <f aca="false">Assumptions!F19</f>
        <v>18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156.3657164344</v>
      </c>
      <c r="D15" s="0" t="n">
        <f aca="false">D13-MAX(0,D13)*D14/100</f>
        <v>131.304238361778</v>
      </c>
      <c r="E15" s="0" t="n">
        <f aca="false">E13-MAX(0,E13)*E14/100</f>
        <v>107.865547881139</v>
      </c>
      <c r="F15" s="0" t="n">
        <f aca="false">F13-MAX(0,F13)*F14/100</f>
        <v>107.403266961649</v>
      </c>
      <c r="G15" s="0" t="n">
        <f aca="false">G13-MAX(0,G13)*G14/100</f>
        <v>106.879348586226</v>
      </c>
      <c r="H15" s="0" t="n">
        <f aca="false">H13-MAX(0,H13)*H14/100</f>
        <v>109.016935557951</v>
      </c>
      <c r="I15" s="0" t="n">
        <f aca="false">I13-MAX(0,I13)*I14/100</f>
        <v>111.19727426911</v>
      </c>
      <c r="J15" s="0" t="n">
        <f aca="false">J13-MAX(0,J13)*J14/100</f>
        <v>113.421219754492</v>
      </c>
      <c r="K15" s="0" t="n">
        <f aca="false">K13-MAX(0,K13)*K14/100</f>
        <v>115.689644149582</v>
      </c>
      <c r="L15" s="0" t="n">
        <f aca="false">L13-MAX(0,L13)*L14/100</f>
        <v>118.003437032573</v>
      </c>
    </row>
    <row r="16" customFormat="false" ht="15" hidden="false" customHeight="false" outlineLevel="0" collapsed="false">
      <c r="A16" s="0" t="s">
        <v>119</v>
      </c>
      <c r="C16" s="0" t="n">
        <f aca="false">-C12</f>
        <v>39.78096585</v>
      </c>
      <c r="D16" s="0" t="n">
        <f aca="false">-D12</f>
        <v>40.1787755085</v>
      </c>
      <c r="E16" s="0" t="n">
        <f aca="false">-E12</f>
        <v>40.98235101867</v>
      </c>
      <c r="F16" s="0" t="n">
        <f aca="false">-F12</f>
        <v>41.8019980390434</v>
      </c>
      <c r="G16" s="0" t="n">
        <f aca="false">-G12</f>
        <v>42.6380379998243</v>
      </c>
      <c r="H16" s="0" t="n">
        <f aca="false">-H12</f>
        <v>43.4907987598208</v>
      </c>
      <c r="I16" s="0" t="n">
        <f aca="false">-I12</f>
        <v>44.3606147350172</v>
      </c>
      <c r="J16" s="0" t="n">
        <f aca="false">-J12</f>
        <v>45.2478270297175</v>
      </c>
      <c r="K16" s="0" t="n">
        <f aca="false">-K12</f>
        <v>46.1527835703119</v>
      </c>
      <c r="L16" s="0" t="n">
        <f aca="false">-L12</f>
        <v>47.0758392417181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-42.43303024</v>
      </c>
      <c r="D17" s="4" t="n">
        <f aca="false">-D6*Assumptions!D18/100</f>
        <v>-42.8573605424</v>
      </c>
      <c r="E17" s="4" t="n">
        <f aca="false">-E6*Assumptions!E18/100</f>
        <v>-43.714507753248</v>
      </c>
      <c r="F17" s="4" t="n">
        <f aca="false">-F6*Assumptions!F18/100</f>
        <v>-44.588797908313</v>
      </c>
      <c r="G17" s="4" t="n">
        <f aca="false">-G6*Assumptions!G18/100</f>
        <v>-45.4805738664792</v>
      </c>
      <c r="H17" s="4" t="n">
        <f aca="false">-H6*Assumptions!H18/100</f>
        <v>-46.3901853438088</v>
      </c>
      <c r="I17" s="4" t="n">
        <f aca="false">-I6*Assumptions!I18/100</f>
        <v>-47.317989050685</v>
      </c>
      <c r="J17" s="4" t="n">
        <f aca="false">-J6*Assumptions!J18/100</f>
        <v>-48.2643488316987</v>
      </c>
      <c r="K17" s="4" t="n">
        <f aca="false">-K6*Assumptions!K18/100</f>
        <v>-49.2296358083327</v>
      </c>
      <c r="L17" s="4" t="n">
        <f aca="false">-L6*Assumptions!L18/100</f>
        <v>-50.2142285244993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-8.202261</v>
      </c>
      <c r="D18" s="4" t="n">
        <f aca="false">(D6-C6)*Assumptions!$B$23/100</f>
        <v>2.65206438999999</v>
      </c>
      <c r="E18" s="4" t="n">
        <f aca="false">(E6-D6)*Assumptions!$B$23/100</f>
        <v>5.35717006780001</v>
      </c>
      <c r="F18" s="4" t="n">
        <f aca="false">(F6-E6)*Assumptions!$B$23/100</f>
        <v>5.46431346915601</v>
      </c>
      <c r="G18" s="4" t="n">
        <f aca="false">(G6-F6)*Assumptions!$B$23/100</f>
        <v>5.57359973853913</v>
      </c>
      <c r="H18" s="4" t="n">
        <f aca="false">(H6-G6)*Assumptions!$B$23/100</f>
        <v>5.68507173330991</v>
      </c>
      <c r="I18" s="4" t="n">
        <f aca="false">(I6-H6)*Assumptions!$B$23/100</f>
        <v>5.79877316797611</v>
      </c>
      <c r="J18" s="4" t="n">
        <f aca="false">(J6-I6)*Assumptions!$B$23/100</f>
        <v>5.91474863133562</v>
      </c>
      <c r="K18" s="4" t="n">
        <f aca="false">(K6-J6)*Assumptions!$B$23/100</f>
        <v>6.03304360396232</v>
      </c>
      <c r="L18" s="4" t="n">
        <f aca="false">(L6-K6)*Assumptions!$B$23/100</f>
        <v>6.15370447604159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145.5113910444</v>
      </c>
      <c r="D19" s="0" t="n">
        <f aca="false">D15+D16+D17+D18</f>
        <v>131.277717717878</v>
      </c>
      <c r="E19" s="0" t="n">
        <f aca="false">E15+E16+E17+E18</f>
        <v>110.490561214361</v>
      </c>
      <c r="F19" s="0" t="n">
        <f aca="false">F15+F16+F17+F18</f>
        <v>110.080780561535</v>
      </c>
      <c r="G19" s="0" t="n">
        <f aca="false">G15+G16+G17+G18</f>
        <v>109.61041245811</v>
      </c>
      <c r="H19" s="0" t="n">
        <f aca="false">H15+H16+H17+H18</f>
        <v>111.802620707273</v>
      </c>
      <c r="I19" s="0" t="n">
        <f aca="false">I15+I16+I17+I18</f>
        <v>114.038673121418</v>
      </c>
      <c r="J19" s="0" t="n">
        <f aca="false">J15+J16+J17+J18</f>
        <v>116.319446583846</v>
      </c>
      <c r="K19" s="0" t="n">
        <f aca="false">K15+K16+K17+K18</f>
        <v>118.645835515523</v>
      </c>
      <c r="L19" s="0" t="n">
        <f aca="false">L15+L16+L17+L18</f>
        <v>121.018752225834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132.283082767636</v>
      </c>
      <c r="D21" s="0" t="n">
        <f aca="false">D19*D20</f>
        <v>108.493981585023</v>
      </c>
      <c r="E21" s="0" t="n">
        <f aca="false">E19*E20</f>
        <v>83.0131940002716</v>
      </c>
      <c r="F21" s="0" t="n">
        <f aca="false">F19*F20</f>
        <v>75.1866543006183</v>
      </c>
      <c r="G21" s="0" t="n">
        <f aca="false">G19*G20</f>
        <v>68.0594423245496</v>
      </c>
      <c r="H21" s="0" t="n">
        <f aca="false">H19*H20</f>
        <v>63.109664700946</v>
      </c>
      <c r="I21" s="0" t="n">
        <f aca="false">I19*I20</f>
        <v>58.5198709045135</v>
      </c>
      <c r="J21" s="0" t="n">
        <f aca="false">J19*J20</f>
        <v>54.2638802932762</v>
      </c>
      <c r="K21" s="0" t="n">
        <f aca="false">K19*K20</f>
        <v>50.317416271947</v>
      </c>
      <c r="L21" s="0" t="n">
        <f aca="false">L19*L20</f>
        <v>46.6579678158054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-37.12890146</v>
      </c>
      <c r="D24" s="0" t="n">
        <f aca="false">-D6*D23/100</f>
        <v>-37.5001904746</v>
      </c>
      <c r="E24" s="0" t="n">
        <f aca="false">-E6*E23/100</f>
        <v>-38.250194284092</v>
      </c>
      <c r="F24" s="0" t="n">
        <f aca="false">-F6*F23/100</f>
        <v>-39.0151981697738</v>
      </c>
      <c r="G24" s="0" t="n">
        <f aca="false">-G6*G23/100</f>
        <v>-39.7955021331693</v>
      </c>
      <c r="H24" s="0" t="n">
        <f aca="false">-H6*H23/100</f>
        <v>-40.5914121758327</v>
      </c>
      <c r="I24" s="0" t="n">
        <f aca="false">-I6*I23/100</f>
        <v>-41.4032404193494</v>
      </c>
      <c r="J24" s="0" t="n">
        <f aca="false">-J6*J23/100</f>
        <v>-42.2313052277364</v>
      </c>
      <c r="K24" s="0" t="n">
        <f aca="false">-K6*K23/100</f>
        <v>-43.0759313322911</v>
      </c>
      <c r="L24" s="0" t="n">
        <f aca="false">-L6*L23/100</f>
        <v>-43.9374499589369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739.905154964587</v>
      </c>
    </row>
    <row r="31" customFormat="false" ht="15" hidden="false" customHeight="false" outlineLevel="0" collapsed="false">
      <c r="A31" s="0" t="s">
        <v>128</v>
      </c>
      <c r="B31" s="0" t="n">
        <f aca="false">L19</f>
        <v>121.018752225834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1542.98909087938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1815.28128338751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1542.98909087938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594.889089651519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1334.79424461611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10000.4182446161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5.41512401994096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-0.0557761081184026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69.688504379077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61.7092313072866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5.48627454757656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949.531748233465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5.14907296968161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5468.174</v>
      </c>
      <c r="C6" s="0" t="n">
        <f aca="false">B6*(1+C5/100)</f>
        <v>5577.53748</v>
      </c>
      <c r="D6" s="0" t="n">
        <f aca="false">C6*(1+D5/100)</f>
        <v>5967.9651036</v>
      </c>
      <c r="E6" s="0" t="n">
        <f aca="false">D6*(1+E5/100)</f>
        <v>6385.722660852</v>
      </c>
      <c r="F6" s="0" t="n">
        <f aca="false">E6*(1+F5/100)</f>
        <v>6832.72324711164</v>
      </c>
      <c r="G6" s="0" t="n">
        <f aca="false">F6*(1+G5/100)</f>
        <v>7242.68664193834</v>
      </c>
      <c r="H6" s="0" t="n">
        <f aca="false">G6*(1+H5/100)</f>
        <v>7604.82097403526</v>
      </c>
      <c r="I6" s="0" t="n">
        <f aca="false">H6*(1+I5/100)</f>
        <v>7947.03791786684</v>
      </c>
      <c r="J6" s="0" t="n">
        <f aca="false">I6*(1+J5/100)</f>
        <v>8264.91943458152</v>
      </c>
      <c r="K6" s="0" t="n">
        <f aca="false">J6*(1+K5/100)</f>
        <v>8554.19161479187</v>
      </c>
      <c r="L6" s="0" t="n">
        <f aca="false">K6*(1+L5/100)</f>
        <v>8810.81736323563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6.8</v>
      </c>
      <c r="D7" s="4" t="n">
        <f aca="false">Assumptions!D28</f>
        <v>8</v>
      </c>
      <c r="E7" s="4" t="n">
        <f aca="false">Assumptions!E28</f>
        <v>9</v>
      </c>
      <c r="F7" s="4" t="n">
        <f aca="false">Assumptions!F28</f>
        <v>10</v>
      </c>
      <c r="G7" s="4" t="n">
        <f aca="false">Assumptions!G28</f>
        <v>10.8</v>
      </c>
      <c r="H7" s="4" t="n">
        <f aca="false">Assumptions!H28</f>
        <v>11.5</v>
      </c>
      <c r="I7" s="4" t="n">
        <f aca="false">Assumptions!I28</f>
        <v>12</v>
      </c>
      <c r="J7" s="4" t="n">
        <f aca="false">Assumptions!J28</f>
        <v>12</v>
      </c>
      <c r="K7" s="4" t="n">
        <f aca="false">Assumptions!K28</f>
        <v>12</v>
      </c>
      <c r="L7" s="4" t="n">
        <f aca="false">Assumptions!L28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379.27254864</v>
      </c>
      <c r="D8" s="0" t="n">
        <f aca="false">D6*D7/100</f>
        <v>477.437208288</v>
      </c>
      <c r="E8" s="0" t="n">
        <f aca="false">E6*E7/100</f>
        <v>574.71503947668</v>
      </c>
      <c r="F8" s="0" t="n">
        <f aca="false">F6*F7/100</f>
        <v>683.272324711164</v>
      </c>
      <c r="G8" s="0" t="n">
        <f aca="false">G6*G7/100</f>
        <v>782.210157329341</v>
      </c>
      <c r="H8" s="0" t="n">
        <f aca="false">H6*H7/100</f>
        <v>874.554412014055</v>
      </c>
      <c r="I8" s="0" t="n">
        <f aca="false">I6*I7/100</f>
        <v>953.644550144021</v>
      </c>
      <c r="J8" s="0" t="n">
        <f aca="false">J6*J7/100</f>
        <v>991.790332149782</v>
      </c>
      <c r="K8" s="0" t="n">
        <f aca="false">K6*K7/100</f>
        <v>1026.50299377502</v>
      </c>
      <c r="L8" s="0" t="n">
        <f aca="false">L6*L7/100</f>
        <v>1057.29808358828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-11.15507496</v>
      </c>
      <c r="D10" s="0" t="n">
        <f aca="false">-D6*D9/100</f>
        <v>-11.9359302072</v>
      </c>
      <c r="E10" s="0" t="n">
        <f aca="false">-E6*E9/100</f>
        <v>-12.771445321704</v>
      </c>
      <c r="F10" s="0" t="n">
        <f aca="false">-F6*F9/100</f>
        <v>-13.6654464942233</v>
      </c>
      <c r="G10" s="0" t="n">
        <f aca="false">-G6*G9/100</f>
        <v>-14.4853732838767</v>
      </c>
      <c r="H10" s="0" t="n">
        <f aca="false">-H6*H9/100</f>
        <v>-15.2096419480705</v>
      </c>
      <c r="I10" s="0" t="n">
        <f aca="false">-I6*I9/100</f>
        <v>-15.8940758357337</v>
      </c>
      <c r="J10" s="0" t="n">
        <f aca="false">-J6*J9/100</f>
        <v>-16.529838869163</v>
      </c>
      <c r="K10" s="0" t="n">
        <f aca="false">-K6*K9/100</f>
        <v>-17.1083832295837</v>
      </c>
      <c r="L10" s="0" t="n">
        <f aca="false">-L6*L9/100</f>
        <v>-17.6216347264713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329.07471132</v>
      </c>
      <c r="D11" s="0" t="n">
        <f aca="false">D8+D10+D24</f>
        <v>423.7255223556</v>
      </c>
      <c r="E11" s="0" t="n">
        <f aca="false">E8+E10+E24</f>
        <v>517.243535529012</v>
      </c>
      <c r="F11" s="0" t="n">
        <f aca="false">F8+F10+F24</f>
        <v>621.777815487159</v>
      </c>
      <c r="G11" s="0" t="n">
        <f aca="false">G8+G10+G24</f>
        <v>717.025977551896</v>
      </c>
      <c r="H11" s="0" t="n">
        <f aca="false">H8+H10+H24</f>
        <v>806.111023247737</v>
      </c>
      <c r="I11" s="0" t="n">
        <f aca="false">I8+I10+I24</f>
        <v>882.12120888322</v>
      </c>
      <c r="J11" s="0" t="n">
        <f aca="false">J8+J10+J24</f>
        <v>917.406057238548</v>
      </c>
      <c r="K11" s="0" t="n">
        <f aca="false">K8+K10+K24</f>
        <v>949.515269241898</v>
      </c>
      <c r="L11" s="0" t="n">
        <f aca="false">L8+L10+L24</f>
        <v>978.000727319155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-41.8315311</v>
      </c>
      <c r="D12" s="4" t="n">
        <f aca="false">-D6*Assumptions!D31/100</f>
        <v>-44.759738277</v>
      </c>
      <c r="E12" s="4" t="n">
        <f aca="false">-E6*Assumptions!E31/100</f>
        <v>-47.89291995639</v>
      </c>
      <c r="F12" s="4" t="n">
        <f aca="false">-F6*Assumptions!F31/100</f>
        <v>-51.2454243533373</v>
      </c>
      <c r="G12" s="4" t="n">
        <f aca="false">-G6*Assumptions!G31/100</f>
        <v>-54.3201498145376</v>
      </c>
      <c r="H12" s="4" t="n">
        <f aca="false">-H6*Assumptions!H31/100</f>
        <v>-57.0361573052644</v>
      </c>
      <c r="I12" s="4" t="n">
        <f aca="false">-I6*Assumptions!I31/100</f>
        <v>-59.6027843840013</v>
      </c>
      <c r="J12" s="4" t="n">
        <f aca="false">-J6*Assumptions!J31/100</f>
        <v>-61.9868957593614</v>
      </c>
      <c r="K12" s="4" t="n">
        <f aca="false">-K6*Assumptions!K31/100</f>
        <v>-64.156437110939</v>
      </c>
      <c r="L12" s="4" t="n">
        <f aca="false">-L6*Assumptions!L31/100</f>
        <v>-66.0811302242672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287.24318022</v>
      </c>
      <c r="D13" s="0" t="n">
        <f aca="false">D11+D12</f>
        <v>378.9657840786</v>
      </c>
      <c r="E13" s="0" t="n">
        <f aca="false">E11+E12</f>
        <v>469.350615572622</v>
      </c>
      <c r="F13" s="0" t="n">
        <f aca="false">F11+F12</f>
        <v>570.532391133822</v>
      </c>
      <c r="G13" s="0" t="n">
        <f aca="false">G11+G12</f>
        <v>662.705827737358</v>
      </c>
      <c r="H13" s="0" t="n">
        <f aca="false">H11+H12</f>
        <v>749.074865942473</v>
      </c>
      <c r="I13" s="0" t="n">
        <f aca="false">I11+I12</f>
        <v>822.518424499218</v>
      </c>
      <c r="J13" s="0" t="n">
        <f aca="false">J11+J12</f>
        <v>855.419161479187</v>
      </c>
      <c r="K13" s="0" t="n">
        <f aca="false">K11+K12</f>
        <v>885.358832130959</v>
      </c>
      <c r="L13" s="0" t="n">
        <f aca="false">L11+L12</f>
        <v>911.919597094887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12</v>
      </c>
      <c r="D14" s="4" t="n">
        <f aca="false">Assumptions!D33</f>
        <v>14</v>
      </c>
      <c r="E14" s="4" t="n">
        <f aca="false">Assumptions!E33</f>
        <v>16</v>
      </c>
      <c r="F14" s="4" t="n">
        <f aca="false">Assumptions!F33</f>
        <v>18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252.7739985936</v>
      </c>
      <c r="D15" s="0" t="n">
        <f aca="false">D13-MAX(0,D13)*D14/100</f>
        <v>325.910574307596</v>
      </c>
      <c r="E15" s="0" t="n">
        <f aca="false">E13-MAX(0,E13)*E14/100</f>
        <v>394.254517081002</v>
      </c>
      <c r="F15" s="0" t="n">
        <f aca="false">F13-MAX(0,F13)*F14/100</f>
        <v>467.836560729734</v>
      </c>
      <c r="G15" s="0" t="n">
        <f aca="false">G13-MAX(0,G13)*G14/100</f>
        <v>530.164662189887</v>
      </c>
      <c r="H15" s="0" t="n">
        <f aca="false">H13-MAX(0,H13)*H14/100</f>
        <v>599.259892753978</v>
      </c>
      <c r="I15" s="0" t="n">
        <f aca="false">I13-MAX(0,I13)*I14/100</f>
        <v>658.014739599375</v>
      </c>
      <c r="J15" s="0" t="n">
        <f aca="false">J13-MAX(0,J13)*J14/100</f>
        <v>684.33532918335</v>
      </c>
      <c r="K15" s="0" t="n">
        <f aca="false">K13-MAX(0,K13)*K14/100</f>
        <v>708.287065704767</v>
      </c>
      <c r="L15" s="0" t="n">
        <f aca="false">L13-MAX(0,L13)*L14/100</f>
        <v>729.53567767591</v>
      </c>
    </row>
    <row r="16" customFormat="false" ht="15" hidden="false" customHeight="false" outlineLevel="0" collapsed="false">
      <c r="A16" s="0" t="s">
        <v>119</v>
      </c>
      <c r="C16" s="0" t="n">
        <f aca="false">-C12</f>
        <v>41.8315311</v>
      </c>
      <c r="D16" s="0" t="n">
        <f aca="false">-D12</f>
        <v>44.759738277</v>
      </c>
      <c r="E16" s="0" t="n">
        <f aca="false">-E12</f>
        <v>47.89291995639</v>
      </c>
      <c r="F16" s="0" t="n">
        <f aca="false">-F12</f>
        <v>51.2454243533373</v>
      </c>
      <c r="G16" s="0" t="n">
        <f aca="false">-G12</f>
        <v>54.3201498145376</v>
      </c>
      <c r="H16" s="0" t="n">
        <f aca="false">-H12</f>
        <v>57.0361573052644</v>
      </c>
      <c r="I16" s="0" t="n">
        <f aca="false">-I12</f>
        <v>59.6027843840013</v>
      </c>
      <c r="J16" s="0" t="n">
        <f aca="false">-J12</f>
        <v>61.9868957593614</v>
      </c>
      <c r="K16" s="0" t="n">
        <f aca="false">-K12</f>
        <v>64.156437110939</v>
      </c>
      <c r="L16" s="0" t="n">
        <f aca="false">-L12</f>
        <v>66.0811302242672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-44.62029984</v>
      </c>
      <c r="D17" s="4" t="n">
        <f aca="false">-D6*Assumptions!D32/100</f>
        <v>-47.7437208288</v>
      </c>
      <c r="E17" s="4" t="n">
        <f aca="false">-E6*Assumptions!E32/100</f>
        <v>-51.085781286816</v>
      </c>
      <c r="F17" s="4" t="n">
        <f aca="false">-F6*Assumptions!F32/100</f>
        <v>-54.6617859768931</v>
      </c>
      <c r="G17" s="4" t="n">
        <f aca="false">-G6*Assumptions!G32/100</f>
        <v>-57.9414931355067</v>
      </c>
      <c r="H17" s="4" t="n">
        <f aca="false">-H6*Assumptions!H32/100</f>
        <v>-60.8385677922821</v>
      </c>
      <c r="I17" s="4" t="n">
        <f aca="false">-I6*Assumptions!I32/100</f>
        <v>-63.5763033429348</v>
      </c>
      <c r="J17" s="4" t="n">
        <f aca="false">-J6*Assumptions!J32/100</f>
        <v>-66.1193554766522</v>
      </c>
      <c r="K17" s="4" t="n">
        <f aca="false">-K6*Assumptions!K32/100</f>
        <v>-68.433532918335</v>
      </c>
      <c r="L17" s="4" t="n">
        <f aca="false">-L6*Assumptions!L32/100</f>
        <v>-70.486538905885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5.468174</v>
      </c>
      <c r="D18" s="4" t="n">
        <f aca="false">(D6-C6)*Assumptions!$B$37/100</f>
        <v>19.52138118</v>
      </c>
      <c r="E18" s="4" t="n">
        <f aca="false">(E6-D6)*Assumptions!$B$37/100</f>
        <v>20.8878778626</v>
      </c>
      <c r="F18" s="4" t="n">
        <f aca="false">(F6-E6)*Assumptions!$B$37/100</f>
        <v>22.350029312982</v>
      </c>
      <c r="G18" s="4" t="n">
        <f aca="false">(G6-F6)*Assumptions!$B$37/100</f>
        <v>20.498169741335</v>
      </c>
      <c r="H18" s="4" t="n">
        <f aca="false">(H6-G6)*Assumptions!$B$37/100</f>
        <v>18.1067166048459</v>
      </c>
      <c r="I18" s="4" t="n">
        <f aca="false">(I6-H6)*Assumptions!$B$37/100</f>
        <v>17.1108471915793</v>
      </c>
      <c r="J18" s="4" t="n">
        <f aca="false">(J6-I6)*Assumptions!$B$37/100</f>
        <v>15.8940758357337</v>
      </c>
      <c r="K18" s="4" t="n">
        <f aca="false">(K6-J6)*Assumptions!$B$37/100</f>
        <v>14.4636090105177</v>
      </c>
      <c r="L18" s="4" t="n">
        <f aca="false">(L6-K6)*Assumptions!$B$37/100</f>
        <v>12.8312874221878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255.4534038536</v>
      </c>
      <c r="D19" s="0" t="n">
        <f aca="false">D15+D16+D17+D18</f>
        <v>342.447972935796</v>
      </c>
      <c r="E19" s="0" t="n">
        <f aca="false">E15+E16+E17+E18</f>
        <v>411.949533613176</v>
      </c>
      <c r="F19" s="0" t="n">
        <f aca="false">F15+F16+F17+F18</f>
        <v>486.77022841916</v>
      </c>
      <c r="G19" s="0" t="n">
        <f aca="false">G15+G16+G17+G18</f>
        <v>547.041488610252</v>
      </c>
      <c r="H19" s="0" t="n">
        <f aca="false">H15+H16+H17+H18</f>
        <v>613.564198871807</v>
      </c>
      <c r="I19" s="0" t="n">
        <f aca="false">I15+I16+I17+I18</f>
        <v>671.152067832021</v>
      </c>
      <c r="J19" s="0" t="n">
        <f aca="false">J15+J16+J17+J18</f>
        <v>696.096945301793</v>
      </c>
      <c r="K19" s="0" t="n">
        <f aca="false">K15+K16+K17+K18</f>
        <v>718.473578907889</v>
      </c>
      <c r="L19" s="0" t="n">
        <f aca="false">L15+L16+L17+L18</f>
        <v>737.96155641648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232.230367139636</v>
      </c>
      <c r="D21" s="0" t="n">
        <f aca="false">D19*D20</f>
        <v>283.014853665947</v>
      </c>
      <c r="E21" s="0" t="n">
        <f aca="false">E19*E20</f>
        <v>309.503781828081</v>
      </c>
      <c r="F21" s="0" t="n">
        <f aca="false">F19*F20</f>
        <v>332.470615681415</v>
      </c>
      <c r="G21" s="0" t="n">
        <f aca="false">G19*G20</f>
        <v>339.669724876128</v>
      </c>
      <c r="H21" s="0" t="n">
        <f aca="false">H19*H20</f>
        <v>346.340994677466</v>
      </c>
      <c r="I21" s="0" t="n">
        <f aca="false">I19*I20</f>
        <v>344.407132175327</v>
      </c>
      <c r="J21" s="0" t="n">
        <f aca="false">J19*J20</f>
        <v>324.734362324737</v>
      </c>
      <c r="K21" s="0" t="n">
        <f aca="false">K19*K20</f>
        <v>304.702933678391</v>
      </c>
      <c r="L21" s="0" t="n">
        <f aca="false">L19*L20</f>
        <v>284.516125933346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0.7</v>
      </c>
      <c r="H23" s="4" t="n">
        <f aca="false">Assumptions!H30</f>
        <v>0.7</v>
      </c>
      <c r="I23" s="4" t="n">
        <f aca="false">Assumptions!I30</f>
        <v>0.7</v>
      </c>
      <c r="J23" s="4" t="n">
        <f aca="false">Assumptions!J30</f>
        <v>0.7</v>
      </c>
      <c r="K23" s="4" t="n">
        <f aca="false">Assumptions!K30</f>
        <v>0.7</v>
      </c>
      <c r="L23" s="4" t="n">
        <f aca="false">Assumptions!L30</f>
        <v>0.7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-39.04276236</v>
      </c>
      <c r="D24" s="0" t="n">
        <f aca="false">-D6*D23/100</f>
        <v>-41.7757557252</v>
      </c>
      <c r="E24" s="0" t="n">
        <f aca="false">-E6*E23/100</f>
        <v>-44.700058625964</v>
      </c>
      <c r="F24" s="0" t="n">
        <f aca="false">-F6*F23/100</f>
        <v>-47.8290627297815</v>
      </c>
      <c r="G24" s="0" t="n">
        <f aca="false">-G6*G23/100</f>
        <v>-50.6988064935684</v>
      </c>
      <c r="H24" s="0" t="n">
        <f aca="false">-H6*H23/100</f>
        <v>-53.2337468182468</v>
      </c>
      <c r="I24" s="0" t="n">
        <f aca="false">-I6*I23/100</f>
        <v>-55.6292654250679</v>
      </c>
      <c r="J24" s="0" t="n">
        <f aca="false">-J6*J23/100</f>
        <v>-57.8544360420706</v>
      </c>
      <c r="K24" s="0" t="n">
        <f aca="false">-K6*K23/100</f>
        <v>-59.8793413035431</v>
      </c>
      <c r="L24" s="0" t="n">
        <f aca="false">-L6*L23/100</f>
        <v>-61.6757215426494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3101.59089198048</v>
      </c>
    </row>
    <row r="31" customFormat="false" ht="15" hidden="false" customHeight="false" outlineLevel="0" collapsed="false">
      <c r="A31" s="0" t="s">
        <v>128</v>
      </c>
      <c r="B31" s="0" t="n">
        <f aca="false">L19</f>
        <v>737.96155641648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10085.4746043586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11069.4233462472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10085.4746043586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3888.3870544224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6989.97794640287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15655.6019464029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8.47734805414182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0.478177515979393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86.4311590765401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92.8500079067816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8.5744269692339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6051.28476261513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6.8202851419298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12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5468.174</v>
      </c>
      <c r="C6" s="0" t="n">
        <f aca="false">B6*(1+C5/100)</f>
        <v>5686.90096</v>
      </c>
      <c r="D6" s="0" t="n">
        <f aca="false">C6*(1+D5/100)</f>
        <v>6369.3290752</v>
      </c>
      <c r="E6" s="0" t="n">
        <f aca="false">D6*(1+E5/100)</f>
        <v>7133.648564224</v>
      </c>
      <c r="F6" s="0" t="n">
        <f aca="false">E6*(1+F5/100)</f>
        <v>7918.34990628864</v>
      </c>
      <c r="G6" s="0" t="n">
        <f aca="false">F6*(1+G5/100)</f>
        <v>8710.18489691751</v>
      </c>
      <c r="H6" s="0" t="n">
        <f aca="false">G6*(1+H5/100)</f>
        <v>9494.10153764008</v>
      </c>
      <c r="I6" s="0" t="n">
        <f aca="false">H6*(1+I5/100)</f>
        <v>10253.6296606513</v>
      </c>
      <c r="J6" s="0" t="n">
        <f aca="false">I6*(1+J5/100)</f>
        <v>10971.3837368969</v>
      </c>
      <c r="K6" s="0" t="n">
        <f aca="false">J6*(1+K5/100)</f>
        <v>11629.6667611107</v>
      </c>
      <c r="L6" s="0" t="n">
        <f aca="false">K6*(1+L5/100)</f>
        <v>12211.1500991662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7.5</v>
      </c>
      <c r="D7" s="4" t="n">
        <f aca="false">Assumptions!D42</f>
        <v>9.5</v>
      </c>
      <c r="E7" s="4" t="n">
        <f aca="false">Assumptions!E42</f>
        <v>11</v>
      </c>
      <c r="F7" s="4" t="n">
        <f aca="false">Assumptions!F42</f>
        <v>12.5</v>
      </c>
      <c r="G7" s="4" t="n">
        <f aca="false">Assumptions!G42</f>
        <v>13.5</v>
      </c>
      <c r="H7" s="4" t="n">
        <f aca="false">Assumptions!H42</f>
        <v>14.5</v>
      </c>
      <c r="I7" s="4" t="n">
        <f aca="false">Assumptions!I42</f>
        <v>15.5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426.517572</v>
      </c>
      <c r="D8" s="0" t="n">
        <f aca="false">D6*D7/100</f>
        <v>605.086262144</v>
      </c>
      <c r="E8" s="0" t="n">
        <f aca="false">E6*E7/100</f>
        <v>784.70134206464</v>
      </c>
      <c r="F8" s="0" t="n">
        <f aca="false">F6*F7/100</f>
        <v>989.79373828608</v>
      </c>
      <c r="G8" s="0" t="n">
        <f aca="false">G6*G7/100</f>
        <v>1175.87496108386</v>
      </c>
      <c r="H8" s="0" t="n">
        <f aca="false">H6*H7/100</f>
        <v>1376.64472295781</v>
      </c>
      <c r="I8" s="0" t="n">
        <f aca="false">I6*I7/100</f>
        <v>1589.31259740095</v>
      </c>
      <c r="J8" s="0" t="n">
        <f aca="false">J6*J7/100</f>
        <v>1755.4213979035</v>
      </c>
      <c r="K8" s="0" t="n">
        <f aca="false">K6*K7/100</f>
        <v>1860.74668177771</v>
      </c>
      <c r="L8" s="0" t="n">
        <f aca="false">L6*L7/100</f>
        <v>1953.7840158666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-11.37380192</v>
      </c>
      <c r="D10" s="0" t="n">
        <f aca="false">-D6*D9/100</f>
        <v>-12.7386581504</v>
      </c>
      <c r="E10" s="0" t="n">
        <f aca="false">-E6*E9/100</f>
        <v>-14.267297128448</v>
      </c>
      <c r="F10" s="0" t="n">
        <f aca="false">-F6*F9/100</f>
        <v>-15.8366998125773</v>
      </c>
      <c r="G10" s="0" t="n">
        <f aca="false">-G6*G9/100</f>
        <v>-17.420369793835</v>
      </c>
      <c r="H10" s="0" t="n">
        <f aca="false">-H6*H9/100</f>
        <v>-18.9882030752802</v>
      </c>
      <c r="I10" s="0" t="n">
        <f aca="false">-I6*I9/100</f>
        <v>-20.5072593213026</v>
      </c>
      <c r="J10" s="0" t="n">
        <f aca="false">-J6*J9/100</f>
        <v>-21.9427674737938</v>
      </c>
      <c r="K10" s="0" t="n">
        <f aca="false">-K6*K9/100</f>
        <v>-23.2593335222214</v>
      </c>
      <c r="L10" s="0" t="n">
        <f aca="false">-L6*L9/100</f>
        <v>-24.4223001983325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375.33546336</v>
      </c>
      <c r="D11" s="0" t="n">
        <f aca="false">D8+D10+D24</f>
        <v>547.7623004672</v>
      </c>
      <c r="E11" s="0" t="n">
        <f aca="false">E8+E10+E24</f>
        <v>720.498504986624</v>
      </c>
      <c r="F11" s="0" t="n">
        <f aca="false">F8+F10+F24</f>
        <v>918.528589129483</v>
      </c>
      <c r="G11" s="0" t="n">
        <f aca="false">G8+G10+G24</f>
        <v>1097.48329701161</v>
      </c>
      <c r="H11" s="0" t="n">
        <f aca="false">H8+H10+H24</f>
        <v>1291.19780911905</v>
      </c>
      <c r="I11" s="0" t="n">
        <f aca="false">I8+I10+I24</f>
        <v>1497.02993045509</v>
      </c>
      <c r="J11" s="0" t="n">
        <f aca="false">J8+J10+J24</f>
        <v>1656.67894427143</v>
      </c>
      <c r="K11" s="0" t="n">
        <f aca="false">K8+K10+K24</f>
        <v>1756.07968092771</v>
      </c>
      <c r="L11" s="0" t="n">
        <f aca="false">L8+L10+L24</f>
        <v>1843.8836649741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-42.6517572</v>
      </c>
      <c r="D12" s="4" t="n">
        <f aca="false">-D6*Assumptions!D45/100</f>
        <v>-47.769968064</v>
      </c>
      <c r="E12" s="4" t="n">
        <f aca="false">-E6*Assumptions!E45/100</f>
        <v>-53.50236423168</v>
      </c>
      <c r="F12" s="4" t="n">
        <f aca="false">-F6*Assumptions!F45/100</f>
        <v>-59.3876242971648</v>
      </c>
      <c r="G12" s="4" t="n">
        <f aca="false">-G6*Assumptions!G45/100</f>
        <v>-65.3263867268813</v>
      </c>
      <c r="H12" s="4" t="n">
        <f aca="false">-H6*Assumptions!H45/100</f>
        <v>-71.2057615323006</v>
      </c>
      <c r="I12" s="4" t="n">
        <f aca="false">-I6*Assumptions!I45/100</f>
        <v>-76.9022224548847</v>
      </c>
      <c r="J12" s="4" t="n">
        <f aca="false">-J6*Assumptions!J45/100</f>
        <v>-82.2853780267266</v>
      </c>
      <c r="K12" s="4" t="n">
        <f aca="false">-K6*Assumptions!K45/100</f>
        <v>-87.2225007083302</v>
      </c>
      <c r="L12" s="4" t="n">
        <f aca="false">-L6*Assumptions!L45/100</f>
        <v>-91.5836257437467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332.68370616</v>
      </c>
      <c r="D13" s="0" t="n">
        <f aca="false">D11+D12</f>
        <v>499.9923324032</v>
      </c>
      <c r="E13" s="0" t="n">
        <f aca="false">E11+E12</f>
        <v>666.996140754944</v>
      </c>
      <c r="F13" s="0" t="n">
        <f aca="false">F11+F12</f>
        <v>859.140964832318</v>
      </c>
      <c r="G13" s="0" t="n">
        <f aca="false">G11+G12</f>
        <v>1032.15691028472</v>
      </c>
      <c r="H13" s="0" t="n">
        <f aca="false">H11+H12</f>
        <v>1219.99204758675</v>
      </c>
      <c r="I13" s="0" t="n">
        <f aca="false">I11+I12</f>
        <v>1420.1277080002</v>
      </c>
      <c r="J13" s="0" t="n">
        <f aca="false">J11+J12</f>
        <v>1574.3935662447</v>
      </c>
      <c r="K13" s="0" t="n">
        <f aca="false">K11+K12</f>
        <v>1668.85718021938</v>
      </c>
      <c r="L13" s="0" t="n">
        <f aca="false">L11+L12</f>
        <v>1752.30003923035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12</v>
      </c>
      <c r="D14" s="4" t="n">
        <f aca="false">Assumptions!D47</f>
        <v>14</v>
      </c>
      <c r="E14" s="4" t="n">
        <f aca="false">Assumptions!E47</f>
        <v>16</v>
      </c>
      <c r="F14" s="4" t="n">
        <f aca="false">Assumptions!F47</f>
        <v>18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292.7616614208</v>
      </c>
      <c r="D15" s="0" t="n">
        <f aca="false">D13-MAX(0,D13)*D14/100</f>
        <v>429.993405866752</v>
      </c>
      <c r="E15" s="0" t="n">
        <f aca="false">E13-MAX(0,E13)*E14/100</f>
        <v>560.276758234153</v>
      </c>
      <c r="F15" s="0" t="n">
        <f aca="false">F13-MAX(0,F13)*F14/100</f>
        <v>704.495591162501</v>
      </c>
      <c r="G15" s="0" t="n">
        <f aca="false">G13-MAX(0,G13)*G14/100</f>
        <v>825.72552822778</v>
      </c>
      <c r="H15" s="0" t="n">
        <f aca="false">H13-MAX(0,H13)*H14/100</f>
        <v>975.9936380694</v>
      </c>
      <c r="I15" s="0" t="n">
        <f aca="false">I13-MAX(0,I13)*I14/100</f>
        <v>1136.10216640016</v>
      </c>
      <c r="J15" s="0" t="n">
        <f aca="false">J13-MAX(0,J13)*J14/100</f>
        <v>1259.51485299576</v>
      </c>
      <c r="K15" s="0" t="n">
        <f aca="false">K13-MAX(0,K13)*K14/100</f>
        <v>1335.08574417551</v>
      </c>
      <c r="L15" s="0" t="n">
        <f aca="false">L13-MAX(0,L13)*L14/100</f>
        <v>1401.84003138428</v>
      </c>
    </row>
    <row r="16" customFormat="false" ht="15" hidden="false" customHeight="false" outlineLevel="0" collapsed="false">
      <c r="A16" s="0" t="s">
        <v>119</v>
      </c>
      <c r="C16" s="0" t="n">
        <f aca="false">-C12</f>
        <v>42.6517572</v>
      </c>
      <c r="D16" s="0" t="n">
        <f aca="false">-D12</f>
        <v>47.769968064</v>
      </c>
      <c r="E16" s="0" t="n">
        <f aca="false">-E12</f>
        <v>53.50236423168</v>
      </c>
      <c r="F16" s="0" t="n">
        <f aca="false">-F12</f>
        <v>59.3876242971648</v>
      </c>
      <c r="G16" s="0" t="n">
        <f aca="false">-G12</f>
        <v>65.3263867268813</v>
      </c>
      <c r="H16" s="0" t="n">
        <f aca="false">-H12</f>
        <v>71.2057615323006</v>
      </c>
      <c r="I16" s="0" t="n">
        <f aca="false">-I12</f>
        <v>76.9022224548847</v>
      </c>
      <c r="J16" s="0" t="n">
        <f aca="false">-J12</f>
        <v>82.2853780267266</v>
      </c>
      <c r="K16" s="0" t="n">
        <f aca="false">-K12</f>
        <v>87.2225007083302</v>
      </c>
      <c r="L16" s="0" t="n">
        <f aca="false">-L12</f>
        <v>91.5836257437467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-45.49520768</v>
      </c>
      <c r="D17" s="4" t="n">
        <f aca="false">-D6*Assumptions!D46/100</f>
        <v>-50.9546326016</v>
      </c>
      <c r="E17" s="4" t="n">
        <f aca="false">-E6*Assumptions!E46/100</f>
        <v>-57.069188513792</v>
      </c>
      <c r="F17" s="4" t="n">
        <f aca="false">-F6*Assumptions!F46/100</f>
        <v>-63.3467992503091</v>
      </c>
      <c r="G17" s="4" t="n">
        <f aca="false">-G6*Assumptions!G46/100</f>
        <v>-69.6814791753401</v>
      </c>
      <c r="H17" s="4" t="n">
        <f aca="false">-H6*Assumptions!H46/100</f>
        <v>-75.9528123011207</v>
      </c>
      <c r="I17" s="4" t="n">
        <f aca="false">-I6*Assumptions!I46/100</f>
        <v>-82.0290372852103</v>
      </c>
      <c r="J17" s="4" t="n">
        <f aca="false">-J6*Assumptions!J46/100</f>
        <v>-87.7710698951751</v>
      </c>
      <c r="K17" s="4" t="n">
        <f aca="false">-K6*Assumptions!K46/100</f>
        <v>-93.0373340888855</v>
      </c>
      <c r="L17" s="4" t="n">
        <f aca="false">-L6*Assumptions!L46/100</f>
        <v>-97.6892007933298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10.936348</v>
      </c>
      <c r="D18" s="4" t="n">
        <f aca="false">(D6-C6)*Assumptions!$B$51/100</f>
        <v>34.12140576</v>
      </c>
      <c r="E18" s="4" t="n">
        <f aca="false">(E6-D6)*Assumptions!$B$51/100</f>
        <v>38.2159744512001</v>
      </c>
      <c r="F18" s="4" t="n">
        <f aca="false">(F6-E6)*Assumptions!$B$51/100</f>
        <v>39.235067103232</v>
      </c>
      <c r="G18" s="4" t="n">
        <f aca="false">(G6-F6)*Assumptions!$B$51/100</f>
        <v>39.5917495314432</v>
      </c>
      <c r="H18" s="4" t="n">
        <f aca="false">(H6-G6)*Assumptions!$B$51/100</f>
        <v>39.1958320361288</v>
      </c>
      <c r="I18" s="4" t="n">
        <f aca="false">(I6-H6)*Assumptions!$B$51/100</f>
        <v>37.9764061505603</v>
      </c>
      <c r="J18" s="4" t="n">
        <f aca="false">(J6-I6)*Assumptions!$B$51/100</f>
        <v>35.8877038122795</v>
      </c>
      <c r="K18" s="4" t="n">
        <f aca="false">(K6-J6)*Assumptions!$B$51/100</f>
        <v>32.9141512106907</v>
      </c>
      <c r="L18" s="4" t="n">
        <f aca="false">(L6-K6)*Assumptions!$B$51/100</f>
        <v>29.0741669027768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300.8545589408</v>
      </c>
      <c r="D19" s="0" t="n">
        <f aca="false">D15+D16+D17+D18</f>
        <v>460.930147089152</v>
      </c>
      <c r="E19" s="0" t="n">
        <f aca="false">E15+E16+E17+E18</f>
        <v>594.925908403241</v>
      </c>
      <c r="F19" s="0" t="n">
        <f aca="false">F15+F16+F17+F18</f>
        <v>739.771483312588</v>
      </c>
      <c r="G19" s="0" t="n">
        <f aca="false">G15+G16+G17+G18</f>
        <v>860.962185310764</v>
      </c>
      <c r="H19" s="0" t="n">
        <f aca="false">H15+H16+H17+H18</f>
        <v>1010.44241933671</v>
      </c>
      <c r="I19" s="0" t="n">
        <f aca="false">I15+I16+I17+I18</f>
        <v>1168.9517577204</v>
      </c>
      <c r="J19" s="0" t="n">
        <f aca="false">J15+J16+J17+J18</f>
        <v>1289.91686493959</v>
      </c>
      <c r="K19" s="0" t="n">
        <f aca="false">K15+K16+K17+K18</f>
        <v>1362.18506200564</v>
      </c>
      <c r="L19" s="0" t="n">
        <f aca="false">L15+L16+L17+L18</f>
        <v>1424.80862323748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273.504144491636</v>
      </c>
      <c r="D21" s="0" t="n">
        <f aca="false">D19*D20</f>
        <v>380.934005858803</v>
      </c>
      <c r="E21" s="0" t="n">
        <f aca="false">E19*E20</f>
        <v>446.976640423171</v>
      </c>
      <c r="F21" s="0" t="n">
        <f aca="false">F19*F20</f>
        <v>505.273876997875</v>
      </c>
      <c r="G21" s="0" t="n">
        <f aca="false">G19*G20</f>
        <v>534.589779207061</v>
      </c>
      <c r="H21" s="0" t="n">
        <f aca="false">H19*H20</f>
        <v>570.368403536039</v>
      </c>
      <c r="I21" s="0" t="n">
        <f aca="false">I19*I20</f>
        <v>599.857084294276</v>
      </c>
      <c r="J21" s="0" t="n">
        <f aca="false">J19*J20</f>
        <v>601.755737351322</v>
      </c>
      <c r="K21" s="0" t="n">
        <f aca="false">K19*K20</f>
        <v>577.699440579168</v>
      </c>
      <c r="L21" s="0" t="n">
        <f aca="false">L19*L20</f>
        <v>549.325403410539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0.7</v>
      </c>
      <c r="D23" s="4" t="n">
        <f aca="false">Assumptions!D44</f>
        <v>0.7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-39.80830672</v>
      </c>
      <c r="D24" s="0" t="n">
        <f aca="false">-D6*D23/100</f>
        <v>-44.5853035264</v>
      </c>
      <c r="E24" s="0" t="n">
        <f aca="false">-E6*E23/100</f>
        <v>-49.935539949568</v>
      </c>
      <c r="F24" s="0" t="n">
        <f aca="false">-F6*F23/100</f>
        <v>-55.4284493440205</v>
      </c>
      <c r="G24" s="0" t="n">
        <f aca="false">-G6*G23/100</f>
        <v>-60.9712942784225</v>
      </c>
      <c r="H24" s="0" t="n">
        <f aca="false">-H6*H23/100</f>
        <v>-66.4587107634806</v>
      </c>
      <c r="I24" s="0" t="n">
        <f aca="false">-I6*I23/100</f>
        <v>-71.775407624559</v>
      </c>
      <c r="J24" s="0" t="n">
        <f aca="false">-J6*J23/100</f>
        <v>-76.7996861582782</v>
      </c>
      <c r="K24" s="0" t="n">
        <f aca="false">-K6*K23/100</f>
        <v>-81.4076673277749</v>
      </c>
      <c r="L24" s="0" t="n">
        <f aca="false">-L6*L23/100</f>
        <v>-85.4780506941636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5040.28451614989</v>
      </c>
    </row>
    <row r="31" customFormat="false" ht="15" hidden="false" customHeight="false" outlineLevel="0" collapsed="false">
      <c r="A31" s="0" t="s">
        <v>128</v>
      </c>
      <c r="B31" s="0" t="n">
        <f aca="false">L19</f>
        <v>1424.80862323748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20965.0411704943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21372.1293485622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20965.0411704943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8082.93093589793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13123.2154520478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21788.8394520478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11.7984333252205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1.05726823456329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103.978583295403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138.54756532168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11.9297587498893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12229.607349455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8.43549415045823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5.41512401994096</v>
      </c>
      <c r="C4" s="0" t="n">
        <f aca="false">B4/Assumptions!$B$2-1</f>
        <v>-0.0557761081184026</v>
      </c>
      <c r="D4" s="4" t="n">
        <f aca="false">Assumptions!$B$24</f>
        <v>0.3</v>
      </c>
      <c r="E4" s="4" t="n">
        <f aca="false">DCF_Bear!$B$43</f>
        <v>5.48627454757656</v>
      </c>
      <c r="F4" s="4" t="n">
        <f aca="false">DCF_Bear!$B$47</f>
        <v>5.14907296968161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8.47734805414182</v>
      </c>
      <c r="C5" s="0" t="n">
        <f aca="false">B5/Assumptions!$B$2-1</f>
        <v>0.478177515979393</v>
      </c>
      <c r="D5" s="4" t="n">
        <f aca="false">Assumptions!$B$38</f>
        <v>0.5</v>
      </c>
      <c r="E5" s="4" t="n">
        <f aca="false">DCF_Base!$B$43</f>
        <v>8.5744269692339</v>
      </c>
      <c r="F5" s="4" t="n">
        <f aca="false">DCF_Base!$B$47</f>
        <v>6.8202851419298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11.7984333252205</v>
      </c>
      <c r="C6" s="0" t="n">
        <f aca="false">B6/Assumptions!$B$2-1</f>
        <v>1.05726823456329</v>
      </c>
      <c r="D6" s="4" t="n">
        <f aca="false">Assumptions!$B$52</f>
        <v>0.2</v>
      </c>
      <c r="E6" s="4" t="n">
        <f aca="false">DCF_Bull!$B$43</f>
        <v>11.9297587498893</v>
      </c>
      <c r="F6" s="4" t="n">
        <f aca="false">DCF_Bull!$B$47</f>
        <v>8.43549415045823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8.22289789809729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8.31904759886778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0.302557313605094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-2587.525367381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6.64196329196103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8.99274133459562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8.47734805414182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7.98610982736132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7.60012317134768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6.8202851419298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9.3329684326258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9.3329684326258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9.3329684326258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9.3329684326258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9.3329684326258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8.74517566261236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8.92040071615896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8.99274133459562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8.99274133459562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8.99274133459562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8.21151460489645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8.33612403423022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8.47734805414182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8.63874693404079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8.68276481037688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7.79265719581724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7.88400982737973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7.98610982736132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8.10097232734062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8.23114982731716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7.45566275123641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7.52428145078926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7.60012317134768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7.68439174974593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7.77857427854397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2026-10-16T20:30:35Z</dcterms:created>
  <dc:creator>openpyxl</dc:creator>
  <dc:description/>
  <dc:language>en-NZ</dc:language>
  <cp:lastModifiedBy/>
  <dcterms:modified xsi:type="dcterms:W3CDTF">2026-10-16T20:30:35Z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