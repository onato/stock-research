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<sst xmlns="http://schemas.openxmlformats.org/spreadsheetml/2006/main" count="362" uniqueCount="170">
  <si>
    <t xml:space="preserve">Ticker</t>
  </si>
  <si>
    <t xml:space="preserve">SMIN.L</t>
  </si>
  <si>
    <t xml:space="preserve">Company</t>
  </si>
  <si>
    <t xml:space="preserve">Smiths Group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</si>
  <si>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</si>
  <si>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</si>
  <si>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</si>
  <si>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</si>
  <si>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2026-10-09T16:15:00Z</t>
  </si>
  <si>
    <t xml:space="preserve">Balance sheet date</t>
  </si>
  <si>
    <t xml:space="preserve">2026-07-31</t>
  </si>
  <si>
    <t xml:space="preserve">Model</t>
  </si>
  <si>
    <t xml:space="preserve">owner_fcf_dcf_component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</si>
  <si>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</si>
  <si>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</si>
  <si>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</si>
  <si>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</si>
  <si>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</si>
  <si>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</si>
  <si>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</si>
  <si>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</si>
  <si>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</si>
  <si>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2026-10-10T01:37:48Z</t>
  </si>
  <si>
    <t xml:space="preserve">Drivers file</t>
  </si>
  <si>
    <t xml:space="preserve">SMIN.L_Drivers.json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</si>
  <si>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</si>
  <si>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</si>
  <si>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</si>
  <si>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continuing two-segment Smiths (John Crane + Flex-Tek) on unlevered owner free cash flow built from FY2026 continuing-basis components -- headline EBITDA 23.1%, SBC 1%, D&amp;A 2.5% incl. right-of-use, capex 2% rising to the guided range plus ROU renewal, 25% cash tax, negative working-capital capture -- discounted at a GBP 9% WACC, with the GBP1,747m year-end net cash added once in the bridge and the fully diluted year-end count of 295.6m held flat because SBC is expensed. The pre-divestiture history (FY2019-24) informs margins and cyclicality but is not extrapolated across the FY2025 restatement boundary. Management's 5-7% / 21-23% medium-term algorithm is the bull axis; the base sits below it until the continuing group has shown more than one year of delivery. Risk is charged once, in the scenario flows and the 25/50/25 weights, not in the discount rate.
key_risks_to_valuation: Transformation execution: the continuing group has one year of history (FY2026 organic +1.2%, guidance cut mid-year); the 5-7% organic / 21-23% margin algorithm is unproven at this portfolio shape; End-market concentration: John Crane to oil &amp; gas / energy capex cycles (~58% of revenue) and Flex-Tek Construction (~19%) to US residential construction, which is currently weak with no dated recovery catalyst; Middle East conflict: ~GBP20m FY2026 revenue impact on John Crane; region ~7% of revenue; FY2027 guidance assumes disruption through H1 and recovery in H2; Legacy litigation not deducted: John Crane Inc. asbestos provision GBP153m and Titeflex GBP29m (~62p/share if taken at book, ~GBP20m/yr cash drag); divestiture process announced 22 Sep 2026 but unexecuted and the ten-year forecast horizon understates a liability with claims beyond it; Capital allocation: ~GBP1.5bn of buybacks still to execute through CY2027 at ~29x trailing headline earnings; value-neutral in this model only if executed at or below intrinsic value, and activist pressure (Engine Capital, Elliott) may push for more; FX translation: ~63% of revenue is USD; each USD0.10 move is ~GBP16m of operating profit; FY2027 guidance embeds ~1% headwind; Tariffs: US-UK and US-China tariff volatility already cited as a FY2026 margin pressure; pass-through lag is the bear-case margin axis; Terminal-value weight: ~55-60% of EV sits in the terminal value at a 9% WACC; each 1pp of WACC is worth roughly 12-15% of value; Cyber: FY2025 incident; management rates the likelihood 'almost certain'; FY2027 capex includes GBP25m of security remediation</t>
  </si>
  <si>
    <t xml:space="preserve">Data sources</t>
  </si>
  <si>
    <t xml:space="preserve">price: Yahoo Finance chart API (regularMarketPrice, LSE regular close) at inputs.price_as_of; 52-week range 2088-2885 GBp.
financials: SMIN.L_Annual_FY2026.txt (Annual Report FY2026, year ended 31 July 2026, published 22 Sep 2026): note 1 segment analysis (continuing revenue, HOP, D&amp;A, SBC), note 8 EPS share counts, note 24 share capital and buybacks, note 29 cash-flow, note 30 APMs (headline operating cash-flow 384, headline EBITDA 447, net cash 1,747, free cash-flow 256), note 4 finance income; critical accounting judgements (asbestos provision 153, Titeflex 29). SMIN.L_Presentation_FY2026.txt for FY2027 technical guidance (capex ~65, ETR 24-25%, net finance expense 10-15, FX ~-1%, acquisition revenue contributions). core_metrics / kpis via make dcf-context for the FY2018-FY2026 history; FY2025 and H1 FY2025 restated to continuing basis by the financial-parser agent.
qualitative: SMIN.L_Analysis.json (2026-10-10): business model, moat, competitive position (Frost &amp; Sullivan seal market shares), growth drivers, bull/bear cases, FY2027 guidance and medium-term targets.</t>
  </si>
  <si>
    <t xml:space="preserve">Scenario narrative: bear</t>
  </si>
  <si>
    <t xml:space="preserve">The Middle East disruption that cost John Crane ~GBP20m in FY2026 persists, energy capex softens into FY2028 as oil prices fall, and US housing starts stay depressed on mortgage rates, so growth drops to 0.5-1% in FY2028-29 before recovering to a 2% trend; the two-segment group proves more cyclical than the old four-segment one. Tariff cost pass-through lags and negative operating leverage pull EBITDA margin to 22% (HOP ~19%) before a partial recovery to 23%; capex is cut to defend cash. Activist pressure forces more buybacks at full prices rather than reinvestment. Asbestos/Titeflex outflows continue at ~GBP20m+/yr and the divestiture process stalls (not deducted, see notes). Terminal growth 2.0%, Gordon 14.6x FCF.</t>
  </si>
  <si>
    <t xml:space="preserve">Scenario narrative: base</t>
  </si>
  <si>
    <t xml:space="preserve">FY2027 lands on guidance: ~4% organic (John Crane H2-weighted as Middle East disruption persists through H1; Flex-Tek H1-weighted on Thermal Solutions/DRC and Aerospace, with US construction still subdued), -1% FX, plus the DRC annualisation, for ~5.5% reported. From FY2028 organic growth runs at ~4.5% -- below the 5-7% target, because the only continuing-basis evidence (1.2% in FY2026, a mid-year guidance cut) does not yet earn the algorithm -- fading to 2.5% by year 10. Headline EBITDA margin moves from 23.1% to 25% (HOP ~22%, mid-range) via the Acceleration Plan, aftermarket mix and operating leverage. Capex steps up to ~GBP65m in FY2027 then normalises to the 2-3% guided range. Cash tax 25% throughout. The GBP1.5bn of remaining buybacks is value-neutral (cash in the bridge, count flat). Terminal value at 9% / 2.5% is 15.8x year-10 FCF, just inside the 16x cap.</t>
  </si>
  <si>
    <t xml:space="preserve">Scenario narrative: bull</t>
  </si>
  <si>
    <t xml:space="preserve">Energy-security capex (LNG, where ~90% of the largest facilities use John Crane seals), the US housing recovery from FY2028, record aerospace backlogs, and data-centre cooling demand through DRC/Wattco together deliver the 5-7% organic algorithm from FY2028 for four years, with bolt-on M&amp;A on top not modelled. Margin reaches 26.3% EBITDA (HOP ~23%, top of range) as aftermarket share rises and the Acceleration Plan over-delivers. The asbestos liability is divested, removing the ~GBP20m/yr cash drag (not separately credited here). Terminal growth 3.0%; the 16x cap binds (Gordon would be 17.2x).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</si>
  <si>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</si>
  <si>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</si>
  <si>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</si>
  <si>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</si>
  <si>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</si>
  <si>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</si>
  <si>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</si>
  <si>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</si>
  <si>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</si>
  <si>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</si>
  <si>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</si>
  <si>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</si>
  <si>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</si>
  <si>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</si>
  <si>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</si>
  <si>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</si>
  <si>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</si>
  <si>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</si>
  <si>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</si>
  <si>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</si>
  <si>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</si>
  <si>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</si>
  <si>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</si>
  <si>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</si>
  <si>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</si>
  <si>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</si>
  <si>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</si>
  <si>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AdjustedOperatingProfit</t>
  </si>
  <si>
    <t xml:space="preserve">NetCash</t>
  </si>
  <si>
    <t xml:space="preserve">NetIncomeContinuing</t>
  </si>
  <si>
    <t xml:space="preserve">NetProfitAttributable</t>
  </si>
  <si>
    <t xml:space="preserve">ShareAwardSettlement</t>
  </si>
  <si>
    <t xml:space="preserve">TotalEquityInclNCI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</si>
  <si>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</si>
  <si>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</si>
  <si>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</si>
  <si>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</si>
  <si>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</si>
  <si>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</si>
  <si>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</si>
  <si>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</si>
  <si>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</si>
  <si>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</si>
  <si>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</si>
  <si>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</si>
  <si>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</si>
  <si>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</si>
  <si>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</si>
  <si>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</si>
  <si>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</si>
  <si>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</si>
  <si>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</si>
  <si>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</si>
  <si>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</si>
  <si>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</si>
  <si>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</si>
  <si>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</si>
  <si>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</si>
  <si>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</si>
  <si>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</si>
  <si>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</si>
  <si>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</si>
  <si>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</si>
  <si>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</si>
  <si>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</si>
  <si>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</si>
  <si>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</si>
  <si>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</si>
  <si>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</si>
  <si>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</si>
  <si>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</si>
  <si>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</si>
  <si>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</si>
  <si>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</si>
  <si>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</si>
  <si>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</si>
  <si>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</si>
  <si>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</si>
  <si>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</si>
  <si>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SMIN.L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</si>
  <si>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</si>
  <si>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</si>
  <si>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</si>
  <si>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</si>
  <si>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</si>
  <si>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</si>
  <si>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</si>
  <si>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</si>
  <si>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</si>
  <si>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</si>
  <si>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</si>
  <si>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</si>
  <si>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</si>
  <si>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</si>
  <si>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</si>
  <si>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</si>
  <si>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</si>
  <si>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</si>
  <si>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</si>
  <si>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</si>
  <si>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</si>
  <si>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</si>
  <si>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</si>
  <si>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</si>
  <si>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</si>
  <si>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</si>
  <si>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</si>
  <si>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</si>
  <si>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</si>
  <si>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</si>
  <si>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SMIN.L owner-FCF component DCF: base case (millions, GBP)</t>
  </si>
  <si>
    <t xml:space="preserve">SMIN.L owner-FCF component DCF: bull case (millions, GBP)</t>
  </si>
  <si>
    <t xml:space="preserve">SMIN.L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</si>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</sst>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2730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</row>
    <row r="2" customFormat="false" ht="15" hidden="false" customHeight="false" outlineLevel="0" collapsed="false">
      <c r="A2" s="0" t="s">
        <v>70</v>
      </c>
      <c r="B2" s="0" t="n">
        <v>2328</v>
      </c>
      <c r="C2" s="0" t="n">
        <v>1327</v>
      </c>
      <c r="D2" s="0" t="n">
        <v>1001</v>
      </c>
      <c r="E2" s="0" t="n">
        <v>43</v>
      </c>
      <c r="F2" s="0" t="n">
        <v>342</v>
      </c>
      <c r="G2" s="0" t="n">
        <v>14.7</v>
      </c>
      <c r="I2" s="0" t="n">
        <v>117</v>
      </c>
      <c r="J2" s="0" t="n">
        <v>5</v>
      </c>
      <c r="K2" s="0" t="n">
        <v>0.292</v>
      </c>
      <c r="L2" s="0" t="n">
        <v>405</v>
      </c>
      <c r="M2" s="0" t="n">
        <v>106</v>
      </c>
      <c r="N2" s="0" t="n">
        <v>299</v>
      </c>
      <c r="O2" s="0" t="n">
        <v>2288</v>
      </c>
      <c r="P2" s="0" t="n">
        <v>5173</v>
      </c>
      <c r="Q2" s="0" t="n">
        <v>2885</v>
      </c>
      <c r="R2" s="0" t="n">
        <v>1610</v>
      </c>
      <c r="S2" s="0" t="n">
        <v>717</v>
      </c>
      <c r="T2" s="0" t="n">
        <v>400.9</v>
      </c>
      <c r="U2" s="0" t="n">
        <v>16</v>
      </c>
      <c r="X2" s="0" t="n">
        <v>2328</v>
      </c>
      <c r="AA2" s="0" t="s">
        <v>18</v>
      </c>
      <c r="AB2" s="0" t="s">
        <v>14</v>
      </c>
      <c r="AC2" s="0" t="n">
        <v>388</v>
      </c>
      <c r="AE2" s="0" t="n">
        <v>117</v>
      </c>
      <c r="AF2" s="0" t="n">
        <v>277</v>
      </c>
      <c r="AG2" s="0" t="n">
        <v>15</v>
      </c>
      <c r="AH2" s="0" t="n">
        <v>2288</v>
      </c>
    </row>
    <row r="3" customFormat="false" ht="15" hidden="false" customHeight="false" outlineLevel="0" collapsed="false">
      <c r="A3" s="0" t="s">
        <v>71</v>
      </c>
      <c r="B3" s="0" t="n">
        <v>2498</v>
      </c>
      <c r="C3" s="0" t="n">
        <v>1429</v>
      </c>
      <c r="D3" s="0" t="n">
        <v>1069</v>
      </c>
      <c r="E3" s="0" t="n">
        <v>42.8</v>
      </c>
      <c r="F3" s="0" t="n">
        <v>326</v>
      </c>
      <c r="G3" s="0" t="n">
        <v>13.1</v>
      </c>
      <c r="I3" s="0" t="n">
        <v>140</v>
      </c>
      <c r="J3" s="0" t="n">
        <v>5.6</v>
      </c>
      <c r="K3" s="0" t="n">
        <v>0.351</v>
      </c>
      <c r="L3" s="0" t="n">
        <v>346</v>
      </c>
      <c r="M3" s="0" t="n">
        <v>118</v>
      </c>
      <c r="N3" s="0" t="n">
        <v>228</v>
      </c>
      <c r="O3" s="0" t="n">
        <v>2381</v>
      </c>
      <c r="P3" s="0" t="n">
        <v>5318</v>
      </c>
      <c r="Q3" s="0" t="n">
        <v>2937</v>
      </c>
      <c r="R3" s="0" t="n">
        <v>1509</v>
      </c>
      <c r="S3" s="0" t="n">
        <v>289</v>
      </c>
      <c r="T3" s="0" t="n">
        <v>398.2</v>
      </c>
      <c r="U3" s="0" t="n">
        <v>15</v>
      </c>
      <c r="X3" s="0" t="n">
        <v>2498</v>
      </c>
      <c r="AA3" s="0" t="s">
        <v>18</v>
      </c>
      <c r="AB3" s="0" t="s">
        <v>14</v>
      </c>
      <c r="AC3" s="0" t="n">
        <v>427</v>
      </c>
      <c r="AE3" s="0" t="n">
        <v>140</v>
      </c>
      <c r="AF3" s="0" t="n">
        <v>225</v>
      </c>
      <c r="AG3" s="0" t="n">
        <v>19</v>
      </c>
      <c r="AH3" s="0" t="n">
        <v>2381</v>
      </c>
    </row>
    <row r="4" customFormat="false" ht="15" hidden="false" customHeight="false" outlineLevel="0" collapsed="false">
      <c r="A4" s="0" t="s">
        <v>72</v>
      </c>
      <c r="B4" s="0" t="n">
        <v>2548</v>
      </c>
      <c r="C4" s="0" t="n">
        <v>1559</v>
      </c>
      <c r="D4" s="0" t="n">
        <v>989</v>
      </c>
      <c r="E4" s="0" t="n">
        <v>38.8</v>
      </c>
      <c r="F4" s="0" t="n">
        <v>241</v>
      </c>
      <c r="G4" s="0" t="n">
        <v>9.5</v>
      </c>
      <c r="I4" s="0" t="n">
        <v>65</v>
      </c>
      <c r="J4" s="0" t="n">
        <v>2.6</v>
      </c>
      <c r="K4" s="0" t="n">
        <v>0.163</v>
      </c>
      <c r="L4" s="0" t="n">
        <v>429</v>
      </c>
      <c r="M4" s="0" t="n">
        <v>110</v>
      </c>
      <c r="N4" s="0" t="n">
        <v>319</v>
      </c>
      <c r="O4" s="0" t="n">
        <v>2373</v>
      </c>
      <c r="P4" s="0" t="n">
        <v>5413</v>
      </c>
      <c r="Q4" s="0" t="n">
        <v>3019</v>
      </c>
      <c r="R4" s="0" t="n">
        <v>1561</v>
      </c>
      <c r="S4" s="0" t="n">
        <v>366</v>
      </c>
      <c r="T4" s="0" t="n">
        <v>399.1</v>
      </c>
      <c r="U4" s="0" t="n">
        <v>10</v>
      </c>
      <c r="X4" s="0" t="n">
        <v>2548</v>
      </c>
      <c r="AA4" s="0" t="s">
        <v>18</v>
      </c>
      <c r="AB4" s="0" t="s">
        <v>14</v>
      </c>
      <c r="AC4" s="0" t="n">
        <v>327</v>
      </c>
      <c r="AE4" s="0" t="n">
        <v>65</v>
      </c>
      <c r="AF4" s="0" t="n">
        <v>265</v>
      </c>
      <c r="AG4" s="0" t="n">
        <v>18</v>
      </c>
      <c r="AH4" s="0" t="n">
        <v>2394</v>
      </c>
    </row>
    <row r="5" customFormat="false" ht="15" hidden="false" customHeight="false" outlineLevel="0" collapsed="false">
      <c r="A5" s="0" t="s">
        <v>73</v>
      </c>
      <c r="B5" s="0" t="n">
        <v>2406</v>
      </c>
      <c r="F5" s="0" t="n">
        <v>326</v>
      </c>
      <c r="G5" s="0" t="n">
        <v>13.5</v>
      </c>
      <c r="I5" s="0" t="n">
        <v>156</v>
      </c>
      <c r="J5" s="0" t="n">
        <v>6.5</v>
      </c>
      <c r="K5" s="0" t="n">
        <v>0.391</v>
      </c>
      <c r="L5" s="0" t="n">
        <v>535</v>
      </c>
      <c r="M5" s="0" t="n">
        <v>117</v>
      </c>
      <c r="N5" s="0" t="n">
        <v>418</v>
      </c>
      <c r="O5" s="0" t="n">
        <v>2402</v>
      </c>
      <c r="P5" s="0" t="n">
        <v>5337</v>
      </c>
      <c r="Q5" s="0" t="n">
        <v>2914</v>
      </c>
      <c r="R5" s="0" t="n">
        <v>1502</v>
      </c>
      <c r="S5" s="0" t="n">
        <v>405</v>
      </c>
      <c r="T5" s="0" t="n">
        <v>398.3</v>
      </c>
      <c r="U5" s="0" t="n">
        <v>13</v>
      </c>
      <c r="X5" s="0" t="n">
        <v>2406</v>
      </c>
      <c r="AA5" s="0" t="s">
        <v>18</v>
      </c>
      <c r="AB5" s="0" t="s">
        <v>14</v>
      </c>
      <c r="AC5" s="0" t="n">
        <v>372</v>
      </c>
      <c r="AE5" s="0" t="n">
        <v>156</v>
      </c>
      <c r="AF5" s="0" t="n">
        <v>284</v>
      </c>
      <c r="AG5" s="0" t="n">
        <v>16</v>
      </c>
      <c r="AH5" s="0" t="n">
        <v>2423</v>
      </c>
    </row>
    <row r="6" customFormat="false" ht="15" hidden="false" customHeight="false" outlineLevel="0" collapsed="false">
      <c r="A6" s="0" t="s">
        <v>74</v>
      </c>
      <c r="B6" s="0" t="n">
        <v>2566</v>
      </c>
      <c r="F6" s="0" t="n">
        <v>117</v>
      </c>
      <c r="G6" s="0" t="n">
        <v>4.6</v>
      </c>
      <c r="H6" s="0" t="n">
        <v>495</v>
      </c>
      <c r="I6" s="0" t="n">
        <v>11</v>
      </c>
      <c r="J6" s="0" t="n">
        <v>0.4</v>
      </c>
      <c r="K6" s="0" t="n">
        <v>0.028</v>
      </c>
      <c r="L6" s="0" t="n">
        <v>279</v>
      </c>
      <c r="M6" s="0" t="n">
        <v>88</v>
      </c>
      <c r="N6" s="0" t="n">
        <v>191</v>
      </c>
      <c r="O6" s="0" t="n">
        <v>2699</v>
      </c>
      <c r="P6" s="0" t="n">
        <v>5223</v>
      </c>
      <c r="Q6" s="0" t="n">
        <v>2502</v>
      </c>
      <c r="R6" s="0" t="n">
        <v>1166</v>
      </c>
      <c r="S6" s="0" t="n">
        <v>1056</v>
      </c>
      <c r="T6" s="0" t="n">
        <v>388.3</v>
      </c>
      <c r="U6" s="0" t="n">
        <v>13</v>
      </c>
      <c r="X6" s="0" t="n">
        <v>2566</v>
      </c>
      <c r="AA6" s="0" t="s">
        <v>18</v>
      </c>
      <c r="AB6" s="0" t="s">
        <v>14</v>
      </c>
      <c r="AC6" s="0" t="n">
        <v>417</v>
      </c>
      <c r="AE6" s="0" t="n">
        <v>11</v>
      </c>
      <c r="AF6" s="0" t="n">
        <v>1033</v>
      </c>
      <c r="AG6" s="0" t="n">
        <v>16</v>
      </c>
      <c r="AH6" s="0" t="n">
        <v>2721</v>
      </c>
    </row>
    <row r="7" customFormat="false" ht="15" hidden="false" customHeight="false" outlineLevel="0" collapsed="false">
      <c r="A7" s="0" t="s">
        <v>75</v>
      </c>
      <c r="B7" s="0" t="n">
        <v>3037</v>
      </c>
      <c r="F7" s="0" t="n">
        <v>403</v>
      </c>
      <c r="G7" s="0" t="n">
        <v>13.3</v>
      </c>
      <c r="H7" s="0" t="n">
        <v>584</v>
      </c>
      <c r="I7" s="0" t="n">
        <v>225</v>
      </c>
      <c r="J7" s="0" t="n">
        <v>7.4</v>
      </c>
      <c r="K7" s="0" t="n">
        <v>0.634</v>
      </c>
      <c r="L7" s="0" t="n">
        <v>293</v>
      </c>
      <c r="M7" s="0" t="n">
        <v>81</v>
      </c>
      <c r="N7" s="0" t="n">
        <v>212</v>
      </c>
      <c r="O7" s="0" t="n">
        <v>2384</v>
      </c>
      <c r="P7" s="0" t="n">
        <v>4355</v>
      </c>
      <c r="Q7" s="0" t="n">
        <v>1949</v>
      </c>
      <c r="R7" s="0" t="n">
        <v>654</v>
      </c>
      <c r="S7" s="0" t="n">
        <v>285</v>
      </c>
      <c r="T7" s="0" t="n">
        <v>354.8</v>
      </c>
      <c r="U7" s="0" t="n">
        <v>13</v>
      </c>
      <c r="X7" s="0" t="n">
        <v>3037</v>
      </c>
      <c r="AA7" s="0" t="s">
        <v>18</v>
      </c>
      <c r="AB7" s="0" t="s">
        <v>14</v>
      </c>
      <c r="AC7" s="0" t="n">
        <v>501</v>
      </c>
      <c r="AE7" s="0" t="n">
        <v>225</v>
      </c>
      <c r="AF7" s="0" t="n">
        <v>231</v>
      </c>
      <c r="AG7" s="0" t="n">
        <v>24</v>
      </c>
      <c r="AH7" s="0" t="n">
        <v>2406</v>
      </c>
    </row>
    <row r="8" customFormat="false" ht="15" hidden="false" customHeight="false" outlineLevel="0" collapsed="false">
      <c r="A8" s="0" t="s">
        <v>76</v>
      </c>
      <c r="B8" s="0" t="n">
        <v>3132</v>
      </c>
      <c r="F8" s="0" t="n">
        <v>415</v>
      </c>
      <c r="G8" s="0" t="n">
        <v>13.3</v>
      </c>
      <c r="H8" s="0" t="n">
        <v>611</v>
      </c>
      <c r="I8" s="0" t="n">
        <v>250</v>
      </c>
      <c r="J8" s="0" t="n">
        <v>8</v>
      </c>
      <c r="K8" s="0" t="n">
        <v>0.72</v>
      </c>
      <c r="L8" s="0" t="n">
        <v>418</v>
      </c>
      <c r="M8" s="0" t="n">
        <v>86</v>
      </c>
      <c r="N8" s="0" t="n">
        <v>332</v>
      </c>
      <c r="O8" s="0" t="n">
        <v>2230</v>
      </c>
      <c r="P8" s="0" t="n">
        <v>4232</v>
      </c>
      <c r="Q8" s="0" t="n">
        <v>1980</v>
      </c>
      <c r="R8" s="0" t="n">
        <v>659</v>
      </c>
      <c r="S8" s="0" t="n">
        <v>459</v>
      </c>
      <c r="T8" s="0" t="n">
        <v>347.3</v>
      </c>
      <c r="U8" s="0" t="n">
        <v>13</v>
      </c>
      <c r="X8" s="0" t="n">
        <v>3132</v>
      </c>
      <c r="AA8" s="0" t="s">
        <v>18</v>
      </c>
      <c r="AB8" s="0" t="s">
        <v>14</v>
      </c>
      <c r="AC8" s="0" t="n">
        <v>526</v>
      </c>
      <c r="AE8" s="0" t="n">
        <v>250</v>
      </c>
      <c r="AF8" s="0" t="n">
        <v>250</v>
      </c>
      <c r="AG8" s="0" t="n">
        <v>20</v>
      </c>
      <c r="AH8" s="0" t="n">
        <v>2252</v>
      </c>
    </row>
    <row r="9" customFormat="false" ht="15" hidden="false" customHeight="false" outlineLevel="0" collapsed="false">
      <c r="A9" s="0" t="s">
        <v>77</v>
      </c>
      <c r="B9" s="0" t="n">
        <v>1898</v>
      </c>
      <c r="F9" s="0" t="n">
        <v>347</v>
      </c>
      <c r="G9" s="0" t="n">
        <v>18.3</v>
      </c>
      <c r="I9" s="0" t="n">
        <v>252</v>
      </c>
      <c r="J9" s="0" t="n">
        <v>13.3</v>
      </c>
      <c r="K9" s="0" t="n">
        <v>0.741</v>
      </c>
      <c r="L9" s="0" t="n">
        <v>456</v>
      </c>
      <c r="M9" s="0" t="n">
        <v>80</v>
      </c>
      <c r="N9" s="0" t="n">
        <v>376</v>
      </c>
      <c r="O9" s="0" t="n">
        <v>2036</v>
      </c>
      <c r="P9" s="0" t="n">
        <v>4011</v>
      </c>
      <c r="Q9" s="0" t="n">
        <v>1951</v>
      </c>
      <c r="R9" s="0" t="n">
        <v>667</v>
      </c>
      <c r="S9" s="0" t="n">
        <v>195</v>
      </c>
      <c r="T9" s="0" t="n">
        <v>339.97</v>
      </c>
      <c r="U9" s="0" t="n">
        <v>21</v>
      </c>
      <c r="X9" s="0" t="n">
        <v>1898</v>
      </c>
      <c r="AA9" s="0" t="s">
        <v>18</v>
      </c>
      <c r="AB9" s="0" t="s">
        <v>14</v>
      </c>
      <c r="AC9" s="0" t="n">
        <v>388</v>
      </c>
      <c r="AD9" s="0" t="n">
        <v>-462</v>
      </c>
      <c r="AE9" s="0" t="n">
        <v>252</v>
      </c>
      <c r="AF9" s="0" t="n">
        <v>290</v>
      </c>
      <c r="AG9" s="0" t="n">
        <v>23</v>
      </c>
      <c r="AH9" s="0" t="n">
        <v>2060</v>
      </c>
    </row>
    <row r="10" customFormat="false" ht="15" hidden="false" customHeight="false" outlineLevel="0" collapsed="false">
      <c r="A10" s="0" t="s">
        <v>78</v>
      </c>
      <c r="B10" s="0" t="n">
        <v>1937</v>
      </c>
      <c r="F10" s="0" t="n">
        <v>289</v>
      </c>
      <c r="G10" s="0" t="n">
        <v>14.9</v>
      </c>
      <c r="H10" s="0" t="n">
        <v>447</v>
      </c>
      <c r="I10" s="0" t="n">
        <v>155</v>
      </c>
      <c r="J10" s="0" t="n">
        <v>8</v>
      </c>
      <c r="K10" s="0" t="n">
        <v>0.493</v>
      </c>
      <c r="L10" s="0" t="n">
        <v>241</v>
      </c>
      <c r="M10" s="0" t="n">
        <v>67</v>
      </c>
      <c r="N10" s="0" t="n">
        <v>174</v>
      </c>
      <c r="O10" s="0" t="n">
        <v>2582</v>
      </c>
      <c r="P10" s="0" t="n">
        <v>4838</v>
      </c>
      <c r="Q10" s="0" t="n">
        <v>2233</v>
      </c>
      <c r="R10" s="0" t="n">
        <v>1204</v>
      </c>
      <c r="S10" s="0" t="n">
        <v>2956</v>
      </c>
      <c r="T10" s="0" t="n">
        <v>314.56</v>
      </c>
      <c r="U10" s="0" t="n">
        <v>24</v>
      </c>
      <c r="X10" s="0" t="n">
        <v>1937</v>
      </c>
      <c r="AA10" s="0" t="s">
        <v>18</v>
      </c>
      <c r="AB10" s="0" t="s">
        <v>14</v>
      </c>
      <c r="AC10" s="0" t="n">
        <v>399</v>
      </c>
      <c r="AD10" s="0" t="n">
        <v>1747</v>
      </c>
      <c r="AE10" s="0" t="n">
        <v>155</v>
      </c>
      <c r="AF10" s="0" t="n">
        <v>1970</v>
      </c>
      <c r="AG10" s="0" t="n">
        <v>43</v>
      </c>
      <c r="AH10" s="0" t="n">
        <v>2605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2730</v>
      </c>
    </row>
    <row r="3" customFormat="false" ht="15" hidden="false" customHeight="false" outlineLevel="0" collapsed="false">
      <c r="A3" s="0" t="s">
        <v>82</v>
      </c>
      <c r="B3" s="3" t="n">
        <v>295.6</v>
      </c>
    </row>
    <row r="4" customFormat="false" ht="15" hidden="false" customHeight="false" outlineLevel="0" collapsed="false">
      <c r="A4" s="0" t="s">
        <v>83</v>
      </c>
      <c r="B4" s="3" t="n">
        <v>-1747</v>
      </c>
    </row>
    <row r="5" customFormat="false" ht="15" hidden="false" customHeight="false" outlineLevel="0" collapsed="false">
      <c r="A5" s="0" t="s">
        <v>84</v>
      </c>
      <c r="B5" s="3" t="n">
        <v>0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1937</v>
      </c>
    </row>
    <row r="8" customFormat="false" ht="15" hidden="false" customHeight="false" outlineLevel="0" collapsed="false">
      <c r="A8" s="0" t="s">
        <v>87</v>
      </c>
      <c r="B8" s="3" t="s">
        <v>78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100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3</v>
      </c>
      <c r="D13" s="3" t="n">
        <v>0.5</v>
      </c>
      <c r="E13" s="3" t="n">
        <v>1</v>
      </c>
      <c r="F13" s="3" t="n">
        <v>2</v>
      </c>
      <c r="G13" s="3" t="n">
        <v>2.5</v>
      </c>
      <c r="H13" s="3" t="n">
        <v>2.5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103</v>
      </c>
      <c r="C14" s="3" t="n">
        <v>22.8</v>
      </c>
      <c r="D14" s="3" t="n">
        <v>22</v>
      </c>
      <c r="E14" s="3" t="n">
        <v>22</v>
      </c>
      <c r="F14" s="3" t="n">
        <v>22.3</v>
      </c>
      <c r="G14" s="3" t="n">
        <v>22.6</v>
      </c>
      <c r="H14" s="3" t="n">
        <v>22.8</v>
      </c>
      <c r="I14" s="3" t="n">
        <v>23</v>
      </c>
      <c r="J14" s="3" t="n">
        <v>23</v>
      </c>
      <c r="K14" s="3" t="n">
        <v>23</v>
      </c>
      <c r="L14" s="3" t="n">
        <v>23</v>
      </c>
    </row>
    <row r="15" customFormat="false" ht="15" hidden="false" customHeight="false" outlineLevel="0" collapsed="false">
      <c r="A15" s="0" t="s">
        <v>104</v>
      </c>
      <c r="C15" s="3" t="n">
        <v>1</v>
      </c>
      <c r="D15" s="3" t="n">
        <v>1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</row>
    <row r="16" customFormat="false" ht="15" hidden="false" customHeight="false" outlineLevel="0" collapsed="false">
      <c r="A16" s="0" t="s">
        <v>105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106</v>
      </c>
      <c r="C17" s="3" t="n">
        <v>2.5</v>
      </c>
      <c r="D17" s="3" t="n">
        <v>2.6</v>
      </c>
      <c r="E17" s="3" t="n">
        <v>2.7</v>
      </c>
      <c r="F17" s="3" t="n">
        <v>2.8</v>
      </c>
      <c r="G17" s="3" t="n">
        <v>2.9</v>
      </c>
      <c r="H17" s="3" t="n">
        <v>3</v>
      </c>
      <c r="I17" s="3" t="n">
        <v>3</v>
      </c>
      <c r="J17" s="3" t="n">
        <v>3</v>
      </c>
      <c r="K17" s="3" t="n">
        <v>3</v>
      </c>
      <c r="L17" s="3" t="n">
        <v>3</v>
      </c>
    </row>
    <row r="18" customFormat="false" ht="15" hidden="false" customHeight="false" outlineLevel="0" collapsed="false">
      <c r="A18" s="0" t="s">
        <v>107</v>
      </c>
      <c r="C18" s="3" t="n">
        <v>4.4</v>
      </c>
      <c r="D18" s="3" t="n">
        <v>3.6</v>
      </c>
      <c r="E18" s="3" t="n">
        <v>3.4</v>
      </c>
      <c r="F18" s="3" t="n">
        <v>3.4</v>
      </c>
      <c r="G18" s="3" t="n">
        <v>3.4</v>
      </c>
      <c r="H18" s="3" t="n">
        <v>3.4</v>
      </c>
      <c r="I18" s="3" t="n">
        <v>3.4</v>
      </c>
      <c r="J18" s="3" t="n">
        <v>3.4</v>
      </c>
      <c r="K18" s="3" t="n">
        <v>3.4</v>
      </c>
      <c r="L18" s="3" t="n">
        <v>3.4</v>
      </c>
    </row>
    <row r="19" customFormat="false" ht="15" hidden="false" customHeight="false" outlineLevel="0" collapsed="false">
      <c r="A19" s="0" t="s">
        <v>108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109</v>
      </c>
      <c r="B20" s="3" t="n">
        <v>9</v>
      </c>
    </row>
    <row r="21" customFormat="false" ht="15" hidden="false" customHeight="false" outlineLevel="0" collapsed="false">
      <c r="A21" s="0" t="s">
        <v>110</v>
      </c>
      <c r="B21" s="3" t="n">
        <v>2</v>
      </c>
    </row>
    <row r="22" customFormat="false" ht="15" hidden="false" customHeight="false" outlineLevel="0" collapsed="false">
      <c r="A22" s="0" t="s">
        <v>111</v>
      </c>
      <c r="B22" s="3" t="n">
        <v>16</v>
      </c>
    </row>
    <row r="23" customFormat="false" ht="15" hidden="false" customHeight="false" outlineLevel="0" collapsed="false">
      <c r="A23" s="0" t="s">
        <v>112</v>
      </c>
      <c r="B23" s="3" t="n">
        <v>-15</v>
      </c>
    </row>
    <row r="24" customFormat="false" ht="15" hidden="false" customHeight="false" outlineLevel="0" collapsed="false">
      <c r="A24" s="0" t="s">
        <v>113</v>
      </c>
      <c r="B24" s="3" t="n">
        <v>0.25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5.5</v>
      </c>
      <c r="D27" s="3" t="n">
        <v>4.5</v>
      </c>
      <c r="E27" s="3" t="n">
        <v>4.5</v>
      </c>
      <c r="F27" s="3" t="n">
        <v>4.5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103</v>
      </c>
      <c r="C28" s="3" t="n">
        <v>23.5</v>
      </c>
      <c r="D28" s="3" t="n">
        <v>23.8</v>
      </c>
      <c r="E28" s="3" t="n">
        <v>24.1</v>
      </c>
      <c r="F28" s="3" t="n">
        <v>24.4</v>
      </c>
      <c r="G28" s="3" t="n">
        <v>24.6</v>
      </c>
      <c r="H28" s="3" t="n">
        <v>24.8</v>
      </c>
      <c r="I28" s="3" t="n">
        <v>25</v>
      </c>
      <c r="J28" s="3" t="n">
        <v>25</v>
      </c>
      <c r="K28" s="3" t="n">
        <v>25</v>
      </c>
      <c r="L28" s="3" t="n">
        <v>25</v>
      </c>
    </row>
    <row r="29" customFormat="false" ht="15" hidden="false" customHeight="false" outlineLevel="0" collapsed="false">
      <c r="A29" s="0" t="s">
        <v>104</v>
      </c>
      <c r="C29" s="3" t="n">
        <v>1</v>
      </c>
      <c r="D29" s="3" t="n">
        <v>1</v>
      </c>
      <c r="E29" s="3" t="n">
        <v>1</v>
      </c>
      <c r="F29" s="3" t="n">
        <v>1</v>
      </c>
      <c r="G29" s="3" t="n">
        <v>1</v>
      </c>
      <c r="H29" s="3" t="n">
        <v>1</v>
      </c>
      <c r="I29" s="3" t="n">
        <v>1</v>
      </c>
      <c r="J29" s="3" t="n">
        <v>1</v>
      </c>
      <c r="K29" s="3" t="n">
        <v>1</v>
      </c>
      <c r="L29" s="3" t="n">
        <v>1</v>
      </c>
    </row>
    <row r="30" customFormat="false" ht="15" hidden="false" customHeight="false" outlineLevel="0" collapsed="false">
      <c r="A30" s="0" t="s">
        <v>105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106</v>
      </c>
      <c r="C31" s="3" t="n">
        <v>2.5</v>
      </c>
      <c r="D31" s="3" t="n">
        <v>2.6</v>
      </c>
      <c r="E31" s="3" t="n">
        <v>2.7</v>
      </c>
      <c r="F31" s="3" t="n">
        <v>2.8</v>
      </c>
      <c r="G31" s="3" t="n">
        <v>2.9</v>
      </c>
      <c r="H31" s="3" t="n">
        <v>3</v>
      </c>
      <c r="I31" s="3" t="n">
        <v>3</v>
      </c>
      <c r="J31" s="3" t="n">
        <v>3</v>
      </c>
      <c r="K31" s="3" t="n">
        <v>3</v>
      </c>
      <c r="L31" s="3" t="n">
        <v>3</v>
      </c>
    </row>
    <row r="32" customFormat="false" ht="15" hidden="false" customHeight="false" outlineLevel="0" collapsed="false">
      <c r="A32" s="0" t="s">
        <v>107</v>
      </c>
      <c r="C32" s="3" t="n">
        <v>4.4</v>
      </c>
      <c r="D32" s="3" t="n">
        <v>4</v>
      </c>
      <c r="E32" s="3" t="n">
        <v>3.8</v>
      </c>
      <c r="F32" s="3" t="n">
        <v>3.7</v>
      </c>
      <c r="G32" s="3" t="n">
        <v>3.7</v>
      </c>
      <c r="H32" s="3" t="n">
        <v>3.7</v>
      </c>
      <c r="I32" s="3" t="n">
        <v>3.6</v>
      </c>
      <c r="J32" s="3" t="n">
        <v>3.6</v>
      </c>
      <c r="K32" s="3" t="n">
        <v>3.6</v>
      </c>
      <c r="L32" s="3" t="n">
        <v>3.6</v>
      </c>
    </row>
    <row r="33" customFormat="false" ht="15" hidden="false" customHeight="false" outlineLevel="0" collapsed="false">
      <c r="A33" s="0" t="s">
        <v>108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109</v>
      </c>
      <c r="B34" s="3" t="n">
        <v>9</v>
      </c>
    </row>
    <row r="35" customFormat="false" ht="15" hidden="false" customHeight="false" outlineLevel="0" collapsed="false">
      <c r="A35" s="0" t="s">
        <v>110</v>
      </c>
      <c r="B35" s="3" t="n">
        <v>2.5</v>
      </c>
    </row>
    <row r="36" customFormat="false" ht="15" hidden="false" customHeight="false" outlineLevel="0" collapsed="false">
      <c r="A36" s="0" t="s">
        <v>111</v>
      </c>
      <c r="B36" s="3" t="n">
        <v>16</v>
      </c>
    </row>
    <row r="37" customFormat="false" ht="15" hidden="false" customHeight="false" outlineLevel="0" collapsed="false">
      <c r="A37" s="0" t="s">
        <v>112</v>
      </c>
      <c r="B37" s="3" t="n">
        <v>-15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6.5</v>
      </c>
      <c r="D41" s="3" t="n">
        <v>6.5</v>
      </c>
      <c r="E41" s="3" t="n">
        <v>6.5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103</v>
      </c>
      <c r="C42" s="3" t="n">
        <v>23.7</v>
      </c>
      <c r="D42" s="3" t="n">
        <v>24.3</v>
      </c>
      <c r="E42" s="3" t="n">
        <v>24.9</v>
      </c>
      <c r="F42" s="3" t="n">
        <v>25.4</v>
      </c>
      <c r="G42" s="3" t="n">
        <v>25.8</v>
      </c>
      <c r="H42" s="3" t="n">
        <v>26</v>
      </c>
      <c r="I42" s="3" t="n">
        <v>26.2</v>
      </c>
      <c r="J42" s="3" t="n">
        <v>26.3</v>
      </c>
      <c r="K42" s="3" t="n">
        <v>26.3</v>
      </c>
      <c r="L42" s="3" t="n">
        <v>26.3</v>
      </c>
    </row>
    <row r="43" customFormat="false" ht="15" hidden="false" customHeight="false" outlineLevel="0" collapsed="false">
      <c r="A43" s="0" t="s">
        <v>104</v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105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106</v>
      </c>
      <c r="C45" s="3" t="n">
        <v>2.5</v>
      </c>
      <c r="D45" s="3" t="n">
        <v>2.6</v>
      </c>
      <c r="E45" s="3" t="n">
        <v>2.7</v>
      </c>
      <c r="F45" s="3" t="n">
        <v>2.8</v>
      </c>
      <c r="G45" s="3" t="n">
        <v>2.9</v>
      </c>
      <c r="H45" s="3" t="n">
        <v>3</v>
      </c>
      <c r="I45" s="3" t="n">
        <v>3</v>
      </c>
      <c r="J45" s="3" t="n">
        <v>3</v>
      </c>
      <c r="K45" s="3" t="n">
        <v>3</v>
      </c>
      <c r="L45" s="3" t="n">
        <v>3</v>
      </c>
    </row>
    <row r="46" customFormat="false" ht="15" hidden="false" customHeight="false" outlineLevel="0" collapsed="false">
      <c r="A46" s="0" t="s">
        <v>107</v>
      </c>
      <c r="C46" s="3" t="n">
        <v>4.4</v>
      </c>
      <c r="D46" s="3" t="n">
        <v>4.1</v>
      </c>
      <c r="E46" s="3" t="n">
        <v>4</v>
      </c>
      <c r="F46" s="3" t="n">
        <v>3.9</v>
      </c>
      <c r="G46" s="3" t="n">
        <v>3.8</v>
      </c>
      <c r="H46" s="3" t="n">
        <v>3.8</v>
      </c>
      <c r="I46" s="3" t="n">
        <v>3.8</v>
      </c>
      <c r="J46" s="3" t="n">
        <v>3.8</v>
      </c>
      <c r="K46" s="3" t="n">
        <v>3.8</v>
      </c>
      <c r="L46" s="3" t="n">
        <v>3.8</v>
      </c>
    </row>
    <row r="47" customFormat="false" ht="15" hidden="false" customHeight="false" outlineLevel="0" collapsed="false">
      <c r="A47" s="0" t="s">
        <v>108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109</v>
      </c>
      <c r="B48" s="3" t="n">
        <v>9</v>
      </c>
    </row>
    <row r="49" customFormat="false" ht="15" hidden="false" customHeight="false" outlineLevel="0" collapsed="false">
      <c r="A49" s="0" t="s">
        <v>110</v>
      </c>
      <c r="B49" s="3" t="n">
        <v>3</v>
      </c>
    </row>
    <row r="50" customFormat="false" ht="15" hidden="false" customHeight="false" outlineLevel="0" collapsed="false">
      <c r="A50" s="0" t="s">
        <v>111</v>
      </c>
      <c r="B50" s="3" t="n">
        <v>16</v>
      </c>
    </row>
    <row r="51" customFormat="false" ht="15" hidden="false" customHeight="false" outlineLevel="0" collapsed="false">
      <c r="A51" s="0" t="s">
        <v>112</v>
      </c>
      <c r="B51" s="3" t="n">
        <v>-15</v>
      </c>
    </row>
    <row r="52" customFormat="false" ht="15" hidden="false" customHeight="false" outlineLevel="0" collapsed="false">
      <c r="A52" s="0" t="s">
        <v>113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3</v>
      </c>
      <c r="D5" s="4" t="n">
        <f aca="false">Assumptions!D13</f>
        <v>0.5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1937</v>
      </c>
      <c r="C6" s="0" t="n">
        <f aca="false">B6*(1+C5/100)</f>
        <v>1995.11</v>
      </c>
      <c r="D6" s="0" t="n">
        <f aca="false">C6*(1+D5/100)</f>
        <v>2005.08555</v>
      </c>
      <c r="E6" s="0" t="n">
        <f aca="false">D6*(1+E5/100)</f>
        <v>2025.1364055</v>
      </c>
      <c r="F6" s="0" t="n">
        <f aca="false">E6*(1+F5/100)</f>
        <v>2065.63913361</v>
      </c>
      <c r="G6" s="0" t="n">
        <f aca="false">F6*(1+G5/100)</f>
        <v>2117.28011195025</v>
      </c>
      <c r="H6" s="0" t="n">
        <f aca="false">G6*(1+H5/100)</f>
        <v>2170.21211474901</v>
      </c>
      <c r="I6" s="0" t="n">
        <f aca="false">H6*(1+I5/100)</f>
        <v>2224.46741761773</v>
      </c>
      <c r="J6" s="0" t="n">
        <f aca="false">I6*(1+J5/100)</f>
        <v>2268.95676597009</v>
      </c>
      <c r="K6" s="0" t="n">
        <f aca="false">J6*(1+K5/100)</f>
        <v>2314.33590128949</v>
      </c>
      <c r="L6" s="0" t="n">
        <f aca="false">K6*(1+L5/100)</f>
        <v>2360.62261931528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22.8</v>
      </c>
      <c r="D7" s="4" t="n">
        <f aca="false">Assumptions!D14</f>
        <v>22</v>
      </c>
      <c r="E7" s="4" t="n">
        <f aca="false">Assumptions!E14</f>
        <v>22</v>
      </c>
      <c r="F7" s="4" t="n">
        <f aca="false">Assumptions!F14</f>
        <v>22.3</v>
      </c>
      <c r="G7" s="4" t="n">
        <f aca="false">Assumptions!G14</f>
        <v>22.6</v>
      </c>
      <c r="H7" s="4" t="n">
        <f aca="false">Assumptions!H14</f>
        <v>22.8</v>
      </c>
      <c r="I7" s="4" t="n">
        <f aca="false">Assumptions!I14</f>
        <v>23</v>
      </c>
      <c r="J7" s="4" t="n">
        <f aca="false">Assumptions!J14</f>
        <v>23</v>
      </c>
      <c r="K7" s="4" t="n">
        <f aca="false">Assumptions!K14</f>
        <v>23</v>
      </c>
      <c r="L7" s="4" t="n">
        <f aca="false">Assumptions!L14</f>
        <v>23</v>
      </c>
    </row>
    <row r="8" customFormat="false" ht="15" hidden="false" customHeight="false" outlineLevel="0" collapsed="false">
      <c r="A8" s="0" t="s">
        <v>44</v>
      </c>
      <c r="C8" s="0" t="n">
        <f aca="false">C6*C7/100</f>
        <v>454.88508</v>
      </c>
      <c r="D8" s="0" t="n">
        <f aca="false">D6*D7/100</f>
        <v>441.118821</v>
      </c>
      <c r="E8" s="0" t="n">
        <f aca="false">E6*E7/100</f>
        <v>445.53000921</v>
      </c>
      <c r="F8" s="0" t="n">
        <f aca="false">F6*F7/100</f>
        <v>460.63752679503</v>
      </c>
      <c r="G8" s="0" t="n">
        <f aca="false">G6*G7/100</f>
        <v>478.505305300756</v>
      </c>
      <c r="H8" s="0" t="n">
        <f aca="false">H6*H7/100</f>
        <v>494.808362162773</v>
      </c>
      <c r="I8" s="0" t="n">
        <f aca="false">I6*I7/100</f>
        <v>511.627506052078</v>
      </c>
      <c r="J8" s="0" t="n">
        <f aca="false">J6*J7/100</f>
        <v>521.86005617312</v>
      </c>
      <c r="K8" s="0" t="n">
        <f aca="false">K6*K7/100</f>
        <v>532.297257296582</v>
      </c>
      <c r="L8" s="0" t="n">
        <f aca="false">L6*L7/100</f>
        <v>542.943202442514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1</v>
      </c>
      <c r="D9" s="4" t="n">
        <f aca="false">Assumptions!D15</f>
        <v>1</v>
      </c>
      <c r="E9" s="4" t="n">
        <f aca="false">Assumptions!E15</f>
        <v>1</v>
      </c>
      <c r="F9" s="4" t="n">
        <f aca="false">Assumptions!F15</f>
        <v>1</v>
      </c>
      <c r="G9" s="4" t="n">
        <f aca="false">Assumptions!G15</f>
        <v>1</v>
      </c>
      <c r="H9" s="4" t="n">
        <f aca="false">Assumptions!H15</f>
        <v>1</v>
      </c>
      <c r="I9" s="4" t="n">
        <f aca="false">Assumptions!I15</f>
        <v>1</v>
      </c>
      <c r="J9" s="4" t="n">
        <f aca="false">Assumptions!J15</f>
        <v>1</v>
      </c>
      <c r="K9" s="4" t="n">
        <f aca="false">Assumptions!K15</f>
        <v>1</v>
      </c>
      <c r="L9" s="4" t="n">
        <f aca="false">Assumptions!L15</f>
        <v>1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-19.9511</v>
      </c>
      <c r="D10" s="0" t="n">
        <f aca="false">-D6*D9/100</f>
        <v>-20.0508555</v>
      </c>
      <c r="E10" s="0" t="n">
        <f aca="false">-E6*E9/100</f>
        <v>-20.251364055</v>
      </c>
      <c r="F10" s="0" t="n">
        <f aca="false">-F6*F9/100</f>
        <v>-20.6563913361</v>
      </c>
      <c r="G10" s="0" t="n">
        <f aca="false">-G6*G9/100</f>
        <v>-21.1728011195025</v>
      </c>
      <c r="H10" s="0" t="n">
        <f aca="false">-H6*H9/100</f>
        <v>-21.7021211474901</v>
      </c>
      <c r="I10" s="0" t="n">
        <f aca="false">-I6*I9/100</f>
        <v>-22.2446741761773</v>
      </c>
      <c r="J10" s="0" t="n">
        <f aca="false">-J6*J9/100</f>
        <v>-22.6895676597009</v>
      </c>
      <c r="K10" s="0" t="n">
        <f aca="false">-K6*K9/100</f>
        <v>-23.1433590128949</v>
      </c>
      <c r="L10" s="0" t="n">
        <f aca="false">-L6*L9/100</f>
        <v>-23.6062261931528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434.93398</v>
      </c>
      <c r="D11" s="0" t="n">
        <f aca="false">D8+D10+D24</f>
        <v>421.0679655</v>
      </c>
      <c r="E11" s="0" t="n">
        <f aca="false">E8+E10+E24</f>
        <v>425.278645155</v>
      </c>
      <c r="F11" s="0" t="n">
        <f aca="false">F8+F10+F24</f>
        <v>439.98113545893</v>
      </c>
      <c r="G11" s="0" t="n">
        <f aca="false">G8+G10+G24</f>
        <v>457.332504181254</v>
      </c>
      <c r="H11" s="0" t="n">
        <f aca="false">H8+H10+H24</f>
        <v>473.106241015283</v>
      </c>
      <c r="I11" s="0" t="n">
        <f aca="false">I8+I10+I24</f>
        <v>489.382831875901</v>
      </c>
      <c r="J11" s="0" t="n">
        <f aca="false">J8+J10+J24</f>
        <v>499.170488513419</v>
      </c>
      <c r="K11" s="0" t="n">
        <f aca="false">K8+K10+K24</f>
        <v>509.153898283687</v>
      </c>
      <c r="L11" s="0" t="n">
        <f aca="false">L8+L10+L24</f>
        <v>519.336976249361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-49.87775</v>
      </c>
      <c r="D12" s="4" t="n">
        <f aca="false">-D6*Assumptions!D17/100</f>
        <v>-52.1322243</v>
      </c>
      <c r="E12" s="4" t="n">
        <f aca="false">-E6*Assumptions!E17/100</f>
        <v>-54.6786829485</v>
      </c>
      <c r="F12" s="4" t="n">
        <f aca="false">-F6*Assumptions!F17/100</f>
        <v>-57.83789574108</v>
      </c>
      <c r="G12" s="4" t="n">
        <f aca="false">-G6*Assumptions!G17/100</f>
        <v>-61.4011232465572</v>
      </c>
      <c r="H12" s="4" t="n">
        <f aca="false">-H6*Assumptions!H17/100</f>
        <v>-65.1063634424702</v>
      </c>
      <c r="I12" s="4" t="n">
        <f aca="false">-I6*Assumptions!I17/100</f>
        <v>-66.7340225285319</v>
      </c>
      <c r="J12" s="4" t="n">
        <f aca="false">-J6*Assumptions!J17/100</f>
        <v>-68.0687029791026</v>
      </c>
      <c r="K12" s="4" t="n">
        <f aca="false">-K6*Assumptions!K17/100</f>
        <v>-69.4300770386846</v>
      </c>
      <c r="L12" s="4" t="n">
        <f aca="false">-L6*Assumptions!L17/100</f>
        <v>-70.8186785794583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385.05623</v>
      </c>
      <c r="D13" s="0" t="n">
        <f aca="false">D11+D12</f>
        <v>368.9357412</v>
      </c>
      <c r="E13" s="0" t="n">
        <f aca="false">E11+E12</f>
        <v>370.5999622065</v>
      </c>
      <c r="F13" s="0" t="n">
        <f aca="false">F11+F12</f>
        <v>382.14323971785</v>
      </c>
      <c r="G13" s="0" t="n">
        <f aca="false">G11+G12</f>
        <v>395.931380934697</v>
      </c>
      <c r="H13" s="0" t="n">
        <f aca="false">H11+H12</f>
        <v>407.999877572813</v>
      </c>
      <c r="I13" s="0" t="n">
        <f aca="false">I11+I12</f>
        <v>422.648809347369</v>
      </c>
      <c r="J13" s="0" t="n">
        <f aca="false">J11+J12</f>
        <v>431.101785534316</v>
      </c>
      <c r="K13" s="0" t="n">
        <f aca="false">K11+K12</f>
        <v>439.723821245003</v>
      </c>
      <c r="L13" s="0" t="n">
        <f aca="false">L11+L12</f>
        <v>448.518297669903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288.7921725</v>
      </c>
      <c r="D15" s="0" t="n">
        <f aca="false">D13-MAX(0,D13)*D14/100</f>
        <v>276.7018059</v>
      </c>
      <c r="E15" s="0" t="n">
        <f aca="false">E13-MAX(0,E13)*E14/100</f>
        <v>277.949971654875</v>
      </c>
      <c r="F15" s="0" t="n">
        <f aca="false">F13-MAX(0,F13)*F14/100</f>
        <v>286.607429788388</v>
      </c>
      <c r="G15" s="0" t="n">
        <f aca="false">G13-MAX(0,G13)*G14/100</f>
        <v>296.948535701023</v>
      </c>
      <c r="H15" s="0" t="n">
        <f aca="false">H13-MAX(0,H13)*H14/100</f>
        <v>305.99990817961</v>
      </c>
      <c r="I15" s="0" t="n">
        <f aca="false">I13-MAX(0,I13)*I14/100</f>
        <v>316.986607010527</v>
      </c>
      <c r="J15" s="0" t="n">
        <f aca="false">J13-MAX(0,J13)*J14/100</f>
        <v>323.326339150737</v>
      </c>
      <c r="K15" s="0" t="n">
        <f aca="false">K13-MAX(0,K13)*K14/100</f>
        <v>329.792865933752</v>
      </c>
      <c r="L15" s="0" t="n">
        <f aca="false">L13-MAX(0,L13)*L14/100</f>
        <v>336.388723252427</v>
      </c>
    </row>
    <row r="16" customFormat="false" ht="15" hidden="false" customHeight="false" outlineLevel="0" collapsed="false">
      <c r="A16" s="0" t="s">
        <v>124</v>
      </c>
      <c r="C16" s="0" t="n">
        <f aca="false">-C12</f>
        <v>49.87775</v>
      </c>
      <c r="D16" s="0" t="n">
        <f aca="false">-D12</f>
        <v>52.1322243</v>
      </c>
      <c r="E16" s="0" t="n">
        <f aca="false">-E12</f>
        <v>54.6786829485</v>
      </c>
      <c r="F16" s="0" t="n">
        <f aca="false">-F12</f>
        <v>57.83789574108</v>
      </c>
      <c r="G16" s="0" t="n">
        <f aca="false">-G12</f>
        <v>61.4011232465572</v>
      </c>
      <c r="H16" s="0" t="n">
        <f aca="false">-H12</f>
        <v>65.1063634424702</v>
      </c>
      <c r="I16" s="0" t="n">
        <f aca="false">-I12</f>
        <v>66.7340225285319</v>
      </c>
      <c r="J16" s="0" t="n">
        <f aca="false">-J12</f>
        <v>68.0687029791026</v>
      </c>
      <c r="K16" s="0" t="n">
        <f aca="false">-K12</f>
        <v>69.4300770386846</v>
      </c>
      <c r="L16" s="0" t="n">
        <f aca="false">-L12</f>
        <v>70.8186785794583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-87.78484</v>
      </c>
      <c r="D17" s="4" t="n">
        <f aca="false">-D6*Assumptions!D18/100</f>
        <v>-72.1830798</v>
      </c>
      <c r="E17" s="4" t="n">
        <f aca="false">-E6*Assumptions!E18/100</f>
        <v>-68.854637787</v>
      </c>
      <c r="F17" s="4" t="n">
        <f aca="false">-F6*Assumptions!F18/100</f>
        <v>-70.23173054274</v>
      </c>
      <c r="G17" s="4" t="n">
        <f aca="false">-G6*Assumptions!G18/100</f>
        <v>-71.9875238063085</v>
      </c>
      <c r="H17" s="4" t="n">
        <f aca="false">-H6*Assumptions!H18/100</f>
        <v>-73.7872119014662</v>
      </c>
      <c r="I17" s="4" t="n">
        <f aca="false">-I6*Assumptions!I18/100</f>
        <v>-75.6318921990028</v>
      </c>
      <c r="J17" s="4" t="n">
        <f aca="false">-J6*Assumptions!J18/100</f>
        <v>-77.1445300429829</v>
      </c>
      <c r="K17" s="4" t="n">
        <f aca="false">-K6*Assumptions!K18/100</f>
        <v>-78.6874206438426</v>
      </c>
      <c r="L17" s="4" t="n">
        <f aca="false">-L6*Assumptions!L18/100</f>
        <v>-80.2611690567194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-8.71650000000002</v>
      </c>
      <c r="D18" s="4" t="n">
        <f aca="false">(D6-C6)*Assumptions!$B$23/100</f>
        <v>-1.49633249999998</v>
      </c>
      <c r="E18" s="4" t="n">
        <f aca="false">(E6-D6)*Assumptions!$B$23/100</f>
        <v>-3.00762832500002</v>
      </c>
      <c r="F18" s="4" t="n">
        <f aca="false">(F6-E6)*Assumptions!$B$23/100</f>
        <v>-6.07540921649999</v>
      </c>
      <c r="G18" s="4" t="n">
        <f aca="false">(G6-F6)*Assumptions!$B$23/100</f>
        <v>-7.74614675103744</v>
      </c>
      <c r="H18" s="4" t="n">
        <f aca="false">(H6-G6)*Assumptions!$B$23/100</f>
        <v>-7.9398004198134</v>
      </c>
      <c r="I18" s="4" t="n">
        <f aca="false">(I6-H6)*Assumptions!$B$23/100</f>
        <v>-8.13829543030872</v>
      </c>
      <c r="J18" s="4" t="n">
        <f aca="false">(J6-I6)*Assumptions!$B$23/100</f>
        <v>-6.6734022528532</v>
      </c>
      <c r="K18" s="4" t="n">
        <f aca="false">(K6-J6)*Assumptions!$B$23/100</f>
        <v>-6.80687029791029</v>
      </c>
      <c r="L18" s="4" t="n">
        <f aca="false">(L6-K6)*Assumptions!$B$23/100</f>
        <v>-6.94300770386849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242.1685825</v>
      </c>
      <c r="D19" s="0" t="n">
        <f aca="false">D15+D16+D17+D18</f>
        <v>255.1546179</v>
      </c>
      <c r="E19" s="0" t="n">
        <f aca="false">E15+E16+E17+E18</f>
        <v>260.766388491375</v>
      </c>
      <c r="F19" s="0" t="n">
        <f aca="false">F15+F16+F17+F18</f>
        <v>268.138185770228</v>
      </c>
      <c r="G19" s="0" t="n">
        <f aca="false">G15+G16+G17+G18</f>
        <v>278.615988390234</v>
      </c>
      <c r="H19" s="0" t="n">
        <f aca="false">H15+H16+H17+H18</f>
        <v>289.3792593008</v>
      </c>
      <c r="I19" s="0" t="n">
        <f aca="false">I15+I16+I17+I18</f>
        <v>299.950441909747</v>
      </c>
      <c r="J19" s="0" t="n">
        <f aca="false">J15+J16+J17+J18</f>
        <v>307.577109834004</v>
      </c>
      <c r="K19" s="0" t="n">
        <f aca="false">K15+K16+K17+K18</f>
        <v>313.728652030684</v>
      </c>
      <c r="L19" s="0" t="n">
        <f aca="false">L15+L16+L17+L18</f>
        <v>320.003225071297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222.17301146789</v>
      </c>
      <c r="D21" s="0" t="n">
        <f aca="false">D19*D20</f>
        <v>214.758537076004</v>
      </c>
      <c r="E21" s="0" t="n">
        <f aca="false">E19*E20</f>
        <v>201.359497348225</v>
      </c>
      <c r="F21" s="0" t="n">
        <f aca="false">F19*F20</f>
        <v>189.955850848912</v>
      </c>
      <c r="G21" s="0" t="n">
        <f aca="false">G19*G20</f>
        <v>181.081275579348</v>
      </c>
      <c r="H21" s="0" t="n">
        <f aca="false">H19*H20</f>
        <v>172.547397397576</v>
      </c>
      <c r="I21" s="0" t="n">
        <f aca="false">I19*I20</f>
        <v>164.083163480518</v>
      </c>
      <c r="J21" s="0" t="n">
        <f aca="false">J19*J20</f>
        <v>154.362579824894</v>
      </c>
      <c r="K21" s="0" t="n">
        <f aca="false">K19*K20</f>
        <v>144.44938662513</v>
      </c>
      <c r="L21" s="0" t="n">
        <f aca="false">L19*L20</f>
        <v>135.172820511589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1779.94352016009</v>
      </c>
    </row>
    <row r="31" customFormat="false" ht="15" hidden="false" customHeight="false" outlineLevel="0" collapsed="false">
      <c r="A31" s="0" t="s">
        <v>133</v>
      </c>
      <c r="B31" s="0" t="n">
        <f aca="false">L19</f>
        <v>320.003225071297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4662.90413675319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5120.05160114076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4662.90413675319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1969.66109888316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3749.60461904325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5496.60461904325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1859.47382240976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-0.318874057725363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136.33567420523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145.299365072743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1954.74954611679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2510.79453517479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1265.60592785332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5.5</v>
      </c>
      <c r="D5" s="4" t="n">
        <f aca="false">Assumptions!D27</f>
        <v>4.5</v>
      </c>
      <c r="E5" s="4" t="n">
        <f aca="false">Assumptions!E27</f>
        <v>4.5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1937</v>
      </c>
      <c r="C6" s="0" t="n">
        <f aca="false">B6*(1+C5/100)</f>
        <v>2043.535</v>
      </c>
      <c r="D6" s="0" t="n">
        <f aca="false">C6*(1+D5/100)</f>
        <v>2135.494075</v>
      </c>
      <c r="E6" s="0" t="n">
        <f aca="false">D6*(1+E5/100)</f>
        <v>2231.591308375</v>
      </c>
      <c r="F6" s="0" t="n">
        <f aca="false">E6*(1+F5/100)</f>
        <v>2332.01291725187</v>
      </c>
      <c r="G6" s="0" t="n">
        <f aca="false">F6*(1+G5/100)</f>
        <v>2425.29343394195</v>
      </c>
      <c r="H6" s="0" t="n">
        <f aca="false">G6*(1+H5/100)</f>
        <v>2510.17870412992</v>
      </c>
      <c r="I6" s="0" t="n">
        <f aca="false">H6*(1+I5/100)</f>
        <v>2585.48406525382</v>
      </c>
      <c r="J6" s="0" t="n">
        <f aca="false">I6*(1+J5/100)</f>
        <v>2663.04858721143</v>
      </c>
      <c r="K6" s="0" t="n">
        <f aca="false">J6*(1+K5/100)</f>
        <v>2729.62480189172</v>
      </c>
      <c r="L6" s="0" t="n">
        <f aca="false">K6*(1+L5/100)</f>
        <v>2797.86542193901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23.5</v>
      </c>
      <c r="D7" s="4" t="n">
        <f aca="false">Assumptions!D28</f>
        <v>23.8</v>
      </c>
      <c r="E7" s="4" t="n">
        <f aca="false">Assumptions!E28</f>
        <v>24.1</v>
      </c>
      <c r="F7" s="4" t="n">
        <f aca="false">Assumptions!F28</f>
        <v>24.4</v>
      </c>
      <c r="G7" s="4" t="n">
        <f aca="false">Assumptions!G28</f>
        <v>24.6</v>
      </c>
      <c r="H7" s="4" t="n">
        <f aca="false">Assumptions!H28</f>
        <v>24.8</v>
      </c>
      <c r="I7" s="4" t="n">
        <f aca="false">Assumptions!I28</f>
        <v>25</v>
      </c>
      <c r="J7" s="4" t="n">
        <f aca="false">Assumptions!J28</f>
        <v>25</v>
      </c>
      <c r="K7" s="4" t="n">
        <f aca="false">Assumptions!K28</f>
        <v>25</v>
      </c>
      <c r="L7" s="4" t="n">
        <f aca="false">Assumptions!L28</f>
        <v>25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480.230725</v>
      </c>
      <c r="D8" s="0" t="n">
        <f aca="false">D6*D7/100</f>
        <v>508.24758985</v>
      </c>
      <c r="E8" s="0" t="n">
        <f aca="false">E6*E7/100</f>
        <v>537.813505318375</v>
      </c>
      <c r="F8" s="0" t="n">
        <f aca="false">F6*F7/100</f>
        <v>569.011151809457</v>
      </c>
      <c r="G8" s="0" t="n">
        <f aca="false">G6*G7/100</f>
        <v>596.62218474972</v>
      </c>
      <c r="H8" s="0" t="n">
        <f aca="false">H6*H7/100</f>
        <v>622.52431862422</v>
      </c>
      <c r="I8" s="0" t="n">
        <f aca="false">I6*I7/100</f>
        <v>646.371016313454</v>
      </c>
      <c r="J8" s="0" t="n">
        <f aca="false">J6*J7/100</f>
        <v>665.762146802858</v>
      </c>
      <c r="K8" s="0" t="n">
        <f aca="false">K6*K7/100</f>
        <v>682.406200472929</v>
      </c>
      <c r="L8" s="0" t="n">
        <f aca="false">L6*L7/100</f>
        <v>699.466355484752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1</v>
      </c>
      <c r="D9" s="4" t="n">
        <f aca="false">Assumptions!D29</f>
        <v>1</v>
      </c>
      <c r="E9" s="4" t="n">
        <f aca="false">Assumptions!E29</f>
        <v>1</v>
      </c>
      <c r="F9" s="4" t="n">
        <f aca="false">Assumptions!F29</f>
        <v>1</v>
      </c>
      <c r="G9" s="4" t="n">
        <f aca="false">Assumptions!G29</f>
        <v>1</v>
      </c>
      <c r="H9" s="4" t="n">
        <f aca="false">Assumptions!H29</f>
        <v>1</v>
      </c>
      <c r="I9" s="4" t="n">
        <f aca="false">Assumptions!I29</f>
        <v>1</v>
      </c>
      <c r="J9" s="4" t="n">
        <f aca="false">Assumptions!J29</f>
        <v>1</v>
      </c>
      <c r="K9" s="4" t="n">
        <f aca="false">Assumptions!K29</f>
        <v>1</v>
      </c>
      <c r="L9" s="4" t="n">
        <f aca="false">Assumptions!L29</f>
        <v>1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-20.43535</v>
      </c>
      <c r="D10" s="0" t="n">
        <f aca="false">-D6*D9/100</f>
        <v>-21.35494075</v>
      </c>
      <c r="E10" s="0" t="n">
        <f aca="false">-E6*E9/100</f>
        <v>-22.31591308375</v>
      </c>
      <c r="F10" s="0" t="n">
        <f aca="false">-F6*F9/100</f>
        <v>-23.3201291725187</v>
      </c>
      <c r="G10" s="0" t="n">
        <f aca="false">-G6*G9/100</f>
        <v>-24.2529343394195</v>
      </c>
      <c r="H10" s="0" t="n">
        <f aca="false">-H6*H9/100</f>
        <v>-25.1017870412992</v>
      </c>
      <c r="I10" s="0" t="n">
        <f aca="false">-I6*I9/100</f>
        <v>-25.8548406525382</v>
      </c>
      <c r="J10" s="0" t="n">
        <f aca="false">-J6*J9/100</f>
        <v>-26.6304858721143</v>
      </c>
      <c r="K10" s="0" t="n">
        <f aca="false">-K6*K9/100</f>
        <v>-27.2962480189172</v>
      </c>
      <c r="L10" s="0" t="n">
        <f aca="false">-L6*L9/100</f>
        <v>-27.9786542193901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459.795375</v>
      </c>
      <c r="D11" s="0" t="n">
        <f aca="false">D8+D10+D24</f>
        <v>486.8926491</v>
      </c>
      <c r="E11" s="0" t="n">
        <f aca="false">E8+E10+E24</f>
        <v>515.497592234625</v>
      </c>
      <c r="F11" s="0" t="n">
        <f aca="false">F8+F10+F24</f>
        <v>545.691022636939</v>
      </c>
      <c r="G11" s="0" t="n">
        <f aca="false">G8+G10+G24</f>
        <v>572.3692504103</v>
      </c>
      <c r="H11" s="0" t="n">
        <f aca="false">H8+H10+H24</f>
        <v>597.42253158292</v>
      </c>
      <c r="I11" s="0" t="n">
        <f aca="false">I8+I10+I24</f>
        <v>620.516175660916</v>
      </c>
      <c r="J11" s="0" t="n">
        <f aca="false">J8+J10+J24</f>
        <v>639.131660930743</v>
      </c>
      <c r="K11" s="0" t="n">
        <f aca="false">K8+K10+K24</f>
        <v>655.109952454012</v>
      </c>
      <c r="L11" s="0" t="n">
        <f aca="false">L8+L10+L24</f>
        <v>671.487701265362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-51.088375</v>
      </c>
      <c r="D12" s="4" t="n">
        <f aca="false">-D6*Assumptions!D31/100</f>
        <v>-55.52284595</v>
      </c>
      <c r="E12" s="4" t="n">
        <f aca="false">-E6*Assumptions!E31/100</f>
        <v>-60.252965326125</v>
      </c>
      <c r="F12" s="4" t="n">
        <f aca="false">-F6*Assumptions!F31/100</f>
        <v>-65.2963616830525</v>
      </c>
      <c r="G12" s="4" t="n">
        <f aca="false">-G6*Assumptions!G31/100</f>
        <v>-70.3335095843165</v>
      </c>
      <c r="H12" s="4" t="n">
        <f aca="false">-H6*Assumptions!H31/100</f>
        <v>-75.3053611238975</v>
      </c>
      <c r="I12" s="4" t="n">
        <f aca="false">-I6*Assumptions!I31/100</f>
        <v>-77.5645219576145</v>
      </c>
      <c r="J12" s="4" t="n">
        <f aca="false">-J6*Assumptions!J31/100</f>
        <v>-79.8914576163429</v>
      </c>
      <c r="K12" s="4" t="n">
        <f aca="false">-K6*Assumptions!K31/100</f>
        <v>-81.8887440567515</v>
      </c>
      <c r="L12" s="4" t="n">
        <f aca="false">-L6*Assumptions!L31/100</f>
        <v>-83.9359626581702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408.707</v>
      </c>
      <c r="D13" s="0" t="n">
        <f aca="false">D11+D12</f>
        <v>431.36980315</v>
      </c>
      <c r="E13" s="0" t="n">
        <f aca="false">E11+E12</f>
        <v>455.2446269085</v>
      </c>
      <c r="F13" s="0" t="n">
        <f aca="false">F11+F12</f>
        <v>480.394660953886</v>
      </c>
      <c r="G13" s="0" t="n">
        <f aca="false">G11+G12</f>
        <v>502.035740825984</v>
      </c>
      <c r="H13" s="0" t="n">
        <f aca="false">H11+H12</f>
        <v>522.117170459023</v>
      </c>
      <c r="I13" s="0" t="n">
        <f aca="false">I11+I12</f>
        <v>542.951653703301</v>
      </c>
      <c r="J13" s="0" t="n">
        <f aca="false">J11+J12</f>
        <v>559.2402033144</v>
      </c>
      <c r="K13" s="0" t="n">
        <f aca="false">K11+K12</f>
        <v>573.22120839726</v>
      </c>
      <c r="L13" s="0" t="n">
        <f aca="false">L11+L12</f>
        <v>587.551738607192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306.53025</v>
      </c>
      <c r="D15" s="0" t="n">
        <f aca="false">D13-MAX(0,D13)*D14/100</f>
        <v>323.5273523625</v>
      </c>
      <c r="E15" s="0" t="n">
        <f aca="false">E13-MAX(0,E13)*E14/100</f>
        <v>341.433470181375</v>
      </c>
      <c r="F15" s="0" t="n">
        <f aca="false">F13-MAX(0,F13)*F14/100</f>
        <v>360.295995715415</v>
      </c>
      <c r="G15" s="0" t="n">
        <f aca="false">G13-MAX(0,G13)*G14/100</f>
        <v>376.526805619488</v>
      </c>
      <c r="H15" s="0" t="n">
        <f aca="false">H13-MAX(0,H13)*H14/100</f>
        <v>391.587877844267</v>
      </c>
      <c r="I15" s="0" t="n">
        <f aca="false">I13-MAX(0,I13)*I14/100</f>
        <v>407.213740277476</v>
      </c>
      <c r="J15" s="0" t="n">
        <f aca="false">J13-MAX(0,J13)*J14/100</f>
        <v>419.4301524858</v>
      </c>
      <c r="K15" s="0" t="n">
        <f aca="false">K13-MAX(0,K13)*K14/100</f>
        <v>429.915906297945</v>
      </c>
      <c r="L15" s="0" t="n">
        <f aca="false">L13-MAX(0,L13)*L14/100</f>
        <v>440.663803955394</v>
      </c>
    </row>
    <row r="16" customFormat="false" ht="15" hidden="false" customHeight="false" outlineLevel="0" collapsed="false">
      <c r="A16" s="0" t="s">
        <v>124</v>
      </c>
      <c r="C16" s="0" t="n">
        <f aca="false">-C12</f>
        <v>51.088375</v>
      </c>
      <c r="D16" s="0" t="n">
        <f aca="false">-D12</f>
        <v>55.52284595</v>
      </c>
      <c r="E16" s="0" t="n">
        <f aca="false">-E12</f>
        <v>60.252965326125</v>
      </c>
      <c r="F16" s="0" t="n">
        <f aca="false">-F12</f>
        <v>65.2963616830525</v>
      </c>
      <c r="G16" s="0" t="n">
        <f aca="false">-G12</f>
        <v>70.3335095843165</v>
      </c>
      <c r="H16" s="0" t="n">
        <f aca="false">-H12</f>
        <v>75.3053611238975</v>
      </c>
      <c r="I16" s="0" t="n">
        <f aca="false">-I12</f>
        <v>77.5645219576145</v>
      </c>
      <c r="J16" s="0" t="n">
        <f aca="false">-J12</f>
        <v>79.8914576163429</v>
      </c>
      <c r="K16" s="0" t="n">
        <f aca="false">-K12</f>
        <v>81.8887440567515</v>
      </c>
      <c r="L16" s="0" t="n">
        <f aca="false">-L12</f>
        <v>83.9359626581702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-89.91554</v>
      </c>
      <c r="D17" s="4" t="n">
        <f aca="false">-D6*Assumptions!D32/100</f>
        <v>-85.419763</v>
      </c>
      <c r="E17" s="4" t="n">
        <f aca="false">-E6*Assumptions!E32/100</f>
        <v>-84.80046971825</v>
      </c>
      <c r="F17" s="4" t="n">
        <f aca="false">-F6*Assumptions!F32/100</f>
        <v>-86.2844779383193</v>
      </c>
      <c r="G17" s="4" t="n">
        <f aca="false">-G6*Assumptions!G32/100</f>
        <v>-89.7358570558521</v>
      </c>
      <c r="H17" s="4" t="n">
        <f aca="false">-H6*Assumptions!H32/100</f>
        <v>-92.876612052807</v>
      </c>
      <c r="I17" s="4" t="n">
        <f aca="false">-I6*Assumptions!I32/100</f>
        <v>-93.0774263491374</v>
      </c>
      <c r="J17" s="4" t="n">
        <f aca="false">-J6*Assumptions!J32/100</f>
        <v>-95.8697491396115</v>
      </c>
      <c r="K17" s="4" t="n">
        <f aca="false">-K6*Assumptions!K32/100</f>
        <v>-98.2664928681017</v>
      </c>
      <c r="L17" s="4" t="n">
        <f aca="false">-L6*Assumptions!L32/100</f>
        <v>-100.723155189804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-15.98025</v>
      </c>
      <c r="D18" s="4" t="n">
        <f aca="false">(D6-C6)*Assumptions!$B$37/100</f>
        <v>-13.79386125</v>
      </c>
      <c r="E18" s="4" t="n">
        <f aca="false">(E6-D6)*Assumptions!$B$37/100</f>
        <v>-14.4145850062499</v>
      </c>
      <c r="F18" s="4" t="n">
        <f aca="false">(F6-E6)*Assumptions!$B$37/100</f>
        <v>-15.0632413315312</v>
      </c>
      <c r="G18" s="4" t="n">
        <f aca="false">(G6-F6)*Assumptions!$B$37/100</f>
        <v>-13.9920775035113</v>
      </c>
      <c r="H18" s="4" t="n">
        <f aca="false">(H6-G6)*Assumptions!$B$37/100</f>
        <v>-12.7327905281952</v>
      </c>
      <c r="I18" s="4" t="n">
        <f aca="false">(I6-H6)*Assumptions!$B$37/100</f>
        <v>-11.2958041685846</v>
      </c>
      <c r="J18" s="4" t="n">
        <f aca="false">(J6-I6)*Assumptions!$B$37/100</f>
        <v>-11.6346782936422</v>
      </c>
      <c r="K18" s="4" t="n">
        <f aca="false">(K6-J6)*Assumptions!$B$37/100</f>
        <v>-9.98643220204281</v>
      </c>
      <c r="L18" s="4" t="n">
        <f aca="false">(L6-K6)*Assumptions!$B$37/100</f>
        <v>-10.2360930070939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251.722835</v>
      </c>
      <c r="D19" s="0" t="n">
        <f aca="false">D15+D16+D17+D18</f>
        <v>279.8365740625</v>
      </c>
      <c r="E19" s="0" t="n">
        <f aca="false">E15+E16+E17+E18</f>
        <v>302.471380783</v>
      </c>
      <c r="F19" s="0" t="n">
        <f aca="false">F15+F16+F17+F18</f>
        <v>324.244638128616</v>
      </c>
      <c r="G19" s="0" t="n">
        <f aca="false">G15+G16+G17+G18</f>
        <v>343.132380644441</v>
      </c>
      <c r="H19" s="0" t="n">
        <f aca="false">H15+H16+H17+H18</f>
        <v>361.283836387163</v>
      </c>
      <c r="I19" s="0" t="n">
        <f aca="false">I15+I16+I17+I18</f>
        <v>380.405031717368</v>
      </c>
      <c r="J19" s="0" t="n">
        <f aca="false">J15+J16+J17+J18</f>
        <v>391.81718266889</v>
      </c>
      <c r="K19" s="0" t="n">
        <f aca="false">K15+K16+K17+K18</f>
        <v>403.551725284552</v>
      </c>
      <c r="L19" s="0" t="n">
        <f aca="false">L15+L16+L17+L18</f>
        <v>413.640518416666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230.938380733945</v>
      </c>
      <c r="D21" s="0" t="n">
        <f aca="false">D19*D20</f>
        <v>235.532845772662</v>
      </c>
      <c r="E21" s="0" t="n">
        <f aca="false">E19*E20</f>
        <v>233.563403431892</v>
      </c>
      <c r="F21" s="0" t="n">
        <f aca="false">F19*F20</f>
        <v>229.703076203023</v>
      </c>
      <c r="G21" s="0" t="n">
        <f aca="false">G19*G20</f>
        <v>223.012503836093</v>
      </c>
      <c r="H21" s="0" t="n">
        <f aca="false">H19*H20</f>
        <v>215.421747367241</v>
      </c>
      <c r="I21" s="0" t="n">
        <f aca="false">I19*I20</f>
        <v>208.094579260109</v>
      </c>
      <c r="J21" s="0" t="n">
        <f aca="false">J19*J20</f>
        <v>196.639831777901</v>
      </c>
      <c r="K21" s="0" t="n">
        <f aca="false">K19*K20</f>
        <v>185.806424792739</v>
      </c>
      <c r="L21" s="0" t="n">
        <f aca="false">L19*L20</f>
        <v>174.726225149135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2133.43901832474</v>
      </c>
    </row>
    <row r="31" customFormat="false" ht="15" hidden="false" customHeight="false" outlineLevel="0" collapsed="false">
      <c r="A31" s="0" t="s">
        <v>133</v>
      </c>
      <c r="B31" s="0" t="n">
        <f aca="false">L19</f>
        <v>413.640518416666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6522.79279041665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6618.24829466665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6522.79279041665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2755.29816581328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4888.73718413802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6635.73718413802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2244.83666581124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-0.177715507028851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153.099582334058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186.368431573611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2359.67699527933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3391.85225101666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1425.91763313251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6.5</v>
      </c>
      <c r="D5" s="4" t="n">
        <f aca="false">Assumptions!D41</f>
        <v>6.5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1937</v>
      </c>
      <c r="C6" s="0" t="n">
        <f aca="false">B6*(1+C5/100)</f>
        <v>2062.905</v>
      </c>
      <c r="D6" s="0" t="n">
        <f aca="false">C6*(1+D5/100)</f>
        <v>2196.993825</v>
      </c>
      <c r="E6" s="0" t="n">
        <f aca="false">D6*(1+E5/100)</f>
        <v>2339.798423625</v>
      </c>
      <c r="F6" s="0" t="n">
        <f aca="false">E6*(1+F5/100)</f>
        <v>2480.1863290425</v>
      </c>
      <c r="G6" s="0" t="n">
        <f aca="false">F6*(1+G5/100)</f>
        <v>2616.59657713984</v>
      </c>
      <c r="H6" s="0" t="n">
        <f aca="false">G6*(1+H5/100)</f>
        <v>2747.42640599683</v>
      </c>
      <c r="I6" s="0" t="n">
        <f aca="false">H6*(1+I5/100)</f>
        <v>2871.06059426669</v>
      </c>
      <c r="J6" s="0" t="n">
        <f aca="false">I6*(1+J5/100)</f>
        <v>2985.90301803735</v>
      </c>
      <c r="K6" s="0" t="n">
        <f aca="false">J6*(1+K5/100)</f>
        <v>3090.40962366866</v>
      </c>
      <c r="L6" s="0" t="n">
        <f aca="false">K6*(1+L5/100)</f>
        <v>3183.12191237872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23.7</v>
      </c>
      <c r="D7" s="4" t="n">
        <f aca="false">Assumptions!D42</f>
        <v>24.3</v>
      </c>
      <c r="E7" s="4" t="n">
        <f aca="false">Assumptions!E42</f>
        <v>24.9</v>
      </c>
      <c r="F7" s="4" t="n">
        <f aca="false">Assumptions!F42</f>
        <v>25.4</v>
      </c>
      <c r="G7" s="4" t="n">
        <f aca="false">Assumptions!G42</f>
        <v>25.8</v>
      </c>
      <c r="H7" s="4" t="n">
        <f aca="false">Assumptions!H42</f>
        <v>26</v>
      </c>
      <c r="I7" s="4" t="n">
        <f aca="false">Assumptions!I42</f>
        <v>26.2</v>
      </c>
      <c r="J7" s="4" t="n">
        <f aca="false">Assumptions!J42</f>
        <v>26.3</v>
      </c>
      <c r="K7" s="4" t="n">
        <f aca="false">Assumptions!K42</f>
        <v>26.3</v>
      </c>
      <c r="L7" s="4" t="n">
        <f aca="false">Assumptions!L42</f>
        <v>26.3</v>
      </c>
    </row>
    <row r="8" customFormat="false" ht="15" hidden="false" customHeight="false" outlineLevel="0" collapsed="false">
      <c r="A8" s="0" t="s">
        <v>44</v>
      </c>
      <c r="C8" s="0" t="n">
        <f aca="false">C6*C7/100</f>
        <v>488.908485</v>
      </c>
      <c r="D8" s="0" t="n">
        <f aca="false">D6*D7/100</f>
        <v>533.869499475</v>
      </c>
      <c r="E8" s="0" t="n">
        <f aca="false">E6*E7/100</f>
        <v>582.609807482625</v>
      </c>
      <c r="F8" s="0" t="n">
        <f aca="false">F6*F7/100</f>
        <v>629.967327576795</v>
      </c>
      <c r="G8" s="0" t="n">
        <f aca="false">G6*G7/100</f>
        <v>675.081916902078</v>
      </c>
      <c r="H8" s="0" t="n">
        <f aca="false">H6*H7/100</f>
        <v>714.330865559175</v>
      </c>
      <c r="I8" s="0" t="n">
        <f aca="false">I6*I7/100</f>
        <v>752.217875697872</v>
      </c>
      <c r="J8" s="0" t="n">
        <f aca="false">J6*J7/100</f>
        <v>785.292493743824</v>
      </c>
      <c r="K8" s="0" t="n">
        <f aca="false">K6*K7/100</f>
        <v>812.777731024858</v>
      </c>
      <c r="L8" s="0" t="n">
        <f aca="false">L6*L7/100</f>
        <v>837.161062955604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1</v>
      </c>
      <c r="D9" s="4" t="n">
        <f aca="false">Assumptions!D43</f>
        <v>1</v>
      </c>
      <c r="E9" s="4" t="n">
        <f aca="false">Assumptions!E43</f>
        <v>1</v>
      </c>
      <c r="F9" s="4" t="n">
        <f aca="false">Assumptions!F43</f>
        <v>1</v>
      </c>
      <c r="G9" s="4" t="n">
        <f aca="false">Assumptions!G43</f>
        <v>1</v>
      </c>
      <c r="H9" s="4" t="n">
        <f aca="false">Assumptions!H43</f>
        <v>1</v>
      </c>
      <c r="I9" s="4" t="n">
        <f aca="false">Assumptions!I43</f>
        <v>1</v>
      </c>
      <c r="J9" s="4" t="n">
        <f aca="false">Assumptions!J43</f>
        <v>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-20.62905</v>
      </c>
      <c r="D10" s="0" t="n">
        <f aca="false">-D6*D9/100</f>
        <v>-21.96993825</v>
      </c>
      <c r="E10" s="0" t="n">
        <f aca="false">-E6*E9/100</f>
        <v>-23.39798423625</v>
      </c>
      <c r="F10" s="0" t="n">
        <f aca="false">-F6*F9/100</f>
        <v>-24.801863290425</v>
      </c>
      <c r="G10" s="0" t="n">
        <f aca="false">-G6*G9/100</f>
        <v>-26.1659657713984</v>
      </c>
      <c r="H10" s="0" t="n">
        <f aca="false">-H6*H9/100</f>
        <v>-27.4742640599683</v>
      </c>
      <c r="I10" s="0" t="n">
        <f aca="false">-I6*I9/100</f>
        <v>-28.7106059426669</v>
      </c>
      <c r="J10" s="0" t="n">
        <f aca="false">-J6*J9/100</f>
        <v>-29.8590301803735</v>
      </c>
      <c r="K10" s="0" t="n">
        <f aca="false">-K6*K9/100</f>
        <v>-30.9040962366866</v>
      </c>
      <c r="L10" s="0" t="n">
        <f aca="false">-L6*L9/100</f>
        <v>-31.8312191237872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468.279435</v>
      </c>
      <c r="D11" s="0" t="n">
        <f aca="false">D8+D10+D24</f>
        <v>511.899561225</v>
      </c>
      <c r="E11" s="0" t="n">
        <f aca="false">E8+E10+E24</f>
        <v>559.211823246375</v>
      </c>
      <c r="F11" s="0" t="n">
        <f aca="false">F8+F10+F24</f>
        <v>605.16546428637</v>
      </c>
      <c r="G11" s="0" t="n">
        <f aca="false">G8+G10+G24</f>
        <v>648.91595113068</v>
      </c>
      <c r="H11" s="0" t="n">
        <f aca="false">H8+H10+H24</f>
        <v>686.856601499207</v>
      </c>
      <c r="I11" s="0" t="n">
        <f aca="false">I8+I10+I24</f>
        <v>723.507269755205</v>
      </c>
      <c r="J11" s="0" t="n">
        <f aca="false">J8+J10+J24</f>
        <v>755.433463563451</v>
      </c>
      <c r="K11" s="0" t="n">
        <f aca="false">K8+K10+K24</f>
        <v>781.873634788171</v>
      </c>
      <c r="L11" s="0" t="n">
        <f aca="false">L8+L10+L24</f>
        <v>805.329843831816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-51.572625</v>
      </c>
      <c r="D12" s="4" t="n">
        <f aca="false">-D6*Assumptions!D45/100</f>
        <v>-57.12183945</v>
      </c>
      <c r="E12" s="4" t="n">
        <f aca="false">-E6*Assumptions!E45/100</f>
        <v>-63.174557437875</v>
      </c>
      <c r="F12" s="4" t="n">
        <f aca="false">-F6*Assumptions!F45/100</f>
        <v>-69.44521721319</v>
      </c>
      <c r="G12" s="4" t="n">
        <f aca="false">-G6*Assumptions!G45/100</f>
        <v>-75.8813007370553</v>
      </c>
      <c r="H12" s="4" t="n">
        <f aca="false">-H6*Assumptions!H45/100</f>
        <v>-82.4227921799049</v>
      </c>
      <c r="I12" s="4" t="n">
        <f aca="false">-I6*Assumptions!I45/100</f>
        <v>-86.1318178280006</v>
      </c>
      <c r="J12" s="4" t="n">
        <f aca="false">-J6*Assumptions!J45/100</f>
        <v>-89.5770905411206</v>
      </c>
      <c r="K12" s="4" t="n">
        <f aca="false">-K6*Assumptions!K45/100</f>
        <v>-92.7122887100598</v>
      </c>
      <c r="L12" s="4" t="n">
        <f aca="false">-L6*Assumptions!L45/100</f>
        <v>-95.4936573713616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416.70681</v>
      </c>
      <c r="D13" s="0" t="n">
        <f aca="false">D11+D12</f>
        <v>454.777721775</v>
      </c>
      <c r="E13" s="0" t="n">
        <f aca="false">E11+E12</f>
        <v>496.0372658085</v>
      </c>
      <c r="F13" s="0" t="n">
        <f aca="false">F11+F12</f>
        <v>535.72024707318</v>
      </c>
      <c r="G13" s="0" t="n">
        <f aca="false">G11+G12</f>
        <v>573.034650393624</v>
      </c>
      <c r="H13" s="0" t="n">
        <f aca="false">H11+H12</f>
        <v>604.433809319302</v>
      </c>
      <c r="I13" s="0" t="n">
        <f aca="false">I11+I12</f>
        <v>637.375451927204</v>
      </c>
      <c r="J13" s="0" t="n">
        <f aca="false">J11+J12</f>
        <v>665.85637302233</v>
      </c>
      <c r="K13" s="0" t="n">
        <f aca="false">K11+K12</f>
        <v>689.161346078111</v>
      </c>
      <c r="L13" s="0" t="n">
        <f aca="false">L11+L12</f>
        <v>709.836186460455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312.5301075</v>
      </c>
      <c r="D15" s="0" t="n">
        <f aca="false">D13-MAX(0,D13)*D14/100</f>
        <v>341.08329133125</v>
      </c>
      <c r="E15" s="0" t="n">
        <f aca="false">E13-MAX(0,E13)*E14/100</f>
        <v>372.027949356375</v>
      </c>
      <c r="F15" s="0" t="n">
        <f aca="false">F13-MAX(0,F13)*F14/100</f>
        <v>401.790185304885</v>
      </c>
      <c r="G15" s="0" t="n">
        <f aca="false">G13-MAX(0,G13)*G14/100</f>
        <v>429.775987795218</v>
      </c>
      <c r="H15" s="0" t="n">
        <f aca="false">H13-MAX(0,H13)*H14/100</f>
        <v>453.325356989477</v>
      </c>
      <c r="I15" s="0" t="n">
        <f aca="false">I13-MAX(0,I13)*I14/100</f>
        <v>478.031588945403</v>
      </c>
      <c r="J15" s="0" t="n">
        <f aca="false">J13-MAX(0,J13)*J14/100</f>
        <v>499.392279766747</v>
      </c>
      <c r="K15" s="0" t="n">
        <f aca="false">K13-MAX(0,K13)*K14/100</f>
        <v>516.871009558583</v>
      </c>
      <c r="L15" s="0" t="n">
        <f aca="false">L13-MAX(0,L13)*L14/100</f>
        <v>532.377139845341</v>
      </c>
    </row>
    <row r="16" customFormat="false" ht="15" hidden="false" customHeight="false" outlineLevel="0" collapsed="false">
      <c r="A16" s="0" t="s">
        <v>124</v>
      </c>
      <c r="C16" s="0" t="n">
        <f aca="false">-C12</f>
        <v>51.572625</v>
      </c>
      <c r="D16" s="0" t="n">
        <f aca="false">-D12</f>
        <v>57.12183945</v>
      </c>
      <c r="E16" s="0" t="n">
        <f aca="false">-E12</f>
        <v>63.174557437875</v>
      </c>
      <c r="F16" s="0" t="n">
        <f aca="false">-F12</f>
        <v>69.44521721319</v>
      </c>
      <c r="G16" s="0" t="n">
        <f aca="false">-G12</f>
        <v>75.8813007370553</v>
      </c>
      <c r="H16" s="0" t="n">
        <f aca="false">-H12</f>
        <v>82.4227921799049</v>
      </c>
      <c r="I16" s="0" t="n">
        <f aca="false">-I12</f>
        <v>86.1318178280006</v>
      </c>
      <c r="J16" s="0" t="n">
        <f aca="false">-J12</f>
        <v>89.5770905411206</v>
      </c>
      <c r="K16" s="0" t="n">
        <f aca="false">-K12</f>
        <v>92.7122887100598</v>
      </c>
      <c r="L16" s="0" t="n">
        <f aca="false">-L12</f>
        <v>95.4936573713616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-90.76782</v>
      </c>
      <c r="D17" s="4" t="n">
        <f aca="false">-D6*Assumptions!D46/100</f>
        <v>-90.076746825</v>
      </c>
      <c r="E17" s="4" t="n">
        <f aca="false">-E6*Assumptions!E46/100</f>
        <v>-93.591936945</v>
      </c>
      <c r="F17" s="4" t="n">
        <f aca="false">-F6*Assumptions!F46/100</f>
        <v>-96.7272668326575</v>
      </c>
      <c r="G17" s="4" t="n">
        <f aca="false">-G6*Assumptions!G46/100</f>
        <v>-99.4306699313138</v>
      </c>
      <c r="H17" s="4" t="n">
        <f aca="false">-H6*Assumptions!H46/100</f>
        <v>-104.402203427879</v>
      </c>
      <c r="I17" s="4" t="n">
        <f aca="false">-I6*Assumptions!I46/100</f>
        <v>-109.100302582134</v>
      </c>
      <c r="J17" s="4" t="n">
        <f aca="false">-J6*Assumptions!J46/100</f>
        <v>-113.464314685419</v>
      </c>
      <c r="K17" s="4" t="n">
        <f aca="false">-K6*Assumptions!K46/100</f>
        <v>-117.435565699409</v>
      </c>
      <c r="L17" s="4" t="n">
        <f aca="false">-L6*Assumptions!L46/100</f>
        <v>-120.958632670391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-18.88575</v>
      </c>
      <c r="D18" s="4" t="n">
        <f aca="false">(D6-C6)*Assumptions!$B$51/100</f>
        <v>-20.11332375</v>
      </c>
      <c r="E18" s="4" t="n">
        <f aca="false">(E6-D6)*Assumptions!$B$51/100</f>
        <v>-21.42068979375</v>
      </c>
      <c r="F18" s="4" t="n">
        <f aca="false">(F6-E6)*Assumptions!$B$51/100</f>
        <v>-21.058185812625</v>
      </c>
      <c r="G18" s="4" t="n">
        <f aca="false">(G6-F6)*Assumptions!$B$51/100</f>
        <v>-20.4615372146006</v>
      </c>
      <c r="H18" s="4" t="n">
        <f aca="false">(H6-G6)*Assumptions!$B$51/100</f>
        <v>-19.6244743285488</v>
      </c>
      <c r="I18" s="4" t="n">
        <f aca="false">(I6-H6)*Assumptions!$B$51/100</f>
        <v>-18.5451282404786</v>
      </c>
      <c r="J18" s="4" t="n">
        <f aca="false">(J6-I6)*Assumptions!$B$51/100</f>
        <v>-17.2263635656002</v>
      </c>
      <c r="K18" s="4" t="n">
        <f aca="false">(K6-J6)*Assumptions!$B$51/100</f>
        <v>-15.6759908446961</v>
      </c>
      <c r="L18" s="4" t="n">
        <f aca="false">(L6-K6)*Assumptions!$B$51/100</f>
        <v>-13.906843306509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254.4491625</v>
      </c>
      <c r="D19" s="0" t="n">
        <f aca="false">D15+D16+D17+D18</f>
        <v>288.01506020625</v>
      </c>
      <c r="E19" s="0" t="n">
        <f aca="false">E15+E16+E17+E18</f>
        <v>320.1898800555</v>
      </c>
      <c r="F19" s="0" t="n">
        <f aca="false">F15+F16+F17+F18</f>
        <v>353.449949872792</v>
      </c>
      <c r="G19" s="0" t="n">
        <f aca="false">G15+G16+G17+G18</f>
        <v>385.765081386359</v>
      </c>
      <c r="H19" s="0" t="n">
        <f aca="false">H15+H16+H17+H18</f>
        <v>411.721471412953</v>
      </c>
      <c r="I19" s="0" t="n">
        <f aca="false">I15+I16+I17+I18</f>
        <v>436.517975950791</v>
      </c>
      <c r="J19" s="0" t="n">
        <f aca="false">J15+J16+J17+J18</f>
        <v>458.278692056848</v>
      </c>
      <c r="K19" s="0" t="n">
        <f aca="false">K15+K16+K17+K18</f>
        <v>476.471741724538</v>
      </c>
      <c r="L19" s="0" t="n">
        <f aca="false">L15+L16+L17+L18</f>
        <v>493.005321239802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233.439598623853</v>
      </c>
      <c r="D21" s="0" t="n">
        <f aca="false">D19*D20</f>
        <v>242.416513935064</v>
      </c>
      <c r="E21" s="0" t="n">
        <f aca="false">E19*E20</f>
        <v>247.245335861591</v>
      </c>
      <c r="F21" s="0" t="n">
        <f aca="false">F19*F20</f>
        <v>250.392855339616</v>
      </c>
      <c r="G21" s="0" t="n">
        <f aca="false">G19*G20</f>
        <v>250.72083413093</v>
      </c>
      <c r="H21" s="0" t="n">
        <f aca="false">H19*H20</f>
        <v>245.496061178179</v>
      </c>
      <c r="I21" s="0" t="n">
        <f aca="false">I19*I20</f>
        <v>238.790281334774</v>
      </c>
      <c r="J21" s="0" t="n">
        <f aca="false">J19*J20</f>
        <v>229.994622235873</v>
      </c>
      <c r="K21" s="0" t="n">
        <f aca="false">K19*K20</f>
        <v>219.380826044494</v>
      </c>
      <c r="L21" s="0" t="n">
        <f aca="false">L19*L20</f>
        <v>208.250775548773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2366.12770423315</v>
      </c>
    </row>
    <row r="31" customFormat="false" ht="15" hidden="false" customHeight="false" outlineLevel="0" collapsed="false">
      <c r="A31" s="0" t="s">
        <v>133</v>
      </c>
      <c r="B31" s="0" t="n">
        <f aca="false">L19</f>
        <v>493.005321239802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8463.25801461661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7888.08513983684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7888.08513983684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3332.01240878037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5698.14011301352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7445.14011301352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2518.65362415884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-0.0774162548868734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164.809162345093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230.820441386483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2652.49313827642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4231.62900730831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1551.3074526868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1859.47382240976</v>
      </c>
      <c r="C4" s="0" t="n">
        <f aca="false">B4/Assumptions!$B$2-1</f>
        <v>-0.318874057725363</v>
      </c>
      <c r="D4" s="4" t="n">
        <f aca="false">Assumptions!$B$24</f>
        <v>0.25</v>
      </c>
      <c r="E4" s="4" t="n">
        <f aca="false">DCF_Bear!$B$43</f>
        <v>1954.74954611679</v>
      </c>
      <c r="F4" s="4" t="n">
        <f aca="false">DCF_Bear!$B$47</f>
        <v>1265.60592785332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2244.83666581124</v>
      </c>
      <c r="C5" s="0" t="n">
        <f aca="false">B5/Assumptions!$B$2-1</f>
        <v>-0.177715507028851</v>
      </c>
      <c r="D5" s="4" t="n">
        <f aca="false">Assumptions!$B$38</f>
        <v>0.5</v>
      </c>
      <c r="E5" s="4" t="n">
        <f aca="false">DCF_Base!$B$43</f>
        <v>2359.67699527933</v>
      </c>
      <c r="F5" s="4" t="n">
        <f aca="false">DCF_Base!$B$47</f>
        <v>1425.91763313251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2518.65362415884</v>
      </c>
      <c r="C6" s="0" t="n">
        <f aca="false">B6/Assumptions!$B$2-1</f>
        <v>-0.0774162548868734</v>
      </c>
      <c r="D6" s="4" t="n">
        <f aca="false">Assumptions!$B$52</f>
        <v>0.25</v>
      </c>
      <c r="E6" s="4" t="n">
        <f aca="false">DCF_Bull!$B$43</f>
        <v>2652.49313827642</v>
      </c>
      <c r="F6" s="4" t="n">
        <f aca="false">DCF_Bull!$B$47</f>
        <v>1551.3074526868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2216.95019454777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2331.64916873796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-0.231421439558722</v>
      </c>
    </row>
    <row r="11" customFormat="false" ht="15" hidden="false" customHeight="false" outlineLevel="0" collapsed="false">
      <c r="A11" s="0" t="s">
        <v>160</v>
      </c>
      <c r="B11" s="0" t="n">
        <f aca="false">IF(ABS(B9-B8)&gt;0.01*ABS(B8),(Assumptions!$B$2-B8)/(B9-B8)*100,"n/a")</f>
        <v>447.301128082873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1417.18716170128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2244.83666581124</v>
      </c>
      <c r="C15" s="3" t="n">
        <v>9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2016.55683729164</v>
      </c>
      <c r="C16" s="3" t="n">
        <v>10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1842.29590129194</v>
      </c>
      <c r="C17" s="3" t="n">
        <v>11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1704.97911397277</v>
      </c>
      <c r="C18" s="3" t="n">
        <v>12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1425.91763313251</v>
      </c>
      <c r="C19" s="3" t="n">
        <v>15</v>
      </c>
    </row>
    <row r="21" customFormat="false" ht="15" hidden="false" customHeight="false" outlineLevel="0" collapsed="false">
      <c r="A21" s="2" t="s">
        <v>169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2525.51868710479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2525.51868710479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2525.51868710479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2525.51868710479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2525.51868710479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2360.82302273279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2385.75218825514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2385.75218825514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2385.75218825514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2385.75218825514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2112.67498827572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2174.0357671315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2244.83666581124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2258.47720592385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2258.47720592385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1923.46656759869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1967.10263151726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2016.55683729164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2073.07592960521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2138.2902668901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1774.55214032292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1806.5422496694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1842.29590129194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1882.51875936729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1928.10466518603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2026-10-10T01:37:48Z</dcterms:created>
  <dc:creator>openpyxl</dc:creator>
  <dc:description/>
  <dc:language>en-NZ</dc:language>
  <cp:lastModifiedBy/>
  <dcterms:modified xsi:type="dcterms:W3CDTF">2026-10-10T01:37:48Z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