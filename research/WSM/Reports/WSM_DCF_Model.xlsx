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<sst xmlns="http://schemas.openxmlformats.org/spreadsheetml/2006/main" count="387" uniqueCount="174">
  <si>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</si>
  <si>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WSM</t>
  </si>
  <si>
    <t xml:space="preserve">Company</t>
  </si>
  <si>
    <t xml:space="preserve">Williams-Sonoma, Inc.</t>
  </si>
  <si>
    <t xml:space="preserve">Valuation date</t>
  </si>
  <si>
    <t xml:space="preserve">2026-10-03</t>
  </si>
  <si>
    <t xml:space="preserve">Current price</t>
  </si>
  <si>
    <t xml:space="preserve">Price as of</t>
  </si>
  <si>
    <t xml:space="preserve">2026-10-02T20:02:04Z regular-session close</t>
  </si>
  <si>
    <t xml:space="preserve">Balance sheet date</t>
  </si>
  <si>
    <t xml:space="preserve">2026-08-02</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</si>
  <si>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</si>
  <si>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</si>
  <si>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</si>
  <si>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</si>
  <si>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</si>
  <si>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</si>
  <si>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</si>
  <si>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</si>
  <si>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</si>
  <si>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</si>
  <si>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2026-10-02T21:58:11Z</t>
  </si>
  <si>
    <t xml:space="preserve">Drivers file</t>
  </si>
  <si>
    <t xml:space="preserve">WSM_Drivers.json</t>
  </si>
  <si>
    <t xml:space="preserve">Convention</t>
  </si>
  <si>
    <t xml:space="preserve">Percents stored as percents; formulas divide by 100. Blue = input, green = link, black = formula.</t>
  </si>
  <si>
    <t xml:space="preserve">Methodology</t>
  </si>
  <si>
    <t xml:space="preserve">summary: Owner-FCF DCF with SBC and equity-award withholding fully expensed, interest income stripped against net cash, US GAAP operating-lease cost left inside EBITDA (lease liabilities out of net debt), and the margin question carried explicitly in the scenarios rather than in the discount rate. The central judgment is how much of the post-2021 margin re-rating (GAAP operating margin ~9-10% pre-COVID to ~18% now) is structural: the base holds it, the bull extends it, the bear gives back about half.
key_risks_to_valuation: Margin durability: a reversion toward pre-COVID operating margins is the single largest swing factor (bear vs base is roughly $50/share).; Housing turnover: a mortgage-rate-driven recovery is the main bull lever; continued lock-in caps the move-driven core.; Tariffs: underlying gross margin fell ~160bps YoY in Q2 fiscal 2026; refunds (~$168M) flatter GAAP and are excluded from the flows.; Discount-rate sensitivity: at the current price the market is implying a required return near 8%, well below the 9.5% used here; see required_return_table.; Equity-award withholding taxes are expensed on top of SBC (house rule), a conservative choice worth ~$8-9/share.</t>
  </si>
  <si>
    <t xml:space="preserve">Data sources</t>
  </si>
  <si>
    <t xml:space="preserve">price: Yahoo Finance chart API at inputs.price_as_of; 52-week range 165.51-254.89
financials: research/WSM/Reports/WSM_Metrics.csv (SEC XBRL derived); latest balance sheet, diluted shares, interest income, lease liability and lease cost re-read from SEC companyfacts (CIK 719955) by period end date, 10-Q for the quarter ended 2026-08-02 and 10-K for the year ended 2026-02-01
qualitative: research/WSM/Reports/WSM_Analysis.json (2026-10 analysis; Q2 fiscal 2026 results and raised guidance of 2026-08-26)</t>
  </si>
  <si>
    <t xml:space="preserve">Scenario narrative: bear</t>
  </si>
  <si>
    <t xml:space="preserve">Housing stays locked and the affluent consumer pulls back in an equity drawdown or recession; big-ticket furniture is deferred and revenue is flat in year 2 after the guided year 1. Underlying (ex-refund) gross margin, already down ~160bps YoY in Q2, keeps compressing as tariff costs flow through and premium (RH, Arhaus) and value/off-price (Wayfair, IKEA, HomeGoods) competitors force promotion. Operating margin reverts about halfway from 18% toward the pre-COVID ~10%, settling near 13% (adjusted EBITDA 18.5%). The business remains solidly cash generative; this is a de-rating, not a solvency case.</t>
  </si>
  <si>
    <t xml:space="preserve">Scenario narrative: base</t>
  </si>
  <si>
    <t xml:space="preserve">Williams-Sonoma keeps doing what it has done through the housing downturn: taking share with a vertically integrated, ~66% digital, multi-brand model while existing-home turnover stays depressed. Fiscal 2026 lands at the guided ~6% growth and ~18% non-GAAP operating margin; B2B/contract (cruise, senior living, hospitality) grows double digits toward the ~$2B target and offsets a sluggish move-driven core. Tariffs remain a cost headwind roughly neutralised by pricing, sourcing shifts away from China (now ~20-25%) and AI-driven service productivity, so the post-COVID margin structure holds but does not expand further. Revenue compounds ~4-5% fading to 3%.</t>
  </si>
  <si>
    <t xml:space="preserve">Scenario narrative: bull</t>
  </si>
  <si>
    <t xml:space="preserve">Mortgage-rate lock-in eases over 2027-2028 and housing turnover recovers from multi-decade lows, unlocking pent-up furniture demand onto a cost base that already earns high-teens margins. Growth runs 7-8.5% for three years as housing, B2B and share gains compound together; full-price selling, supply-chain efficiency and AI tools (Olive, Otto) lift operating margin to ~20% (adjusted EBITDA 25%). Tariff policy stabilises or eases. This needs several independent things to go right at once, which is why it carries only 25%.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</si>
  <si>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</si>
  <si>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</si>
  <si>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</si>
  <si>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</si>
  <si>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</si>
  <si>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</si>
  <si>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</si>
  <si>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</si>
  <si>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</si>
  <si>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</si>
  <si>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</si>
  <si>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</si>
  <si>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</si>
  <si>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</si>
  <si>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</si>
  <si>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</si>
  <si>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</si>
  <si>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</si>
  <si>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</si>
  <si>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</si>
  <si>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</si>
  <si>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</si>
  <si>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</si>
  <si>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</si>
  <si>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</si>
  <si>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</si>
  <si>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</si>
  <si>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</si>
  <si>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</si>
  <si>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</si>
  <si>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</si>
  <si>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</si>
  <si>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</si>
  <si>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</si>
  <si>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</si>
  <si>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</si>
  <si>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</si>
  <si>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</si>
  <si>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</si>
  <si>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</si>
  <si>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</si>
  <si>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</si>
  <si>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</si>
  <si>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</si>
  <si>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</si>
  <si>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</si>
  <si>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</si>
  <si>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</si>
  <si>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</si>
  <si>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</si>
  <si>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</si>
  <si>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</si>
  <si>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</si>
  <si>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</si>
  <si>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</si>
  <si>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</si>
  <si>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</si>
  <si>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</si>
  <si>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</si>
  <si>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</si>
  <si>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</si>
  <si>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</si>
  <si>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</si>
  <si>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</si>
  <si>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</si>
  <si>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</si>
  <si>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</si>
  <si>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</si>
  <si>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</si>
  <si>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</si>
  <si>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</si>
  <si>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</si>
  <si>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</si>
  <si>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</si>
  <si>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</si>
  <si>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</si>
  <si>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</si>
  <si>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</si>
  <si>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</si>
  <si>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</si>
  <si>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</si>
  <si>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</si>
  <si>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</si>
  <si>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WSM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</si>
  <si>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</si>
  <si>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</si>
  <si>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</si>
  <si>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</si>
  <si>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</si>
  <si>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</si>
  <si>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</si>
  <si>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</si>
  <si>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</si>
  <si>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</si>
  <si>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</si>
  <si>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</si>
  <si>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</si>
  <si>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</si>
  <si>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</si>
  <si>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</si>
  <si>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</si>
  <si>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</si>
  <si>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</si>
  <si>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</si>
  <si>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</si>
  <si>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</si>
  <si>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</si>
  <si>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</si>
  <si>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</si>
  <si>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</si>
  <si>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</si>
  <si>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</si>
  <si>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</si>
  <si>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</si>
  <si>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WSM owner-FCF component DCF: base case (millions, USD)</t>
  </si>
  <si>
    <t xml:space="preserve">WSM owner-FCF component DCF: bull case (millions, USD)</t>
  </si>
  <si>
    <t xml:space="preserve">WSM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</si>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</sst>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232.3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1165.723</v>
      </c>
      <c r="S2" s="0" t="n">
        <v>118.95</v>
      </c>
      <c r="AA2" s="0" t="s">
        <v>17</v>
      </c>
      <c r="AB2" s="0" t="s">
        <v>14</v>
      </c>
    </row>
    <row r="3" customFormat="false" ht="15" hidden="false" customHeight="false" outlineLevel="0" collapsed="false">
      <c r="A3" s="0" t="s">
        <v>64</v>
      </c>
      <c r="B3" s="0" t="n">
        <v>3361.472</v>
      </c>
      <c r="D3" s="0" t="n">
        <v>1135.172</v>
      </c>
      <c r="E3" s="0" t="n">
        <v>33.7700864383223</v>
      </c>
      <c r="I3" s="0" t="n">
        <v>30.024</v>
      </c>
      <c r="J3" s="0" t="n">
        <v>0.893180130609447</v>
      </c>
      <c r="K3" s="0" t="n">
        <v>0.28</v>
      </c>
      <c r="L3" s="0" t="n">
        <v>230.163</v>
      </c>
      <c r="M3" s="0" t="n">
        <v>191.789</v>
      </c>
      <c r="N3" s="0" t="n">
        <v>38.374</v>
      </c>
      <c r="O3" s="0" t="n">
        <v>1147.984</v>
      </c>
      <c r="S3" s="0" t="n">
        <v>148.822</v>
      </c>
      <c r="T3" s="0" t="n">
        <v>106.88</v>
      </c>
      <c r="U3" s="0" t="n">
        <v>12.131</v>
      </c>
      <c r="AA3" s="0" t="s">
        <v>17</v>
      </c>
      <c r="AB3" s="0" t="s">
        <v>14</v>
      </c>
    </row>
    <row r="4" customFormat="false" ht="15" hidden="false" customHeight="false" outlineLevel="0" collapsed="false">
      <c r="A4" s="0" t="s">
        <v>65</v>
      </c>
      <c r="B4" s="0" t="n">
        <v>3102.704</v>
      </c>
      <c r="D4" s="0" t="n">
        <v>1103.237</v>
      </c>
      <c r="E4" s="0" t="n">
        <v>35.557275202533</v>
      </c>
      <c r="F4" s="0" t="n">
        <v>121.442</v>
      </c>
      <c r="G4" s="0" t="n">
        <v>3.91406979202657</v>
      </c>
      <c r="H4" s="0" t="n">
        <v>273.238</v>
      </c>
      <c r="I4" s="0" t="n">
        <v>77.442</v>
      </c>
      <c r="J4" s="0" t="n">
        <v>2.49595191806888</v>
      </c>
      <c r="K4" s="0" t="n">
        <v>0.73</v>
      </c>
      <c r="L4" s="0" t="n">
        <v>490.718</v>
      </c>
      <c r="M4" s="0" t="n">
        <v>72.263</v>
      </c>
      <c r="N4" s="0" t="n">
        <v>418.455</v>
      </c>
      <c r="O4" s="0" t="n">
        <v>1211.595</v>
      </c>
      <c r="P4" s="0" t="n">
        <v>2079.169</v>
      </c>
      <c r="Q4" s="0" t="n">
        <v>867.574</v>
      </c>
      <c r="R4" s="0" t="n">
        <v>10.259</v>
      </c>
      <c r="S4" s="0" t="n">
        <v>513.943</v>
      </c>
      <c r="T4" s="0" t="n">
        <v>107.373</v>
      </c>
      <c r="U4" s="0" t="n">
        <v>24.989</v>
      </c>
      <c r="AA4" s="0" t="s">
        <v>17</v>
      </c>
      <c r="AB4" s="0" t="s">
        <v>14</v>
      </c>
    </row>
    <row r="5" customFormat="false" ht="15" hidden="false" customHeight="false" outlineLevel="0" collapsed="false">
      <c r="A5" s="0" t="s">
        <v>66</v>
      </c>
      <c r="B5" s="0" t="n">
        <v>3504.158</v>
      </c>
      <c r="D5" s="0" t="n">
        <v>1373.859</v>
      </c>
      <c r="E5" s="0" t="n">
        <v>39.2065369198535</v>
      </c>
      <c r="F5" s="0" t="n">
        <v>323.414</v>
      </c>
      <c r="G5" s="0" t="n">
        <v>9.22943543070832</v>
      </c>
      <c r="H5" s="0" t="n">
        <v>468.044</v>
      </c>
      <c r="I5" s="0" t="n">
        <v>200.227</v>
      </c>
      <c r="J5" s="0" t="n">
        <v>5.71398321651022</v>
      </c>
      <c r="K5" s="0" t="n">
        <v>1.87</v>
      </c>
      <c r="L5" s="0" t="n">
        <v>355.989</v>
      </c>
      <c r="M5" s="0" t="n">
        <v>61.906</v>
      </c>
      <c r="N5" s="0" t="n">
        <v>294.083</v>
      </c>
      <c r="O5" s="0" t="n">
        <v>1258.863</v>
      </c>
      <c r="P5" s="0" t="n">
        <v>2131.762</v>
      </c>
      <c r="Q5" s="0" t="n">
        <v>872.899</v>
      </c>
      <c r="R5" s="0" t="n">
        <v>10.214</v>
      </c>
      <c r="S5" s="0" t="n">
        <v>628.403</v>
      </c>
      <c r="T5" s="0" t="n">
        <v>109.522</v>
      </c>
      <c r="U5" s="0" t="n">
        <v>26.63</v>
      </c>
      <c r="V5" s="0" t="n">
        <v>0.58</v>
      </c>
      <c r="AA5" s="0" t="s">
        <v>17</v>
      </c>
      <c r="AB5" s="0" t="s">
        <v>14</v>
      </c>
    </row>
    <row r="6" customFormat="false" ht="15" hidden="false" customHeight="false" outlineLevel="0" collapsed="false">
      <c r="A6" s="0" t="s">
        <v>67</v>
      </c>
      <c r="B6" s="0" t="n">
        <v>3720.895</v>
      </c>
      <c r="D6" s="0" t="n">
        <v>1459.856</v>
      </c>
      <c r="E6" s="0" t="n">
        <v>39.2340014969517</v>
      </c>
      <c r="F6" s="0" t="n">
        <v>381.732</v>
      </c>
      <c r="G6" s="0" t="n">
        <v>10.2591446412758</v>
      </c>
      <c r="H6" s="0" t="n">
        <v>512.285</v>
      </c>
      <c r="I6" s="0" t="n">
        <v>236.931</v>
      </c>
      <c r="J6" s="0" t="n">
        <v>6.36758091803182</v>
      </c>
      <c r="K6" s="0" t="n">
        <v>2.27</v>
      </c>
      <c r="L6" s="0" t="n">
        <v>291.334</v>
      </c>
      <c r="M6" s="0" t="n">
        <v>130.353</v>
      </c>
      <c r="N6" s="0" t="n">
        <v>160.981</v>
      </c>
      <c r="O6" s="0" t="n">
        <v>1255.262</v>
      </c>
      <c r="P6" s="0" t="n">
        <v>2060.838</v>
      </c>
      <c r="Q6" s="0" t="n">
        <v>805.576</v>
      </c>
      <c r="R6" s="0" t="n">
        <v>7.273</v>
      </c>
      <c r="S6" s="0" t="n">
        <v>502.757</v>
      </c>
      <c r="T6" s="0" t="n">
        <v>106.582</v>
      </c>
      <c r="U6" s="0" t="n">
        <v>24.336</v>
      </c>
      <c r="V6" s="0" t="n">
        <v>0.73</v>
      </c>
      <c r="AA6" s="0" t="s">
        <v>17</v>
      </c>
      <c r="AB6" s="0" t="s">
        <v>14</v>
      </c>
    </row>
    <row r="7" customFormat="false" ht="15" hidden="false" customHeight="false" outlineLevel="0" collapsed="false">
      <c r="A7" s="0" t="s">
        <v>68</v>
      </c>
      <c r="B7" s="0" t="n">
        <v>4042.87</v>
      </c>
      <c r="D7" s="0" t="n">
        <v>1592.476</v>
      </c>
      <c r="E7" s="0" t="n">
        <v>39.3897404566558</v>
      </c>
      <c r="F7" s="0" t="n">
        <v>409.163</v>
      </c>
      <c r="G7" s="0" t="n">
        <v>10.1206073902945</v>
      </c>
      <c r="H7" s="0" t="n">
        <v>543.616</v>
      </c>
      <c r="I7" s="0" t="n">
        <v>256.73</v>
      </c>
      <c r="J7" s="0" t="n">
        <v>6.35019181917796</v>
      </c>
      <c r="K7" s="0" t="n">
        <v>2.59</v>
      </c>
      <c r="L7" s="0" t="n">
        <v>364.127</v>
      </c>
      <c r="M7" s="0" t="n">
        <v>205.404</v>
      </c>
      <c r="N7" s="0" t="n">
        <v>158.723</v>
      </c>
      <c r="O7" s="0" t="n">
        <v>1309.138</v>
      </c>
      <c r="P7" s="0" t="n">
        <v>2187.679</v>
      </c>
      <c r="Q7" s="0" t="n">
        <v>878.541</v>
      </c>
      <c r="R7" s="0" t="n">
        <v>5.477</v>
      </c>
      <c r="S7" s="0" t="n">
        <v>424.555</v>
      </c>
      <c r="T7" s="0" t="n">
        <v>101.051</v>
      </c>
      <c r="U7" s="0" t="n">
        <v>31.042</v>
      </c>
      <c r="V7" s="0" t="n">
        <v>0.88</v>
      </c>
      <c r="AA7" s="0" t="s">
        <v>17</v>
      </c>
      <c r="AB7" s="0" t="s">
        <v>14</v>
      </c>
    </row>
    <row r="8" customFormat="false" ht="15" hidden="false" customHeight="false" outlineLevel="0" collapsed="false">
      <c r="A8" s="0" t="s">
        <v>69</v>
      </c>
      <c r="B8" s="0" t="n">
        <v>4387.889</v>
      </c>
      <c r="D8" s="0" t="n">
        <v>1704.216</v>
      </c>
      <c r="E8" s="0" t="n">
        <v>38.8390864035075</v>
      </c>
      <c r="F8" s="0" t="n">
        <v>452.098</v>
      </c>
      <c r="G8" s="0" t="n">
        <v>10.3033144183912</v>
      </c>
      <c r="H8" s="0" t="n">
        <v>601.893</v>
      </c>
      <c r="I8" s="0" t="n">
        <v>278.902</v>
      </c>
      <c r="J8" s="0" t="n">
        <v>6.35617719591357</v>
      </c>
      <c r="K8" s="0" t="n">
        <v>2.89</v>
      </c>
      <c r="L8" s="0" t="n">
        <v>453.769</v>
      </c>
      <c r="M8" s="0" t="n">
        <v>193.953</v>
      </c>
      <c r="N8" s="0" t="n">
        <v>259.816</v>
      </c>
      <c r="O8" s="0" t="n">
        <v>1256.002</v>
      </c>
      <c r="P8" s="0" t="n">
        <v>2336.734</v>
      </c>
      <c r="Q8" s="0" t="n">
        <v>1080.732</v>
      </c>
      <c r="R8" s="0" t="n">
        <v>3.753</v>
      </c>
      <c r="S8" s="0" t="n">
        <v>330.121</v>
      </c>
      <c r="T8" s="0" t="n">
        <v>98.765</v>
      </c>
      <c r="U8" s="0" t="n">
        <v>38.788</v>
      </c>
      <c r="V8" s="0" t="n">
        <v>1.24</v>
      </c>
      <c r="AA8" s="0" t="s">
        <v>17</v>
      </c>
      <c r="AB8" s="0" t="s">
        <v>14</v>
      </c>
    </row>
    <row r="9" customFormat="false" ht="15" hidden="false" customHeight="false" outlineLevel="0" collapsed="false">
      <c r="A9" s="0" t="s">
        <v>70</v>
      </c>
      <c r="B9" s="0" t="n">
        <v>4698.719</v>
      </c>
      <c r="D9" s="0" t="n">
        <v>1800.504</v>
      </c>
      <c r="E9" s="0" t="n">
        <v>38.3190397212517</v>
      </c>
      <c r="F9" s="0" t="n">
        <v>502.265</v>
      </c>
      <c r="G9" s="0" t="n">
        <v>10.6894027925484</v>
      </c>
      <c r="H9" s="0" t="n">
        <v>664.538</v>
      </c>
      <c r="I9" s="0" t="n">
        <v>308.854</v>
      </c>
      <c r="J9" s="0" t="n">
        <v>6.57315323602029</v>
      </c>
      <c r="K9" s="0" t="n">
        <v>3.3</v>
      </c>
      <c r="M9" s="0" t="n">
        <v>204.8</v>
      </c>
      <c r="O9" s="0" t="n">
        <v>1224.706</v>
      </c>
      <c r="P9" s="0" t="n">
        <v>2330.277</v>
      </c>
      <c r="Q9" s="0" t="n">
        <v>1105.571</v>
      </c>
      <c r="R9" s="0" t="n">
        <v>1.968</v>
      </c>
      <c r="S9" s="0" t="n">
        <v>222.927</v>
      </c>
      <c r="T9" s="0" t="n">
        <v>95.2</v>
      </c>
      <c r="U9" s="0" t="n">
        <v>44.632</v>
      </c>
      <c r="V9" s="0" t="n">
        <v>1.32</v>
      </c>
      <c r="AA9" s="0" t="s">
        <v>17</v>
      </c>
      <c r="AB9" s="0" t="s">
        <v>14</v>
      </c>
    </row>
    <row r="10" customFormat="false" ht="15" hidden="false" customHeight="false" outlineLevel="0" collapsed="false">
      <c r="A10" s="0" t="s">
        <v>71</v>
      </c>
      <c r="B10" s="0" t="n">
        <v>4976.09</v>
      </c>
      <c r="D10" s="0" t="n">
        <v>1844.214</v>
      </c>
      <c r="E10" s="0" t="n">
        <v>37.0615081318867</v>
      </c>
      <c r="F10" s="0" t="n">
        <v>488.634</v>
      </c>
      <c r="G10" s="0" t="n">
        <v>9.81963750655635</v>
      </c>
      <c r="H10" s="0" t="n">
        <v>656.394</v>
      </c>
      <c r="I10" s="0" t="n">
        <v>310.068</v>
      </c>
      <c r="J10" s="0" t="n">
        <v>6.23115739466127</v>
      </c>
      <c r="K10" s="0" t="n">
        <v>3.42</v>
      </c>
      <c r="M10" s="0" t="n">
        <v>202.935</v>
      </c>
      <c r="O10" s="0" t="n">
        <v>1198.226</v>
      </c>
      <c r="P10" s="0" t="n">
        <v>2417.427</v>
      </c>
      <c r="Q10" s="0" t="n">
        <v>1219.201</v>
      </c>
      <c r="S10" s="0" t="n">
        <v>193.647</v>
      </c>
      <c r="T10" s="0" t="n">
        <v>92.102</v>
      </c>
      <c r="U10" s="0" t="n">
        <v>41.357</v>
      </c>
      <c r="V10" s="0" t="n">
        <v>1.4</v>
      </c>
      <c r="AA10" s="0" t="s">
        <v>17</v>
      </c>
      <c r="AB10" s="0" t="s">
        <v>14</v>
      </c>
    </row>
    <row r="11" customFormat="false" ht="15" hidden="false" customHeight="false" outlineLevel="0" collapsed="false">
      <c r="A11" s="0" t="s">
        <v>72</v>
      </c>
      <c r="B11" s="0" t="n">
        <v>5083.812</v>
      </c>
      <c r="D11" s="0" t="n">
        <v>1883.31</v>
      </c>
      <c r="E11" s="0" t="n">
        <v>37.0452329865857</v>
      </c>
      <c r="F11" s="0" t="n">
        <v>472.599</v>
      </c>
      <c r="G11" s="0" t="n">
        <v>9.29615414574733</v>
      </c>
      <c r="H11" s="0" t="n">
        <v>645.794</v>
      </c>
      <c r="I11" s="0" t="n">
        <v>305.387</v>
      </c>
      <c r="J11" s="0" t="n">
        <v>6.00704746753027</v>
      </c>
      <c r="K11" s="0" t="n">
        <v>3.45</v>
      </c>
      <c r="L11" s="0" t="n">
        <v>524.709</v>
      </c>
      <c r="M11" s="0" t="n">
        <v>197.414</v>
      </c>
      <c r="N11" s="0" t="n">
        <v>327.295</v>
      </c>
      <c r="O11" s="0" t="n">
        <v>1248.22</v>
      </c>
      <c r="P11" s="0" t="n">
        <v>2476.879</v>
      </c>
      <c r="Q11" s="0" t="n">
        <v>1228.659</v>
      </c>
      <c r="S11" s="0" t="n">
        <v>213.713</v>
      </c>
      <c r="T11" s="0" t="n">
        <v>89.462</v>
      </c>
      <c r="U11" s="0" t="n">
        <v>51.116</v>
      </c>
      <c r="V11" s="0" t="n">
        <v>1.48</v>
      </c>
      <c r="AA11" s="0" t="s">
        <v>17</v>
      </c>
      <c r="AB11" s="0" t="s">
        <v>14</v>
      </c>
    </row>
    <row r="12" customFormat="false" ht="15" hidden="false" customHeight="false" outlineLevel="0" collapsed="false">
      <c r="A12" s="0" t="s">
        <v>73</v>
      </c>
      <c r="B12" s="0" t="n">
        <v>5292.359</v>
      </c>
      <c r="D12" s="0" t="n">
        <v>1931.711</v>
      </c>
      <c r="E12" s="0" t="n">
        <v>36.4999993386692</v>
      </c>
      <c r="F12" s="0" t="n">
        <v>453.811</v>
      </c>
      <c r="G12" s="0" t="n">
        <v>8.57483402014111</v>
      </c>
      <c r="H12" s="0" t="n">
        <v>636.888</v>
      </c>
      <c r="I12" s="0" t="n">
        <v>259.545</v>
      </c>
      <c r="J12" s="0" t="n">
        <v>4.90414576940075</v>
      </c>
      <c r="K12" s="0" t="n">
        <v>3.03</v>
      </c>
      <c r="L12" s="0" t="n">
        <v>499.704</v>
      </c>
      <c r="M12" s="0" t="n">
        <v>189.712</v>
      </c>
      <c r="N12" s="0" t="n">
        <v>309.992</v>
      </c>
      <c r="O12" s="0" t="n">
        <v>1203.566</v>
      </c>
      <c r="P12" s="0" t="n">
        <v>2785.749</v>
      </c>
      <c r="Q12" s="0" t="n">
        <v>1582.183</v>
      </c>
      <c r="R12" s="0" t="n">
        <v>299.422</v>
      </c>
      <c r="S12" s="0" t="n">
        <v>390.136</v>
      </c>
      <c r="T12" s="0" t="n">
        <v>86.08</v>
      </c>
      <c r="U12" s="0" t="n">
        <v>42.988</v>
      </c>
      <c r="V12" s="0" t="n">
        <v>1.56</v>
      </c>
      <c r="AA12" s="0" t="s">
        <v>17</v>
      </c>
      <c r="AB12" s="0" t="s">
        <v>14</v>
      </c>
    </row>
    <row r="13" customFormat="false" ht="15" hidden="false" customHeight="false" outlineLevel="0" collapsed="false">
      <c r="A13" s="0" t="s">
        <v>74</v>
      </c>
      <c r="B13" s="0" t="n">
        <v>5671.593</v>
      </c>
      <c r="D13" s="0" t="n">
        <v>2101.013</v>
      </c>
      <c r="E13" s="0" t="n">
        <v>37.0444952590921</v>
      </c>
      <c r="F13" s="0" t="n">
        <v>435.953</v>
      </c>
      <c r="G13" s="0" t="n">
        <v>7.68660586188043</v>
      </c>
      <c r="H13" s="0" t="n">
        <v>624.761</v>
      </c>
      <c r="I13" s="0" t="n">
        <v>333.684</v>
      </c>
      <c r="J13" s="0" t="n">
        <v>5.88342640242345</v>
      </c>
      <c r="K13" s="0" t="n">
        <v>4.1</v>
      </c>
      <c r="L13" s="0" t="n">
        <v>585.986</v>
      </c>
      <c r="M13" s="0" t="n">
        <v>190.102</v>
      </c>
      <c r="N13" s="0" t="n">
        <v>395.884</v>
      </c>
      <c r="O13" s="0" t="n">
        <v>1155.714</v>
      </c>
      <c r="P13" s="0" t="n">
        <v>2812.844</v>
      </c>
      <c r="Q13" s="0" t="n">
        <v>1657.13</v>
      </c>
      <c r="R13" s="0" t="n">
        <v>299.62</v>
      </c>
      <c r="S13" s="0" t="n">
        <v>338.954</v>
      </c>
      <c r="T13" s="0" t="n">
        <v>82.34</v>
      </c>
      <c r="U13" s="0" t="n">
        <v>59.802</v>
      </c>
      <c r="V13" s="0" t="n">
        <v>1.72</v>
      </c>
      <c r="AA13" s="0" t="s">
        <v>17</v>
      </c>
      <c r="AB13" s="0" t="s">
        <v>14</v>
      </c>
    </row>
    <row r="14" customFormat="false" ht="15" hidden="false" customHeight="false" outlineLevel="0" collapsed="false">
      <c r="A14" s="0" t="s">
        <v>75</v>
      </c>
      <c r="B14" s="0" t="n">
        <v>5898.008</v>
      </c>
      <c r="D14" s="0" t="n">
        <v>2139.092</v>
      </c>
      <c r="E14" s="0" t="n">
        <v>36.2680416845823</v>
      </c>
      <c r="F14" s="0" t="n">
        <v>465.874</v>
      </c>
      <c r="G14" s="0" t="n">
        <v>7.89883635288389</v>
      </c>
      <c r="H14" s="0" t="n">
        <v>653.633</v>
      </c>
      <c r="I14" s="0" t="n">
        <v>356.062</v>
      </c>
      <c r="J14" s="0" t="n">
        <v>6.03698740320461</v>
      </c>
      <c r="K14" s="0" t="n">
        <v>4.56</v>
      </c>
      <c r="L14" s="0" t="n">
        <v>607.294</v>
      </c>
      <c r="M14" s="0" t="n">
        <v>186.276</v>
      </c>
      <c r="N14" s="0" t="n">
        <v>421.018</v>
      </c>
      <c r="O14" s="0" t="n">
        <v>1235.86</v>
      </c>
      <c r="P14" s="0" t="n">
        <v>4054.042</v>
      </c>
      <c r="Q14" s="0" t="n">
        <v>2818.182</v>
      </c>
      <c r="R14" s="0" t="n">
        <v>299.818</v>
      </c>
      <c r="S14" s="0" t="n">
        <v>432.162</v>
      </c>
      <c r="T14" s="0" t="n">
        <v>79.225</v>
      </c>
      <c r="U14" s="0" t="n">
        <v>64.163</v>
      </c>
      <c r="V14" s="0" t="n">
        <v>1.92</v>
      </c>
      <c r="AA14" s="0" t="s">
        <v>17</v>
      </c>
      <c r="AB14" s="0" t="s">
        <v>14</v>
      </c>
    </row>
    <row r="15" customFormat="false" ht="15" hidden="false" customHeight="false" outlineLevel="0" collapsed="false">
      <c r="A15" s="0" t="s">
        <v>76</v>
      </c>
      <c r="B15" s="0" t="n">
        <v>6783.189</v>
      </c>
      <c r="D15" s="0" t="n">
        <v>2636.269</v>
      </c>
      <c r="E15" s="0" t="n">
        <v>38.8647434119851</v>
      </c>
      <c r="F15" s="0" t="n">
        <v>910.697</v>
      </c>
      <c r="G15" s="0" t="n">
        <v>13.4257942687429</v>
      </c>
      <c r="H15" s="0" t="n">
        <v>1099.352</v>
      </c>
      <c r="I15" s="0" t="n">
        <v>680.714</v>
      </c>
      <c r="J15" s="0" t="n">
        <v>10.0353093508083</v>
      </c>
      <c r="K15" s="0" t="n">
        <v>8.81</v>
      </c>
      <c r="L15" s="0" t="n">
        <v>1274.848</v>
      </c>
      <c r="M15" s="0" t="n">
        <v>169.513</v>
      </c>
      <c r="N15" s="0" t="n">
        <v>1105.335</v>
      </c>
      <c r="O15" s="0" t="n">
        <v>1651.185</v>
      </c>
      <c r="P15" s="0" t="n">
        <v>4661.424</v>
      </c>
      <c r="Q15" s="0" t="n">
        <v>3010.239</v>
      </c>
      <c r="R15" s="0" t="n">
        <v>299.35</v>
      </c>
      <c r="S15" s="0" t="n">
        <v>1200.337</v>
      </c>
      <c r="T15" s="0" t="n">
        <v>79.055</v>
      </c>
      <c r="U15" s="0" t="n">
        <v>73.185</v>
      </c>
      <c r="V15" s="0" t="n">
        <v>2.02</v>
      </c>
      <c r="AA15" s="0" t="s">
        <v>17</v>
      </c>
      <c r="AB15" s="0" t="s">
        <v>14</v>
      </c>
    </row>
    <row r="16" customFormat="false" ht="15" hidden="false" customHeight="false" outlineLevel="0" collapsed="false">
      <c r="A16" s="0" t="s">
        <v>77</v>
      </c>
      <c r="B16" s="0" t="n">
        <v>8245.936</v>
      </c>
      <c r="D16" s="0" t="n">
        <v>3631.963</v>
      </c>
      <c r="E16" s="0" t="n">
        <v>44.0454910152104</v>
      </c>
      <c r="F16" s="0" t="n">
        <v>1453.116</v>
      </c>
      <c r="G16" s="0" t="n">
        <v>17.6222080792284</v>
      </c>
      <c r="H16" s="0" t="n">
        <v>1649.203</v>
      </c>
      <c r="I16" s="0" t="n">
        <v>1126.337</v>
      </c>
      <c r="J16" s="0" t="n">
        <v>13.6592983501206</v>
      </c>
      <c r="K16" s="0" t="n">
        <v>15.17</v>
      </c>
      <c r="L16" s="0" t="n">
        <v>1371.147</v>
      </c>
      <c r="M16" s="0" t="n">
        <v>226.517</v>
      </c>
      <c r="N16" s="0" t="n">
        <v>1144.63</v>
      </c>
      <c r="O16" s="0" t="n">
        <v>1664.207</v>
      </c>
      <c r="P16" s="0" t="n">
        <v>4625.62</v>
      </c>
      <c r="Q16" s="0" t="n">
        <v>2961.413</v>
      </c>
      <c r="R16" s="0" t="n">
        <v>0</v>
      </c>
      <c r="S16" s="0" t="n">
        <v>850.338</v>
      </c>
      <c r="T16" s="0" t="n">
        <v>76.354</v>
      </c>
      <c r="U16" s="0" t="n">
        <v>95.24</v>
      </c>
      <c r="V16" s="0" t="n">
        <v>2.6</v>
      </c>
      <c r="AA16" s="0" t="s">
        <v>17</v>
      </c>
      <c r="AB16" s="0" t="s">
        <v>14</v>
      </c>
    </row>
    <row r="17" customFormat="false" ht="15" hidden="false" customHeight="false" outlineLevel="0" collapsed="false">
      <c r="A17" s="0" t="s">
        <v>78</v>
      </c>
      <c r="B17" s="0" t="n">
        <v>8674.417</v>
      </c>
      <c r="D17" s="0" t="n">
        <v>3677.733</v>
      </c>
      <c r="E17" s="0" t="n">
        <v>42.3974660199066</v>
      </c>
      <c r="F17" s="0" t="n">
        <v>1498.422</v>
      </c>
      <c r="G17" s="0" t="n">
        <v>17.2740369756262</v>
      </c>
      <c r="H17" s="0" t="n">
        <v>1712.575</v>
      </c>
      <c r="I17" s="0" t="n">
        <v>1127.904</v>
      </c>
      <c r="J17" s="0" t="n">
        <v>13.0026490541093</v>
      </c>
      <c r="K17" s="0" t="n">
        <v>8.29</v>
      </c>
      <c r="L17" s="0" t="n">
        <v>1052.822</v>
      </c>
      <c r="M17" s="0" t="n">
        <v>354.117</v>
      </c>
      <c r="N17" s="0" t="n">
        <v>698.705</v>
      </c>
      <c r="O17" s="0" t="n">
        <v>1701.051</v>
      </c>
      <c r="P17" s="0" t="n">
        <v>4663.016</v>
      </c>
      <c r="Q17" s="0" t="n">
        <v>2961.965</v>
      </c>
      <c r="S17" s="0" t="n">
        <v>367.344</v>
      </c>
      <c r="T17" s="0" t="n">
        <v>138.199</v>
      </c>
      <c r="U17" s="0" t="n">
        <v>90.268</v>
      </c>
      <c r="V17" s="0" t="n">
        <v>1.56</v>
      </c>
      <c r="AA17" s="0" t="s">
        <v>17</v>
      </c>
      <c r="AB17" s="0" t="s">
        <v>14</v>
      </c>
    </row>
    <row r="18" customFormat="false" ht="15" hidden="false" customHeight="false" outlineLevel="0" collapsed="false">
      <c r="A18" s="0" t="s">
        <v>79</v>
      </c>
      <c r="B18" s="0" t="n">
        <v>7750.652</v>
      </c>
      <c r="C18" s="0" t="n">
        <v>4447.051</v>
      </c>
      <c r="D18" s="0" t="n">
        <v>3303.601</v>
      </c>
      <c r="E18" s="0" t="n">
        <v>42.6235238016105</v>
      </c>
      <c r="F18" s="0" t="n">
        <v>1244.193</v>
      </c>
      <c r="G18" s="0" t="n">
        <v>16.0527527232548</v>
      </c>
      <c r="H18" s="0" t="n">
        <v>1476.783</v>
      </c>
      <c r="I18" s="0" t="n">
        <v>949.762</v>
      </c>
      <c r="J18" s="0" t="n">
        <v>12.2539626343693</v>
      </c>
      <c r="K18" s="0" t="n">
        <v>7.35</v>
      </c>
      <c r="L18" s="0" t="n">
        <v>1680.273</v>
      </c>
      <c r="M18" s="0" t="n">
        <v>188.458</v>
      </c>
      <c r="N18" s="0" t="n">
        <v>1491.815</v>
      </c>
      <c r="O18" s="0" t="n">
        <v>2127.861</v>
      </c>
      <c r="P18" s="0" t="n">
        <v>5273.548</v>
      </c>
      <c r="Q18" s="0" t="n">
        <v>3145.687</v>
      </c>
      <c r="S18" s="0" t="n">
        <v>1262.007</v>
      </c>
      <c r="T18" s="0" t="n">
        <v>130.543</v>
      </c>
      <c r="U18" s="0" t="n">
        <v>84.754</v>
      </c>
      <c r="V18" s="0" t="n">
        <v>1.8</v>
      </c>
      <c r="AA18" s="0" t="s">
        <v>17</v>
      </c>
      <c r="AB18" s="0" t="s">
        <v>14</v>
      </c>
    </row>
    <row r="19" customFormat="false" ht="15" hidden="false" customHeight="false" outlineLevel="0" collapsed="false">
      <c r="A19" s="0" t="s">
        <v>80</v>
      </c>
      <c r="B19" s="0" t="n">
        <v>7711.541</v>
      </c>
      <c r="C19" s="0" t="n">
        <v>4129.242</v>
      </c>
      <c r="D19" s="0" t="n">
        <v>3582.299</v>
      </c>
      <c r="E19" s="0" t="n">
        <v>46.4537373269493</v>
      </c>
      <c r="F19" s="0" t="n">
        <v>1430.184</v>
      </c>
      <c r="G19" s="0" t="n">
        <v>18.5460208277438</v>
      </c>
      <c r="H19" s="0" t="n">
        <v>1659.986</v>
      </c>
      <c r="I19" s="0" t="n">
        <v>1125.251</v>
      </c>
      <c r="J19" s="0" t="n">
        <v>14.5917787378683</v>
      </c>
      <c r="K19" s="0" t="n">
        <v>8.91</v>
      </c>
      <c r="L19" s="0" t="n">
        <v>1360.222</v>
      </c>
      <c r="M19" s="0" t="n">
        <v>221.567</v>
      </c>
      <c r="N19" s="0" t="n">
        <v>1138.655</v>
      </c>
      <c r="O19" s="0" t="n">
        <v>2142.419</v>
      </c>
      <c r="P19" s="0" t="n">
        <v>5301.607</v>
      </c>
      <c r="Q19" s="0" t="n">
        <v>3159.188</v>
      </c>
      <c r="S19" s="0" t="n">
        <v>1212.977</v>
      </c>
      <c r="T19" s="0" t="n">
        <v>128.041</v>
      </c>
      <c r="U19" s="0" t="n">
        <v>98.983</v>
      </c>
      <c r="V19" s="0" t="n">
        <v>2.28</v>
      </c>
      <c r="AA19" s="0" t="s">
        <v>17</v>
      </c>
      <c r="AB19" s="0" t="s">
        <v>14</v>
      </c>
    </row>
    <row r="20" customFormat="false" ht="15" hidden="false" customHeight="false" outlineLevel="0" collapsed="false">
      <c r="A20" s="0" t="s">
        <v>81</v>
      </c>
      <c r="B20" s="0" t="n">
        <v>7806.816</v>
      </c>
      <c r="C20" s="0" t="n">
        <v>4203.765</v>
      </c>
      <c r="D20" s="0" t="n">
        <v>3603.051</v>
      </c>
      <c r="E20" s="0" t="n">
        <v>46.1526312391633</v>
      </c>
      <c r="F20" s="0" t="n">
        <v>1415.722</v>
      </c>
      <c r="G20" s="0" t="n">
        <v>18.1344353447039</v>
      </c>
      <c r="H20" s="0" t="n">
        <v>1647.171</v>
      </c>
      <c r="I20" s="0" t="n">
        <v>1088.437</v>
      </c>
      <c r="J20" s="0" t="n">
        <v>13.9421372298258</v>
      </c>
      <c r="K20" s="0" t="n">
        <v>8.96</v>
      </c>
      <c r="L20" s="0" t="n">
        <v>1314.889</v>
      </c>
      <c r="M20" s="0" t="n">
        <v>259.438</v>
      </c>
      <c r="N20" s="0" t="n">
        <v>1055.451</v>
      </c>
      <c r="O20" s="0" t="n">
        <v>2082.559</v>
      </c>
      <c r="P20" s="0" t="n">
        <v>5411.912</v>
      </c>
      <c r="Q20" s="0" t="n">
        <v>3329.353</v>
      </c>
      <c r="S20" s="0" t="n">
        <v>1019.801</v>
      </c>
      <c r="T20" s="0" t="n">
        <v>123.153</v>
      </c>
      <c r="U20" s="0" t="n">
        <v>106.522</v>
      </c>
      <c r="V20" s="0" t="n">
        <v>2.64</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232.3</v>
      </c>
    </row>
    <row r="3" customFormat="false" ht="15" hidden="false" customHeight="false" outlineLevel="0" collapsed="false">
      <c r="A3" s="0" t="s">
        <v>85</v>
      </c>
      <c r="B3" s="3" t="n">
        <v>118.892</v>
      </c>
    </row>
    <row r="4" customFormat="false" ht="15" hidden="false" customHeight="false" outlineLevel="0" collapsed="false">
      <c r="A4" s="0" t="s">
        <v>86</v>
      </c>
      <c r="B4" s="3" t="n">
        <v>-1028.936</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7806.816</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4.5</v>
      </c>
      <c r="D13" s="3" t="n">
        <v>0</v>
      </c>
      <c r="E13" s="3" t="n">
        <v>1</v>
      </c>
      <c r="F13" s="3" t="n">
        <v>2</v>
      </c>
      <c r="G13" s="3" t="n">
        <v>2.5</v>
      </c>
      <c r="H13" s="3" t="n">
        <v>2.5</v>
      </c>
      <c r="I13" s="3" t="n">
        <v>2.5</v>
      </c>
      <c r="J13" s="3" t="n">
        <v>2.5</v>
      </c>
      <c r="K13" s="3" t="n">
        <v>2.5</v>
      </c>
      <c r="L13" s="3" t="n">
        <v>2.5</v>
      </c>
    </row>
    <row r="14" customFormat="false" ht="15" hidden="false" customHeight="false" outlineLevel="0" collapsed="false">
      <c r="A14" s="0" t="s">
        <v>106</v>
      </c>
      <c r="C14" s="3" t="n">
        <v>22</v>
      </c>
      <c r="D14" s="3" t="n">
        <v>20</v>
      </c>
      <c r="E14" s="3" t="n">
        <v>19</v>
      </c>
      <c r="F14" s="3" t="n">
        <v>18.5</v>
      </c>
      <c r="G14" s="3" t="n">
        <v>18.5</v>
      </c>
      <c r="H14" s="3" t="n">
        <v>18.5</v>
      </c>
      <c r="I14" s="3" t="n">
        <v>18.5</v>
      </c>
      <c r="J14" s="3" t="n">
        <v>18.5</v>
      </c>
      <c r="K14" s="3" t="n">
        <v>18.5</v>
      </c>
      <c r="L14" s="3" t="n">
        <v>18.5</v>
      </c>
    </row>
    <row r="15" customFormat="false" ht="15" hidden="false" customHeight="false" outlineLevel="0" collapsed="false">
      <c r="A15" s="0" t="s">
        <v>107</v>
      </c>
      <c r="C15" s="3" t="n">
        <v>2.5</v>
      </c>
      <c r="D15" s="3" t="n">
        <v>2.5</v>
      </c>
      <c r="E15" s="3" t="n">
        <v>2.5</v>
      </c>
      <c r="F15" s="3" t="n">
        <v>2.5</v>
      </c>
      <c r="G15" s="3" t="n">
        <v>2.5</v>
      </c>
      <c r="H15" s="3" t="n">
        <v>2.5</v>
      </c>
      <c r="I15" s="3" t="n">
        <v>2.5</v>
      </c>
      <c r="J15" s="3" t="n">
        <v>2.5</v>
      </c>
      <c r="K15" s="3" t="n">
        <v>2.5</v>
      </c>
      <c r="L15" s="3" t="n">
        <v>2.5</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3.1</v>
      </c>
      <c r="D17" s="3" t="n">
        <v>3.1</v>
      </c>
      <c r="E17" s="3" t="n">
        <v>3.1</v>
      </c>
      <c r="F17" s="3" t="n">
        <v>3.1</v>
      </c>
      <c r="G17" s="3" t="n">
        <v>3.1</v>
      </c>
      <c r="H17" s="3" t="n">
        <v>3.1</v>
      </c>
      <c r="I17" s="3" t="n">
        <v>3.1</v>
      </c>
      <c r="J17" s="3" t="n">
        <v>3.1</v>
      </c>
      <c r="K17" s="3" t="n">
        <v>3.1</v>
      </c>
      <c r="L17" s="3" t="n">
        <v>3.1</v>
      </c>
    </row>
    <row r="18" customFormat="false" ht="15" hidden="false" customHeight="false" outlineLevel="0" collapsed="false">
      <c r="A18" s="0" t="s">
        <v>110</v>
      </c>
      <c r="C18" s="3" t="n">
        <v>3.2</v>
      </c>
      <c r="D18" s="3" t="n">
        <v>3.2</v>
      </c>
      <c r="E18" s="3" t="n">
        <v>3.2</v>
      </c>
      <c r="F18" s="3" t="n">
        <v>3.2</v>
      </c>
      <c r="G18" s="3" t="n">
        <v>3.2</v>
      </c>
      <c r="H18" s="3" t="n">
        <v>3.2</v>
      </c>
      <c r="I18" s="3" t="n">
        <v>3.2</v>
      </c>
      <c r="J18" s="3" t="n">
        <v>3.2</v>
      </c>
      <c r="K18" s="3" t="n">
        <v>3.2</v>
      </c>
      <c r="L18" s="3" t="n">
        <v>3.2</v>
      </c>
    </row>
    <row r="19" customFormat="false" ht="15" hidden="false" customHeight="false" outlineLevel="0" collapsed="false">
      <c r="A19" s="0" t="s">
        <v>111</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112</v>
      </c>
      <c r="B20" s="3" t="n">
        <v>9.5</v>
      </c>
    </row>
    <row r="21" customFormat="false" ht="15" hidden="false" customHeight="false" outlineLevel="0" collapsed="false">
      <c r="A21" s="0" t="s">
        <v>113</v>
      </c>
      <c r="B21" s="3" t="n">
        <v>2</v>
      </c>
    </row>
    <row r="22" customFormat="false" ht="15" hidden="false" customHeight="false" outlineLevel="0" collapsed="false">
      <c r="A22" s="0" t="s">
        <v>114</v>
      </c>
      <c r="B22" s="3" t="n">
        <v>13</v>
      </c>
    </row>
    <row r="23" customFormat="false" ht="15" hidden="false" customHeight="false" outlineLevel="0" collapsed="false">
      <c r="A23" s="0" t="s">
        <v>115</v>
      </c>
      <c r="B23" s="3" t="n">
        <v>-10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6</v>
      </c>
      <c r="D27" s="3" t="n">
        <v>5</v>
      </c>
      <c r="E27" s="3" t="n">
        <v>4.5</v>
      </c>
      <c r="F27" s="3" t="n">
        <v>4.5</v>
      </c>
      <c r="G27" s="3" t="n">
        <v>4</v>
      </c>
      <c r="H27" s="3" t="n">
        <v>4</v>
      </c>
      <c r="I27" s="3" t="n">
        <v>3.5</v>
      </c>
      <c r="J27" s="3" t="n">
        <v>3</v>
      </c>
      <c r="K27" s="3" t="n">
        <v>3</v>
      </c>
      <c r="L27" s="3" t="n">
        <v>3</v>
      </c>
    </row>
    <row r="28" customFormat="false" ht="15" hidden="false" customHeight="false" outlineLevel="0" collapsed="false">
      <c r="A28" s="0" t="s">
        <v>106</v>
      </c>
      <c r="C28" s="3" t="n">
        <v>22.5</v>
      </c>
      <c r="D28" s="3" t="n">
        <v>22.6</v>
      </c>
      <c r="E28" s="3" t="n">
        <v>22.7</v>
      </c>
      <c r="F28" s="3" t="n">
        <v>22.7</v>
      </c>
      <c r="G28" s="3" t="n">
        <v>22.7</v>
      </c>
      <c r="H28" s="3" t="n">
        <v>22.7</v>
      </c>
      <c r="I28" s="3" t="n">
        <v>22.7</v>
      </c>
      <c r="J28" s="3" t="n">
        <v>22.7</v>
      </c>
      <c r="K28" s="3" t="n">
        <v>22.7</v>
      </c>
      <c r="L28" s="3" t="n">
        <v>22.7</v>
      </c>
    </row>
    <row r="29" customFormat="false" ht="15" hidden="false" customHeight="false" outlineLevel="0" collapsed="false">
      <c r="A29" s="0" t="s">
        <v>107</v>
      </c>
      <c r="C29" s="3" t="n">
        <v>2.4</v>
      </c>
      <c r="D29" s="3" t="n">
        <v>2.35</v>
      </c>
      <c r="E29" s="3" t="n">
        <v>2.3</v>
      </c>
      <c r="F29" s="3" t="n">
        <v>2.25</v>
      </c>
      <c r="G29" s="3" t="n">
        <v>2.2</v>
      </c>
      <c r="H29" s="3" t="n">
        <v>2.15</v>
      </c>
      <c r="I29" s="3" t="n">
        <v>2.1</v>
      </c>
      <c r="J29" s="3" t="n">
        <v>2.1</v>
      </c>
      <c r="K29" s="3" t="n">
        <v>2.1</v>
      </c>
      <c r="L29" s="3" t="n">
        <v>2.1</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3</v>
      </c>
      <c r="D31" s="3" t="n">
        <v>3</v>
      </c>
      <c r="E31" s="3" t="n">
        <v>3</v>
      </c>
      <c r="F31" s="3" t="n">
        <v>3</v>
      </c>
      <c r="G31" s="3" t="n">
        <v>3</v>
      </c>
      <c r="H31" s="3" t="n">
        <v>3</v>
      </c>
      <c r="I31" s="3" t="n">
        <v>3</v>
      </c>
      <c r="J31" s="3" t="n">
        <v>3</v>
      </c>
      <c r="K31" s="3" t="n">
        <v>3</v>
      </c>
      <c r="L31" s="3" t="n">
        <v>3</v>
      </c>
    </row>
    <row r="32" customFormat="false" ht="15" hidden="false" customHeight="false" outlineLevel="0" collapsed="false">
      <c r="A32" s="0" t="s">
        <v>110</v>
      </c>
      <c r="C32" s="3" t="n">
        <v>3.3</v>
      </c>
      <c r="D32" s="3" t="n">
        <v>3.3</v>
      </c>
      <c r="E32" s="3" t="n">
        <v>3.3</v>
      </c>
      <c r="F32" s="3" t="n">
        <v>3.3</v>
      </c>
      <c r="G32" s="3" t="n">
        <v>3.3</v>
      </c>
      <c r="H32" s="3" t="n">
        <v>3.3</v>
      </c>
      <c r="I32" s="3" t="n">
        <v>3.3</v>
      </c>
      <c r="J32" s="3" t="n">
        <v>3.3</v>
      </c>
      <c r="K32" s="3" t="n">
        <v>3.3</v>
      </c>
      <c r="L32" s="3" t="n">
        <v>3.3</v>
      </c>
    </row>
    <row r="33" customFormat="false" ht="15" hidden="false" customHeight="false" outlineLevel="0" collapsed="false">
      <c r="A33" s="0" t="s">
        <v>111</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112</v>
      </c>
      <c r="B34" s="3" t="n">
        <v>9.5</v>
      </c>
    </row>
    <row r="35" customFormat="false" ht="15" hidden="false" customHeight="false" outlineLevel="0" collapsed="false">
      <c r="A35" s="0" t="s">
        <v>113</v>
      </c>
      <c r="B35" s="3" t="n">
        <v>2.5</v>
      </c>
    </row>
    <row r="36" customFormat="false" ht="15" hidden="false" customHeight="false" outlineLevel="0" collapsed="false">
      <c r="A36" s="0" t="s">
        <v>114</v>
      </c>
      <c r="B36" s="3" t="n">
        <v>15</v>
      </c>
    </row>
    <row r="37" customFormat="false" ht="15" hidden="false" customHeight="false" outlineLevel="0" collapsed="false">
      <c r="A37" s="0" t="s">
        <v>115</v>
      </c>
      <c r="B37" s="3" t="n">
        <v>-10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7</v>
      </c>
      <c r="D41" s="3" t="n">
        <v>8.5</v>
      </c>
      <c r="E41" s="3" t="n">
        <v>8</v>
      </c>
      <c r="F41" s="3" t="n">
        <v>7</v>
      </c>
      <c r="G41" s="3" t="n">
        <v>6</v>
      </c>
      <c r="H41" s="3" t="n">
        <v>5.5</v>
      </c>
      <c r="I41" s="3" t="n">
        <v>5</v>
      </c>
      <c r="J41" s="3" t="n">
        <v>4.5</v>
      </c>
      <c r="K41" s="3" t="n">
        <v>4</v>
      </c>
      <c r="L41" s="3" t="n">
        <v>3.5</v>
      </c>
    </row>
    <row r="42" customFormat="false" ht="15" hidden="false" customHeight="false" outlineLevel="0" collapsed="false">
      <c r="A42" s="0" t="s">
        <v>106</v>
      </c>
      <c r="C42" s="3" t="n">
        <v>22.8</v>
      </c>
      <c r="D42" s="3" t="n">
        <v>23.6</v>
      </c>
      <c r="E42" s="3" t="n">
        <v>24.3</v>
      </c>
      <c r="F42" s="3" t="n">
        <v>24.8</v>
      </c>
      <c r="G42" s="3" t="n">
        <v>25</v>
      </c>
      <c r="H42" s="3" t="n">
        <v>25</v>
      </c>
      <c r="I42" s="3" t="n">
        <v>25</v>
      </c>
      <c r="J42" s="3" t="n">
        <v>25</v>
      </c>
      <c r="K42" s="3" t="n">
        <v>25</v>
      </c>
      <c r="L42" s="3" t="n">
        <v>25</v>
      </c>
    </row>
    <row r="43" customFormat="false" ht="15" hidden="false" customHeight="false" outlineLevel="0" collapsed="false">
      <c r="A43" s="0" t="s">
        <v>107</v>
      </c>
      <c r="C43" s="3" t="n">
        <v>2.35</v>
      </c>
      <c r="D43" s="3" t="n">
        <v>2.3</v>
      </c>
      <c r="E43" s="3" t="n">
        <v>2.25</v>
      </c>
      <c r="F43" s="3" t="n">
        <v>2.2</v>
      </c>
      <c r="G43" s="3" t="n">
        <v>2.15</v>
      </c>
      <c r="H43" s="3" t="n">
        <v>2.1</v>
      </c>
      <c r="I43" s="3" t="n">
        <v>2.05</v>
      </c>
      <c r="J43" s="3" t="n">
        <v>2</v>
      </c>
      <c r="K43" s="3" t="n">
        <v>2</v>
      </c>
      <c r="L43" s="3" t="n">
        <v>2</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3</v>
      </c>
      <c r="D45" s="3" t="n">
        <v>3</v>
      </c>
      <c r="E45" s="3" t="n">
        <v>3</v>
      </c>
      <c r="F45" s="3" t="n">
        <v>3</v>
      </c>
      <c r="G45" s="3" t="n">
        <v>3</v>
      </c>
      <c r="H45" s="3" t="n">
        <v>3</v>
      </c>
      <c r="I45" s="3" t="n">
        <v>3</v>
      </c>
      <c r="J45" s="3" t="n">
        <v>3</v>
      </c>
      <c r="K45" s="3" t="n">
        <v>3</v>
      </c>
      <c r="L45" s="3" t="n">
        <v>3</v>
      </c>
    </row>
    <row r="46" customFormat="false" ht="15" hidden="false" customHeight="false" outlineLevel="0" collapsed="false">
      <c r="A46" s="0" t="s">
        <v>110</v>
      </c>
      <c r="C46" s="3" t="n">
        <v>3.4</v>
      </c>
      <c r="D46" s="3" t="n">
        <v>3.4</v>
      </c>
      <c r="E46" s="3" t="n">
        <v>3.4</v>
      </c>
      <c r="F46" s="3" t="n">
        <v>3.4</v>
      </c>
      <c r="G46" s="3" t="n">
        <v>3.4</v>
      </c>
      <c r="H46" s="3" t="n">
        <v>3.4</v>
      </c>
      <c r="I46" s="3" t="n">
        <v>3.4</v>
      </c>
      <c r="J46" s="3" t="n">
        <v>3.4</v>
      </c>
      <c r="K46" s="3" t="n">
        <v>3.4</v>
      </c>
      <c r="L46" s="3" t="n">
        <v>3.4</v>
      </c>
    </row>
    <row r="47" customFormat="false" ht="15" hidden="false" customHeight="false" outlineLevel="0" collapsed="false">
      <c r="A47" s="0" t="s">
        <v>111</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112</v>
      </c>
      <c r="B48" s="3" t="n">
        <v>9.5</v>
      </c>
    </row>
    <row r="49" customFormat="false" ht="15" hidden="false" customHeight="false" outlineLevel="0" collapsed="false">
      <c r="A49" s="0" t="s">
        <v>113</v>
      </c>
      <c r="B49" s="3" t="n">
        <v>3</v>
      </c>
    </row>
    <row r="50" customFormat="false" ht="15" hidden="false" customHeight="false" outlineLevel="0" collapsed="false">
      <c r="A50" s="0" t="s">
        <v>114</v>
      </c>
      <c r="B50" s="3" t="n">
        <v>16</v>
      </c>
    </row>
    <row r="51" customFormat="false" ht="15" hidden="false" customHeight="false" outlineLevel="0" collapsed="false">
      <c r="A51" s="0" t="s">
        <v>115</v>
      </c>
      <c r="B51" s="3" t="n">
        <v>-10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4.5</v>
      </c>
      <c r="D5" s="4" t="n">
        <f aca="false">Assumptions!D13</f>
        <v>0</v>
      </c>
      <c r="E5" s="4" t="n">
        <f aca="false">Assumptions!E13</f>
        <v>1</v>
      </c>
      <c r="F5" s="4" t="n">
        <f aca="false">Assumptions!F13</f>
        <v>2</v>
      </c>
      <c r="G5" s="4" t="n">
        <f aca="false">Assumptions!G13</f>
        <v>2.5</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7806.816</v>
      </c>
      <c r="C6" s="0" t="n">
        <f aca="false">B6*(1+C5/100)</f>
        <v>8158.12272</v>
      </c>
      <c r="D6" s="0" t="n">
        <f aca="false">C6*(1+D5/100)</f>
        <v>8158.12272</v>
      </c>
      <c r="E6" s="0" t="n">
        <f aca="false">D6*(1+E5/100)</f>
        <v>8239.7039472</v>
      </c>
      <c r="F6" s="0" t="n">
        <f aca="false">E6*(1+F5/100)</f>
        <v>8404.498026144</v>
      </c>
      <c r="G6" s="0" t="n">
        <f aca="false">F6*(1+G5/100)</f>
        <v>8614.6104767976</v>
      </c>
      <c r="H6" s="0" t="n">
        <f aca="false">G6*(1+H5/100)</f>
        <v>8829.97573871754</v>
      </c>
      <c r="I6" s="0" t="n">
        <f aca="false">H6*(1+I5/100)</f>
        <v>9050.72513218548</v>
      </c>
      <c r="J6" s="0" t="n">
        <f aca="false">I6*(1+J5/100)</f>
        <v>9276.99326049011</v>
      </c>
      <c r="K6" s="0" t="n">
        <f aca="false">J6*(1+K5/100)</f>
        <v>9508.91809200236</v>
      </c>
      <c r="L6" s="0" t="n">
        <f aca="false">K6*(1+L5/100)</f>
        <v>9746.64104430242</v>
      </c>
    </row>
    <row r="7" customFormat="false" ht="15" hidden="false" customHeight="false" outlineLevel="0" collapsed="false">
      <c r="A7" s="0" t="s">
        <v>106</v>
      </c>
      <c r="C7" s="4" t="n">
        <f aca="false">Assumptions!C14</f>
        <v>22</v>
      </c>
      <c r="D7" s="4" t="n">
        <f aca="false">Assumptions!D14</f>
        <v>20</v>
      </c>
      <c r="E7" s="4" t="n">
        <f aca="false">Assumptions!E14</f>
        <v>19</v>
      </c>
      <c r="F7" s="4" t="n">
        <f aca="false">Assumptions!F14</f>
        <v>18.5</v>
      </c>
      <c r="G7" s="4" t="n">
        <f aca="false">Assumptions!G14</f>
        <v>18.5</v>
      </c>
      <c r="H7" s="4" t="n">
        <f aca="false">Assumptions!H14</f>
        <v>18.5</v>
      </c>
      <c r="I7" s="4" t="n">
        <f aca="false">Assumptions!I14</f>
        <v>18.5</v>
      </c>
      <c r="J7" s="4" t="n">
        <f aca="false">Assumptions!J14</f>
        <v>18.5</v>
      </c>
      <c r="K7" s="4" t="n">
        <f aca="false">Assumptions!K14</f>
        <v>18.5</v>
      </c>
      <c r="L7" s="4" t="n">
        <f aca="false">Assumptions!L14</f>
        <v>18.5</v>
      </c>
    </row>
    <row r="8" customFormat="false" ht="15" hidden="false" customHeight="false" outlineLevel="0" collapsed="false">
      <c r="A8" s="0" t="s">
        <v>43</v>
      </c>
      <c r="C8" s="0" t="n">
        <f aca="false">C6*C7/100</f>
        <v>1794.7869984</v>
      </c>
      <c r="D8" s="0" t="n">
        <f aca="false">D6*D7/100</f>
        <v>1631.624544</v>
      </c>
      <c r="E8" s="0" t="n">
        <f aca="false">E6*E7/100</f>
        <v>1565.543749968</v>
      </c>
      <c r="F8" s="0" t="n">
        <f aca="false">F6*F7/100</f>
        <v>1554.83213483664</v>
      </c>
      <c r="G8" s="0" t="n">
        <f aca="false">G6*G7/100</f>
        <v>1593.70293820756</v>
      </c>
      <c r="H8" s="0" t="n">
        <f aca="false">H6*H7/100</f>
        <v>1633.54551166274</v>
      </c>
      <c r="I8" s="0" t="n">
        <f aca="false">I6*I7/100</f>
        <v>1674.38414945431</v>
      </c>
      <c r="J8" s="0" t="n">
        <f aca="false">J6*J7/100</f>
        <v>1716.24375319067</v>
      </c>
      <c r="K8" s="0" t="n">
        <f aca="false">K6*K7/100</f>
        <v>1759.14984702044</v>
      </c>
      <c r="L8" s="0" t="n">
        <f aca="false">L6*L7/100</f>
        <v>1803.12859319595</v>
      </c>
    </row>
    <row r="9" customFormat="false" ht="15" hidden="false" customHeight="false" outlineLevel="0" collapsed="false">
      <c r="A9" s="0" t="s">
        <v>107</v>
      </c>
      <c r="C9" s="4" t="n">
        <f aca="false">Assumptions!C15</f>
        <v>2.5</v>
      </c>
      <c r="D9" s="4" t="n">
        <f aca="false">Assumptions!D15</f>
        <v>2.5</v>
      </c>
      <c r="E9" s="4" t="n">
        <f aca="false">Assumptions!E15</f>
        <v>2.5</v>
      </c>
      <c r="F9" s="4" t="n">
        <f aca="false">Assumptions!F15</f>
        <v>2.5</v>
      </c>
      <c r="G9" s="4" t="n">
        <f aca="false">Assumptions!G15</f>
        <v>2.5</v>
      </c>
      <c r="H9" s="4" t="n">
        <f aca="false">Assumptions!H15</f>
        <v>2.5</v>
      </c>
      <c r="I9" s="4" t="n">
        <f aca="false">Assumptions!I15</f>
        <v>2.5</v>
      </c>
      <c r="J9" s="4" t="n">
        <f aca="false">Assumptions!J15</f>
        <v>2.5</v>
      </c>
      <c r="K9" s="4" t="n">
        <f aca="false">Assumptions!K15</f>
        <v>2.5</v>
      </c>
      <c r="L9" s="4" t="n">
        <f aca="false">Assumptions!L15</f>
        <v>2.5</v>
      </c>
    </row>
    <row r="10" customFormat="false" ht="15" hidden="false" customHeight="false" outlineLevel="0" collapsed="false">
      <c r="A10" s="0" t="s">
        <v>122</v>
      </c>
      <c r="C10" s="0" t="n">
        <f aca="false">-C6*C9/100</f>
        <v>-203.953068</v>
      </c>
      <c r="D10" s="0" t="n">
        <f aca="false">-D6*D9/100</f>
        <v>-203.953068</v>
      </c>
      <c r="E10" s="0" t="n">
        <f aca="false">-E6*E9/100</f>
        <v>-205.99259868</v>
      </c>
      <c r="F10" s="0" t="n">
        <f aca="false">-F6*F9/100</f>
        <v>-210.1124506536</v>
      </c>
      <c r="G10" s="0" t="n">
        <f aca="false">-G6*G9/100</f>
        <v>-215.36526191994</v>
      </c>
      <c r="H10" s="0" t="n">
        <f aca="false">-H6*H9/100</f>
        <v>-220.749393467938</v>
      </c>
      <c r="I10" s="0" t="n">
        <f aca="false">-I6*I9/100</f>
        <v>-226.268128304637</v>
      </c>
      <c r="J10" s="0" t="n">
        <f aca="false">-J6*J9/100</f>
        <v>-231.924831512253</v>
      </c>
      <c r="K10" s="0" t="n">
        <f aca="false">-K6*K9/100</f>
        <v>-237.722952300059</v>
      </c>
      <c r="L10" s="0" t="n">
        <f aca="false">-L6*L9/100</f>
        <v>-243.666026107561</v>
      </c>
    </row>
    <row r="11" customFormat="false" ht="15" hidden="false" customHeight="false" outlineLevel="0" collapsed="false">
      <c r="A11" s="0" t="s">
        <v>123</v>
      </c>
      <c r="C11" s="0" t="n">
        <f aca="false">C8+C10+C24</f>
        <v>1590.8339304</v>
      </c>
      <c r="D11" s="0" t="n">
        <f aca="false">D8+D10+D24</f>
        <v>1427.671476</v>
      </c>
      <c r="E11" s="0" t="n">
        <f aca="false">E8+E10+E24</f>
        <v>1359.551151288</v>
      </c>
      <c r="F11" s="0" t="n">
        <f aca="false">F8+F10+F24</f>
        <v>1344.71968418304</v>
      </c>
      <c r="G11" s="0" t="n">
        <f aca="false">G8+G10+G24</f>
        <v>1378.33767628762</v>
      </c>
      <c r="H11" s="0" t="n">
        <f aca="false">H8+H10+H24</f>
        <v>1412.79611819481</v>
      </c>
      <c r="I11" s="0" t="n">
        <f aca="false">I8+I10+I24</f>
        <v>1448.11602114968</v>
      </c>
      <c r="J11" s="0" t="n">
        <f aca="false">J8+J10+J24</f>
        <v>1484.31892167842</v>
      </c>
      <c r="K11" s="0" t="n">
        <f aca="false">K8+K10+K24</f>
        <v>1521.42689472038</v>
      </c>
      <c r="L11" s="0" t="n">
        <f aca="false">L8+L10+L24</f>
        <v>1559.46256708839</v>
      </c>
    </row>
    <row r="12" customFormat="false" ht="15" hidden="false" customHeight="false" outlineLevel="0" collapsed="false">
      <c r="A12" s="0" t="s">
        <v>124</v>
      </c>
      <c r="C12" s="4" t="n">
        <f aca="false">-C6*Assumptions!C17/100</f>
        <v>-252.90180432</v>
      </c>
      <c r="D12" s="4" t="n">
        <f aca="false">-D6*Assumptions!D17/100</f>
        <v>-252.90180432</v>
      </c>
      <c r="E12" s="4" t="n">
        <f aca="false">-E6*Assumptions!E17/100</f>
        <v>-255.4308223632</v>
      </c>
      <c r="F12" s="4" t="n">
        <f aca="false">-F6*Assumptions!F17/100</f>
        <v>-260.539438810464</v>
      </c>
      <c r="G12" s="4" t="n">
        <f aca="false">-G6*Assumptions!G17/100</f>
        <v>-267.052924780726</v>
      </c>
      <c r="H12" s="4" t="n">
        <f aca="false">-H6*Assumptions!H17/100</f>
        <v>-273.729247900244</v>
      </c>
      <c r="I12" s="4" t="n">
        <f aca="false">-I6*Assumptions!I17/100</f>
        <v>-280.57247909775</v>
      </c>
      <c r="J12" s="4" t="n">
        <f aca="false">-J6*Assumptions!J17/100</f>
        <v>-287.586791075193</v>
      </c>
      <c r="K12" s="4" t="n">
        <f aca="false">-K6*Assumptions!K17/100</f>
        <v>-294.776460852073</v>
      </c>
      <c r="L12" s="4" t="n">
        <f aca="false">-L6*Assumptions!L17/100</f>
        <v>-302.145872373375</v>
      </c>
    </row>
    <row r="13" customFormat="false" ht="15" hidden="false" customHeight="false" outlineLevel="0" collapsed="false">
      <c r="A13" s="0" t="s">
        <v>125</v>
      </c>
      <c r="C13" s="0" t="n">
        <f aca="false">C11+C12</f>
        <v>1337.93212608</v>
      </c>
      <c r="D13" s="0" t="n">
        <f aca="false">D11+D12</f>
        <v>1174.76967168</v>
      </c>
      <c r="E13" s="0" t="n">
        <f aca="false">E11+E12</f>
        <v>1104.1203289248</v>
      </c>
      <c r="F13" s="0" t="n">
        <f aca="false">F11+F12</f>
        <v>1084.18024537258</v>
      </c>
      <c r="G13" s="0" t="n">
        <f aca="false">G11+G12</f>
        <v>1111.28475150689</v>
      </c>
      <c r="H13" s="0" t="n">
        <f aca="false">H11+H12</f>
        <v>1139.06687029456</v>
      </c>
      <c r="I13" s="0" t="n">
        <f aca="false">I11+I12</f>
        <v>1167.54354205193</v>
      </c>
      <c r="J13" s="0" t="n">
        <f aca="false">J11+J12</f>
        <v>1196.73213060322</v>
      </c>
      <c r="K13" s="0" t="n">
        <f aca="false">K11+K12</f>
        <v>1226.6504338683</v>
      </c>
      <c r="L13" s="0" t="n">
        <f aca="false">L11+L12</f>
        <v>1257.31669471501</v>
      </c>
    </row>
    <row r="14" customFormat="false" ht="15" hidden="false" customHeight="false" outlineLevel="0" collapsed="false">
      <c r="A14" s="0" t="s">
        <v>111</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126</v>
      </c>
      <c r="C15" s="0" t="n">
        <f aca="false">C13-MAX(0,C13)*C14/100</f>
        <v>1003.44909456</v>
      </c>
      <c r="D15" s="0" t="n">
        <f aca="false">D13-MAX(0,D13)*D14/100</f>
        <v>881.07725376</v>
      </c>
      <c r="E15" s="0" t="n">
        <f aca="false">E13-MAX(0,E13)*E14/100</f>
        <v>828.0902466936</v>
      </c>
      <c r="F15" s="0" t="n">
        <f aca="false">F13-MAX(0,F13)*F14/100</f>
        <v>813.135184029432</v>
      </c>
      <c r="G15" s="0" t="n">
        <f aca="false">G13-MAX(0,G13)*G14/100</f>
        <v>833.463563630168</v>
      </c>
      <c r="H15" s="0" t="n">
        <f aca="false">H13-MAX(0,H13)*H14/100</f>
        <v>854.300152720922</v>
      </c>
      <c r="I15" s="0" t="n">
        <f aca="false">I13-MAX(0,I13)*I14/100</f>
        <v>875.657656538945</v>
      </c>
      <c r="J15" s="0" t="n">
        <f aca="false">J13-MAX(0,J13)*J14/100</f>
        <v>897.549097952418</v>
      </c>
      <c r="K15" s="0" t="n">
        <f aca="false">K13-MAX(0,K13)*K14/100</f>
        <v>919.987825401228</v>
      </c>
      <c r="L15" s="0" t="n">
        <f aca="false">L13-MAX(0,L13)*L14/100</f>
        <v>942.987521036259</v>
      </c>
    </row>
    <row r="16" customFormat="false" ht="15" hidden="false" customHeight="false" outlineLevel="0" collapsed="false">
      <c r="A16" s="0" t="s">
        <v>127</v>
      </c>
      <c r="C16" s="0" t="n">
        <f aca="false">-C12</f>
        <v>252.90180432</v>
      </c>
      <c r="D16" s="0" t="n">
        <f aca="false">-D12</f>
        <v>252.90180432</v>
      </c>
      <c r="E16" s="0" t="n">
        <f aca="false">-E12</f>
        <v>255.4308223632</v>
      </c>
      <c r="F16" s="0" t="n">
        <f aca="false">-F12</f>
        <v>260.539438810464</v>
      </c>
      <c r="G16" s="0" t="n">
        <f aca="false">-G12</f>
        <v>267.052924780726</v>
      </c>
      <c r="H16" s="0" t="n">
        <f aca="false">-H12</f>
        <v>273.729247900244</v>
      </c>
      <c r="I16" s="0" t="n">
        <f aca="false">-I12</f>
        <v>280.57247909775</v>
      </c>
      <c r="J16" s="0" t="n">
        <f aca="false">-J12</f>
        <v>287.586791075193</v>
      </c>
      <c r="K16" s="0" t="n">
        <f aca="false">-K12</f>
        <v>294.776460852073</v>
      </c>
      <c r="L16" s="0" t="n">
        <f aca="false">-L12</f>
        <v>302.145872373375</v>
      </c>
    </row>
    <row r="17" customFormat="false" ht="15" hidden="false" customHeight="false" outlineLevel="0" collapsed="false">
      <c r="A17" s="0" t="s">
        <v>128</v>
      </c>
      <c r="C17" s="4" t="n">
        <f aca="false">-C6*Assumptions!C18/100</f>
        <v>-261.05992704</v>
      </c>
      <c r="D17" s="4" t="n">
        <f aca="false">-D6*Assumptions!D18/100</f>
        <v>-261.05992704</v>
      </c>
      <c r="E17" s="4" t="n">
        <f aca="false">-E6*Assumptions!E18/100</f>
        <v>-263.6705263104</v>
      </c>
      <c r="F17" s="4" t="n">
        <f aca="false">-F6*Assumptions!F18/100</f>
        <v>-268.943936836608</v>
      </c>
      <c r="G17" s="4" t="n">
        <f aca="false">-G6*Assumptions!G18/100</f>
        <v>-275.667535257523</v>
      </c>
      <c r="H17" s="4" t="n">
        <f aca="false">-H6*Assumptions!H18/100</f>
        <v>-282.559223638961</v>
      </c>
      <c r="I17" s="4" t="n">
        <f aca="false">-I6*Assumptions!I18/100</f>
        <v>-289.623204229935</v>
      </c>
      <c r="J17" s="4" t="n">
        <f aca="false">-J6*Assumptions!J18/100</f>
        <v>-296.863784335684</v>
      </c>
      <c r="K17" s="4" t="n">
        <f aca="false">-K6*Assumptions!K18/100</f>
        <v>-304.285378944076</v>
      </c>
      <c r="L17" s="4" t="n">
        <f aca="false">-L6*Assumptions!L18/100</f>
        <v>-311.892513417678</v>
      </c>
    </row>
    <row r="18" customFormat="false" ht="15" hidden="false" customHeight="false" outlineLevel="0" collapsed="false">
      <c r="A18" s="0" t="s">
        <v>129</v>
      </c>
      <c r="C18" s="4" t="n">
        <f aca="false">(C6-B6)*Assumptions!$B$23/100</f>
        <v>-35.130672</v>
      </c>
      <c r="D18" s="4" t="n">
        <f aca="false">(D6-C6)*Assumptions!$B$23/100</f>
        <v>-0</v>
      </c>
      <c r="E18" s="4" t="n">
        <f aca="false">(E6-D6)*Assumptions!$B$23/100</f>
        <v>-8.15812272000003</v>
      </c>
      <c r="F18" s="4" t="n">
        <f aca="false">(F6-E6)*Assumptions!$B$23/100</f>
        <v>-16.4794078944</v>
      </c>
      <c r="G18" s="4" t="n">
        <f aca="false">(G6-F6)*Assumptions!$B$23/100</f>
        <v>-21.01124506536</v>
      </c>
      <c r="H18" s="4" t="n">
        <f aca="false">(H6-G6)*Assumptions!$B$23/100</f>
        <v>-21.5365261919938</v>
      </c>
      <c r="I18" s="4" t="n">
        <f aca="false">(I6-H6)*Assumptions!$B$23/100</f>
        <v>-22.0749393467937</v>
      </c>
      <c r="J18" s="4" t="n">
        <f aca="false">(J6-I6)*Assumptions!$B$23/100</f>
        <v>-22.6268128304637</v>
      </c>
      <c r="K18" s="4" t="n">
        <f aca="false">(K6-J6)*Assumptions!$B$23/100</f>
        <v>-23.1924831512251</v>
      </c>
      <c r="L18" s="4" t="n">
        <f aca="false">(L6-K6)*Assumptions!$B$23/100</f>
        <v>-23.7722952300059</v>
      </c>
    </row>
    <row r="19" customFormat="false" ht="15" hidden="false" customHeight="false" outlineLevel="0" collapsed="false">
      <c r="A19" s="0" t="s">
        <v>130</v>
      </c>
      <c r="C19" s="0" t="n">
        <f aca="false">C15+C16+C17+C18</f>
        <v>960.16029984</v>
      </c>
      <c r="D19" s="0" t="n">
        <f aca="false">D15+D16+D17+D18</f>
        <v>872.91913104</v>
      </c>
      <c r="E19" s="0" t="n">
        <f aca="false">E15+E16+E17+E18</f>
        <v>811.6924200264</v>
      </c>
      <c r="F19" s="0" t="n">
        <f aca="false">F15+F16+F17+F18</f>
        <v>788.251278108888</v>
      </c>
      <c r="G19" s="0" t="n">
        <f aca="false">G15+G16+G17+G18</f>
        <v>803.83770808801</v>
      </c>
      <c r="H19" s="0" t="n">
        <f aca="false">H15+H16+H17+H18</f>
        <v>823.93365079021</v>
      </c>
      <c r="I19" s="0" t="n">
        <f aca="false">I15+I16+I17+I18</f>
        <v>844.531992059966</v>
      </c>
      <c r="J19" s="0" t="n">
        <f aca="false">J15+J16+J17+J18</f>
        <v>865.645291861465</v>
      </c>
      <c r="K19" s="0" t="n">
        <f aca="false">K15+K16+K17+K18</f>
        <v>887.286424158001</v>
      </c>
      <c r="L19" s="0" t="n">
        <f aca="false">L15+L16+L17+L18</f>
        <v>909.468584761951</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876.858721315069</v>
      </c>
      <c r="D21" s="0" t="n">
        <f aca="false">D19*D20</f>
        <v>728.024128804654</v>
      </c>
      <c r="E21" s="0" t="n">
        <f aca="false">E19*E20</f>
        <v>618.228657836547</v>
      </c>
      <c r="F21" s="0" t="n">
        <f aca="false">F19*F20</f>
        <v>548.287325858165</v>
      </c>
      <c r="G21" s="0" t="n">
        <f aca="false">G19*G20</f>
        <v>510.619950574269</v>
      </c>
      <c r="H21" s="0" t="n">
        <f aca="false">H19*H20</f>
        <v>477.977579304681</v>
      </c>
      <c r="I21" s="0" t="n">
        <f aca="false">I19*I20</f>
        <v>447.421934965569</v>
      </c>
      <c r="J21" s="0" t="n">
        <f aca="false">J19*J20</f>
        <v>418.819619488318</v>
      </c>
      <c r="K21" s="0" t="n">
        <f aca="false">K19*K20</f>
        <v>392.045762534727</v>
      </c>
      <c r="L21" s="0" t="n">
        <f aca="false">L19*L20</f>
        <v>366.983476345292</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9.5</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13</v>
      </c>
    </row>
    <row r="30" customFormat="false" ht="15" hidden="false" customHeight="false" outlineLevel="0" collapsed="false">
      <c r="A30" s="0" t="s">
        <v>135</v>
      </c>
      <c r="B30" s="0" t="n">
        <f aca="false">SUM(C21:L21)</f>
        <v>5385.26715702729</v>
      </c>
    </row>
    <row r="31" customFormat="false" ht="15" hidden="false" customHeight="false" outlineLevel="0" collapsed="false">
      <c r="A31" s="0" t="s">
        <v>136</v>
      </c>
      <c r="B31" s="0" t="n">
        <f aca="false">L19</f>
        <v>909.468584761951</v>
      </c>
    </row>
    <row r="32" customFormat="false" ht="15" hidden="false" customHeight="false" outlineLevel="0" collapsed="false">
      <c r="A32" s="0" t="s">
        <v>137</v>
      </c>
      <c r="B32" s="0" t="n">
        <f aca="false">IF(B27&gt;B28,B31*(1+B28/100)/((B27-B28)/100),B31*B29)</f>
        <v>12368.7727527625</v>
      </c>
    </row>
    <row r="33" customFormat="false" ht="15" hidden="false" customHeight="false" outlineLevel="0" collapsed="false">
      <c r="A33" s="0" t="s">
        <v>138</v>
      </c>
      <c r="B33" s="0" t="n">
        <f aca="false">B31*B29</f>
        <v>11823.0916019054</v>
      </c>
    </row>
    <row r="34" customFormat="false" ht="15" hidden="false" customHeight="false" outlineLevel="0" collapsed="false">
      <c r="A34" s="0" t="s">
        <v>139</v>
      </c>
      <c r="B34" s="0" t="n">
        <f aca="false">MAX(0,MIN(B32,B33))</f>
        <v>11823.0916019054</v>
      </c>
    </row>
    <row r="35" customFormat="false" ht="15" hidden="false" customHeight="false" outlineLevel="0" collapsed="false">
      <c r="A35" s="0" t="s">
        <v>140</v>
      </c>
      <c r="B35" s="0" t="n">
        <f aca="false">B34/(1+B27/100)^L4</f>
        <v>4770.7851924888</v>
      </c>
    </row>
    <row r="36" customFormat="false" ht="15" hidden="false" customHeight="false" outlineLevel="0" collapsed="false">
      <c r="A36" s="0" t="s">
        <v>141</v>
      </c>
      <c r="B36" s="0" t="n">
        <f aca="false">B30+B35</f>
        <v>10156.0523495161</v>
      </c>
    </row>
    <row r="37" customFormat="false" ht="15" hidden="false" customHeight="false" outlineLevel="0" collapsed="false">
      <c r="A37" s="0" t="s">
        <v>142</v>
      </c>
      <c r="B37" s="0" t="n">
        <f aca="false">B36+Assumptions!$B$5-Assumptions!$B$4</f>
        <v>11184.9883495161</v>
      </c>
    </row>
    <row r="38" customFormat="false" ht="15" hidden="false" customHeight="false" outlineLevel="0" collapsed="false">
      <c r="A38" s="0" t="s">
        <v>143</v>
      </c>
      <c r="B38" s="0" t="n">
        <f aca="false">B37/Assumptions!$B$3*Assumptions!$B$10</f>
        <v>94.0768794327296</v>
      </c>
    </row>
    <row r="39" customFormat="false" ht="15" hidden="false" customHeight="false" outlineLevel="0" collapsed="false">
      <c r="A39" s="0" t="s">
        <v>144</v>
      </c>
      <c r="B39" s="4" t="n">
        <f aca="false">B38/Assumptions!$B$2-1</f>
        <v>-0.595019890517737</v>
      </c>
    </row>
    <row r="41" customFormat="false" ht="15" hidden="false" customHeight="false" outlineLevel="0" collapsed="false">
      <c r="A41" s="0" t="s">
        <v>145</v>
      </c>
      <c r="B41" s="0" t="n">
        <f aca="false">SUMPRODUCT(-C10:L10/(1+$B$27/100)^C4:L4)</f>
        <v>1359.71253895737</v>
      </c>
    </row>
    <row r="42" customFormat="false" ht="15" hidden="false" customHeight="false" outlineLevel="0" collapsed="false">
      <c r="A42" s="0" t="s">
        <v>146</v>
      </c>
      <c r="B42" s="0" t="n">
        <f aca="false">IF(B27&gt;B28,-L10*(1+B28/100)/((B27-B28)/100),-L10*20)/(1+B27/100)^L4</f>
        <v>1337.18869770721</v>
      </c>
    </row>
    <row r="43" customFormat="false" ht="15" hidden="false" customHeight="false" outlineLevel="0" collapsed="false">
      <c r="A43" s="0" t="s">
        <v>147</v>
      </c>
      <c r="B43" s="0" t="n">
        <f aca="false">(B37+B41+B42)/Assumptions!$B$3*Assumptions!$B$10</f>
        <v>116.760501851939</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7135.83043428608</v>
      </c>
    </row>
    <row r="47" customFormat="false" ht="15" hidden="false" customHeight="false" outlineLevel="0" collapsed="false">
      <c r="A47" s="0" t="s">
        <v>149</v>
      </c>
      <c r="B47" s="0" t="n">
        <f aca="false">(SUMPRODUCT(C19:L19/(1+B45/100)^C4:L4)+B46/(1+B45/100)^L4+Assumptions!$B$5-Assumptions!$B$4)/Assumptions!$B$3*Assumptions!$B$10</f>
        <v>59.7645257431753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6</v>
      </c>
      <c r="D5" s="4" t="n">
        <f aca="false">Assumptions!D27</f>
        <v>5</v>
      </c>
      <c r="E5" s="4" t="n">
        <f aca="false">Assumptions!E27</f>
        <v>4.5</v>
      </c>
      <c r="F5" s="4" t="n">
        <f aca="false">Assumptions!F27</f>
        <v>4.5</v>
      </c>
      <c r="G5" s="4" t="n">
        <f aca="false">Assumptions!G27</f>
        <v>4</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37</v>
      </c>
      <c r="B6" s="3" t="n">
        <v>7806.816</v>
      </c>
      <c r="C6" s="0" t="n">
        <f aca="false">B6*(1+C5/100)</f>
        <v>8275.22496</v>
      </c>
      <c r="D6" s="0" t="n">
        <f aca="false">C6*(1+D5/100)</f>
        <v>8688.986208</v>
      </c>
      <c r="E6" s="0" t="n">
        <f aca="false">D6*(1+E5/100)</f>
        <v>9079.99058736</v>
      </c>
      <c r="F6" s="0" t="n">
        <f aca="false">E6*(1+F5/100)</f>
        <v>9488.5901637912</v>
      </c>
      <c r="G6" s="0" t="n">
        <f aca="false">F6*(1+G5/100)</f>
        <v>9868.13377034285</v>
      </c>
      <c r="H6" s="0" t="n">
        <f aca="false">G6*(1+H5/100)</f>
        <v>10262.8591211566</v>
      </c>
      <c r="I6" s="0" t="n">
        <f aca="false">H6*(1+I5/100)</f>
        <v>10622.059190397</v>
      </c>
      <c r="J6" s="0" t="n">
        <f aca="false">I6*(1+J5/100)</f>
        <v>10940.720966109</v>
      </c>
      <c r="K6" s="0" t="n">
        <f aca="false">J6*(1+K5/100)</f>
        <v>11268.9425950922</v>
      </c>
      <c r="L6" s="0" t="n">
        <f aca="false">K6*(1+L5/100)</f>
        <v>11607.010872945</v>
      </c>
    </row>
    <row r="7" customFormat="false" ht="15" hidden="false" customHeight="false" outlineLevel="0" collapsed="false">
      <c r="A7" s="0" t="s">
        <v>106</v>
      </c>
      <c r="C7" s="4" t="n">
        <f aca="false">Assumptions!C28</f>
        <v>22.5</v>
      </c>
      <c r="D7" s="4" t="n">
        <f aca="false">Assumptions!D28</f>
        <v>22.6</v>
      </c>
      <c r="E7" s="4" t="n">
        <f aca="false">Assumptions!E28</f>
        <v>22.7</v>
      </c>
      <c r="F7" s="4" t="n">
        <f aca="false">Assumptions!F28</f>
        <v>22.7</v>
      </c>
      <c r="G7" s="4" t="n">
        <f aca="false">Assumptions!G28</f>
        <v>22.7</v>
      </c>
      <c r="H7" s="4" t="n">
        <f aca="false">Assumptions!H28</f>
        <v>22.7</v>
      </c>
      <c r="I7" s="4" t="n">
        <f aca="false">Assumptions!I28</f>
        <v>22.7</v>
      </c>
      <c r="J7" s="4" t="n">
        <f aca="false">Assumptions!J28</f>
        <v>22.7</v>
      </c>
      <c r="K7" s="4" t="n">
        <f aca="false">Assumptions!K28</f>
        <v>22.7</v>
      </c>
      <c r="L7" s="4" t="n">
        <f aca="false">Assumptions!L28</f>
        <v>22.7</v>
      </c>
    </row>
    <row r="8" customFormat="false" ht="15" hidden="false" customHeight="false" outlineLevel="0" collapsed="false">
      <c r="A8" s="0" t="s">
        <v>43</v>
      </c>
      <c r="C8" s="0" t="n">
        <f aca="false">C6*C7/100</f>
        <v>1861.925616</v>
      </c>
      <c r="D8" s="0" t="n">
        <f aca="false">D6*D7/100</f>
        <v>1963.710883008</v>
      </c>
      <c r="E8" s="0" t="n">
        <f aca="false">E6*E7/100</f>
        <v>2061.15786333072</v>
      </c>
      <c r="F8" s="0" t="n">
        <f aca="false">F6*F7/100</f>
        <v>2153.9099671806</v>
      </c>
      <c r="G8" s="0" t="n">
        <f aca="false">G6*G7/100</f>
        <v>2240.06636586783</v>
      </c>
      <c r="H8" s="0" t="n">
        <f aca="false">H6*H7/100</f>
        <v>2329.66902050254</v>
      </c>
      <c r="I8" s="0" t="n">
        <f aca="false">I6*I7/100</f>
        <v>2411.20743622013</v>
      </c>
      <c r="J8" s="0" t="n">
        <f aca="false">J6*J7/100</f>
        <v>2483.54365930673</v>
      </c>
      <c r="K8" s="0" t="n">
        <f aca="false">K6*K7/100</f>
        <v>2558.04996908593</v>
      </c>
      <c r="L8" s="0" t="n">
        <f aca="false">L6*L7/100</f>
        <v>2634.79146815851</v>
      </c>
    </row>
    <row r="9" customFormat="false" ht="15" hidden="false" customHeight="false" outlineLevel="0" collapsed="false">
      <c r="A9" s="0" t="s">
        <v>107</v>
      </c>
      <c r="C9" s="4" t="n">
        <f aca="false">Assumptions!C29</f>
        <v>2.4</v>
      </c>
      <c r="D9" s="4" t="n">
        <f aca="false">Assumptions!D29</f>
        <v>2.35</v>
      </c>
      <c r="E9" s="4" t="n">
        <f aca="false">Assumptions!E29</f>
        <v>2.3</v>
      </c>
      <c r="F9" s="4" t="n">
        <f aca="false">Assumptions!F29</f>
        <v>2.25</v>
      </c>
      <c r="G9" s="4" t="n">
        <f aca="false">Assumptions!G29</f>
        <v>2.2</v>
      </c>
      <c r="H9" s="4" t="n">
        <f aca="false">Assumptions!H29</f>
        <v>2.15</v>
      </c>
      <c r="I9" s="4" t="n">
        <f aca="false">Assumptions!I29</f>
        <v>2.1</v>
      </c>
      <c r="J9" s="4" t="n">
        <f aca="false">Assumptions!J29</f>
        <v>2.1</v>
      </c>
      <c r="K9" s="4" t="n">
        <f aca="false">Assumptions!K29</f>
        <v>2.1</v>
      </c>
      <c r="L9" s="4" t="n">
        <f aca="false">Assumptions!L29</f>
        <v>2.1</v>
      </c>
    </row>
    <row r="10" customFormat="false" ht="15" hidden="false" customHeight="false" outlineLevel="0" collapsed="false">
      <c r="A10" s="0" t="s">
        <v>122</v>
      </c>
      <c r="C10" s="0" t="n">
        <f aca="false">-C6*C9/100</f>
        <v>-198.60539904</v>
      </c>
      <c r="D10" s="0" t="n">
        <f aca="false">-D6*D9/100</f>
        <v>-204.191175888</v>
      </c>
      <c r="E10" s="0" t="n">
        <f aca="false">-E6*E9/100</f>
        <v>-208.83978350928</v>
      </c>
      <c r="F10" s="0" t="n">
        <f aca="false">-F6*F9/100</f>
        <v>-213.493278685302</v>
      </c>
      <c r="G10" s="0" t="n">
        <f aca="false">-G6*G9/100</f>
        <v>-217.098942947543</v>
      </c>
      <c r="H10" s="0" t="n">
        <f aca="false">-H6*H9/100</f>
        <v>-220.651471104866</v>
      </c>
      <c r="I10" s="0" t="n">
        <f aca="false">-I6*I9/100</f>
        <v>-223.063242998338</v>
      </c>
      <c r="J10" s="0" t="n">
        <f aca="false">-J6*J9/100</f>
        <v>-229.755140288288</v>
      </c>
      <c r="K10" s="0" t="n">
        <f aca="false">-K6*K9/100</f>
        <v>-236.647794496937</v>
      </c>
      <c r="L10" s="0" t="n">
        <f aca="false">-L6*L9/100</f>
        <v>-243.747228331845</v>
      </c>
    </row>
    <row r="11" customFormat="false" ht="15" hidden="false" customHeight="false" outlineLevel="0" collapsed="false">
      <c r="A11" s="0" t="s">
        <v>123</v>
      </c>
      <c r="C11" s="0" t="n">
        <f aca="false">C8+C10+C24</f>
        <v>1663.32021696</v>
      </c>
      <c r="D11" s="0" t="n">
        <f aca="false">D8+D10+D24</f>
        <v>1759.51970712</v>
      </c>
      <c r="E11" s="0" t="n">
        <f aca="false">E8+E10+E24</f>
        <v>1852.31807982144</v>
      </c>
      <c r="F11" s="0" t="n">
        <f aca="false">F8+F10+F24</f>
        <v>1940.4166884953</v>
      </c>
      <c r="G11" s="0" t="n">
        <f aca="false">G8+G10+G24</f>
        <v>2022.96742292028</v>
      </c>
      <c r="H11" s="0" t="n">
        <f aca="false">H8+H10+H24</f>
        <v>2109.01754939767</v>
      </c>
      <c r="I11" s="0" t="n">
        <f aca="false">I8+I10+I24</f>
        <v>2188.14419322179</v>
      </c>
      <c r="J11" s="0" t="n">
        <f aca="false">J8+J10+J24</f>
        <v>2253.78851901844</v>
      </c>
      <c r="K11" s="0" t="n">
        <f aca="false">K8+K10+K24</f>
        <v>2321.402174589</v>
      </c>
      <c r="L11" s="0" t="n">
        <f aca="false">L8+L10+L24</f>
        <v>2391.04423982667</v>
      </c>
    </row>
    <row r="12" customFormat="false" ht="15" hidden="false" customHeight="false" outlineLevel="0" collapsed="false">
      <c r="A12" s="0" t="s">
        <v>124</v>
      </c>
      <c r="C12" s="4" t="n">
        <f aca="false">-C6*Assumptions!C31/100</f>
        <v>-248.2567488</v>
      </c>
      <c r="D12" s="4" t="n">
        <f aca="false">-D6*Assumptions!D31/100</f>
        <v>-260.66958624</v>
      </c>
      <c r="E12" s="4" t="n">
        <f aca="false">-E6*Assumptions!E31/100</f>
        <v>-272.3997176208</v>
      </c>
      <c r="F12" s="4" t="n">
        <f aca="false">-F6*Assumptions!F31/100</f>
        <v>-284.657704913736</v>
      </c>
      <c r="G12" s="4" t="n">
        <f aca="false">-G6*Assumptions!G31/100</f>
        <v>-296.044013110285</v>
      </c>
      <c r="H12" s="4" t="n">
        <f aca="false">-H6*Assumptions!H31/100</f>
        <v>-307.885773634697</v>
      </c>
      <c r="I12" s="4" t="n">
        <f aca="false">-I6*Assumptions!I31/100</f>
        <v>-318.661775711911</v>
      </c>
      <c r="J12" s="4" t="n">
        <f aca="false">-J6*Assumptions!J31/100</f>
        <v>-328.221628983269</v>
      </c>
      <c r="K12" s="4" t="n">
        <f aca="false">-K6*Assumptions!K31/100</f>
        <v>-338.068277852767</v>
      </c>
      <c r="L12" s="4" t="n">
        <f aca="false">-L6*Assumptions!L31/100</f>
        <v>-348.21032618835</v>
      </c>
    </row>
    <row r="13" customFormat="false" ht="15" hidden="false" customHeight="false" outlineLevel="0" collapsed="false">
      <c r="A13" s="0" t="s">
        <v>125</v>
      </c>
      <c r="C13" s="0" t="n">
        <f aca="false">C11+C12</f>
        <v>1415.06346816</v>
      </c>
      <c r="D13" s="0" t="n">
        <f aca="false">D11+D12</f>
        <v>1498.85012088</v>
      </c>
      <c r="E13" s="0" t="n">
        <f aca="false">E11+E12</f>
        <v>1579.91836220064</v>
      </c>
      <c r="F13" s="0" t="n">
        <f aca="false">F11+F12</f>
        <v>1655.75898358156</v>
      </c>
      <c r="G13" s="0" t="n">
        <f aca="false">G11+G12</f>
        <v>1726.92340981</v>
      </c>
      <c r="H13" s="0" t="n">
        <f aca="false">H11+H12</f>
        <v>1801.13177576298</v>
      </c>
      <c r="I13" s="0" t="n">
        <f aca="false">I11+I12</f>
        <v>1869.48241750988</v>
      </c>
      <c r="J13" s="0" t="n">
        <f aca="false">J11+J12</f>
        <v>1925.56689003517</v>
      </c>
      <c r="K13" s="0" t="n">
        <f aca="false">K11+K12</f>
        <v>1983.33389673623</v>
      </c>
      <c r="L13" s="0" t="n">
        <f aca="false">L11+L12</f>
        <v>2042.83391363832</v>
      </c>
    </row>
    <row r="14" customFormat="false" ht="15" hidden="false" customHeight="false" outlineLevel="0" collapsed="false">
      <c r="A14" s="0" t="s">
        <v>111</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126</v>
      </c>
      <c r="C15" s="0" t="n">
        <f aca="false">C13-MAX(0,C13)*C14/100</f>
        <v>1061.29760112</v>
      </c>
      <c r="D15" s="0" t="n">
        <f aca="false">D13-MAX(0,D13)*D14/100</f>
        <v>1124.13759066</v>
      </c>
      <c r="E15" s="0" t="n">
        <f aca="false">E13-MAX(0,E13)*E14/100</f>
        <v>1184.93877165048</v>
      </c>
      <c r="F15" s="0" t="n">
        <f aca="false">F13-MAX(0,F13)*F14/100</f>
        <v>1241.81923768617</v>
      </c>
      <c r="G15" s="0" t="n">
        <f aca="false">G13-MAX(0,G13)*G14/100</f>
        <v>1295.1925573575</v>
      </c>
      <c r="H15" s="0" t="n">
        <f aca="false">H13-MAX(0,H13)*H14/100</f>
        <v>1350.84883182223</v>
      </c>
      <c r="I15" s="0" t="n">
        <f aca="false">I13-MAX(0,I13)*I14/100</f>
        <v>1402.11181313241</v>
      </c>
      <c r="J15" s="0" t="n">
        <f aca="false">J13-MAX(0,J13)*J14/100</f>
        <v>1444.17516752638</v>
      </c>
      <c r="K15" s="0" t="n">
        <f aca="false">K13-MAX(0,K13)*K14/100</f>
        <v>1487.50042255217</v>
      </c>
      <c r="L15" s="0" t="n">
        <f aca="false">L13-MAX(0,L13)*L14/100</f>
        <v>1532.12543522874</v>
      </c>
    </row>
    <row r="16" customFormat="false" ht="15" hidden="false" customHeight="false" outlineLevel="0" collapsed="false">
      <c r="A16" s="0" t="s">
        <v>127</v>
      </c>
      <c r="C16" s="0" t="n">
        <f aca="false">-C12</f>
        <v>248.2567488</v>
      </c>
      <c r="D16" s="0" t="n">
        <f aca="false">-D12</f>
        <v>260.66958624</v>
      </c>
      <c r="E16" s="0" t="n">
        <f aca="false">-E12</f>
        <v>272.3997176208</v>
      </c>
      <c r="F16" s="0" t="n">
        <f aca="false">-F12</f>
        <v>284.657704913736</v>
      </c>
      <c r="G16" s="0" t="n">
        <f aca="false">-G12</f>
        <v>296.044013110285</v>
      </c>
      <c r="H16" s="0" t="n">
        <f aca="false">-H12</f>
        <v>307.885773634697</v>
      </c>
      <c r="I16" s="0" t="n">
        <f aca="false">-I12</f>
        <v>318.661775711911</v>
      </c>
      <c r="J16" s="0" t="n">
        <f aca="false">-J12</f>
        <v>328.221628983269</v>
      </c>
      <c r="K16" s="0" t="n">
        <f aca="false">-K12</f>
        <v>338.068277852767</v>
      </c>
      <c r="L16" s="0" t="n">
        <f aca="false">-L12</f>
        <v>348.21032618835</v>
      </c>
    </row>
    <row r="17" customFormat="false" ht="15" hidden="false" customHeight="false" outlineLevel="0" collapsed="false">
      <c r="A17" s="0" t="s">
        <v>128</v>
      </c>
      <c r="C17" s="4" t="n">
        <f aca="false">-C6*Assumptions!C32/100</f>
        <v>-273.08242368</v>
      </c>
      <c r="D17" s="4" t="n">
        <f aca="false">-D6*Assumptions!D32/100</f>
        <v>-286.736544864</v>
      </c>
      <c r="E17" s="4" t="n">
        <f aca="false">-E6*Assumptions!E32/100</f>
        <v>-299.63968938288</v>
      </c>
      <c r="F17" s="4" t="n">
        <f aca="false">-F6*Assumptions!F32/100</f>
        <v>-313.12347540511</v>
      </c>
      <c r="G17" s="4" t="n">
        <f aca="false">-G6*Assumptions!G32/100</f>
        <v>-325.648414421314</v>
      </c>
      <c r="H17" s="4" t="n">
        <f aca="false">-H6*Assumptions!H32/100</f>
        <v>-338.674350998166</v>
      </c>
      <c r="I17" s="4" t="n">
        <f aca="false">-I6*Assumptions!I32/100</f>
        <v>-350.527953283102</v>
      </c>
      <c r="J17" s="4" t="n">
        <f aca="false">-J6*Assumptions!J32/100</f>
        <v>-361.043791881595</v>
      </c>
      <c r="K17" s="4" t="n">
        <f aca="false">-K6*Assumptions!K32/100</f>
        <v>-371.875105638043</v>
      </c>
      <c r="L17" s="4" t="n">
        <f aca="false">-L6*Assumptions!L32/100</f>
        <v>-383.031358807185</v>
      </c>
    </row>
    <row r="18" customFormat="false" ht="15" hidden="false" customHeight="false" outlineLevel="0" collapsed="false">
      <c r="A18" s="0" t="s">
        <v>129</v>
      </c>
      <c r="C18" s="4" t="n">
        <f aca="false">(C6-B6)*Assumptions!$B$37/100</f>
        <v>-46.840896</v>
      </c>
      <c r="D18" s="4" t="n">
        <f aca="false">(D6-C6)*Assumptions!$B$37/100</f>
        <v>-41.3761248000001</v>
      </c>
      <c r="E18" s="4" t="n">
        <f aca="false">(E6-D6)*Assumptions!$B$37/100</f>
        <v>-39.100437936</v>
      </c>
      <c r="F18" s="4" t="n">
        <f aca="false">(F6-E6)*Assumptions!$B$37/100</f>
        <v>-40.8599576431199</v>
      </c>
      <c r="G18" s="4" t="n">
        <f aca="false">(G6-F6)*Assumptions!$B$37/100</f>
        <v>-37.9543606551648</v>
      </c>
      <c r="H18" s="4" t="n">
        <f aca="false">(H6-G6)*Assumptions!$B$37/100</f>
        <v>-39.4725350813715</v>
      </c>
      <c r="I18" s="4" t="n">
        <f aca="false">(I6-H6)*Assumptions!$B$37/100</f>
        <v>-35.9200069240478</v>
      </c>
      <c r="J18" s="4" t="n">
        <f aca="false">(J6-I6)*Assumptions!$B$37/100</f>
        <v>-31.8661775711911</v>
      </c>
      <c r="K18" s="4" t="n">
        <f aca="false">(K6-J6)*Assumptions!$B$37/100</f>
        <v>-32.8221628983269</v>
      </c>
      <c r="L18" s="4" t="n">
        <f aca="false">(L6-K6)*Assumptions!$B$37/100</f>
        <v>-33.8068277852766</v>
      </c>
    </row>
    <row r="19" customFormat="false" ht="15" hidden="false" customHeight="false" outlineLevel="0" collapsed="false">
      <c r="A19" s="0" t="s">
        <v>130</v>
      </c>
      <c r="C19" s="0" t="n">
        <f aca="false">C15+C16+C17+C18</f>
        <v>989.63103024</v>
      </c>
      <c r="D19" s="0" t="n">
        <f aca="false">D15+D16+D17+D18</f>
        <v>1056.694507236</v>
      </c>
      <c r="E19" s="0" t="n">
        <f aca="false">E15+E16+E17+E18</f>
        <v>1118.5983619524</v>
      </c>
      <c r="F19" s="0" t="n">
        <f aca="false">F15+F16+F17+F18</f>
        <v>1172.49350955168</v>
      </c>
      <c r="G19" s="0" t="n">
        <f aca="false">G15+G16+G17+G18</f>
        <v>1227.63379539131</v>
      </c>
      <c r="H19" s="0" t="n">
        <f aca="false">H15+H16+H17+H18</f>
        <v>1280.58771937739</v>
      </c>
      <c r="I19" s="0" t="n">
        <f aca="false">I15+I16+I17+I18</f>
        <v>1334.32562863717</v>
      </c>
      <c r="J19" s="0" t="n">
        <f aca="false">J15+J16+J17+J18</f>
        <v>1379.48682705686</v>
      </c>
      <c r="K19" s="0" t="n">
        <f aca="false">K15+K16+K17+K18</f>
        <v>1420.87143186857</v>
      </c>
      <c r="L19" s="0" t="n">
        <f aca="false">L15+L16+L17+L18</f>
        <v>1463.49757482463</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903.772630356164</v>
      </c>
      <c r="D21" s="0" t="n">
        <f aca="false">D19*D20</f>
        <v>881.29480806155</v>
      </c>
      <c r="E21" s="0" t="n">
        <f aca="false">E19*E20</f>
        <v>851.98475051116</v>
      </c>
      <c r="F21" s="0" t="n">
        <f aca="false">F19*F20</f>
        <v>815.556344520561</v>
      </c>
      <c r="G21" s="0" t="n">
        <f aca="false">G19*G20</f>
        <v>779.826949667529</v>
      </c>
      <c r="H21" s="0" t="n">
        <f aca="false">H19*H20</f>
        <v>742.890180062761</v>
      </c>
      <c r="I21" s="0" t="n">
        <f aca="false">I19*I20</f>
        <v>706.908157715595</v>
      </c>
      <c r="J21" s="0" t="n">
        <f aca="false">J19*J20</f>
        <v>667.428279722643</v>
      </c>
      <c r="K21" s="0" t="n">
        <f aca="false">K19*K20</f>
        <v>627.809249419473</v>
      </c>
      <c r="L21" s="0" t="n">
        <f aca="false">L19*L20</f>
        <v>590.542033700509</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9.5</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15</v>
      </c>
    </row>
    <row r="30" customFormat="false" ht="15" hidden="false" customHeight="false" outlineLevel="0" collapsed="false">
      <c r="A30" s="0" t="s">
        <v>135</v>
      </c>
      <c r="B30" s="0" t="n">
        <f aca="false">SUM(C21:L21)</f>
        <v>7568.01338373795</v>
      </c>
    </row>
    <row r="31" customFormat="false" ht="15" hidden="false" customHeight="false" outlineLevel="0" collapsed="false">
      <c r="A31" s="0" t="s">
        <v>136</v>
      </c>
      <c r="B31" s="0" t="n">
        <f aca="false">L19</f>
        <v>1463.49757482463</v>
      </c>
    </row>
    <row r="32" customFormat="false" ht="15" hidden="false" customHeight="false" outlineLevel="0" collapsed="false">
      <c r="A32" s="0" t="s">
        <v>137</v>
      </c>
      <c r="B32" s="0" t="n">
        <f aca="false">IF(B27&gt;B28,B31*(1+B28/100)/((B27-B28)/100),B31*B29)</f>
        <v>21429.7859170749</v>
      </c>
    </row>
    <row r="33" customFormat="false" ht="15" hidden="false" customHeight="false" outlineLevel="0" collapsed="false">
      <c r="A33" s="0" t="s">
        <v>138</v>
      </c>
      <c r="B33" s="0" t="n">
        <f aca="false">B31*B29</f>
        <v>21952.4636223694</v>
      </c>
    </row>
    <row r="34" customFormat="false" ht="15" hidden="false" customHeight="false" outlineLevel="0" collapsed="false">
      <c r="A34" s="0" t="s">
        <v>139</v>
      </c>
      <c r="B34" s="0" t="n">
        <f aca="false">MAX(0,MIN(B32,B33))</f>
        <v>21429.7859170749</v>
      </c>
    </row>
    <row r="35" customFormat="false" ht="15" hidden="false" customHeight="false" outlineLevel="0" collapsed="false">
      <c r="A35" s="0" t="s">
        <v>140</v>
      </c>
      <c r="B35" s="0" t="n">
        <f aca="false">B34/(1+B27/100)^L4</f>
        <v>8647.22263632887</v>
      </c>
    </row>
    <row r="36" customFormat="false" ht="15" hidden="false" customHeight="false" outlineLevel="0" collapsed="false">
      <c r="A36" s="0" t="s">
        <v>141</v>
      </c>
      <c r="B36" s="0" t="n">
        <f aca="false">B30+B35</f>
        <v>16215.2360200668</v>
      </c>
    </row>
    <row r="37" customFormat="false" ht="15" hidden="false" customHeight="false" outlineLevel="0" collapsed="false">
      <c r="A37" s="0" t="s">
        <v>142</v>
      </c>
      <c r="B37" s="0" t="n">
        <f aca="false">B36+Assumptions!$B$5-Assumptions!$B$4</f>
        <v>17244.1720200668</v>
      </c>
    </row>
    <row r="38" customFormat="false" ht="15" hidden="false" customHeight="false" outlineLevel="0" collapsed="false">
      <c r="A38" s="0" t="s">
        <v>143</v>
      </c>
      <c r="B38" s="0" t="n">
        <f aca="false">B37/Assumptions!$B$3*Assumptions!$B$10</f>
        <v>145.040642095909</v>
      </c>
    </row>
    <row r="39" customFormat="false" ht="15" hidden="false" customHeight="false" outlineLevel="0" collapsed="false">
      <c r="A39" s="0" t="s">
        <v>144</v>
      </c>
      <c r="B39" s="4" t="n">
        <f aca="false">B38/Assumptions!$B$2-1</f>
        <v>-0.375632190719289</v>
      </c>
    </row>
    <row r="41" customFormat="false" ht="15" hidden="false" customHeight="false" outlineLevel="0" collapsed="false">
      <c r="A41" s="0" t="s">
        <v>145</v>
      </c>
      <c r="B41" s="0" t="n">
        <f aca="false">SUMPRODUCT(-C10:L10/(1+$B$27/100)^C4:L4)</f>
        <v>1357.40212574259</v>
      </c>
    </row>
    <row r="42" customFormat="false" ht="15" hidden="false" customHeight="false" outlineLevel="0" collapsed="false">
      <c r="A42" s="0" t="s">
        <v>146</v>
      </c>
      <c r="B42" s="0" t="n">
        <f aca="false">IF(B27&gt;B28,-L10*(1+B28/100)/((B27-B28)/100),-L10*20)/(1+B27/100)^L4</f>
        <v>1440.20501750823</v>
      </c>
    </row>
    <row r="43" customFormat="false" ht="15" hidden="false" customHeight="false" outlineLevel="0" collapsed="false">
      <c r="A43" s="0" t="s">
        <v>147</v>
      </c>
      <c r="B43" s="0" t="n">
        <f aca="false">(B37+B41+B42)/Assumptions!$B$3*Assumptions!$B$10</f>
        <v>168.571301377028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12000.6801135619</v>
      </c>
    </row>
    <row r="47" customFormat="false" ht="15" hidden="false" customHeight="false" outlineLevel="0" collapsed="false">
      <c r="A47" s="0" t="s">
        <v>149</v>
      </c>
      <c r="B47" s="0" t="n">
        <f aca="false">(SUMPRODUCT(C19:L19/(1+B45/100)^C4:L4)+B46/(1+B45/100)^L4+Assumptions!$B$5-Assumptions!$B$4)/Assumptions!$B$3*Assumptions!$B$10</f>
        <v>83.6303011803224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7</v>
      </c>
      <c r="D5" s="4" t="n">
        <f aca="false">Assumptions!D41</f>
        <v>8.5</v>
      </c>
      <c r="E5" s="4" t="n">
        <f aca="false">Assumptions!E41</f>
        <v>8</v>
      </c>
      <c r="F5" s="4" t="n">
        <f aca="false">Assumptions!F41</f>
        <v>7</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37</v>
      </c>
      <c r="B6" s="3" t="n">
        <v>7806.816</v>
      </c>
      <c r="C6" s="0" t="n">
        <f aca="false">B6*(1+C5/100)</f>
        <v>8353.29312</v>
      </c>
      <c r="D6" s="0" t="n">
        <f aca="false">C6*(1+D5/100)</f>
        <v>9063.3230352</v>
      </c>
      <c r="E6" s="0" t="n">
        <f aca="false">D6*(1+E5/100)</f>
        <v>9788.388878016</v>
      </c>
      <c r="F6" s="0" t="n">
        <f aca="false">E6*(1+F5/100)</f>
        <v>10473.5760994771</v>
      </c>
      <c r="G6" s="0" t="n">
        <f aca="false">F6*(1+G5/100)</f>
        <v>11101.9906654457</v>
      </c>
      <c r="H6" s="0" t="n">
        <f aca="false">G6*(1+H5/100)</f>
        <v>11712.6001520453</v>
      </c>
      <c r="I6" s="0" t="n">
        <f aca="false">H6*(1+I5/100)</f>
        <v>12298.2301596475</v>
      </c>
      <c r="J6" s="0" t="n">
        <f aca="false">I6*(1+J5/100)</f>
        <v>12851.6505168317</v>
      </c>
      <c r="K6" s="0" t="n">
        <f aca="false">J6*(1+K5/100)</f>
        <v>13365.7165375049</v>
      </c>
      <c r="L6" s="0" t="n">
        <f aca="false">K6*(1+L5/100)</f>
        <v>13833.5166163176</v>
      </c>
    </row>
    <row r="7" customFormat="false" ht="15" hidden="false" customHeight="false" outlineLevel="0" collapsed="false">
      <c r="A7" s="0" t="s">
        <v>106</v>
      </c>
      <c r="C7" s="4" t="n">
        <f aca="false">Assumptions!C42</f>
        <v>22.8</v>
      </c>
      <c r="D7" s="4" t="n">
        <f aca="false">Assumptions!D42</f>
        <v>23.6</v>
      </c>
      <c r="E7" s="4" t="n">
        <f aca="false">Assumptions!E42</f>
        <v>24.3</v>
      </c>
      <c r="F7" s="4" t="n">
        <f aca="false">Assumptions!F42</f>
        <v>24.8</v>
      </c>
      <c r="G7" s="4" t="n">
        <f aca="false">Assumptions!G42</f>
        <v>25</v>
      </c>
      <c r="H7" s="4" t="n">
        <f aca="false">Assumptions!H42</f>
        <v>25</v>
      </c>
      <c r="I7" s="4" t="n">
        <f aca="false">Assumptions!I42</f>
        <v>25</v>
      </c>
      <c r="J7" s="4" t="n">
        <f aca="false">Assumptions!J42</f>
        <v>25</v>
      </c>
      <c r="K7" s="4" t="n">
        <f aca="false">Assumptions!K42</f>
        <v>25</v>
      </c>
      <c r="L7" s="4" t="n">
        <f aca="false">Assumptions!L42</f>
        <v>25</v>
      </c>
    </row>
    <row r="8" customFormat="false" ht="15" hidden="false" customHeight="false" outlineLevel="0" collapsed="false">
      <c r="A8" s="0" t="s">
        <v>43</v>
      </c>
      <c r="C8" s="0" t="n">
        <f aca="false">C6*C7/100</f>
        <v>1904.55083136</v>
      </c>
      <c r="D8" s="0" t="n">
        <f aca="false">D6*D7/100</f>
        <v>2138.9442363072</v>
      </c>
      <c r="E8" s="0" t="n">
        <f aca="false">E6*E7/100</f>
        <v>2378.57849735789</v>
      </c>
      <c r="F8" s="0" t="n">
        <f aca="false">F6*F7/100</f>
        <v>2597.44687267033</v>
      </c>
      <c r="G8" s="0" t="n">
        <f aca="false">G6*G7/100</f>
        <v>2775.49766636144</v>
      </c>
      <c r="H8" s="0" t="n">
        <f aca="false">H6*H7/100</f>
        <v>2928.15003801132</v>
      </c>
      <c r="I8" s="0" t="n">
        <f aca="false">I6*I7/100</f>
        <v>3074.55753991188</v>
      </c>
      <c r="J8" s="0" t="n">
        <f aca="false">J6*J7/100</f>
        <v>3212.91262920792</v>
      </c>
      <c r="K8" s="0" t="n">
        <f aca="false">K6*K7/100</f>
        <v>3341.42913437623</v>
      </c>
      <c r="L8" s="0" t="n">
        <f aca="false">L6*L7/100</f>
        <v>3458.3791540794</v>
      </c>
    </row>
    <row r="9" customFormat="false" ht="15" hidden="false" customHeight="false" outlineLevel="0" collapsed="false">
      <c r="A9" s="0" t="s">
        <v>107</v>
      </c>
      <c r="C9" s="4" t="n">
        <f aca="false">Assumptions!C43</f>
        <v>2.35</v>
      </c>
      <c r="D9" s="4" t="n">
        <f aca="false">Assumptions!D43</f>
        <v>2.3</v>
      </c>
      <c r="E9" s="4" t="n">
        <f aca="false">Assumptions!E43</f>
        <v>2.25</v>
      </c>
      <c r="F9" s="4" t="n">
        <f aca="false">Assumptions!F43</f>
        <v>2.2</v>
      </c>
      <c r="G9" s="4" t="n">
        <f aca="false">Assumptions!G43</f>
        <v>2.15</v>
      </c>
      <c r="H9" s="4" t="n">
        <f aca="false">Assumptions!H43</f>
        <v>2.1</v>
      </c>
      <c r="I9" s="4" t="n">
        <f aca="false">Assumptions!I43</f>
        <v>2.05</v>
      </c>
      <c r="J9" s="4" t="n">
        <f aca="false">Assumptions!J43</f>
        <v>2</v>
      </c>
      <c r="K9" s="4" t="n">
        <f aca="false">Assumptions!K43</f>
        <v>2</v>
      </c>
      <c r="L9" s="4" t="n">
        <f aca="false">Assumptions!L43</f>
        <v>2</v>
      </c>
    </row>
    <row r="10" customFormat="false" ht="15" hidden="false" customHeight="false" outlineLevel="0" collapsed="false">
      <c r="A10" s="0" t="s">
        <v>122</v>
      </c>
      <c r="C10" s="0" t="n">
        <f aca="false">-C6*C9/100</f>
        <v>-196.30238832</v>
      </c>
      <c r="D10" s="0" t="n">
        <f aca="false">-D6*D9/100</f>
        <v>-208.4564298096</v>
      </c>
      <c r="E10" s="0" t="n">
        <f aca="false">-E6*E9/100</f>
        <v>-220.23874975536</v>
      </c>
      <c r="F10" s="0" t="n">
        <f aca="false">-F6*F9/100</f>
        <v>-230.418674188497</v>
      </c>
      <c r="G10" s="0" t="n">
        <f aca="false">-G6*G9/100</f>
        <v>-238.692799307084</v>
      </c>
      <c r="H10" s="0" t="n">
        <f aca="false">-H6*H9/100</f>
        <v>-245.964603192951</v>
      </c>
      <c r="I10" s="0" t="n">
        <f aca="false">-I6*I9/100</f>
        <v>-252.113718272774</v>
      </c>
      <c r="J10" s="0" t="n">
        <f aca="false">-J6*J9/100</f>
        <v>-257.033010336633</v>
      </c>
      <c r="K10" s="0" t="n">
        <f aca="false">-K6*K9/100</f>
        <v>-267.314330750099</v>
      </c>
      <c r="L10" s="0" t="n">
        <f aca="false">-L6*L9/100</f>
        <v>-276.670332326352</v>
      </c>
    </row>
    <row r="11" customFormat="false" ht="15" hidden="false" customHeight="false" outlineLevel="0" collapsed="false">
      <c r="A11" s="0" t="s">
        <v>123</v>
      </c>
      <c r="C11" s="0" t="n">
        <f aca="false">C8+C10+C24</f>
        <v>1708.24844304</v>
      </c>
      <c r="D11" s="0" t="n">
        <f aca="false">D8+D10+D24</f>
        <v>1930.4878064976</v>
      </c>
      <c r="E11" s="0" t="n">
        <f aca="false">E8+E10+E24</f>
        <v>2158.33974760253</v>
      </c>
      <c r="F11" s="0" t="n">
        <f aca="false">F8+F10+F24</f>
        <v>2367.02819848183</v>
      </c>
      <c r="G11" s="0" t="n">
        <f aca="false">G8+G10+G24</f>
        <v>2536.80486705435</v>
      </c>
      <c r="H11" s="0" t="n">
        <f aca="false">H8+H10+H24</f>
        <v>2682.18543481837</v>
      </c>
      <c r="I11" s="0" t="n">
        <f aca="false">I8+I10+I24</f>
        <v>2822.44382163911</v>
      </c>
      <c r="J11" s="0" t="n">
        <f aca="false">J8+J10+J24</f>
        <v>2955.87961887128</v>
      </c>
      <c r="K11" s="0" t="n">
        <f aca="false">K8+K10+K24</f>
        <v>3074.11480362613</v>
      </c>
      <c r="L11" s="0" t="n">
        <f aca="false">L8+L10+L24</f>
        <v>3181.70882175305</v>
      </c>
    </row>
    <row r="12" customFormat="false" ht="15" hidden="false" customHeight="false" outlineLevel="0" collapsed="false">
      <c r="A12" s="0" t="s">
        <v>124</v>
      </c>
      <c r="C12" s="4" t="n">
        <f aca="false">-C6*Assumptions!C45/100</f>
        <v>-250.5987936</v>
      </c>
      <c r="D12" s="4" t="n">
        <f aca="false">-D6*Assumptions!D45/100</f>
        <v>-271.899691056</v>
      </c>
      <c r="E12" s="4" t="n">
        <f aca="false">-E6*Assumptions!E45/100</f>
        <v>-293.65166634048</v>
      </c>
      <c r="F12" s="4" t="n">
        <f aca="false">-F6*Assumptions!F45/100</f>
        <v>-314.207282984314</v>
      </c>
      <c r="G12" s="4" t="n">
        <f aca="false">-G6*Assumptions!G45/100</f>
        <v>-333.059719963372</v>
      </c>
      <c r="H12" s="4" t="n">
        <f aca="false">-H6*Assumptions!H45/100</f>
        <v>-351.378004561358</v>
      </c>
      <c r="I12" s="4" t="n">
        <f aca="false">-I6*Assumptions!I45/100</f>
        <v>-368.946904789426</v>
      </c>
      <c r="J12" s="4" t="n">
        <f aca="false">-J6*Assumptions!J45/100</f>
        <v>-385.54951550495</v>
      </c>
      <c r="K12" s="4" t="n">
        <f aca="false">-K6*Assumptions!K45/100</f>
        <v>-400.971496125148</v>
      </c>
      <c r="L12" s="4" t="n">
        <f aca="false">-L6*Assumptions!L45/100</f>
        <v>-415.005498489528</v>
      </c>
    </row>
    <row r="13" customFormat="false" ht="15" hidden="false" customHeight="false" outlineLevel="0" collapsed="false">
      <c r="A13" s="0" t="s">
        <v>125</v>
      </c>
      <c r="C13" s="0" t="n">
        <f aca="false">C11+C12</f>
        <v>1457.64964944</v>
      </c>
      <c r="D13" s="0" t="n">
        <f aca="false">D11+D12</f>
        <v>1658.5881154416</v>
      </c>
      <c r="E13" s="0" t="n">
        <f aca="false">E11+E12</f>
        <v>1864.68808126205</v>
      </c>
      <c r="F13" s="0" t="n">
        <f aca="false">F11+F12</f>
        <v>2052.82091549752</v>
      </c>
      <c r="G13" s="0" t="n">
        <f aca="false">G11+G12</f>
        <v>2203.74514709098</v>
      </c>
      <c r="H13" s="0" t="n">
        <f aca="false">H11+H12</f>
        <v>2330.80743025701</v>
      </c>
      <c r="I13" s="0" t="n">
        <f aca="false">I11+I12</f>
        <v>2453.49691684968</v>
      </c>
      <c r="J13" s="0" t="n">
        <f aca="false">J11+J12</f>
        <v>2570.33010336633</v>
      </c>
      <c r="K13" s="0" t="n">
        <f aca="false">K11+K12</f>
        <v>2673.14330750099</v>
      </c>
      <c r="L13" s="0" t="n">
        <f aca="false">L11+L12</f>
        <v>2766.70332326352</v>
      </c>
    </row>
    <row r="14" customFormat="false" ht="15" hidden="false" customHeight="false" outlineLevel="0" collapsed="false">
      <c r="A14" s="0" t="s">
        <v>111</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126</v>
      </c>
      <c r="C15" s="0" t="n">
        <f aca="false">C13-MAX(0,C13)*C14/100</f>
        <v>1093.23723708</v>
      </c>
      <c r="D15" s="0" t="n">
        <f aca="false">D13-MAX(0,D13)*D14/100</f>
        <v>1243.9410865812</v>
      </c>
      <c r="E15" s="0" t="n">
        <f aca="false">E13-MAX(0,E13)*E14/100</f>
        <v>1398.51606094654</v>
      </c>
      <c r="F15" s="0" t="n">
        <f aca="false">F13-MAX(0,F13)*F14/100</f>
        <v>1539.61568662314</v>
      </c>
      <c r="G15" s="0" t="n">
        <f aca="false">G13-MAX(0,G13)*G14/100</f>
        <v>1652.80886031824</v>
      </c>
      <c r="H15" s="0" t="n">
        <f aca="false">H13-MAX(0,H13)*H14/100</f>
        <v>1748.10557269276</v>
      </c>
      <c r="I15" s="0" t="n">
        <f aca="false">I13-MAX(0,I13)*I14/100</f>
        <v>1840.12268763726</v>
      </c>
      <c r="J15" s="0" t="n">
        <f aca="false">J13-MAX(0,J13)*J14/100</f>
        <v>1927.74757752475</v>
      </c>
      <c r="K15" s="0" t="n">
        <f aca="false">K13-MAX(0,K13)*K14/100</f>
        <v>2004.85748062574</v>
      </c>
      <c r="L15" s="0" t="n">
        <f aca="false">L13-MAX(0,L13)*L14/100</f>
        <v>2075.02749244764</v>
      </c>
    </row>
    <row r="16" customFormat="false" ht="15" hidden="false" customHeight="false" outlineLevel="0" collapsed="false">
      <c r="A16" s="0" t="s">
        <v>127</v>
      </c>
      <c r="C16" s="0" t="n">
        <f aca="false">-C12</f>
        <v>250.5987936</v>
      </c>
      <c r="D16" s="0" t="n">
        <f aca="false">-D12</f>
        <v>271.899691056</v>
      </c>
      <c r="E16" s="0" t="n">
        <f aca="false">-E12</f>
        <v>293.65166634048</v>
      </c>
      <c r="F16" s="0" t="n">
        <f aca="false">-F12</f>
        <v>314.207282984314</v>
      </c>
      <c r="G16" s="0" t="n">
        <f aca="false">-G12</f>
        <v>333.059719963372</v>
      </c>
      <c r="H16" s="0" t="n">
        <f aca="false">-H12</f>
        <v>351.378004561358</v>
      </c>
      <c r="I16" s="0" t="n">
        <f aca="false">-I12</f>
        <v>368.946904789426</v>
      </c>
      <c r="J16" s="0" t="n">
        <f aca="false">-J12</f>
        <v>385.54951550495</v>
      </c>
      <c r="K16" s="0" t="n">
        <f aca="false">-K12</f>
        <v>400.971496125148</v>
      </c>
      <c r="L16" s="0" t="n">
        <f aca="false">-L12</f>
        <v>415.005498489528</v>
      </c>
    </row>
    <row r="17" customFormat="false" ht="15" hidden="false" customHeight="false" outlineLevel="0" collapsed="false">
      <c r="A17" s="0" t="s">
        <v>128</v>
      </c>
      <c r="C17" s="4" t="n">
        <f aca="false">-C6*Assumptions!C46/100</f>
        <v>-284.01196608</v>
      </c>
      <c r="D17" s="4" t="n">
        <f aca="false">-D6*Assumptions!D46/100</f>
        <v>-308.1529831968</v>
      </c>
      <c r="E17" s="4" t="n">
        <f aca="false">-E6*Assumptions!E46/100</f>
        <v>-332.805221852544</v>
      </c>
      <c r="F17" s="4" t="n">
        <f aca="false">-F6*Assumptions!F46/100</f>
        <v>-356.101587382222</v>
      </c>
      <c r="G17" s="4" t="n">
        <f aca="false">-G6*Assumptions!G46/100</f>
        <v>-377.467682625155</v>
      </c>
      <c r="H17" s="4" t="n">
        <f aca="false">-H6*Assumptions!H46/100</f>
        <v>-398.228405169539</v>
      </c>
      <c r="I17" s="4" t="n">
        <f aca="false">-I6*Assumptions!I46/100</f>
        <v>-418.139825428016</v>
      </c>
      <c r="J17" s="4" t="n">
        <f aca="false">-J6*Assumptions!J46/100</f>
        <v>-436.956117572277</v>
      </c>
      <c r="K17" s="4" t="n">
        <f aca="false">-K6*Assumptions!K46/100</f>
        <v>-454.434362275168</v>
      </c>
      <c r="L17" s="4" t="n">
        <f aca="false">-L6*Assumptions!L46/100</f>
        <v>-470.339564954799</v>
      </c>
    </row>
    <row r="18" customFormat="false" ht="15" hidden="false" customHeight="false" outlineLevel="0" collapsed="false">
      <c r="A18" s="0" t="s">
        <v>129</v>
      </c>
      <c r="C18" s="4" t="n">
        <f aca="false">(C6-B6)*Assumptions!$B$51/100</f>
        <v>-54.6477120000001</v>
      </c>
      <c r="D18" s="4" t="n">
        <f aca="false">(D6-C6)*Assumptions!$B$51/100</f>
        <v>-71.0029915199999</v>
      </c>
      <c r="E18" s="4" t="n">
        <f aca="false">(E6-D6)*Assumptions!$B$51/100</f>
        <v>-72.5065842816</v>
      </c>
      <c r="F18" s="4" t="n">
        <f aca="false">(F6-E6)*Assumptions!$B$51/100</f>
        <v>-68.5187221461121</v>
      </c>
      <c r="G18" s="4" t="n">
        <f aca="false">(G6-F6)*Assumptions!$B$51/100</f>
        <v>-62.8414565968627</v>
      </c>
      <c r="H18" s="4" t="n">
        <f aca="false">(H6-G6)*Assumptions!$B$51/100</f>
        <v>-61.0609486599515</v>
      </c>
      <c r="I18" s="4" t="n">
        <f aca="false">(I6-H6)*Assumptions!$B$51/100</f>
        <v>-58.5630007602264</v>
      </c>
      <c r="J18" s="4" t="n">
        <f aca="false">(J6-I6)*Assumptions!$B$51/100</f>
        <v>-55.3420357184137</v>
      </c>
      <c r="K18" s="4" t="n">
        <f aca="false">(K6-J6)*Assumptions!$B$51/100</f>
        <v>-51.4066020673266</v>
      </c>
      <c r="L18" s="4" t="n">
        <f aca="false">(L6-K6)*Assumptions!$B$51/100</f>
        <v>-46.7800078812672</v>
      </c>
    </row>
    <row r="19" customFormat="false" ht="15" hidden="false" customHeight="false" outlineLevel="0" collapsed="false">
      <c r="A19" s="0" t="s">
        <v>130</v>
      </c>
      <c r="C19" s="0" t="n">
        <f aca="false">C15+C16+C17+C18</f>
        <v>1005.1763526</v>
      </c>
      <c r="D19" s="0" t="n">
        <f aca="false">D15+D16+D17+D18</f>
        <v>1136.6848029204</v>
      </c>
      <c r="E19" s="0" t="n">
        <f aca="false">E15+E16+E17+E18</f>
        <v>1286.85592115287</v>
      </c>
      <c r="F19" s="0" t="n">
        <f aca="false">F15+F16+F17+F18</f>
        <v>1429.20266007912</v>
      </c>
      <c r="G19" s="0" t="n">
        <f aca="false">G15+G16+G17+G18</f>
        <v>1545.55944105959</v>
      </c>
      <c r="H19" s="0" t="n">
        <f aca="false">H15+H16+H17+H18</f>
        <v>1640.19422342462</v>
      </c>
      <c r="I19" s="0" t="n">
        <f aca="false">I15+I16+I17+I18</f>
        <v>1732.36676623844</v>
      </c>
      <c r="J19" s="0" t="n">
        <f aca="false">J15+J16+J17+J18</f>
        <v>1820.99893973901</v>
      </c>
      <c r="K19" s="0" t="n">
        <f aca="false">K15+K16+K17+K18</f>
        <v>1899.98801240839</v>
      </c>
      <c r="L19" s="0" t="n">
        <f aca="false">L15+L16+L17+L18</f>
        <v>1972.9134181011</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917.969271780822</v>
      </c>
      <c r="D21" s="0" t="n">
        <f aca="false">D19*D20</f>
        <v>948.007591935448</v>
      </c>
      <c r="E21" s="0" t="n">
        <f aca="false">E19*E20</f>
        <v>980.138768497404</v>
      </c>
      <c r="F21" s="0" t="n">
        <f aca="false">F19*F20</f>
        <v>994.116630529468</v>
      </c>
      <c r="G21" s="0" t="n">
        <f aca="false">G19*G20</f>
        <v>981.782115298622</v>
      </c>
      <c r="H21" s="0" t="n">
        <f aca="false">H19*H20</f>
        <v>951.5038786802</v>
      </c>
      <c r="I21" s="0" t="n">
        <f aca="false">I19*I20</f>
        <v>917.785114013082</v>
      </c>
      <c r="J21" s="0" t="n">
        <f aca="false">J19*J20</f>
        <v>881.042258533046</v>
      </c>
      <c r="K21" s="0" t="n">
        <f aca="false">K19*K20</f>
        <v>839.505968817625</v>
      </c>
      <c r="L21" s="0" t="n">
        <f aca="false">L19*L20</f>
        <v>796.098553412404</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9.5</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16</v>
      </c>
    </row>
    <row r="30" customFormat="false" ht="15" hidden="false" customHeight="false" outlineLevel="0" collapsed="false">
      <c r="A30" s="0" t="s">
        <v>135</v>
      </c>
      <c r="B30" s="0" t="n">
        <f aca="false">SUM(C21:L21)</f>
        <v>9207.95015149812</v>
      </c>
    </row>
    <row r="31" customFormat="false" ht="15" hidden="false" customHeight="false" outlineLevel="0" collapsed="false">
      <c r="A31" s="0" t="s">
        <v>136</v>
      </c>
      <c r="B31" s="0" t="n">
        <f aca="false">L19</f>
        <v>1972.9134181011</v>
      </c>
    </row>
    <row r="32" customFormat="false" ht="15" hidden="false" customHeight="false" outlineLevel="0" collapsed="false">
      <c r="A32" s="0" t="s">
        <v>137</v>
      </c>
      <c r="B32" s="0" t="n">
        <f aca="false">IF(B27&gt;B28,B31*(1+B28/100)/((B27-B28)/100),B31*B29)</f>
        <v>31263.0895483713</v>
      </c>
    </row>
    <row r="33" customFormat="false" ht="15" hidden="false" customHeight="false" outlineLevel="0" collapsed="false">
      <c r="A33" s="0" t="s">
        <v>138</v>
      </c>
      <c r="B33" s="0" t="n">
        <f aca="false">B31*B29</f>
        <v>31566.6146896176</v>
      </c>
    </row>
    <row r="34" customFormat="false" ht="15" hidden="false" customHeight="false" outlineLevel="0" collapsed="false">
      <c r="A34" s="0" t="s">
        <v>139</v>
      </c>
      <c r="B34" s="0" t="n">
        <f aca="false">MAX(0,MIN(B32,B33))</f>
        <v>31263.0895483713</v>
      </c>
    </row>
    <row r="35" customFormat="false" ht="15" hidden="false" customHeight="false" outlineLevel="0" collapsed="false">
      <c r="A35" s="0" t="s">
        <v>140</v>
      </c>
      <c r="B35" s="0" t="n">
        <f aca="false">B34/(1+B27/100)^L4</f>
        <v>12615.1001540735</v>
      </c>
    </row>
    <row r="36" customFormat="false" ht="15" hidden="false" customHeight="false" outlineLevel="0" collapsed="false">
      <c r="A36" s="0" t="s">
        <v>141</v>
      </c>
      <c r="B36" s="0" t="n">
        <f aca="false">B30+B35</f>
        <v>21823.0503055716</v>
      </c>
    </row>
    <row r="37" customFormat="false" ht="15" hidden="false" customHeight="false" outlineLevel="0" collapsed="false">
      <c r="A37" s="0" t="s">
        <v>142</v>
      </c>
      <c r="B37" s="0" t="n">
        <f aca="false">B36+Assumptions!$B$5-Assumptions!$B$4</f>
        <v>22851.9863055716</v>
      </c>
    </row>
    <row r="38" customFormat="false" ht="15" hidden="false" customHeight="false" outlineLevel="0" collapsed="false">
      <c r="A38" s="0" t="s">
        <v>143</v>
      </c>
      <c r="B38" s="0" t="n">
        <f aca="false">B37/Assumptions!$B$3*Assumptions!$B$10</f>
        <v>192.207939184904</v>
      </c>
    </row>
    <row r="39" customFormat="false" ht="15" hidden="false" customHeight="false" outlineLevel="0" collapsed="false">
      <c r="A39" s="0" t="s">
        <v>144</v>
      </c>
      <c r="B39" s="4" t="n">
        <f aca="false">B38/Assumptions!$B$2-1</f>
        <v>-0.17258743355616</v>
      </c>
    </row>
    <row r="41" customFormat="false" ht="15" hidden="false" customHeight="false" outlineLevel="0" collapsed="false">
      <c r="A41" s="0" t="s">
        <v>145</v>
      </c>
      <c r="B41" s="0" t="n">
        <f aca="false">SUMPRODUCT(-C10:L10/(1+$B$27/100)^C4:L4)</f>
        <v>1463.13583253715</v>
      </c>
    </row>
    <row r="42" customFormat="false" ht="15" hidden="false" customHeight="false" outlineLevel="0" collapsed="false">
      <c r="A42" s="0" t="s">
        <v>146</v>
      </c>
      <c r="B42" s="0" t="n">
        <f aca="false">IF(B27&gt;B28,-L10*(1+B28/100)/((B27-B28)/100),-L10*20)/(1+B27/100)^L4</f>
        <v>1769.07101950627</v>
      </c>
    </row>
    <row r="43" customFormat="false" ht="15" hidden="false" customHeight="false" outlineLevel="0" collapsed="false">
      <c r="A43" s="0" t="s">
        <v>147</v>
      </c>
      <c r="B43" s="0" t="n">
        <f aca="false">(B37+B41+B42)/Assumptions!$B$3*Assumptions!$B$10</f>
        <v>219.394014379563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16934.1735053678</v>
      </c>
    </row>
    <row r="47" customFormat="false" ht="15" hidden="false" customHeight="false" outlineLevel="0" collapsed="false">
      <c r="A47" s="0" t="s">
        <v>149</v>
      </c>
      <c r="B47" s="0" t="n">
        <f aca="false">(SUMPRODUCT(C19:L19/(1+B45/100)^C4:L4)+B46/(1+B45/100)^L4+Assumptions!$B$5-Assumptions!$B$4)/Assumptions!$B$3*Assumptions!$B$10</f>
        <v>103.989194107413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94.0768794327296</v>
      </c>
      <c r="C4" s="0" t="n">
        <f aca="false">B4/Assumptions!$B$2-1</f>
        <v>-0.595019890517737</v>
      </c>
      <c r="D4" s="4" t="n">
        <f aca="false">Assumptions!$B$24</f>
        <v>0.25</v>
      </c>
      <c r="E4" s="4" t="n">
        <f aca="false">DCF_Bear!$B$43</f>
        <v>116.760501851939</v>
      </c>
      <c r="F4" s="4" t="n">
        <f aca="false">DCF_Bear!$B$47</f>
        <v>59.7645257431753</v>
      </c>
    </row>
    <row r="5" customFormat="false" ht="15" hidden="false" customHeight="false" outlineLevel="0" collapsed="false">
      <c r="A5" s="0" t="s">
        <v>158</v>
      </c>
      <c r="B5" s="4" t="n">
        <f aca="false">DCF_Base!$B$38</f>
        <v>145.040642095909</v>
      </c>
      <c r="C5" s="0" t="n">
        <f aca="false">B5/Assumptions!$B$2-1</f>
        <v>-0.375632190719289</v>
      </c>
      <c r="D5" s="4" t="n">
        <f aca="false">Assumptions!$B$38</f>
        <v>0.5</v>
      </c>
      <c r="E5" s="4" t="n">
        <f aca="false">DCF_Base!$B$43</f>
        <v>168.571301377028</v>
      </c>
      <c r="F5" s="4" t="n">
        <f aca="false">DCF_Base!$B$47</f>
        <v>83.6303011803224</v>
      </c>
    </row>
    <row r="6" customFormat="false" ht="15" hidden="false" customHeight="false" outlineLevel="0" collapsed="false">
      <c r="A6" s="0" t="s">
        <v>159</v>
      </c>
      <c r="B6" s="4" t="n">
        <f aca="false">DCF_Bull!$B$38</f>
        <v>192.207939184904</v>
      </c>
      <c r="C6" s="0" t="n">
        <f aca="false">B6/Assumptions!$B$2-1</f>
        <v>-0.17258743355616</v>
      </c>
      <c r="D6" s="4" t="n">
        <f aca="false">Assumptions!$B$52</f>
        <v>0.25</v>
      </c>
      <c r="E6" s="4" t="n">
        <f aca="false">DCF_Bull!$B$43</f>
        <v>219.394014379563</v>
      </c>
      <c r="F6" s="4" t="n">
        <f aca="false">DCF_Bull!$B$47</f>
        <v>103.989194107413</v>
      </c>
    </row>
    <row r="8" customFormat="false" ht="15" hidden="false" customHeight="false" outlineLevel="0" collapsed="false">
      <c r="A8" s="0" t="s">
        <v>160</v>
      </c>
      <c r="B8" s="0" t="n">
        <f aca="false">SUMPRODUCT(B4:B6,D4:D6)</f>
        <v>144.091525702363</v>
      </c>
    </row>
    <row r="9" customFormat="false" ht="15" hidden="false" customHeight="false" outlineLevel="0" collapsed="false">
      <c r="A9" s="0" t="s">
        <v>161</v>
      </c>
      <c r="B9" s="0" t="n">
        <f aca="false">SUMPRODUCT(E4:E6,D4:D6)</f>
        <v>168.32427974639</v>
      </c>
    </row>
    <row r="10" customFormat="false" ht="15" hidden="false" customHeight="false" outlineLevel="0" collapsed="false">
      <c r="A10" s="0" t="s">
        <v>162</v>
      </c>
      <c r="B10" s="0" t="n">
        <f aca="false">1-Assumptions!$B$2/B8</f>
        <v>-0.612169757157277</v>
      </c>
    </row>
    <row r="11" customFormat="false" ht="15" hidden="false" customHeight="false" outlineLevel="0" collapsed="false">
      <c r="A11" s="0" t="s">
        <v>163</v>
      </c>
      <c r="B11" s="0" t="n">
        <f aca="false">IF(ABS(B9-B8)&gt;0.01*ABS(B8),(Assumptions!$B$2-B8)/(B9-B8)*100,"n/a")</f>
        <v>364.005156563625</v>
      </c>
    </row>
    <row r="12" customFormat="false" ht="15" hidden="false" customHeight="false" outlineLevel="0" collapsed="false">
      <c r="A12" s="0" t="s">
        <v>164</v>
      </c>
      <c r="B12" s="0" t="n">
        <f aca="false">SUMPRODUCT(F4:F6,D4:D6)</f>
        <v>82.7535805528083</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151.815883045641</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145.040642095909</v>
      </c>
      <c r="C16" s="3" t="n">
        <v>9.5</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135.708592967849</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120.35399856124</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108.249814087728</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83.6303011803224</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168.281591281332</v>
      </c>
      <c r="C24" s="0" t="n">
        <f aca="false">(SUMPRODUCT(DCF_Base!$C$19:$L$19/(1+$A$24/100)^DCF_Base!$C$4:$L$4)+MAX(0,MIN(IF($A$24&gt;$C$23,DCF_Base!$L$19*(1+$C$23/100)/(($A$24-$C$23)/100),DCF_Base!$L$19*DCF_Base!$B$29),DCF_Base!$L$19*DCF_Base!$B$29))/(1+$A$24/100)^DCF_Base!$L$4+Assumptions!$B$5-Assumptions!$B$4)/Assumptions!$B$3*Assumptions!$B$10</f>
        <v>168.281591281332</v>
      </c>
      <c r="D24" s="0" t="n">
        <f aca="false">(SUMPRODUCT(DCF_Base!$C$19:$L$19/(1+$A$24/100)^DCF_Base!$C$4:$L$4)+MAX(0,MIN(IF($A$24&gt;$D$23,DCF_Base!$L$19*(1+$D$23/100)/(($A$24-$D$23)/100),DCF_Base!$L$19*DCF_Base!$B$29),DCF_Base!$L$19*DCF_Base!$B$29))/(1+$A$24/100)^DCF_Base!$L$4+Assumptions!$B$5-Assumptions!$B$4)/Assumptions!$B$3*Assumptions!$B$10</f>
        <v>168.281591281332</v>
      </c>
      <c r="E24" s="0" t="n">
        <f aca="false">(SUMPRODUCT(DCF_Base!$C$19:$L$19/(1+$A$24/100)^DCF_Base!$C$4:$L$4)+MAX(0,MIN(IF($A$24&gt;$E$23,DCF_Base!$L$19*(1+$E$23/100)/(($A$24-$E$23)/100),DCF_Base!$L$19*DCF_Base!$B$29),DCF_Base!$L$19*DCF_Base!$B$29))/(1+$A$24/100)^DCF_Base!$L$4+Assumptions!$B$5-Assumptions!$B$4)/Assumptions!$B$3*Assumptions!$B$10</f>
        <v>168.281591281332</v>
      </c>
      <c r="F24" s="0" t="n">
        <f aca="false">(SUMPRODUCT(DCF_Base!$C$19:$L$19/(1+$A$24/100)^DCF_Base!$C$4:$L$4)+MAX(0,MIN(IF($A$24&gt;$F$23,DCF_Base!$L$19*(1+$F$23/100)/(($A$24-$F$23)/100),DCF_Base!$L$19*DCF_Base!$B$29),DCF_Base!$L$19*DCF_Base!$B$29))/(1+$A$24/100)^DCF_Base!$L$4+Assumptions!$B$5-Assumptions!$B$4)/Assumptions!$B$3*Assumptions!$B$10</f>
        <v>168.281591281332</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154.330082059738</v>
      </c>
      <c r="C25" s="0" t="n">
        <f aca="false">(SUMPRODUCT(DCF_Base!$C$19:$L$19/(1+$A$25/100)^DCF_Base!$C$4:$L$4)+MAX(0,MIN(IF($A$25&gt;$C$23,DCF_Base!$L$19*(1+$C$23/100)/(($A$25-$C$23)/100),DCF_Base!$L$19*DCF_Base!$B$29),DCF_Base!$L$19*DCF_Base!$B$29))/(1+$A$25/100)^DCF_Base!$L$4+Assumptions!$B$5-Assumptions!$B$4)/Assumptions!$B$3*Assumptions!$B$10</f>
        <v>157.052231709364</v>
      </c>
      <c r="D25" s="0" t="n">
        <f aca="false">(SUMPRODUCT(DCF_Base!$C$19:$L$19/(1+$A$25/100)^DCF_Base!$C$4:$L$4)+MAX(0,MIN(IF($A$25&gt;$D$23,DCF_Base!$L$19*(1+$D$23/100)/(($A$25-$D$23)/100),DCF_Base!$L$19*DCF_Base!$B$29),DCF_Base!$L$19*DCF_Base!$B$29))/(1+$A$25/100)^DCF_Base!$L$4+Assumptions!$B$5-Assumptions!$B$4)/Assumptions!$B$3*Assumptions!$B$10</f>
        <v>157.052231709364</v>
      </c>
      <c r="E25" s="0" t="n">
        <f aca="false">(SUMPRODUCT(DCF_Base!$C$19:$L$19/(1+$A$25/100)^DCF_Base!$C$4:$L$4)+MAX(0,MIN(IF($A$25&gt;$E$23,DCF_Base!$L$19*(1+$E$23/100)/(($A$25-$E$23)/100),DCF_Base!$L$19*DCF_Base!$B$29),DCF_Base!$L$19*DCF_Base!$B$29))/(1+$A$25/100)^DCF_Base!$L$4+Assumptions!$B$5-Assumptions!$B$4)/Assumptions!$B$3*Assumptions!$B$10</f>
        <v>157.052231709364</v>
      </c>
      <c r="F25" s="0" t="n">
        <f aca="false">(SUMPRODUCT(DCF_Base!$C$19:$L$19/(1+$A$25/100)^DCF_Base!$C$4:$L$4)+MAX(0,MIN(IF($A$25&gt;$F$23,DCF_Base!$L$19*(1+$F$23/100)/(($A$25-$F$23)/100),DCF_Base!$L$19*DCF_Base!$B$29),DCF_Base!$L$19*DCF_Base!$B$29))/(1+$A$25/100)^DCF_Base!$L$4+Assumptions!$B$5-Assumptions!$B$4)/Assumptions!$B$3*Assumptions!$B$10</f>
        <v>157.052231709364</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135.328293209914</v>
      </c>
      <c r="C26" s="0" t="n">
        <f aca="false">(SUMPRODUCT(DCF_Base!$C$19:$L$19/(1+$A$26/100)^DCF_Base!$C$4:$L$4)+MAX(0,MIN(IF($A$26&gt;$C$23,DCF_Base!$L$19*(1+$C$23/100)/(($A$26-$C$23)/100),DCF_Base!$L$19*DCF_Base!$B$29),DCF_Base!$L$19*DCF_Base!$B$29))/(1+$A$26/100)^DCF_Base!$L$4+Assumptions!$B$5-Assumptions!$B$4)/Assumptions!$B$3*Assumptions!$B$10</f>
        <v>139.860722690045</v>
      </c>
      <c r="D26" s="0" t="n">
        <f aca="false">(SUMPRODUCT(DCF_Base!$C$19:$L$19/(1+$A$26/100)^DCF_Base!$C$4:$L$4)+MAX(0,MIN(IF($A$26&gt;$D$23,DCF_Base!$L$19*(1+$D$23/100)/(($A$26-$D$23)/100),DCF_Base!$L$19*DCF_Base!$B$29),DCF_Base!$L$19*DCF_Base!$B$29))/(1+$A$26/100)^DCF_Base!$L$4+Assumptions!$B$5-Assumptions!$B$4)/Assumptions!$B$3*Assumptions!$B$10</f>
        <v>145.040642095909</v>
      </c>
      <c r="E26" s="0" t="n">
        <f aca="false">(SUMPRODUCT(DCF_Base!$C$19:$L$19/(1+$A$26/100)^DCF_Base!$C$4:$L$4)+MAX(0,MIN(IF($A$26&gt;$E$23,DCF_Base!$L$19*(1+$E$23/100)/(($A$26-$E$23)/100),DCF_Base!$L$19*DCF_Base!$B$29),DCF_Base!$L$19*DCF_Base!$B$29))/(1+$A$26/100)^DCF_Base!$L$4+Assumptions!$B$5-Assumptions!$B$4)/Assumptions!$B$3*Assumptions!$B$10</f>
        <v>146.814587097917</v>
      </c>
      <c r="F26" s="0" t="n">
        <f aca="false">(SUMPRODUCT(DCF_Base!$C$19:$L$19/(1+$A$26/100)^DCF_Base!$C$4:$L$4)+MAX(0,MIN(IF($A$26&gt;$F$23,DCF_Base!$L$19*(1+$F$23/100)/(($A$26-$F$23)/100),DCF_Base!$L$19*DCF_Base!$B$29),DCF_Base!$L$19*DCF_Base!$B$29))/(1+$A$26/100)^DCF_Base!$L$4+Assumptions!$B$5-Assumptions!$B$4)/Assumptions!$B$3*Assumptions!$B$10</f>
        <v>146.814587097917</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120.588127811683</v>
      </c>
      <c r="C27" s="0" t="n">
        <f aca="false">(SUMPRODUCT(DCF_Base!$C$19:$L$19/(1+$A$27/100)^DCF_Base!$C$4:$L$4)+MAX(0,MIN(IF($A$27&gt;$C$23,DCF_Base!$L$19*(1+$C$23/100)/(($A$27-$C$23)/100),DCF_Base!$L$19*DCF_Base!$B$29),DCF_Base!$L$19*DCF_Base!$B$29))/(1+$A$27/100)^DCF_Base!$L$4+Assumptions!$B$5-Assumptions!$B$4)/Assumptions!$B$3*Assumptions!$B$10</f>
        <v>123.86370200817</v>
      </c>
      <c r="D27" s="0" t="n">
        <f aca="false">(SUMPRODUCT(DCF_Base!$C$19:$L$19/(1+$A$27/100)^DCF_Base!$C$4:$L$4)+MAX(0,MIN(IF($A$27&gt;$D$23,DCF_Base!$L$19*(1+$D$23/100)/(($A$27-$D$23)/100),DCF_Base!$L$19*DCF_Base!$B$29),DCF_Base!$L$19*DCF_Base!$B$29))/(1+$A$27/100)^DCF_Base!$L$4+Assumptions!$B$5-Assumptions!$B$4)/Assumptions!$B$3*Assumptions!$B$10</f>
        <v>127.548722979217</v>
      </c>
      <c r="E27" s="0" t="n">
        <f aca="false">(SUMPRODUCT(DCF_Base!$C$19:$L$19/(1+$A$27/100)^DCF_Base!$C$4:$L$4)+MAX(0,MIN(IF($A$27&gt;$E$23,DCF_Base!$L$19*(1+$E$23/100)/(($A$27-$E$23)/100),DCF_Base!$L$19*DCF_Base!$B$29),DCF_Base!$L$19*DCF_Base!$B$29))/(1+$A$27/100)^DCF_Base!$L$4+Assumptions!$B$5-Assumptions!$B$4)/Assumptions!$B$3*Assumptions!$B$10</f>
        <v>131.725080079737</v>
      </c>
      <c r="F27" s="0" t="n">
        <f aca="false">(SUMPRODUCT(DCF_Base!$C$19:$L$19/(1+$A$27/100)^DCF_Base!$C$4:$L$4)+MAX(0,MIN(IF($A$27&gt;$F$23,DCF_Base!$L$19*(1+$F$23/100)/(($A$27-$F$23)/100),DCF_Base!$L$19*DCF_Base!$B$29),DCF_Base!$L$19*DCF_Base!$B$29))/(1+$A$27/100)^DCF_Base!$L$4+Assumptions!$B$5-Assumptions!$B$4)/Assumptions!$B$3*Assumptions!$B$10</f>
        <v>136.498059623189</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108.828605998333</v>
      </c>
      <c r="C28" s="0" t="n">
        <f aca="false">(SUMPRODUCT(DCF_Base!$C$19:$L$19/(1+$A$28/100)^DCF_Base!$C$4:$L$4)+MAX(0,MIN(IF($A$28&gt;$C$23,DCF_Base!$L$19*(1+$C$23/100)/(($A$28-$C$23)/100),DCF_Base!$L$19*DCF_Base!$B$29),DCF_Base!$L$19*DCF_Base!$B$29))/(1+$A$28/100)^DCF_Base!$L$4+Assumptions!$B$5-Assumptions!$B$4)/Assumptions!$B$3*Assumptions!$B$10</f>
        <v>111.260877027092</v>
      </c>
      <c r="D28" s="0" t="n">
        <f aca="false">(SUMPRODUCT(DCF_Base!$C$19:$L$19/(1+$A$28/100)^DCF_Base!$C$4:$L$4)+MAX(0,MIN(IF($A$28&gt;$D$23,DCF_Base!$L$19*(1+$D$23/100)/(($A$28-$D$23)/100),DCF_Base!$L$19*DCF_Base!$B$29),DCF_Base!$L$19*DCF_Base!$B$29))/(1+$A$28/100)^DCF_Base!$L$4+Assumptions!$B$5-Assumptions!$B$4)/Assumptions!$B$3*Assumptions!$B$10</f>
        <v>113.963400392381</v>
      </c>
      <c r="E28" s="0" t="n">
        <f aca="false">(SUMPRODUCT(DCF_Base!$C$19:$L$19/(1+$A$28/100)^DCF_Base!$C$4:$L$4)+MAX(0,MIN(IF($A$28&gt;$E$23,DCF_Base!$L$19*(1+$E$23/100)/(($A$28-$E$23)/100),DCF_Base!$L$19*DCF_Base!$B$29),DCF_Base!$L$19*DCF_Base!$B$29))/(1+$A$28/100)^DCF_Base!$L$4+Assumptions!$B$5-Assumptions!$B$4)/Assumptions!$B$3*Assumptions!$B$10</f>
        <v>116.983867682998</v>
      </c>
      <c r="F28" s="0" t="n">
        <f aca="false">(SUMPRODUCT(DCF_Base!$C$19:$L$19/(1+$A$28/100)^DCF_Base!$C$4:$L$4)+MAX(0,MIN(IF($A$28&gt;$F$23,DCF_Base!$L$19*(1+$F$23/100)/(($A$28-$F$23)/100),DCF_Base!$L$19*DCF_Base!$B$29),DCF_Base!$L$19*DCF_Base!$B$29))/(1+$A$28/100)^DCF_Base!$L$4+Assumptions!$B$5-Assumptions!$B$4)/Assumptions!$B$3*Assumptions!$B$10</f>
        <v>120.381893384942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2026-10-02T21:58:11Z</dcterms:created>
  <dc:creator>openpyxl</dc:creator>
  <dc:description/>
  <dc:language>en-NZ</dc:language>
  <cp:lastModifiedBy/>
  <dcterms:modified xsi:type="dcterms:W3CDTF">2026-10-02T21:58:11Z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