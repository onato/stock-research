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Bull" sheetId="3" state="visible" r:id="rId3"/>
    <sheet xmlns:r="http://schemas.openxmlformats.org/officeDocument/2006/relationships" name="Bear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CWP.AX blended NTA / earnings model (AUD, millions)</t>
        </is>
      </c>
    </row>
    <row r="3">
      <c r="A3" t="inlineStr">
        <is>
          <t>Current price (AUD)</t>
        </is>
      </c>
      <c r="B3" t="n">
        <v>6.53</v>
      </c>
      <c r="D3" s="1" t="inlineStr">
        <is>
          <t>Historical June-close multiples</t>
        </is>
      </c>
    </row>
    <row r="4">
      <c r="A4" t="inlineStr">
        <is>
          <t>Diluted shares FY2026 (m)</t>
        </is>
      </c>
      <c r="B4" t="n">
        <v>85.504</v>
      </c>
      <c r="D4" t="inlineStr">
        <is>
          <t>FY</t>
        </is>
      </c>
      <c r="E4" t="inlineStr">
        <is>
          <t>P/B</t>
        </is>
      </c>
      <c r="F4" t="inlineStr">
        <is>
          <t>P/E</t>
        </is>
      </c>
    </row>
    <row r="5">
      <c r="A5" t="inlineStr">
        <is>
          <t>NTA at 30-Jun-2026 ($m)</t>
        </is>
      </c>
      <c r="B5" t="n">
        <v>540.2325999999999</v>
      </c>
      <c r="D5" t="inlineStr">
        <is>
          <t>FY2015</t>
        </is>
      </c>
      <c r="E5" t="n">
        <v>1.46</v>
      </c>
      <c r="F5" t="n">
        <v>9.699999999999999</v>
      </c>
    </row>
    <row r="6">
      <c r="A6" t="inlineStr">
        <is>
          <t>FY2026 NPAT ($m)</t>
        </is>
      </c>
      <c r="B6" t="n">
        <v>65.643</v>
      </c>
      <c r="D6" t="inlineStr">
        <is>
          <t>FY2016</t>
        </is>
      </c>
      <c r="E6" t="n">
        <v>1.19</v>
      </c>
      <c r="F6" t="n">
        <v>8.4</v>
      </c>
    </row>
    <row r="7">
      <c r="A7" t="inlineStr">
        <is>
          <t>FY2026 diluted EPS</t>
        </is>
      </c>
      <c r="B7" t="n">
        <v>0.768</v>
      </c>
      <c r="D7" t="inlineStr">
        <is>
          <t>FY2017</t>
        </is>
      </c>
      <c r="E7" t="n">
        <v>1.18</v>
      </c>
      <c r="F7" t="n">
        <v>8.5</v>
      </c>
    </row>
    <row r="8">
      <c r="A8" t="inlineStr">
        <is>
          <t>Dividend payout ratio</t>
        </is>
      </c>
      <c r="B8" t="n">
        <v>0.5</v>
      </c>
      <c r="D8" t="inlineStr">
        <is>
          <t>FY2018</t>
        </is>
      </c>
      <c r="E8" t="n">
        <v>1.38</v>
      </c>
      <c r="F8" t="n">
        <v>11.4</v>
      </c>
    </row>
    <row r="9">
      <c r="A9" t="inlineStr">
        <is>
          <t>Annual share growth</t>
        </is>
      </c>
      <c r="B9" t="n">
        <v>0.01</v>
      </c>
      <c r="D9" t="inlineStr">
        <is>
          <t>FY2019</t>
        </is>
      </c>
      <c r="E9" t="n">
        <v>1.37</v>
      </c>
      <c r="F9" t="n">
        <v>10.5</v>
      </c>
    </row>
    <row r="10">
      <c r="A10" t="inlineStr">
        <is>
          <t>Cost of equity</t>
        </is>
      </c>
      <c r="B10" t="n">
        <v>0.12</v>
      </c>
      <c r="D10" t="inlineStr">
        <is>
          <t>FY2020</t>
        </is>
      </c>
      <c r="E10" t="n">
        <v>1.09</v>
      </c>
      <c r="F10" t="n">
        <v>20</v>
      </c>
    </row>
    <row r="11">
      <c r="A11" t="inlineStr">
        <is>
          <t>Hurdle rate</t>
        </is>
      </c>
      <c r="B11" t="n">
        <v>0.15</v>
      </c>
      <c r="D11" t="inlineStr">
        <is>
          <t>FY2021</t>
        </is>
      </c>
      <c r="E11" t="n">
        <v>1.35</v>
      </c>
      <c r="F11" t="n">
        <v>16.3</v>
      </c>
    </row>
    <row r="12">
      <c r="A12" t="inlineStr">
        <is>
          <t>Weight bear</t>
        </is>
      </c>
      <c r="B12" t="n">
        <v>0.25</v>
      </c>
      <c r="D12" t="inlineStr">
        <is>
          <t>FY2022</t>
        </is>
      </c>
      <c r="E12" t="n">
        <v>0.82</v>
      </c>
      <c r="F12" t="n">
        <v>9.1</v>
      </c>
    </row>
    <row r="13">
      <c r="A13" t="inlineStr">
        <is>
          <t>Weight base</t>
        </is>
      </c>
      <c r="B13" t="n">
        <v>0.5</v>
      </c>
      <c r="D13" t="inlineStr">
        <is>
          <t>FY2023</t>
        </is>
      </c>
      <c r="E13" t="n">
        <v>0.97</v>
      </c>
      <c r="F13" t="n">
        <v>13.1</v>
      </c>
    </row>
    <row r="14">
      <c r="A14" t="inlineStr">
        <is>
          <t>Weight bull</t>
        </is>
      </c>
      <c r="B14" t="n">
        <v>0.25</v>
      </c>
      <c r="D14" t="inlineStr">
        <is>
          <t>FY2024</t>
        </is>
      </c>
      <c r="E14" t="n">
        <v>0.89</v>
      </c>
      <c r="F14" t="n">
        <v>10.1</v>
      </c>
    </row>
    <row r="15">
      <c r="D15" t="inlineStr">
        <is>
          <t>FY2025</t>
        </is>
      </c>
      <c r="E15" t="n">
        <v>1.26</v>
      </c>
      <c r="F15" t="n">
        <v>12.7</v>
      </c>
    </row>
    <row r="16">
      <c r="D16" t="inlineStr">
        <is>
          <t>FY2026</t>
        </is>
      </c>
      <c r="E16" t="n">
        <v>1.1</v>
      </c>
      <c r="F1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Base scenario</t>
        </is>
      </c>
    </row>
    <row r="2">
      <c r="A2" t="inlineStr">
        <is>
          <t>Exit P/B</t>
        </is>
      </c>
      <c r="B2" t="n">
        <v>1.1</v>
      </c>
    </row>
    <row r="3">
      <c r="A3" t="inlineStr">
        <is>
          <t>Exit P/E</t>
        </is>
      </c>
      <c r="B3" t="n">
        <v>10</v>
      </c>
    </row>
    <row r="4">
      <c r="A4" t="inlineStr">
        <is>
          <t>Cost of equity</t>
        </is>
      </c>
      <c r="B4">
        <f>Inputs!B10</f>
        <v/>
      </c>
    </row>
    <row r="5">
      <c r="A5" t="inlineStr">
        <is>
          <t>Hurdle rate</t>
        </is>
      </c>
      <c r="B5">
        <f>Inputs!B11</f>
        <v/>
      </c>
    </row>
    <row r="7">
      <c r="A7" s="1" t="inlineStr">
        <is>
          <t>Line</t>
        </is>
      </c>
      <c r="B7" s="1" t="inlineStr">
        <is>
          <t>FY2026</t>
        </is>
      </c>
      <c r="C7" s="1" t="inlineStr">
        <is>
          <t>FY2027</t>
        </is>
      </c>
      <c r="D7" s="1" t="inlineStr">
        <is>
          <t>FY2028</t>
        </is>
      </c>
      <c r="E7" s="1" t="inlineStr">
        <is>
          <t>FY2029</t>
        </is>
      </c>
      <c r="F7" s="1" t="inlineStr">
        <is>
          <t>FY2030</t>
        </is>
      </c>
      <c r="G7" s="1" t="inlineStr">
        <is>
          <t>FY2031</t>
        </is>
      </c>
    </row>
    <row r="8">
      <c r="A8" t="inlineStr">
        <is>
          <t>NPAT ($m)</t>
        </is>
      </c>
      <c r="B8">
        <f>Inputs!B6</f>
        <v/>
      </c>
      <c r="C8" t="n">
        <v>75.5</v>
      </c>
      <c r="D8" t="n">
        <v>72</v>
      </c>
      <c r="E8" t="n">
        <v>66</v>
      </c>
      <c r="F8" t="n">
        <v>64</v>
      </c>
      <c r="G8" t="n">
        <v>68</v>
      </c>
    </row>
    <row r="9">
      <c r="A9" t="inlineStr">
        <is>
          <t>Dividends ($m)</t>
        </is>
      </c>
      <c r="C9">
        <f>C8*Inputs!$B$8</f>
        <v/>
      </c>
      <c r="D9">
        <f>D8*Inputs!$B$8</f>
        <v/>
      </c>
      <c r="E9">
        <f>E8*Inputs!$B$8</f>
        <v/>
      </c>
      <c r="F9">
        <f>F8*Inputs!$B$8</f>
        <v/>
      </c>
      <c r="G9">
        <f>G8*Inputs!$B$8</f>
        <v/>
      </c>
    </row>
    <row r="10">
      <c r="A10" t="inlineStr">
        <is>
          <t>Shares (m)</t>
        </is>
      </c>
      <c r="B10">
        <f>Inputs!B4</f>
        <v/>
      </c>
      <c r="C10">
        <f>B10*(1+Inputs!$B$9)</f>
        <v/>
      </c>
      <c r="D10">
        <f>C10*(1+Inputs!$B$9)</f>
        <v/>
      </c>
      <c r="E10">
        <f>D10*(1+Inputs!$B$9)</f>
        <v/>
      </c>
      <c r="F10">
        <f>E10*(1+Inputs!$B$9)</f>
        <v/>
      </c>
      <c r="G10">
        <f>F10*(1+Inputs!$B$9)</f>
        <v/>
      </c>
    </row>
    <row r="11">
      <c r="A11" t="inlineStr">
        <is>
          <t>NTA ($m)</t>
        </is>
      </c>
      <c r="B11">
        <f>Inputs!B5</f>
        <v/>
      </c>
      <c r="C11">
        <f>B11+C8-C9</f>
        <v/>
      </c>
      <c r="D11">
        <f>C11+D8-D9</f>
        <v/>
      </c>
      <c r="E11">
        <f>D11+E8-E9</f>
        <v/>
      </c>
      <c r="F11">
        <f>E11+F8-F9</f>
        <v/>
      </c>
      <c r="G11">
        <f>F11+G8-G9</f>
        <v/>
      </c>
    </row>
    <row r="12">
      <c r="A12" t="inlineStr">
        <is>
          <t>NTA/share</t>
        </is>
      </c>
      <c r="B12">
        <f>B11/B10</f>
        <v/>
      </c>
      <c r="C12">
        <f>C11/C10</f>
        <v/>
      </c>
      <c r="D12">
        <f>D11/D10</f>
        <v/>
      </c>
      <c r="E12">
        <f>E11/E10</f>
        <v/>
      </c>
      <c r="F12">
        <f>F11/F10</f>
        <v/>
      </c>
      <c r="G12">
        <f>G11/G10</f>
        <v/>
      </c>
    </row>
    <row r="13">
      <c r="A13" t="inlineStr">
        <is>
          <t>DPS</t>
        </is>
      </c>
      <c r="C13">
        <f>C9/C10</f>
        <v/>
      </c>
      <c r="D13">
        <f>D9/D10</f>
        <v/>
      </c>
      <c r="E13">
        <f>E9/E10</f>
        <v/>
      </c>
      <c r="F13">
        <f>F9/F10</f>
        <v/>
      </c>
      <c r="G13">
        <f>G9/G10</f>
        <v/>
      </c>
    </row>
    <row r="14">
      <c r="A14" t="inlineStr">
        <is>
          <t>EPS</t>
        </is>
      </c>
      <c r="C14">
        <f>C8/C10</f>
        <v/>
      </c>
      <c r="D14">
        <f>D8/D10</f>
        <v/>
      </c>
      <c r="E14">
        <f>E8/E10</f>
        <v/>
      </c>
      <c r="F14">
        <f>F8/F10</f>
        <v/>
      </c>
      <c r="G14">
        <f>G8/G10</f>
        <v/>
      </c>
    </row>
    <row r="15">
      <c r="A15" t="inlineStr">
        <is>
          <t>Discount factor @CoE</t>
        </is>
      </c>
      <c r="C15">
        <f>1/(1+$B$4)^1</f>
        <v/>
      </c>
      <c r="D15">
        <f>1/(1+$B$4)^2</f>
        <v/>
      </c>
      <c r="E15">
        <f>1/(1+$B$4)^3</f>
        <v/>
      </c>
      <c r="F15">
        <f>1/(1+$B$4)^4</f>
        <v/>
      </c>
      <c r="G15">
        <f>1/(1+$B$4)^5</f>
        <v/>
      </c>
    </row>
    <row r="16">
      <c r="A16" t="inlineStr">
        <is>
          <t>PV DPS @CoE</t>
        </is>
      </c>
      <c r="C16">
        <f>C13*C15</f>
        <v/>
      </c>
      <c r="D16">
        <f>D13*D15</f>
        <v/>
      </c>
      <c r="E16">
        <f>E13*E15</f>
        <v/>
      </c>
      <c r="F16">
        <f>F13*F15</f>
        <v/>
      </c>
      <c r="G16">
        <f>G13*G15</f>
        <v/>
      </c>
    </row>
    <row r="17">
      <c r="A17" t="inlineStr">
        <is>
          <t>Discount factor @hurdle</t>
        </is>
      </c>
      <c r="C17">
        <f>1/(1+$B$5)^1</f>
        <v/>
      </c>
      <c r="D17">
        <f>1/(1+$B$5)^2</f>
        <v/>
      </c>
      <c r="E17">
        <f>1/(1+$B$5)^3</f>
        <v/>
      </c>
      <c r="F17">
        <f>1/(1+$B$5)^4</f>
        <v/>
      </c>
      <c r="G17">
        <f>1/(1+$B$5)^5</f>
        <v/>
      </c>
    </row>
    <row r="18">
      <c r="A18" t="inlineStr">
        <is>
          <t>PV DPS @hurdle</t>
        </is>
      </c>
      <c r="C18">
        <f>C13*C17</f>
        <v/>
      </c>
      <c r="D18">
        <f>D13*D17</f>
        <v/>
      </c>
      <c r="E18">
        <f>E13*E17</f>
        <v/>
      </c>
      <c r="F18">
        <f>F13*F17</f>
        <v/>
      </c>
      <c r="G18">
        <f>G13*G17</f>
        <v/>
      </c>
    </row>
    <row r="20">
      <c r="A20" t="inlineStr">
        <is>
          <t>Sum PV dividends/share @CoE</t>
        </is>
      </c>
      <c r="B20">
        <f>SUM(C16:G16)</f>
        <v/>
      </c>
    </row>
    <row r="21">
      <c r="A21" t="inlineStr">
        <is>
          <t>NTA exit value/share (Y5 NTA/share x P/B)</t>
        </is>
      </c>
      <c r="B21">
        <f>G12*B2</f>
        <v/>
      </c>
    </row>
    <row r="22">
      <c r="A22" t="inlineStr">
        <is>
          <t>Earnings exit value/share (Y5 NPAT x P/E / shares)</t>
        </is>
      </c>
      <c r="B22">
        <f>G8*B3/G10</f>
        <v/>
      </c>
    </row>
    <row r="23">
      <c r="A23" t="inlineStr">
        <is>
          <t>NTA leg IV</t>
        </is>
      </c>
      <c r="B23">
        <f>B21*G15+B20</f>
        <v/>
      </c>
    </row>
    <row r="24">
      <c r="A24" t="inlineStr">
        <is>
          <t>Earnings leg IV</t>
        </is>
      </c>
      <c r="B24">
        <f>B22*G15+B20</f>
        <v/>
      </c>
    </row>
    <row r="25">
      <c r="A25" t="inlineStr">
        <is>
          <t>Blended intrinsic value (50/50)</t>
        </is>
      </c>
      <c r="B25">
        <f>0.5*B23+0.5*B24</f>
        <v/>
      </c>
    </row>
    <row r="26">
      <c r="A26" t="inlineStr">
        <is>
          <t>Upside vs price</t>
        </is>
      </c>
      <c r="B26">
        <f>B25/Inputs!B3-1</f>
        <v/>
      </c>
    </row>
    <row r="27">
      <c r="A27" t="inlineStr">
        <is>
          <t>Sum PV dividends/share @hurdle</t>
        </is>
      </c>
      <c r="B27">
        <f>SUM(C18:G18)</f>
        <v/>
      </c>
    </row>
    <row r="28">
      <c r="A28" t="inlineStr">
        <is>
          <t>Entry price @hurdle (blended)</t>
        </is>
      </c>
      <c r="B28">
        <f>(0.5*B21+0.5*B22)*G17+B27</f>
        <v/>
      </c>
    </row>
    <row r="29">
      <c r="A29" t="inlineStr">
        <is>
          <t>Entry discount vs price</t>
        </is>
      </c>
      <c r="B29">
        <f>B28/Inputs!B3-1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Bull scenario</t>
        </is>
      </c>
    </row>
    <row r="2">
      <c r="A2" t="inlineStr">
        <is>
          <t>Exit P/B</t>
        </is>
      </c>
      <c r="B2" t="n">
        <v>1.3</v>
      </c>
    </row>
    <row r="3">
      <c r="A3" t="inlineStr">
        <is>
          <t>Exit P/E</t>
        </is>
      </c>
      <c r="B3" t="n">
        <v>11.5</v>
      </c>
    </row>
    <row r="4">
      <c r="A4" t="inlineStr">
        <is>
          <t>Cost of equity</t>
        </is>
      </c>
      <c r="B4">
        <f>Inputs!B10</f>
        <v/>
      </c>
    </row>
    <row r="5">
      <c r="A5" t="inlineStr">
        <is>
          <t>Hurdle rate</t>
        </is>
      </c>
      <c r="B5">
        <f>Inputs!B11</f>
        <v/>
      </c>
    </row>
    <row r="7">
      <c r="A7" s="1" t="inlineStr">
        <is>
          <t>Line</t>
        </is>
      </c>
      <c r="B7" s="1" t="inlineStr">
        <is>
          <t>FY2026</t>
        </is>
      </c>
      <c r="C7" s="1" t="inlineStr">
        <is>
          <t>FY2027</t>
        </is>
      </c>
      <c r="D7" s="1" t="inlineStr">
        <is>
          <t>FY2028</t>
        </is>
      </c>
      <c r="E7" s="1" t="inlineStr">
        <is>
          <t>FY2029</t>
        </is>
      </c>
      <c r="F7" s="1" t="inlineStr">
        <is>
          <t>FY2030</t>
        </is>
      </c>
      <c r="G7" s="1" t="inlineStr">
        <is>
          <t>FY2031</t>
        </is>
      </c>
    </row>
    <row r="8">
      <c r="A8" t="inlineStr">
        <is>
          <t>NPAT ($m)</t>
        </is>
      </c>
      <c r="B8">
        <f>Inputs!B6</f>
        <v/>
      </c>
      <c r="C8" t="n">
        <v>78</v>
      </c>
      <c r="D8" t="n">
        <v>82</v>
      </c>
      <c r="E8" t="n">
        <v>86</v>
      </c>
      <c r="F8" t="n">
        <v>90</v>
      </c>
      <c r="G8" t="n">
        <v>94</v>
      </c>
    </row>
    <row r="9">
      <c r="A9" t="inlineStr">
        <is>
          <t>Dividends ($m)</t>
        </is>
      </c>
      <c r="C9">
        <f>C8*Inputs!$B$8</f>
        <v/>
      </c>
      <c r="D9">
        <f>D8*Inputs!$B$8</f>
        <v/>
      </c>
      <c r="E9">
        <f>E8*Inputs!$B$8</f>
        <v/>
      </c>
      <c r="F9">
        <f>F8*Inputs!$B$8</f>
        <v/>
      </c>
      <c r="G9">
        <f>G8*Inputs!$B$8</f>
        <v/>
      </c>
    </row>
    <row r="10">
      <c r="A10" t="inlineStr">
        <is>
          <t>Shares (m)</t>
        </is>
      </c>
      <c r="B10">
        <f>Inputs!B4</f>
        <v/>
      </c>
      <c r="C10">
        <f>B10*(1+Inputs!$B$9)</f>
        <v/>
      </c>
      <c r="D10">
        <f>C10*(1+Inputs!$B$9)</f>
        <v/>
      </c>
      <c r="E10">
        <f>D10*(1+Inputs!$B$9)</f>
        <v/>
      </c>
      <c r="F10">
        <f>E10*(1+Inputs!$B$9)</f>
        <v/>
      </c>
      <c r="G10">
        <f>F10*(1+Inputs!$B$9)</f>
        <v/>
      </c>
    </row>
    <row r="11">
      <c r="A11" t="inlineStr">
        <is>
          <t>NTA ($m)</t>
        </is>
      </c>
      <c r="B11">
        <f>Inputs!B5</f>
        <v/>
      </c>
      <c r="C11">
        <f>B11+C8-C9</f>
        <v/>
      </c>
      <c r="D11">
        <f>C11+D8-D9</f>
        <v/>
      </c>
      <c r="E11">
        <f>D11+E8-E9</f>
        <v/>
      </c>
      <c r="F11">
        <f>E11+F8-F9</f>
        <v/>
      </c>
      <c r="G11">
        <f>F11+G8-G9</f>
        <v/>
      </c>
    </row>
    <row r="12">
      <c r="A12" t="inlineStr">
        <is>
          <t>NTA/share</t>
        </is>
      </c>
      <c r="B12">
        <f>B11/B10</f>
        <v/>
      </c>
      <c r="C12">
        <f>C11/C10</f>
        <v/>
      </c>
      <c r="D12">
        <f>D11/D10</f>
        <v/>
      </c>
      <c r="E12">
        <f>E11/E10</f>
        <v/>
      </c>
      <c r="F12">
        <f>F11/F10</f>
        <v/>
      </c>
      <c r="G12">
        <f>G11/G10</f>
        <v/>
      </c>
    </row>
    <row r="13">
      <c r="A13" t="inlineStr">
        <is>
          <t>DPS</t>
        </is>
      </c>
      <c r="C13">
        <f>C9/C10</f>
        <v/>
      </c>
      <c r="D13">
        <f>D9/D10</f>
        <v/>
      </c>
      <c r="E13">
        <f>E9/E10</f>
        <v/>
      </c>
      <c r="F13">
        <f>F9/F10</f>
        <v/>
      </c>
      <c r="G13">
        <f>G9/G10</f>
        <v/>
      </c>
    </row>
    <row r="14">
      <c r="A14" t="inlineStr">
        <is>
          <t>EPS</t>
        </is>
      </c>
      <c r="C14">
        <f>C8/C10</f>
        <v/>
      </c>
      <c r="D14">
        <f>D8/D10</f>
        <v/>
      </c>
      <c r="E14">
        <f>E8/E10</f>
        <v/>
      </c>
      <c r="F14">
        <f>F8/F10</f>
        <v/>
      </c>
      <c r="G14">
        <f>G8/G10</f>
        <v/>
      </c>
    </row>
    <row r="15">
      <c r="A15" t="inlineStr">
        <is>
          <t>Discount factor @CoE</t>
        </is>
      </c>
      <c r="C15">
        <f>1/(1+$B$4)^1</f>
        <v/>
      </c>
      <c r="D15">
        <f>1/(1+$B$4)^2</f>
        <v/>
      </c>
      <c r="E15">
        <f>1/(1+$B$4)^3</f>
        <v/>
      </c>
      <c r="F15">
        <f>1/(1+$B$4)^4</f>
        <v/>
      </c>
      <c r="G15">
        <f>1/(1+$B$4)^5</f>
        <v/>
      </c>
    </row>
    <row r="16">
      <c r="A16" t="inlineStr">
        <is>
          <t>PV DPS @CoE</t>
        </is>
      </c>
      <c r="C16">
        <f>C13*C15</f>
        <v/>
      </c>
      <c r="D16">
        <f>D13*D15</f>
        <v/>
      </c>
      <c r="E16">
        <f>E13*E15</f>
        <v/>
      </c>
      <c r="F16">
        <f>F13*F15</f>
        <v/>
      </c>
      <c r="G16">
        <f>G13*G15</f>
        <v/>
      </c>
    </row>
    <row r="17">
      <c r="A17" t="inlineStr">
        <is>
          <t>Discount factor @hurdle</t>
        </is>
      </c>
      <c r="C17">
        <f>1/(1+$B$5)^1</f>
        <v/>
      </c>
      <c r="D17">
        <f>1/(1+$B$5)^2</f>
        <v/>
      </c>
      <c r="E17">
        <f>1/(1+$B$5)^3</f>
        <v/>
      </c>
      <c r="F17">
        <f>1/(1+$B$5)^4</f>
        <v/>
      </c>
      <c r="G17">
        <f>1/(1+$B$5)^5</f>
        <v/>
      </c>
    </row>
    <row r="18">
      <c r="A18" t="inlineStr">
        <is>
          <t>PV DPS @hurdle</t>
        </is>
      </c>
      <c r="C18">
        <f>C13*C17</f>
        <v/>
      </c>
      <c r="D18">
        <f>D13*D17</f>
        <v/>
      </c>
      <c r="E18">
        <f>E13*E17</f>
        <v/>
      </c>
      <c r="F18">
        <f>F13*F17</f>
        <v/>
      </c>
      <c r="G18">
        <f>G13*G17</f>
        <v/>
      </c>
    </row>
    <row r="20">
      <c r="A20" t="inlineStr">
        <is>
          <t>Sum PV dividends/share @CoE</t>
        </is>
      </c>
      <c r="B20">
        <f>SUM(C16:G16)</f>
        <v/>
      </c>
    </row>
    <row r="21">
      <c r="A21" t="inlineStr">
        <is>
          <t>NTA exit value/share (Y5 NTA/share x P/B)</t>
        </is>
      </c>
      <c r="B21">
        <f>G12*B2</f>
        <v/>
      </c>
    </row>
    <row r="22">
      <c r="A22" t="inlineStr">
        <is>
          <t>Earnings exit value/share (Y5 NPAT x P/E / shares)</t>
        </is>
      </c>
      <c r="B22">
        <f>G8*B3/G10</f>
        <v/>
      </c>
    </row>
    <row r="23">
      <c r="A23" t="inlineStr">
        <is>
          <t>NTA leg IV</t>
        </is>
      </c>
      <c r="B23">
        <f>B21*G15+B20</f>
        <v/>
      </c>
    </row>
    <row r="24">
      <c r="A24" t="inlineStr">
        <is>
          <t>Earnings leg IV</t>
        </is>
      </c>
      <c r="B24">
        <f>B22*G15+B20</f>
        <v/>
      </c>
    </row>
    <row r="25">
      <c r="A25" t="inlineStr">
        <is>
          <t>Blended intrinsic value (50/50)</t>
        </is>
      </c>
      <c r="B25">
        <f>0.5*B23+0.5*B24</f>
        <v/>
      </c>
    </row>
    <row r="26">
      <c r="A26" t="inlineStr">
        <is>
          <t>Upside vs price</t>
        </is>
      </c>
      <c r="B26">
        <f>B25/Inputs!B3-1</f>
        <v/>
      </c>
    </row>
    <row r="27">
      <c r="A27" t="inlineStr">
        <is>
          <t>Sum PV dividends/share @hurdle</t>
        </is>
      </c>
      <c r="B27">
        <f>SUM(C18:G18)</f>
        <v/>
      </c>
    </row>
    <row r="28">
      <c r="A28" t="inlineStr">
        <is>
          <t>Entry price @hurdle (blended)</t>
        </is>
      </c>
      <c r="B28">
        <f>(0.5*B21+0.5*B22)*G17+B27</f>
        <v/>
      </c>
    </row>
    <row r="29">
      <c r="A29" t="inlineStr">
        <is>
          <t>Entry discount vs price</t>
        </is>
      </c>
      <c r="B29">
        <f>B28/Inputs!B3-1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Bear scenario</t>
        </is>
      </c>
    </row>
    <row r="2">
      <c r="A2" t="inlineStr">
        <is>
          <t>Exit P/B</t>
        </is>
      </c>
      <c r="B2" t="n">
        <v>0.85</v>
      </c>
    </row>
    <row r="3">
      <c r="A3" t="inlineStr">
        <is>
          <t>Exit P/E</t>
        </is>
      </c>
      <c r="B3" t="n">
        <v>8</v>
      </c>
    </row>
    <row r="4">
      <c r="A4" t="inlineStr">
        <is>
          <t>Cost of equity</t>
        </is>
      </c>
      <c r="B4">
        <f>Inputs!B10</f>
        <v/>
      </c>
    </row>
    <row r="5">
      <c r="A5" t="inlineStr">
        <is>
          <t>Hurdle rate</t>
        </is>
      </c>
      <c r="B5">
        <f>Inputs!B11</f>
        <v/>
      </c>
    </row>
    <row r="7">
      <c r="A7" s="1" t="inlineStr">
        <is>
          <t>Line</t>
        </is>
      </c>
      <c r="B7" s="1" t="inlineStr">
        <is>
          <t>FY2026</t>
        </is>
      </c>
      <c r="C7" s="1" t="inlineStr">
        <is>
          <t>FY2027</t>
        </is>
      </c>
      <c r="D7" s="1" t="inlineStr">
        <is>
          <t>FY2028</t>
        </is>
      </c>
      <c r="E7" s="1" t="inlineStr">
        <is>
          <t>FY2029</t>
        </is>
      </c>
      <c r="F7" s="1" t="inlineStr">
        <is>
          <t>FY2030</t>
        </is>
      </c>
      <c r="G7" s="1" t="inlineStr">
        <is>
          <t>FY2031</t>
        </is>
      </c>
    </row>
    <row r="8">
      <c r="A8" t="inlineStr">
        <is>
          <t>NPAT ($m)</t>
        </is>
      </c>
      <c r="B8">
        <f>Inputs!B6</f>
        <v/>
      </c>
      <c r="C8" t="n">
        <v>60</v>
      </c>
      <c r="D8" t="n">
        <v>42</v>
      </c>
      <c r="E8" t="n">
        <v>35</v>
      </c>
      <c r="F8" t="n">
        <v>40</v>
      </c>
      <c r="G8" t="n">
        <v>46</v>
      </c>
    </row>
    <row r="9">
      <c r="A9" t="inlineStr">
        <is>
          <t>Dividends ($m)</t>
        </is>
      </c>
      <c r="C9">
        <f>C8*Inputs!$B$8</f>
        <v/>
      </c>
      <c r="D9">
        <f>D8*Inputs!$B$8</f>
        <v/>
      </c>
      <c r="E9">
        <f>E8*Inputs!$B$8</f>
        <v/>
      </c>
      <c r="F9">
        <f>F8*Inputs!$B$8</f>
        <v/>
      </c>
      <c r="G9">
        <f>G8*Inputs!$B$8</f>
        <v/>
      </c>
    </row>
    <row r="10">
      <c r="A10" t="inlineStr">
        <is>
          <t>Shares (m)</t>
        </is>
      </c>
      <c r="B10">
        <f>Inputs!B4</f>
        <v/>
      </c>
      <c r="C10">
        <f>B10*(1+Inputs!$B$9)</f>
        <v/>
      </c>
      <c r="D10">
        <f>C10*(1+Inputs!$B$9)</f>
        <v/>
      </c>
      <c r="E10">
        <f>D10*(1+Inputs!$B$9)</f>
        <v/>
      </c>
      <c r="F10">
        <f>E10*(1+Inputs!$B$9)</f>
        <v/>
      </c>
      <c r="G10">
        <f>F10*(1+Inputs!$B$9)</f>
        <v/>
      </c>
    </row>
    <row r="11">
      <c r="A11" t="inlineStr">
        <is>
          <t>NTA ($m)</t>
        </is>
      </c>
      <c r="B11">
        <f>Inputs!B5</f>
        <v/>
      </c>
      <c r="C11">
        <f>B11+C8-C9</f>
        <v/>
      </c>
      <c r="D11">
        <f>C11+D8-D9</f>
        <v/>
      </c>
      <c r="E11">
        <f>D11+E8-E9</f>
        <v/>
      </c>
      <c r="F11">
        <f>E11+F8-F9</f>
        <v/>
      </c>
      <c r="G11">
        <f>F11+G8-G9</f>
        <v/>
      </c>
    </row>
    <row r="12">
      <c r="A12" t="inlineStr">
        <is>
          <t>NTA/share</t>
        </is>
      </c>
      <c r="B12">
        <f>B11/B10</f>
        <v/>
      </c>
      <c r="C12">
        <f>C11/C10</f>
        <v/>
      </c>
      <c r="D12">
        <f>D11/D10</f>
        <v/>
      </c>
      <c r="E12">
        <f>E11/E10</f>
        <v/>
      </c>
      <c r="F12">
        <f>F11/F10</f>
        <v/>
      </c>
      <c r="G12">
        <f>G11/G10</f>
        <v/>
      </c>
    </row>
    <row r="13">
      <c r="A13" t="inlineStr">
        <is>
          <t>DPS</t>
        </is>
      </c>
      <c r="C13">
        <f>C9/C10</f>
        <v/>
      </c>
      <c r="D13">
        <f>D9/D10</f>
        <v/>
      </c>
      <c r="E13">
        <f>E9/E10</f>
        <v/>
      </c>
      <c r="F13">
        <f>F9/F10</f>
        <v/>
      </c>
      <c r="G13">
        <f>G9/G10</f>
        <v/>
      </c>
    </row>
    <row r="14">
      <c r="A14" t="inlineStr">
        <is>
          <t>EPS</t>
        </is>
      </c>
      <c r="C14">
        <f>C8/C10</f>
        <v/>
      </c>
      <c r="D14">
        <f>D8/D10</f>
        <v/>
      </c>
      <c r="E14">
        <f>E8/E10</f>
        <v/>
      </c>
      <c r="F14">
        <f>F8/F10</f>
        <v/>
      </c>
      <c r="G14">
        <f>G8/G10</f>
        <v/>
      </c>
    </row>
    <row r="15">
      <c r="A15" t="inlineStr">
        <is>
          <t>Discount factor @CoE</t>
        </is>
      </c>
      <c r="C15">
        <f>1/(1+$B$4)^1</f>
        <v/>
      </c>
      <c r="D15">
        <f>1/(1+$B$4)^2</f>
        <v/>
      </c>
      <c r="E15">
        <f>1/(1+$B$4)^3</f>
        <v/>
      </c>
      <c r="F15">
        <f>1/(1+$B$4)^4</f>
        <v/>
      </c>
      <c r="G15">
        <f>1/(1+$B$4)^5</f>
        <v/>
      </c>
    </row>
    <row r="16">
      <c r="A16" t="inlineStr">
        <is>
          <t>PV DPS @CoE</t>
        </is>
      </c>
      <c r="C16">
        <f>C13*C15</f>
        <v/>
      </c>
      <c r="D16">
        <f>D13*D15</f>
        <v/>
      </c>
      <c r="E16">
        <f>E13*E15</f>
        <v/>
      </c>
      <c r="F16">
        <f>F13*F15</f>
        <v/>
      </c>
      <c r="G16">
        <f>G13*G15</f>
        <v/>
      </c>
    </row>
    <row r="17">
      <c r="A17" t="inlineStr">
        <is>
          <t>Discount factor @hurdle</t>
        </is>
      </c>
      <c r="C17">
        <f>1/(1+$B$5)^1</f>
        <v/>
      </c>
      <c r="D17">
        <f>1/(1+$B$5)^2</f>
        <v/>
      </c>
      <c r="E17">
        <f>1/(1+$B$5)^3</f>
        <v/>
      </c>
      <c r="F17">
        <f>1/(1+$B$5)^4</f>
        <v/>
      </c>
      <c r="G17">
        <f>1/(1+$B$5)^5</f>
        <v/>
      </c>
    </row>
    <row r="18">
      <c r="A18" t="inlineStr">
        <is>
          <t>PV DPS @hurdle</t>
        </is>
      </c>
      <c r="C18">
        <f>C13*C17</f>
        <v/>
      </c>
      <c r="D18">
        <f>D13*D17</f>
        <v/>
      </c>
      <c r="E18">
        <f>E13*E17</f>
        <v/>
      </c>
      <c r="F18">
        <f>F13*F17</f>
        <v/>
      </c>
      <c r="G18">
        <f>G13*G17</f>
        <v/>
      </c>
    </row>
    <row r="20">
      <c r="A20" t="inlineStr">
        <is>
          <t>Sum PV dividends/share @CoE</t>
        </is>
      </c>
      <c r="B20">
        <f>SUM(C16:G16)</f>
        <v/>
      </c>
    </row>
    <row r="21">
      <c r="A21" t="inlineStr">
        <is>
          <t>NTA exit value/share (Y5 NTA/share x P/B)</t>
        </is>
      </c>
      <c r="B21">
        <f>G12*B2</f>
        <v/>
      </c>
    </row>
    <row r="22">
      <c r="A22" t="inlineStr">
        <is>
          <t>Earnings exit value/share (Y5 NPAT x P/E / shares)</t>
        </is>
      </c>
      <c r="B22">
        <f>G8*B3/G10</f>
        <v/>
      </c>
    </row>
    <row r="23">
      <c r="A23" t="inlineStr">
        <is>
          <t>NTA leg IV</t>
        </is>
      </c>
      <c r="B23">
        <f>B21*G15+B20</f>
        <v/>
      </c>
    </row>
    <row r="24">
      <c r="A24" t="inlineStr">
        <is>
          <t>Earnings leg IV</t>
        </is>
      </c>
      <c r="B24">
        <f>B22*G15+B20</f>
        <v/>
      </c>
    </row>
    <row r="25">
      <c r="A25" t="inlineStr">
        <is>
          <t>Blended intrinsic value (50/50)</t>
        </is>
      </c>
      <c r="B25">
        <f>0.5*B23+0.5*B24</f>
        <v/>
      </c>
    </row>
    <row r="26">
      <c r="A26" t="inlineStr">
        <is>
          <t>Upside vs price</t>
        </is>
      </c>
      <c r="B26">
        <f>B25/Inputs!B3-1</f>
        <v/>
      </c>
    </row>
    <row r="27">
      <c r="A27" t="inlineStr">
        <is>
          <t>Sum PV dividends/share @hurdle</t>
        </is>
      </c>
      <c r="B27">
        <f>SUM(C18:G18)</f>
        <v/>
      </c>
    </row>
    <row r="28">
      <c r="A28" t="inlineStr">
        <is>
          <t>Entry price @hurdle (blended)</t>
        </is>
      </c>
      <c r="B28">
        <f>(0.5*B21+0.5*B22)*G17+B27</f>
        <v/>
      </c>
    </row>
    <row r="29">
      <c r="A29" t="inlineStr">
        <is>
          <t>Entry discount vs price</t>
        </is>
      </c>
      <c r="B29">
        <f>B28/Inputs!B3-1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Probability-weighted summary</t>
        </is>
      </c>
    </row>
    <row r="3">
      <c r="A3" t="inlineStr">
        <is>
          <t>Scenario</t>
        </is>
      </c>
      <c r="B3" t="inlineStr">
        <is>
          <t>Weight</t>
        </is>
      </c>
      <c r="C3" t="inlineStr">
        <is>
          <t>Intrinsic value</t>
        </is>
      </c>
      <c r="D3" t="inlineStr">
        <is>
          <t>Entry price @hurdle</t>
        </is>
      </c>
    </row>
    <row r="4">
      <c r="A4" t="inlineStr">
        <is>
          <t>bear</t>
        </is>
      </c>
      <c r="B4">
        <f>Inputs!B12</f>
        <v/>
      </c>
      <c r="C4">
        <f>Bear!B25</f>
        <v/>
      </c>
      <c r="D4">
        <f>Bear!B28</f>
        <v/>
      </c>
    </row>
    <row r="5">
      <c r="A5" t="inlineStr">
        <is>
          <t>base</t>
        </is>
      </c>
      <c r="B5">
        <f>Inputs!B13</f>
        <v/>
      </c>
      <c r="C5">
        <f>Base!B25</f>
        <v/>
      </c>
      <c r="D5">
        <f>Base!B28</f>
        <v/>
      </c>
    </row>
    <row r="6">
      <c r="A6" t="inlineStr">
        <is>
          <t>bull</t>
        </is>
      </c>
      <c r="B6">
        <f>Inputs!B14</f>
        <v/>
      </c>
      <c r="C6">
        <f>Bull!B25</f>
        <v/>
      </c>
      <c r="D6">
        <f>Bull!B28</f>
        <v/>
      </c>
    </row>
    <row r="8">
      <c r="A8" t="inlineStr">
        <is>
          <t>Weighted IV</t>
        </is>
      </c>
      <c r="B8">
        <f>SUMPRODUCT(B4:B6,C4:C6)</f>
        <v/>
      </c>
    </row>
    <row r="9">
      <c r="A9" t="inlineStr">
        <is>
          <t>Weighted entry price</t>
        </is>
      </c>
      <c r="B9">
        <f>SUMPRODUCT(B4:B6,D4:D6)</f>
        <v/>
      </c>
    </row>
    <row r="10">
      <c r="A10" t="inlineStr">
        <is>
          <t>Current price</t>
        </is>
      </c>
      <c r="B10">
        <f>Inputs!B3</f>
        <v/>
      </c>
    </row>
    <row r="11">
      <c r="A11" t="inlineStr">
        <is>
          <t>Weighted upside</t>
        </is>
      </c>
      <c r="B11">
        <f>B8/B10-1</f>
        <v/>
      </c>
    </row>
    <row r="12">
      <c r="A12" t="inlineStr">
        <is>
          <t>Implied P/E on FY2026 diluted EPS</t>
        </is>
      </c>
      <c r="B12">
        <f>B8/Inputs!B7</f>
        <v/>
      </c>
    </row>
    <row r="13">
      <c r="A13" t="inlineStr">
        <is>
          <t>Implied P/B on FY2026 NTA/share</t>
        </is>
      </c>
      <c r="B13">
        <f>B8/(Inputs!B5/85.076)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2026-09-22T09:51:55Z</dcterms:created>
  <dcterms:modified xsi:type="dcterms:W3CDTF">2026-09-22T09:51:55Z</dcterms:modified>
</cp:coreProperties>
</file>