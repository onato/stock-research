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<sst xmlns="http://schemas.openxmlformats.org/spreadsheetml/2006/main" count="373" uniqueCount="170">
  <si>
    <t xml:space="preserve">Ticker</t>
  </si>
  <si>
    <t xml:space="preserve">URW.PA</t>
  </si>
  <si>
    <t xml:space="preserve">Company</t>
  </si>
  <si>
    <t xml:space="preserve">Unibail-Rodamco-Westfield SE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</si>
  <si>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</si>
  <si>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</si>
  <si>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</si>
  <si>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</si>
  <si>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2026-10-23T15:35:22Z regular close (Euronext Paris); re-checked 2026-10-26 before the Paris open, unchanged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</si>
  <si>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</si>
  <si>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</si>
  <si>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</si>
  <si>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</si>
  <si>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</si>
  <si>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</si>
  <si>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</si>
  <si>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</si>
  <si>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</si>
  <si>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</si>
  <si>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</si>
  <si>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</si>
  <si>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2026-10-25T23:36:49Z</t>
  </si>
  <si>
    <t xml:space="preserve">Drivers file</t>
  </si>
  <si>
    <t xml:space="preserve">URW.PA_Drivers.json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</si>
  <si>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</si>
  <si>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</si>
  <si>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</si>
  <si>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Capitalise what the owner actually receives -- Adjusted Recurring Earnings after all financing cost and hybrid coupons, less the maintenance and leasing capex needed to keep the centres leased -- at a EUR cost of equity that reflects 9x leverage, and never deduct the debt a second time. Growth is NRI indexation plus deliveries net of the financing drag; development capex is treated as self-funded by disposals under the EUR 600 Mn cap. EPRA NTA (EUR 115.60) and NRV (EUR 146.80) are the cross-check: base should sit below NTA, bull below NRV.
key_risks_to_valuation: Interest rates: every 100 bp on the cost of equity moves the base value by roughly 15%; the 2.3% average cost of debt rolls toward market rates over 7 years and the growth path assumes ~1 pt/yr of drag -- a faster roll or wider spreads would push the base toward the bear path; Leverage: 9.1x net debt/EBITDA and 42% LTV incl. hybrid leave little covenant headroom if valuations reverse; the 2028 targets (8x, 40%) depend on disposals at or near book; AFFO definition: charging the full like-for-like refurbishment capex (EUR 373 Mn FY2025) would cut AFFO by ~27% and the base value by about the same; the model treats it as growth capex; US strategy reversal (exit announced 2023, retain-and-grow since Feb 2025) and continued trophy-asset purchases (Southcenter, UTC) add execution risk to the capex cap; Share-count basis: valued on 148.8 Mn EPRA fully diluted shares; on the 144.5 Mn outstanding the per-share values are ~3% higher</t>
  </si>
  <si>
    <t xml:space="preserve">Data sources</t>
  </si>
  <si>
    <t xml:space="preserve">price: Yahoo Finance chart API at inputs.price_as_of; 52-week range 85.98-106.65
financials: URW.PA_Metrics.csv (core_metrics FY2012-H1-2026); URW.PA_HalfYear_H1-2026.txt (EPRA earnings table line 2115, NAV table lines 1145-1161 and 1766-1811, debt section lines 1183-1200, capex table line 2064, guidance lines 612-617, shares lines 533-535); URW.PA_Annual_FY2025.txt (AREPS line 20412, capex breakdown lines 19359-19363, net capex cap line 486, outlook lines 19240-19252, share-based payment line 21287)
qualitative: URW.PA_Analysis.json (2026-10-26)</t>
  </si>
  <si>
    <t xml:space="preserve">Scenario narrative: bear</t>
  </si>
  <si>
    <t xml:space="preserve">A consumer slowdown and FX headwind push FY2026 AREPS slightly below the EUR 9.15 floor; from 2027 refinancing at 3.5-4% and continued non-core disposals absorb all NRI growth for two years, and a rate upswing re-expands cap rates, reversing the 2025-26 revaluation gains and stalling the LTV path. Format-defence capex becomes non-discretionary (21% of the flow). Cost of equity 10.5%, terminal growth 1.0%.</t>
  </si>
  <si>
    <t xml:space="preserve">Scenario narrative: base</t>
  </si>
  <si>
    <t xml:space="preserve">URW delivers FY2026 AREPS at the guidance midpoint (EUR 9.225), then compounds Adjusted Recurring Earnings at ~3% for three years and 2-2.5% thereafter: like-for-like NRI growth of ~4% (record-low 4.1% vacancy, OCR 14.6%, MGR uplift +10.6%) net of a rising average cost of debt as 2.1-2.3% legacy debt rolls to 3%+. Maintenance and leasing capex absorb ~16.5% of the flow, leaving AFFO of ~EUR 7.5/diluted share in FY2026 against a EUR 5.50 distribution. Capitalised at a 9.5% EUR cost of equity with 2.0% terminal growth, the value sits at a discount to EPRA NTA (EUR 115.60) consistent with the market applying an equity-risk premium to a 42% LTV portfolio rather than paying appraised value.</t>
  </si>
  <si>
    <t xml:space="preserve">Scenario narrative: bull</t>
  </si>
  <si>
    <t xml:space="preserve">Guidance top end in FY2026, then 4-4.5% growth as Westfield Rise, Saudi franchising fees and the 2025-26 deliveries add to 4-5% like-for-like NRI, while the deleveraging to ~8x by 2028 and easier EUR rates bring the cost of equity to 8.5% and allow the EUR 1.5 Bn of hybrids to be refinanced cheaper. The NAV discount narrows toward NTA; value is bounded above by EPRA NRV (EUR 146.80).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</si>
  <si>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</si>
  <si>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</si>
  <si>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</si>
  <si>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</si>
  <si>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</si>
  <si>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</si>
  <si>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</si>
  <si>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</si>
  <si>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</si>
  <si>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</si>
  <si>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</si>
  <si>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</si>
  <si>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</si>
  <si>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</si>
  <si>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</si>
  <si>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</si>
  <si>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</si>
  <si>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</si>
  <si>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</si>
  <si>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</si>
  <si>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</si>
  <si>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</si>
  <si>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</si>
  <si>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</si>
  <si>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</si>
  <si>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</si>
  <si>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</si>
  <si>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GrossRentalIncome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</si>
  <si>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</si>
  <si>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</si>
  <si>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</si>
  <si>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</si>
  <si>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</si>
  <si>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</si>
  <si>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</si>
  <si>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</si>
  <si>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</si>
  <si>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</si>
  <si>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</si>
  <si>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</si>
  <si>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</si>
  <si>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</si>
  <si>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</si>
  <si>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</si>
  <si>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</si>
  <si>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</si>
  <si>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</si>
  <si>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</si>
  <si>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</si>
  <si>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</si>
  <si>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</si>
  <si>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</si>
  <si>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</si>
  <si>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</si>
  <si>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</si>
  <si>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</si>
  <si>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</si>
  <si>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</si>
  <si>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</si>
  <si>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</si>
  <si>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</si>
  <si>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</si>
  <si>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</si>
  <si>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</si>
  <si>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</si>
  <si>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</si>
  <si>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</si>
  <si>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</si>
  <si>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</si>
  <si>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</si>
  <si>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</si>
  <si>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</si>
  <si>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</si>
  <si>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</si>
  <si>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</si>
  <si>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</si>
  <si>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</si>
  <si>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</si>
  <si>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</si>
  <si>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URW.PA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</si>
  <si>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</si>
  <si>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</si>
  <si>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</si>
  <si>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</si>
  <si>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</si>
  <si>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</si>
  <si>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</si>
  <si>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</si>
  <si>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</si>
  <si>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</si>
  <si>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</si>
  <si>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</si>
  <si>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</si>
  <si>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</si>
  <si>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</si>
  <si>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</si>
  <si>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</si>
  <si>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</si>
  <si>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</si>
  <si>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</si>
  <si>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</si>
  <si>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</si>
  <si>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</si>
  <si>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</si>
  <si>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</si>
  <si>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</si>
  <si>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</si>
  <si>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</si>
  <si>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</si>
  <si>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</si>
  <si>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URW.PA owner-FCF component DCF: base case (millions, EUR)</t>
  </si>
  <si>
    <t xml:space="preserve">URW.PA owner-FCF component DCF: bull case (millions, EUR)</t>
  </si>
  <si>
    <t xml:space="preserve">URW.PA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</si>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</sst>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90.1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1725.4</v>
      </c>
      <c r="F2" s="0" t="n">
        <v>2495.8</v>
      </c>
      <c r="G2" s="0" t="n">
        <v>144.7</v>
      </c>
      <c r="I2" s="0" t="n">
        <v>1458.6</v>
      </c>
      <c r="J2" s="0" t="n">
        <v>84.5</v>
      </c>
      <c r="K2" s="0" t="n">
        <v>15.79</v>
      </c>
      <c r="L2" s="0" t="n">
        <v>1331.3</v>
      </c>
      <c r="M2" s="0" t="n">
        <v>1362.1</v>
      </c>
      <c r="N2" s="0" t="n">
        <v>-30.8</v>
      </c>
      <c r="O2" s="0" t="n">
        <v>12902.5</v>
      </c>
      <c r="P2" s="0" t="n">
        <v>29571.1</v>
      </c>
      <c r="Q2" s="0" t="n">
        <v>15085.5</v>
      </c>
      <c r="R2" s="0" t="n">
        <v>11919</v>
      </c>
      <c r="S2" s="0" t="n">
        <v>65.3</v>
      </c>
      <c r="T2" s="0" t="n">
        <v>93.105</v>
      </c>
      <c r="U2" s="0" t="n">
        <v>7.1</v>
      </c>
      <c r="AA2" s="0" t="s">
        <v>17</v>
      </c>
      <c r="AB2" s="0" t="s">
        <v>14</v>
      </c>
      <c r="AC2" s="0" t="n">
        <v>1548.3</v>
      </c>
    </row>
    <row r="3" customFormat="false" ht="15" hidden="false" customHeight="false" outlineLevel="0" collapsed="false">
      <c r="A3" s="0" t="s">
        <v>65</v>
      </c>
      <c r="B3" s="0" t="n">
        <v>1766.3</v>
      </c>
      <c r="F3" s="0" t="n">
        <v>1839</v>
      </c>
      <c r="G3" s="0" t="n">
        <v>104.1</v>
      </c>
      <c r="I3" s="0" t="n">
        <v>1290.6</v>
      </c>
      <c r="J3" s="0" t="n">
        <v>73.1</v>
      </c>
      <c r="K3" s="0" t="n">
        <v>13.4</v>
      </c>
      <c r="L3" s="0" t="n">
        <v>1290.2</v>
      </c>
      <c r="M3" s="0" t="n">
        <v>1520.3</v>
      </c>
      <c r="N3" s="0" t="n">
        <v>-230.1</v>
      </c>
      <c r="O3" s="0" t="n">
        <v>13703.9</v>
      </c>
      <c r="P3" s="0" t="n">
        <v>32344.5</v>
      </c>
      <c r="Q3" s="0" t="n">
        <v>16460.8</v>
      </c>
      <c r="R3" s="0" t="n">
        <v>13395.7</v>
      </c>
      <c r="S3" s="0" t="n">
        <v>103.7</v>
      </c>
      <c r="T3" s="0" t="n">
        <v>97.161</v>
      </c>
      <c r="U3" s="0" t="n">
        <v>7.1</v>
      </c>
      <c r="AA3" s="0" t="s">
        <v>17</v>
      </c>
      <c r="AB3" s="0" t="s">
        <v>14</v>
      </c>
      <c r="AC3" s="0" t="n">
        <v>1584.3</v>
      </c>
    </row>
    <row r="4" customFormat="false" ht="15" hidden="false" customHeight="false" outlineLevel="0" collapsed="false">
      <c r="A4" s="0" t="s">
        <v>66</v>
      </c>
      <c r="B4" s="0" t="n">
        <v>1939.3</v>
      </c>
      <c r="F4" s="0" t="n">
        <v>2852.8</v>
      </c>
      <c r="G4" s="0" t="n">
        <v>147.1</v>
      </c>
      <c r="I4" s="0" t="n">
        <v>1670.5</v>
      </c>
      <c r="J4" s="0" t="n">
        <v>86.1</v>
      </c>
      <c r="K4" s="0" t="n">
        <v>17.1</v>
      </c>
      <c r="L4" s="0" t="n">
        <v>1588.4</v>
      </c>
      <c r="M4" s="0" t="n">
        <v>1339</v>
      </c>
      <c r="N4" s="0" t="n">
        <v>249.4</v>
      </c>
      <c r="O4" s="0" t="n">
        <v>14519.9</v>
      </c>
      <c r="P4" s="0" t="n">
        <v>35570.2</v>
      </c>
      <c r="Q4" s="0" t="n">
        <v>18637</v>
      </c>
      <c r="R4" s="0" t="n">
        <v>15075.4</v>
      </c>
      <c r="S4" s="0" t="n">
        <v>831.1</v>
      </c>
      <c r="T4" s="0" t="n">
        <v>103.879</v>
      </c>
      <c r="U4" s="0" t="n">
        <v>7.9</v>
      </c>
      <c r="AA4" s="0" t="s">
        <v>17</v>
      </c>
      <c r="AB4" s="0" t="s">
        <v>14</v>
      </c>
      <c r="AC4" s="0" t="n">
        <v>1702</v>
      </c>
    </row>
    <row r="5" customFormat="false" ht="15" hidden="false" customHeight="false" outlineLevel="0" collapsed="false">
      <c r="A5" s="0" t="s">
        <v>67</v>
      </c>
      <c r="B5" s="0" t="n">
        <v>1978.4</v>
      </c>
      <c r="F5" s="0" t="n">
        <v>3248.2</v>
      </c>
      <c r="G5" s="0" t="n">
        <v>164.2</v>
      </c>
      <c r="I5" s="0" t="n">
        <v>2334</v>
      </c>
      <c r="J5" s="0" t="n">
        <v>118</v>
      </c>
      <c r="K5" s="0" t="n">
        <v>23.7</v>
      </c>
      <c r="L5" s="0" t="n">
        <v>1415.6</v>
      </c>
      <c r="M5" s="0" t="n">
        <v>1276.2</v>
      </c>
      <c r="N5" s="0" t="n">
        <v>139.4</v>
      </c>
      <c r="O5" s="0" t="n">
        <v>16042.1</v>
      </c>
      <c r="P5" s="0" t="n">
        <v>38109.8</v>
      </c>
      <c r="Q5" s="0" t="n">
        <v>18871.2</v>
      </c>
      <c r="R5" s="0" t="n">
        <v>15425.8</v>
      </c>
      <c r="S5" s="0" t="n">
        <v>342.6</v>
      </c>
      <c r="T5" s="0" t="n">
        <v>100.311</v>
      </c>
      <c r="U5" s="0" t="n">
        <v>7.8</v>
      </c>
      <c r="AA5" s="0" t="s">
        <v>17</v>
      </c>
      <c r="AB5" s="0" t="s">
        <v>14</v>
      </c>
      <c r="AC5" s="0" t="n">
        <v>1685</v>
      </c>
    </row>
    <row r="6" customFormat="false" ht="15" hidden="false" customHeight="false" outlineLevel="0" collapsed="false">
      <c r="A6" s="0" t="s">
        <v>68</v>
      </c>
      <c r="B6" s="0" t="n">
        <v>2031.6</v>
      </c>
      <c r="F6" s="0" t="n">
        <v>3590.5</v>
      </c>
      <c r="G6" s="0" t="n">
        <v>176.7</v>
      </c>
      <c r="I6" s="0" t="n">
        <v>2409</v>
      </c>
      <c r="J6" s="0" t="n">
        <v>118.6</v>
      </c>
      <c r="K6" s="0" t="n">
        <v>24.3</v>
      </c>
      <c r="L6" s="0" t="n">
        <v>1558</v>
      </c>
      <c r="M6" s="0" t="n">
        <v>1343.7</v>
      </c>
      <c r="N6" s="0" t="n">
        <v>214.3</v>
      </c>
      <c r="O6" s="0" t="n">
        <v>17465.3</v>
      </c>
      <c r="P6" s="0" t="n">
        <v>40745</v>
      </c>
      <c r="Q6" s="0" t="n">
        <v>19725.3</v>
      </c>
      <c r="R6" s="0" t="n">
        <v>15640.2</v>
      </c>
      <c r="S6" s="0" t="n">
        <v>400.1</v>
      </c>
      <c r="T6" s="0" t="n">
        <v>102.762</v>
      </c>
      <c r="U6" s="0" t="n">
        <v>9.8</v>
      </c>
      <c r="AA6" s="0" t="s">
        <v>17</v>
      </c>
      <c r="AB6" s="0" t="s">
        <v>14</v>
      </c>
      <c r="AC6" s="0" t="n">
        <v>1770.3</v>
      </c>
    </row>
    <row r="7" customFormat="false" ht="15" hidden="false" customHeight="false" outlineLevel="0" collapsed="false">
      <c r="A7" s="0" t="s">
        <v>69</v>
      </c>
      <c r="B7" s="0" t="n">
        <v>2078.4</v>
      </c>
      <c r="F7" s="0" t="n">
        <v>2906</v>
      </c>
      <c r="G7" s="0" t="n">
        <v>139.8</v>
      </c>
      <c r="I7" s="0" t="n">
        <v>2439.5</v>
      </c>
      <c r="J7" s="0" t="n">
        <v>117.4</v>
      </c>
      <c r="K7" s="0" t="n">
        <v>24.46</v>
      </c>
      <c r="L7" s="0" t="n">
        <v>1486.5</v>
      </c>
      <c r="M7" s="0" t="n">
        <v>1368.2</v>
      </c>
      <c r="N7" s="0" t="n">
        <v>118.3</v>
      </c>
      <c r="O7" s="0" t="n">
        <v>18916.2</v>
      </c>
      <c r="P7" s="0" t="n">
        <v>43241</v>
      </c>
      <c r="Q7" s="0" t="n">
        <v>20547.8</v>
      </c>
      <c r="R7" s="0" t="n">
        <v>16567.2</v>
      </c>
      <c r="S7" s="0" t="n">
        <v>574.7</v>
      </c>
      <c r="T7" s="0" t="n">
        <v>103.155</v>
      </c>
      <c r="U7" s="0" t="n">
        <v>9.2</v>
      </c>
      <c r="AA7" s="0" t="s">
        <v>17</v>
      </c>
      <c r="AB7" s="0" t="s">
        <v>14</v>
      </c>
      <c r="AC7" s="0" t="n">
        <v>1822.3</v>
      </c>
    </row>
    <row r="8" customFormat="false" ht="15" hidden="false" customHeight="false" outlineLevel="0" collapsed="false">
      <c r="A8" s="0" t="s">
        <v>70</v>
      </c>
      <c r="B8" s="0" t="n">
        <v>2734</v>
      </c>
      <c r="F8" s="0" t="n">
        <v>1977.8</v>
      </c>
      <c r="G8" s="0" t="n">
        <v>72.3</v>
      </c>
      <c r="I8" s="0" t="n">
        <v>1031.1</v>
      </c>
      <c r="J8" s="0" t="n">
        <v>37.7</v>
      </c>
      <c r="K8" s="0" t="n">
        <v>8.42</v>
      </c>
      <c r="L8" s="0" t="n">
        <v>1794</v>
      </c>
      <c r="M8" s="0" t="n">
        <v>1597.6</v>
      </c>
      <c r="N8" s="0" t="n">
        <v>196.4</v>
      </c>
      <c r="O8" s="0" t="n">
        <v>26176.1</v>
      </c>
      <c r="P8" s="0" t="n">
        <v>64527.2</v>
      </c>
      <c r="Q8" s="0" t="n">
        <v>32385.7</v>
      </c>
      <c r="R8" s="0" t="n">
        <v>25384.4</v>
      </c>
      <c r="S8" s="0" t="n">
        <v>369.9</v>
      </c>
      <c r="T8" s="0" t="n">
        <v>126.031</v>
      </c>
      <c r="U8" s="0" t="n">
        <v>24.2</v>
      </c>
      <c r="AA8" s="0" t="s">
        <v>17</v>
      </c>
      <c r="AB8" s="0" t="s">
        <v>14</v>
      </c>
      <c r="AC8" s="0" t="n">
        <v>2211.3</v>
      </c>
    </row>
    <row r="9" customFormat="false" ht="15" hidden="false" customHeight="false" outlineLevel="0" collapsed="false">
      <c r="A9" s="0" t="s">
        <v>71</v>
      </c>
      <c r="B9" s="0" t="n">
        <v>3004.3</v>
      </c>
      <c r="F9" s="0" t="n">
        <v>781.8</v>
      </c>
      <c r="G9" s="0" t="n">
        <v>26</v>
      </c>
      <c r="I9" s="0" t="n">
        <v>1103.3</v>
      </c>
      <c r="J9" s="0" t="n">
        <v>36.7</v>
      </c>
      <c r="K9" s="0" t="n">
        <v>7.97</v>
      </c>
      <c r="L9" s="0" t="n">
        <v>1887.1</v>
      </c>
      <c r="M9" s="0" t="n">
        <v>1525.4</v>
      </c>
      <c r="N9" s="0" t="n">
        <v>361.7</v>
      </c>
      <c r="O9" s="0" t="n">
        <v>25950.8</v>
      </c>
      <c r="P9" s="0" t="n">
        <v>65003.2</v>
      </c>
      <c r="Q9" s="0" t="n">
        <v>33150.7</v>
      </c>
      <c r="R9" s="0" t="n">
        <v>26939.2</v>
      </c>
      <c r="S9" s="0" t="n">
        <v>488.8</v>
      </c>
      <c r="T9" s="0" t="n">
        <v>140.466</v>
      </c>
      <c r="U9" s="0" t="n">
        <v>13.8</v>
      </c>
      <c r="AA9" s="0" t="s">
        <v>17</v>
      </c>
      <c r="AB9" s="0" t="s">
        <v>14</v>
      </c>
      <c r="AC9" s="0" t="n">
        <v>2417.6</v>
      </c>
    </row>
    <row r="10" customFormat="false" ht="15" hidden="false" customHeight="false" outlineLevel="0" collapsed="false">
      <c r="A10" s="0" t="s">
        <v>72</v>
      </c>
      <c r="B10" s="0" t="n">
        <v>2328.7</v>
      </c>
      <c r="F10" s="0" t="n">
        <v>-6956.4</v>
      </c>
      <c r="G10" s="0" t="n">
        <v>-298.7</v>
      </c>
      <c r="I10" s="0" t="n">
        <v>-7212.6</v>
      </c>
      <c r="J10" s="0" t="n">
        <v>-309.7</v>
      </c>
      <c r="K10" s="0" t="n">
        <v>-52.1</v>
      </c>
      <c r="L10" s="0" t="n">
        <v>1423.1</v>
      </c>
      <c r="M10" s="0" t="n">
        <v>1164.3</v>
      </c>
      <c r="N10" s="0" t="n">
        <v>258.8</v>
      </c>
      <c r="O10" s="0" t="n">
        <v>17393.5</v>
      </c>
      <c r="P10" s="0" t="n">
        <v>57277.8</v>
      </c>
      <c r="Q10" s="0" t="n">
        <v>34482.8</v>
      </c>
      <c r="R10" s="0" t="n">
        <v>28323.7</v>
      </c>
      <c r="S10" s="0" t="n">
        <v>2137.6</v>
      </c>
      <c r="T10" s="0" t="n">
        <v>140.603</v>
      </c>
      <c r="U10" s="0" t="n">
        <v>12.8</v>
      </c>
      <c r="AA10" s="0" t="s">
        <v>17</v>
      </c>
      <c r="AB10" s="0" t="s">
        <v>14</v>
      </c>
      <c r="AC10" s="0" t="n">
        <v>1897.7</v>
      </c>
    </row>
    <row r="11" customFormat="false" ht="15" hidden="false" customHeight="false" outlineLevel="0" collapsed="false">
      <c r="A11" s="0" t="s">
        <v>73</v>
      </c>
      <c r="B11" s="0" t="n">
        <v>2220.3</v>
      </c>
      <c r="F11" s="0" t="n">
        <v>-465.7</v>
      </c>
      <c r="G11" s="0" t="n">
        <v>-21</v>
      </c>
      <c r="I11" s="0" t="n">
        <v>-972.1</v>
      </c>
      <c r="J11" s="0" t="n">
        <v>-43.8</v>
      </c>
      <c r="K11" s="0" t="n">
        <v>-7.02</v>
      </c>
      <c r="L11" s="0" t="n">
        <v>1720.6</v>
      </c>
      <c r="M11" s="0" t="n">
        <v>888.9</v>
      </c>
      <c r="N11" s="0" t="n">
        <v>831.7</v>
      </c>
      <c r="O11" s="0" t="n">
        <v>16927.1</v>
      </c>
      <c r="P11" s="0" t="n">
        <v>54919.4</v>
      </c>
      <c r="Q11" s="0" t="n">
        <v>32545.7</v>
      </c>
      <c r="R11" s="0" t="n">
        <v>27133.5</v>
      </c>
      <c r="S11" s="0" t="n">
        <v>2256.1</v>
      </c>
      <c r="T11" s="0" t="n">
        <v>140.189</v>
      </c>
      <c r="U11" s="0" t="n">
        <v>12.5</v>
      </c>
      <c r="AA11" s="0" t="s">
        <v>17</v>
      </c>
      <c r="AB11" s="0" t="s">
        <v>14</v>
      </c>
      <c r="AC11" s="0" t="n">
        <v>1833.4</v>
      </c>
    </row>
    <row r="12" customFormat="false" ht="15" hidden="false" customHeight="false" outlineLevel="0" collapsed="false">
      <c r="A12" s="0" t="s">
        <v>74</v>
      </c>
      <c r="B12" s="0" t="n">
        <v>2683.3</v>
      </c>
      <c r="F12" s="0" t="n">
        <v>545</v>
      </c>
      <c r="G12" s="0" t="n">
        <v>20.3</v>
      </c>
      <c r="I12" s="0" t="n">
        <v>178.2</v>
      </c>
      <c r="J12" s="0" t="n">
        <v>6.6</v>
      </c>
      <c r="K12" s="0" t="n">
        <v>1.28</v>
      </c>
      <c r="L12" s="0" t="n">
        <v>2436.2</v>
      </c>
      <c r="M12" s="0" t="n">
        <v>904.8</v>
      </c>
      <c r="N12" s="0" t="n">
        <v>1531.4</v>
      </c>
      <c r="O12" s="0" t="n">
        <v>17188.7</v>
      </c>
      <c r="P12" s="0" t="n">
        <v>54636</v>
      </c>
      <c r="Q12" s="0" t="n">
        <v>31687.8</v>
      </c>
      <c r="R12" s="0" t="n">
        <v>26402.8</v>
      </c>
      <c r="S12" s="0" t="n">
        <v>3329.1</v>
      </c>
      <c r="T12" s="0" t="n">
        <v>139.451</v>
      </c>
      <c r="U12" s="0" t="n">
        <v>17.8</v>
      </c>
      <c r="AA12" s="0" t="s">
        <v>17</v>
      </c>
      <c r="AB12" s="0" t="s">
        <v>14</v>
      </c>
      <c r="AC12" s="0" t="n">
        <v>2231.3</v>
      </c>
    </row>
    <row r="13" customFormat="false" ht="15" hidden="false" customHeight="false" outlineLevel="0" collapsed="false">
      <c r="A13" s="0" t="s">
        <v>75</v>
      </c>
      <c r="B13" s="0" t="n">
        <v>2696.2</v>
      </c>
      <c r="F13" s="0" t="n">
        <v>-968.9</v>
      </c>
      <c r="G13" s="0" t="n">
        <v>-35.9</v>
      </c>
      <c r="I13" s="0" t="n">
        <v>-1629.1</v>
      </c>
      <c r="J13" s="0" t="n">
        <v>-60.4</v>
      </c>
      <c r="K13" s="0" t="n">
        <v>-11.72</v>
      </c>
      <c r="L13" s="0" t="n">
        <v>2056.5</v>
      </c>
      <c r="M13" s="0" t="n">
        <v>1181</v>
      </c>
      <c r="N13" s="0" t="n">
        <v>875.5</v>
      </c>
      <c r="O13" s="0" t="n">
        <v>15385.7</v>
      </c>
      <c r="P13" s="0" t="n">
        <v>53578.1</v>
      </c>
      <c r="Q13" s="0" t="n">
        <v>32810.8</v>
      </c>
      <c r="R13" s="0" t="n">
        <v>27895.1</v>
      </c>
      <c r="S13" s="0" t="n">
        <v>5502.3</v>
      </c>
      <c r="T13" s="0" t="n">
        <v>139.886</v>
      </c>
      <c r="U13" s="0" t="n">
        <v>18.9</v>
      </c>
      <c r="AA13" s="0" t="s">
        <v>17</v>
      </c>
      <c r="AB13" s="0" t="s">
        <v>14</v>
      </c>
      <c r="AC13" s="0" t="n">
        <v>2322.1</v>
      </c>
    </row>
    <row r="14" customFormat="false" ht="15" hidden="false" customHeight="false" outlineLevel="0" collapsed="false">
      <c r="A14" s="0" t="s">
        <v>76</v>
      </c>
      <c r="B14" s="0" t="n">
        <v>2861.5</v>
      </c>
      <c r="F14" s="0" t="n">
        <v>790.8</v>
      </c>
      <c r="G14" s="0" t="n">
        <v>27.6</v>
      </c>
      <c r="I14" s="0" t="n">
        <v>146.2</v>
      </c>
      <c r="J14" s="0" t="n">
        <v>5.1</v>
      </c>
      <c r="K14" s="0" t="n">
        <v>1.05</v>
      </c>
      <c r="L14" s="0" t="n">
        <v>2190.2</v>
      </c>
      <c r="M14" s="0" t="n">
        <v>1308.3</v>
      </c>
      <c r="N14" s="0" t="n">
        <v>881.9</v>
      </c>
      <c r="O14" s="0" t="n">
        <v>15849.7</v>
      </c>
      <c r="P14" s="0" t="n">
        <v>53545.6</v>
      </c>
      <c r="Q14" s="0" t="n">
        <v>32507.9</v>
      </c>
      <c r="R14" s="0" t="n">
        <v>27559.9</v>
      </c>
      <c r="S14" s="0" t="n">
        <v>5288.9</v>
      </c>
      <c r="T14" s="0" t="n">
        <v>141.126</v>
      </c>
      <c r="U14" s="0" t="n">
        <v>23.8</v>
      </c>
      <c r="AA14" s="0" t="s">
        <v>17</v>
      </c>
      <c r="AB14" s="0" t="s">
        <v>14</v>
      </c>
      <c r="AC14" s="0" t="n">
        <v>2426.9</v>
      </c>
    </row>
    <row r="15" customFormat="false" ht="15" hidden="false" customHeight="false" outlineLevel="0" collapsed="false">
      <c r="A15" s="0" t="s">
        <v>77</v>
      </c>
      <c r="B15" s="0" t="n">
        <v>2676.3</v>
      </c>
      <c r="F15" s="0" t="n">
        <v>2556.9</v>
      </c>
      <c r="G15" s="0" t="n">
        <v>95.5</v>
      </c>
      <c r="I15" s="0" t="n">
        <v>1268.2</v>
      </c>
      <c r="J15" s="0" t="n">
        <v>47.4</v>
      </c>
      <c r="K15" s="0" t="n">
        <v>8.86</v>
      </c>
      <c r="L15" s="0" t="n">
        <v>2046.5</v>
      </c>
      <c r="M15" s="0" t="n">
        <v>894.9</v>
      </c>
      <c r="N15" s="0" t="n">
        <v>1151.6</v>
      </c>
      <c r="O15" s="0" t="n">
        <v>15897.1</v>
      </c>
      <c r="P15" s="0" t="n">
        <v>49684</v>
      </c>
      <c r="Q15" s="0" t="n">
        <v>27987.1</v>
      </c>
      <c r="R15" s="0" t="n">
        <v>22688.4</v>
      </c>
      <c r="S15" s="0" t="n">
        <v>2680.5</v>
      </c>
      <c r="T15" s="0" t="n">
        <v>145.499</v>
      </c>
      <c r="U15" s="0" t="n">
        <v>24.5</v>
      </c>
      <c r="AA15" s="0" t="s">
        <v>17</v>
      </c>
      <c r="AB15" s="0" t="s">
        <v>14</v>
      </c>
      <c r="AC15" s="0" t="n">
        <v>2328.2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90.1</v>
      </c>
    </row>
    <row r="3" customFormat="false" ht="15" hidden="false" customHeight="false" outlineLevel="0" collapsed="false">
      <c r="A3" s="0" t="s">
        <v>81</v>
      </c>
      <c r="B3" s="3" t="n">
        <v>148.82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12</v>
      </c>
    </row>
    <row r="7" customFormat="false" ht="15" hidden="false" customHeight="false" outlineLevel="0" collapsed="false">
      <c r="A7" s="0" t="s">
        <v>85</v>
      </c>
      <c r="B7" s="3" t="n">
        <v>1371.5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-4.5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106</v>
      </c>
      <c r="C18" s="3" t="n">
        <v>21</v>
      </c>
      <c r="D18" s="3" t="n">
        <v>21</v>
      </c>
      <c r="E18" s="3" t="n">
        <v>21</v>
      </c>
      <c r="F18" s="3" t="n">
        <v>21</v>
      </c>
      <c r="G18" s="3" t="n">
        <v>21</v>
      </c>
      <c r="H18" s="3" t="n">
        <v>21</v>
      </c>
      <c r="I18" s="3" t="n">
        <v>21</v>
      </c>
      <c r="J18" s="3" t="n">
        <v>21</v>
      </c>
      <c r="K18" s="3" t="n">
        <v>21</v>
      </c>
      <c r="L18" s="3" t="n">
        <v>21</v>
      </c>
    </row>
    <row r="19" customFormat="false" ht="15" hidden="false" customHeight="false" outlineLevel="0" collapsed="false">
      <c r="A19" s="0" t="s">
        <v>107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108</v>
      </c>
      <c r="B20" s="3" t="n">
        <v>10.5</v>
      </c>
    </row>
    <row r="21" customFormat="false" ht="15" hidden="false" customHeight="false" outlineLevel="0" collapsed="false">
      <c r="A21" s="0" t="s">
        <v>109</v>
      </c>
      <c r="B21" s="3" t="n">
        <v>1</v>
      </c>
    </row>
    <row r="22" customFormat="false" ht="15" hidden="false" customHeight="false" outlineLevel="0" collapsed="false">
      <c r="A22" s="0" t="s">
        <v>110</v>
      </c>
      <c r="B22" s="3" t="n">
        <v>20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-3</v>
      </c>
      <c r="D27" s="3" t="n">
        <v>3</v>
      </c>
      <c r="E27" s="3" t="n">
        <v>3</v>
      </c>
      <c r="F27" s="3" t="n">
        <v>3</v>
      </c>
      <c r="G27" s="3" t="n">
        <v>2.5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102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106</v>
      </c>
      <c r="C32" s="3" t="n">
        <v>16.5</v>
      </c>
      <c r="D32" s="3" t="n">
        <v>16.5</v>
      </c>
      <c r="E32" s="3" t="n">
        <v>16.5</v>
      </c>
      <c r="F32" s="3" t="n">
        <v>16.5</v>
      </c>
      <c r="G32" s="3" t="n">
        <v>16.5</v>
      </c>
      <c r="H32" s="3" t="n">
        <v>16.5</v>
      </c>
      <c r="I32" s="3" t="n">
        <v>16.5</v>
      </c>
      <c r="J32" s="3" t="n">
        <v>16.5</v>
      </c>
      <c r="K32" s="3" t="n">
        <v>16.5</v>
      </c>
      <c r="L32" s="3" t="n">
        <v>16.5</v>
      </c>
    </row>
    <row r="33" customFormat="false" ht="15" hidden="false" customHeight="false" outlineLevel="0" collapsed="false">
      <c r="A33" s="0" t="s">
        <v>107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108</v>
      </c>
      <c r="B34" s="3" t="n">
        <v>9.5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20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-2</v>
      </c>
      <c r="D41" s="3" t="n">
        <v>4.5</v>
      </c>
      <c r="E41" s="3" t="n">
        <v>4.5</v>
      </c>
      <c r="F41" s="3" t="n">
        <v>4</v>
      </c>
      <c r="G41" s="3" t="n">
        <v>3.5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102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106</v>
      </c>
      <c r="C46" s="3" t="n">
        <v>15</v>
      </c>
      <c r="D46" s="3" t="n">
        <v>15</v>
      </c>
      <c r="E46" s="3" t="n">
        <v>15</v>
      </c>
      <c r="F46" s="3" t="n">
        <v>15</v>
      </c>
      <c r="G46" s="3" t="n">
        <v>15</v>
      </c>
      <c r="H46" s="3" t="n">
        <v>15</v>
      </c>
      <c r="I46" s="3" t="n">
        <v>15</v>
      </c>
      <c r="J46" s="3" t="n">
        <v>15</v>
      </c>
      <c r="K46" s="3" t="n">
        <v>15</v>
      </c>
      <c r="L46" s="3" t="n">
        <v>15</v>
      </c>
    </row>
    <row r="47" customFormat="false" ht="15" hidden="false" customHeight="false" outlineLevel="0" collapsed="false">
      <c r="A47" s="0" t="s">
        <v>107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108</v>
      </c>
      <c r="B48" s="3" t="n">
        <v>8.5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-4.5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1371.5</v>
      </c>
      <c r="C6" s="0" t="n">
        <f aca="false">B6*(1+C5/100)</f>
        <v>1309.7825</v>
      </c>
      <c r="D6" s="0" t="n">
        <f aca="false">C6*(1+D5/100)</f>
        <v>1309.7825</v>
      </c>
      <c r="E6" s="0" t="n">
        <f aca="false">D6*(1+E5/100)</f>
        <v>1309.7825</v>
      </c>
      <c r="F6" s="0" t="n">
        <f aca="false">E6*(1+F5/100)</f>
        <v>1322.880325</v>
      </c>
      <c r="G6" s="0" t="n">
        <f aca="false">F6*(1+G5/100)</f>
        <v>1336.10912825</v>
      </c>
      <c r="H6" s="0" t="n">
        <f aca="false">G6*(1+H5/100)</f>
        <v>1349.4702195325</v>
      </c>
      <c r="I6" s="0" t="n">
        <f aca="false">H6*(1+I5/100)</f>
        <v>1369.71227282549</v>
      </c>
      <c r="J6" s="0" t="n">
        <f aca="false">I6*(1+J5/100)</f>
        <v>1390.25795691787</v>
      </c>
      <c r="K6" s="0" t="n">
        <f aca="false">J6*(1+K5/100)</f>
        <v>1411.11182627164</v>
      </c>
      <c r="L6" s="0" t="n">
        <f aca="false">K6*(1+L5/100)</f>
        <v>1432.27850366571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1309.7825</v>
      </c>
      <c r="D8" s="0" t="n">
        <f aca="false">D6*D7/100</f>
        <v>1309.7825</v>
      </c>
      <c r="E8" s="0" t="n">
        <f aca="false">E6*E7/100</f>
        <v>1309.7825</v>
      </c>
      <c r="F8" s="0" t="n">
        <f aca="false">F6*F7/100</f>
        <v>1322.880325</v>
      </c>
      <c r="G8" s="0" t="n">
        <f aca="false">G6*G7/100</f>
        <v>1336.10912825</v>
      </c>
      <c r="H8" s="0" t="n">
        <f aca="false">H6*H7/100</f>
        <v>1349.4702195325</v>
      </c>
      <c r="I8" s="0" t="n">
        <f aca="false">I6*I7/100</f>
        <v>1369.71227282549</v>
      </c>
      <c r="J8" s="0" t="n">
        <f aca="false">J6*J7/100</f>
        <v>1390.25795691787</v>
      </c>
      <c r="K8" s="0" t="n">
        <f aca="false">K6*K7/100</f>
        <v>1411.11182627164</v>
      </c>
      <c r="L8" s="0" t="n">
        <f aca="false">L6*L7/100</f>
        <v>1432.27850366571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1309.7825</v>
      </c>
      <c r="D11" s="0" t="n">
        <f aca="false">D8+D10+D24</f>
        <v>1309.7825</v>
      </c>
      <c r="E11" s="0" t="n">
        <f aca="false">E8+E10+E24</f>
        <v>1309.7825</v>
      </c>
      <c r="F11" s="0" t="n">
        <f aca="false">F8+F10+F24</f>
        <v>1322.880325</v>
      </c>
      <c r="G11" s="0" t="n">
        <f aca="false">G8+G10+G24</f>
        <v>1336.10912825</v>
      </c>
      <c r="H11" s="0" t="n">
        <f aca="false">H8+H10+H24</f>
        <v>1349.4702195325</v>
      </c>
      <c r="I11" s="0" t="n">
        <f aca="false">I8+I10+I24</f>
        <v>1369.71227282549</v>
      </c>
      <c r="J11" s="0" t="n">
        <f aca="false">J8+J10+J24</f>
        <v>1390.25795691787</v>
      </c>
      <c r="K11" s="0" t="n">
        <f aca="false">K8+K10+K24</f>
        <v>1411.11182627164</v>
      </c>
      <c r="L11" s="0" t="n">
        <f aca="false">L8+L10+L24</f>
        <v>1432.27850366571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1309.7825</v>
      </c>
      <c r="D13" s="0" t="n">
        <f aca="false">D11+D12</f>
        <v>1309.7825</v>
      </c>
      <c r="E13" s="0" t="n">
        <f aca="false">E11+E12</f>
        <v>1309.7825</v>
      </c>
      <c r="F13" s="0" t="n">
        <f aca="false">F11+F12</f>
        <v>1322.880325</v>
      </c>
      <c r="G13" s="0" t="n">
        <f aca="false">G11+G12</f>
        <v>1336.10912825</v>
      </c>
      <c r="H13" s="0" t="n">
        <f aca="false">H11+H12</f>
        <v>1349.4702195325</v>
      </c>
      <c r="I13" s="0" t="n">
        <f aca="false">I11+I12</f>
        <v>1369.71227282549</v>
      </c>
      <c r="J13" s="0" t="n">
        <f aca="false">J11+J12</f>
        <v>1390.25795691787</v>
      </c>
      <c r="K13" s="0" t="n">
        <f aca="false">K11+K12</f>
        <v>1411.11182627164</v>
      </c>
      <c r="L13" s="0" t="n">
        <f aca="false">L11+L12</f>
        <v>1432.27850366571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1309.7825</v>
      </c>
      <c r="D15" s="0" t="n">
        <f aca="false">D13-MAX(0,D13)*D14/100</f>
        <v>1309.7825</v>
      </c>
      <c r="E15" s="0" t="n">
        <f aca="false">E13-MAX(0,E13)*E14/100</f>
        <v>1309.7825</v>
      </c>
      <c r="F15" s="0" t="n">
        <f aca="false">F13-MAX(0,F13)*F14/100</f>
        <v>1322.880325</v>
      </c>
      <c r="G15" s="0" t="n">
        <f aca="false">G13-MAX(0,G13)*G14/100</f>
        <v>1336.10912825</v>
      </c>
      <c r="H15" s="0" t="n">
        <f aca="false">H13-MAX(0,H13)*H14/100</f>
        <v>1349.4702195325</v>
      </c>
      <c r="I15" s="0" t="n">
        <f aca="false">I13-MAX(0,I13)*I14/100</f>
        <v>1369.71227282549</v>
      </c>
      <c r="J15" s="0" t="n">
        <f aca="false">J13-MAX(0,J13)*J14/100</f>
        <v>1390.25795691787</v>
      </c>
      <c r="K15" s="0" t="n">
        <f aca="false">K13-MAX(0,K13)*K14/100</f>
        <v>1411.11182627164</v>
      </c>
      <c r="L15" s="0" t="n">
        <f aca="false">L13-MAX(0,L13)*L14/100</f>
        <v>1432.27850366571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-275.054325</v>
      </c>
      <c r="D17" s="4" t="n">
        <f aca="false">-D6*Assumptions!D18/100</f>
        <v>-275.054325</v>
      </c>
      <c r="E17" s="4" t="n">
        <f aca="false">-E6*Assumptions!E18/100</f>
        <v>-275.054325</v>
      </c>
      <c r="F17" s="4" t="n">
        <f aca="false">-F6*Assumptions!F18/100</f>
        <v>-277.80486825</v>
      </c>
      <c r="G17" s="4" t="n">
        <f aca="false">-G6*Assumptions!G18/100</f>
        <v>-280.5829169325</v>
      </c>
      <c r="H17" s="4" t="n">
        <f aca="false">-H6*Assumptions!H18/100</f>
        <v>-283.388746101825</v>
      </c>
      <c r="I17" s="4" t="n">
        <f aca="false">-I6*Assumptions!I18/100</f>
        <v>-287.639577293352</v>
      </c>
      <c r="J17" s="4" t="n">
        <f aca="false">-J6*Assumptions!J18/100</f>
        <v>-291.954170952753</v>
      </c>
      <c r="K17" s="4" t="n">
        <f aca="false">-K6*Assumptions!K18/100</f>
        <v>-296.333483517044</v>
      </c>
      <c r="L17" s="4" t="n">
        <f aca="false">-L6*Assumptions!L18/100</f>
        <v>-300.7784857698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1034.728175</v>
      </c>
      <c r="D19" s="0" t="n">
        <f aca="false">D15+D16+D17+D18</f>
        <v>1034.728175</v>
      </c>
      <c r="E19" s="0" t="n">
        <f aca="false">E15+E16+E17+E18</f>
        <v>1034.728175</v>
      </c>
      <c r="F19" s="0" t="n">
        <f aca="false">F15+F16+F17+F18</f>
        <v>1045.07545675</v>
      </c>
      <c r="G19" s="0" t="n">
        <f aca="false">G15+G16+G17+G18</f>
        <v>1055.5262113175</v>
      </c>
      <c r="H19" s="0" t="n">
        <f aca="false">H15+H16+H17+H18</f>
        <v>1066.08147343068</v>
      </c>
      <c r="I19" s="0" t="n">
        <f aca="false">I15+I16+I17+I18</f>
        <v>1082.07269553214</v>
      </c>
      <c r="J19" s="0" t="n">
        <f aca="false">J15+J16+J17+J18</f>
        <v>1098.30378596512</v>
      </c>
      <c r="K19" s="0" t="n">
        <f aca="false">K15+K16+K17+K18</f>
        <v>1114.77834275459</v>
      </c>
      <c r="L19" s="0" t="n">
        <f aca="false">L15+L16+L17+L18</f>
        <v>1131.50001789591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936.405588235294</v>
      </c>
      <c r="D21" s="0" t="n">
        <f aca="false">D19*D20</f>
        <v>847.425871706149</v>
      </c>
      <c r="E21" s="0" t="n">
        <f aca="false">E19*E20</f>
        <v>766.90124136303</v>
      </c>
      <c r="F21" s="0" t="n">
        <f aca="false">F19*F20</f>
        <v>700.968555453992</v>
      </c>
      <c r="G21" s="0" t="n">
        <f aca="false">G19*G20</f>
        <v>640.704290505459</v>
      </c>
      <c r="H21" s="0" t="n">
        <f aca="false">H19*H20</f>
        <v>585.621116208609</v>
      </c>
      <c r="I21" s="0" t="n">
        <f aca="false">I19*I20</f>
        <v>537.923468734605</v>
      </c>
      <c r="J21" s="0" t="n">
        <f aca="false">J19*J20</f>
        <v>494.110697525451</v>
      </c>
      <c r="K21" s="0" t="n">
        <f aca="false">K19*K20</f>
        <v>453.866387319758</v>
      </c>
      <c r="L21" s="0" t="n">
        <f aca="false">L19*L20</f>
        <v>416.899894234891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6380.82711128724</v>
      </c>
    </row>
    <row r="31" customFormat="false" ht="15" hidden="false" customHeight="false" outlineLevel="0" collapsed="false">
      <c r="A31" s="0" t="s">
        <v>132</v>
      </c>
      <c r="B31" s="0" t="n">
        <f aca="false">L19</f>
        <v>1131.50001789591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12029.6317692092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22630.0003579183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12029.6317692092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4432.30413870779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10813.131249995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10813.131249995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72.6591267974401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-0.193572399584461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72.6591267974401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12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10389.2274370443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62.7125263268963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-3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1371.5</v>
      </c>
      <c r="C6" s="0" t="n">
        <f aca="false">B6*(1+C5/100)</f>
        <v>1330.355</v>
      </c>
      <c r="D6" s="0" t="n">
        <f aca="false">C6*(1+D5/100)</f>
        <v>1370.26565</v>
      </c>
      <c r="E6" s="0" t="n">
        <f aca="false">D6*(1+E5/100)</f>
        <v>1411.3736195</v>
      </c>
      <c r="F6" s="0" t="n">
        <f aca="false">E6*(1+F5/100)</f>
        <v>1453.714828085</v>
      </c>
      <c r="G6" s="0" t="n">
        <f aca="false">F6*(1+G5/100)</f>
        <v>1490.05769878713</v>
      </c>
      <c r="H6" s="0" t="n">
        <f aca="false">G6*(1+H5/100)</f>
        <v>1527.3091412568</v>
      </c>
      <c r="I6" s="0" t="n">
        <f aca="false">H6*(1+I5/100)</f>
        <v>1565.49186978822</v>
      </c>
      <c r="J6" s="0" t="n">
        <f aca="false">I6*(1+J5/100)</f>
        <v>1596.80170718399</v>
      </c>
      <c r="K6" s="0" t="n">
        <f aca="false">J6*(1+K5/100)</f>
        <v>1628.73774132767</v>
      </c>
      <c r="L6" s="0" t="n">
        <f aca="false">K6*(1+L5/100)</f>
        <v>1661.31249615422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1330.355</v>
      </c>
      <c r="D8" s="0" t="n">
        <f aca="false">D6*D7/100</f>
        <v>1370.26565</v>
      </c>
      <c r="E8" s="0" t="n">
        <f aca="false">E6*E7/100</f>
        <v>1411.3736195</v>
      </c>
      <c r="F8" s="0" t="n">
        <f aca="false">F6*F7/100</f>
        <v>1453.714828085</v>
      </c>
      <c r="G8" s="0" t="n">
        <f aca="false">G6*G7/100</f>
        <v>1490.05769878713</v>
      </c>
      <c r="H8" s="0" t="n">
        <f aca="false">H6*H7/100</f>
        <v>1527.3091412568</v>
      </c>
      <c r="I8" s="0" t="n">
        <f aca="false">I6*I7/100</f>
        <v>1565.49186978822</v>
      </c>
      <c r="J8" s="0" t="n">
        <f aca="false">J6*J7/100</f>
        <v>1596.80170718399</v>
      </c>
      <c r="K8" s="0" t="n">
        <f aca="false">K6*K7/100</f>
        <v>1628.73774132767</v>
      </c>
      <c r="L8" s="0" t="n">
        <f aca="false">L6*L7/100</f>
        <v>1661.31249615422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1330.355</v>
      </c>
      <c r="D11" s="0" t="n">
        <f aca="false">D8+D10+D24</f>
        <v>1370.26565</v>
      </c>
      <c r="E11" s="0" t="n">
        <f aca="false">E8+E10+E24</f>
        <v>1411.3736195</v>
      </c>
      <c r="F11" s="0" t="n">
        <f aca="false">F8+F10+F24</f>
        <v>1453.714828085</v>
      </c>
      <c r="G11" s="0" t="n">
        <f aca="false">G8+G10+G24</f>
        <v>1490.05769878713</v>
      </c>
      <c r="H11" s="0" t="n">
        <f aca="false">H8+H10+H24</f>
        <v>1527.3091412568</v>
      </c>
      <c r="I11" s="0" t="n">
        <f aca="false">I8+I10+I24</f>
        <v>1565.49186978822</v>
      </c>
      <c r="J11" s="0" t="n">
        <f aca="false">J8+J10+J24</f>
        <v>1596.80170718399</v>
      </c>
      <c r="K11" s="0" t="n">
        <f aca="false">K8+K10+K24</f>
        <v>1628.73774132767</v>
      </c>
      <c r="L11" s="0" t="n">
        <f aca="false">L8+L10+L24</f>
        <v>1661.31249615422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1330.355</v>
      </c>
      <c r="D13" s="0" t="n">
        <f aca="false">D11+D12</f>
        <v>1370.26565</v>
      </c>
      <c r="E13" s="0" t="n">
        <f aca="false">E11+E12</f>
        <v>1411.3736195</v>
      </c>
      <c r="F13" s="0" t="n">
        <f aca="false">F11+F12</f>
        <v>1453.714828085</v>
      </c>
      <c r="G13" s="0" t="n">
        <f aca="false">G11+G12</f>
        <v>1490.05769878713</v>
      </c>
      <c r="H13" s="0" t="n">
        <f aca="false">H11+H12</f>
        <v>1527.3091412568</v>
      </c>
      <c r="I13" s="0" t="n">
        <f aca="false">I11+I12</f>
        <v>1565.49186978822</v>
      </c>
      <c r="J13" s="0" t="n">
        <f aca="false">J11+J12</f>
        <v>1596.80170718399</v>
      </c>
      <c r="K13" s="0" t="n">
        <f aca="false">K11+K12</f>
        <v>1628.73774132767</v>
      </c>
      <c r="L13" s="0" t="n">
        <f aca="false">L11+L12</f>
        <v>1661.31249615422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1330.355</v>
      </c>
      <c r="D15" s="0" t="n">
        <f aca="false">D13-MAX(0,D13)*D14/100</f>
        <v>1370.26565</v>
      </c>
      <c r="E15" s="0" t="n">
        <f aca="false">E13-MAX(0,E13)*E14/100</f>
        <v>1411.3736195</v>
      </c>
      <c r="F15" s="0" t="n">
        <f aca="false">F13-MAX(0,F13)*F14/100</f>
        <v>1453.714828085</v>
      </c>
      <c r="G15" s="0" t="n">
        <f aca="false">G13-MAX(0,G13)*G14/100</f>
        <v>1490.05769878713</v>
      </c>
      <c r="H15" s="0" t="n">
        <f aca="false">H13-MAX(0,H13)*H14/100</f>
        <v>1527.3091412568</v>
      </c>
      <c r="I15" s="0" t="n">
        <f aca="false">I13-MAX(0,I13)*I14/100</f>
        <v>1565.49186978822</v>
      </c>
      <c r="J15" s="0" t="n">
        <f aca="false">J13-MAX(0,J13)*J14/100</f>
        <v>1596.80170718399</v>
      </c>
      <c r="K15" s="0" t="n">
        <f aca="false">K13-MAX(0,K13)*K14/100</f>
        <v>1628.73774132767</v>
      </c>
      <c r="L15" s="0" t="n">
        <f aca="false">L13-MAX(0,L13)*L14/100</f>
        <v>1661.31249615422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-219.508575</v>
      </c>
      <c r="D17" s="4" t="n">
        <f aca="false">-D6*Assumptions!D32/100</f>
        <v>-226.09383225</v>
      </c>
      <c r="E17" s="4" t="n">
        <f aca="false">-E6*Assumptions!E32/100</f>
        <v>-232.8766472175</v>
      </c>
      <c r="F17" s="4" t="n">
        <f aca="false">-F6*Assumptions!F32/100</f>
        <v>-239.862946634025</v>
      </c>
      <c r="G17" s="4" t="n">
        <f aca="false">-G6*Assumptions!G32/100</f>
        <v>-245.859520299876</v>
      </c>
      <c r="H17" s="4" t="n">
        <f aca="false">-H6*Assumptions!H32/100</f>
        <v>-252.006008307373</v>
      </c>
      <c r="I17" s="4" t="n">
        <f aca="false">-I6*Assumptions!I32/100</f>
        <v>-258.306158515057</v>
      </c>
      <c r="J17" s="4" t="n">
        <f aca="false">-J6*Assumptions!J32/100</f>
        <v>-263.472281685358</v>
      </c>
      <c r="K17" s="4" t="n">
        <f aca="false">-K6*Assumptions!K32/100</f>
        <v>-268.741727319065</v>
      </c>
      <c r="L17" s="4" t="n">
        <f aca="false">-L6*Assumptions!L32/100</f>
        <v>-274.116561865446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1110.846425</v>
      </c>
      <c r="D19" s="0" t="n">
        <f aca="false">D15+D16+D17+D18</f>
        <v>1144.17181775</v>
      </c>
      <c r="E19" s="0" t="n">
        <f aca="false">E15+E16+E17+E18</f>
        <v>1178.4969722825</v>
      </c>
      <c r="F19" s="0" t="n">
        <f aca="false">F15+F16+F17+F18</f>
        <v>1213.85188145098</v>
      </c>
      <c r="G19" s="0" t="n">
        <f aca="false">G15+G16+G17+G18</f>
        <v>1244.19817848725</v>
      </c>
      <c r="H19" s="0" t="n">
        <f aca="false">H15+H16+H17+H18</f>
        <v>1275.30313294943</v>
      </c>
      <c r="I19" s="0" t="n">
        <f aca="false">I15+I16+I17+I18</f>
        <v>1307.18571127317</v>
      </c>
      <c r="J19" s="0" t="n">
        <f aca="false">J15+J16+J17+J18</f>
        <v>1333.32942549863</v>
      </c>
      <c r="K19" s="0" t="n">
        <f aca="false">K15+K16+K17+K18</f>
        <v>1359.9960140086</v>
      </c>
      <c r="L19" s="0" t="n">
        <f aca="false">L15+L16+L17+L18</f>
        <v>1387.19593428877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1014.47162100457</v>
      </c>
      <c r="D21" s="0" t="n">
        <f aca="false">D19*D20</f>
        <v>954.251844415254</v>
      </c>
      <c r="E21" s="0" t="n">
        <f aca="false">E19*E20</f>
        <v>897.606757760467</v>
      </c>
      <c r="F21" s="0" t="n">
        <f aca="false">F19*F20</f>
        <v>844.324164834047</v>
      </c>
      <c r="G21" s="0" t="n">
        <f aca="false">G19*G20</f>
        <v>790.3491040684</v>
      </c>
      <c r="H21" s="0" t="n">
        <f aca="false">H19*H20</f>
        <v>739.82450380832</v>
      </c>
      <c r="I21" s="0" t="n">
        <f aca="false">I19*I20</f>
        <v>692.529786669888</v>
      </c>
      <c r="J21" s="0" t="n">
        <f aca="false">J19*J20</f>
        <v>645.096239637704</v>
      </c>
      <c r="K21" s="0" t="n">
        <f aca="false">K19*K20</f>
        <v>600.911565689916</v>
      </c>
      <c r="L21" s="0" t="n">
        <f aca="false">L19*L20</f>
        <v>559.753239272799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7739.11882716136</v>
      </c>
    </row>
    <row r="31" customFormat="false" ht="15" hidden="false" customHeight="false" outlineLevel="0" collapsed="false">
      <c r="A31" s="0" t="s">
        <v>132</v>
      </c>
      <c r="B31" s="0" t="n">
        <f aca="false">L19</f>
        <v>1387.19593428877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18865.8647063273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27743.9186857755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18865.8647063273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7612.64405411007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15351.7628812714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15351.7628812714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103.156584338607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0.144912145822492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103.156584338607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12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14149.3985297455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77.2001005012204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-2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1371.5</v>
      </c>
      <c r="C6" s="0" t="n">
        <f aca="false">B6*(1+C5/100)</f>
        <v>1344.07</v>
      </c>
      <c r="D6" s="0" t="n">
        <f aca="false">C6*(1+D5/100)</f>
        <v>1404.55315</v>
      </c>
      <c r="E6" s="0" t="n">
        <f aca="false">D6*(1+E5/100)</f>
        <v>1467.75804175</v>
      </c>
      <c r="F6" s="0" t="n">
        <f aca="false">E6*(1+F5/100)</f>
        <v>1526.46836342</v>
      </c>
      <c r="G6" s="0" t="n">
        <f aca="false">F6*(1+G5/100)</f>
        <v>1579.8947561397</v>
      </c>
      <c r="H6" s="0" t="n">
        <f aca="false">G6*(1+H5/100)</f>
        <v>1627.29159882389</v>
      </c>
      <c r="I6" s="0" t="n">
        <f aca="false">H6*(1+I5/100)</f>
        <v>1676.11034678861</v>
      </c>
      <c r="J6" s="0" t="n">
        <f aca="false">I6*(1+J5/100)</f>
        <v>1718.01310545832</v>
      </c>
      <c r="K6" s="0" t="n">
        <f aca="false">J6*(1+K5/100)</f>
        <v>1760.96343309478</v>
      </c>
      <c r="L6" s="0" t="n">
        <f aca="false">K6*(1+L5/100)</f>
        <v>1804.98751892215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1344.07</v>
      </c>
      <c r="D8" s="0" t="n">
        <f aca="false">D6*D7/100</f>
        <v>1404.55315</v>
      </c>
      <c r="E8" s="0" t="n">
        <f aca="false">E6*E7/100</f>
        <v>1467.75804175</v>
      </c>
      <c r="F8" s="0" t="n">
        <f aca="false">F6*F7/100</f>
        <v>1526.46836342</v>
      </c>
      <c r="G8" s="0" t="n">
        <f aca="false">G6*G7/100</f>
        <v>1579.8947561397</v>
      </c>
      <c r="H8" s="0" t="n">
        <f aca="false">H6*H7/100</f>
        <v>1627.29159882389</v>
      </c>
      <c r="I8" s="0" t="n">
        <f aca="false">I6*I7/100</f>
        <v>1676.11034678861</v>
      </c>
      <c r="J8" s="0" t="n">
        <f aca="false">J6*J7/100</f>
        <v>1718.01310545832</v>
      </c>
      <c r="K8" s="0" t="n">
        <f aca="false">K6*K7/100</f>
        <v>1760.96343309478</v>
      </c>
      <c r="L8" s="0" t="n">
        <f aca="false">L6*L7/100</f>
        <v>1804.98751892215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1344.07</v>
      </c>
      <c r="D11" s="0" t="n">
        <f aca="false">D8+D10+D24</f>
        <v>1404.55315</v>
      </c>
      <c r="E11" s="0" t="n">
        <f aca="false">E8+E10+E24</f>
        <v>1467.75804175</v>
      </c>
      <c r="F11" s="0" t="n">
        <f aca="false">F8+F10+F24</f>
        <v>1526.46836342</v>
      </c>
      <c r="G11" s="0" t="n">
        <f aca="false">G8+G10+G24</f>
        <v>1579.8947561397</v>
      </c>
      <c r="H11" s="0" t="n">
        <f aca="false">H8+H10+H24</f>
        <v>1627.29159882389</v>
      </c>
      <c r="I11" s="0" t="n">
        <f aca="false">I8+I10+I24</f>
        <v>1676.11034678861</v>
      </c>
      <c r="J11" s="0" t="n">
        <f aca="false">J8+J10+J24</f>
        <v>1718.01310545832</v>
      </c>
      <c r="K11" s="0" t="n">
        <f aca="false">K8+K10+K24</f>
        <v>1760.96343309478</v>
      </c>
      <c r="L11" s="0" t="n">
        <f aca="false">L8+L10+L24</f>
        <v>1804.98751892215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1344.07</v>
      </c>
      <c r="D13" s="0" t="n">
        <f aca="false">D11+D12</f>
        <v>1404.55315</v>
      </c>
      <c r="E13" s="0" t="n">
        <f aca="false">E11+E12</f>
        <v>1467.75804175</v>
      </c>
      <c r="F13" s="0" t="n">
        <f aca="false">F11+F12</f>
        <v>1526.46836342</v>
      </c>
      <c r="G13" s="0" t="n">
        <f aca="false">G11+G12</f>
        <v>1579.8947561397</v>
      </c>
      <c r="H13" s="0" t="n">
        <f aca="false">H11+H12</f>
        <v>1627.29159882389</v>
      </c>
      <c r="I13" s="0" t="n">
        <f aca="false">I11+I12</f>
        <v>1676.11034678861</v>
      </c>
      <c r="J13" s="0" t="n">
        <f aca="false">J11+J12</f>
        <v>1718.01310545832</v>
      </c>
      <c r="K13" s="0" t="n">
        <f aca="false">K11+K12</f>
        <v>1760.96343309478</v>
      </c>
      <c r="L13" s="0" t="n">
        <f aca="false">L11+L12</f>
        <v>1804.98751892215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1344.07</v>
      </c>
      <c r="D15" s="0" t="n">
        <f aca="false">D13-MAX(0,D13)*D14/100</f>
        <v>1404.55315</v>
      </c>
      <c r="E15" s="0" t="n">
        <f aca="false">E13-MAX(0,E13)*E14/100</f>
        <v>1467.75804175</v>
      </c>
      <c r="F15" s="0" t="n">
        <f aca="false">F13-MAX(0,F13)*F14/100</f>
        <v>1526.46836342</v>
      </c>
      <c r="G15" s="0" t="n">
        <f aca="false">G13-MAX(0,G13)*G14/100</f>
        <v>1579.8947561397</v>
      </c>
      <c r="H15" s="0" t="n">
        <f aca="false">H13-MAX(0,H13)*H14/100</f>
        <v>1627.29159882389</v>
      </c>
      <c r="I15" s="0" t="n">
        <f aca="false">I13-MAX(0,I13)*I14/100</f>
        <v>1676.11034678861</v>
      </c>
      <c r="J15" s="0" t="n">
        <f aca="false">J13-MAX(0,J13)*J14/100</f>
        <v>1718.01310545832</v>
      </c>
      <c r="K15" s="0" t="n">
        <f aca="false">K13-MAX(0,K13)*K14/100</f>
        <v>1760.96343309478</v>
      </c>
      <c r="L15" s="0" t="n">
        <f aca="false">L13-MAX(0,L13)*L14/100</f>
        <v>1804.98751892215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-201.6105</v>
      </c>
      <c r="D17" s="4" t="n">
        <f aca="false">-D6*Assumptions!D46/100</f>
        <v>-210.6829725</v>
      </c>
      <c r="E17" s="4" t="n">
        <f aca="false">-E6*Assumptions!E46/100</f>
        <v>-220.1637062625</v>
      </c>
      <c r="F17" s="4" t="n">
        <f aca="false">-F6*Assumptions!F46/100</f>
        <v>-228.970254513</v>
      </c>
      <c r="G17" s="4" t="n">
        <f aca="false">-G6*Assumptions!G46/100</f>
        <v>-236.984213420955</v>
      </c>
      <c r="H17" s="4" t="n">
        <f aca="false">-H6*Assumptions!H46/100</f>
        <v>-244.093739823584</v>
      </c>
      <c r="I17" s="4" t="n">
        <f aca="false">-I6*Assumptions!I46/100</f>
        <v>-251.416552018291</v>
      </c>
      <c r="J17" s="4" t="n">
        <f aca="false">-J6*Assumptions!J46/100</f>
        <v>-257.701965818748</v>
      </c>
      <c r="K17" s="4" t="n">
        <f aca="false">-K6*Assumptions!K46/100</f>
        <v>-264.144514964217</v>
      </c>
      <c r="L17" s="4" t="n">
        <f aca="false">-L6*Assumptions!L46/100</f>
        <v>-270.748127838322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1142.4595</v>
      </c>
      <c r="D19" s="0" t="n">
        <f aca="false">D15+D16+D17+D18</f>
        <v>1193.8701775</v>
      </c>
      <c r="E19" s="0" t="n">
        <f aca="false">E15+E16+E17+E18</f>
        <v>1247.5943354875</v>
      </c>
      <c r="F19" s="0" t="n">
        <f aca="false">F15+F16+F17+F18</f>
        <v>1297.498108907</v>
      </c>
      <c r="G19" s="0" t="n">
        <f aca="false">G15+G16+G17+G18</f>
        <v>1342.91054271874</v>
      </c>
      <c r="H19" s="0" t="n">
        <f aca="false">H15+H16+H17+H18</f>
        <v>1383.19785900031</v>
      </c>
      <c r="I19" s="0" t="n">
        <f aca="false">I15+I16+I17+I18</f>
        <v>1424.69379477032</v>
      </c>
      <c r="J19" s="0" t="n">
        <f aca="false">J15+J16+J17+J18</f>
        <v>1460.31113963957</v>
      </c>
      <c r="K19" s="0" t="n">
        <f aca="false">K15+K16+K17+K18</f>
        <v>1496.81891813056</v>
      </c>
      <c r="L19" s="0" t="n">
        <f aca="false">L15+L16+L17+L18</f>
        <v>1534.23939108383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1052.95806451613</v>
      </c>
      <c r="D21" s="0" t="n">
        <f aca="false">D19*D20</f>
        <v>1014.13933402706</v>
      </c>
      <c r="E21" s="0" t="n">
        <f aca="false">E19*E20</f>
        <v>976.751708809468</v>
      </c>
      <c r="F21" s="0" t="n">
        <f aca="false">F19*F20</f>
        <v>936.241269273591</v>
      </c>
      <c r="G21" s="0" t="n">
        <f aca="false">G19*G20</f>
        <v>893.096510320891</v>
      </c>
      <c r="H21" s="0" t="n">
        <f aca="false">H19*H20</f>
        <v>847.824336986652</v>
      </c>
      <c r="I21" s="0" t="n">
        <f aca="false">I19*I20</f>
        <v>804.847066448158</v>
      </c>
      <c r="J21" s="0" t="n">
        <f aca="false">J19*J20</f>
        <v>760.339394570841</v>
      </c>
      <c r="K21" s="0" t="n">
        <f aca="false">K19*K20</f>
        <v>718.292976437891</v>
      </c>
      <c r="L21" s="0" t="n">
        <f aca="false">L19*L20</f>
        <v>678.571705851464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8683.06236724214</v>
      </c>
    </row>
    <row r="31" customFormat="false" ht="15" hidden="false" customHeight="false" outlineLevel="0" collapsed="false">
      <c r="A31" s="0" t="s">
        <v>132</v>
      </c>
      <c r="B31" s="0" t="n">
        <f aca="false">L19</f>
        <v>1534.23939108383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26209.9229310154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30684.7878216765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26209.9229310154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11592.2666416292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20275.3290088713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20275.3290088713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136.240619599995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0.512104546059882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136.240619599995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12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16553.6355353781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85.6403981846388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72.6591267974401</v>
      </c>
      <c r="C4" s="0" t="n">
        <f aca="false">B4/Assumptions!$B$2-1</f>
        <v>-0.193572399584461</v>
      </c>
      <c r="D4" s="4" t="n">
        <f aca="false">Assumptions!$B$24</f>
        <v>0.25</v>
      </c>
      <c r="E4" s="4" t="n">
        <f aca="false">DCF_Bear!$B$43</f>
        <v>72.6591267974401</v>
      </c>
      <c r="F4" s="4" t="n">
        <f aca="false">DCF_Bear!$B$47</f>
        <v>62.7125263268963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103.156584338607</v>
      </c>
      <c r="C5" s="0" t="n">
        <f aca="false">B5/Assumptions!$B$2-1</f>
        <v>0.144912145822492</v>
      </c>
      <c r="D5" s="4" t="n">
        <f aca="false">Assumptions!$B$38</f>
        <v>0.5</v>
      </c>
      <c r="E5" s="4" t="n">
        <f aca="false">DCF_Base!$B$43</f>
        <v>103.156584338607</v>
      </c>
      <c r="F5" s="4" t="n">
        <f aca="false">DCF_Base!$B$47</f>
        <v>77.2001005012204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136.240619599995</v>
      </c>
      <c r="C6" s="0" t="n">
        <f aca="false">B6/Assumptions!$B$2-1</f>
        <v>0.512104546059882</v>
      </c>
      <c r="D6" s="4" t="n">
        <f aca="false">Assumptions!$B$52</f>
        <v>0.25</v>
      </c>
      <c r="E6" s="4" t="n">
        <f aca="false">DCF_Bull!$B$43</f>
        <v>136.240619599995</v>
      </c>
      <c r="F6" s="4" t="n">
        <f aca="false">DCF_Bull!$B$47</f>
        <v>85.6403981846388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103.803228768662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103.803228768662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0.13201158510398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75.688281378494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110.575867527288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103.156584338607</v>
      </c>
      <c r="C16" s="3" t="n">
        <v>9.5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96.6656636433928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85.8499069736264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77.2001005012204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59.2469035985197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127.33665844512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133.569781862434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140.936200446533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147.514583554194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147.514583554194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109.962189690204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114.222287440409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119.137784844492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124.872531815923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131.649960054886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96.6960380067703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99.7244190998186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103.156584338607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107.079058897221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111.604991080239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86.2395154360041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88.4588352701727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90.93925155542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93.7297198763232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96.8922506400136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77.7887751986006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79.4551911182526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81.2970192399732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83.3434949307739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85.6307324675512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2026-10-25T23:36:49Z</dcterms:created>
  <dc:creator>openpyxl</dc:creator>
  <dc:description/>
  <dc:language>en-NZ</dc:language>
  <cp:lastModifiedBy/>
  <dcterms:modified xsi:type="dcterms:W3CDTF">2026-10-25T23:36:49Z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