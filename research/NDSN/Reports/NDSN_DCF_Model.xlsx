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<sst xmlns="http://schemas.openxmlformats.org/spreadsheetml/2006/main" count="386" uniqueCount="174">
  <si>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</si>
  <si>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NDSN</t>
  </si>
  <si>
    <t xml:space="preserve">Company</t>
  </si>
  <si>
    <t xml:space="preserve">Nordson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</si>
  <si>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</si>
  <si>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</si>
  <si>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</si>
  <si>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</si>
  <si>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 (Yahoo Finance chart API, regularMarketTime); 52-week range 223.29-339.12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</si>
  <si>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</si>
  <si>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</si>
  <si>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</si>
  <si>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</si>
  <si>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</si>
  <si>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</si>
  <si>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</si>
  <si>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</si>
  <si>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</si>
  <si>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</si>
  <si>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</si>
  <si>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</si>
  <si>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2026-10-02T02:38:55Z</t>
  </si>
  <si>
    <t xml:space="preserve">Drivers file</t>
  </si>
  <si>
    <t xml:space="preserve">NDSN_Drivers.json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</si>
  <si>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</si>
  <si>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</si>
  <si>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</si>
  <si>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Nordson is a high-quality compounder (30%+ EBITDA margins, ~60% recurring revenue, 61 years of dividend growth) valued here on fully SBC-expensed owner free cash flow at a 9% USD WACC with a cyclical bear case explicitly in the flows. At the current price the market pays roughly 28-29x trailing owner FCF - an EV/FCF multiple the Gordon terminal value at 9%/2.5% (15.8x) does not reach even in the bull case, so the house value sits well below the price and the 15% hurdle entry price sits far below it. The gap is the price of the AI-packaging re-rating thesis, stated explicitly rather than buried in a terminal multiple. SBC is small (0.8% of revenue), so the house/street band is narrow and the valuation does not depend on SBC treatment.
key_risks_to_valuation: FY0 revenue is a cyclical high in Advanced Technology Solutions; if FY2026 proves the peak of the AI packaging cycle, the base path's 8%/6.5% FY2027-28 growth is too high and the bear path is the base; Tariff escalation on China/Mexico/Canada sourcing against a 67% non-US revenue base; pricing has offset costs so far but each round of escalation lags; No M&amp;A is modelled: Nordson's Ascend 6-8% framework includes 2-3pp of acquisitions, so the model understates growth but also excludes the capital spent to buy it - value-neutral only if deals earn the WACC; Working-capital capture (-12%) and the 23% cash tax rate are judgment calls worth ~$5-8/share each in the base case; Terminal value is ~55-60% of enterprise value at a 9% WACC; a 1pp WACC move is worth ~$30-35/share</t>
  </si>
  <si>
    <t xml:space="preserve">Data sources</t>
  </si>
  <si>
    <t xml:space="preserve">price: Yahoo Finance chart API (query1.finance.yahoo.com/v8/finance/chart/NDSN) at inputs.price_as_of; regular-session close, 52-week range 223.29-339.12
financials: SEC XBRL companyfacts API (CIK 0000072331): 10-K FY2025 (period to 2025-10-31) and 10-Q Q3 FY2026 (to 2026-07-31) for revenue, operating income, depreciation, intangible amortization, SBC, OCF, capex, cash, commercial paper, long-term debt, finance and operating lease liabilities, diluted share increment, cover-page shares, interest paid, income taxes paid; research/NDSN/Reports/NDSN_Metrics.csv (FY2008-Q3 FY2026) for the historical CAGR series
qualitative: research/NDSN/Reports/NDSN_Analysis.json (2026-10-02): segments, Ascend framework, FY2026 guidance ($3,035-3,075M revenue, $11.80-12.00 adjusted EPS, 19-Aug-2026), backlog, bull/bear axes</t>
  </si>
  <si>
    <t xml:space="preserve">Scenario narrative: bear</t>
  </si>
  <si>
    <t xml:space="preserve">AI capex digests in FY2027-28 and ATS - a quarter of revenue at a cyclical peak - falls by a quarter in FY2028, as Nordson's electronics equipment lines did in FY2009 and FY2023-24. Tariff escalation across the ~67% non-US footprint compresses IPS margins. Revenue dips 6% in FY2028 and recovers at 2-4%; EBITDA troughs at 29.5% and rebuilds to 31%. The balance sheet (net debt ~2.3x owner FCF, investment-grade) carries no solvency risk, so this is an earnings-and-multiple bear, not a going-concern one.</t>
  </si>
  <si>
    <t xml:space="preserve">Scenario narrative: base</t>
  </si>
  <si>
    <t xml:space="preserve">Nordson exits FY2026 at the Ascend $3B milestone with a record backlog. Growth decelerates from 8% to 3% over ten years as the ATS semiconductor-packaging upcycle normalises and IPS tracks global industrial production at mid-single digits, while the MFS/ATS mix shift and NBS Next add ~90bp of EBITDA margin to 33%. No M&amp;A is modelled; D&amp;A tapers as acquired intangibles amortise off. Owner FCF margin runs ~22-23% of revenue throughout.</t>
  </si>
  <si>
    <t xml:space="preserve">Scenario narrative: bull</t>
  </si>
  <si>
    <t xml:space="preserve">The AI infrastructure buildout (advanced/panel-level packaging, optical interconnect, test &amp; inspection) is a multi-year cycle rather than a 2026 spike; ATS keeps compounding high-teens for three years and MFS sustains ~8% on Atrion. Revenue grows 11% -&gt; 7% through FY2030 and pre-SBC EBITDA reaches 34.5% on mix.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</si>
  <si>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</si>
  <si>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</si>
  <si>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</si>
  <si>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</si>
  <si>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</si>
  <si>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</si>
  <si>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</si>
  <si>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</si>
  <si>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</si>
  <si>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</si>
  <si>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</si>
  <si>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</si>
  <si>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</si>
  <si>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</si>
  <si>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</si>
  <si>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</si>
  <si>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</si>
  <si>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</si>
  <si>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</si>
  <si>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</si>
  <si>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</si>
  <si>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</si>
  <si>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</si>
  <si>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</si>
  <si>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</si>
  <si>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</si>
  <si>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</si>
  <si>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</si>
  <si>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</si>
  <si>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</si>
  <si>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</si>
  <si>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</si>
  <si>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</si>
  <si>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</si>
  <si>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</si>
  <si>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</si>
  <si>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</si>
  <si>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</si>
  <si>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</si>
  <si>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</si>
  <si>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</si>
  <si>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</si>
  <si>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</si>
  <si>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</si>
  <si>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</si>
  <si>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</si>
  <si>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</si>
  <si>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</si>
  <si>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</si>
  <si>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</si>
  <si>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</si>
  <si>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</si>
  <si>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</si>
  <si>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</si>
  <si>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</si>
  <si>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</si>
  <si>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</si>
  <si>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</si>
  <si>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</si>
  <si>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</si>
  <si>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</si>
  <si>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</si>
  <si>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</si>
  <si>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</si>
  <si>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</si>
  <si>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</si>
  <si>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</si>
  <si>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</si>
  <si>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</si>
  <si>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</si>
  <si>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</si>
  <si>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</si>
  <si>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</si>
  <si>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</si>
  <si>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</si>
  <si>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</si>
  <si>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</si>
  <si>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</si>
  <si>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</si>
  <si>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</si>
  <si>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</si>
  <si>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</si>
  <si>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</si>
  <si>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</si>
  <si>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NDSN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</si>
  <si>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</si>
  <si>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</si>
  <si>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</si>
  <si>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</si>
  <si>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</si>
  <si>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</si>
  <si>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</si>
  <si>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</si>
  <si>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</si>
  <si>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</si>
  <si>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</si>
  <si>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</si>
  <si>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</si>
  <si>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</si>
  <si>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</si>
  <si>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</si>
  <si>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</si>
  <si>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</si>
  <si>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</si>
  <si>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</si>
  <si>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</si>
  <si>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</si>
  <si>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</si>
  <si>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</si>
  <si>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</si>
  <si>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</si>
  <si>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</si>
  <si>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</si>
  <si>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</si>
  <si>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</si>
  <si>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NDSN owner-FCF component DCF: base case (millions, USD)</t>
  </si>
  <si>
    <t xml:space="preserve">NDSN owner-FCF component DCF: bull case (millions, USD)</t>
  </si>
  <si>
    <t xml:space="preserve">NDSN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</si>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</sst>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329.02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31.136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1124.829</v>
      </c>
      <c r="C3" s="0" t="n">
        <v>494.394</v>
      </c>
      <c r="F3" s="0" t="n">
        <v>190.338</v>
      </c>
      <c r="G3" s="0" t="n">
        <v>16.9215054021545</v>
      </c>
      <c r="I3" s="0" t="n">
        <v>117.504</v>
      </c>
      <c r="J3" s="0" t="n">
        <v>10.4463878509533</v>
      </c>
      <c r="K3" s="0" t="n">
        <v>3.48</v>
      </c>
      <c r="L3" s="0" t="n">
        <v>114.042</v>
      </c>
      <c r="M3" s="0" t="n">
        <v>26.386</v>
      </c>
      <c r="N3" s="0" t="n">
        <v>87.656</v>
      </c>
      <c r="O3" s="0" t="n">
        <v>574.112</v>
      </c>
      <c r="S3" s="0" t="n">
        <v>11.755</v>
      </c>
      <c r="T3" s="0" t="n">
        <v>34.307</v>
      </c>
      <c r="U3" s="0" t="n">
        <v>9.247</v>
      </c>
      <c r="V3" s="0" t="n">
        <v>0.73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819.165</v>
      </c>
      <c r="C4" s="0" t="n">
        <v>350.239</v>
      </c>
      <c r="F4" s="0" t="n">
        <v>-127.807</v>
      </c>
      <c r="G4" s="0" t="n">
        <v>-15.6021070236155</v>
      </c>
      <c r="I4" s="0" t="n">
        <v>-160.055</v>
      </c>
      <c r="J4" s="0" t="n">
        <v>-19.5387986547277</v>
      </c>
      <c r="K4" s="0" t="n">
        <v>-2.38</v>
      </c>
      <c r="L4" s="0" t="n">
        <v>168.677</v>
      </c>
      <c r="M4" s="0" t="n">
        <v>12.514</v>
      </c>
      <c r="N4" s="0" t="n">
        <v>156.163</v>
      </c>
      <c r="O4" s="0" t="n">
        <v>369.976</v>
      </c>
      <c r="P4" s="0" t="n">
        <v>890.674</v>
      </c>
      <c r="R4" s="0" t="n">
        <v>4.29</v>
      </c>
      <c r="S4" s="0" t="n">
        <v>18.781</v>
      </c>
      <c r="T4" s="0" t="n">
        <v>67.129</v>
      </c>
      <c r="U4" s="0" t="n">
        <v>3.026</v>
      </c>
      <c r="V4" s="0" t="n">
        <v>0.3688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1041.551</v>
      </c>
      <c r="C5" s="0" t="n">
        <v>419.937</v>
      </c>
      <c r="F5" s="0" t="n">
        <v>234.833</v>
      </c>
      <c r="G5" s="0" t="n">
        <v>22.5464715602021</v>
      </c>
      <c r="I5" s="0" t="n">
        <v>168.048</v>
      </c>
      <c r="J5" s="0" t="n">
        <v>16.1343995637276</v>
      </c>
      <c r="K5" s="0" t="n">
        <v>2.49</v>
      </c>
      <c r="L5" s="0" t="n">
        <v>140.186</v>
      </c>
      <c r="M5" s="0" t="n">
        <v>14.317</v>
      </c>
      <c r="N5" s="0" t="n">
        <v>125.869</v>
      </c>
      <c r="O5" s="0" t="n">
        <v>505.072</v>
      </c>
      <c r="P5" s="0" t="n">
        <v>986.354</v>
      </c>
      <c r="R5" s="0" t="n">
        <v>124.52</v>
      </c>
      <c r="S5" s="0" t="n">
        <v>42.329</v>
      </c>
      <c r="T5" s="0" t="n">
        <v>68.442</v>
      </c>
      <c r="U5" s="0" t="n">
        <v>7.633</v>
      </c>
      <c r="V5" s="0" t="n">
        <v>0.39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1233.159</v>
      </c>
      <c r="C6" s="0" t="n">
        <v>484.727</v>
      </c>
      <c r="F6" s="0" t="n">
        <v>315.543</v>
      </c>
      <c r="G6" s="0" t="n">
        <v>25.5881844920241</v>
      </c>
      <c r="I6" s="0" t="n">
        <v>222.364</v>
      </c>
      <c r="J6" s="0" t="n">
        <v>18.0320623698972</v>
      </c>
      <c r="K6" s="0" t="n">
        <v>3.29</v>
      </c>
      <c r="L6" s="0" t="n">
        <v>246.727</v>
      </c>
      <c r="M6" s="0" t="n">
        <v>20.239</v>
      </c>
      <c r="N6" s="0" t="n">
        <v>226.488</v>
      </c>
      <c r="O6" s="0" t="n">
        <v>571.323</v>
      </c>
      <c r="P6" s="0" t="n">
        <v>1304.45</v>
      </c>
      <c r="R6" s="0" t="n">
        <v>324.787</v>
      </c>
      <c r="S6" s="0" t="n">
        <v>37.408</v>
      </c>
      <c r="T6" s="0" t="n">
        <v>68.425</v>
      </c>
      <c r="U6" s="0" t="n">
        <v>8.845</v>
      </c>
      <c r="V6" s="0" t="n">
        <v>0.44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1409.578</v>
      </c>
      <c r="C7" s="0" t="n">
        <v>586.289</v>
      </c>
      <c r="F7" s="0" t="n">
        <v>335.48</v>
      </c>
      <c r="G7" s="0" t="n">
        <v>23.8000309312433</v>
      </c>
      <c r="I7" s="0" t="n">
        <v>224.829</v>
      </c>
      <c r="J7" s="0" t="n">
        <v>15.950092864673</v>
      </c>
      <c r="K7" s="0" t="n">
        <v>3.49</v>
      </c>
      <c r="L7" s="0" t="n">
        <v>274.398</v>
      </c>
      <c r="M7" s="0" t="n">
        <v>30.959</v>
      </c>
      <c r="N7" s="0" t="n">
        <v>243.439</v>
      </c>
      <c r="O7" s="0" t="n">
        <v>669.77</v>
      </c>
      <c r="P7" s="0" t="n">
        <v>1829.515</v>
      </c>
      <c r="R7" s="0" t="n">
        <v>639.377</v>
      </c>
      <c r="S7" s="0" t="n">
        <v>41.239</v>
      </c>
      <c r="T7" s="0" t="n">
        <v>65.103</v>
      </c>
      <c r="U7" s="0" t="n">
        <v>10.365</v>
      </c>
      <c r="V7" s="0" t="n">
        <v>0.525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1542.921</v>
      </c>
      <c r="C8" s="0" t="n">
        <v>676.777</v>
      </c>
      <c r="F8" s="0" t="n">
        <v>323.849</v>
      </c>
      <c r="G8" s="0" t="n">
        <v>20.9893442373265</v>
      </c>
      <c r="I8" s="0" t="n">
        <v>221.817</v>
      </c>
      <c r="J8" s="0" t="n">
        <v>14.3764327531999</v>
      </c>
      <c r="K8" s="0" t="n">
        <v>3.45</v>
      </c>
      <c r="L8" s="0" t="n">
        <v>268.376</v>
      </c>
      <c r="M8" s="0" t="n">
        <v>47.219</v>
      </c>
      <c r="N8" s="0" t="n">
        <v>221.157</v>
      </c>
      <c r="O8" s="0" t="n">
        <v>887.863</v>
      </c>
      <c r="P8" s="0" t="n">
        <v>2053.179</v>
      </c>
      <c r="R8" s="0" t="n">
        <v>659.822</v>
      </c>
      <c r="S8" s="0" t="n">
        <v>42.375</v>
      </c>
      <c r="T8" s="0" t="n">
        <v>64.908</v>
      </c>
      <c r="U8" s="0" t="n">
        <v>11.762</v>
      </c>
      <c r="V8" s="0" t="n">
        <v>0.63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1704.021</v>
      </c>
      <c r="C9" s="0" t="n">
        <v>758.923</v>
      </c>
      <c r="F9" s="0" t="n">
        <v>367.105</v>
      </c>
      <c r="G9" s="0" t="n">
        <v>21.5434551569494</v>
      </c>
      <c r="I9" s="0" t="n">
        <v>246.773</v>
      </c>
      <c r="J9" s="0" t="n">
        <v>14.481805095125</v>
      </c>
      <c r="K9" s="0" t="n">
        <v>3.88</v>
      </c>
      <c r="M9" s="0" t="n">
        <v>43.574</v>
      </c>
      <c r="O9" s="0" t="n">
        <v>904.797</v>
      </c>
      <c r="P9" s="0" t="n">
        <v>2280.13</v>
      </c>
      <c r="R9" s="0" t="n">
        <v>704.37</v>
      </c>
      <c r="S9" s="0" t="n">
        <v>42.314</v>
      </c>
      <c r="T9" s="0" t="n">
        <v>64.281</v>
      </c>
      <c r="U9" s="0" t="n">
        <v>17.407</v>
      </c>
      <c r="V9" s="0" t="n">
        <v>0.76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1688.666</v>
      </c>
      <c r="C10" s="0" t="n">
        <v>774.702</v>
      </c>
      <c r="F10" s="0" t="n">
        <v>317.73</v>
      </c>
      <c r="G10" s="0" t="n">
        <v>18.8154436697369</v>
      </c>
      <c r="I10" s="0" t="n">
        <v>211.111</v>
      </c>
      <c r="J10" s="0" t="n">
        <v>12.5016433089788</v>
      </c>
      <c r="K10" s="0" t="n">
        <v>3.48</v>
      </c>
      <c r="M10" s="0" t="n">
        <v>62.087</v>
      </c>
      <c r="O10" s="0" t="n">
        <v>660.016</v>
      </c>
      <c r="P10" s="0" t="n">
        <v>2358.314</v>
      </c>
      <c r="R10" s="0" t="n">
        <v>1138.327</v>
      </c>
      <c r="S10" s="0" t="n">
        <v>50.268</v>
      </c>
      <c r="T10" s="0" t="n">
        <v>61.151</v>
      </c>
      <c r="U10" s="0" t="n">
        <v>15.262</v>
      </c>
      <c r="V10" s="0" t="n">
        <v>0.9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1808.994</v>
      </c>
      <c r="C11" s="0" t="n">
        <v>815.495</v>
      </c>
      <c r="F11" s="0" t="n">
        <v>388.431</v>
      </c>
      <c r="G11" s="0" t="n">
        <v>21.4722105214279</v>
      </c>
      <c r="I11" s="0" t="n">
        <v>271.843</v>
      </c>
      <c r="J11" s="0" t="n">
        <v>15.0273024675593</v>
      </c>
      <c r="K11" s="0" t="n">
        <v>4.76</v>
      </c>
      <c r="L11" s="0" t="n">
        <v>334.634</v>
      </c>
      <c r="M11" s="0" t="n">
        <v>60.851</v>
      </c>
      <c r="N11" s="0" t="n">
        <v>273.783</v>
      </c>
      <c r="O11" s="0" t="n">
        <v>851.603</v>
      </c>
      <c r="P11" s="0" t="n">
        <v>2420.583</v>
      </c>
      <c r="R11" s="0" t="n">
        <v>1018.957</v>
      </c>
      <c r="S11" s="0" t="n">
        <v>67.239</v>
      </c>
      <c r="T11" s="0" t="n">
        <v>57.53</v>
      </c>
      <c r="U11" s="0" t="n">
        <v>18.211</v>
      </c>
      <c r="V11" s="0" t="n">
        <v>0.99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2066.982</v>
      </c>
      <c r="C12" s="0" t="n">
        <v>927.692</v>
      </c>
      <c r="F12" s="0" t="n">
        <v>466.402</v>
      </c>
      <c r="G12" s="0" t="n">
        <v>22.5643958196056</v>
      </c>
      <c r="I12" s="0" t="n">
        <v>295.802</v>
      </c>
      <c r="J12" s="0" t="n">
        <v>14.3108164463938</v>
      </c>
      <c r="K12" s="0" t="n">
        <v>5.14</v>
      </c>
      <c r="L12" s="0" t="n">
        <v>356.752</v>
      </c>
      <c r="M12" s="0" t="n">
        <v>71.558</v>
      </c>
      <c r="N12" s="0" t="n">
        <v>285.194</v>
      </c>
      <c r="O12" s="0" t="n">
        <v>1155.493</v>
      </c>
      <c r="P12" s="0" t="n">
        <v>3414.539</v>
      </c>
      <c r="R12" s="0" t="n">
        <v>1909.571</v>
      </c>
      <c r="S12" s="0" t="n">
        <v>90.383</v>
      </c>
      <c r="T12" s="0" t="n">
        <v>58.204</v>
      </c>
      <c r="U12" s="0" t="n">
        <v>20.168</v>
      </c>
      <c r="V12" s="0" t="n">
        <v>1.11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2254.668</v>
      </c>
      <c r="C13" s="0" t="n">
        <v>1018.34</v>
      </c>
      <c r="F13" s="0" t="n">
        <v>502.579</v>
      </c>
      <c r="G13" s="0" t="n">
        <v>22.290598881964</v>
      </c>
      <c r="I13" s="0" t="n">
        <v>377.375</v>
      </c>
      <c r="J13" s="0" t="n">
        <v>16.7374974940878</v>
      </c>
      <c r="K13" s="0" t="n">
        <v>6.51</v>
      </c>
      <c r="L13" s="0" t="n">
        <v>504.638</v>
      </c>
      <c r="M13" s="0" t="n">
        <v>89.79</v>
      </c>
      <c r="N13" s="0" t="n">
        <v>414.848</v>
      </c>
      <c r="O13" s="0" t="n">
        <v>1450.741</v>
      </c>
      <c r="P13" s="0" t="n">
        <v>3421.012</v>
      </c>
      <c r="R13" s="0" t="n">
        <v>1342.825</v>
      </c>
      <c r="S13" s="0" t="n">
        <v>95.678</v>
      </c>
      <c r="T13" s="0" t="n">
        <v>58.931</v>
      </c>
      <c r="U13" s="0" t="n">
        <v>21.55</v>
      </c>
      <c r="V13" s="0" t="n">
        <v>1.25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2194.226</v>
      </c>
      <c r="C14" s="0" t="n">
        <v>1002.123</v>
      </c>
      <c r="F14" s="0" t="n">
        <v>483.113</v>
      </c>
      <c r="G14" s="0" t="n">
        <v>22.017467662857</v>
      </c>
      <c r="I14" s="0" t="n">
        <v>337.091</v>
      </c>
      <c r="J14" s="0" t="n">
        <v>15.362638123876</v>
      </c>
      <c r="K14" s="0" t="n">
        <v>5.87</v>
      </c>
      <c r="L14" s="0" t="n">
        <v>382.893</v>
      </c>
      <c r="M14" s="0" t="n">
        <v>64.244</v>
      </c>
      <c r="N14" s="0" t="n">
        <v>318.649</v>
      </c>
      <c r="O14" s="0" t="n">
        <v>1581.045</v>
      </c>
      <c r="P14" s="0" t="n">
        <v>3516.447</v>
      </c>
      <c r="R14" s="0" t="n">
        <v>1412.88</v>
      </c>
      <c r="S14" s="0" t="n">
        <v>151.164</v>
      </c>
      <c r="T14" s="0" t="n">
        <v>58.202</v>
      </c>
      <c r="U14" s="0" t="n">
        <v>18.086</v>
      </c>
      <c r="V14" s="0" t="n">
        <v>1.43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2121.1</v>
      </c>
      <c r="C15" s="0" t="n">
        <v>990.632</v>
      </c>
      <c r="F15" s="0" t="n">
        <v>349.545</v>
      </c>
      <c r="G15" s="0" t="n">
        <v>16.4794210551129</v>
      </c>
      <c r="I15" s="0" t="n">
        <v>249.539</v>
      </c>
      <c r="J15" s="0" t="n">
        <v>11.7646032718872</v>
      </c>
      <c r="K15" s="0" t="n">
        <v>4.32</v>
      </c>
      <c r="L15" s="0" t="n">
        <v>502.421</v>
      </c>
      <c r="M15" s="0" t="n">
        <v>50.535</v>
      </c>
      <c r="N15" s="0" t="n">
        <v>451.886</v>
      </c>
      <c r="O15" s="0" t="n">
        <v>1758.991</v>
      </c>
      <c r="P15" s="0" t="n">
        <v>3674.656</v>
      </c>
      <c r="R15" s="0" t="n">
        <v>1144.038</v>
      </c>
      <c r="S15" s="0" t="n">
        <v>208.293</v>
      </c>
      <c r="T15" s="0" t="n">
        <v>58.473</v>
      </c>
      <c r="U15" s="0" t="n">
        <v>12.856</v>
      </c>
      <c r="V15" s="0" t="n">
        <v>1.53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2362.209</v>
      </c>
      <c r="C16" s="0" t="n">
        <v>1038.129</v>
      </c>
      <c r="F16" s="0" t="n">
        <v>615.127</v>
      </c>
      <c r="G16" s="0" t="n">
        <v>26.0403292003375</v>
      </c>
      <c r="H16" s="0" t="n">
        <v>719.01</v>
      </c>
      <c r="I16" s="0" t="n">
        <v>454.368</v>
      </c>
      <c r="J16" s="0" t="n">
        <v>19.2348771848723</v>
      </c>
      <c r="K16" s="0" t="n">
        <v>7.82</v>
      </c>
      <c r="L16" s="0" t="n">
        <v>545.927</v>
      </c>
      <c r="M16" s="0" t="n">
        <v>38.303</v>
      </c>
      <c r="N16" s="0" t="n">
        <v>507.624</v>
      </c>
      <c r="O16" s="0" t="n">
        <v>2159.13</v>
      </c>
      <c r="P16" s="0" t="n">
        <v>3790.961</v>
      </c>
      <c r="R16" s="0" t="n">
        <v>846.54</v>
      </c>
      <c r="S16" s="0" t="n">
        <v>299.972</v>
      </c>
      <c r="T16" s="0" t="n">
        <v>58.734</v>
      </c>
      <c r="U16" s="0" t="n">
        <v>22.757</v>
      </c>
      <c r="V16" s="0" t="n">
        <v>1.69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2590.278</v>
      </c>
      <c r="C17" s="0" t="n">
        <v>1163.742</v>
      </c>
      <c r="F17" s="0" t="n">
        <v>702.36</v>
      </c>
      <c r="G17" s="0" t="n">
        <v>27.115236279658</v>
      </c>
      <c r="H17" s="0" t="n">
        <v>802.283</v>
      </c>
      <c r="I17" s="0" t="n">
        <v>513.103</v>
      </c>
      <c r="J17" s="0" t="n">
        <v>19.8088004453576</v>
      </c>
      <c r="K17" s="0" t="n">
        <v>8.9</v>
      </c>
      <c r="L17" s="0" t="n">
        <v>513.131</v>
      </c>
      <c r="M17" s="0" t="n">
        <v>51.428</v>
      </c>
      <c r="N17" s="0" t="n">
        <v>461.703</v>
      </c>
      <c r="O17" s="0" t="n">
        <v>2294.375</v>
      </c>
      <c r="P17" s="0" t="n">
        <v>3820.375</v>
      </c>
      <c r="R17" s="0" t="n">
        <v>1130.394</v>
      </c>
      <c r="S17" s="0" t="n">
        <v>163.457</v>
      </c>
      <c r="T17" s="0" t="n">
        <v>58.249</v>
      </c>
      <c r="U17" s="0" t="n">
        <v>30.748</v>
      </c>
      <c r="V17" s="0" t="n">
        <v>2.18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2628.632</v>
      </c>
      <c r="C18" s="0" t="n">
        <v>1203.227</v>
      </c>
      <c r="F18" s="0" t="n">
        <v>672.761</v>
      </c>
      <c r="G18" s="0" t="n">
        <v>25.5935787131862</v>
      </c>
      <c r="H18" s="0" t="n">
        <v>732.48</v>
      </c>
      <c r="I18" s="0" t="n">
        <v>487.493</v>
      </c>
      <c r="J18" s="0" t="n">
        <v>18.545501994954</v>
      </c>
      <c r="K18" s="0" t="n">
        <v>8.54</v>
      </c>
      <c r="L18" s="0" t="n">
        <v>641.282</v>
      </c>
      <c r="M18" s="0" t="n">
        <v>34.583</v>
      </c>
      <c r="N18" s="0" t="n">
        <v>606.699</v>
      </c>
      <c r="O18" s="0" t="n">
        <v>2598.06</v>
      </c>
      <c r="P18" s="0" t="n">
        <v>5251.77</v>
      </c>
      <c r="R18" s="0" t="n">
        <v>1847.699</v>
      </c>
      <c r="S18" s="0" t="n">
        <v>115.679</v>
      </c>
      <c r="T18" s="0" t="n">
        <v>57.631</v>
      </c>
      <c r="U18" s="0" t="n">
        <v>22.71</v>
      </c>
      <c r="V18" s="0" t="n">
        <v>2.63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2689.921</v>
      </c>
      <c r="C19" s="0" t="n">
        <v>1203.792</v>
      </c>
      <c r="F19" s="0" t="n">
        <v>674.001</v>
      </c>
      <c r="G19" s="0" t="n">
        <v>25.0565351175741</v>
      </c>
      <c r="H19" s="0" t="n">
        <v>750.973</v>
      </c>
      <c r="I19" s="0" t="n">
        <v>467.284</v>
      </c>
      <c r="J19" s="0" t="n">
        <v>17.3716625878604</v>
      </c>
      <c r="K19" s="0" t="n">
        <v>8.17</v>
      </c>
      <c r="L19" s="0" t="n">
        <v>556.193</v>
      </c>
      <c r="M19" s="0" t="n">
        <v>64.41</v>
      </c>
      <c r="N19" s="0" t="n">
        <v>491.783</v>
      </c>
      <c r="O19" s="0" t="n">
        <v>2932.192</v>
      </c>
      <c r="P19" s="0" t="n">
        <v>6000.966</v>
      </c>
      <c r="R19" s="0" t="n">
        <v>2290.768</v>
      </c>
      <c r="S19" s="0" t="n">
        <v>115.952</v>
      </c>
      <c r="T19" s="0" t="n">
        <v>57.616</v>
      </c>
      <c r="U19" s="0" t="n">
        <v>18.957</v>
      </c>
      <c r="V19" s="0" t="n">
        <v>2.82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2791.687</v>
      </c>
      <c r="C20" s="0" t="n">
        <v>1251.903</v>
      </c>
      <c r="F20" s="0" t="n">
        <v>711.725</v>
      </c>
      <c r="G20" s="0" t="n">
        <v>25.4944411748165</v>
      </c>
      <c r="H20" s="0" t="n">
        <v>790.989</v>
      </c>
      <c r="I20" s="0" t="n">
        <v>484.474</v>
      </c>
      <c r="J20" s="0" t="n">
        <v>17.3541661368198</v>
      </c>
      <c r="K20" s="0" t="n">
        <v>8.56</v>
      </c>
      <c r="L20" s="0" t="n">
        <v>719.175</v>
      </c>
      <c r="M20" s="0" t="n">
        <v>58.06</v>
      </c>
      <c r="N20" s="0" t="n">
        <v>661.115</v>
      </c>
      <c r="O20" s="0" t="n">
        <v>3043.571</v>
      </c>
      <c r="P20" s="0" t="n">
        <v>5917.681</v>
      </c>
      <c r="R20" s="0" t="n">
        <v>2311.254</v>
      </c>
      <c r="S20" s="0" t="n">
        <v>108.442</v>
      </c>
      <c r="T20" s="0" t="n">
        <v>56.916</v>
      </c>
      <c r="U20" s="0" t="n">
        <v>18.944</v>
      </c>
      <c r="V20" s="0" t="n">
        <v>3.16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329.02</v>
      </c>
    </row>
    <row r="3" customFormat="false" ht="15" hidden="false" customHeight="false" outlineLevel="0" collapsed="false">
      <c r="A3" s="0" t="s">
        <v>85</v>
      </c>
      <c r="B3" s="3" t="n">
        <v>56</v>
      </c>
    </row>
    <row r="4" customFormat="false" ht="15" hidden="false" customHeight="false" outlineLevel="0" collapsed="false">
      <c r="A4" s="0" t="s">
        <v>86</v>
      </c>
      <c r="B4" s="3" t="n">
        <v>1636.3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3055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</v>
      </c>
      <c r="D13" s="3" t="n">
        <v>-6</v>
      </c>
      <c r="E13" s="3" t="n">
        <v>2</v>
      </c>
      <c r="F13" s="3" t="n">
        <v>4</v>
      </c>
      <c r="G13" s="3" t="n">
        <v>4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31.3</v>
      </c>
      <c r="D14" s="3" t="n">
        <v>29.5</v>
      </c>
      <c r="E14" s="3" t="n">
        <v>30</v>
      </c>
      <c r="F14" s="3" t="n">
        <v>30.5</v>
      </c>
      <c r="G14" s="3" t="n">
        <v>31</v>
      </c>
      <c r="H14" s="3" t="n">
        <v>31</v>
      </c>
      <c r="I14" s="3" t="n">
        <v>31</v>
      </c>
      <c r="J14" s="3" t="n">
        <v>31</v>
      </c>
      <c r="K14" s="3" t="n">
        <v>31</v>
      </c>
      <c r="L14" s="3" t="n">
        <v>31</v>
      </c>
    </row>
    <row r="15" customFormat="false" ht="15" hidden="false" customHeight="false" outlineLevel="0" collapsed="false">
      <c r="A15" s="0" t="s">
        <v>108</v>
      </c>
      <c r="C15" s="3" t="n">
        <v>0.8</v>
      </c>
      <c r="D15" s="3" t="n">
        <v>0.8</v>
      </c>
      <c r="E15" s="3" t="n">
        <v>0.8</v>
      </c>
      <c r="F15" s="3" t="n">
        <v>0.8</v>
      </c>
      <c r="G15" s="3" t="n">
        <v>0.75</v>
      </c>
      <c r="H15" s="3" t="n">
        <v>0.75</v>
      </c>
      <c r="I15" s="3" t="n">
        <v>0.75</v>
      </c>
      <c r="J15" s="3" t="n">
        <v>0.75</v>
      </c>
      <c r="K15" s="3" t="n">
        <v>0.75</v>
      </c>
      <c r="L15" s="3" t="n">
        <v>0.75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4.8</v>
      </c>
      <c r="D17" s="3" t="n">
        <v>4.7</v>
      </c>
      <c r="E17" s="3" t="n">
        <v>4.6</v>
      </c>
      <c r="F17" s="3" t="n">
        <v>4.5</v>
      </c>
      <c r="G17" s="3" t="n">
        <v>4.4</v>
      </c>
      <c r="H17" s="3" t="n">
        <v>4.3</v>
      </c>
      <c r="I17" s="3" t="n">
        <v>4.2</v>
      </c>
      <c r="J17" s="3" t="n">
        <v>4.1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111</v>
      </c>
      <c r="C18" s="3" t="n">
        <v>2.2</v>
      </c>
      <c r="D18" s="3" t="n">
        <v>2.2</v>
      </c>
      <c r="E18" s="3" t="n">
        <v>2.2</v>
      </c>
      <c r="F18" s="3" t="n">
        <v>2.2</v>
      </c>
      <c r="G18" s="3" t="n">
        <v>2.2</v>
      </c>
      <c r="H18" s="3" t="n">
        <v>2.2</v>
      </c>
      <c r="I18" s="3" t="n">
        <v>2.2</v>
      </c>
      <c r="J18" s="3" t="n">
        <v>2.2</v>
      </c>
      <c r="K18" s="3" t="n">
        <v>2.2</v>
      </c>
      <c r="L18" s="3" t="n">
        <v>2.2</v>
      </c>
    </row>
    <row r="19" customFormat="false" ht="15" hidden="false" customHeight="false" outlineLevel="0" collapsed="false">
      <c r="A19" s="0" t="s">
        <v>112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18</v>
      </c>
    </row>
    <row r="23" customFormat="false" ht="15" hidden="false" customHeight="false" outlineLevel="0" collapsed="false">
      <c r="A23" s="0" t="s">
        <v>116</v>
      </c>
      <c r="B23" s="3" t="n">
        <v>-12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8</v>
      </c>
      <c r="D27" s="3" t="n">
        <v>6.5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32.3</v>
      </c>
      <c r="D28" s="3" t="n">
        <v>32.5</v>
      </c>
      <c r="E28" s="3" t="n">
        <v>32.7</v>
      </c>
      <c r="F28" s="3" t="n">
        <v>32.9</v>
      </c>
      <c r="G28" s="3" t="n">
        <v>33</v>
      </c>
      <c r="H28" s="3" t="n">
        <v>33</v>
      </c>
      <c r="I28" s="3" t="n">
        <v>33</v>
      </c>
      <c r="J28" s="3" t="n">
        <v>33</v>
      </c>
      <c r="K28" s="3" t="n">
        <v>33</v>
      </c>
      <c r="L28" s="3" t="n">
        <v>33</v>
      </c>
    </row>
    <row r="29" customFormat="false" ht="15" hidden="false" customHeight="false" outlineLevel="0" collapsed="false">
      <c r="A29" s="0" t="s">
        <v>108</v>
      </c>
      <c r="C29" s="3" t="n">
        <v>0.8</v>
      </c>
      <c r="D29" s="3" t="n">
        <v>0.8</v>
      </c>
      <c r="E29" s="3" t="n">
        <v>0.8</v>
      </c>
      <c r="F29" s="3" t="n">
        <v>0.8</v>
      </c>
      <c r="G29" s="3" t="n">
        <v>0.75</v>
      </c>
      <c r="H29" s="3" t="n">
        <v>0.75</v>
      </c>
      <c r="I29" s="3" t="n">
        <v>0.75</v>
      </c>
      <c r="J29" s="3" t="n">
        <v>0.75</v>
      </c>
      <c r="K29" s="3" t="n">
        <v>0.75</v>
      </c>
      <c r="L29" s="3" t="n">
        <v>0.75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4.8</v>
      </c>
      <c r="D31" s="3" t="n">
        <v>4.7</v>
      </c>
      <c r="E31" s="3" t="n">
        <v>4.6</v>
      </c>
      <c r="F31" s="3" t="n">
        <v>4.5</v>
      </c>
      <c r="G31" s="3" t="n">
        <v>4.4</v>
      </c>
      <c r="H31" s="3" t="n">
        <v>4.3</v>
      </c>
      <c r="I31" s="3" t="n">
        <v>4.2</v>
      </c>
      <c r="J31" s="3" t="n">
        <v>4.1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111</v>
      </c>
      <c r="C32" s="3" t="n">
        <v>2.2</v>
      </c>
      <c r="D32" s="3" t="n">
        <v>2.2</v>
      </c>
      <c r="E32" s="3" t="n">
        <v>2.2</v>
      </c>
      <c r="F32" s="3" t="n">
        <v>2.2</v>
      </c>
      <c r="G32" s="3" t="n">
        <v>2.2</v>
      </c>
      <c r="H32" s="3" t="n">
        <v>2.2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112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-12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11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32.6</v>
      </c>
      <c r="D42" s="3" t="n">
        <v>33.1</v>
      </c>
      <c r="E42" s="3" t="n">
        <v>33.6</v>
      </c>
      <c r="F42" s="3" t="n">
        <v>34</v>
      </c>
      <c r="G42" s="3" t="n">
        <v>34.3</v>
      </c>
      <c r="H42" s="3" t="n">
        <v>34.5</v>
      </c>
      <c r="I42" s="3" t="n">
        <v>34.5</v>
      </c>
      <c r="J42" s="3" t="n">
        <v>34.5</v>
      </c>
      <c r="K42" s="3" t="n">
        <v>34.5</v>
      </c>
      <c r="L42" s="3" t="n">
        <v>34.5</v>
      </c>
    </row>
    <row r="43" customFormat="false" ht="15" hidden="false" customHeight="false" outlineLevel="0" collapsed="false">
      <c r="A43" s="0" t="s">
        <v>108</v>
      </c>
      <c r="C43" s="3" t="n">
        <v>0.8</v>
      </c>
      <c r="D43" s="3" t="n">
        <v>0.8</v>
      </c>
      <c r="E43" s="3" t="n">
        <v>0.8</v>
      </c>
      <c r="F43" s="3" t="n">
        <v>0.8</v>
      </c>
      <c r="G43" s="3" t="n">
        <v>0.75</v>
      </c>
      <c r="H43" s="3" t="n">
        <v>0.75</v>
      </c>
      <c r="I43" s="3" t="n">
        <v>0.75</v>
      </c>
      <c r="J43" s="3" t="n">
        <v>0.75</v>
      </c>
      <c r="K43" s="3" t="n">
        <v>0.75</v>
      </c>
      <c r="L43" s="3" t="n">
        <v>0.75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4.8</v>
      </c>
      <c r="D45" s="3" t="n">
        <v>4.7</v>
      </c>
      <c r="E45" s="3" t="n">
        <v>4.6</v>
      </c>
      <c r="F45" s="3" t="n">
        <v>4.5</v>
      </c>
      <c r="G45" s="3" t="n">
        <v>4.4</v>
      </c>
      <c r="H45" s="3" t="n">
        <v>4.3</v>
      </c>
      <c r="I45" s="3" t="n">
        <v>4.2</v>
      </c>
      <c r="J45" s="3" t="n">
        <v>4.1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111</v>
      </c>
      <c r="C46" s="3" t="n">
        <v>2.2</v>
      </c>
      <c r="D46" s="3" t="n">
        <v>2.2</v>
      </c>
      <c r="E46" s="3" t="n">
        <v>2.2</v>
      </c>
      <c r="F46" s="3" t="n">
        <v>2.2</v>
      </c>
      <c r="G46" s="3" t="n">
        <v>2.2</v>
      </c>
      <c r="H46" s="3" t="n">
        <v>2.2</v>
      </c>
      <c r="I46" s="3" t="n">
        <v>2.2</v>
      </c>
      <c r="J46" s="3" t="n">
        <v>2.2</v>
      </c>
      <c r="K46" s="3" t="n">
        <v>2.2</v>
      </c>
      <c r="L46" s="3" t="n">
        <v>2.2</v>
      </c>
    </row>
    <row r="47" customFormat="false" ht="15" hidden="false" customHeight="false" outlineLevel="0" collapsed="false">
      <c r="A47" s="0" t="s">
        <v>112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-12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</v>
      </c>
      <c r="D5" s="4" t="n">
        <f aca="false">Assumptions!D13</f>
        <v>-6</v>
      </c>
      <c r="E5" s="4" t="n">
        <f aca="false">Assumptions!E13</f>
        <v>2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3055</v>
      </c>
      <c r="C6" s="0" t="n">
        <f aca="false">B6*(1+C5/100)</f>
        <v>3146.65</v>
      </c>
      <c r="D6" s="0" t="n">
        <f aca="false">C6*(1+D5/100)</f>
        <v>2957.851</v>
      </c>
      <c r="E6" s="0" t="n">
        <f aca="false">D6*(1+E5/100)</f>
        <v>3017.00802</v>
      </c>
      <c r="F6" s="0" t="n">
        <f aca="false">E6*(1+F5/100)</f>
        <v>3137.6883408</v>
      </c>
      <c r="G6" s="0" t="n">
        <f aca="false">F6*(1+G5/100)</f>
        <v>3263.195874432</v>
      </c>
      <c r="H6" s="0" t="n">
        <f aca="false">G6*(1+H5/100)</f>
        <v>3377.40773003712</v>
      </c>
      <c r="I6" s="0" t="n">
        <f aca="false">H6*(1+I5/100)</f>
        <v>3478.72996193823</v>
      </c>
      <c r="J6" s="0" t="n">
        <f aca="false">I6*(1+J5/100)</f>
        <v>3583.09186079638</v>
      </c>
      <c r="K6" s="0" t="n">
        <f aca="false">J6*(1+K5/100)</f>
        <v>3672.66915731629</v>
      </c>
      <c r="L6" s="0" t="n">
        <f aca="false">K6*(1+L5/100)</f>
        <v>3764.4858862492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31.3</v>
      </c>
      <c r="D7" s="4" t="n">
        <f aca="false">Assumptions!D14</f>
        <v>29.5</v>
      </c>
      <c r="E7" s="4" t="n">
        <f aca="false">Assumptions!E14</f>
        <v>30</v>
      </c>
      <c r="F7" s="4" t="n">
        <f aca="false">Assumptions!F14</f>
        <v>30.5</v>
      </c>
      <c r="G7" s="4" t="n">
        <f aca="false">Assumptions!G14</f>
        <v>31</v>
      </c>
      <c r="H7" s="4" t="n">
        <f aca="false">Assumptions!H14</f>
        <v>31</v>
      </c>
      <c r="I7" s="4" t="n">
        <f aca="false">Assumptions!I14</f>
        <v>31</v>
      </c>
      <c r="J7" s="4" t="n">
        <f aca="false">Assumptions!J14</f>
        <v>31</v>
      </c>
      <c r="K7" s="4" t="n">
        <f aca="false">Assumptions!K14</f>
        <v>31</v>
      </c>
      <c r="L7" s="4" t="n">
        <f aca="false">Assumptions!L14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984.90145</v>
      </c>
      <c r="D8" s="0" t="n">
        <f aca="false">D6*D7/100</f>
        <v>872.566045</v>
      </c>
      <c r="E8" s="0" t="n">
        <f aca="false">E6*E7/100</f>
        <v>905.102406</v>
      </c>
      <c r="F8" s="0" t="n">
        <f aca="false">F6*F7/100</f>
        <v>956.994943944</v>
      </c>
      <c r="G8" s="0" t="n">
        <f aca="false">G6*G7/100</f>
        <v>1011.59072107392</v>
      </c>
      <c r="H8" s="0" t="n">
        <f aca="false">H6*H7/100</f>
        <v>1046.99639631151</v>
      </c>
      <c r="I8" s="0" t="n">
        <f aca="false">I6*I7/100</f>
        <v>1078.40628820085</v>
      </c>
      <c r="J8" s="0" t="n">
        <f aca="false">J6*J7/100</f>
        <v>1110.75847684688</v>
      </c>
      <c r="K8" s="0" t="n">
        <f aca="false">K6*K7/100</f>
        <v>1138.52743876805</v>
      </c>
      <c r="L8" s="0" t="n">
        <f aca="false">L6*L7/100</f>
        <v>1166.99062473725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0.8</v>
      </c>
      <c r="D9" s="4" t="n">
        <f aca="false">Assumptions!D15</f>
        <v>0.8</v>
      </c>
      <c r="E9" s="4" t="n">
        <f aca="false">Assumptions!E15</f>
        <v>0.8</v>
      </c>
      <c r="F9" s="4" t="n">
        <f aca="false">Assumptions!F15</f>
        <v>0.8</v>
      </c>
      <c r="G9" s="4" t="n">
        <f aca="false">Assumptions!G15</f>
        <v>0.75</v>
      </c>
      <c r="H9" s="4" t="n">
        <f aca="false">Assumptions!H15</f>
        <v>0.75</v>
      </c>
      <c r="I9" s="4" t="n">
        <f aca="false">Assumptions!I15</f>
        <v>0.75</v>
      </c>
      <c r="J9" s="4" t="n">
        <f aca="false">Assumptions!J15</f>
        <v>0.75</v>
      </c>
      <c r="K9" s="4" t="n">
        <f aca="false">Assumptions!K15</f>
        <v>0.75</v>
      </c>
      <c r="L9" s="4" t="n">
        <f aca="false">Assumptions!L15</f>
        <v>0.75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-25.1732</v>
      </c>
      <c r="D10" s="0" t="n">
        <f aca="false">-D6*D9/100</f>
        <v>-23.662808</v>
      </c>
      <c r="E10" s="0" t="n">
        <f aca="false">-E6*E9/100</f>
        <v>-24.13606416</v>
      </c>
      <c r="F10" s="0" t="n">
        <f aca="false">-F6*F9/100</f>
        <v>-25.1015067264</v>
      </c>
      <c r="G10" s="0" t="n">
        <f aca="false">-G6*G9/100</f>
        <v>-24.47396905824</v>
      </c>
      <c r="H10" s="0" t="n">
        <f aca="false">-H6*H9/100</f>
        <v>-25.3305579752784</v>
      </c>
      <c r="I10" s="0" t="n">
        <f aca="false">-I6*I9/100</f>
        <v>-26.0904747145368</v>
      </c>
      <c r="J10" s="0" t="n">
        <f aca="false">-J6*J9/100</f>
        <v>-26.8731889559729</v>
      </c>
      <c r="K10" s="0" t="n">
        <f aca="false">-K6*K9/100</f>
        <v>-27.5450186798722</v>
      </c>
      <c r="L10" s="0" t="n">
        <f aca="false">-L6*L9/100</f>
        <v>-28.233644146869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959.72825</v>
      </c>
      <c r="D11" s="0" t="n">
        <f aca="false">D8+D10+D24</f>
        <v>848.903237</v>
      </c>
      <c r="E11" s="0" t="n">
        <f aca="false">E8+E10+E24</f>
        <v>880.96634184</v>
      </c>
      <c r="F11" s="0" t="n">
        <f aca="false">F8+F10+F24</f>
        <v>931.8934372176</v>
      </c>
      <c r="G11" s="0" t="n">
        <f aca="false">G8+G10+G24</f>
        <v>987.11675201568</v>
      </c>
      <c r="H11" s="0" t="n">
        <f aca="false">H8+H10+H24</f>
        <v>1021.66583833623</v>
      </c>
      <c r="I11" s="0" t="n">
        <f aca="false">I8+I10+I24</f>
        <v>1052.31581348632</v>
      </c>
      <c r="J11" s="0" t="n">
        <f aca="false">J8+J10+J24</f>
        <v>1083.88528789091</v>
      </c>
      <c r="K11" s="0" t="n">
        <f aca="false">K8+K10+K24</f>
        <v>1110.98242008818</v>
      </c>
      <c r="L11" s="0" t="n">
        <f aca="false">L8+L10+L24</f>
        <v>1138.75698059038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-151.0392</v>
      </c>
      <c r="D12" s="4" t="n">
        <f aca="false">-D6*Assumptions!D17/100</f>
        <v>-139.018997</v>
      </c>
      <c r="E12" s="4" t="n">
        <f aca="false">-E6*Assumptions!E17/100</f>
        <v>-138.78236892</v>
      </c>
      <c r="F12" s="4" t="n">
        <f aca="false">-F6*Assumptions!F17/100</f>
        <v>-141.195975336</v>
      </c>
      <c r="G12" s="4" t="n">
        <f aca="false">-G6*Assumptions!G17/100</f>
        <v>-143.580618475008</v>
      </c>
      <c r="H12" s="4" t="n">
        <f aca="false">-H6*Assumptions!H17/100</f>
        <v>-145.228532391596</v>
      </c>
      <c r="I12" s="4" t="n">
        <f aca="false">-I6*Assumptions!I17/100</f>
        <v>-146.106658401406</v>
      </c>
      <c r="J12" s="4" t="n">
        <f aca="false">-J6*Assumptions!J17/100</f>
        <v>-146.906766292652</v>
      </c>
      <c r="K12" s="4" t="n">
        <f aca="false">-K6*Assumptions!K17/100</f>
        <v>-146.906766292652</v>
      </c>
      <c r="L12" s="4" t="n">
        <f aca="false">-L6*Assumptions!L17/100</f>
        <v>-150.579435449968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808.68905</v>
      </c>
      <c r="D13" s="0" t="n">
        <f aca="false">D11+D12</f>
        <v>709.88424</v>
      </c>
      <c r="E13" s="0" t="n">
        <f aca="false">E11+E12</f>
        <v>742.18397292</v>
      </c>
      <c r="F13" s="0" t="n">
        <f aca="false">F11+F12</f>
        <v>790.6974618816</v>
      </c>
      <c r="G13" s="0" t="n">
        <f aca="false">G11+G12</f>
        <v>843.536133540672</v>
      </c>
      <c r="H13" s="0" t="n">
        <f aca="false">H11+H12</f>
        <v>876.437305944633</v>
      </c>
      <c r="I13" s="0" t="n">
        <f aca="false">I11+I12</f>
        <v>906.20915508491</v>
      </c>
      <c r="J13" s="0" t="n">
        <f aca="false">J11+J12</f>
        <v>936.978521598254</v>
      </c>
      <c r="K13" s="0" t="n">
        <f aca="false">K11+K12</f>
        <v>964.075653795526</v>
      </c>
      <c r="L13" s="0" t="n">
        <f aca="false">L11+L12</f>
        <v>988.177545140414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622.6905685</v>
      </c>
      <c r="D15" s="0" t="n">
        <f aca="false">D13-MAX(0,D13)*D14/100</f>
        <v>546.6108648</v>
      </c>
      <c r="E15" s="0" t="n">
        <f aca="false">E13-MAX(0,E13)*E14/100</f>
        <v>571.4816591484</v>
      </c>
      <c r="F15" s="0" t="n">
        <f aca="false">F13-MAX(0,F13)*F14/100</f>
        <v>608.837045648832</v>
      </c>
      <c r="G15" s="0" t="n">
        <f aca="false">G13-MAX(0,G13)*G14/100</f>
        <v>649.522822826318</v>
      </c>
      <c r="H15" s="0" t="n">
        <f aca="false">H13-MAX(0,H13)*H14/100</f>
        <v>674.856725577367</v>
      </c>
      <c r="I15" s="0" t="n">
        <f aca="false">I13-MAX(0,I13)*I14/100</f>
        <v>697.781049415381</v>
      </c>
      <c r="J15" s="0" t="n">
        <f aca="false">J13-MAX(0,J13)*J14/100</f>
        <v>721.473461630655</v>
      </c>
      <c r="K15" s="0" t="n">
        <f aca="false">K13-MAX(0,K13)*K14/100</f>
        <v>742.338253422555</v>
      </c>
      <c r="L15" s="0" t="n">
        <f aca="false">L13-MAX(0,L13)*L14/100</f>
        <v>760.896709758119</v>
      </c>
    </row>
    <row r="16" customFormat="false" ht="15" hidden="false" customHeight="false" outlineLevel="0" collapsed="false">
      <c r="A16" s="0" t="s">
        <v>128</v>
      </c>
      <c r="C16" s="0" t="n">
        <f aca="false">-C12</f>
        <v>151.0392</v>
      </c>
      <c r="D16" s="0" t="n">
        <f aca="false">-D12</f>
        <v>139.018997</v>
      </c>
      <c r="E16" s="0" t="n">
        <f aca="false">-E12</f>
        <v>138.78236892</v>
      </c>
      <c r="F16" s="0" t="n">
        <f aca="false">-F12</f>
        <v>141.195975336</v>
      </c>
      <c r="G16" s="0" t="n">
        <f aca="false">-G12</f>
        <v>143.580618475008</v>
      </c>
      <c r="H16" s="0" t="n">
        <f aca="false">-H12</f>
        <v>145.228532391596</v>
      </c>
      <c r="I16" s="0" t="n">
        <f aca="false">-I12</f>
        <v>146.106658401406</v>
      </c>
      <c r="J16" s="0" t="n">
        <f aca="false">-J12</f>
        <v>146.906766292652</v>
      </c>
      <c r="K16" s="0" t="n">
        <f aca="false">-K12</f>
        <v>146.906766292652</v>
      </c>
      <c r="L16" s="0" t="n">
        <f aca="false">-L12</f>
        <v>150.579435449968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-69.2263</v>
      </c>
      <c r="D17" s="4" t="n">
        <f aca="false">-D6*Assumptions!D18/100</f>
        <v>-65.072722</v>
      </c>
      <c r="E17" s="4" t="n">
        <f aca="false">-E6*Assumptions!E18/100</f>
        <v>-66.37417644</v>
      </c>
      <c r="F17" s="4" t="n">
        <f aca="false">-F6*Assumptions!F18/100</f>
        <v>-69.0291434976</v>
      </c>
      <c r="G17" s="4" t="n">
        <f aca="false">-G6*Assumptions!G18/100</f>
        <v>-71.790309237504</v>
      </c>
      <c r="H17" s="4" t="n">
        <f aca="false">-H6*Assumptions!H18/100</f>
        <v>-74.3029700608167</v>
      </c>
      <c r="I17" s="4" t="n">
        <f aca="false">-I6*Assumptions!I18/100</f>
        <v>-76.5320591626412</v>
      </c>
      <c r="J17" s="4" t="n">
        <f aca="false">-J6*Assumptions!J18/100</f>
        <v>-78.8280209375204</v>
      </c>
      <c r="K17" s="4" t="n">
        <f aca="false">-K6*Assumptions!K18/100</f>
        <v>-80.7987214609584</v>
      </c>
      <c r="L17" s="4" t="n">
        <f aca="false">-L6*Assumptions!L18/100</f>
        <v>-82.8186894974824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-10.998</v>
      </c>
      <c r="D18" s="4" t="n">
        <f aca="false">(D6-C6)*Assumptions!$B$23/100</f>
        <v>22.65588</v>
      </c>
      <c r="E18" s="4" t="n">
        <f aca="false">(E6-D6)*Assumptions!$B$23/100</f>
        <v>-7.09884240000001</v>
      </c>
      <c r="F18" s="4" t="n">
        <f aca="false">(F6-E6)*Assumptions!$B$23/100</f>
        <v>-14.481638496</v>
      </c>
      <c r="G18" s="4" t="n">
        <f aca="false">(G6-F6)*Assumptions!$B$23/100</f>
        <v>-15.06090403584</v>
      </c>
      <c r="H18" s="4" t="n">
        <f aca="false">(H6-G6)*Assumptions!$B$23/100</f>
        <v>-13.7054226726144</v>
      </c>
      <c r="I18" s="4" t="n">
        <f aca="false">(I6-H6)*Assumptions!$B$23/100</f>
        <v>-12.1586678281337</v>
      </c>
      <c r="J18" s="4" t="n">
        <f aca="false">(J6-I6)*Assumptions!$B$23/100</f>
        <v>-12.5234278629776</v>
      </c>
      <c r="K18" s="4" t="n">
        <f aca="false">(K6-J6)*Assumptions!$B$23/100</f>
        <v>-10.7492755823891</v>
      </c>
      <c r="L18" s="4" t="n">
        <f aca="false">(L6-K6)*Assumptions!$B$23/100</f>
        <v>-11.0180074719489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693.5054685</v>
      </c>
      <c r="D19" s="0" t="n">
        <f aca="false">D15+D16+D17+D18</f>
        <v>643.2130198</v>
      </c>
      <c r="E19" s="0" t="n">
        <f aca="false">E15+E16+E17+E18</f>
        <v>636.7910092284</v>
      </c>
      <c r="F19" s="0" t="n">
        <f aca="false">F15+F16+F17+F18</f>
        <v>666.522238991232</v>
      </c>
      <c r="G19" s="0" t="n">
        <f aca="false">G15+G16+G17+G18</f>
        <v>706.252228027982</v>
      </c>
      <c r="H19" s="0" t="n">
        <f aca="false">H15+H16+H17+H18</f>
        <v>732.076865235532</v>
      </c>
      <c r="I19" s="0" t="n">
        <f aca="false">I15+I16+I17+I18</f>
        <v>755.196980826012</v>
      </c>
      <c r="J19" s="0" t="n">
        <f aca="false">J15+J16+J17+J18</f>
        <v>777.028779122809</v>
      </c>
      <c r="K19" s="0" t="n">
        <f aca="false">K15+K16+K17+K18</f>
        <v>797.697022671859</v>
      </c>
      <c r="L19" s="0" t="n">
        <f aca="false">L15+L16+L17+L18</f>
        <v>817.639448238656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636.243549082569</v>
      </c>
      <c r="D21" s="0" t="n">
        <f aca="false">D19*D20</f>
        <v>541.379530174228</v>
      </c>
      <c r="E21" s="0" t="n">
        <f aca="false">E19*E20</f>
        <v>491.719497577583</v>
      </c>
      <c r="F21" s="0" t="n">
        <f aca="false">F19*F20</f>
        <v>472.181157837011</v>
      </c>
      <c r="G21" s="0" t="n">
        <f aca="false">G19*G20</f>
        <v>459.015489638521</v>
      </c>
      <c r="H21" s="0" t="n">
        <f aca="false">H19*H20</f>
        <v>436.513515504107</v>
      </c>
      <c r="I21" s="0" t="n">
        <f aca="false">I19*I20</f>
        <v>413.11861011411</v>
      </c>
      <c r="J21" s="0" t="n">
        <f aca="false">J19*J20</f>
        <v>389.964542577037</v>
      </c>
      <c r="K21" s="0" t="n">
        <f aca="false">K19*K20</f>
        <v>367.281868875569</v>
      </c>
      <c r="L21" s="0" t="n">
        <f aca="false">L19*L20</f>
        <v>345.379739080236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4552.79750046097</v>
      </c>
    </row>
    <row r="31" customFormat="false" ht="15" hidden="false" customHeight="false" outlineLevel="0" collapsed="false">
      <c r="A31" s="0" t="s">
        <v>137</v>
      </c>
      <c r="B31" s="0" t="n">
        <f aca="false">L19</f>
        <v>817.639448238656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11914.1748171918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14717.5100682958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11914.1748171918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5032.6761980263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9585.47369848727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7949.17369848727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141.94953033013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-0.568568687830132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162.809204617005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173.781719054262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147.960082538545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6415.32490156484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62.0192432616378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8</v>
      </c>
      <c r="D5" s="4" t="n">
        <f aca="false">Assumptions!D27</f>
        <v>6.5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3055</v>
      </c>
      <c r="C6" s="0" t="n">
        <f aca="false">B6*(1+C5/100)</f>
        <v>3299.4</v>
      </c>
      <c r="D6" s="0" t="n">
        <f aca="false">C6*(1+D5/100)</f>
        <v>3513.861</v>
      </c>
      <c r="E6" s="0" t="n">
        <f aca="false">D6*(1+E5/100)</f>
        <v>3707.123355</v>
      </c>
      <c r="F6" s="0" t="n">
        <f aca="false">E6*(1+F5/100)</f>
        <v>3892.47952275</v>
      </c>
      <c r="G6" s="0" t="n">
        <f aca="false">F6*(1+G5/100)</f>
        <v>4067.64110127375</v>
      </c>
      <c r="H6" s="0" t="n">
        <f aca="false">G6*(1+H5/100)</f>
        <v>4230.3467453247</v>
      </c>
      <c r="I6" s="0" t="n">
        <f aca="false">H6*(1+I5/100)</f>
        <v>4399.56061513769</v>
      </c>
      <c r="J6" s="0" t="n">
        <f aca="false">I6*(1+J5/100)</f>
        <v>4553.54523666751</v>
      </c>
      <c r="K6" s="0" t="n">
        <f aca="false">J6*(1+K5/100)</f>
        <v>4690.15159376753</v>
      </c>
      <c r="L6" s="0" t="n">
        <f aca="false">K6*(1+L5/100)</f>
        <v>4830.85614158056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32.3</v>
      </c>
      <c r="D7" s="4" t="n">
        <f aca="false">Assumptions!D28</f>
        <v>32.5</v>
      </c>
      <c r="E7" s="4" t="n">
        <f aca="false">Assumptions!E28</f>
        <v>32.7</v>
      </c>
      <c r="F7" s="4" t="n">
        <f aca="false">Assumptions!F28</f>
        <v>32.9</v>
      </c>
      <c r="G7" s="4" t="n">
        <f aca="false">Assumptions!G28</f>
        <v>33</v>
      </c>
      <c r="H7" s="4" t="n">
        <f aca="false">Assumptions!H28</f>
        <v>33</v>
      </c>
      <c r="I7" s="4" t="n">
        <f aca="false">Assumptions!I28</f>
        <v>33</v>
      </c>
      <c r="J7" s="4" t="n">
        <f aca="false">Assumptions!J28</f>
        <v>33</v>
      </c>
      <c r="K7" s="4" t="n">
        <f aca="false">Assumptions!K28</f>
        <v>33</v>
      </c>
      <c r="L7" s="4" t="n">
        <f aca="false">Assumptions!L28</f>
        <v>33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1065.7062</v>
      </c>
      <c r="D8" s="0" t="n">
        <f aca="false">D6*D7/100</f>
        <v>1142.004825</v>
      </c>
      <c r="E8" s="0" t="n">
        <f aca="false">E6*E7/100</f>
        <v>1212.229337085</v>
      </c>
      <c r="F8" s="0" t="n">
        <f aca="false">F6*F7/100</f>
        <v>1280.62576298475</v>
      </c>
      <c r="G8" s="0" t="n">
        <f aca="false">G6*G7/100</f>
        <v>1342.32156342034</v>
      </c>
      <c r="H8" s="0" t="n">
        <f aca="false">H6*H7/100</f>
        <v>1396.01442595715</v>
      </c>
      <c r="I8" s="0" t="n">
        <f aca="false">I6*I7/100</f>
        <v>1451.85500299544</v>
      </c>
      <c r="J8" s="0" t="n">
        <f aca="false">J6*J7/100</f>
        <v>1502.66992810028</v>
      </c>
      <c r="K8" s="0" t="n">
        <f aca="false">K6*K7/100</f>
        <v>1547.75002594329</v>
      </c>
      <c r="L8" s="0" t="n">
        <f aca="false">L6*L7/100</f>
        <v>1594.18252672158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0.8</v>
      </c>
      <c r="D9" s="4" t="n">
        <f aca="false">Assumptions!D29</f>
        <v>0.8</v>
      </c>
      <c r="E9" s="4" t="n">
        <f aca="false">Assumptions!E29</f>
        <v>0.8</v>
      </c>
      <c r="F9" s="4" t="n">
        <f aca="false">Assumptions!F29</f>
        <v>0.8</v>
      </c>
      <c r="G9" s="4" t="n">
        <f aca="false">Assumptions!G29</f>
        <v>0.75</v>
      </c>
      <c r="H9" s="4" t="n">
        <f aca="false">Assumptions!H29</f>
        <v>0.75</v>
      </c>
      <c r="I9" s="4" t="n">
        <f aca="false">Assumptions!I29</f>
        <v>0.75</v>
      </c>
      <c r="J9" s="4" t="n">
        <f aca="false">Assumptions!J29</f>
        <v>0.75</v>
      </c>
      <c r="K9" s="4" t="n">
        <f aca="false">Assumptions!K29</f>
        <v>0.75</v>
      </c>
      <c r="L9" s="4" t="n">
        <f aca="false">Assumptions!L29</f>
        <v>0.75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-26.3952</v>
      </c>
      <c r="D10" s="0" t="n">
        <f aca="false">-D6*D9/100</f>
        <v>-28.110888</v>
      </c>
      <c r="E10" s="0" t="n">
        <f aca="false">-E6*E9/100</f>
        <v>-29.65698684</v>
      </c>
      <c r="F10" s="0" t="n">
        <f aca="false">-F6*F9/100</f>
        <v>-31.139836182</v>
      </c>
      <c r="G10" s="0" t="n">
        <f aca="false">-G6*G9/100</f>
        <v>-30.5073082595531</v>
      </c>
      <c r="H10" s="0" t="n">
        <f aca="false">-H6*H9/100</f>
        <v>-31.7276005899352</v>
      </c>
      <c r="I10" s="0" t="n">
        <f aca="false">-I6*I9/100</f>
        <v>-32.9967046135327</v>
      </c>
      <c r="J10" s="0" t="n">
        <f aca="false">-J6*J9/100</f>
        <v>-34.1515892750063</v>
      </c>
      <c r="K10" s="0" t="n">
        <f aca="false">-K6*K9/100</f>
        <v>-35.1761369532565</v>
      </c>
      <c r="L10" s="0" t="n">
        <f aca="false">-L6*L9/100</f>
        <v>-36.2314210618542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1039.311</v>
      </c>
      <c r="D11" s="0" t="n">
        <f aca="false">D8+D10+D24</f>
        <v>1113.893937</v>
      </c>
      <c r="E11" s="0" t="n">
        <f aca="false">E8+E10+E24</f>
        <v>1182.572350245</v>
      </c>
      <c r="F11" s="0" t="n">
        <f aca="false">F8+F10+F24</f>
        <v>1249.48592680275</v>
      </c>
      <c r="G11" s="0" t="n">
        <f aca="false">G8+G10+G24</f>
        <v>1311.81425516078</v>
      </c>
      <c r="H11" s="0" t="n">
        <f aca="false">H8+H10+H24</f>
        <v>1364.28682536722</v>
      </c>
      <c r="I11" s="0" t="n">
        <f aca="false">I8+I10+I24</f>
        <v>1418.8582983819</v>
      </c>
      <c r="J11" s="0" t="n">
        <f aca="false">J8+J10+J24</f>
        <v>1468.51833882527</v>
      </c>
      <c r="K11" s="0" t="n">
        <f aca="false">K8+K10+K24</f>
        <v>1512.57388899003</v>
      </c>
      <c r="L11" s="0" t="n">
        <f aca="false">L8+L10+L24</f>
        <v>1557.95110565973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-158.3712</v>
      </c>
      <c r="D12" s="4" t="n">
        <f aca="false">-D6*Assumptions!D31/100</f>
        <v>-165.151467</v>
      </c>
      <c r="E12" s="4" t="n">
        <f aca="false">-E6*Assumptions!E31/100</f>
        <v>-170.52767433</v>
      </c>
      <c r="F12" s="4" t="n">
        <f aca="false">-F6*Assumptions!F31/100</f>
        <v>-175.16157852375</v>
      </c>
      <c r="G12" s="4" t="n">
        <f aca="false">-G6*Assumptions!G31/100</f>
        <v>-178.976208456045</v>
      </c>
      <c r="H12" s="4" t="n">
        <f aca="false">-H6*Assumptions!H31/100</f>
        <v>-181.904910048962</v>
      </c>
      <c r="I12" s="4" t="n">
        <f aca="false">-I6*Assumptions!I31/100</f>
        <v>-184.781545835783</v>
      </c>
      <c r="J12" s="4" t="n">
        <f aca="false">-J6*Assumptions!J31/100</f>
        <v>-186.695354703368</v>
      </c>
      <c r="K12" s="4" t="n">
        <f aca="false">-K6*Assumptions!K31/100</f>
        <v>-187.606063750701</v>
      </c>
      <c r="L12" s="4" t="n">
        <f aca="false">-L6*Assumptions!L31/100</f>
        <v>-193.234245663222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880.9398</v>
      </c>
      <c r="D13" s="0" t="n">
        <f aca="false">D11+D12</f>
        <v>948.74247</v>
      </c>
      <c r="E13" s="0" t="n">
        <f aca="false">E11+E12</f>
        <v>1012.044675915</v>
      </c>
      <c r="F13" s="0" t="n">
        <f aca="false">F11+F12</f>
        <v>1074.324348279</v>
      </c>
      <c r="G13" s="0" t="n">
        <f aca="false">G11+G12</f>
        <v>1132.83804670474</v>
      </c>
      <c r="H13" s="0" t="n">
        <f aca="false">H11+H12</f>
        <v>1182.38191531825</v>
      </c>
      <c r="I13" s="0" t="n">
        <f aca="false">I11+I12</f>
        <v>1234.07675254612</v>
      </c>
      <c r="J13" s="0" t="n">
        <f aca="false">J11+J12</f>
        <v>1281.8229841219</v>
      </c>
      <c r="K13" s="0" t="n">
        <f aca="false">K11+K12</f>
        <v>1324.96782523933</v>
      </c>
      <c r="L13" s="0" t="n">
        <f aca="false">L11+L12</f>
        <v>1364.71685999651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678.323646</v>
      </c>
      <c r="D15" s="0" t="n">
        <f aca="false">D13-MAX(0,D13)*D14/100</f>
        <v>730.5317019</v>
      </c>
      <c r="E15" s="0" t="n">
        <f aca="false">E13-MAX(0,E13)*E14/100</f>
        <v>779.27440045455</v>
      </c>
      <c r="F15" s="0" t="n">
        <f aca="false">F13-MAX(0,F13)*F14/100</f>
        <v>827.22974817483</v>
      </c>
      <c r="G15" s="0" t="n">
        <f aca="false">G13-MAX(0,G13)*G14/100</f>
        <v>872.285295962649</v>
      </c>
      <c r="H15" s="0" t="n">
        <f aca="false">H13-MAX(0,H13)*H14/100</f>
        <v>910.434074795055</v>
      </c>
      <c r="I15" s="0" t="n">
        <f aca="false">I13-MAX(0,I13)*I14/100</f>
        <v>950.239099460513</v>
      </c>
      <c r="J15" s="0" t="n">
        <f aca="false">J13-MAX(0,J13)*J14/100</f>
        <v>987.003697773865</v>
      </c>
      <c r="K15" s="0" t="n">
        <f aca="false">K13-MAX(0,K13)*K14/100</f>
        <v>1020.22522543428</v>
      </c>
      <c r="L15" s="0" t="n">
        <f aca="false">L13-MAX(0,L13)*L14/100</f>
        <v>1050.83198219731</v>
      </c>
    </row>
    <row r="16" customFormat="false" ht="15" hidden="false" customHeight="false" outlineLevel="0" collapsed="false">
      <c r="A16" s="0" t="s">
        <v>128</v>
      </c>
      <c r="C16" s="0" t="n">
        <f aca="false">-C12</f>
        <v>158.3712</v>
      </c>
      <c r="D16" s="0" t="n">
        <f aca="false">-D12</f>
        <v>165.151467</v>
      </c>
      <c r="E16" s="0" t="n">
        <f aca="false">-E12</f>
        <v>170.52767433</v>
      </c>
      <c r="F16" s="0" t="n">
        <f aca="false">-F12</f>
        <v>175.16157852375</v>
      </c>
      <c r="G16" s="0" t="n">
        <f aca="false">-G12</f>
        <v>178.976208456045</v>
      </c>
      <c r="H16" s="0" t="n">
        <f aca="false">-H12</f>
        <v>181.904910048962</v>
      </c>
      <c r="I16" s="0" t="n">
        <f aca="false">-I12</f>
        <v>184.781545835783</v>
      </c>
      <c r="J16" s="0" t="n">
        <f aca="false">-J12</f>
        <v>186.695354703368</v>
      </c>
      <c r="K16" s="0" t="n">
        <f aca="false">-K12</f>
        <v>187.606063750701</v>
      </c>
      <c r="L16" s="0" t="n">
        <f aca="false">-L12</f>
        <v>193.234245663222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-72.5868</v>
      </c>
      <c r="D17" s="4" t="n">
        <f aca="false">-D6*Assumptions!D32/100</f>
        <v>-77.304942</v>
      </c>
      <c r="E17" s="4" t="n">
        <f aca="false">-E6*Assumptions!E32/100</f>
        <v>-81.55671381</v>
      </c>
      <c r="F17" s="4" t="n">
        <f aca="false">-F6*Assumptions!F32/100</f>
        <v>-85.6345495005</v>
      </c>
      <c r="G17" s="4" t="n">
        <f aca="false">-G6*Assumptions!G32/100</f>
        <v>-89.4881042280225</v>
      </c>
      <c r="H17" s="4" t="n">
        <f aca="false">-H6*Assumptions!H32/100</f>
        <v>-93.0676283971434</v>
      </c>
      <c r="I17" s="4" t="n">
        <f aca="false">-I6*Assumptions!I32/100</f>
        <v>-96.7903335330291</v>
      </c>
      <c r="J17" s="4" t="n">
        <f aca="false">-J6*Assumptions!J32/100</f>
        <v>-100.177995206685</v>
      </c>
      <c r="K17" s="4" t="n">
        <f aca="false">-K6*Assumptions!K32/100</f>
        <v>-103.183335062886</v>
      </c>
      <c r="L17" s="4" t="n">
        <f aca="false">-L6*Assumptions!L32/100</f>
        <v>-106.278835114772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-29.328</v>
      </c>
      <c r="D18" s="4" t="n">
        <f aca="false">(D6-C6)*Assumptions!$B$37/100</f>
        <v>-25.73532</v>
      </c>
      <c r="E18" s="4" t="n">
        <f aca="false">(E6-D6)*Assumptions!$B$37/100</f>
        <v>-23.1914826</v>
      </c>
      <c r="F18" s="4" t="n">
        <f aca="false">(F6-E6)*Assumptions!$B$37/100</f>
        <v>-22.24274013</v>
      </c>
      <c r="G18" s="4" t="n">
        <f aca="false">(G6-F6)*Assumptions!$B$37/100</f>
        <v>-21.0193894228499</v>
      </c>
      <c r="H18" s="4" t="n">
        <f aca="false">(H6-G6)*Assumptions!$B$37/100</f>
        <v>-19.524677286114</v>
      </c>
      <c r="I18" s="4" t="n">
        <f aca="false">(I6-H6)*Assumptions!$B$37/100</f>
        <v>-20.3056643775586</v>
      </c>
      <c r="J18" s="4" t="n">
        <f aca="false">(J6-I6)*Assumptions!$B$37/100</f>
        <v>-18.4781545835782</v>
      </c>
      <c r="K18" s="4" t="n">
        <f aca="false">(K6-J6)*Assumptions!$B$37/100</f>
        <v>-16.392762852003</v>
      </c>
      <c r="L18" s="4" t="n">
        <f aca="false">(L6-K6)*Assumptions!$B$37/100</f>
        <v>-16.8845457375631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734.780046</v>
      </c>
      <c r="D19" s="0" t="n">
        <f aca="false">D15+D16+D17+D18</f>
        <v>792.6429069</v>
      </c>
      <c r="E19" s="0" t="n">
        <f aca="false">E15+E16+E17+E18</f>
        <v>845.05387837455</v>
      </c>
      <c r="F19" s="0" t="n">
        <f aca="false">F15+F16+F17+F18</f>
        <v>894.51403706808</v>
      </c>
      <c r="G19" s="0" t="n">
        <f aca="false">G15+G16+G17+G18</f>
        <v>940.754010767822</v>
      </c>
      <c r="H19" s="0" t="n">
        <f aca="false">H15+H16+H17+H18</f>
        <v>979.74667916076</v>
      </c>
      <c r="I19" s="0" t="n">
        <f aca="false">I15+I16+I17+I18</f>
        <v>1017.92464738571</v>
      </c>
      <c r="J19" s="0" t="n">
        <f aca="false">J15+J16+J17+J18</f>
        <v>1055.04290268697</v>
      </c>
      <c r="K19" s="0" t="n">
        <f aca="false">K15+K16+K17+K18</f>
        <v>1088.2551912701</v>
      </c>
      <c r="L19" s="0" t="n">
        <f aca="false">L15+L16+L17+L18</f>
        <v>1120.9028470082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674.110133944954</v>
      </c>
      <c r="D21" s="0" t="n">
        <f aca="false">D19*D20</f>
        <v>667.151676542379</v>
      </c>
      <c r="E21" s="0" t="n">
        <f aca="false">E19*E20</f>
        <v>652.536644642359</v>
      </c>
      <c r="F21" s="0" t="n">
        <f aca="false">F19*F20</f>
        <v>633.696295510735</v>
      </c>
      <c r="G21" s="0" t="n">
        <f aca="false">G19*G20</f>
        <v>611.425558384059</v>
      </c>
      <c r="H21" s="0" t="n">
        <f aca="false">H19*H20</f>
        <v>584.190933401975</v>
      </c>
      <c r="I21" s="0" t="n">
        <f aca="false">I19*I20</f>
        <v>556.839640790041</v>
      </c>
      <c r="J21" s="0" t="n">
        <f aca="false">J19*J20</f>
        <v>529.490456466668</v>
      </c>
      <c r="K21" s="0" t="n">
        <f aca="false">K19*K20</f>
        <v>501.062921263577</v>
      </c>
      <c r="L21" s="0" t="n">
        <f aca="false">L19*L20</f>
        <v>473.481476056408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5883.98573700315</v>
      </c>
    </row>
    <row r="31" customFormat="false" ht="15" hidden="false" customHeight="false" outlineLevel="0" collapsed="false">
      <c r="A31" s="0" t="s">
        <v>137</v>
      </c>
      <c r="B31" s="0" t="n">
        <f aca="false">L19</f>
        <v>1120.9028470082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17675.77566436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20176.2512461476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17675.77566436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7466.4386608895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13350.4243978927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11714.1243978927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209.180792819512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-0.364230767675182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198.273293786497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241.340883090126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217.031045978023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9191.40334546722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91.8986957451916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11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3055</v>
      </c>
      <c r="C6" s="0" t="n">
        <f aca="false">B6*(1+C5/100)</f>
        <v>3391.05</v>
      </c>
      <c r="D6" s="0" t="n">
        <f aca="false">C6*(1+D5/100)</f>
        <v>3696.2445</v>
      </c>
      <c r="E6" s="0" t="n">
        <f aca="false">D6*(1+E5/100)</f>
        <v>3991.94406</v>
      </c>
      <c r="F6" s="0" t="n">
        <f aca="false">E6*(1+F5/100)</f>
        <v>4271.3801442</v>
      </c>
      <c r="G6" s="0" t="n">
        <f aca="false">F6*(1+G5/100)</f>
        <v>4527.662952852</v>
      </c>
      <c r="H6" s="0" t="n">
        <f aca="false">G6*(1+H5/100)</f>
        <v>4776.68441525886</v>
      </c>
      <c r="I6" s="0" t="n">
        <f aca="false">H6*(1+I5/100)</f>
        <v>5015.5186360218</v>
      </c>
      <c r="J6" s="0" t="n">
        <f aca="false">I6*(1+J5/100)</f>
        <v>5241.21697464278</v>
      </c>
      <c r="K6" s="0" t="n">
        <f aca="false">J6*(1+K5/100)</f>
        <v>5450.8656536285</v>
      </c>
      <c r="L6" s="0" t="n">
        <f aca="false">K6*(1+L5/100)</f>
        <v>5641.64595150549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32.6</v>
      </c>
      <c r="D7" s="4" t="n">
        <f aca="false">Assumptions!D42</f>
        <v>33.1</v>
      </c>
      <c r="E7" s="4" t="n">
        <f aca="false">Assumptions!E42</f>
        <v>33.6</v>
      </c>
      <c r="F7" s="4" t="n">
        <f aca="false">Assumptions!F42</f>
        <v>34</v>
      </c>
      <c r="G7" s="4" t="n">
        <f aca="false">Assumptions!G42</f>
        <v>34.3</v>
      </c>
      <c r="H7" s="4" t="n">
        <f aca="false">Assumptions!H42</f>
        <v>34.5</v>
      </c>
      <c r="I7" s="4" t="n">
        <f aca="false">Assumptions!I42</f>
        <v>34.5</v>
      </c>
      <c r="J7" s="4" t="n">
        <f aca="false">Assumptions!J42</f>
        <v>34.5</v>
      </c>
      <c r="K7" s="4" t="n">
        <f aca="false">Assumptions!K42</f>
        <v>34.5</v>
      </c>
      <c r="L7" s="4" t="n">
        <f aca="false">Assumptions!L42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1105.4823</v>
      </c>
      <c r="D8" s="0" t="n">
        <f aca="false">D6*D7/100</f>
        <v>1223.4569295</v>
      </c>
      <c r="E8" s="0" t="n">
        <f aca="false">E6*E7/100</f>
        <v>1341.29320416</v>
      </c>
      <c r="F8" s="0" t="n">
        <f aca="false">F6*F7/100</f>
        <v>1452.269249028</v>
      </c>
      <c r="G8" s="0" t="n">
        <f aca="false">G6*G7/100</f>
        <v>1552.98839282824</v>
      </c>
      <c r="H8" s="0" t="n">
        <f aca="false">H6*H7/100</f>
        <v>1647.95612326431</v>
      </c>
      <c r="I8" s="0" t="n">
        <f aca="false">I6*I7/100</f>
        <v>1730.35392942752</v>
      </c>
      <c r="J8" s="0" t="n">
        <f aca="false">J6*J7/100</f>
        <v>1808.21985625176</v>
      </c>
      <c r="K8" s="0" t="n">
        <f aca="false">K6*K7/100</f>
        <v>1880.54865050183</v>
      </c>
      <c r="L8" s="0" t="n">
        <f aca="false">L6*L7/100</f>
        <v>1946.3678532694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0.8</v>
      </c>
      <c r="D9" s="4" t="n">
        <f aca="false">Assumptions!D43</f>
        <v>0.8</v>
      </c>
      <c r="E9" s="4" t="n">
        <f aca="false">Assumptions!E43</f>
        <v>0.8</v>
      </c>
      <c r="F9" s="4" t="n">
        <f aca="false">Assumptions!F43</f>
        <v>0.8</v>
      </c>
      <c r="G9" s="4" t="n">
        <f aca="false">Assumptions!G43</f>
        <v>0.75</v>
      </c>
      <c r="H9" s="4" t="n">
        <f aca="false">Assumptions!H43</f>
        <v>0.75</v>
      </c>
      <c r="I9" s="4" t="n">
        <f aca="false">Assumptions!I43</f>
        <v>0.75</v>
      </c>
      <c r="J9" s="4" t="n">
        <f aca="false">Assumptions!J43</f>
        <v>0.75</v>
      </c>
      <c r="K9" s="4" t="n">
        <f aca="false">Assumptions!K43</f>
        <v>0.75</v>
      </c>
      <c r="L9" s="4" t="n">
        <f aca="false">Assumptions!L43</f>
        <v>0.75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-27.1284</v>
      </c>
      <c r="D10" s="0" t="n">
        <f aca="false">-D6*D9/100</f>
        <v>-29.569956</v>
      </c>
      <c r="E10" s="0" t="n">
        <f aca="false">-E6*E9/100</f>
        <v>-31.93555248</v>
      </c>
      <c r="F10" s="0" t="n">
        <f aca="false">-F6*F9/100</f>
        <v>-34.1710411536</v>
      </c>
      <c r="G10" s="0" t="n">
        <f aca="false">-G6*G9/100</f>
        <v>-33.95747214639</v>
      </c>
      <c r="H10" s="0" t="n">
        <f aca="false">-H6*H9/100</f>
        <v>-35.8251331144415</v>
      </c>
      <c r="I10" s="0" t="n">
        <f aca="false">-I6*I9/100</f>
        <v>-37.6163897701635</v>
      </c>
      <c r="J10" s="0" t="n">
        <f aca="false">-J6*J9/100</f>
        <v>-39.3091273098209</v>
      </c>
      <c r="K10" s="0" t="n">
        <f aca="false">-K6*K9/100</f>
        <v>-40.8814924022137</v>
      </c>
      <c r="L10" s="0" t="n">
        <f aca="false">-L6*L9/100</f>
        <v>-42.3123446362912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1078.3539</v>
      </c>
      <c r="D11" s="0" t="n">
        <f aca="false">D8+D10+D24</f>
        <v>1193.8869735</v>
      </c>
      <c r="E11" s="0" t="n">
        <f aca="false">E8+E10+E24</f>
        <v>1309.35765168</v>
      </c>
      <c r="F11" s="0" t="n">
        <f aca="false">F8+F10+F24</f>
        <v>1418.0982078744</v>
      </c>
      <c r="G11" s="0" t="n">
        <f aca="false">G8+G10+G24</f>
        <v>1519.03092068185</v>
      </c>
      <c r="H11" s="0" t="n">
        <f aca="false">H8+H10+H24</f>
        <v>1612.13099014987</v>
      </c>
      <c r="I11" s="0" t="n">
        <f aca="false">I8+I10+I24</f>
        <v>1692.73753965736</v>
      </c>
      <c r="J11" s="0" t="n">
        <f aca="false">J8+J10+J24</f>
        <v>1768.91072894194</v>
      </c>
      <c r="K11" s="0" t="n">
        <f aca="false">K8+K10+K24</f>
        <v>1839.66715809962</v>
      </c>
      <c r="L11" s="0" t="n">
        <f aca="false">L8+L10+L24</f>
        <v>1904.0555086331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-162.7704</v>
      </c>
      <c r="D12" s="4" t="n">
        <f aca="false">-D6*Assumptions!D45/100</f>
        <v>-173.7234915</v>
      </c>
      <c r="E12" s="4" t="n">
        <f aca="false">-E6*Assumptions!E45/100</f>
        <v>-183.62942676</v>
      </c>
      <c r="F12" s="4" t="n">
        <f aca="false">-F6*Assumptions!F45/100</f>
        <v>-192.212106489</v>
      </c>
      <c r="G12" s="4" t="n">
        <f aca="false">-G6*Assumptions!G45/100</f>
        <v>-199.217169925488</v>
      </c>
      <c r="H12" s="4" t="n">
        <f aca="false">-H6*Assumptions!H45/100</f>
        <v>-205.397429856131</v>
      </c>
      <c r="I12" s="4" t="n">
        <f aca="false">-I6*Assumptions!I45/100</f>
        <v>-210.651782712916</v>
      </c>
      <c r="J12" s="4" t="n">
        <f aca="false">-J6*Assumptions!J45/100</f>
        <v>-214.889895960354</v>
      </c>
      <c r="K12" s="4" t="n">
        <f aca="false">-K6*Assumptions!K45/100</f>
        <v>-218.03462614514</v>
      </c>
      <c r="L12" s="4" t="n">
        <f aca="false">-L6*Assumptions!L45/100</f>
        <v>-225.66583806022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915.5835</v>
      </c>
      <c r="D13" s="0" t="n">
        <f aca="false">D11+D12</f>
        <v>1020.163482</v>
      </c>
      <c r="E13" s="0" t="n">
        <f aca="false">E11+E12</f>
        <v>1125.72822492</v>
      </c>
      <c r="F13" s="0" t="n">
        <f aca="false">F11+F12</f>
        <v>1225.8861013854</v>
      </c>
      <c r="G13" s="0" t="n">
        <f aca="false">G11+G12</f>
        <v>1319.81375075636</v>
      </c>
      <c r="H13" s="0" t="n">
        <f aca="false">H11+H12</f>
        <v>1406.73356029373</v>
      </c>
      <c r="I13" s="0" t="n">
        <f aca="false">I11+I12</f>
        <v>1482.08575694444</v>
      </c>
      <c r="J13" s="0" t="n">
        <f aca="false">J11+J12</f>
        <v>1554.02083298159</v>
      </c>
      <c r="K13" s="0" t="n">
        <f aca="false">K11+K12</f>
        <v>1621.63253195448</v>
      </c>
      <c r="L13" s="0" t="n">
        <f aca="false">L11+L12</f>
        <v>1678.38967057288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704.999295</v>
      </c>
      <c r="D15" s="0" t="n">
        <f aca="false">D13-MAX(0,D13)*D14/100</f>
        <v>785.52588114</v>
      </c>
      <c r="E15" s="0" t="n">
        <f aca="false">E13-MAX(0,E13)*E14/100</f>
        <v>866.8107331884</v>
      </c>
      <c r="F15" s="0" t="n">
        <f aca="false">F13-MAX(0,F13)*F14/100</f>
        <v>943.932298066758</v>
      </c>
      <c r="G15" s="0" t="n">
        <f aca="false">G13-MAX(0,G13)*G14/100</f>
        <v>1016.2565880824</v>
      </c>
      <c r="H15" s="0" t="n">
        <f aca="false">H13-MAX(0,H13)*H14/100</f>
        <v>1083.18484142618</v>
      </c>
      <c r="I15" s="0" t="n">
        <f aca="false">I13-MAX(0,I13)*I14/100</f>
        <v>1141.20603284722</v>
      </c>
      <c r="J15" s="0" t="n">
        <f aca="false">J13-MAX(0,J13)*J14/100</f>
        <v>1196.59604139582</v>
      </c>
      <c r="K15" s="0" t="n">
        <f aca="false">K13-MAX(0,K13)*K14/100</f>
        <v>1248.65704960495</v>
      </c>
      <c r="L15" s="0" t="n">
        <f aca="false">L13-MAX(0,L13)*L14/100</f>
        <v>1292.36004634112</v>
      </c>
    </row>
    <row r="16" customFormat="false" ht="15" hidden="false" customHeight="false" outlineLevel="0" collapsed="false">
      <c r="A16" s="0" t="s">
        <v>128</v>
      </c>
      <c r="C16" s="0" t="n">
        <f aca="false">-C12</f>
        <v>162.7704</v>
      </c>
      <c r="D16" s="0" t="n">
        <f aca="false">-D12</f>
        <v>173.7234915</v>
      </c>
      <c r="E16" s="0" t="n">
        <f aca="false">-E12</f>
        <v>183.62942676</v>
      </c>
      <c r="F16" s="0" t="n">
        <f aca="false">-F12</f>
        <v>192.212106489</v>
      </c>
      <c r="G16" s="0" t="n">
        <f aca="false">-G12</f>
        <v>199.217169925488</v>
      </c>
      <c r="H16" s="0" t="n">
        <f aca="false">-H12</f>
        <v>205.397429856131</v>
      </c>
      <c r="I16" s="0" t="n">
        <f aca="false">-I12</f>
        <v>210.651782712916</v>
      </c>
      <c r="J16" s="0" t="n">
        <f aca="false">-J12</f>
        <v>214.889895960354</v>
      </c>
      <c r="K16" s="0" t="n">
        <f aca="false">-K12</f>
        <v>218.03462614514</v>
      </c>
      <c r="L16" s="0" t="n">
        <f aca="false">-L12</f>
        <v>225.66583806022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-74.6031</v>
      </c>
      <c r="D17" s="4" t="n">
        <f aca="false">-D6*Assumptions!D46/100</f>
        <v>-81.317379</v>
      </c>
      <c r="E17" s="4" t="n">
        <f aca="false">-E6*Assumptions!E46/100</f>
        <v>-87.82276932</v>
      </c>
      <c r="F17" s="4" t="n">
        <f aca="false">-F6*Assumptions!F46/100</f>
        <v>-93.9703631724</v>
      </c>
      <c r="G17" s="4" t="n">
        <f aca="false">-G6*Assumptions!G46/100</f>
        <v>-99.6085849627441</v>
      </c>
      <c r="H17" s="4" t="n">
        <f aca="false">-H6*Assumptions!H46/100</f>
        <v>-105.087057135695</v>
      </c>
      <c r="I17" s="4" t="n">
        <f aca="false">-I6*Assumptions!I46/100</f>
        <v>-110.34140999248</v>
      </c>
      <c r="J17" s="4" t="n">
        <f aca="false">-J6*Assumptions!J46/100</f>
        <v>-115.306773442141</v>
      </c>
      <c r="K17" s="4" t="n">
        <f aca="false">-K6*Assumptions!K46/100</f>
        <v>-119.919044379827</v>
      </c>
      <c r="L17" s="4" t="n">
        <f aca="false">-L6*Assumptions!L46/100</f>
        <v>-124.116210933121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-40.326</v>
      </c>
      <c r="D18" s="4" t="n">
        <f aca="false">(D6-C6)*Assumptions!$B$51/100</f>
        <v>-36.62334</v>
      </c>
      <c r="E18" s="4" t="n">
        <f aca="false">(E6-D6)*Assumptions!$B$51/100</f>
        <v>-35.4839472000001</v>
      </c>
      <c r="F18" s="4" t="n">
        <f aca="false">(F6-E6)*Assumptions!$B$51/100</f>
        <v>-33.5323301040001</v>
      </c>
      <c r="G18" s="4" t="n">
        <f aca="false">(G6-F6)*Assumptions!$B$51/100</f>
        <v>-30.75393703824</v>
      </c>
      <c r="H18" s="4" t="n">
        <f aca="false">(H6-G6)*Assumptions!$B$51/100</f>
        <v>-29.8825754888231</v>
      </c>
      <c r="I18" s="4" t="n">
        <f aca="false">(I6-H6)*Assumptions!$B$51/100</f>
        <v>-28.6601064915532</v>
      </c>
      <c r="J18" s="4" t="n">
        <f aca="false">(J6-I6)*Assumptions!$B$51/100</f>
        <v>-27.0838006345176</v>
      </c>
      <c r="K18" s="4" t="n">
        <f aca="false">(K6-J6)*Assumptions!$B$51/100</f>
        <v>-25.1578414782854</v>
      </c>
      <c r="L18" s="4" t="n">
        <f aca="false">(L6-K6)*Assumptions!$B$51/100</f>
        <v>-22.8936357452396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752.840595</v>
      </c>
      <c r="D19" s="0" t="n">
        <f aca="false">D15+D16+D17+D18</f>
        <v>841.30865364</v>
      </c>
      <c r="E19" s="0" t="n">
        <f aca="false">E15+E16+E17+E18</f>
        <v>927.1334434284</v>
      </c>
      <c r="F19" s="0" t="n">
        <f aca="false">F15+F16+F17+F18</f>
        <v>1008.64171127936</v>
      </c>
      <c r="G19" s="0" t="n">
        <f aca="false">G15+G16+G17+G18</f>
        <v>1085.1112360069</v>
      </c>
      <c r="H19" s="0" t="n">
        <f aca="false">H15+H16+H17+H18</f>
        <v>1153.61263865779</v>
      </c>
      <c r="I19" s="0" t="n">
        <f aca="false">I15+I16+I17+I18</f>
        <v>1212.8562990761</v>
      </c>
      <c r="J19" s="0" t="n">
        <f aca="false">J15+J16+J17+J18</f>
        <v>1269.09536327952</v>
      </c>
      <c r="K19" s="0" t="n">
        <f aca="false">K15+K16+K17+K18</f>
        <v>1321.61478989198</v>
      </c>
      <c r="L19" s="0" t="n">
        <f aca="false">L15+L16+L17+L18</f>
        <v>1371.01603772298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690.679444954128</v>
      </c>
      <c r="D21" s="0" t="n">
        <f aca="false">D19*D20</f>
        <v>708.112661930814</v>
      </c>
      <c r="E21" s="0" t="n">
        <f aca="false">E19*E20</f>
        <v>715.91712882754</v>
      </c>
      <c r="F21" s="0" t="n">
        <f aca="false">F19*F20</f>
        <v>714.54721720224</v>
      </c>
      <c r="G21" s="0" t="n">
        <f aca="false">G19*G20</f>
        <v>705.247849905875</v>
      </c>
      <c r="H21" s="0" t="n">
        <f aca="false">H19*H20</f>
        <v>687.861524306558</v>
      </c>
      <c r="I21" s="0" t="n">
        <f aca="false">I19*I20</f>
        <v>663.473929668557</v>
      </c>
      <c r="J21" s="0" t="n">
        <f aca="false">J19*J20</f>
        <v>636.916168519051</v>
      </c>
      <c r="K21" s="0" t="n">
        <f aca="false">K19*K20</f>
        <v>608.508163085865</v>
      </c>
      <c r="L21" s="0" t="n">
        <f aca="false">L19*L20</f>
        <v>579.131990761494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6710.39607916212</v>
      </c>
    </row>
    <row r="31" customFormat="false" ht="15" hidden="false" customHeight="false" outlineLevel="0" collapsed="false">
      <c r="A31" s="0" t="s">
        <v>137</v>
      </c>
      <c r="B31" s="0" t="n">
        <f aca="false">L19</f>
        <v>1371.01603772298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23535.7753142445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24678.2886790136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23535.7753142445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9941.76584140565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16652.1619205678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15015.8619205678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268.14039143871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-0.185033154705762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219.077542393056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306.823123144136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277.531474751874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11767.8876571222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113.808444579107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141.94953033013</v>
      </c>
      <c r="C4" s="0" t="n">
        <f aca="false">B4/Assumptions!$B$2-1</f>
        <v>-0.568568687830132</v>
      </c>
      <c r="D4" s="4" t="n">
        <f aca="false">Assumptions!$B$24</f>
        <v>0.25</v>
      </c>
      <c r="E4" s="4" t="n">
        <f aca="false">DCF_Bear!$B$43</f>
        <v>147.960082538545</v>
      </c>
      <c r="F4" s="4" t="n">
        <f aca="false">DCF_Bear!$B$47</f>
        <v>62.0192432616378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209.180792819512</v>
      </c>
      <c r="C5" s="0" t="n">
        <f aca="false">B5/Assumptions!$B$2-1</f>
        <v>-0.364230767675182</v>
      </c>
      <c r="D5" s="4" t="n">
        <f aca="false">Assumptions!$B$38</f>
        <v>0.5</v>
      </c>
      <c r="E5" s="4" t="n">
        <f aca="false">DCF_Base!$B$43</f>
        <v>217.031045978023</v>
      </c>
      <c r="F5" s="4" t="n">
        <f aca="false">DCF_Base!$B$47</f>
        <v>91.8986957451916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268.14039143871</v>
      </c>
      <c r="C6" s="0" t="n">
        <f aca="false">B6/Assumptions!$B$2-1</f>
        <v>-0.185033154705762</v>
      </c>
      <c r="D6" s="4" t="n">
        <f aca="false">Assumptions!$B$52</f>
        <v>0.25</v>
      </c>
      <c r="E6" s="4" t="n">
        <f aca="false">DCF_Bull!$B$43</f>
        <v>277.531474751874</v>
      </c>
      <c r="F6" s="4" t="n">
        <f aca="false">DCF_Bull!$B$47</f>
        <v>113.808444579107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207.112876851966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214.888412311616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-0.588602336083465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1567.8292997395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89.906269832782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209.180792819512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176.502952480211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151.552237268722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131.88628977481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91.8986957451916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269.729491088358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269.729491088358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269.729491088358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269.729491088358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269.729491088358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225.796187925415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238.633424451756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247.904761943002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247.904761943002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247.904761943002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190.276221064879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199.053343665244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209.180792819512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220.996150166158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228.042005464616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163.187203801132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169.42896099445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176.502952480211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184.587514178223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193.915854599006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141.862084918595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146.437990195044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151.552237268722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157.30576522661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163.82643024555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2026-10-02T02:38:55Z</dcterms:created>
  <dc:creator>openpyxl</dc:creator>
  <dc:description/>
  <dc:language>en-NZ</dc:language>
  <cp:lastModifiedBy/>
  <dcterms:modified xsi:type="dcterms:W3CDTF">2026-10-02T02:38:55Z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