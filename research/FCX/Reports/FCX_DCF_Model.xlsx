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<sst xmlns="http://schemas.openxmlformats.org/spreadsheetml/2006/main" count="389" uniqueCount="175">
  <si>
    <t xml:space="preserve">Ticker</t>
  </si>
  <si>
    <t xml:space="preserve">FCX</t>
  </si>
  <si>
    <t xml:space="preserve">Company</t>
  </si>
  <si>
    <t xml:space="preserve">Freeport-McMoRan Inc.</t>
  </si>
  <si>
    <t xml:space="preserve">Valuation date</t>
  </si>
  <si>
    <t xml:space="preserve">2026-09-28</t>
  </si>
  <si>
    <t xml:space="preserve">Current price</t>
  </si>
  <si>
    <t xml:space="preserve">Price as of</t>
  </si>
  <si>
    <t xml:space="preserve">2026-09-25T20:04:11Z regular close (Friday); 52-week range 36.05-80.24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</si>
  <si>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</si>
  <si>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</si>
  <si>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</si>
  <si>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</si>
  <si>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</si>
  <si>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</si>
  <si>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</si>
  <si>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</si>
  <si>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</si>
  <si>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</si>
  <si>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</si>
  <si>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</si>
  <si>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2026-09-28T08:16:27Z</t>
  </si>
  <si>
    <t xml:space="preserve">Drivers file</t>
  </si>
  <si>
    <t xml:space="preserve">FCX_Drivers.json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</si>
  <si>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</si>
  <si>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</si>
  <si>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</si>
  <si>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Mid-cycle owner-FCF DCF on attributable flows. Three things drive the gap between this valuation and the price. (1) Price deck: the market is capitalising ~$6+ copper and ~$4,400 gold; the base case glides to $5.00/$3,500, still above the fifteen-year range. (2) Leakage: FCX owns 48.76% of its crown-jewel asset and Indonesia's tax/royalty take on PTFI is ~42%, so roughly two-thirds of every EBIT dollar goes to the Indonesian state, MIND ID and Peru's minorities -- consolidated EBITDA multiples flatter FCX badly. (3) Capex: reserve replacement and the Grasberg/Kucing Liar development keep attributable capex ~3.4pp of revenue above attributable D&amp;A in perpetuity. Attributable owner FCF has ranged $0.5-4B/yr over FY2019-25; a $104B market cap needs $5-6B sustained. The bull case (near-spot deck held for ten years, full pipeline built) still lands well below the price, which says the market is paying for scarcity/optionality value in the ore bodies and a spot-forever assumption rather than for owner cash flow at any mid-cycle deck.
key_risks_to_valuation: Price deck: each $0.50/lb of sustained copper is ~$2.1B of consolidated revenue and ~$0.6-0.7B of attributable owner FCF (~$6-8/share at the terminal multiple); the model's mid-cycle $5.00 is a judgment, and a structural shift to $6+ is the bull case, not a mid-cycle one; NCI leakage calibration: the combined tax + minority rate (67% base) is calibrated to FY2023-25 reported attributable income; each 1pp is ~$0.10B/yr of attributable FCF (~$1/share). The 12% further PTFI stake transfer to Indonesia by 2041 sits beyond the horizon but would lift leakage further; Attributable D&amp;A/capex shares (65%/69% of consolidated) are estimates from segment disclosures, not reported figures; the equity_bridge add-back for the minority's share of PTFI net debt (~$1.2B) is likewise an estimate; Grasberg execution: a further ramp slip, a repeat geotechnical incident, or a fiscal renegotiation ahead of the 2041 extension is the bear tail; Grasberg is ~half of reserves and the highest-margin output; Terminal multiple: Gordon at 10%/2.5% (13.7x) binds below the 15x cap; a spot-based EV/EBITDA framework, which is how the street prices copper majors, implies far higher values than an owner-FCF Gordon value can reach</t>
  </si>
  <si>
    <t xml:space="preserve">Data sources</t>
  </si>
  <si>
    <t xml:space="preserve">price: Yahoo Finance chart API at inputs.price_as_of (Friday regular close); 52-week range 36.05-80.24
financials: SEC XBRL companyfacts (CIK 831259) via research/FCX/Reports/FCX_Metrics.csv and core_metrics (FY2006-Q2 2026). NCI (NetIncomeLossAttributableToNoncontrollingInterest, MinorityInterest), attributable net income (NetIncomeLoss), diluted shares, dividends to common and to NCI, cash taxes paid, LongTermDebt and tax-withholding on equity awards pulled directly from companyfacts on 2026-09-28 because core_metrics has no NCI, diluted-share or dividend-paid columns. Balance sheet and share count: Q2 2026 10-Q (2026-06-30).
qualitative: research/FCX/Reports/FCX_Analysis.json (2026-09-28): Q2 2026 guidance (FY2026 copper ~3.1B lbs, gold ~650k oz, moly ~93M lbs, unit net cash cost ~$1.90/lb, OCF ~$8.3B at $6.00 Cu; H2 copper &gt;+20% and gold &gt;+65% vs H1; FY2027 copper &gt;+20%, gold &gt;+50%), Grasberg restart schedule, PTFI ownership, buyback and dividend programme.</t>
  </si>
  <si>
    <t xml:space="preserve">Scenario narrative: bear</t>
  </si>
  <si>
    <t xml:space="preserve">Downcycle plus execution. A China/global slowdown of the 2015-16 or 2019 kind takes copper to $4.00/lb and gold to $2,800 by FY2028; the wet-drawpoint problems that already cut the 2026 ramp target from 100k to 60k tpd recur and push the full Grasberg ramp into late 2027. Margins fall to ~30%, the high-cost North American mines earn little so Grasberg (51% minority, heavily taxed) dominates EBIT and leakage rises to 72%. Growth capex is deferred to sustaining levels as in 2016 and 2020. Attributable owner FCF is ~$1.0-1.2B/yr and the terminal multiple is capped at 12x. Indonesian fiscal renegotiation ahead of the 2041 extension (a further 12% stake transfer is already mandated) is the unmodelled tail below this case.</t>
  </si>
  <si>
    <t xml:space="preserve">Scenario narrative: base</t>
  </si>
  <si>
    <t xml:space="preserve">Mid-cycle. Grasberg Block Cave completes its phased restart on the revised schedule (90k tpd by Q2 2027), restoring the gold-rich, lowest-cost production that was ~70% of pre-incident output; FY2027 copper sales rise ~20% and gold ~50% as guided. Copper and gold do not stay at the 2026 records: copper glides from ~$5.90 to a $5.00/lb mid-cycle by FY2028 (above the FY2011-25 range, consistent with the higher incentive price for new supply) and gold from ~$4,300 to $3,500/oz. Consolidated EBITDA margin settles at 40% pre-SBC. The Indonesian state (51.24% of PTFI plus ~42% effective tax/royalty take) and Peru's minorities continue to absorb ~two-thirds of EBIT, so FCX shareholders keep ~33 cents of each EBIT dollar and bear ~69% of the capex. Volume grows ~1-1.5%/yr from Bagdad, Safford/Lone Star, leach innovation and Kucing Liar, funded from cash flow; El Abra is not sanctioned. Attributable owner FCF runs ~$1.6-3.0B/yr, in line with FCX's FY2019-25 attributable history of $0.5-4B.</t>
  </si>
  <si>
    <t xml:space="preserve">Scenario narrative: bull</t>
  </si>
  <si>
    <t xml:space="preserve">Structural deficit. AI/data-centre power, grid electrification and EVs keep refined copper in deficit through the decade and the price holds ~$5.75/lb with gold ~$4,200 -- essentially today's deck sustained. Grasberg ramps on time and Kucing Liar, El Abra (sanctioned 2027), Bagdad and the leach programme lift volume ~3%/yr into the mid-2030s; margins reach 45% and North America's larger 100%-owned share of EBIT cuts the leakage rate to 64%. Section 232 tariffs on refined copper (15% 2027 / 30% 2028 under review) add a US price premium. Attributable owner FCF climbs from ~$2.3B to ~$4.4B by FY2036.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</si>
  <si>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</si>
  <si>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</si>
  <si>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</si>
  <si>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</si>
  <si>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</si>
  <si>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</si>
  <si>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</si>
  <si>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</si>
  <si>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</si>
  <si>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</si>
  <si>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</si>
  <si>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</si>
  <si>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</si>
  <si>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</si>
  <si>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</si>
  <si>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</si>
  <si>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</si>
  <si>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</si>
  <si>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</si>
  <si>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</si>
  <si>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</si>
  <si>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</si>
  <si>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</si>
  <si>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</si>
  <si>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</si>
  <si>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</si>
  <si>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</si>
  <si>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</si>
  <si>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</si>
  <si>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</si>
  <si>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</si>
  <si>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</si>
  <si>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</si>
  <si>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</si>
  <si>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</si>
  <si>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</si>
  <si>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</si>
  <si>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</si>
  <si>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</si>
  <si>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</si>
  <si>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</si>
  <si>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</si>
  <si>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</si>
  <si>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</si>
  <si>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</si>
  <si>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</si>
  <si>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</si>
  <si>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</si>
  <si>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</si>
  <si>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</si>
  <si>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</si>
  <si>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</si>
  <si>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</si>
  <si>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</si>
  <si>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</si>
  <si>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</si>
  <si>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</si>
  <si>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</si>
  <si>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</si>
  <si>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</si>
  <si>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</si>
  <si>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</si>
  <si>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</si>
  <si>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</si>
  <si>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</si>
  <si>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</si>
  <si>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</si>
  <si>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</si>
  <si>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</si>
  <si>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</si>
  <si>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</si>
  <si>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</si>
  <si>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</si>
  <si>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</si>
  <si>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</si>
  <si>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</si>
  <si>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</si>
  <si>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</si>
  <si>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</si>
  <si>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</si>
  <si>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</si>
  <si>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</si>
  <si>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</si>
  <si>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</si>
  <si>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</si>
  <si>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FCX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</si>
  <si>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</si>
  <si>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</si>
  <si>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</si>
  <si>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</si>
  <si>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</si>
  <si>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</si>
  <si>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</si>
  <si>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</si>
  <si>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</si>
  <si>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</si>
  <si>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</si>
  <si>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</si>
  <si>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</si>
  <si>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</si>
  <si>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</si>
  <si>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</si>
  <si>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</si>
  <si>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</si>
  <si>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</si>
  <si>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</si>
  <si>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</si>
  <si>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</si>
  <si>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</si>
  <si>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</si>
  <si>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</si>
  <si>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</si>
  <si>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</si>
  <si>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</si>
  <si>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</si>
  <si>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</si>
  <si>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FCX owner-FCF component DCF: base case (millions, USD)</t>
  </si>
  <si>
    <t xml:space="preserve">FCX owner-FCF component DCF: bull case (millions, USD)</t>
  </si>
  <si>
    <t xml:space="preserve">FCX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</si>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</sst>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72.31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2658</v>
      </c>
      <c r="S2" s="0" t="n">
        <v>907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C3" s="0" t="n">
        <v>9773</v>
      </c>
      <c r="F3" s="0" t="n">
        <v>6555</v>
      </c>
      <c r="I3" s="0" t="n">
        <v>3779</v>
      </c>
      <c r="K3" s="0" t="n">
        <v>8.12</v>
      </c>
      <c r="L3" s="0" t="n">
        <v>6225</v>
      </c>
      <c r="O3" s="0" t="n">
        <v>19473</v>
      </c>
      <c r="S3" s="0" t="n">
        <v>1626</v>
      </c>
      <c r="T3" s="0" t="n">
        <v>397</v>
      </c>
      <c r="U3" s="0" t="n">
        <v>144</v>
      </c>
      <c r="V3" s="0" t="n">
        <v>1.375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C4" s="0" t="n">
        <v>12980</v>
      </c>
      <c r="F4" s="0" t="n">
        <v>-12710</v>
      </c>
      <c r="I4" s="0" t="n">
        <v>-10450</v>
      </c>
      <c r="K4" s="0" t="n">
        <v>-14.86</v>
      </c>
      <c r="L4" s="0" t="n">
        <v>3370</v>
      </c>
      <c r="O4" s="0" t="n">
        <v>7101</v>
      </c>
      <c r="P4" s="0" t="n">
        <v>23353</v>
      </c>
      <c r="Q4" s="0" t="n">
        <v>16252</v>
      </c>
      <c r="R4" s="0" t="n">
        <v>7351</v>
      </c>
      <c r="S4" s="0" t="n">
        <v>872</v>
      </c>
      <c r="T4" s="0" t="n">
        <v>763</v>
      </c>
      <c r="U4" s="0" t="n">
        <v>98</v>
      </c>
      <c r="V4" s="0" t="n">
        <v>0.6875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C5" s="0" t="n">
        <v>8049</v>
      </c>
      <c r="F5" s="0" t="n">
        <v>6503</v>
      </c>
      <c r="I5" s="0" t="n">
        <v>3534</v>
      </c>
      <c r="K5" s="0" t="n">
        <v>3.05</v>
      </c>
      <c r="L5" s="0" t="n">
        <v>4397</v>
      </c>
      <c r="O5" s="0" t="n">
        <v>10757</v>
      </c>
      <c r="P5" s="0" t="n">
        <v>25996</v>
      </c>
      <c r="Q5" s="0" t="n">
        <v>15239</v>
      </c>
      <c r="R5" s="0" t="n">
        <v>6346</v>
      </c>
      <c r="S5" s="0" t="n">
        <v>3738</v>
      </c>
      <c r="T5" s="0" t="n">
        <v>938</v>
      </c>
      <c r="U5" s="0" t="n">
        <v>102</v>
      </c>
      <c r="V5" s="0" t="n">
        <v>0.075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F6" s="0" t="n">
        <v>9068</v>
      </c>
      <c r="I6" s="0" t="n">
        <v>5544</v>
      </c>
      <c r="K6" s="0" t="n">
        <v>4.67</v>
      </c>
      <c r="L6" s="0" t="n">
        <v>6273</v>
      </c>
      <c r="O6" s="0" t="n">
        <v>14560</v>
      </c>
      <c r="P6" s="0" t="n">
        <v>29386</v>
      </c>
      <c r="Q6" s="0" t="n">
        <v>14826</v>
      </c>
      <c r="R6" s="0" t="n">
        <v>4755</v>
      </c>
      <c r="S6" s="0" t="n">
        <v>4822</v>
      </c>
      <c r="T6" s="0" t="n">
        <v>949</v>
      </c>
      <c r="U6" s="0" t="n">
        <v>122</v>
      </c>
      <c r="V6" s="0" t="n">
        <v>1.125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20880</v>
      </c>
      <c r="F7" s="0" t="n">
        <v>9140</v>
      </c>
      <c r="G7" s="0" t="n">
        <v>43.7739463601533</v>
      </c>
      <c r="I7" s="0" t="n">
        <v>5747</v>
      </c>
      <c r="J7" s="0" t="n">
        <v>27.5239463601533</v>
      </c>
      <c r="K7" s="0" t="n">
        <v>4.81</v>
      </c>
      <c r="L7" s="0" t="n">
        <v>6620</v>
      </c>
      <c r="M7" s="0" t="n">
        <v>2534</v>
      </c>
      <c r="N7" s="0" t="n">
        <v>4086</v>
      </c>
      <c r="O7" s="0" t="n">
        <v>18553</v>
      </c>
      <c r="P7" s="0" t="n">
        <v>32070</v>
      </c>
      <c r="Q7" s="0" t="n">
        <v>13517</v>
      </c>
      <c r="R7" s="0" t="n">
        <v>3537</v>
      </c>
      <c r="S7" s="0" t="n">
        <v>4822</v>
      </c>
      <c r="T7" s="0" t="n">
        <v>955</v>
      </c>
      <c r="U7" s="0" t="n">
        <v>117</v>
      </c>
      <c r="V7" s="0" t="n">
        <v>1.5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18010</v>
      </c>
      <c r="F8" s="0" t="n">
        <v>5814</v>
      </c>
      <c r="G8" s="0" t="n">
        <v>32.282065519156</v>
      </c>
      <c r="I8" s="0" t="n">
        <v>3980</v>
      </c>
      <c r="J8" s="0" t="n">
        <v>22.0988339811216</v>
      </c>
      <c r="K8" s="0" t="n">
        <v>3.2</v>
      </c>
      <c r="L8" s="0" t="n">
        <v>3774</v>
      </c>
      <c r="M8" s="0" t="n">
        <v>3494</v>
      </c>
      <c r="N8" s="0" t="n">
        <v>280</v>
      </c>
      <c r="O8" s="0" t="n">
        <v>21311</v>
      </c>
      <c r="P8" s="0" t="n">
        <v>35440</v>
      </c>
      <c r="Q8" s="0" t="n">
        <v>14129</v>
      </c>
      <c r="R8" s="0" t="n">
        <v>3527</v>
      </c>
      <c r="S8" s="0" t="n">
        <v>3705</v>
      </c>
      <c r="T8" s="0" t="n">
        <v>954</v>
      </c>
      <c r="U8" s="0" t="n">
        <v>100</v>
      </c>
      <c r="V8" s="0" t="n">
        <v>1.25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20921</v>
      </c>
      <c r="F9" s="0" t="n">
        <v>5351</v>
      </c>
      <c r="G9" s="0" t="n">
        <v>25.5771712633239</v>
      </c>
      <c r="H9" s="0" t="n">
        <v>8148</v>
      </c>
      <c r="I9" s="0" t="n">
        <v>3441</v>
      </c>
      <c r="J9" s="0" t="n">
        <v>16.4475885473926</v>
      </c>
      <c r="K9" s="0" t="n">
        <v>2.65</v>
      </c>
      <c r="L9" s="0" t="n">
        <v>6139</v>
      </c>
      <c r="M9" s="0" t="n">
        <v>5286</v>
      </c>
      <c r="N9" s="0" t="n">
        <v>853</v>
      </c>
      <c r="O9" s="0" t="n">
        <v>25231</v>
      </c>
      <c r="P9" s="0" t="n">
        <v>63385</v>
      </c>
      <c r="Q9" s="0" t="n">
        <v>37526</v>
      </c>
      <c r="R9" s="0" t="n">
        <v>20706</v>
      </c>
      <c r="S9" s="0" t="n">
        <v>1864</v>
      </c>
      <c r="T9" s="0" t="n">
        <v>1006</v>
      </c>
      <c r="U9" s="0" t="n">
        <v>186</v>
      </c>
      <c r="V9" s="0" t="n">
        <v>2.25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20001</v>
      </c>
      <c r="C10" s="0" t="n">
        <v>18494</v>
      </c>
      <c r="F10" s="0" t="n">
        <v>-298</v>
      </c>
      <c r="G10" s="0" t="n">
        <v>-1.48992550372481</v>
      </c>
      <c r="H10" s="0" t="n">
        <v>3565</v>
      </c>
      <c r="I10" s="0" t="n">
        <v>-745</v>
      </c>
      <c r="J10" s="0" t="n">
        <v>-3.72481375931204</v>
      </c>
      <c r="K10" s="0" t="n">
        <v>-1.26</v>
      </c>
      <c r="L10" s="0" t="n">
        <v>5631</v>
      </c>
      <c r="M10" s="0" t="n">
        <v>7215</v>
      </c>
      <c r="N10" s="0" t="n">
        <v>-1584</v>
      </c>
      <c r="O10" s="0" t="n">
        <v>22474</v>
      </c>
      <c r="P10" s="0" t="n">
        <v>58674</v>
      </c>
      <c r="Q10" s="0" t="n">
        <v>35449</v>
      </c>
      <c r="R10" s="0" t="n">
        <v>18849</v>
      </c>
      <c r="S10" s="0" t="n">
        <v>298</v>
      </c>
      <c r="T10" s="0" t="n">
        <v>1039</v>
      </c>
      <c r="U10" s="0" t="n">
        <v>130</v>
      </c>
      <c r="V10" s="0" t="n">
        <v>1.25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14607</v>
      </c>
      <c r="C11" s="0" t="n">
        <v>27415</v>
      </c>
      <c r="F11" s="0" t="n">
        <v>-13512</v>
      </c>
      <c r="G11" s="0" t="n">
        <v>-92.5035941671801</v>
      </c>
      <c r="H11" s="0" t="n">
        <v>-10015</v>
      </c>
      <c r="I11" s="0" t="n">
        <v>-12089</v>
      </c>
      <c r="J11" s="0" t="n">
        <v>-82.7616896008763</v>
      </c>
      <c r="K11" s="0" t="n">
        <v>-11.31</v>
      </c>
      <c r="L11" s="0" t="n">
        <v>3220</v>
      </c>
      <c r="M11" s="0" t="n">
        <v>6353</v>
      </c>
      <c r="N11" s="0" t="n">
        <v>-3133</v>
      </c>
      <c r="O11" s="0" t="n">
        <v>12044</v>
      </c>
      <c r="P11" s="0" t="n">
        <v>46577</v>
      </c>
      <c r="Q11" s="0" t="n">
        <v>33769</v>
      </c>
      <c r="R11" s="0" t="n">
        <v>20324</v>
      </c>
      <c r="S11" s="0" t="n">
        <v>177</v>
      </c>
      <c r="T11" s="0" t="n">
        <v>1082</v>
      </c>
      <c r="U11" s="0" t="n">
        <v>96</v>
      </c>
      <c r="V11" s="0" t="n">
        <v>0.2605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14830</v>
      </c>
      <c r="C12" s="0" t="n">
        <v>17534</v>
      </c>
      <c r="F12" s="0" t="n">
        <v>-2729</v>
      </c>
      <c r="G12" s="0" t="n">
        <v>-18.4018880647337</v>
      </c>
      <c r="H12" s="0" t="n">
        <v>-119</v>
      </c>
      <c r="I12" s="0" t="n">
        <v>-4025</v>
      </c>
      <c r="J12" s="0" t="n">
        <v>-27.1409305461902</v>
      </c>
      <c r="K12" s="0" t="n">
        <v>-3.16</v>
      </c>
      <c r="L12" s="0" t="n">
        <v>3737</v>
      </c>
      <c r="M12" s="0" t="n">
        <v>2813</v>
      </c>
      <c r="N12" s="0" t="n">
        <v>924</v>
      </c>
      <c r="O12" s="0" t="n">
        <v>9257</v>
      </c>
      <c r="P12" s="0" t="n">
        <v>37317</v>
      </c>
      <c r="Q12" s="0" t="n">
        <v>28060</v>
      </c>
      <c r="R12" s="0" t="n">
        <v>16027</v>
      </c>
      <c r="S12" s="0" t="n">
        <v>4245</v>
      </c>
      <c r="T12" s="0" t="n">
        <v>1318</v>
      </c>
      <c r="U12" s="0" t="n">
        <v>86</v>
      </c>
      <c r="V12" s="0" t="n">
        <v>0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16403</v>
      </c>
      <c r="C13" s="0" t="n">
        <v>11980</v>
      </c>
      <c r="F13" s="0" t="n">
        <v>3690</v>
      </c>
      <c r="G13" s="0" t="n">
        <v>22.4958848991038</v>
      </c>
      <c r="H13" s="0" t="n">
        <v>5404</v>
      </c>
      <c r="I13" s="0" t="n">
        <v>2095</v>
      </c>
      <c r="J13" s="0" t="n">
        <v>12.7720538925806</v>
      </c>
      <c r="K13" s="0" t="n">
        <v>1.25</v>
      </c>
      <c r="L13" s="0" t="n">
        <v>4666</v>
      </c>
      <c r="M13" s="0" t="n">
        <v>1410</v>
      </c>
      <c r="N13" s="0" t="n">
        <v>3256</v>
      </c>
      <c r="O13" s="0" t="n">
        <v>11296</v>
      </c>
      <c r="P13" s="0" t="n">
        <v>37302</v>
      </c>
      <c r="Q13" s="0" t="n">
        <v>26006</v>
      </c>
      <c r="R13" s="0" t="n">
        <v>13229</v>
      </c>
      <c r="S13" s="0" t="n">
        <v>4526</v>
      </c>
      <c r="T13" s="0" t="n">
        <v>1454</v>
      </c>
      <c r="U13" s="0" t="n">
        <v>71</v>
      </c>
      <c r="V13" s="0" t="n">
        <v>0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18945</v>
      </c>
      <c r="C14" s="0" t="n">
        <v>13466</v>
      </c>
      <c r="F14" s="0" t="n">
        <v>4754</v>
      </c>
      <c r="G14" s="0" t="n">
        <v>25.0936922670889</v>
      </c>
      <c r="H14" s="0" t="n">
        <v>6508</v>
      </c>
      <c r="I14" s="0" t="n">
        <v>2894</v>
      </c>
      <c r="J14" s="0" t="n">
        <v>15.2757983636844</v>
      </c>
      <c r="K14" s="0" t="n">
        <v>1.79</v>
      </c>
      <c r="L14" s="0" t="n">
        <v>3863</v>
      </c>
      <c r="M14" s="0" t="n">
        <v>1971</v>
      </c>
      <c r="N14" s="0" t="n">
        <v>1892</v>
      </c>
      <c r="O14" s="0" t="n">
        <v>17892</v>
      </c>
      <c r="P14" s="0" t="n">
        <v>42216</v>
      </c>
      <c r="Q14" s="0" t="n">
        <v>24324</v>
      </c>
      <c r="R14" s="0" t="n">
        <v>11158</v>
      </c>
      <c r="S14" s="0" t="n">
        <v>4217</v>
      </c>
      <c r="T14" s="0" t="n">
        <v>1458</v>
      </c>
      <c r="U14" s="0" t="n">
        <v>76</v>
      </c>
      <c r="V14" s="0" t="n">
        <v>0.2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14402</v>
      </c>
      <c r="C15" s="0" t="n">
        <v>13125</v>
      </c>
      <c r="F15" s="0" t="n">
        <v>1091</v>
      </c>
      <c r="G15" s="0" t="n">
        <v>7.5753367587835</v>
      </c>
      <c r="H15" s="0" t="n">
        <v>2503</v>
      </c>
      <c r="I15" s="0" t="n">
        <v>-189</v>
      </c>
      <c r="J15" s="0" t="n">
        <v>-1.3123177336481</v>
      </c>
      <c r="K15" s="0" t="n">
        <v>-0.17</v>
      </c>
      <c r="L15" s="0" t="n">
        <v>1482</v>
      </c>
      <c r="M15" s="0" t="n">
        <v>2652</v>
      </c>
      <c r="N15" s="0" t="n">
        <v>-1170</v>
      </c>
      <c r="O15" s="0" t="n">
        <v>17448</v>
      </c>
      <c r="P15" s="0" t="n">
        <v>40809</v>
      </c>
      <c r="Q15" s="0" t="n">
        <v>23361</v>
      </c>
      <c r="R15" s="0" t="n">
        <v>9831</v>
      </c>
      <c r="S15" s="0" t="n">
        <v>2020</v>
      </c>
      <c r="T15" s="0" t="n">
        <v>1451</v>
      </c>
      <c r="U15" s="0" t="n">
        <v>63</v>
      </c>
      <c r="V15" s="0" t="n">
        <v>0.2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14198</v>
      </c>
      <c r="C16" s="0" t="n">
        <v>11655</v>
      </c>
      <c r="F16" s="0" t="n">
        <v>2437</v>
      </c>
      <c r="G16" s="0" t="n">
        <v>17.1643893506128</v>
      </c>
      <c r="H16" s="0" t="n">
        <v>3965</v>
      </c>
      <c r="I16" s="0" t="n">
        <v>865</v>
      </c>
      <c r="J16" s="0" t="n">
        <v>6.09240738132131</v>
      </c>
      <c r="K16" s="0" t="n">
        <v>0.41</v>
      </c>
      <c r="L16" s="0" t="n">
        <v>3017</v>
      </c>
      <c r="M16" s="0" t="n">
        <v>1961</v>
      </c>
      <c r="N16" s="0" t="n">
        <v>1056</v>
      </c>
      <c r="O16" s="0" t="n">
        <v>18668</v>
      </c>
      <c r="P16" s="0" t="n">
        <v>42144</v>
      </c>
      <c r="Q16" s="0" t="n">
        <v>23476</v>
      </c>
      <c r="R16" s="0" t="n">
        <v>9745</v>
      </c>
      <c r="S16" s="0" t="n">
        <v>3657</v>
      </c>
      <c r="T16" s="0" t="n">
        <v>1461</v>
      </c>
      <c r="U16" s="0" t="n">
        <v>99</v>
      </c>
      <c r="V16" s="0" t="n">
        <v>0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22845</v>
      </c>
      <c r="C17" s="0" t="n">
        <v>14030</v>
      </c>
      <c r="F17" s="0" t="n">
        <v>8366</v>
      </c>
      <c r="G17" s="0" t="n">
        <v>36.6207047493981</v>
      </c>
      <c r="H17" s="0" t="n">
        <v>10364</v>
      </c>
      <c r="I17" s="0" t="n">
        <v>5365</v>
      </c>
      <c r="J17" s="0" t="n">
        <v>23.4843510615014</v>
      </c>
      <c r="K17" s="0" t="n">
        <v>2.93</v>
      </c>
      <c r="L17" s="0" t="n">
        <v>7715</v>
      </c>
      <c r="M17" s="0" t="n">
        <v>2115</v>
      </c>
      <c r="N17" s="0" t="n">
        <v>5600</v>
      </c>
      <c r="O17" s="0" t="n">
        <v>23019</v>
      </c>
      <c r="P17" s="0" t="n">
        <v>48022</v>
      </c>
      <c r="Q17" s="0" t="n">
        <v>25003</v>
      </c>
      <c r="R17" s="0" t="n">
        <v>9822</v>
      </c>
      <c r="S17" s="0" t="n">
        <v>8068</v>
      </c>
      <c r="T17" s="0" t="n">
        <v>1482</v>
      </c>
      <c r="U17" s="0" t="n">
        <v>98</v>
      </c>
      <c r="V17" s="0" t="n">
        <v>0.375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23271</v>
      </c>
      <c r="C18" s="0" t="n">
        <v>15089</v>
      </c>
      <c r="F18" s="0" t="n">
        <v>7037</v>
      </c>
      <c r="G18" s="0" t="n">
        <v>30.2393537020326</v>
      </c>
      <c r="H18" s="0" t="n">
        <v>9056</v>
      </c>
      <c r="I18" s="0" t="n">
        <v>4479</v>
      </c>
      <c r="J18" s="0" t="n">
        <v>19.2471316230502</v>
      </c>
      <c r="L18" s="0" t="n">
        <v>5139</v>
      </c>
      <c r="M18" s="0" t="n">
        <v>3469</v>
      </c>
      <c r="N18" s="0" t="n">
        <v>1670</v>
      </c>
      <c r="O18" s="0" t="n">
        <v>24871</v>
      </c>
      <c r="P18" s="0" t="n">
        <v>51093</v>
      </c>
      <c r="Q18" s="0" t="n">
        <v>26222</v>
      </c>
      <c r="R18" s="0" t="n">
        <v>11657</v>
      </c>
      <c r="S18" s="0" t="n">
        <v>8146</v>
      </c>
      <c r="T18" s="0" t="n">
        <v>1451</v>
      </c>
      <c r="U18" s="0" t="n">
        <v>95</v>
      </c>
      <c r="V18" s="0" t="n">
        <v>0.6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22855</v>
      </c>
      <c r="C19" s="0" t="n">
        <v>15695</v>
      </c>
      <c r="F19" s="0" t="n">
        <v>6225</v>
      </c>
      <c r="G19" s="0" t="n">
        <v>27.2369284620433</v>
      </c>
      <c r="H19" s="0" t="n">
        <v>8293</v>
      </c>
      <c r="I19" s="0" t="n">
        <v>3751</v>
      </c>
      <c r="J19" s="0" t="n">
        <v>16.4121636403413</v>
      </c>
      <c r="L19" s="0" t="n">
        <v>5279</v>
      </c>
      <c r="M19" s="0" t="n">
        <v>4824</v>
      </c>
      <c r="N19" s="0" t="n">
        <v>455</v>
      </c>
      <c r="O19" s="0" t="n">
        <v>27310</v>
      </c>
      <c r="P19" s="0" t="n">
        <v>52506</v>
      </c>
      <c r="Q19" s="0" t="n">
        <v>25196</v>
      </c>
      <c r="R19" s="0" t="n">
        <v>10188</v>
      </c>
      <c r="S19" s="0" t="n">
        <v>4758</v>
      </c>
      <c r="T19" s="0" t="n">
        <v>1443</v>
      </c>
      <c r="U19" s="0" t="n">
        <v>109</v>
      </c>
      <c r="V19" s="0" t="n">
        <v>0.6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25455</v>
      </c>
      <c r="C20" s="0" t="n">
        <v>17795</v>
      </c>
      <c r="F20" s="0" t="n">
        <v>6864</v>
      </c>
      <c r="G20" s="0" t="n">
        <v>26.9652327637007</v>
      </c>
      <c r="H20" s="0" t="n">
        <v>9105</v>
      </c>
      <c r="I20" s="0" t="n">
        <v>4399</v>
      </c>
      <c r="J20" s="0" t="n">
        <v>17.2814771164801</v>
      </c>
      <c r="L20" s="0" t="n">
        <v>7160</v>
      </c>
      <c r="M20" s="0" t="n">
        <v>4808</v>
      </c>
      <c r="N20" s="0" t="n">
        <v>2352</v>
      </c>
      <c r="O20" s="0" t="n">
        <v>28778</v>
      </c>
      <c r="P20" s="0" t="n">
        <v>54848</v>
      </c>
      <c r="Q20" s="0" t="n">
        <v>26070</v>
      </c>
      <c r="R20" s="0" t="n">
        <v>8989</v>
      </c>
      <c r="S20" s="0" t="n">
        <v>3923</v>
      </c>
      <c r="T20" s="0" t="n">
        <v>1445</v>
      </c>
      <c r="U20" s="0" t="n">
        <v>109</v>
      </c>
      <c r="V20" s="0" t="n">
        <v>0.6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25915</v>
      </c>
      <c r="C21" s="0" t="n">
        <v>18618</v>
      </c>
      <c r="F21" s="0" t="n">
        <v>6518</v>
      </c>
      <c r="G21" s="0" t="n">
        <v>25.1514566853174</v>
      </c>
      <c r="H21" s="0" t="n">
        <v>8762</v>
      </c>
      <c r="I21" s="0" t="n">
        <v>4152</v>
      </c>
      <c r="J21" s="0" t="n">
        <v>16.021609106695</v>
      </c>
      <c r="L21" s="0" t="n">
        <v>5610</v>
      </c>
      <c r="M21" s="0" t="n">
        <v>4494</v>
      </c>
      <c r="N21" s="0" t="n">
        <v>1116</v>
      </c>
      <c r="O21" s="0" t="n">
        <v>30766</v>
      </c>
      <c r="P21" s="0" t="n">
        <v>58167</v>
      </c>
      <c r="Q21" s="0" t="n">
        <v>27401</v>
      </c>
      <c r="R21" s="0" t="n">
        <v>9845</v>
      </c>
      <c r="S21" s="0" t="n">
        <v>3824</v>
      </c>
      <c r="T21" s="0" t="n">
        <v>1443</v>
      </c>
      <c r="U21" s="0" t="n">
        <v>121</v>
      </c>
      <c r="V21" s="0" t="n">
        <v>0.6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72.31</v>
      </c>
    </row>
    <row r="3" customFormat="false" ht="15" hidden="false" customHeight="false" outlineLevel="0" collapsed="false">
      <c r="A3" s="0" t="s">
        <v>86</v>
      </c>
      <c r="B3" s="3" t="n">
        <v>1444</v>
      </c>
    </row>
    <row r="4" customFormat="false" ht="15" hidden="false" customHeight="false" outlineLevel="0" collapsed="false">
      <c r="A4" s="0" t="s">
        <v>87</v>
      </c>
      <c r="B4" s="3" t="n">
        <v>5306</v>
      </c>
    </row>
    <row r="5" customFormat="false" ht="15" hidden="false" customHeight="false" outlineLevel="0" collapsed="false">
      <c r="A5" s="0" t="s">
        <v>88</v>
      </c>
      <c r="B5" s="3" t="n">
        <v>1200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28800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-10</v>
      </c>
      <c r="D13" s="3" t="n">
        <v>-7.5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108</v>
      </c>
      <c r="C14" s="3" t="n">
        <v>33</v>
      </c>
      <c r="D14" s="3" t="n">
        <v>29</v>
      </c>
      <c r="E14" s="3" t="n">
        <v>29</v>
      </c>
      <c r="F14" s="3" t="n">
        <v>29.5</v>
      </c>
      <c r="G14" s="3" t="n">
        <v>30</v>
      </c>
      <c r="H14" s="3" t="n">
        <v>30</v>
      </c>
      <c r="I14" s="3" t="n">
        <v>30</v>
      </c>
      <c r="J14" s="3" t="n">
        <v>30</v>
      </c>
      <c r="K14" s="3" t="n">
        <v>30</v>
      </c>
      <c r="L14" s="3" t="n">
        <v>30</v>
      </c>
    </row>
    <row r="15" customFormat="false" ht="15" hidden="false" customHeight="false" outlineLevel="0" collapsed="false">
      <c r="A15" s="0" t="s">
        <v>109</v>
      </c>
      <c r="C15" s="3" t="n">
        <v>0.6</v>
      </c>
      <c r="D15" s="3" t="n">
        <v>0.6</v>
      </c>
      <c r="E15" s="3" t="n">
        <v>0.55</v>
      </c>
      <c r="F15" s="3" t="n">
        <v>0.55</v>
      </c>
      <c r="G15" s="3" t="n">
        <v>0.55</v>
      </c>
      <c r="H15" s="3" t="n">
        <v>0.55</v>
      </c>
      <c r="I15" s="3" t="n">
        <v>0.55</v>
      </c>
      <c r="J15" s="3" t="n">
        <v>0.55</v>
      </c>
      <c r="K15" s="3" t="n">
        <v>0.55</v>
      </c>
      <c r="L15" s="3" t="n">
        <v>0.55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5.8</v>
      </c>
      <c r="D17" s="3" t="n">
        <v>6.3</v>
      </c>
      <c r="E17" s="3" t="n">
        <v>6.3</v>
      </c>
      <c r="F17" s="3" t="n">
        <v>6.3</v>
      </c>
      <c r="G17" s="3" t="n">
        <v>6.3</v>
      </c>
      <c r="H17" s="3" t="n">
        <v>6.3</v>
      </c>
      <c r="I17" s="3" t="n">
        <v>6.3</v>
      </c>
      <c r="J17" s="3" t="n">
        <v>6.3</v>
      </c>
      <c r="K17" s="3" t="n">
        <v>6.3</v>
      </c>
      <c r="L17" s="3" t="n">
        <v>6.3</v>
      </c>
    </row>
    <row r="18" customFormat="false" ht="15" hidden="false" customHeight="false" outlineLevel="0" collapsed="false">
      <c r="A18" s="0" t="s">
        <v>112</v>
      </c>
      <c r="C18" s="3" t="n">
        <v>10.5</v>
      </c>
      <c r="D18" s="3" t="n">
        <v>9</v>
      </c>
      <c r="E18" s="3" t="n">
        <v>8.5</v>
      </c>
      <c r="F18" s="3" t="n">
        <v>8.5</v>
      </c>
      <c r="G18" s="3" t="n">
        <v>8.5</v>
      </c>
      <c r="H18" s="3" t="n">
        <v>8.5</v>
      </c>
      <c r="I18" s="3" t="n">
        <v>8.5</v>
      </c>
      <c r="J18" s="3" t="n">
        <v>8.5</v>
      </c>
      <c r="K18" s="3" t="n">
        <v>8.5</v>
      </c>
      <c r="L18" s="3" t="n">
        <v>8.5</v>
      </c>
    </row>
    <row r="19" customFormat="false" ht="15" hidden="false" customHeight="false" outlineLevel="0" collapsed="false">
      <c r="A19" s="0" t="s">
        <v>113</v>
      </c>
      <c r="C19" s="3" t="n">
        <v>68</v>
      </c>
      <c r="D19" s="3" t="n">
        <v>72</v>
      </c>
      <c r="E19" s="3" t="n">
        <v>72</v>
      </c>
      <c r="F19" s="3" t="n">
        <v>72</v>
      </c>
      <c r="G19" s="3" t="n">
        <v>72</v>
      </c>
      <c r="H19" s="3" t="n">
        <v>72</v>
      </c>
      <c r="I19" s="3" t="n">
        <v>72</v>
      </c>
      <c r="J19" s="3" t="n">
        <v>72</v>
      </c>
      <c r="K19" s="3" t="n">
        <v>72</v>
      </c>
      <c r="L19" s="3" t="n">
        <v>72</v>
      </c>
    </row>
    <row r="20" customFormat="false" ht="15" hidden="false" customHeight="false" outlineLevel="0" collapsed="false">
      <c r="A20" s="0" t="s">
        <v>114</v>
      </c>
      <c r="B20" s="3" t="n">
        <v>10</v>
      </c>
    </row>
    <row r="21" customFormat="false" ht="15" hidden="false" customHeight="false" outlineLevel="0" collapsed="false">
      <c r="A21" s="0" t="s">
        <v>115</v>
      </c>
      <c r="B21" s="3" t="n">
        <v>2</v>
      </c>
    </row>
    <row r="22" customFormat="false" ht="15" hidden="false" customHeight="false" outlineLevel="0" collapsed="false">
      <c r="A22" s="0" t="s">
        <v>116</v>
      </c>
      <c r="B22" s="3" t="n">
        <v>12</v>
      </c>
    </row>
    <row r="23" customFormat="false" ht="15" hidden="false" customHeight="false" outlineLevel="0" collapsed="false">
      <c r="A23" s="0" t="s">
        <v>117</v>
      </c>
      <c r="B23" s="3" t="n">
        <v>-5</v>
      </c>
    </row>
    <row r="24" customFormat="false" ht="15" hidden="false" customHeight="false" outlineLevel="0" collapsed="false">
      <c r="A24" s="0" t="s">
        <v>118</v>
      </c>
      <c r="B24" s="3" t="n">
        <v>0.25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6.5</v>
      </c>
      <c r="D27" s="3" t="n">
        <v>-1</v>
      </c>
      <c r="E27" s="3" t="n">
        <v>3.5</v>
      </c>
      <c r="F27" s="3" t="n">
        <v>3.5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108</v>
      </c>
      <c r="C28" s="3" t="n">
        <v>38.5</v>
      </c>
      <c r="D28" s="3" t="n">
        <v>39.5</v>
      </c>
      <c r="E28" s="3" t="n">
        <v>40</v>
      </c>
      <c r="F28" s="3" t="n">
        <v>40</v>
      </c>
      <c r="G28" s="3" t="n">
        <v>40</v>
      </c>
      <c r="H28" s="3" t="n">
        <v>40</v>
      </c>
      <c r="I28" s="3" t="n">
        <v>40</v>
      </c>
      <c r="J28" s="3" t="n">
        <v>40</v>
      </c>
      <c r="K28" s="3" t="n">
        <v>40</v>
      </c>
      <c r="L28" s="3" t="n">
        <v>40</v>
      </c>
    </row>
    <row r="29" customFormat="false" ht="15" hidden="false" customHeight="false" outlineLevel="0" collapsed="false">
      <c r="A29" s="0" t="s">
        <v>109</v>
      </c>
      <c r="C29" s="3" t="n">
        <v>0.55</v>
      </c>
      <c r="D29" s="3" t="n">
        <v>0.55</v>
      </c>
      <c r="E29" s="3" t="n">
        <v>0.5</v>
      </c>
      <c r="F29" s="3" t="n">
        <v>0.5</v>
      </c>
      <c r="G29" s="3" t="n">
        <v>0.5</v>
      </c>
      <c r="H29" s="3" t="n">
        <v>0.5</v>
      </c>
      <c r="I29" s="3" t="n">
        <v>0.5</v>
      </c>
      <c r="J29" s="3" t="n">
        <v>0.5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5.5</v>
      </c>
      <c r="D31" s="3" t="n">
        <v>5.5</v>
      </c>
      <c r="E31" s="3" t="n">
        <v>5.4</v>
      </c>
      <c r="F31" s="3" t="n">
        <v>5.3</v>
      </c>
      <c r="G31" s="3" t="n">
        <v>5.3</v>
      </c>
      <c r="H31" s="3" t="n">
        <v>5.2</v>
      </c>
      <c r="I31" s="3" t="n">
        <v>5.2</v>
      </c>
      <c r="J31" s="3" t="n">
        <v>5.2</v>
      </c>
      <c r="K31" s="3" t="n">
        <v>5.2</v>
      </c>
      <c r="L31" s="3" t="n">
        <v>5.2</v>
      </c>
    </row>
    <row r="32" customFormat="false" ht="15" hidden="false" customHeight="false" outlineLevel="0" collapsed="false">
      <c r="A32" s="0" t="s">
        <v>112</v>
      </c>
      <c r="C32" s="3" t="n">
        <v>11</v>
      </c>
      <c r="D32" s="3" t="n">
        <v>10.4</v>
      </c>
      <c r="E32" s="3" t="n">
        <v>9.7</v>
      </c>
      <c r="F32" s="3" t="n">
        <v>9.7</v>
      </c>
      <c r="G32" s="3" t="n">
        <v>9.7</v>
      </c>
      <c r="H32" s="3" t="n">
        <v>9</v>
      </c>
      <c r="I32" s="3" t="n">
        <v>9</v>
      </c>
      <c r="J32" s="3" t="n">
        <v>8.6</v>
      </c>
      <c r="K32" s="3" t="n">
        <v>8.6</v>
      </c>
      <c r="L32" s="3" t="n">
        <v>8.6</v>
      </c>
    </row>
    <row r="33" customFormat="false" ht="15" hidden="false" customHeight="false" outlineLevel="0" collapsed="false">
      <c r="A33" s="0" t="s">
        <v>113</v>
      </c>
      <c r="C33" s="3" t="n">
        <v>65</v>
      </c>
      <c r="D33" s="3" t="n">
        <v>67</v>
      </c>
      <c r="E33" s="3" t="n">
        <v>67</v>
      </c>
      <c r="F33" s="3" t="n">
        <v>67</v>
      </c>
      <c r="G33" s="3" t="n">
        <v>67</v>
      </c>
      <c r="H33" s="3" t="n">
        <v>67</v>
      </c>
      <c r="I33" s="3" t="n">
        <v>67</v>
      </c>
      <c r="J33" s="3" t="n">
        <v>67</v>
      </c>
      <c r="K33" s="3" t="n">
        <v>67</v>
      </c>
      <c r="L33" s="3" t="n">
        <v>67</v>
      </c>
    </row>
    <row r="34" customFormat="false" ht="15" hidden="false" customHeight="false" outlineLevel="0" collapsed="false">
      <c r="A34" s="0" t="s">
        <v>114</v>
      </c>
      <c r="B34" s="3" t="n">
        <v>10</v>
      </c>
    </row>
    <row r="35" customFormat="false" ht="15" hidden="false" customHeight="false" outlineLevel="0" collapsed="false">
      <c r="A35" s="0" t="s">
        <v>115</v>
      </c>
      <c r="B35" s="3" t="n">
        <v>2.5</v>
      </c>
    </row>
    <row r="36" customFormat="false" ht="15" hidden="false" customHeight="false" outlineLevel="0" collapsed="false">
      <c r="A36" s="0" t="s">
        <v>116</v>
      </c>
      <c r="B36" s="3" t="n">
        <v>15</v>
      </c>
    </row>
    <row r="37" customFormat="false" ht="15" hidden="false" customHeight="false" outlineLevel="0" collapsed="false">
      <c r="A37" s="0" t="s">
        <v>117</v>
      </c>
      <c r="B37" s="3" t="n">
        <v>-5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12</v>
      </c>
      <c r="D41" s="3" t="n">
        <v>3</v>
      </c>
      <c r="E41" s="3" t="n">
        <v>5</v>
      </c>
      <c r="F41" s="3" t="n">
        <v>5</v>
      </c>
      <c r="G41" s="3" t="n">
        <v>5</v>
      </c>
      <c r="H41" s="3" t="n">
        <v>5</v>
      </c>
      <c r="I41" s="3" t="n">
        <v>4.5</v>
      </c>
      <c r="J41" s="3" t="n">
        <v>4.5</v>
      </c>
      <c r="K41" s="3" t="n">
        <v>4</v>
      </c>
      <c r="L41" s="3" t="n">
        <v>4</v>
      </c>
    </row>
    <row r="42" customFormat="false" ht="15" hidden="false" customHeight="false" outlineLevel="0" collapsed="false">
      <c r="A42" s="0" t="s">
        <v>108</v>
      </c>
      <c r="C42" s="3" t="n">
        <v>42</v>
      </c>
      <c r="D42" s="3" t="n">
        <v>44</v>
      </c>
      <c r="E42" s="3" t="n">
        <v>44.5</v>
      </c>
      <c r="F42" s="3" t="n">
        <v>45</v>
      </c>
      <c r="G42" s="3" t="n">
        <v>45</v>
      </c>
      <c r="H42" s="3" t="n">
        <v>45</v>
      </c>
      <c r="I42" s="3" t="n">
        <v>45</v>
      </c>
      <c r="J42" s="3" t="n">
        <v>45</v>
      </c>
      <c r="K42" s="3" t="n">
        <v>45</v>
      </c>
      <c r="L42" s="3" t="n">
        <v>45</v>
      </c>
    </row>
    <row r="43" customFormat="false" ht="15" hidden="false" customHeight="false" outlineLevel="0" collapsed="false">
      <c r="A43" s="0" t="s">
        <v>109</v>
      </c>
      <c r="C43" s="3" t="n">
        <v>0.55</v>
      </c>
      <c r="D43" s="3" t="n">
        <v>0.55</v>
      </c>
      <c r="E43" s="3" t="n">
        <v>0.5</v>
      </c>
      <c r="F43" s="3" t="n">
        <v>0.5</v>
      </c>
      <c r="G43" s="3" t="n">
        <v>0.5</v>
      </c>
      <c r="H43" s="3" t="n">
        <v>0.5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5.5</v>
      </c>
      <c r="D45" s="3" t="n">
        <v>5.5</v>
      </c>
      <c r="E45" s="3" t="n">
        <v>5.4</v>
      </c>
      <c r="F45" s="3" t="n">
        <v>5.3</v>
      </c>
      <c r="G45" s="3" t="n">
        <v>5.3</v>
      </c>
      <c r="H45" s="3" t="n">
        <v>5.2</v>
      </c>
      <c r="I45" s="3" t="n">
        <v>5.2</v>
      </c>
      <c r="J45" s="3" t="n">
        <v>5.2</v>
      </c>
      <c r="K45" s="3" t="n">
        <v>5.2</v>
      </c>
      <c r="L45" s="3" t="n">
        <v>5.2</v>
      </c>
    </row>
    <row r="46" customFormat="false" ht="15" hidden="false" customHeight="false" outlineLevel="0" collapsed="false">
      <c r="A46" s="0" t="s">
        <v>112</v>
      </c>
      <c r="C46" s="3" t="n">
        <v>11.5</v>
      </c>
      <c r="D46" s="3" t="n">
        <v>11.5</v>
      </c>
      <c r="E46" s="3" t="n">
        <v>11.5</v>
      </c>
      <c r="F46" s="3" t="n">
        <v>11.5</v>
      </c>
      <c r="G46" s="3" t="n">
        <v>11</v>
      </c>
      <c r="H46" s="3" t="n">
        <v>11</v>
      </c>
      <c r="I46" s="3" t="n">
        <v>10.5</v>
      </c>
      <c r="J46" s="3" t="n">
        <v>10.5</v>
      </c>
      <c r="K46" s="3" t="n">
        <v>10</v>
      </c>
      <c r="L46" s="3" t="n">
        <v>10</v>
      </c>
    </row>
    <row r="47" customFormat="false" ht="15" hidden="false" customHeight="false" outlineLevel="0" collapsed="false">
      <c r="A47" s="0" t="s">
        <v>113</v>
      </c>
      <c r="C47" s="3" t="n">
        <v>62</v>
      </c>
      <c r="D47" s="3" t="n">
        <v>64</v>
      </c>
      <c r="E47" s="3" t="n">
        <v>64</v>
      </c>
      <c r="F47" s="3" t="n">
        <v>64</v>
      </c>
      <c r="G47" s="3" t="n">
        <v>64</v>
      </c>
      <c r="H47" s="3" t="n">
        <v>64</v>
      </c>
      <c r="I47" s="3" t="n">
        <v>64</v>
      </c>
      <c r="J47" s="3" t="n">
        <v>64</v>
      </c>
      <c r="K47" s="3" t="n">
        <v>64</v>
      </c>
      <c r="L47" s="3" t="n">
        <v>64</v>
      </c>
    </row>
    <row r="48" customFormat="false" ht="15" hidden="false" customHeight="false" outlineLevel="0" collapsed="false">
      <c r="A48" s="0" t="s">
        <v>114</v>
      </c>
      <c r="B48" s="3" t="n">
        <v>10</v>
      </c>
    </row>
    <row r="49" customFormat="false" ht="15" hidden="false" customHeight="false" outlineLevel="0" collapsed="false">
      <c r="A49" s="0" t="s">
        <v>115</v>
      </c>
      <c r="B49" s="3" t="n">
        <v>3</v>
      </c>
    </row>
    <row r="50" customFormat="false" ht="15" hidden="false" customHeight="false" outlineLevel="0" collapsed="false">
      <c r="A50" s="0" t="s">
        <v>116</v>
      </c>
      <c r="B50" s="3" t="n">
        <v>15</v>
      </c>
    </row>
    <row r="51" customFormat="false" ht="15" hidden="false" customHeight="false" outlineLevel="0" collapsed="false">
      <c r="A51" s="0" t="s">
        <v>117</v>
      </c>
      <c r="B51" s="3" t="n">
        <v>-5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-10</v>
      </c>
      <c r="D5" s="4" t="n">
        <f aca="false">Assumptions!D13</f>
        <v>-7.5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28800</v>
      </c>
      <c r="C6" s="0" t="n">
        <f aca="false">B6*(1+C5/100)</f>
        <v>25920</v>
      </c>
      <c r="D6" s="0" t="n">
        <f aca="false">C6*(1+D5/100)</f>
        <v>23976</v>
      </c>
      <c r="E6" s="0" t="n">
        <f aca="false">D6*(1+E5/100)</f>
        <v>24455.52</v>
      </c>
      <c r="F6" s="0" t="n">
        <f aca="false">E6*(1+F5/100)</f>
        <v>24944.6304</v>
      </c>
      <c r="G6" s="0" t="n">
        <f aca="false">F6*(1+G5/100)</f>
        <v>25443.523008</v>
      </c>
      <c r="H6" s="0" t="n">
        <f aca="false">G6*(1+H5/100)</f>
        <v>25952.39346816</v>
      </c>
      <c r="I6" s="0" t="n">
        <f aca="false">H6*(1+I5/100)</f>
        <v>26471.4413375232</v>
      </c>
      <c r="J6" s="0" t="n">
        <f aca="false">I6*(1+J5/100)</f>
        <v>27000.8701642737</v>
      </c>
      <c r="K6" s="0" t="n">
        <f aca="false">J6*(1+K5/100)</f>
        <v>27540.8875675591</v>
      </c>
      <c r="L6" s="0" t="n">
        <f aca="false">K6*(1+L5/100)</f>
        <v>28091.7053189103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33</v>
      </c>
      <c r="D7" s="4" t="n">
        <f aca="false">Assumptions!D14</f>
        <v>29</v>
      </c>
      <c r="E7" s="4" t="n">
        <f aca="false">Assumptions!E14</f>
        <v>29</v>
      </c>
      <c r="F7" s="4" t="n">
        <f aca="false">Assumptions!F14</f>
        <v>29.5</v>
      </c>
      <c r="G7" s="4" t="n">
        <f aca="false">Assumptions!G14</f>
        <v>30</v>
      </c>
      <c r="H7" s="4" t="n">
        <f aca="false">Assumptions!H14</f>
        <v>30</v>
      </c>
      <c r="I7" s="4" t="n">
        <f aca="false">Assumptions!I14</f>
        <v>30</v>
      </c>
      <c r="J7" s="4" t="n">
        <f aca="false">Assumptions!J14</f>
        <v>30</v>
      </c>
      <c r="K7" s="4" t="n">
        <f aca="false">Assumptions!K14</f>
        <v>30</v>
      </c>
      <c r="L7" s="4" t="n">
        <f aca="false">Assumptions!L14</f>
        <v>30</v>
      </c>
    </row>
    <row r="8" customFormat="false" ht="15" hidden="false" customHeight="false" outlineLevel="0" collapsed="false">
      <c r="A8" s="0" t="s">
        <v>43</v>
      </c>
      <c r="C8" s="0" t="n">
        <f aca="false">C6*C7/100</f>
        <v>8553.6</v>
      </c>
      <c r="D8" s="0" t="n">
        <f aca="false">D6*D7/100</f>
        <v>6953.04</v>
      </c>
      <c r="E8" s="0" t="n">
        <f aca="false">E6*E7/100</f>
        <v>7092.1008</v>
      </c>
      <c r="F8" s="0" t="n">
        <f aca="false">F6*F7/100</f>
        <v>7358.665968</v>
      </c>
      <c r="G8" s="0" t="n">
        <f aca="false">G6*G7/100</f>
        <v>7633.0569024</v>
      </c>
      <c r="H8" s="0" t="n">
        <f aca="false">H6*H7/100</f>
        <v>7785.718040448</v>
      </c>
      <c r="I8" s="0" t="n">
        <f aca="false">I6*I7/100</f>
        <v>7941.43240125696</v>
      </c>
      <c r="J8" s="0" t="n">
        <f aca="false">J6*J7/100</f>
        <v>8100.2610492821</v>
      </c>
      <c r="K8" s="0" t="n">
        <f aca="false">K6*K7/100</f>
        <v>8262.26627026774</v>
      </c>
      <c r="L8" s="0" t="n">
        <f aca="false">L6*L7/100</f>
        <v>8427.5115956731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0.6</v>
      </c>
      <c r="D9" s="4" t="n">
        <f aca="false">Assumptions!D15</f>
        <v>0.6</v>
      </c>
      <c r="E9" s="4" t="n">
        <f aca="false">Assumptions!E15</f>
        <v>0.55</v>
      </c>
      <c r="F9" s="4" t="n">
        <f aca="false">Assumptions!F15</f>
        <v>0.55</v>
      </c>
      <c r="G9" s="4" t="n">
        <f aca="false">Assumptions!G15</f>
        <v>0.55</v>
      </c>
      <c r="H9" s="4" t="n">
        <f aca="false">Assumptions!H15</f>
        <v>0.55</v>
      </c>
      <c r="I9" s="4" t="n">
        <f aca="false">Assumptions!I15</f>
        <v>0.55</v>
      </c>
      <c r="J9" s="4" t="n">
        <f aca="false">Assumptions!J15</f>
        <v>0.55</v>
      </c>
      <c r="K9" s="4" t="n">
        <f aca="false">Assumptions!K15</f>
        <v>0.55</v>
      </c>
      <c r="L9" s="4" t="n">
        <f aca="false">Assumptions!L15</f>
        <v>0.55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-155.52</v>
      </c>
      <c r="D10" s="0" t="n">
        <f aca="false">-D6*D9/100</f>
        <v>-143.856</v>
      </c>
      <c r="E10" s="0" t="n">
        <f aca="false">-E6*E9/100</f>
        <v>-134.50536</v>
      </c>
      <c r="F10" s="0" t="n">
        <f aca="false">-F6*F9/100</f>
        <v>-137.1954672</v>
      </c>
      <c r="G10" s="0" t="n">
        <f aca="false">-G6*G9/100</f>
        <v>-139.939376544</v>
      </c>
      <c r="H10" s="0" t="n">
        <f aca="false">-H6*H9/100</f>
        <v>-142.73816407488</v>
      </c>
      <c r="I10" s="0" t="n">
        <f aca="false">-I6*I9/100</f>
        <v>-145.592927356378</v>
      </c>
      <c r="J10" s="0" t="n">
        <f aca="false">-J6*J9/100</f>
        <v>-148.504785903505</v>
      </c>
      <c r="K10" s="0" t="n">
        <f aca="false">-K6*K9/100</f>
        <v>-151.474881621575</v>
      </c>
      <c r="L10" s="0" t="n">
        <f aca="false">-L6*L9/100</f>
        <v>-154.504379254007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8398.08</v>
      </c>
      <c r="D11" s="0" t="n">
        <f aca="false">D8+D10+D24</f>
        <v>6809.184</v>
      </c>
      <c r="E11" s="0" t="n">
        <f aca="false">E8+E10+E24</f>
        <v>6957.59544</v>
      </c>
      <c r="F11" s="0" t="n">
        <f aca="false">F8+F10+F24</f>
        <v>7221.4705008</v>
      </c>
      <c r="G11" s="0" t="n">
        <f aca="false">G8+G10+G24</f>
        <v>7493.117525856</v>
      </c>
      <c r="H11" s="0" t="n">
        <f aca="false">H8+H10+H24</f>
        <v>7642.97987637312</v>
      </c>
      <c r="I11" s="0" t="n">
        <f aca="false">I8+I10+I24</f>
        <v>7795.83947390058</v>
      </c>
      <c r="J11" s="0" t="n">
        <f aca="false">J8+J10+J24</f>
        <v>7951.7562633786</v>
      </c>
      <c r="K11" s="0" t="n">
        <f aca="false">K8+K10+K24</f>
        <v>8110.79138864617</v>
      </c>
      <c r="L11" s="0" t="n">
        <f aca="false">L8+L10+L24</f>
        <v>8273.00721641909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-1503.36</v>
      </c>
      <c r="D12" s="4" t="n">
        <f aca="false">-D6*Assumptions!D17/100</f>
        <v>-1510.488</v>
      </c>
      <c r="E12" s="4" t="n">
        <f aca="false">-E6*Assumptions!E17/100</f>
        <v>-1540.69776</v>
      </c>
      <c r="F12" s="4" t="n">
        <f aca="false">-F6*Assumptions!F17/100</f>
        <v>-1571.5117152</v>
      </c>
      <c r="G12" s="4" t="n">
        <f aca="false">-G6*Assumptions!G17/100</f>
        <v>-1602.941949504</v>
      </c>
      <c r="H12" s="4" t="n">
        <f aca="false">-H6*Assumptions!H17/100</f>
        <v>-1635.00078849408</v>
      </c>
      <c r="I12" s="4" t="n">
        <f aca="false">-I6*Assumptions!I17/100</f>
        <v>-1667.70080426396</v>
      </c>
      <c r="J12" s="4" t="n">
        <f aca="false">-J6*Assumptions!J17/100</f>
        <v>-1701.05482034924</v>
      </c>
      <c r="K12" s="4" t="n">
        <f aca="false">-K6*Assumptions!K17/100</f>
        <v>-1735.07591675623</v>
      </c>
      <c r="L12" s="4" t="n">
        <f aca="false">-L6*Assumptions!L17/100</f>
        <v>-1769.77743509135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6894.72</v>
      </c>
      <c r="D13" s="0" t="n">
        <f aca="false">D11+D12</f>
        <v>5298.696</v>
      </c>
      <c r="E13" s="0" t="n">
        <f aca="false">E11+E12</f>
        <v>5416.89768</v>
      </c>
      <c r="F13" s="0" t="n">
        <f aca="false">F11+F12</f>
        <v>5649.9587856</v>
      </c>
      <c r="G13" s="0" t="n">
        <f aca="false">G11+G12</f>
        <v>5890.175576352</v>
      </c>
      <c r="H13" s="0" t="n">
        <f aca="false">H11+H12</f>
        <v>6007.97908787904</v>
      </c>
      <c r="I13" s="0" t="n">
        <f aca="false">I11+I12</f>
        <v>6128.13866963662</v>
      </c>
      <c r="J13" s="0" t="n">
        <f aca="false">J11+J12</f>
        <v>6250.70144302936</v>
      </c>
      <c r="K13" s="0" t="n">
        <f aca="false">K11+K12</f>
        <v>6375.71547188994</v>
      </c>
      <c r="L13" s="0" t="n">
        <f aca="false">L11+L12</f>
        <v>6503.22978132774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68</v>
      </c>
      <c r="D14" s="4" t="n">
        <f aca="false">Assumptions!D19</f>
        <v>72</v>
      </c>
      <c r="E14" s="4" t="n">
        <f aca="false">Assumptions!E19</f>
        <v>72</v>
      </c>
      <c r="F14" s="4" t="n">
        <f aca="false">Assumptions!F19</f>
        <v>72</v>
      </c>
      <c r="G14" s="4" t="n">
        <f aca="false">Assumptions!G19</f>
        <v>72</v>
      </c>
      <c r="H14" s="4" t="n">
        <f aca="false">Assumptions!H19</f>
        <v>72</v>
      </c>
      <c r="I14" s="4" t="n">
        <f aca="false">Assumptions!I19</f>
        <v>72</v>
      </c>
      <c r="J14" s="4" t="n">
        <f aca="false">Assumptions!J19</f>
        <v>72</v>
      </c>
      <c r="K14" s="4" t="n">
        <f aca="false">Assumptions!K19</f>
        <v>72</v>
      </c>
      <c r="L14" s="4" t="n">
        <f aca="false">Assumptions!L19</f>
        <v>72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2206.3104</v>
      </c>
      <c r="D15" s="0" t="n">
        <f aca="false">D13-MAX(0,D13)*D14/100</f>
        <v>1483.63488</v>
      </c>
      <c r="E15" s="0" t="n">
        <f aca="false">E13-MAX(0,E13)*E14/100</f>
        <v>1516.7313504</v>
      </c>
      <c r="F15" s="0" t="n">
        <f aca="false">F13-MAX(0,F13)*F14/100</f>
        <v>1581.988459968</v>
      </c>
      <c r="G15" s="0" t="n">
        <f aca="false">G13-MAX(0,G13)*G14/100</f>
        <v>1649.24916137856</v>
      </c>
      <c r="H15" s="0" t="n">
        <f aca="false">H13-MAX(0,H13)*H14/100</f>
        <v>1682.23414460613</v>
      </c>
      <c r="I15" s="0" t="n">
        <f aca="false">I13-MAX(0,I13)*I14/100</f>
        <v>1715.87882749825</v>
      </c>
      <c r="J15" s="0" t="n">
        <f aca="false">J13-MAX(0,J13)*J14/100</f>
        <v>1750.19640404822</v>
      </c>
      <c r="K15" s="0" t="n">
        <f aca="false">K13-MAX(0,K13)*K14/100</f>
        <v>1785.20033212918</v>
      </c>
      <c r="L15" s="0" t="n">
        <f aca="false">L13-MAX(0,L13)*L14/100</f>
        <v>1820.90433877177</v>
      </c>
    </row>
    <row r="16" customFormat="false" ht="15" hidden="false" customHeight="false" outlineLevel="0" collapsed="false">
      <c r="A16" s="0" t="s">
        <v>129</v>
      </c>
      <c r="C16" s="0" t="n">
        <f aca="false">-C12</f>
        <v>1503.36</v>
      </c>
      <c r="D16" s="0" t="n">
        <f aca="false">-D12</f>
        <v>1510.488</v>
      </c>
      <c r="E16" s="0" t="n">
        <f aca="false">-E12</f>
        <v>1540.69776</v>
      </c>
      <c r="F16" s="0" t="n">
        <f aca="false">-F12</f>
        <v>1571.5117152</v>
      </c>
      <c r="G16" s="0" t="n">
        <f aca="false">-G12</f>
        <v>1602.941949504</v>
      </c>
      <c r="H16" s="0" t="n">
        <f aca="false">-H12</f>
        <v>1635.00078849408</v>
      </c>
      <c r="I16" s="0" t="n">
        <f aca="false">-I12</f>
        <v>1667.70080426396</v>
      </c>
      <c r="J16" s="0" t="n">
        <f aca="false">-J12</f>
        <v>1701.05482034924</v>
      </c>
      <c r="K16" s="0" t="n">
        <f aca="false">-K12</f>
        <v>1735.07591675623</v>
      </c>
      <c r="L16" s="0" t="n">
        <f aca="false">-L12</f>
        <v>1769.77743509135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-2721.6</v>
      </c>
      <c r="D17" s="4" t="n">
        <f aca="false">-D6*Assumptions!D18/100</f>
        <v>-2157.84</v>
      </c>
      <c r="E17" s="4" t="n">
        <f aca="false">-E6*Assumptions!E18/100</f>
        <v>-2078.7192</v>
      </c>
      <c r="F17" s="4" t="n">
        <f aca="false">-F6*Assumptions!F18/100</f>
        <v>-2120.293584</v>
      </c>
      <c r="G17" s="4" t="n">
        <f aca="false">-G6*Assumptions!G18/100</f>
        <v>-2162.69945568</v>
      </c>
      <c r="H17" s="4" t="n">
        <f aca="false">-H6*Assumptions!H18/100</f>
        <v>-2205.9534447936</v>
      </c>
      <c r="I17" s="4" t="n">
        <f aca="false">-I6*Assumptions!I18/100</f>
        <v>-2250.07251368947</v>
      </c>
      <c r="J17" s="4" t="n">
        <f aca="false">-J6*Assumptions!J18/100</f>
        <v>-2295.07396396326</v>
      </c>
      <c r="K17" s="4" t="n">
        <f aca="false">-K6*Assumptions!K18/100</f>
        <v>-2340.97544324253</v>
      </c>
      <c r="L17" s="4" t="n">
        <f aca="false">-L6*Assumptions!L18/100</f>
        <v>-2387.79495210738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144</v>
      </c>
      <c r="D18" s="4" t="n">
        <f aca="false">(D6-C6)*Assumptions!$B$23/100</f>
        <v>97.2</v>
      </c>
      <c r="E18" s="4" t="n">
        <f aca="false">(E6-D6)*Assumptions!$B$23/100</f>
        <v>-23.976</v>
      </c>
      <c r="F18" s="4" t="n">
        <f aca="false">(F6-E6)*Assumptions!$B$23/100</f>
        <v>-24.4555200000001</v>
      </c>
      <c r="G18" s="4" t="n">
        <f aca="false">(G6-F6)*Assumptions!$B$23/100</f>
        <v>-24.9446304000001</v>
      </c>
      <c r="H18" s="4" t="n">
        <f aca="false">(H6-G6)*Assumptions!$B$23/100</f>
        <v>-25.443523008</v>
      </c>
      <c r="I18" s="4" t="n">
        <f aca="false">(I6-H6)*Assumptions!$B$23/100</f>
        <v>-25.95239346816</v>
      </c>
      <c r="J18" s="4" t="n">
        <f aca="false">(J6-I6)*Assumptions!$B$23/100</f>
        <v>-26.4714413375232</v>
      </c>
      <c r="K18" s="4" t="n">
        <f aca="false">(K6-J6)*Assumptions!$B$23/100</f>
        <v>-27.0008701642737</v>
      </c>
      <c r="L18" s="4" t="n">
        <f aca="false">(L6-K6)*Assumptions!$B$23/100</f>
        <v>-27.5408875675592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1132.0704</v>
      </c>
      <c r="D19" s="0" t="n">
        <f aca="false">D15+D16+D17+D18</f>
        <v>933.48288</v>
      </c>
      <c r="E19" s="0" t="n">
        <f aca="false">E15+E16+E17+E18</f>
        <v>954.733910399999</v>
      </c>
      <c r="F19" s="0" t="n">
        <f aca="false">F15+F16+F17+F18</f>
        <v>1008.751071168</v>
      </c>
      <c r="G19" s="0" t="n">
        <f aca="false">G15+G16+G17+G18</f>
        <v>1064.54702480256</v>
      </c>
      <c r="H19" s="0" t="n">
        <f aca="false">H15+H16+H17+H18</f>
        <v>1085.83796529861</v>
      </c>
      <c r="I19" s="0" t="n">
        <f aca="false">I15+I16+I17+I18</f>
        <v>1107.55472460458</v>
      </c>
      <c r="J19" s="0" t="n">
        <f aca="false">J15+J16+J17+J18</f>
        <v>1129.70581909668</v>
      </c>
      <c r="K19" s="0" t="n">
        <f aca="false">K15+K16+K17+K18</f>
        <v>1152.29993547861</v>
      </c>
      <c r="L19" s="0" t="n">
        <f aca="false">L15+L16+L17+L18</f>
        <v>1175.34593418818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1029.15490909091</v>
      </c>
      <c r="D21" s="0" t="n">
        <f aca="false">D19*D20</f>
        <v>771.473454545454</v>
      </c>
      <c r="E21" s="0" t="n">
        <f aca="false">E19*E20</f>
        <v>717.30571780616</v>
      </c>
      <c r="F21" s="0" t="n">
        <f aca="false">F19*F20</f>
        <v>688.990554721672</v>
      </c>
      <c r="G21" s="0" t="n">
        <f aca="false">G19*G20</f>
        <v>660.999947099093</v>
      </c>
      <c r="H21" s="0" t="n">
        <f aca="false">H19*H20</f>
        <v>612.927223673704</v>
      </c>
      <c r="I21" s="0" t="n">
        <f aca="false">I19*I20</f>
        <v>568.350698315616</v>
      </c>
      <c r="J21" s="0" t="n">
        <f aca="false">J19*J20</f>
        <v>527.016102074481</v>
      </c>
      <c r="K21" s="0" t="n">
        <f aca="false">K19*K20</f>
        <v>488.687658287246</v>
      </c>
      <c r="L21" s="0" t="n">
        <f aca="false">L19*L20</f>
        <v>453.146737684537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6518.05300329887</v>
      </c>
    </row>
    <row r="31" customFormat="false" ht="15" hidden="false" customHeight="false" outlineLevel="0" collapsed="false">
      <c r="A31" s="0" t="s">
        <v>138</v>
      </c>
      <c r="B31" s="0" t="n">
        <f aca="false">L19</f>
        <v>1175.34593418818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14985.6606608993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14104.1512102582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14104.1512102582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5437.76085221444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11955.8138555133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7849.81385551331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5.43615917971836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-0.924821474488752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890.295641935412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759.493614262935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6.57867251503577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9221.94502209188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2.40356802998569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6.5</v>
      </c>
      <c r="D5" s="4" t="n">
        <f aca="false">Assumptions!D27</f>
        <v>-1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28800</v>
      </c>
      <c r="C6" s="0" t="n">
        <f aca="false">B6*(1+C5/100)</f>
        <v>30672</v>
      </c>
      <c r="D6" s="0" t="n">
        <f aca="false">C6*(1+D5/100)</f>
        <v>30365.28</v>
      </c>
      <c r="E6" s="0" t="n">
        <f aca="false">D6*(1+E5/100)</f>
        <v>31428.0648</v>
      </c>
      <c r="F6" s="0" t="n">
        <f aca="false">E6*(1+F5/100)</f>
        <v>32528.047068</v>
      </c>
      <c r="G6" s="0" t="n">
        <f aca="false">F6*(1+G5/100)</f>
        <v>33666.52871538</v>
      </c>
      <c r="H6" s="0" t="n">
        <f aca="false">G6*(1+H5/100)</f>
        <v>34676.5245768414</v>
      </c>
      <c r="I6" s="0" t="n">
        <f aca="false">H6*(1+I5/100)</f>
        <v>35716.8203141466</v>
      </c>
      <c r="J6" s="0" t="n">
        <f aca="false">I6*(1+J5/100)</f>
        <v>36609.7408220003</v>
      </c>
      <c r="K6" s="0" t="n">
        <f aca="false">J6*(1+K5/100)</f>
        <v>37524.9843425503</v>
      </c>
      <c r="L6" s="0" t="n">
        <f aca="false">K6*(1+L5/100)</f>
        <v>38463.108951114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38.5</v>
      </c>
      <c r="D7" s="4" t="n">
        <f aca="false">Assumptions!D28</f>
        <v>39.5</v>
      </c>
      <c r="E7" s="4" t="n">
        <f aca="false">Assumptions!E28</f>
        <v>40</v>
      </c>
      <c r="F7" s="4" t="n">
        <f aca="false">Assumptions!F28</f>
        <v>40</v>
      </c>
      <c r="G7" s="4" t="n">
        <f aca="false">Assumptions!G28</f>
        <v>40</v>
      </c>
      <c r="H7" s="4" t="n">
        <f aca="false">Assumptions!H28</f>
        <v>40</v>
      </c>
      <c r="I7" s="4" t="n">
        <f aca="false">Assumptions!I28</f>
        <v>40</v>
      </c>
      <c r="J7" s="4" t="n">
        <f aca="false">Assumptions!J28</f>
        <v>40</v>
      </c>
      <c r="K7" s="4" t="n">
        <f aca="false">Assumptions!K28</f>
        <v>40</v>
      </c>
      <c r="L7" s="4" t="n">
        <f aca="false">Assumptions!L28</f>
        <v>40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11808.72</v>
      </c>
      <c r="D8" s="0" t="n">
        <f aca="false">D6*D7/100</f>
        <v>11994.2856</v>
      </c>
      <c r="E8" s="0" t="n">
        <f aca="false">E6*E7/100</f>
        <v>12571.22592</v>
      </c>
      <c r="F8" s="0" t="n">
        <f aca="false">F6*F7/100</f>
        <v>13011.2188272</v>
      </c>
      <c r="G8" s="0" t="n">
        <f aca="false">G6*G7/100</f>
        <v>13466.611486152</v>
      </c>
      <c r="H8" s="0" t="n">
        <f aca="false">H6*H7/100</f>
        <v>13870.6098307366</v>
      </c>
      <c r="I8" s="0" t="n">
        <f aca="false">I6*I7/100</f>
        <v>14286.7281256587</v>
      </c>
      <c r="J8" s="0" t="n">
        <f aca="false">J6*J7/100</f>
        <v>14643.8963288001</v>
      </c>
      <c r="K8" s="0" t="n">
        <f aca="false">K6*K7/100</f>
        <v>15009.9937370201</v>
      </c>
      <c r="L8" s="0" t="n">
        <f aca="false">L6*L7/100</f>
        <v>15385.2435804456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0.55</v>
      </c>
      <c r="D9" s="4" t="n">
        <f aca="false">Assumptions!D29</f>
        <v>0.55</v>
      </c>
      <c r="E9" s="4" t="n">
        <f aca="false">Assumptions!E29</f>
        <v>0.5</v>
      </c>
      <c r="F9" s="4" t="n">
        <f aca="false">Assumptions!F29</f>
        <v>0.5</v>
      </c>
      <c r="G9" s="4" t="n">
        <f aca="false">Assumptions!G29</f>
        <v>0.5</v>
      </c>
      <c r="H9" s="4" t="n">
        <f aca="false">Assumptions!H29</f>
        <v>0.5</v>
      </c>
      <c r="I9" s="4" t="n">
        <f aca="false">Assumptions!I29</f>
        <v>0.5</v>
      </c>
      <c r="J9" s="4" t="n">
        <f aca="false">Assumptions!J29</f>
        <v>0.5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-168.696</v>
      </c>
      <c r="D10" s="0" t="n">
        <f aca="false">-D6*D9/100</f>
        <v>-167.00904</v>
      </c>
      <c r="E10" s="0" t="n">
        <f aca="false">-E6*E9/100</f>
        <v>-157.140324</v>
      </c>
      <c r="F10" s="0" t="n">
        <f aca="false">-F6*F9/100</f>
        <v>-162.64023534</v>
      </c>
      <c r="G10" s="0" t="n">
        <f aca="false">-G6*G9/100</f>
        <v>-168.3326435769</v>
      </c>
      <c r="H10" s="0" t="n">
        <f aca="false">-H6*H9/100</f>
        <v>-173.382622884207</v>
      </c>
      <c r="I10" s="0" t="n">
        <f aca="false">-I6*I9/100</f>
        <v>-178.584101570733</v>
      </c>
      <c r="J10" s="0" t="n">
        <f aca="false">-J6*J9/100</f>
        <v>-183.048704110001</v>
      </c>
      <c r="K10" s="0" t="n">
        <f aca="false">-K6*K9/100</f>
        <v>-187.624921712751</v>
      </c>
      <c r="L10" s="0" t="n">
        <f aca="false">-L6*L9/100</f>
        <v>-192.31554475557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11640.024</v>
      </c>
      <c r="D11" s="0" t="n">
        <f aca="false">D8+D10+D24</f>
        <v>11827.27656</v>
      </c>
      <c r="E11" s="0" t="n">
        <f aca="false">E8+E10+E24</f>
        <v>12414.085596</v>
      </c>
      <c r="F11" s="0" t="n">
        <f aca="false">F8+F10+F24</f>
        <v>12848.57859186</v>
      </c>
      <c r="G11" s="0" t="n">
        <f aca="false">G8+G10+G24</f>
        <v>13298.2788425751</v>
      </c>
      <c r="H11" s="0" t="n">
        <f aca="false">H8+H10+H24</f>
        <v>13697.2272078524</v>
      </c>
      <c r="I11" s="0" t="n">
        <f aca="false">I8+I10+I24</f>
        <v>14108.1440240879</v>
      </c>
      <c r="J11" s="0" t="n">
        <f aca="false">J8+J10+J24</f>
        <v>14460.8476246901</v>
      </c>
      <c r="K11" s="0" t="n">
        <f aca="false">K8+K10+K24</f>
        <v>14822.3688153074</v>
      </c>
      <c r="L11" s="0" t="n">
        <f aca="false">L8+L10+L24</f>
        <v>15192.92803569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-1686.96</v>
      </c>
      <c r="D12" s="4" t="n">
        <f aca="false">-D6*Assumptions!D31/100</f>
        <v>-1670.0904</v>
      </c>
      <c r="E12" s="4" t="n">
        <f aca="false">-E6*Assumptions!E31/100</f>
        <v>-1697.1154992</v>
      </c>
      <c r="F12" s="4" t="n">
        <f aca="false">-F6*Assumptions!F31/100</f>
        <v>-1723.986494604</v>
      </c>
      <c r="G12" s="4" t="n">
        <f aca="false">-G6*Assumptions!G31/100</f>
        <v>-1784.32602191514</v>
      </c>
      <c r="H12" s="4" t="n">
        <f aca="false">-H6*Assumptions!H31/100</f>
        <v>-1803.17927799575</v>
      </c>
      <c r="I12" s="4" t="n">
        <f aca="false">-I6*Assumptions!I31/100</f>
        <v>-1857.27465633562</v>
      </c>
      <c r="J12" s="4" t="n">
        <f aca="false">-J6*Assumptions!J31/100</f>
        <v>-1903.70652274402</v>
      </c>
      <c r="K12" s="4" t="n">
        <f aca="false">-K6*Assumptions!K31/100</f>
        <v>-1951.29918581262</v>
      </c>
      <c r="L12" s="4" t="n">
        <f aca="false">-L6*Assumptions!L31/100</f>
        <v>-2000.08166545793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9953.064</v>
      </c>
      <c r="D13" s="0" t="n">
        <f aca="false">D11+D12</f>
        <v>10157.18616</v>
      </c>
      <c r="E13" s="0" t="n">
        <f aca="false">E11+E12</f>
        <v>10716.9700968</v>
      </c>
      <c r="F13" s="0" t="n">
        <f aca="false">F11+F12</f>
        <v>11124.592097256</v>
      </c>
      <c r="G13" s="0" t="n">
        <f aca="false">G11+G12</f>
        <v>11513.95282066</v>
      </c>
      <c r="H13" s="0" t="n">
        <f aca="false">H11+H12</f>
        <v>11894.0479298566</v>
      </c>
      <c r="I13" s="0" t="n">
        <f aca="false">I11+I12</f>
        <v>12250.8693677523</v>
      </c>
      <c r="J13" s="0" t="n">
        <f aca="false">J11+J12</f>
        <v>12557.1411019461</v>
      </c>
      <c r="K13" s="0" t="n">
        <f aca="false">K11+K12</f>
        <v>12871.0696294947</v>
      </c>
      <c r="L13" s="0" t="n">
        <f aca="false">L11+L12</f>
        <v>13192.8463702321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65</v>
      </c>
      <c r="D14" s="4" t="n">
        <f aca="false">Assumptions!D33</f>
        <v>67</v>
      </c>
      <c r="E14" s="4" t="n">
        <f aca="false">Assumptions!E33</f>
        <v>67</v>
      </c>
      <c r="F14" s="4" t="n">
        <f aca="false">Assumptions!F33</f>
        <v>67</v>
      </c>
      <c r="G14" s="4" t="n">
        <f aca="false">Assumptions!G33</f>
        <v>67</v>
      </c>
      <c r="H14" s="4" t="n">
        <f aca="false">Assumptions!H33</f>
        <v>67</v>
      </c>
      <c r="I14" s="4" t="n">
        <f aca="false">Assumptions!I33</f>
        <v>67</v>
      </c>
      <c r="J14" s="4" t="n">
        <f aca="false">Assumptions!J33</f>
        <v>67</v>
      </c>
      <c r="K14" s="4" t="n">
        <f aca="false">Assumptions!K33</f>
        <v>67</v>
      </c>
      <c r="L14" s="4" t="n">
        <f aca="false">Assumptions!L33</f>
        <v>67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3483.5724</v>
      </c>
      <c r="D15" s="0" t="n">
        <f aca="false">D13-MAX(0,D13)*D14/100</f>
        <v>3351.8714328</v>
      </c>
      <c r="E15" s="0" t="n">
        <f aca="false">E13-MAX(0,E13)*E14/100</f>
        <v>3536.600131944</v>
      </c>
      <c r="F15" s="0" t="n">
        <f aca="false">F13-MAX(0,F13)*F14/100</f>
        <v>3671.11539209448</v>
      </c>
      <c r="G15" s="0" t="n">
        <f aca="false">G13-MAX(0,G13)*G14/100</f>
        <v>3799.60443081779</v>
      </c>
      <c r="H15" s="0" t="n">
        <f aca="false">H13-MAX(0,H13)*H14/100</f>
        <v>3925.03581685268</v>
      </c>
      <c r="I15" s="0" t="n">
        <f aca="false">I13-MAX(0,I13)*I14/100</f>
        <v>4042.78689135826</v>
      </c>
      <c r="J15" s="0" t="n">
        <f aca="false">J13-MAX(0,J13)*J14/100</f>
        <v>4143.85656364221</v>
      </c>
      <c r="K15" s="0" t="n">
        <f aca="false">K13-MAX(0,K13)*K14/100</f>
        <v>4247.45297773327</v>
      </c>
      <c r="L15" s="0" t="n">
        <f aca="false">L13-MAX(0,L13)*L14/100</f>
        <v>4353.6393021766</v>
      </c>
    </row>
    <row r="16" customFormat="false" ht="15" hidden="false" customHeight="false" outlineLevel="0" collapsed="false">
      <c r="A16" s="0" t="s">
        <v>129</v>
      </c>
      <c r="C16" s="0" t="n">
        <f aca="false">-C12</f>
        <v>1686.96</v>
      </c>
      <c r="D16" s="0" t="n">
        <f aca="false">-D12</f>
        <v>1670.0904</v>
      </c>
      <c r="E16" s="0" t="n">
        <f aca="false">-E12</f>
        <v>1697.1154992</v>
      </c>
      <c r="F16" s="0" t="n">
        <f aca="false">-F12</f>
        <v>1723.986494604</v>
      </c>
      <c r="G16" s="0" t="n">
        <f aca="false">-G12</f>
        <v>1784.32602191514</v>
      </c>
      <c r="H16" s="0" t="n">
        <f aca="false">-H12</f>
        <v>1803.17927799575</v>
      </c>
      <c r="I16" s="0" t="n">
        <f aca="false">-I12</f>
        <v>1857.27465633562</v>
      </c>
      <c r="J16" s="0" t="n">
        <f aca="false">-J12</f>
        <v>1903.70652274402</v>
      </c>
      <c r="K16" s="0" t="n">
        <f aca="false">-K12</f>
        <v>1951.29918581262</v>
      </c>
      <c r="L16" s="0" t="n">
        <f aca="false">-L12</f>
        <v>2000.08166545793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-3373.92</v>
      </c>
      <c r="D17" s="4" t="n">
        <f aca="false">-D6*Assumptions!D32/100</f>
        <v>-3157.98912</v>
      </c>
      <c r="E17" s="4" t="n">
        <f aca="false">-E6*Assumptions!E32/100</f>
        <v>-3048.5222856</v>
      </c>
      <c r="F17" s="4" t="n">
        <f aca="false">-F6*Assumptions!F32/100</f>
        <v>-3155.220565596</v>
      </c>
      <c r="G17" s="4" t="n">
        <f aca="false">-G6*Assumptions!G32/100</f>
        <v>-3265.65328539186</v>
      </c>
      <c r="H17" s="4" t="n">
        <f aca="false">-H6*Assumptions!H32/100</f>
        <v>-3120.88721191573</v>
      </c>
      <c r="I17" s="4" t="n">
        <f aca="false">-I6*Assumptions!I32/100</f>
        <v>-3214.5138282732</v>
      </c>
      <c r="J17" s="4" t="n">
        <f aca="false">-J6*Assumptions!J32/100</f>
        <v>-3148.43771069203</v>
      </c>
      <c r="K17" s="4" t="n">
        <f aca="false">-K6*Assumptions!K32/100</f>
        <v>-3227.14865345933</v>
      </c>
      <c r="L17" s="4" t="n">
        <f aca="false">-L6*Assumptions!L32/100</f>
        <v>-3307.82736979581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-93.6</v>
      </c>
      <c r="D18" s="4" t="n">
        <f aca="false">(D6-C6)*Assumptions!$B$37/100</f>
        <v>15.3360000000001</v>
      </c>
      <c r="E18" s="4" t="n">
        <f aca="false">(E6-D6)*Assumptions!$B$37/100</f>
        <v>-53.1392399999999</v>
      </c>
      <c r="F18" s="4" t="n">
        <f aca="false">(F6-E6)*Assumptions!$B$37/100</f>
        <v>-54.9991133999998</v>
      </c>
      <c r="G18" s="4" t="n">
        <f aca="false">(G6-F6)*Assumptions!$B$37/100</f>
        <v>-56.9240823689997</v>
      </c>
      <c r="H18" s="4" t="n">
        <f aca="false">(H6-G6)*Assumptions!$B$37/100</f>
        <v>-50.49979307307</v>
      </c>
      <c r="I18" s="4" t="n">
        <f aca="false">(I6-H6)*Assumptions!$B$37/100</f>
        <v>-52.0147868652621</v>
      </c>
      <c r="J18" s="4" t="n">
        <f aca="false">(J6-I6)*Assumptions!$B$37/100</f>
        <v>-44.6460253926831</v>
      </c>
      <c r="K18" s="4" t="n">
        <f aca="false">(K6-J6)*Assumptions!$B$37/100</f>
        <v>-45.7621760275</v>
      </c>
      <c r="L18" s="4" t="n">
        <f aca="false">(L6-K6)*Assumptions!$B$37/100</f>
        <v>-46.9062304281877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1703.0124</v>
      </c>
      <c r="D19" s="0" t="n">
        <f aca="false">D15+D16+D17+D18</f>
        <v>1879.3087128</v>
      </c>
      <c r="E19" s="0" t="n">
        <f aca="false">E15+E16+E17+E18</f>
        <v>2132.054105544</v>
      </c>
      <c r="F19" s="0" t="n">
        <f aca="false">F15+F16+F17+F18</f>
        <v>2184.88220770248</v>
      </c>
      <c r="G19" s="0" t="n">
        <f aca="false">G15+G16+G17+G18</f>
        <v>2261.35308497207</v>
      </c>
      <c r="H19" s="0" t="n">
        <f aca="false">H15+H16+H17+H18</f>
        <v>2556.82808985963</v>
      </c>
      <c r="I19" s="0" t="n">
        <f aca="false">I15+I16+I17+I18</f>
        <v>2633.53293255542</v>
      </c>
      <c r="J19" s="0" t="n">
        <f aca="false">J15+J16+J17+J18</f>
        <v>2854.47935030152</v>
      </c>
      <c r="K19" s="0" t="n">
        <f aca="false">K15+K16+K17+K18</f>
        <v>2925.84133405906</v>
      </c>
      <c r="L19" s="0" t="n">
        <f aca="false">L15+L16+L17+L18</f>
        <v>2998.98736741053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1548.19309090909</v>
      </c>
      <c r="D21" s="0" t="n">
        <f aca="false">D19*D20</f>
        <v>1553.14769652893</v>
      </c>
      <c r="E21" s="0" t="n">
        <f aca="false">E19*E20</f>
        <v>1601.84380581818</v>
      </c>
      <c r="F21" s="0" t="n">
        <f aca="false">F19*F20</f>
        <v>1492.30394624853</v>
      </c>
      <c r="G21" s="0" t="n">
        <f aca="false">G19*G20</f>
        <v>1404.12234942476</v>
      </c>
      <c r="H21" s="0" t="n">
        <f aca="false">H19*H20</f>
        <v>1443.26280035496</v>
      </c>
      <c r="I21" s="0" t="n">
        <f aca="false">I19*I20</f>
        <v>1351.41880396874</v>
      </c>
      <c r="J21" s="0" t="n">
        <f aca="false">J19*J20</f>
        <v>1331.63568357194</v>
      </c>
      <c r="K21" s="0" t="n">
        <f aca="false">K19*K20</f>
        <v>1240.84234151022</v>
      </c>
      <c r="L21" s="0" t="n">
        <f aca="false">L19*L20</f>
        <v>1156.23945458907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14123.0099729244</v>
      </c>
    </row>
    <row r="31" customFormat="false" ht="15" hidden="false" customHeight="false" outlineLevel="0" collapsed="false">
      <c r="A31" s="0" t="s">
        <v>138</v>
      </c>
      <c r="B31" s="0" t="n">
        <f aca="false">L19</f>
        <v>2998.98736741053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40986.1606879439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44984.810511158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40986.1606879439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15801.9392127173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29924.9491856417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25818.9491856417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17.8801587158183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-0.752729100873761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1053.67532175922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1013.3282256911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19.3116016157147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24591.6964127664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9.17696648656787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12</v>
      </c>
      <c r="D5" s="4" t="n">
        <f aca="false">Assumptions!D41</f>
        <v>3</v>
      </c>
      <c r="E5" s="4" t="n">
        <f aca="false">Assumptions!E41</f>
        <v>5</v>
      </c>
      <c r="F5" s="4" t="n">
        <f aca="false">Assumptions!F41</f>
        <v>5</v>
      </c>
      <c r="G5" s="4" t="n">
        <f aca="false">Assumptions!G41</f>
        <v>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28800</v>
      </c>
      <c r="C6" s="0" t="n">
        <f aca="false">B6*(1+C5/100)</f>
        <v>32256</v>
      </c>
      <c r="D6" s="0" t="n">
        <f aca="false">C6*(1+D5/100)</f>
        <v>33223.68</v>
      </c>
      <c r="E6" s="0" t="n">
        <f aca="false">D6*(1+E5/100)</f>
        <v>34884.864</v>
      </c>
      <c r="F6" s="0" t="n">
        <f aca="false">E6*(1+F5/100)</f>
        <v>36629.1072</v>
      </c>
      <c r="G6" s="0" t="n">
        <f aca="false">F6*(1+G5/100)</f>
        <v>38460.56256</v>
      </c>
      <c r="H6" s="0" t="n">
        <f aca="false">G6*(1+H5/100)</f>
        <v>40383.590688</v>
      </c>
      <c r="I6" s="0" t="n">
        <f aca="false">H6*(1+I5/100)</f>
        <v>42200.85226896</v>
      </c>
      <c r="J6" s="0" t="n">
        <f aca="false">I6*(1+J5/100)</f>
        <v>44099.8906210632</v>
      </c>
      <c r="K6" s="0" t="n">
        <f aca="false">J6*(1+K5/100)</f>
        <v>45863.8862459057</v>
      </c>
      <c r="L6" s="0" t="n">
        <f aca="false">K6*(1+L5/100)</f>
        <v>47698.441695742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42</v>
      </c>
      <c r="D7" s="4" t="n">
        <f aca="false">Assumptions!D42</f>
        <v>44</v>
      </c>
      <c r="E7" s="4" t="n">
        <f aca="false">Assumptions!E42</f>
        <v>44.5</v>
      </c>
      <c r="F7" s="4" t="n">
        <f aca="false">Assumptions!F42</f>
        <v>45</v>
      </c>
      <c r="G7" s="4" t="n">
        <f aca="false">Assumptions!G42</f>
        <v>45</v>
      </c>
      <c r="H7" s="4" t="n">
        <f aca="false">Assumptions!H42</f>
        <v>45</v>
      </c>
      <c r="I7" s="4" t="n">
        <f aca="false">Assumptions!I42</f>
        <v>45</v>
      </c>
      <c r="J7" s="4" t="n">
        <f aca="false">Assumptions!J42</f>
        <v>45</v>
      </c>
      <c r="K7" s="4" t="n">
        <f aca="false">Assumptions!K42</f>
        <v>45</v>
      </c>
      <c r="L7" s="4" t="n">
        <f aca="false">Assumptions!L42</f>
        <v>45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13547.52</v>
      </c>
      <c r="D8" s="0" t="n">
        <f aca="false">D6*D7/100</f>
        <v>14618.4192</v>
      </c>
      <c r="E8" s="0" t="n">
        <f aca="false">E6*E7/100</f>
        <v>15523.76448</v>
      </c>
      <c r="F8" s="0" t="n">
        <f aca="false">F6*F7/100</f>
        <v>16483.09824</v>
      </c>
      <c r="G8" s="0" t="n">
        <f aca="false">G6*G7/100</f>
        <v>17307.253152</v>
      </c>
      <c r="H8" s="0" t="n">
        <f aca="false">H6*H7/100</f>
        <v>18172.6158096</v>
      </c>
      <c r="I8" s="0" t="n">
        <f aca="false">I6*I7/100</f>
        <v>18990.383521032</v>
      </c>
      <c r="J8" s="0" t="n">
        <f aca="false">J6*J7/100</f>
        <v>19844.9507794784</v>
      </c>
      <c r="K8" s="0" t="n">
        <f aca="false">K6*K7/100</f>
        <v>20638.7488106576</v>
      </c>
      <c r="L8" s="0" t="n">
        <f aca="false">L6*L7/100</f>
        <v>21464.2987630839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0.55</v>
      </c>
      <c r="D9" s="4" t="n">
        <f aca="false">Assumptions!D43</f>
        <v>0.55</v>
      </c>
      <c r="E9" s="4" t="n">
        <f aca="false">Assumptions!E43</f>
        <v>0.5</v>
      </c>
      <c r="F9" s="4" t="n">
        <f aca="false">Assumptions!F43</f>
        <v>0.5</v>
      </c>
      <c r="G9" s="4" t="n">
        <f aca="false">Assumptions!G43</f>
        <v>0.5</v>
      </c>
      <c r="H9" s="4" t="n">
        <f aca="false">Assumptions!H43</f>
        <v>0.5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-177.408</v>
      </c>
      <c r="D10" s="0" t="n">
        <f aca="false">-D6*D9/100</f>
        <v>-182.73024</v>
      </c>
      <c r="E10" s="0" t="n">
        <f aca="false">-E6*E9/100</f>
        <v>-174.42432</v>
      </c>
      <c r="F10" s="0" t="n">
        <f aca="false">-F6*F9/100</f>
        <v>-183.145536</v>
      </c>
      <c r="G10" s="0" t="n">
        <f aca="false">-G6*G9/100</f>
        <v>-192.3028128</v>
      </c>
      <c r="H10" s="0" t="n">
        <f aca="false">-H6*H9/100</f>
        <v>-201.91795344</v>
      </c>
      <c r="I10" s="0" t="n">
        <f aca="false">-I6*I9/100</f>
        <v>-211.0042613448</v>
      </c>
      <c r="J10" s="0" t="n">
        <f aca="false">-J6*J9/100</f>
        <v>-220.499453105316</v>
      </c>
      <c r="K10" s="0" t="n">
        <f aca="false">-K6*K9/100</f>
        <v>-229.319431229529</v>
      </c>
      <c r="L10" s="0" t="n">
        <f aca="false">-L6*L9/100</f>
        <v>-238.49220847871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13370.112</v>
      </c>
      <c r="D11" s="0" t="n">
        <f aca="false">D8+D10+D24</f>
        <v>14435.68896</v>
      </c>
      <c r="E11" s="0" t="n">
        <f aca="false">E8+E10+E24</f>
        <v>15349.34016</v>
      </c>
      <c r="F11" s="0" t="n">
        <f aca="false">F8+F10+F24</f>
        <v>16299.952704</v>
      </c>
      <c r="G11" s="0" t="n">
        <f aca="false">G8+G10+G24</f>
        <v>17114.9503392</v>
      </c>
      <c r="H11" s="0" t="n">
        <f aca="false">H8+H10+H24</f>
        <v>17970.69785616</v>
      </c>
      <c r="I11" s="0" t="n">
        <f aca="false">I8+I10+I24</f>
        <v>18779.3792596872</v>
      </c>
      <c r="J11" s="0" t="n">
        <f aca="false">J8+J10+J24</f>
        <v>19624.4513263731</v>
      </c>
      <c r="K11" s="0" t="n">
        <f aca="false">K8+K10+K24</f>
        <v>20409.4293794281</v>
      </c>
      <c r="L11" s="0" t="n">
        <f aca="false">L8+L10+L24</f>
        <v>21225.8065546052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-1774.08</v>
      </c>
      <c r="D12" s="4" t="n">
        <f aca="false">-D6*Assumptions!D45/100</f>
        <v>-1827.3024</v>
      </c>
      <c r="E12" s="4" t="n">
        <f aca="false">-E6*Assumptions!E45/100</f>
        <v>-1883.782656</v>
      </c>
      <c r="F12" s="4" t="n">
        <f aca="false">-F6*Assumptions!F45/100</f>
        <v>-1941.3426816</v>
      </c>
      <c r="G12" s="4" t="n">
        <f aca="false">-G6*Assumptions!G45/100</f>
        <v>-2038.40981568</v>
      </c>
      <c r="H12" s="4" t="n">
        <f aca="false">-H6*Assumptions!H45/100</f>
        <v>-2099.946715776</v>
      </c>
      <c r="I12" s="4" t="n">
        <f aca="false">-I6*Assumptions!I45/100</f>
        <v>-2194.44431798592</v>
      </c>
      <c r="J12" s="4" t="n">
        <f aca="false">-J6*Assumptions!J45/100</f>
        <v>-2293.19431229529</v>
      </c>
      <c r="K12" s="4" t="n">
        <f aca="false">-K6*Assumptions!K45/100</f>
        <v>-2384.9220847871</v>
      </c>
      <c r="L12" s="4" t="n">
        <f aca="false">-L6*Assumptions!L45/100</f>
        <v>-2480.31896817858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11596.032</v>
      </c>
      <c r="D13" s="0" t="n">
        <f aca="false">D11+D12</f>
        <v>12608.38656</v>
      </c>
      <c r="E13" s="0" t="n">
        <f aca="false">E11+E12</f>
        <v>13465.557504</v>
      </c>
      <c r="F13" s="0" t="n">
        <f aca="false">F11+F12</f>
        <v>14358.6100224</v>
      </c>
      <c r="G13" s="0" t="n">
        <f aca="false">G11+G12</f>
        <v>15076.54052352</v>
      </c>
      <c r="H13" s="0" t="n">
        <f aca="false">H11+H12</f>
        <v>15870.751140384</v>
      </c>
      <c r="I13" s="0" t="n">
        <f aca="false">I11+I12</f>
        <v>16584.9349417013</v>
      </c>
      <c r="J13" s="0" t="n">
        <f aca="false">J11+J12</f>
        <v>17331.2570140778</v>
      </c>
      <c r="K13" s="0" t="n">
        <f aca="false">K11+K12</f>
        <v>18024.507294641</v>
      </c>
      <c r="L13" s="0" t="n">
        <f aca="false">L11+L12</f>
        <v>18745.4875864266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62</v>
      </c>
      <c r="D14" s="4" t="n">
        <f aca="false">Assumptions!D47</f>
        <v>64</v>
      </c>
      <c r="E14" s="4" t="n">
        <f aca="false">Assumptions!E47</f>
        <v>64</v>
      </c>
      <c r="F14" s="4" t="n">
        <f aca="false">Assumptions!F47</f>
        <v>64</v>
      </c>
      <c r="G14" s="4" t="n">
        <f aca="false">Assumptions!G47</f>
        <v>64</v>
      </c>
      <c r="H14" s="4" t="n">
        <f aca="false">Assumptions!H47</f>
        <v>64</v>
      </c>
      <c r="I14" s="4" t="n">
        <f aca="false">Assumptions!I47</f>
        <v>64</v>
      </c>
      <c r="J14" s="4" t="n">
        <f aca="false">Assumptions!J47</f>
        <v>64</v>
      </c>
      <c r="K14" s="4" t="n">
        <f aca="false">Assumptions!K47</f>
        <v>64</v>
      </c>
      <c r="L14" s="4" t="n">
        <f aca="false">Assumptions!L47</f>
        <v>64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4406.49216</v>
      </c>
      <c r="D15" s="0" t="n">
        <f aca="false">D13-MAX(0,D13)*D14/100</f>
        <v>4539.0191616</v>
      </c>
      <c r="E15" s="0" t="n">
        <f aca="false">E13-MAX(0,E13)*E14/100</f>
        <v>4847.60070144</v>
      </c>
      <c r="F15" s="0" t="n">
        <f aca="false">F13-MAX(0,F13)*F14/100</f>
        <v>5169.099608064</v>
      </c>
      <c r="G15" s="0" t="n">
        <f aca="false">G13-MAX(0,G13)*G14/100</f>
        <v>5427.5545884672</v>
      </c>
      <c r="H15" s="0" t="n">
        <f aca="false">H13-MAX(0,H13)*H14/100</f>
        <v>5713.47041053824</v>
      </c>
      <c r="I15" s="0" t="n">
        <f aca="false">I13-MAX(0,I13)*I14/100</f>
        <v>5970.57657901246</v>
      </c>
      <c r="J15" s="0" t="n">
        <f aca="false">J13-MAX(0,J13)*J14/100</f>
        <v>6239.25252506802</v>
      </c>
      <c r="K15" s="0" t="n">
        <f aca="false">K13-MAX(0,K13)*K14/100</f>
        <v>6488.82262607075</v>
      </c>
      <c r="L15" s="0" t="n">
        <f aca="false">L13-MAX(0,L13)*L14/100</f>
        <v>6748.37553111358</v>
      </c>
    </row>
    <row r="16" customFormat="false" ht="15" hidden="false" customHeight="false" outlineLevel="0" collapsed="false">
      <c r="A16" s="0" t="s">
        <v>129</v>
      </c>
      <c r="C16" s="0" t="n">
        <f aca="false">-C12</f>
        <v>1774.08</v>
      </c>
      <c r="D16" s="0" t="n">
        <f aca="false">-D12</f>
        <v>1827.3024</v>
      </c>
      <c r="E16" s="0" t="n">
        <f aca="false">-E12</f>
        <v>1883.782656</v>
      </c>
      <c r="F16" s="0" t="n">
        <f aca="false">-F12</f>
        <v>1941.3426816</v>
      </c>
      <c r="G16" s="0" t="n">
        <f aca="false">-G12</f>
        <v>2038.40981568</v>
      </c>
      <c r="H16" s="0" t="n">
        <f aca="false">-H12</f>
        <v>2099.946715776</v>
      </c>
      <c r="I16" s="0" t="n">
        <f aca="false">-I12</f>
        <v>2194.44431798592</v>
      </c>
      <c r="J16" s="0" t="n">
        <f aca="false">-J12</f>
        <v>2293.19431229529</v>
      </c>
      <c r="K16" s="0" t="n">
        <f aca="false">-K12</f>
        <v>2384.9220847871</v>
      </c>
      <c r="L16" s="0" t="n">
        <f aca="false">-L12</f>
        <v>2480.31896817858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-3709.44</v>
      </c>
      <c r="D17" s="4" t="n">
        <f aca="false">-D6*Assumptions!D46/100</f>
        <v>-3820.7232</v>
      </c>
      <c r="E17" s="4" t="n">
        <f aca="false">-E6*Assumptions!E46/100</f>
        <v>-4011.75936</v>
      </c>
      <c r="F17" s="4" t="n">
        <f aca="false">-F6*Assumptions!F46/100</f>
        <v>-4212.347328</v>
      </c>
      <c r="G17" s="4" t="n">
        <f aca="false">-G6*Assumptions!G46/100</f>
        <v>-4230.6618816</v>
      </c>
      <c r="H17" s="4" t="n">
        <f aca="false">-H6*Assumptions!H46/100</f>
        <v>-4442.19497568</v>
      </c>
      <c r="I17" s="4" t="n">
        <f aca="false">-I6*Assumptions!I46/100</f>
        <v>-4431.0894882408</v>
      </c>
      <c r="J17" s="4" t="n">
        <f aca="false">-J6*Assumptions!J46/100</f>
        <v>-4630.48851521164</v>
      </c>
      <c r="K17" s="4" t="n">
        <f aca="false">-K6*Assumptions!K46/100</f>
        <v>-4586.38862459057</v>
      </c>
      <c r="L17" s="4" t="n">
        <f aca="false">-L6*Assumptions!L46/100</f>
        <v>-4769.8441695742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-172.8</v>
      </c>
      <c r="D18" s="4" t="n">
        <f aca="false">(D6-C6)*Assumptions!$B$51/100</f>
        <v>-48.3840000000002</v>
      </c>
      <c r="E18" s="4" t="n">
        <f aca="false">(E6-D6)*Assumptions!$B$51/100</f>
        <v>-83.0592000000001</v>
      </c>
      <c r="F18" s="4" t="n">
        <f aca="false">(F6-E6)*Assumptions!$B$51/100</f>
        <v>-87.2121600000002</v>
      </c>
      <c r="G18" s="4" t="n">
        <f aca="false">(G6-F6)*Assumptions!$B$51/100</f>
        <v>-91.572768</v>
      </c>
      <c r="H18" s="4" t="n">
        <f aca="false">(H6-G6)*Assumptions!$B$51/100</f>
        <v>-96.1514064000003</v>
      </c>
      <c r="I18" s="4" t="n">
        <f aca="false">(I6-H6)*Assumptions!$B$51/100</f>
        <v>-90.8630790479998</v>
      </c>
      <c r="J18" s="4" t="n">
        <f aca="false">(J6-I6)*Assumptions!$B$51/100</f>
        <v>-94.9519176051599</v>
      </c>
      <c r="K18" s="4" t="n">
        <f aca="false">(K6-J6)*Assumptions!$B$51/100</f>
        <v>-88.1997812421265</v>
      </c>
      <c r="L18" s="4" t="n">
        <f aca="false">(L6-K6)*Assumptions!$B$51/100</f>
        <v>-91.7277724918116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2298.33216</v>
      </c>
      <c r="D19" s="0" t="n">
        <f aca="false">D15+D16+D17+D18</f>
        <v>2497.2143616</v>
      </c>
      <c r="E19" s="0" t="n">
        <f aca="false">E15+E16+E17+E18</f>
        <v>2636.56479744</v>
      </c>
      <c r="F19" s="0" t="n">
        <f aca="false">F15+F16+F17+F18</f>
        <v>2810.882801664</v>
      </c>
      <c r="G19" s="0" t="n">
        <f aca="false">G15+G16+G17+G18</f>
        <v>3143.7297545472</v>
      </c>
      <c r="H19" s="0" t="n">
        <f aca="false">H15+H16+H17+H18</f>
        <v>3275.07074423424</v>
      </c>
      <c r="I19" s="0" t="n">
        <f aca="false">I15+I16+I17+I18</f>
        <v>3643.06832970958</v>
      </c>
      <c r="J19" s="0" t="n">
        <f aca="false">J15+J16+J17+J18</f>
        <v>3807.00640454651</v>
      </c>
      <c r="K19" s="0" t="n">
        <f aca="false">K15+K16+K17+K18</f>
        <v>4199.15630502514</v>
      </c>
      <c r="L19" s="0" t="n">
        <f aca="false">L15+L16+L17+L18</f>
        <v>4367.12255722615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2089.39287272727</v>
      </c>
      <c r="D21" s="0" t="n">
        <f aca="false">D19*D20</f>
        <v>2063.81352198347</v>
      </c>
      <c r="E21" s="0" t="n">
        <f aca="false">E19*E20</f>
        <v>1980.89015585274</v>
      </c>
      <c r="F21" s="0" t="n">
        <f aca="false">F19*F20</f>
        <v>1919.87077499078</v>
      </c>
      <c r="G21" s="0" t="n">
        <f aca="false">G19*G20</f>
        <v>1952.00883853388</v>
      </c>
      <c r="H21" s="0" t="n">
        <f aca="false">H19*H20</f>
        <v>1848.69205420205</v>
      </c>
      <c r="I21" s="0" t="n">
        <f aca="false">I19*I20</f>
        <v>1869.47008865965</v>
      </c>
      <c r="J21" s="0" t="n">
        <f aca="false">J19*J20</f>
        <v>1775.99658422667</v>
      </c>
      <c r="K21" s="0" t="n">
        <f aca="false">K19*K20</f>
        <v>1780.85218813497</v>
      </c>
      <c r="L21" s="0" t="n">
        <f aca="false">L19*L20</f>
        <v>1683.71479605488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18964.7018753664</v>
      </c>
    </row>
    <row r="31" customFormat="false" ht="15" hidden="false" customHeight="false" outlineLevel="0" collapsed="false">
      <c r="A31" s="0" t="s">
        <v>138</v>
      </c>
      <c r="B31" s="0" t="n">
        <f aca="false">L19</f>
        <v>4367.12255722615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64259.0890563276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65506.8383583923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64259.0890563276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24774.6605705218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43739.3624458881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39633.3624458881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27.4469269015846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-0.620426954756125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1202.1635706698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1352.96489538573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29.2164064487144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37484.4686161911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14.0257810523656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5.43615917971836</v>
      </c>
      <c r="C4" s="0" t="n">
        <f aca="false">B4/Assumptions!$B$2-1</f>
        <v>-0.924821474488752</v>
      </c>
      <c r="D4" s="4" t="n">
        <f aca="false">Assumptions!$B$24</f>
        <v>0.25</v>
      </c>
      <c r="E4" s="4" t="n">
        <f aca="false">DCF_Bear!$B$43</f>
        <v>6.57867251503577</v>
      </c>
      <c r="F4" s="4" t="n">
        <f aca="false">DCF_Bear!$B$47</f>
        <v>2.40356802998569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17.8801587158183</v>
      </c>
      <c r="C5" s="0" t="n">
        <f aca="false">B5/Assumptions!$B$2-1</f>
        <v>-0.752729100873761</v>
      </c>
      <c r="D5" s="4" t="n">
        <f aca="false">Assumptions!$B$38</f>
        <v>0.5</v>
      </c>
      <c r="E5" s="4" t="n">
        <f aca="false">DCF_Base!$B$43</f>
        <v>19.3116016157147</v>
      </c>
      <c r="F5" s="4" t="n">
        <f aca="false">DCF_Base!$B$47</f>
        <v>9.17696648656787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27.4469269015846</v>
      </c>
      <c r="C6" s="0" t="n">
        <f aca="false">B6/Assumptions!$B$2-1</f>
        <v>-0.620426954756125</v>
      </c>
      <c r="D6" s="4" t="n">
        <f aca="false">Assumptions!$B$52</f>
        <v>0.25</v>
      </c>
      <c r="E6" s="4" t="n">
        <f aca="false">DCF_Bull!$B$43</f>
        <v>29.2164064487144</v>
      </c>
      <c r="F6" s="4" t="n">
        <f aca="false">DCF_Bull!$B$47</f>
        <v>14.0257810523656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17.1608508782349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18.6045705487949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-3.21366052960176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3819.93473153786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8.69582051387177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20.5788270604664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17.8801587158183</v>
      </c>
      <c r="C16" s="3" t="n">
        <v>10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15.3076734157851</v>
      </c>
      <c r="C17" s="3" t="n">
        <v>11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13.2828318827347</v>
      </c>
      <c r="C18" s="3" t="n">
        <v>12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9.17696648656787</v>
      </c>
      <c r="C19" s="3" t="n">
        <v>15</v>
      </c>
    </row>
    <row r="21" customFormat="false" ht="15" hidden="false" customHeight="false" outlineLevel="0" collapsed="false">
      <c r="A21" s="2" t="s">
        <v>174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22.36776195448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22.36776195448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22.36776195448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22.36776195448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22.36776195448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19.2921371794769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20.2028462510864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20.5788270604664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20.5788270604664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20.5788270604664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16.4985244753665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17.1461655255783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17.8801587158183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18.7190080760927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18.9477851743493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14.3022289150816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14.7770221515249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15.3076734157851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15.9046560880779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16.5812364500096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12.5320179299293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12.8886545575119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13.2828318827347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13.7208066885379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14.2103079420826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2026-09-28T08:16:27Z</dcterms:created>
  <dc:creator>openpyxl</dc:creator>
  <dc:description/>
  <dc:language>en-NZ</dc:language>
  <cp:lastModifiedBy/>
  <dcterms:modified xsi:type="dcterms:W3CDTF">2026-09-28T08:16:27Z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