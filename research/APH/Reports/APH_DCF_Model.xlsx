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<sst xmlns="http://schemas.openxmlformats.org/spreadsheetml/2006/main" count="390" uniqueCount="175">
  <si>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</si>
  <si>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APH</t>
  </si>
  <si>
    <t xml:space="preserve">Company</t>
  </si>
  <si>
    <t xml:space="preserve">Amphenol Corporation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</si>
  <si>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</si>
  <si>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</si>
  <si>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</si>
  <si>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</si>
  <si>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</si>
  <si>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</si>
  <si>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</si>
  <si>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</si>
  <si>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</si>
  <si>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</si>
  <si>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</si>
  <si>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</si>
  <si>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</si>
  <si>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</si>
  <si>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</si>
  <si>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</si>
  <si>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</si>
  <si>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2026-09-25T10:07:26Z</t>
  </si>
  <si>
    <t xml:space="preserve">Drivers file</t>
  </si>
  <si>
    <t xml:space="preserve">APH_Drivers.json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</si>
  <si>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</si>
  <si>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</si>
  <si>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</si>
  <si>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Amphenol is a high-quality, decades-proven serial acquirer and best-in-class interconnect manufacturer now navigating a genuine step-change (the transformative $10.6B CommScope CCS acquisition, closed January 2026) layered on top of an unusually strong organic growth spike (63% organic IT-datacom growth on AI datacenter demand). This valuation treats the CommScope contribution as a one-time, explicitly-guided step-change captured in Year 1 of the projection, and treats the current AI-datacom growth rate as elevated-but-cyclical rather than a permanent new baseline, consistent with the qualitative Analysis JSON's own framing of this as the company's largest concentration risk. The resulting base case still shows a strong, diversified industrial compounder, but the growth path decelerates far faster than a naive extrapolation of trailing CAGRs (19.7-35.6%) would suggest, and leverage (net debt/EBITDA ~1.54x, up from ~1.2x pre-deal) is reflected directly in a modestly elevated WACC and a heavier-than-default bear weighting.
key_risks_to_valuation: AI/IT-datacom capex cycle concentration (43%+ of sales, 63% organic growth in the most recent quarter) -- a hyperscaler spending pullback or an architecture shift away from Amphenol's product mix would disproportionately hit the fastest-growing, highest-multiple segment; CommScope CCS integration risk -- Amphenol's largest-ever acquisition, still less than a year into integration as of this valuation date; early outperformance (raised guidance twice already) is encouraging but not a guarantee of multi-year synergy realization; Leverage roughly doubled to fund the deal (net debt ~$14.1B at Q2 2026 vs ~$3.6B at FY2024) -- net debt/EBITDA of ~1.54x is not distressed but materially reduces balance-sheet flexibility for further M&amp;A or buybacks if AI demand slows at the same time debt service is elevated; Communications-networks (legacy telecom carrier) sub-segment remains in organic decline, currently masked by AI-datacom strength but a real drag if that strength normalizes; Premium valuation at the current $83.08 price (P/E ~40x per the info.json screen pre-CommScope-year earnings) leaves limited room for execution missteps</t>
  </si>
  <si>
    <t xml:space="preserve">Data sources</t>
  </si>
  <si>
    <t xml:space="preserve">price: Yahoo Finance chart API at inputs.price_as_of; 52-week range 59.005-89.26
financials: SEC XBRL via scripts/build_facts_xbrl.py -&gt; core_metrics -&gt; APH_Metrics.csv (FY2006-Q2 2026); FY2026 guidance figures (Q3 2026 revenue/EPS guide, CommScope full-year sales/EPS-accretion targets) from APH_Analysis.json guidance block, sourced from Q2 2026 earnings release (2026-07-29) and the August 2026 stock-split-adjusted guidance update
qualitative: ./research/APH/Reports/APH_Analysis.json (completed 2026-09-25)</t>
  </si>
  <si>
    <t xml:space="preserve">Scenario narrative: bear</t>
  </si>
  <si>
    <t xml:space="preserve">The AI/IT-datacom capex cycle cools sharply after 2026, exposing how concentrated recent growth has been (43%+ of sales); CommScope integration proves harder than early quarters suggest, and the ~$18.8B debt load constrains flexibility just as organic growth and margins come under pressure.</t>
  </si>
  <si>
    <t xml:space="preserve">Scenario narrative: base</t>
  </si>
  <si>
    <t xml:space="preserve">CommScope CCS integrates broadly as guided and AI/IT-datacom growth decelerates from its current extreme toward a still-strong, more sustainable pace as hyperscaler capex normalizes its rate of change; industrial, defense and aerospace continue independent strength while communications-networks carrier softness persists as a shrinking drag. Margins expand modestly on synergies and mix without assuming flawless execution.</t>
  </si>
  <si>
    <t xml:space="preserve">Scenario narrative: bull</t>
  </si>
  <si>
    <t xml:space="preserve">AI/IT-datacom demand proves more durable than feared, with content-per-server-rack continuing to rise as AI workloads scale; CommScope integration outperforms guidance further (as it already has once); the decentralized operating model and bolt-on M&amp;A program keep compounding beyond what the model separately assumes.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</si>
  <si>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</si>
  <si>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</si>
  <si>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</si>
  <si>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</si>
  <si>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</si>
  <si>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</si>
  <si>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</si>
  <si>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</si>
  <si>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</si>
  <si>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</si>
  <si>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</si>
  <si>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</si>
  <si>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</si>
  <si>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</si>
  <si>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</si>
  <si>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</si>
  <si>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</si>
  <si>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</si>
  <si>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</si>
  <si>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</si>
  <si>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</si>
  <si>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</si>
  <si>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</si>
  <si>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</si>
  <si>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</si>
  <si>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</si>
  <si>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</si>
  <si>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</si>
  <si>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</si>
  <si>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</si>
  <si>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</si>
  <si>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</si>
  <si>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</si>
  <si>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</si>
  <si>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</si>
  <si>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</si>
  <si>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</si>
  <si>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</si>
  <si>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</si>
  <si>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</si>
  <si>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</si>
  <si>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</si>
  <si>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</si>
  <si>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</si>
  <si>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</si>
  <si>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</si>
  <si>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</si>
  <si>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</si>
  <si>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</si>
  <si>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</si>
  <si>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</si>
  <si>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</si>
  <si>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</si>
  <si>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</si>
  <si>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</si>
  <si>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</si>
  <si>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</si>
  <si>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</si>
  <si>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</si>
  <si>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</si>
  <si>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</si>
  <si>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</si>
  <si>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</si>
  <si>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</si>
  <si>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</si>
  <si>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</si>
  <si>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</si>
  <si>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</si>
  <si>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</si>
  <si>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</si>
  <si>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</si>
  <si>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</si>
  <si>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</si>
  <si>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</si>
  <si>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</si>
  <si>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</si>
  <si>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</si>
  <si>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</si>
  <si>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</si>
  <si>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</si>
  <si>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</si>
  <si>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</si>
  <si>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</si>
  <si>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</si>
  <si>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APH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</si>
  <si>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</si>
  <si>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</si>
  <si>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</si>
  <si>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</si>
  <si>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</si>
  <si>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</si>
  <si>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</si>
  <si>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</si>
  <si>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</si>
  <si>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</si>
  <si>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</si>
  <si>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</si>
  <si>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</si>
  <si>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</si>
  <si>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</si>
  <si>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</si>
  <si>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</si>
  <si>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</si>
  <si>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</si>
  <si>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</si>
  <si>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</si>
  <si>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</si>
  <si>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</si>
  <si>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</si>
  <si>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</si>
  <si>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</si>
  <si>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</si>
  <si>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</si>
  <si>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</si>
  <si>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</si>
  <si>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APH owner-FCF component DCF: base case (millions, USD)</t>
  </si>
  <si>
    <t xml:space="preserve">APH owner-FCF component DCF: bull case (millions, USD)</t>
  </si>
  <si>
    <t xml:space="preserve">APH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</si>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</sst>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83.08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921.675</v>
      </c>
      <c r="S2" s="0" t="n">
        <v>74.135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930.141</v>
      </c>
      <c r="F3" s="0" t="n">
        <v>552.858</v>
      </c>
      <c r="H3" s="0" t="n">
        <v>635.206</v>
      </c>
      <c r="I3" s="0" t="n">
        <v>353.194</v>
      </c>
      <c r="K3" s="0" t="n">
        <v>1.94</v>
      </c>
      <c r="L3" s="0" t="n">
        <v>387.899</v>
      </c>
      <c r="M3" s="0" t="n">
        <v>103.772</v>
      </c>
      <c r="N3" s="0" t="n">
        <v>284.127</v>
      </c>
      <c r="O3" s="0" t="n">
        <v>1279.748</v>
      </c>
      <c r="S3" s="0" t="n">
        <v>183.641</v>
      </c>
      <c r="T3" s="0" t="n">
        <v>182.503969</v>
      </c>
      <c r="U3" s="0" t="n">
        <v>12.444</v>
      </c>
      <c r="V3" s="0" t="n">
        <v>0.06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1049.153</v>
      </c>
      <c r="F4" s="0" t="n">
        <v>632.239</v>
      </c>
      <c r="H4" s="0" t="n">
        <v>723.541</v>
      </c>
      <c r="I4" s="0" t="n">
        <v>419.151</v>
      </c>
      <c r="K4" s="0" t="n">
        <v>2.34</v>
      </c>
      <c r="L4" s="0" t="n">
        <v>481.523</v>
      </c>
      <c r="M4" s="0" t="n">
        <v>108.28</v>
      </c>
      <c r="N4" s="0" t="n">
        <v>373.243</v>
      </c>
      <c r="O4" s="0" t="n">
        <v>1368.569</v>
      </c>
      <c r="P4" s="0" t="n">
        <v>2994.159</v>
      </c>
      <c r="R4" s="0" t="n">
        <v>786.459</v>
      </c>
      <c r="S4" s="0" t="n">
        <v>214.987</v>
      </c>
      <c r="T4" s="0" t="n">
        <v>178.813013</v>
      </c>
      <c r="U4" s="0" t="n">
        <v>16.316</v>
      </c>
      <c r="V4" s="0" t="n">
        <v>0.06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886.554</v>
      </c>
      <c r="F5" s="0" t="n">
        <v>488.913</v>
      </c>
      <c r="H5" s="0" t="n">
        <v>587.437</v>
      </c>
      <c r="I5" s="0" t="n">
        <v>327.216</v>
      </c>
      <c r="K5" s="0" t="n">
        <v>1.83</v>
      </c>
      <c r="L5" s="0" t="n">
        <v>582.297</v>
      </c>
      <c r="M5" s="0" t="n">
        <v>63.058</v>
      </c>
      <c r="N5" s="0" t="n">
        <v>519.239</v>
      </c>
      <c r="O5" s="0" t="n">
        <v>1762.818</v>
      </c>
      <c r="P5" s="0" t="n">
        <v>4015.857</v>
      </c>
      <c r="R5" s="0" t="n">
        <v>753.848</v>
      </c>
      <c r="S5" s="0" t="n">
        <v>384.613</v>
      </c>
      <c r="T5" s="0" t="n">
        <v>173.941752</v>
      </c>
      <c r="U5" s="0" t="n">
        <v>20.24</v>
      </c>
      <c r="V5" s="0" t="n">
        <v>0.06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1158.228</v>
      </c>
      <c r="F6" s="0" t="n">
        <v>700.357</v>
      </c>
      <c r="H6" s="0" t="n">
        <v>803.203</v>
      </c>
      <c r="I6" s="0" t="n">
        <v>502.413</v>
      </c>
      <c r="K6" s="0" t="n">
        <v>2.82</v>
      </c>
      <c r="L6" s="0" t="n">
        <v>424.893</v>
      </c>
      <c r="M6" s="0" t="n">
        <v>109.458</v>
      </c>
      <c r="N6" s="0" t="n">
        <v>315.435</v>
      </c>
      <c r="O6" s="0" t="n">
        <v>2342.715</v>
      </c>
      <c r="P6" s="0" t="n">
        <v>4015.857</v>
      </c>
      <c r="R6" s="0" t="n">
        <v>800.344</v>
      </c>
      <c r="S6" s="0" t="n">
        <v>525.888</v>
      </c>
      <c r="T6" s="0" t="n">
        <v>176.325993</v>
      </c>
      <c r="U6" s="0" t="n">
        <v>25.385</v>
      </c>
      <c r="V6" s="0" t="n">
        <v>0.06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1243.66</v>
      </c>
      <c r="F7" s="0" t="n">
        <v>751.678</v>
      </c>
      <c r="H7" s="0" t="n">
        <v>871.117</v>
      </c>
      <c r="I7" s="0" t="n">
        <v>528.842</v>
      </c>
      <c r="K7" s="0" t="n">
        <v>3.05</v>
      </c>
      <c r="M7" s="0" t="n">
        <v>100.222</v>
      </c>
      <c r="O7" s="0" t="n">
        <v>2184.8</v>
      </c>
      <c r="P7" s="0" t="n">
        <v>4445.225</v>
      </c>
      <c r="R7" s="0" t="n">
        <v>1377.427</v>
      </c>
      <c r="S7" s="0" t="n">
        <v>515.1</v>
      </c>
      <c r="T7" s="0" t="n">
        <v>171.825588</v>
      </c>
      <c r="U7" s="0" t="n">
        <v>28.679</v>
      </c>
      <c r="V7" s="0" t="n">
        <v>0.06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1343.2</v>
      </c>
      <c r="F8" s="0" t="n">
        <v>828.3</v>
      </c>
      <c r="H8" s="0" t="n">
        <v>950.1</v>
      </c>
      <c r="I8" s="0" t="n">
        <v>559.5</v>
      </c>
      <c r="K8" s="0" t="n">
        <v>1.69</v>
      </c>
      <c r="M8" s="0" t="n">
        <v>129.1</v>
      </c>
      <c r="O8" s="0" t="n">
        <v>2442.2</v>
      </c>
      <c r="P8" s="0" t="n">
        <v>5215.463</v>
      </c>
      <c r="R8" s="0" t="n">
        <v>1806.79</v>
      </c>
      <c r="S8" s="0" t="n">
        <v>690.8</v>
      </c>
      <c r="T8" s="0" t="n">
        <v>327.894222</v>
      </c>
      <c r="U8" s="0" t="n">
        <v>31.4</v>
      </c>
      <c r="V8" s="0" t="n">
        <v>0.21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1450.8</v>
      </c>
      <c r="F9" s="0" t="n">
        <v>896.8</v>
      </c>
      <c r="H9" s="0" t="n">
        <v>1033.3</v>
      </c>
      <c r="I9" s="0" t="n">
        <v>638.7</v>
      </c>
      <c r="K9" s="0" t="n">
        <v>1.96</v>
      </c>
      <c r="M9" s="0" t="n">
        <v>158.4</v>
      </c>
      <c r="O9" s="0" t="n">
        <v>2880.1</v>
      </c>
      <c r="P9" s="0" t="n">
        <v>6168</v>
      </c>
      <c r="R9" s="0" t="n">
        <v>2834.2</v>
      </c>
      <c r="S9" s="0" t="n">
        <v>886.8</v>
      </c>
      <c r="T9" s="0" t="n">
        <v>324.5</v>
      </c>
      <c r="U9" s="0" t="n">
        <v>36.1</v>
      </c>
      <c r="V9" s="0" t="n">
        <v>0.305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1693.8</v>
      </c>
      <c r="F10" s="0" t="n">
        <v>1034.6</v>
      </c>
      <c r="H10" s="0" t="n">
        <v>1202.7</v>
      </c>
      <c r="I10" s="0" t="n">
        <v>709.1</v>
      </c>
      <c r="K10" s="0" t="n">
        <v>2.21</v>
      </c>
      <c r="M10" s="0" t="n">
        <v>209.1</v>
      </c>
      <c r="O10" s="0" t="n">
        <v>2937.9</v>
      </c>
      <c r="P10" s="0" t="n">
        <v>6985.9</v>
      </c>
      <c r="R10" s="0" t="n">
        <v>2657.8</v>
      </c>
      <c r="S10" s="0" t="n">
        <v>968.9</v>
      </c>
      <c r="T10" s="0" t="n">
        <v>320.4</v>
      </c>
      <c r="U10" s="0" t="n">
        <v>41.4</v>
      </c>
      <c r="V10" s="0" t="n">
        <v>0.45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D11" s="0" t="n">
        <v>1779.5</v>
      </c>
      <c r="F11" s="0" t="n">
        <v>1104.7</v>
      </c>
      <c r="H11" s="0" t="n">
        <v>1276.3</v>
      </c>
      <c r="I11" s="0" t="n">
        <v>763.5</v>
      </c>
      <c r="K11" s="0" t="n">
        <v>2.41</v>
      </c>
      <c r="L11" s="0" t="n">
        <v>1030.5</v>
      </c>
      <c r="M11" s="0" t="n">
        <v>172.1</v>
      </c>
      <c r="N11" s="0" t="n">
        <v>858.4</v>
      </c>
      <c r="O11" s="0" t="n">
        <v>3278.4</v>
      </c>
      <c r="P11" s="0" t="n">
        <v>7458.4</v>
      </c>
      <c r="R11" s="0" t="n">
        <v>2813.8</v>
      </c>
      <c r="S11" s="0" t="n">
        <v>1737.2</v>
      </c>
      <c r="T11" s="0" t="n">
        <v>316.5</v>
      </c>
      <c r="U11" s="0" t="n">
        <v>44.2</v>
      </c>
      <c r="V11" s="0" t="n">
        <v>0.53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6286.4</v>
      </c>
      <c r="C12" s="0" t="n">
        <v>4246.4</v>
      </c>
      <c r="D12" s="0" t="n">
        <v>2040</v>
      </c>
      <c r="E12" s="0" t="n">
        <v>32.4510053448715</v>
      </c>
      <c r="F12" s="0" t="n">
        <v>1205.2</v>
      </c>
      <c r="G12" s="0" t="n">
        <v>19.1715449223721</v>
      </c>
      <c r="H12" s="0" t="n">
        <v>1422.2</v>
      </c>
      <c r="I12" s="0" t="n">
        <v>822.9</v>
      </c>
      <c r="J12" s="0" t="n">
        <v>13.090162891321</v>
      </c>
      <c r="K12" s="0" t="n">
        <v>2.61</v>
      </c>
      <c r="L12" s="0" t="n">
        <v>1077.6</v>
      </c>
      <c r="M12" s="0" t="n">
        <v>190.8</v>
      </c>
      <c r="N12" s="0" t="n">
        <v>886.8</v>
      </c>
      <c r="O12" s="0" t="n">
        <v>3723.1</v>
      </c>
      <c r="P12" s="0" t="n">
        <v>8498.7</v>
      </c>
      <c r="R12" s="0" t="n">
        <v>3385.9</v>
      </c>
      <c r="S12" s="0" t="n">
        <v>1034.6</v>
      </c>
      <c r="T12" s="0" t="n">
        <v>315.2</v>
      </c>
      <c r="U12" s="0" t="n">
        <v>47.6</v>
      </c>
      <c r="V12" s="0" t="n">
        <v>0.58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7011.3</v>
      </c>
      <c r="C13" s="0" t="n">
        <v>4701.4</v>
      </c>
      <c r="D13" s="0" t="n">
        <v>2309.9</v>
      </c>
      <c r="E13" s="0" t="n">
        <v>32.9453881591146</v>
      </c>
      <c r="F13" s="0" t="n">
        <v>1427.6</v>
      </c>
      <c r="G13" s="0" t="n">
        <v>20.3614165703935</v>
      </c>
      <c r="H13" s="0" t="n">
        <v>1654.4</v>
      </c>
      <c r="I13" s="0" t="n">
        <v>650.5</v>
      </c>
      <c r="J13" s="0" t="n">
        <v>9.27787999372442</v>
      </c>
      <c r="K13" s="0" t="n">
        <v>2.06</v>
      </c>
      <c r="L13" s="0" t="n">
        <v>1144.2</v>
      </c>
      <c r="M13" s="0" t="n">
        <v>226.6</v>
      </c>
      <c r="N13" s="0" t="n">
        <v>917.6</v>
      </c>
      <c r="O13" s="0" t="n">
        <v>4043.4</v>
      </c>
      <c r="P13" s="0" t="n">
        <v>10003.9</v>
      </c>
      <c r="R13" s="0" t="n">
        <v>3542.6</v>
      </c>
      <c r="S13" s="0" t="n">
        <v>1719.1</v>
      </c>
      <c r="T13" s="0" t="n">
        <v>316.5</v>
      </c>
      <c r="U13" s="0" t="n">
        <v>49.7</v>
      </c>
      <c r="V13" s="0" t="n">
        <v>0.7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8202</v>
      </c>
      <c r="C14" s="0" t="n">
        <v>5547.1</v>
      </c>
      <c r="D14" s="0" t="n">
        <v>2654.9</v>
      </c>
      <c r="E14" s="0" t="n">
        <v>32.3689344062424</v>
      </c>
      <c r="F14" s="0" t="n">
        <v>1686.9</v>
      </c>
      <c r="G14" s="0" t="n">
        <v>20.5669348939283</v>
      </c>
      <c r="H14" s="0" t="n">
        <v>1986.6</v>
      </c>
      <c r="I14" s="0" t="n">
        <v>1205</v>
      </c>
      <c r="J14" s="0" t="n">
        <v>14.69153864911</v>
      </c>
      <c r="K14" s="0" t="n">
        <v>3.85</v>
      </c>
      <c r="L14" s="0" t="n">
        <v>1112.7</v>
      </c>
      <c r="M14" s="0" t="n">
        <v>310.6</v>
      </c>
      <c r="N14" s="0" t="n">
        <v>802.1</v>
      </c>
      <c r="O14" s="0" t="n">
        <v>4064.2</v>
      </c>
      <c r="P14" s="0" t="n">
        <v>10044.9</v>
      </c>
      <c r="R14" s="0" t="n">
        <v>3570.7</v>
      </c>
      <c r="S14" s="0" t="n">
        <v>1279.3</v>
      </c>
      <c r="T14" s="0" t="n">
        <v>312.6</v>
      </c>
      <c r="U14" s="0" t="n">
        <v>55.6</v>
      </c>
      <c r="V14" s="0" t="n">
        <v>0.88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8225.4</v>
      </c>
      <c r="C15" s="0" t="n">
        <v>5609.4</v>
      </c>
      <c r="D15" s="0" t="n">
        <v>2616</v>
      </c>
      <c r="E15" s="0" t="n">
        <v>31.8039244292071</v>
      </c>
      <c r="F15" s="0" t="n">
        <v>1619.2</v>
      </c>
      <c r="G15" s="0" t="n">
        <v>19.6853648454786</v>
      </c>
      <c r="H15" s="0" t="n">
        <v>1931.3</v>
      </c>
      <c r="I15" s="0" t="n">
        <v>1155</v>
      </c>
      <c r="J15" s="0" t="n">
        <v>14.0418703041797</v>
      </c>
      <c r="K15" s="0" t="n">
        <v>1.88</v>
      </c>
      <c r="L15" s="0" t="n">
        <v>1502.3</v>
      </c>
      <c r="M15" s="0" t="n">
        <v>295</v>
      </c>
      <c r="N15" s="0" t="n">
        <v>1207.3</v>
      </c>
      <c r="O15" s="0" t="n">
        <v>4596.2</v>
      </c>
      <c r="P15" s="0" t="n">
        <v>10815.5</v>
      </c>
      <c r="R15" s="0" t="n">
        <v>3606.7</v>
      </c>
      <c r="S15" s="0" t="n">
        <v>891.2</v>
      </c>
      <c r="T15" s="0" t="n">
        <v>615.9</v>
      </c>
      <c r="U15" s="0" t="n">
        <v>63</v>
      </c>
      <c r="V15" s="0" t="n">
        <v>0.48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8598.9</v>
      </c>
      <c r="C16" s="0" t="n">
        <v>5934.8</v>
      </c>
      <c r="D16" s="0" t="n">
        <v>2664.1</v>
      </c>
      <c r="E16" s="0" t="n">
        <v>30.9818697740409</v>
      </c>
      <c r="F16" s="0" t="n">
        <v>1638.4</v>
      </c>
      <c r="G16" s="0" t="n">
        <v>19.0535998790543</v>
      </c>
      <c r="H16" s="0" t="n">
        <v>1946.5</v>
      </c>
      <c r="I16" s="0" t="n">
        <v>1203.4</v>
      </c>
      <c r="J16" s="0" t="n">
        <v>13.994813290072</v>
      </c>
      <c r="K16" s="0" t="n">
        <v>1.96</v>
      </c>
      <c r="L16" s="0" t="n">
        <v>1592</v>
      </c>
      <c r="M16" s="0" t="n">
        <v>276.8</v>
      </c>
      <c r="N16" s="0" t="n">
        <v>1315.2</v>
      </c>
      <c r="O16" s="0" t="n">
        <v>5451.9</v>
      </c>
      <c r="P16" s="0" t="n">
        <v>12327.3</v>
      </c>
      <c r="Q16" s="0" t="n">
        <v>6875.4</v>
      </c>
      <c r="R16" s="0" t="n">
        <v>3866.5</v>
      </c>
      <c r="S16" s="0" t="n">
        <v>1702</v>
      </c>
      <c r="T16" s="0" t="n">
        <v>615</v>
      </c>
      <c r="U16" s="0" t="n">
        <v>70.5</v>
      </c>
      <c r="V16" s="0" t="n">
        <v>0.52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10876.3</v>
      </c>
      <c r="C17" s="0" t="n">
        <v>7474.5</v>
      </c>
      <c r="D17" s="0" t="n">
        <v>3401.8</v>
      </c>
      <c r="E17" s="0" t="n">
        <v>31.2771806588638</v>
      </c>
      <c r="F17" s="0" t="n">
        <v>2105.1</v>
      </c>
      <c r="G17" s="0" t="n">
        <v>19.3549276868053</v>
      </c>
      <c r="H17" s="0" t="n">
        <v>2500.7</v>
      </c>
      <c r="I17" s="0" t="n">
        <v>1590.8</v>
      </c>
      <c r="J17" s="0" t="n">
        <v>14.6262975460405</v>
      </c>
      <c r="K17" s="0" t="n">
        <v>2.54</v>
      </c>
      <c r="L17" s="0" t="n">
        <v>1540.1</v>
      </c>
      <c r="M17" s="0" t="n">
        <v>360.4</v>
      </c>
      <c r="N17" s="0" t="n">
        <v>1179.7</v>
      </c>
      <c r="O17" s="0" t="n">
        <v>6360.1</v>
      </c>
      <c r="P17" s="0" t="n">
        <v>14678.4</v>
      </c>
      <c r="Q17" s="0" t="n">
        <v>8299.3</v>
      </c>
      <c r="R17" s="0" t="n">
        <v>4799.9</v>
      </c>
      <c r="S17" s="0" t="n">
        <v>1197.1</v>
      </c>
      <c r="T17" s="0" t="n">
        <v>625.5</v>
      </c>
      <c r="U17" s="0" t="n">
        <v>83</v>
      </c>
      <c r="V17" s="0" t="n">
        <v>0.635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12623</v>
      </c>
      <c r="C18" s="0" t="n">
        <v>8594.8</v>
      </c>
      <c r="D18" s="0" t="n">
        <v>4028.2</v>
      </c>
      <c r="E18" s="0" t="n">
        <v>31.9115899548443</v>
      </c>
      <c r="F18" s="0" t="n">
        <v>2585.8</v>
      </c>
      <c r="G18" s="0" t="n">
        <v>20.4848292798859</v>
      </c>
      <c r="H18" s="0" t="n">
        <v>2978.7</v>
      </c>
      <c r="I18" s="0" t="n">
        <v>1902.3</v>
      </c>
      <c r="J18" s="0" t="n">
        <v>15.0701101164541</v>
      </c>
      <c r="K18" s="0" t="n">
        <v>1.53</v>
      </c>
      <c r="L18" s="0" t="n">
        <v>2174.6</v>
      </c>
      <c r="M18" s="0" t="n">
        <v>383.8</v>
      </c>
      <c r="N18" s="0" t="n">
        <v>1790.8</v>
      </c>
      <c r="O18" s="0" t="n">
        <v>7073.5</v>
      </c>
      <c r="P18" s="0" t="n">
        <v>15326.2</v>
      </c>
      <c r="Q18" s="0" t="n">
        <v>8232.1</v>
      </c>
      <c r="R18" s="0" t="n">
        <v>4577.7</v>
      </c>
      <c r="S18" s="0" t="n">
        <v>1373.1</v>
      </c>
      <c r="T18" s="0" t="n">
        <v>1242</v>
      </c>
      <c r="U18" s="0" t="n">
        <v>89.5</v>
      </c>
      <c r="V18" s="0" t="n">
        <v>0.405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12554.7</v>
      </c>
      <c r="C19" s="0" t="n">
        <v>8470.6</v>
      </c>
      <c r="D19" s="0" t="n">
        <v>4084.1</v>
      </c>
      <c r="E19" s="0" t="n">
        <v>32.5304467649566</v>
      </c>
      <c r="F19" s="0" t="n">
        <v>2559.6</v>
      </c>
      <c r="G19" s="0" t="n">
        <v>20.3875839327105</v>
      </c>
      <c r="H19" s="0" t="n">
        <v>2966</v>
      </c>
      <c r="I19" s="0" t="n">
        <v>1928</v>
      </c>
      <c r="J19" s="0" t="n">
        <v>15.3567986491115</v>
      </c>
      <c r="K19" s="0" t="n">
        <v>1.55</v>
      </c>
      <c r="L19" s="0" t="n">
        <v>2528.7</v>
      </c>
      <c r="M19" s="0" t="n">
        <v>372.8</v>
      </c>
      <c r="N19" s="0" t="n">
        <v>2155.9</v>
      </c>
      <c r="O19" s="0" t="n">
        <v>8395.8</v>
      </c>
      <c r="P19" s="0" t="n">
        <v>16526.4</v>
      </c>
      <c r="Q19" s="0" t="n">
        <v>8099.9</v>
      </c>
      <c r="R19" s="0" t="n">
        <v>4337.3</v>
      </c>
      <c r="S19" s="0" t="n">
        <v>1475</v>
      </c>
      <c r="T19" s="0" t="n">
        <v>1241.2</v>
      </c>
      <c r="U19" s="0" t="n">
        <v>99</v>
      </c>
      <c r="V19" s="0" t="n">
        <v>0.425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15222.7</v>
      </c>
      <c r="C20" s="0" t="n">
        <v>10083</v>
      </c>
      <c r="D20" s="0" t="n">
        <v>5139.7</v>
      </c>
      <c r="E20" s="0" t="n">
        <v>33.7633928278164</v>
      </c>
      <c r="F20" s="0" t="n">
        <v>3156.9</v>
      </c>
      <c r="G20" s="0" t="n">
        <v>20.738108219961</v>
      </c>
      <c r="H20" s="0" t="n">
        <v>3729.4</v>
      </c>
      <c r="I20" s="0" t="n">
        <v>2424</v>
      </c>
      <c r="J20" s="0" t="n">
        <v>15.923587799799</v>
      </c>
      <c r="K20" s="0" t="n">
        <v>1.92</v>
      </c>
      <c r="L20" s="0" t="n">
        <v>2814.7</v>
      </c>
      <c r="M20" s="0" t="n">
        <v>665.4</v>
      </c>
      <c r="N20" s="0" t="n">
        <v>2149.3</v>
      </c>
      <c r="O20" s="0" t="n">
        <v>9792</v>
      </c>
      <c r="P20" s="0" t="n">
        <v>21440.2</v>
      </c>
      <c r="Q20" s="0" t="n">
        <v>11584.1</v>
      </c>
      <c r="R20" s="0" t="n">
        <v>6886.1</v>
      </c>
      <c r="S20" s="0" t="n">
        <v>3317</v>
      </c>
      <c r="T20" s="0" t="n">
        <v>1263.6</v>
      </c>
      <c r="U20" s="0" t="n">
        <v>109.5</v>
      </c>
      <c r="V20" s="0" t="n">
        <v>0.55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23094.7</v>
      </c>
      <c r="C21" s="0" t="n">
        <v>14577</v>
      </c>
      <c r="D21" s="0" t="n">
        <v>8517.7</v>
      </c>
      <c r="E21" s="0" t="n">
        <v>36.8816221903727</v>
      </c>
      <c r="F21" s="0" t="n">
        <v>5868.6</v>
      </c>
      <c r="G21" s="0" t="n">
        <v>25.4110250403772</v>
      </c>
      <c r="H21" s="0" t="n">
        <v>6791</v>
      </c>
      <c r="I21" s="0" t="n">
        <v>4270.3</v>
      </c>
      <c r="J21" s="0" t="n">
        <v>18.4903895699013</v>
      </c>
      <c r="K21" s="0" t="n">
        <v>3.34</v>
      </c>
      <c r="L21" s="0" t="n">
        <v>5374.7</v>
      </c>
      <c r="M21" s="0" t="n">
        <v>996.6</v>
      </c>
      <c r="N21" s="0" t="n">
        <v>4378.1</v>
      </c>
      <c r="O21" s="0" t="n">
        <v>13413.1</v>
      </c>
      <c r="P21" s="0" t="n">
        <v>36236.9</v>
      </c>
      <c r="Q21" s="0" t="n">
        <v>22727.2</v>
      </c>
      <c r="R21" s="0" t="n">
        <v>15502</v>
      </c>
      <c r="S21" s="0" t="n">
        <v>11130.6</v>
      </c>
      <c r="T21" s="0" t="n">
        <v>1277.5</v>
      </c>
      <c r="U21" s="0" t="n">
        <v>135.4</v>
      </c>
      <c r="V21" s="0" t="n">
        <v>0.745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83.08</v>
      </c>
    </row>
    <row r="3" customFormat="false" ht="15" hidden="false" customHeight="false" outlineLevel="0" collapsed="false">
      <c r="A3" s="0" t="s">
        <v>86</v>
      </c>
      <c r="B3" s="3" t="n">
        <v>1289.2</v>
      </c>
    </row>
    <row r="4" customFormat="false" ht="15" hidden="false" customHeight="false" outlineLevel="0" collapsed="false">
      <c r="A4" s="0" t="s">
        <v>87</v>
      </c>
      <c r="B4" s="3" t="n">
        <v>14081.9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23094.7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50</v>
      </c>
      <c r="D13" s="3" t="n">
        <v>6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29</v>
      </c>
      <c r="D14" s="3" t="n">
        <v>28</v>
      </c>
      <c r="E14" s="3" t="n">
        <v>27</v>
      </c>
      <c r="F14" s="3" t="n">
        <v>27</v>
      </c>
      <c r="G14" s="3" t="n">
        <v>27</v>
      </c>
      <c r="H14" s="3" t="n">
        <v>27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108</v>
      </c>
      <c r="C15" s="3" t="n">
        <v>0.65</v>
      </c>
      <c r="D15" s="3" t="n">
        <v>0.65</v>
      </c>
      <c r="E15" s="3" t="n">
        <v>0.65</v>
      </c>
      <c r="F15" s="3" t="n">
        <v>0.65</v>
      </c>
      <c r="G15" s="3" t="n">
        <v>0.65</v>
      </c>
      <c r="H15" s="3" t="n">
        <v>0.65</v>
      </c>
      <c r="I15" s="3" t="n">
        <v>0.65</v>
      </c>
      <c r="J15" s="3" t="n">
        <v>0.65</v>
      </c>
      <c r="K15" s="3" t="n">
        <v>0.65</v>
      </c>
      <c r="L15" s="3" t="n">
        <v>0.65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4.5</v>
      </c>
      <c r="D17" s="3" t="n">
        <v>4.4</v>
      </c>
      <c r="E17" s="3" t="n">
        <v>4.2</v>
      </c>
      <c r="F17" s="3" t="n">
        <v>4</v>
      </c>
      <c r="G17" s="3" t="n">
        <v>3.8</v>
      </c>
      <c r="H17" s="3" t="n">
        <v>3.7</v>
      </c>
      <c r="I17" s="3" t="n">
        <v>3.6</v>
      </c>
      <c r="J17" s="3" t="n">
        <v>3.6</v>
      </c>
      <c r="K17" s="3" t="n">
        <v>3.6</v>
      </c>
      <c r="L17" s="3" t="n">
        <v>3.6</v>
      </c>
    </row>
    <row r="18" customFormat="false" ht="15" hidden="false" customHeight="false" outlineLevel="0" collapsed="false">
      <c r="A18" s="0" t="s">
        <v>111</v>
      </c>
      <c r="C18" s="3" t="n">
        <v>4.3</v>
      </c>
      <c r="D18" s="3" t="n">
        <v>4.3</v>
      </c>
      <c r="E18" s="3" t="n">
        <v>4.2</v>
      </c>
      <c r="F18" s="3" t="n">
        <v>4.1</v>
      </c>
      <c r="G18" s="3" t="n">
        <v>4.1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-13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53</v>
      </c>
      <c r="D27" s="3" t="n">
        <v>14</v>
      </c>
      <c r="E27" s="3" t="n">
        <v>9</v>
      </c>
      <c r="F27" s="3" t="n">
        <v>7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30</v>
      </c>
      <c r="D28" s="3" t="n">
        <v>30.8</v>
      </c>
      <c r="E28" s="3" t="n">
        <v>31.3</v>
      </c>
      <c r="F28" s="3" t="n">
        <v>31.7</v>
      </c>
      <c r="G28" s="3" t="n">
        <v>32</v>
      </c>
      <c r="H28" s="3" t="n">
        <v>32.2</v>
      </c>
      <c r="I28" s="3" t="n">
        <v>32.3</v>
      </c>
      <c r="J28" s="3" t="n">
        <v>32.4</v>
      </c>
      <c r="K28" s="3" t="n">
        <v>32.5</v>
      </c>
      <c r="L28" s="3" t="n">
        <v>32.5</v>
      </c>
    </row>
    <row r="29" customFormat="false" ht="15" hidden="false" customHeight="false" outlineLevel="0" collapsed="false">
      <c r="A29" s="0" t="s">
        <v>108</v>
      </c>
      <c r="C29" s="3" t="n">
        <v>0.62</v>
      </c>
      <c r="D29" s="3" t="n">
        <v>0.6</v>
      </c>
      <c r="E29" s="3" t="n">
        <v>0.58</v>
      </c>
      <c r="F29" s="3" t="n">
        <v>0.56</v>
      </c>
      <c r="G29" s="3" t="n">
        <v>0.55</v>
      </c>
      <c r="H29" s="3" t="n">
        <v>0.54</v>
      </c>
      <c r="I29" s="3" t="n">
        <v>0.53</v>
      </c>
      <c r="J29" s="3" t="n">
        <v>0.52</v>
      </c>
      <c r="K29" s="3" t="n">
        <v>0.52</v>
      </c>
      <c r="L29" s="3" t="n">
        <v>0.52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4.3</v>
      </c>
      <c r="D31" s="3" t="n">
        <v>4.1</v>
      </c>
      <c r="E31" s="3" t="n">
        <v>3.9</v>
      </c>
      <c r="F31" s="3" t="n">
        <v>3.7</v>
      </c>
      <c r="G31" s="3" t="n">
        <v>3.6</v>
      </c>
      <c r="H31" s="3" t="n">
        <v>3.5</v>
      </c>
      <c r="I31" s="3" t="n">
        <v>3.4</v>
      </c>
      <c r="J31" s="3" t="n">
        <v>3.4</v>
      </c>
      <c r="K31" s="3" t="n">
        <v>3.4</v>
      </c>
      <c r="L31" s="3" t="n">
        <v>3.4</v>
      </c>
    </row>
    <row r="32" customFormat="false" ht="15" hidden="false" customHeight="false" outlineLevel="0" collapsed="false">
      <c r="A32" s="0" t="s">
        <v>111</v>
      </c>
      <c r="C32" s="3" t="n">
        <v>4.2</v>
      </c>
      <c r="D32" s="3" t="n">
        <v>4.1</v>
      </c>
      <c r="E32" s="3" t="n">
        <v>4</v>
      </c>
      <c r="F32" s="3" t="n">
        <v>3.9</v>
      </c>
      <c r="G32" s="3" t="n">
        <v>3.9</v>
      </c>
      <c r="H32" s="3" t="n">
        <v>3.8</v>
      </c>
      <c r="I32" s="3" t="n">
        <v>3.8</v>
      </c>
      <c r="J32" s="3" t="n">
        <v>3.8</v>
      </c>
      <c r="K32" s="3" t="n">
        <v>3.8</v>
      </c>
      <c r="L32" s="3" t="n">
        <v>3.8</v>
      </c>
    </row>
    <row r="33" customFormat="false" ht="15" hidden="false" customHeight="false" outlineLevel="0" collapsed="false">
      <c r="A33" s="0" t="s">
        <v>112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-10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56</v>
      </c>
      <c r="D41" s="3" t="n">
        <v>20</v>
      </c>
      <c r="E41" s="3" t="n">
        <v>14</v>
      </c>
      <c r="F41" s="3" t="n">
        <v>11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107</v>
      </c>
      <c r="C42" s="3" t="n">
        <v>30.5</v>
      </c>
      <c r="D42" s="3" t="n">
        <v>31.5</v>
      </c>
      <c r="E42" s="3" t="n">
        <v>32.3</v>
      </c>
      <c r="F42" s="3" t="n">
        <v>33</v>
      </c>
      <c r="G42" s="3" t="n">
        <v>33.5</v>
      </c>
      <c r="H42" s="3" t="n">
        <v>34</v>
      </c>
      <c r="I42" s="3" t="n">
        <v>34.3</v>
      </c>
      <c r="J42" s="3" t="n">
        <v>34.5</v>
      </c>
      <c r="K42" s="3" t="n">
        <v>34.7</v>
      </c>
      <c r="L42" s="3" t="n">
        <v>34.8</v>
      </c>
    </row>
    <row r="43" customFormat="false" ht="15" hidden="false" customHeight="false" outlineLevel="0" collapsed="false">
      <c r="A43" s="0" t="s">
        <v>108</v>
      </c>
      <c r="C43" s="3" t="n">
        <v>0.6</v>
      </c>
      <c r="D43" s="3" t="n">
        <v>0.57</v>
      </c>
      <c r="E43" s="3" t="n">
        <v>0.55</v>
      </c>
      <c r="F43" s="3" t="n">
        <v>0.53</v>
      </c>
      <c r="G43" s="3" t="n">
        <v>0.52</v>
      </c>
      <c r="H43" s="3" t="n">
        <v>0.51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4.2</v>
      </c>
      <c r="D45" s="3" t="n">
        <v>3.9</v>
      </c>
      <c r="E45" s="3" t="n">
        <v>3.7</v>
      </c>
      <c r="F45" s="3" t="n">
        <v>3.5</v>
      </c>
      <c r="G45" s="3" t="n">
        <v>3.4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111</v>
      </c>
      <c r="C46" s="3" t="n">
        <v>4.1</v>
      </c>
      <c r="D46" s="3" t="n">
        <v>4</v>
      </c>
      <c r="E46" s="3" t="n">
        <v>3.9</v>
      </c>
      <c r="F46" s="3" t="n">
        <v>3.8</v>
      </c>
      <c r="G46" s="3" t="n">
        <v>3.8</v>
      </c>
      <c r="H46" s="3" t="n">
        <v>3.7</v>
      </c>
      <c r="I46" s="3" t="n">
        <v>3.7</v>
      </c>
      <c r="J46" s="3" t="n">
        <v>3.7</v>
      </c>
      <c r="K46" s="3" t="n">
        <v>3.7</v>
      </c>
      <c r="L46" s="3" t="n">
        <v>3.7</v>
      </c>
    </row>
    <row r="47" customFormat="false" ht="15" hidden="false" customHeight="false" outlineLevel="0" collapsed="false">
      <c r="A47" s="0" t="s">
        <v>112</v>
      </c>
      <c r="C47" s="3" t="n">
        <v>22.5</v>
      </c>
      <c r="D47" s="3" t="n">
        <v>22.5</v>
      </c>
      <c r="E47" s="3" t="n">
        <v>22.5</v>
      </c>
      <c r="F47" s="3" t="n">
        <v>22.5</v>
      </c>
      <c r="G47" s="3" t="n">
        <v>22.5</v>
      </c>
      <c r="H47" s="3" t="n">
        <v>22.5</v>
      </c>
      <c r="I47" s="3" t="n">
        <v>22.5</v>
      </c>
      <c r="J47" s="3" t="n">
        <v>22.5</v>
      </c>
      <c r="K47" s="3" t="n">
        <v>22.5</v>
      </c>
      <c r="L47" s="3" t="n">
        <v>22.5</v>
      </c>
    </row>
    <row r="48" customFormat="false" ht="15" hidden="false" customHeight="false" outlineLevel="0" collapsed="false">
      <c r="A48" s="0" t="s">
        <v>113</v>
      </c>
      <c r="B48" s="3" t="n">
        <v>7.75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-8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50</v>
      </c>
      <c r="D5" s="4" t="n">
        <f aca="false">Assumptions!D13</f>
        <v>6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23094.7</v>
      </c>
      <c r="C6" s="0" t="n">
        <f aca="false">B6*(1+C5/100)</f>
        <v>34642.05</v>
      </c>
      <c r="D6" s="0" t="n">
        <f aca="false">C6*(1+D5/100)</f>
        <v>36720.573</v>
      </c>
      <c r="E6" s="0" t="n">
        <f aca="false">D6*(1+E5/100)</f>
        <v>37822.19019</v>
      </c>
      <c r="F6" s="0" t="n">
        <f aca="false">E6*(1+F5/100)</f>
        <v>38956.8558957</v>
      </c>
      <c r="G6" s="0" t="n">
        <f aca="false">F6*(1+G5/100)</f>
        <v>40125.561572571</v>
      </c>
      <c r="H6" s="0" t="n">
        <f aca="false">G6*(1+H5/100)</f>
        <v>41329.3284197482</v>
      </c>
      <c r="I6" s="0" t="n">
        <f aca="false">H6*(1+I5/100)</f>
        <v>42362.5616302419</v>
      </c>
      <c r="J6" s="0" t="n">
        <f aca="false">I6*(1+J5/100)</f>
        <v>43421.6256709979</v>
      </c>
      <c r="K6" s="0" t="n">
        <f aca="false">J6*(1+K5/100)</f>
        <v>44507.1663127728</v>
      </c>
      <c r="L6" s="0" t="n">
        <f aca="false">K6*(1+L5/100)</f>
        <v>45619.8454705922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29</v>
      </c>
      <c r="D7" s="4" t="n">
        <f aca="false">Assumptions!D14</f>
        <v>28</v>
      </c>
      <c r="E7" s="4" t="n">
        <f aca="false">Assumptions!E14</f>
        <v>27</v>
      </c>
      <c r="F7" s="4" t="n">
        <f aca="false">Assumptions!F14</f>
        <v>27</v>
      </c>
      <c r="G7" s="4" t="n">
        <f aca="false">Assumptions!G14</f>
        <v>27</v>
      </c>
      <c r="H7" s="4" t="n">
        <f aca="false">Assumptions!H14</f>
        <v>27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10046.1945</v>
      </c>
      <c r="D8" s="0" t="n">
        <f aca="false">D6*D7/100</f>
        <v>10281.76044</v>
      </c>
      <c r="E8" s="0" t="n">
        <f aca="false">E6*E7/100</f>
        <v>10211.9913513</v>
      </c>
      <c r="F8" s="0" t="n">
        <f aca="false">F6*F7/100</f>
        <v>10518.351091839</v>
      </c>
      <c r="G8" s="0" t="n">
        <f aca="false">G6*G7/100</f>
        <v>10833.9016245942</v>
      </c>
      <c r="H8" s="0" t="n">
        <f aca="false">H6*H7/100</f>
        <v>11158.918673332</v>
      </c>
      <c r="I8" s="0" t="n">
        <f aca="false">I6*I7/100</f>
        <v>11437.8916401653</v>
      </c>
      <c r="J8" s="0" t="n">
        <f aca="false">J6*J7/100</f>
        <v>11723.8389311694</v>
      </c>
      <c r="K8" s="0" t="n">
        <f aca="false">K6*K7/100</f>
        <v>12016.9349044487</v>
      </c>
      <c r="L8" s="0" t="n">
        <f aca="false">L6*L7/100</f>
        <v>12317.3582770599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0.65</v>
      </c>
      <c r="D9" s="4" t="n">
        <f aca="false">Assumptions!D15</f>
        <v>0.65</v>
      </c>
      <c r="E9" s="4" t="n">
        <f aca="false">Assumptions!E15</f>
        <v>0.65</v>
      </c>
      <c r="F9" s="4" t="n">
        <f aca="false">Assumptions!F15</f>
        <v>0.65</v>
      </c>
      <c r="G9" s="4" t="n">
        <f aca="false">Assumptions!G15</f>
        <v>0.65</v>
      </c>
      <c r="H9" s="4" t="n">
        <f aca="false">Assumptions!H15</f>
        <v>0.65</v>
      </c>
      <c r="I9" s="4" t="n">
        <f aca="false">Assumptions!I15</f>
        <v>0.65</v>
      </c>
      <c r="J9" s="4" t="n">
        <f aca="false">Assumptions!J15</f>
        <v>0.65</v>
      </c>
      <c r="K9" s="4" t="n">
        <f aca="false">Assumptions!K15</f>
        <v>0.65</v>
      </c>
      <c r="L9" s="4" t="n">
        <f aca="false">Assumptions!L15</f>
        <v>0.65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-225.173325</v>
      </c>
      <c r="D10" s="0" t="n">
        <f aca="false">-D6*D9/100</f>
        <v>-238.6837245</v>
      </c>
      <c r="E10" s="0" t="n">
        <f aca="false">-E6*E9/100</f>
        <v>-245.844236235</v>
      </c>
      <c r="F10" s="0" t="n">
        <f aca="false">-F6*F9/100</f>
        <v>-253.21956332205</v>
      </c>
      <c r="G10" s="0" t="n">
        <f aca="false">-G6*G9/100</f>
        <v>-260.816150221712</v>
      </c>
      <c r="H10" s="0" t="n">
        <f aca="false">-H6*H9/100</f>
        <v>-268.640634728363</v>
      </c>
      <c r="I10" s="0" t="n">
        <f aca="false">-I6*I9/100</f>
        <v>-275.356650596572</v>
      </c>
      <c r="J10" s="0" t="n">
        <f aca="false">-J6*J9/100</f>
        <v>-282.240566861486</v>
      </c>
      <c r="K10" s="0" t="n">
        <f aca="false">-K6*K9/100</f>
        <v>-289.296581033023</v>
      </c>
      <c r="L10" s="0" t="n">
        <f aca="false">-L6*L9/100</f>
        <v>-296.528995558849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9821.021175</v>
      </c>
      <c r="D11" s="0" t="n">
        <f aca="false">D8+D10+D24</f>
        <v>10043.0767155</v>
      </c>
      <c r="E11" s="0" t="n">
        <f aca="false">E8+E10+E24</f>
        <v>9966.147115065</v>
      </c>
      <c r="F11" s="0" t="n">
        <f aca="false">F8+F10+F24</f>
        <v>10265.131528517</v>
      </c>
      <c r="G11" s="0" t="n">
        <f aca="false">G8+G10+G24</f>
        <v>10573.0854743725</v>
      </c>
      <c r="H11" s="0" t="n">
        <f aca="false">H8+H10+H24</f>
        <v>10890.2780386036</v>
      </c>
      <c r="I11" s="0" t="n">
        <f aca="false">I8+I10+I24</f>
        <v>11162.5349895687</v>
      </c>
      <c r="J11" s="0" t="n">
        <f aca="false">J8+J10+J24</f>
        <v>11441.5983643079</v>
      </c>
      <c r="K11" s="0" t="n">
        <f aca="false">K8+K10+K24</f>
        <v>11727.6383234156</v>
      </c>
      <c r="L11" s="0" t="n">
        <f aca="false">L8+L10+L24</f>
        <v>12020.829281501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-1558.89225</v>
      </c>
      <c r="D12" s="4" t="n">
        <f aca="false">-D6*Assumptions!D17/100</f>
        <v>-1615.705212</v>
      </c>
      <c r="E12" s="4" t="n">
        <f aca="false">-E6*Assumptions!E17/100</f>
        <v>-1588.53198798</v>
      </c>
      <c r="F12" s="4" t="n">
        <f aca="false">-F6*Assumptions!F17/100</f>
        <v>-1558.274235828</v>
      </c>
      <c r="G12" s="4" t="n">
        <f aca="false">-G6*Assumptions!G17/100</f>
        <v>-1524.7713397577</v>
      </c>
      <c r="H12" s="4" t="n">
        <f aca="false">-H6*Assumptions!H17/100</f>
        <v>-1529.18515153068</v>
      </c>
      <c r="I12" s="4" t="n">
        <f aca="false">-I6*Assumptions!I17/100</f>
        <v>-1525.05221868871</v>
      </c>
      <c r="J12" s="4" t="n">
        <f aca="false">-J6*Assumptions!J17/100</f>
        <v>-1563.17852415592</v>
      </c>
      <c r="K12" s="4" t="n">
        <f aca="false">-K6*Assumptions!K17/100</f>
        <v>-1602.25798725982</v>
      </c>
      <c r="L12" s="4" t="n">
        <f aca="false">-L6*Assumptions!L17/100</f>
        <v>-1642.31443694132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8262.128925</v>
      </c>
      <c r="D13" s="0" t="n">
        <f aca="false">D11+D12</f>
        <v>8427.3715035</v>
      </c>
      <c r="E13" s="0" t="n">
        <f aca="false">E11+E12</f>
        <v>8377.615127085</v>
      </c>
      <c r="F13" s="0" t="n">
        <f aca="false">F11+F12</f>
        <v>8706.85729268895</v>
      </c>
      <c r="G13" s="0" t="n">
        <f aca="false">G11+G12</f>
        <v>9048.31413461476</v>
      </c>
      <c r="H13" s="0" t="n">
        <f aca="false">H11+H12</f>
        <v>9361.09288707296</v>
      </c>
      <c r="I13" s="0" t="n">
        <f aca="false">I11+I12</f>
        <v>9637.48277088002</v>
      </c>
      <c r="J13" s="0" t="n">
        <f aca="false">J11+J12</f>
        <v>9878.41984015202</v>
      </c>
      <c r="K13" s="0" t="n">
        <f aca="false">K11+K12</f>
        <v>10125.3803361558</v>
      </c>
      <c r="L13" s="0" t="n">
        <f aca="false">L11+L12</f>
        <v>10378.5148445597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6279.217983</v>
      </c>
      <c r="D15" s="0" t="n">
        <f aca="false">D13-MAX(0,D13)*D14/100</f>
        <v>6404.80234266</v>
      </c>
      <c r="E15" s="0" t="n">
        <f aca="false">E13-MAX(0,E13)*E14/100</f>
        <v>6366.9874965846</v>
      </c>
      <c r="F15" s="0" t="n">
        <f aca="false">F13-MAX(0,F13)*F14/100</f>
        <v>6617.2115424436</v>
      </c>
      <c r="G15" s="0" t="n">
        <f aca="false">G13-MAX(0,G13)*G14/100</f>
        <v>6876.71874230722</v>
      </c>
      <c r="H15" s="0" t="n">
        <f aca="false">H13-MAX(0,H13)*H14/100</f>
        <v>7114.43059417545</v>
      </c>
      <c r="I15" s="0" t="n">
        <f aca="false">I13-MAX(0,I13)*I14/100</f>
        <v>7324.48690586882</v>
      </c>
      <c r="J15" s="0" t="n">
        <f aca="false">J13-MAX(0,J13)*J14/100</f>
        <v>7507.59907851553</v>
      </c>
      <c r="K15" s="0" t="n">
        <f aca="false">K13-MAX(0,K13)*K14/100</f>
        <v>7695.28905547842</v>
      </c>
      <c r="L15" s="0" t="n">
        <f aca="false">L13-MAX(0,L13)*L14/100</f>
        <v>7887.67128186538</v>
      </c>
    </row>
    <row r="16" customFormat="false" ht="15" hidden="false" customHeight="false" outlineLevel="0" collapsed="false">
      <c r="A16" s="0" t="s">
        <v>128</v>
      </c>
      <c r="C16" s="0" t="n">
        <f aca="false">-C12</f>
        <v>1558.89225</v>
      </c>
      <c r="D16" s="0" t="n">
        <f aca="false">-D12</f>
        <v>1615.705212</v>
      </c>
      <c r="E16" s="0" t="n">
        <f aca="false">-E12</f>
        <v>1588.53198798</v>
      </c>
      <c r="F16" s="0" t="n">
        <f aca="false">-F12</f>
        <v>1558.274235828</v>
      </c>
      <c r="G16" s="0" t="n">
        <f aca="false">-G12</f>
        <v>1524.7713397577</v>
      </c>
      <c r="H16" s="0" t="n">
        <f aca="false">-H12</f>
        <v>1529.18515153068</v>
      </c>
      <c r="I16" s="0" t="n">
        <f aca="false">-I12</f>
        <v>1525.05221868871</v>
      </c>
      <c r="J16" s="0" t="n">
        <f aca="false">-J12</f>
        <v>1563.17852415592</v>
      </c>
      <c r="K16" s="0" t="n">
        <f aca="false">-K12</f>
        <v>1602.25798725982</v>
      </c>
      <c r="L16" s="0" t="n">
        <f aca="false">-L12</f>
        <v>1642.31443694132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-1489.60815</v>
      </c>
      <c r="D17" s="4" t="n">
        <f aca="false">-D6*Assumptions!D18/100</f>
        <v>-1578.984639</v>
      </c>
      <c r="E17" s="4" t="n">
        <f aca="false">-E6*Assumptions!E18/100</f>
        <v>-1588.53198798</v>
      </c>
      <c r="F17" s="4" t="n">
        <f aca="false">-F6*Assumptions!F18/100</f>
        <v>-1597.2310917237</v>
      </c>
      <c r="G17" s="4" t="n">
        <f aca="false">-G6*Assumptions!G18/100</f>
        <v>-1645.14802447541</v>
      </c>
      <c r="H17" s="4" t="n">
        <f aca="false">-H6*Assumptions!H18/100</f>
        <v>-1653.17313678993</v>
      </c>
      <c r="I17" s="4" t="n">
        <f aca="false">-I6*Assumptions!I18/100</f>
        <v>-1694.50246520967</v>
      </c>
      <c r="J17" s="4" t="n">
        <f aca="false">-J6*Assumptions!J18/100</f>
        <v>-1736.86502683992</v>
      </c>
      <c r="K17" s="4" t="n">
        <f aca="false">-K6*Assumptions!K18/100</f>
        <v>-1780.28665251091</v>
      </c>
      <c r="L17" s="4" t="n">
        <f aca="false">-L6*Assumptions!L18/100</f>
        <v>-1824.79381882369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-1501.1555</v>
      </c>
      <c r="D18" s="4" t="n">
        <f aca="false">(D6-C6)*Assumptions!$B$23/100</f>
        <v>-270.20799</v>
      </c>
      <c r="E18" s="4" t="n">
        <f aca="false">(E6-D6)*Assumptions!$B$23/100</f>
        <v>-143.210234700001</v>
      </c>
      <c r="F18" s="4" t="n">
        <f aca="false">(F6-E6)*Assumptions!$B$23/100</f>
        <v>-147.506541741001</v>
      </c>
      <c r="G18" s="4" t="n">
        <f aca="false">(G6-F6)*Assumptions!$B$23/100</f>
        <v>-151.93173799323</v>
      </c>
      <c r="H18" s="4" t="n">
        <f aca="false">(H6-G6)*Assumptions!$B$23/100</f>
        <v>-156.489690133027</v>
      </c>
      <c r="I18" s="4" t="n">
        <f aca="false">(I6-H6)*Assumptions!$B$23/100</f>
        <v>-134.320317364181</v>
      </c>
      <c r="J18" s="4" t="n">
        <f aca="false">(J6-I6)*Assumptions!$B$23/100</f>
        <v>-137.678325298286</v>
      </c>
      <c r="K18" s="4" t="n">
        <f aca="false">(K6-J6)*Assumptions!$B$23/100</f>
        <v>-141.120283430742</v>
      </c>
      <c r="L18" s="4" t="n">
        <f aca="false">(L6-K6)*Assumptions!$B$23/100</f>
        <v>-144.648290516511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4847.346583</v>
      </c>
      <c r="D19" s="0" t="n">
        <f aca="false">D15+D16+D17+D18</f>
        <v>6171.31492566</v>
      </c>
      <c r="E19" s="0" t="n">
        <f aca="false">E15+E16+E17+E18</f>
        <v>6223.7772618846</v>
      </c>
      <c r="F19" s="0" t="n">
        <f aca="false">F15+F16+F17+F18</f>
        <v>6430.7481448069</v>
      </c>
      <c r="G19" s="0" t="n">
        <f aca="false">G15+G16+G17+G18</f>
        <v>6604.41031959628</v>
      </c>
      <c r="H19" s="0" t="n">
        <f aca="false">H15+H16+H17+H18</f>
        <v>6833.95291878317</v>
      </c>
      <c r="I19" s="0" t="n">
        <f aca="false">I15+I16+I17+I18</f>
        <v>7020.71634198367</v>
      </c>
      <c r="J19" s="0" t="n">
        <f aca="false">J15+J16+J17+J18</f>
        <v>7196.23425053326</v>
      </c>
      <c r="K19" s="0" t="n">
        <f aca="false">K15+K16+K17+K18</f>
        <v>7376.14010679659</v>
      </c>
      <c r="L19" s="0" t="n">
        <f aca="false">L15+L16+L17+L18</f>
        <v>7560.5436094665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4406.67871181818</v>
      </c>
      <c r="D21" s="0" t="n">
        <f aca="false">D19*D20</f>
        <v>5100.2602691405</v>
      </c>
      <c r="E21" s="0" t="n">
        <f aca="false">E19*E20</f>
        <v>4676.01597436859</v>
      </c>
      <c r="F21" s="0" t="n">
        <f aca="false">F19*F20</f>
        <v>4392.28751096708</v>
      </c>
      <c r="G21" s="0" t="n">
        <f aca="false">G19*G20</f>
        <v>4100.81919366926</v>
      </c>
      <c r="H21" s="0" t="n">
        <f aca="false">H19*H20</f>
        <v>3857.58826186802</v>
      </c>
      <c r="I21" s="0" t="n">
        <f aca="false">I19*I20</f>
        <v>3602.73758668391</v>
      </c>
      <c r="J21" s="0" t="n">
        <f aca="false">J19*J20</f>
        <v>3357.09638759182</v>
      </c>
      <c r="K21" s="0" t="n">
        <f aca="false">K19*K20</f>
        <v>3128.2034520742</v>
      </c>
      <c r="L21" s="0" t="n">
        <f aca="false">L19*L20</f>
        <v>2914.91685306914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39536.6042012507</v>
      </c>
    </row>
    <row r="31" customFormat="false" ht="15" hidden="false" customHeight="false" outlineLevel="0" collapsed="false">
      <c r="A31" s="0" t="s">
        <v>137</v>
      </c>
      <c r="B31" s="0" t="n">
        <f aca="false">L19</f>
        <v>7560.5436094665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96396.9310206979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98287.0669230645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96396.9310206979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37165.1898766315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76701.7940778822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62619.8940778822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48.5726761385993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-0.415350552014934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1583.19158888831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1457.64074557717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50.9313732643094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59321.1883204295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25.1531148573189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53</v>
      </c>
      <c r="D5" s="4" t="n">
        <f aca="false">Assumptions!D27</f>
        <v>14</v>
      </c>
      <c r="E5" s="4" t="n">
        <f aca="false">Assumptions!E27</f>
        <v>9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23094.7</v>
      </c>
      <c r="C6" s="0" t="n">
        <f aca="false">B6*(1+C5/100)</f>
        <v>35334.891</v>
      </c>
      <c r="D6" s="0" t="n">
        <f aca="false">C6*(1+D5/100)</f>
        <v>40281.77574</v>
      </c>
      <c r="E6" s="0" t="n">
        <f aca="false">D6*(1+E5/100)</f>
        <v>43907.1355566</v>
      </c>
      <c r="F6" s="0" t="n">
        <f aca="false">E6*(1+F5/100)</f>
        <v>46980.635045562</v>
      </c>
      <c r="G6" s="0" t="n">
        <f aca="false">F6*(1+G5/100)</f>
        <v>49799.4731482957</v>
      </c>
      <c r="H6" s="0" t="n">
        <f aca="false">G6*(1+H5/100)</f>
        <v>52538.444171452</v>
      </c>
      <c r="I6" s="0" t="n">
        <f aca="false">H6*(1+I5/100)</f>
        <v>55165.3663800246</v>
      </c>
      <c r="J6" s="0" t="n">
        <f aca="false">I6*(1+J5/100)</f>
        <v>57647.8078671257</v>
      </c>
      <c r="K6" s="0" t="n">
        <f aca="false">J6*(1+K5/100)</f>
        <v>59953.7201818107</v>
      </c>
      <c r="L6" s="0" t="n">
        <f aca="false">K6*(1+L5/100)</f>
        <v>62052.1003881741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30</v>
      </c>
      <c r="D7" s="4" t="n">
        <f aca="false">Assumptions!D28</f>
        <v>30.8</v>
      </c>
      <c r="E7" s="4" t="n">
        <f aca="false">Assumptions!E28</f>
        <v>31.3</v>
      </c>
      <c r="F7" s="4" t="n">
        <f aca="false">Assumptions!F28</f>
        <v>31.7</v>
      </c>
      <c r="G7" s="4" t="n">
        <f aca="false">Assumptions!G28</f>
        <v>32</v>
      </c>
      <c r="H7" s="4" t="n">
        <f aca="false">Assumptions!H28</f>
        <v>32.2</v>
      </c>
      <c r="I7" s="4" t="n">
        <f aca="false">Assumptions!I28</f>
        <v>32.3</v>
      </c>
      <c r="J7" s="4" t="n">
        <f aca="false">Assumptions!J28</f>
        <v>32.4</v>
      </c>
      <c r="K7" s="4" t="n">
        <f aca="false">Assumptions!K28</f>
        <v>32.5</v>
      </c>
      <c r="L7" s="4" t="n">
        <f aca="false">Assumptions!L28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10600.4673</v>
      </c>
      <c r="D8" s="0" t="n">
        <f aca="false">D6*D7/100</f>
        <v>12406.78692792</v>
      </c>
      <c r="E8" s="0" t="n">
        <f aca="false">E6*E7/100</f>
        <v>13742.9334292158</v>
      </c>
      <c r="F8" s="0" t="n">
        <f aca="false">F6*F7/100</f>
        <v>14892.8613094432</v>
      </c>
      <c r="G8" s="0" t="n">
        <f aca="false">G6*G7/100</f>
        <v>15935.8314074546</v>
      </c>
      <c r="H8" s="0" t="n">
        <f aca="false">H6*H7/100</f>
        <v>16917.3790232075</v>
      </c>
      <c r="I8" s="0" t="n">
        <f aca="false">I6*I7/100</f>
        <v>17818.4133407479</v>
      </c>
      <c r="J8" s="0" t="n">
        <f aca="false">J6*J7/100</f>
        <v>18677.8897489487</v>
      </c>
      <c r="K8" s="0" t="n">
        <f aca="false">K6*K7/100</f>
        <v>19484.9590590885</v>
      </c>
      <c r="L8" s="0" t="n">
        <f aca="false">L6*L7/100</f>
        <v>20166.9326261566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0.62</v>
      </c>
      <c r="D9" s="4" t="n">
        <f aca="false">Assumptions!D29</f>
        <v>0.6</v>
      </c>
      <c r="E9" s="4" t="n">
        <f aca="false">Assumptions!E29</f>
        <v>0.58</v>
      </c>
      <c r="F9" s="4" t="n">
        <f aca="false">Assumptions!F29</f>
        <v>0.56</v>
      </c>
      <c r="G9" s="4" t="n">
        <f aca="false">Assumptions!G29</f>
        <v>0.55</v>
      </c>
      <c r="H9" s="4" t="n">
        <f aca="false">Assumptions!H29</f>
        <v>0.54</v>
      </c>
      <c r="I9" s="4" t="n">
        <f aca="false">Assumptions!I29</f>
        <v>0.53</v>
      </c>
      <c r="J9" s="4" t="n">
        <f aca="false">Assumptions!J29</f>
        <v>0.52</v>
      </c>
      <c r="K9" s="4" t="n">
        <f aca="false">Assumptions!K29</f>
        <v>0.52</v>
      </c>
      <c r="L9" s="4" t="n">
        <f aca="false">Assumptions!L29</f>
        <v>0.52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-219.0763242</v>
      </c>
      <c r="D10" s="0" t="n">
        <f aca="false">-D6*D9/100</f>
        <v>-241.69065444</v>
      </c>
      <c r="E10" s="0" t="n">
        <f aca="false">-E6*E9/100</f>
        <v>-254.66138622828</v>
      </c>
      <c r="F10" s="0" t="n">
        <f aca="false">-F6*F9/100</f>
        <v>-263.091556255147</v>
      </c>
      <c r="G10" s="0" t="n">
        <f aca="false">-G6*G9/100</f>
        <v>-273.897102315627</v>
      </c>
      <c r="H10" s="0" t="n">
        <f aca="false">-H6*H9/100</f>
        <v>-283.707598525841</v>
      </c>
      <c r="I10" s="0" t="n">
        <f aca="false">-I6*I9/100</f>
        <v>-292.37644181413</v>
      </c>
      <c r="J10" s="0" t="n">
        <f aca="false">-J6*J9/100</f>
        <v>-299.768600909054</v>
      </c>
      <c r="K10" s="0" t="n">
        <f aca="false">-K6*K9/100</f>
        <v>-311.759344945416</v>
      </c>
      <c r="L10" s="0" t="n">
        <f aca="false">-L6*L9/100</f>
        <v>-322.670922018505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10381.3909758</v>
      </c>
      <c r="D11" s="0" t="n">
        <f aca="false">D8+D10+D24</f>
        <v>12165.09627348</v>
      </c>
      <c r="E11" s="0" t="n">
        <f aca="false">E8+E10+E24</f>
        <v>13488.2720429875</v>
      </c>
      <c r="F11" s="0" t="n">
        <f aca="false">F8+F10+F24</f>
        <v>14629.769753188</v>
      </c>
      <c r="G11" s="0" t="n">
        <f aca="false">G8+G10+G24</f>
        <v>15661.934305139</v>
      </c>
      <c r="H11" s="0" t="n">
        <f aca="false">H8+H10+H24</f>
        <v>16633.6714246817</v>
      </c>
      <c r="I11" s="0" t="n">
        <f aca="false">I8+I10+I24</f>
        <v>17526.0368989338</v>
      </c>
      <c r="J11" s="0" t="n">
        <f aca="false">J8+J10+J24</f>
        <v>18378.1211480397</v>
      </c>
      <c r="K11" s="0" t="n">
        <f aca="false">K8+K10+K24</f>
        <v>19173.1997141431</v>
      </c>
      <c r="L11" s="0" t="n">
        <f aca="false">L8+L10+L24</f>
        <v>19844.2617041381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-1519.400313</v>
      </c>
      <c r="D12" s="4" t="n">
        <f aca="false">-D6*Assumptions!D31/100</f>
        <v>-1651.55280534</v>
      </c>
      <c r="E12" s="4" t="n">
        <f aca="false">-E6*Assumptions!E31/100</f>
        <v>-1712.3782867074</v>
      </c>
      <c r="F12" s="4" t="n">
        <f aca="false">-F6*Assumptions!F31/100</f>
        <v>-1738.28349668579</v>
      </c>
      <c r="G12" s="4" t="n">
        <f aca="false">-G6*Assumptions!G31/100</f>
        <v>-1792.78103333865</v>
      </c>
      <c r="H12" s="4" t="n">
        <f aca="false">-H6*Assumptions!H31/100</f>
        <v>-1838.84554600082</v>
      </c>
      <c r="I12" s="4" t="n">
        <f aca="false">-I6*Assumptions!I31/100</f>
        <v>-1875.62245692084</v>
      </c>
      <c r="J12" s="4" t="n">
        <f aca="false">-J6*Assumptions!J31/100</f>
        <v>-1960.02546748227</v>
      </c>
      <c r="K12" s="4" t="n">
        <f aca="false">-K6*Assumptions!K31/100</f>
        <v>-2038.42648618157</v>
      </c>
      <c r="L12" s="4" t="n">
        <f aca="false">-L6*Assumptions!L31/100</f>
        <v>-2109.77141319792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8861.9906628</v>
      </c>
      <c r="D13" s="0" t="n">
        <f aca="false">D11+D12</f>
        <v>10513.54346814</v>
      </c>
      <c r="E13" s="0" t="n">
        <f aca="false">E11+E12</f>
        <v>11775.8937562801</v>
      </c>
      <c r="F13" s="0" t="n">
        <f aca="false">F11+F12</f>
        <v>12891.4862565022</v>
      </c>
      <c r="G13" s="0" t="n">
        <f aca="false">G11+G12</f>
        <v>13869.1532718004</v>
      </c>
      <c r="H13" s="0" t="n">
        <f aca="false">H11+H12</f>
        <v>14794.8258786809</v>
      </c>
      <c r="I13" s="0" t="n">
        <f aca="false">I11+I12</f>
        <v>15650.414442013</v>
      </c>
      <c r="J13" s="0" t="n">
        <f aca="false">J11+J12</f>
        <v>16418.0956805574</v>
      </c>
      <c r="K13" s="0" t="n">
        <f aca="false">K11+K12</f>
        <v>17134.7732279615</v>
      </c>
      <c r="L13" s="0" t="n">
        <f aca="false">L11+L12</f>
        <v>17734.4902909402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6823.732810356</v>
      </c>
      <c r="D15" s="0" t="n">
        <f aca="false">D13-MAX(0,D13)*D14/100</f>
        <v>8095.4284704678</v>
      </c>
      <c r="E15" s="0" t="n">
        <f aca="false">E13-MAX(0,E13)*E14/100</f>
        <v>9067.43819233569</v>
      </c>
      <c r="F15" s="0" t="n">
        <f aca="false">F13-MAX(0,F13)*F14/100</f>
        <v>9926.44441750671</v>
      </c>
      <c r="G15" s="0" t="n">
        <f aca="false">G13-MAX(0,G13)*G14/100</f>
        <v>10679.2480192863</v>
      </c>
      <c r="H15" s="0" t="n">
        <f aca="false">H13-MAX(0,H13)*H14/100</f>
        <v>11392.0159265843</v>
      </c>
      <c r="I15" s="0" t="n">
        <f aca="false">I13-MAX(0,I13)*I14/100</f>
        <v>12050.81912035</v>
      </c>
      <c r="J15" s="0" t="n">
        <f aca="false">J13-MAX(0,J13)*J14/100</f>
        <v>12641.9336740292</v>
      </c>
      <c r="K15" s="0" t="n">
        <f aca="false">K13-MAX(0,K13)*K14/100</f>
        <v>13193.7753855304</v>
      </c>
      <c r="L15" s="0" t="n">
        <f aca="false">L13-MAX(0,L13)*L14/100</f>
        <v>13655.5575240239</v>
      </c>
    </row>
    <row r="16" customFormat="false" ht="15" hidden="false" customHeight="false" outlineLevel="0" collapsed="false">
      <c r="A16" s="0" t="s">
        <v>128</v>
      </c>
      <c r="C16" s="0" t="n">
        <f aca="false">-C12</f>
        <v>1519.400313</v>
      </c>
      <c r="D16" s="0" t="n">
        <f aca="false">-D12</f>
        <v>1651.55280534</v>
      </c>
      <c r="E16" s="0" t="n">
        <f aca="false">-E12</f>
        <v>1712.3782867074</v>
      </c>
      <c r="F16" s="0" t="n">
        <f aca="false">-F12</f>
        <v>1738.28349668579</v>
      </c>
      <c r="G16" s="0" t="n">
        <f aca="false">-G12</f>
        <v>1792.78103333865</v>
      </c>
      <c r="H16" s="0" t="n">
        <f aca="false">-H12</f>
        <v>1838.84554600082</v>
      </c>
      <c r="I16" s="0" t="n">
        <f aca="false">-I12</f>
        <v>1875.62245692084</v>
      </c>
      <c r="J16" s="0" t="n">
        <f aca="false">-J12</f>
        <v>1960.02546748227</v>
      </c>
      <c r="K16" s="0" t="n">
        <f aca="false">-K12</f>
        <v>2038.42648618157</v>
      </c>
      <c r="L16" s="0" t="n">
        <f aca="false">-L12</f>
        <v>2109.77141319792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-1484.065422</v>
      </c>
      <c r="D17" s="4" t="n">
        <f aca="false">-D6*Assumptions!D32/100</f>
        <v>-1651.55280534</v>
      </c>
      <c r="E17" s="4" t="n">
        <f aca="false">-E6*Assumptions!E32/100</f>
        <v>-1756.285422264</v>
      </c>
      <c r="F17" s="4" t="n">
        <f aca="false">-F6*Assumptions!F32/100</f>
        <v>-1832.24476677692</v>
      </c>
      <c r="G17" s="4" t="n">
        <f aca="false">-G6*Assumptions!G32/100</f>
        <v>-1942.17945278353</v>
      </c>
      <c r="H17" s="4" t="n">
        <f aca="false">-H6*Assumptions!H32/100</f>
        <v>-1996.46087851518</v>
      </c>
      <c r="I17" s="4" t="n">
        <f aca="false">-I6*Assumptions!I32/100</f>
        <v>-2096.28392244093</v>
      </c>
      <c r="J17" s="4" t="n">
        <f aca="false">-J6*Assumptions!J32/100</f>
        <v>-2190.61669895078</v>
      </c>
      <c r="K17" s="4" t="n">
        <f aca="false">-K6*Assumptions!K32/100</f>
        <v>-2278.24136690881</v>
      </c>
      <c r="L17" s="4" t="n">
        <f aca="false">-L6*Assumptions!L32/100</f>
        <v>-2357.97981475062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-1224.0191</v>
      </c>
      <c r="D18" s="4" t="n">
        <f aca="false">(D6-C6)*Assumptions!$B$37/100</f>
        <v>-494.688474</v>
      </c>
      <c r="E18" s="4" t="n">
        <f aca="false">(E6-D6)*Assumptions!$B$37/100</f>
        <v>-362.53598166</v>
      </c>
      <c r="F18" s="4" t="n">
        <f aca="false">(F6-E6)*Assumptions!$B$37/100</f>
        <v>-307.349948896201</v>
      </c>
      <c r="G18" s="4" t="n">
        <f aca="false">(G6-F6)*Assumptions!$B$37/100</f>
        <v>-281.883810273372</v>
      </c>
      <c r="H18" s="4" t="n">
        <f aca="false">(H6-G6)*Assumptions!$B$37/100</f>
        <v>-273.897102315626</v>
      </c>
      <c r="I18" s="4" t="n">
        <f aca="false">(I6-H6)*Assumptions!$B$37/100</f>
        <v>-262.69222085726</v>
      </c>
      <c r="J18" s="4" t="n">
        <f aca="false">(J6-I6)*Assumptions!$B$37/100</f>
        <v>-248.24414871011</v>
      </c>
      <c r="K18" s="4" t="n">
        <f aca="false">(K6-J6)*Assumptions!$B$37/100</f>
        <v>-230.591231468503</v>
      </c>
      <c r="L18" s="4" t="n">
        <f aca="false">(L6-K6)*Assumptions!$B$37/100</f>
        <v>-209.838020636337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5635.048601356</v>
      </c>
      <c r="D19" s="0" t="n">
        <f aca="false">D15+D16+D17+D18</f>
        <v>7600.7399964678</v>
      </c>
      <c r="E19" s="0" t="n">
        <f aca="false">E15+E16+E17+E18</f>
        <v>8660.9950751191</v>
      </c>
      <c r="F19" s="0" t="n">
        <f aca="false">F15+F16+F17+F18</f>
        <v>9525.13319851938</v>
      </c>
      <c r="G19" s="0" t="n">
        <f aca="false">G15+G16+G17+G18</f>
        <v>10247.965789568</v>
      </c>
      <c r="H19" s="0" t="n">
        <f aca="false">H15+H16+H17+H18</f>
        <v>10960.5034917543</v>
      </c>
      <c r="I19" s="0" t="n">
        <f aca="false">I15+I16+I17+I18</f>
        <v>11567.4654339726</v>
      </c>
      <c r="J19" s="0" t="n">
        <f aca="false">J15+J16+J17+J18</f>
        <v>12163.0982938506</v>
      </c>
      <c r="K19" s="0" t="n">
        <f aca="false">K15+K16+K17+K18</f>
        <v>12723.3692733346</v>
      </c>
      <c r="L19" s="0" t="n">
        <f aca="false">L15+L16+L17+L18</f>
        <v>13197.5111018349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5193.59318097327</v>
      </c>
      <c r="D21" s="0" t="n">
        <f aca="false">D19*D20</f>
        <v>6456.48877357158</v>
      </c>
      <c r="E21" s="0" t="n">
        <f aca="false">E19*E20</f>
        <v>6780.7631847794</v>
      </c>
      <c r="F21" s="0" t="n">
        <f aca="false">F19*F20</f>
        <v>6873.09117027854</v>
      </c>
      <c r="G21" s="0" t="n">
        <f aca="false">G19*G20</f>
        <v>6815.36274636868</v>
      </c>
      <c r="H21" s="0" t="n">
        <f aca="false">H19*H20</f>
        <v>6718.18680564804</v>
      </c>
      <c r="I21" s="0" t="n">
        <f aca="false">I19*I20</f>
        <v>6534.76603530395</v>
      </c>
      <c r="J21" s="0" t="n">
        <f aca="false">J19*J20</f>
        <v>6332.95367118445</v>
      </c>
      <c r="K21" s="0" t="n">
        <f aca="false">K19*K20</f>
        <v>6105.68631580106</v>
      </c>
      <c r="L21" s="0" t="n">
        <f aca="false">L19*L20</f>
        <v>5837.06667512908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63647.958559038</v>
      </c>
    </row>
    <row r="31" customFormat="false" ht="15" hidden="false" customHeight="false" outlineLevel="0" collapsed="false">
      <c r="A31" s="0" t="s">
        <v>137</v>
      </c>
      <c r="B31" s="0" t="n">
        <f aca="false">L19</f>
        <v>13197.5111018349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247153.389725272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237555.199833028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237555.199833028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105067.200152323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168715.158711361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154633.258711361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119.945127762458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0.443730473789823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1766.05794820245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2672.61858082275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123.388097456086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113278.636957416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47.1177977808252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56</v>
      </c>
      <c r="D5" s="4" t="n">
        <f aca="false">Assumptions!D41</f>
        <v>20</v>
      </c>
      <c r="E5" s="4" t="n">
        <f aca="false">Assumptions!E41</f>
        <v>14</v>
      </c>
      <c r="F5" s="4" t="n">
        <f aca="false">Assumptions!F41</f>
        <v>11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23094.7</v>
      </c>
      <c r="C6" s="0" t="n">
        <f aca="false">B6*(1+C5/100)</f>
        <v>36027.732</v>
      </c>
      <c r="D6" s="0" t="n">
        <f aca="false">C6*(1+D5/100)</f>
        <v>43233.2784</v>
      </c>
      <c r="E6" s="0" t="n">
        <f aca="false">D6*(1+E5/100)</f>
        <v>49285.937376</v>
      </c>
      <c r="F6" s="0" t="n">
        <f aca="false">E6*(1+F5/100)</f>
        <v>54707.39048736</v>
      </c>
      <c r="G6" s="0" t="n">
        <f aca="false">F6*(1+G5/100)</f>
        <v>59631.0556312224</v>
      </c>
      <c r="H6" s="0" t="n">
        <f aca="false">G6*(1+H5/100)</f>
        <v>64401.5400817202</v>
      </c>
      <c r="I6" s="0" t="n">
        <f aca="false">H6*(1+I5/100)</f>
        <v>68909.6478874406</v>
      </c>
      <c r="J6" s="0" t="n">
        <f aca="false">I6*(1+J5/100)</f>
        <v>73044.2267606871</v>
      </c>
      <c r="K6" s="0" t="n">
        <f aca="false">J6*(1+K5/100)</f>
        <v>76696.4380987214</v>
      </c>
      <c r="L6" s="0" t="n">
        <f aca="false">K6*(1+L5/100)</f>
        <v>80147.7778131639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30.5</v>
      </c>
      <c r="D7" s="4" t="n">
        <f aca="false">Assumptions!D42</f>
        <v>31.5</v>
      </c>
      <c r="E7" s="4" t="n">
        <f aca="false">Assumptions!E42</f>
        <v>32.3</v>
      </c>
      <c r="F7" s="4" t="n">
        <f aca="false">Assumptions!F42</f>
        <v>33</v>
      </c>
      <c r="G7" s="4" t="n">
        <f aca="false">Assumptions!G42</f>
        <v>33.5</v>
      </c>
      <c r="H7" s="4" t="n">
        <f aca="false">Assumptions!H42</f>
        <v>34</v>
      </c>
      <c r="I7" s="4" t="n">
        <f aca="false">Assumptions!I42</f>
        <v>34.3</v>
      </c>
      <c r="J7" s="4" t="n">
        <f aca="false">Assumptions!J42</f>
        <v>34.5</v>
      </c>
      <c r="K7" s="4" t="n">
        <f aca="false">Assumptions!K42</f>
        <v>34.7</v>
      </c>
      <c r="L7" s="4" t="n">
        <f aca="false">Assumptions!L42</f>
        <v>34.8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10988.45826</v>
      </c>
      <c r="D8" s="0" t="n">
        <f aca="false">D6*D7/100</f>
        <v>13618.482696</v>
      </c>
      <c r="E8" s="0" t="n">
        <f aca="false">E6*E7/100</f>
        <v>15919.357772448</v>
      </c>
      <c r="F8" s="0" t="n">
        <f aca="false">F6*F7/100</f>
        <v>18053.4388608288</v>
      </c>
      <c r="G8" s="0" t="n">
        <f aca="false">G6*G7/100</f>
        <v>19976.4036364595</v>
      </c>
      <c r="H8" s="0" t="n">
        <f aca="false">H6*H7/100</f>
        <v>21896.5236277849</v>
      </c>
      <c r="I8" s="0" t="n">
        <f aca="false">I6*I7/100</f>
        <v>23636.0092253921</v>
      </c>
      <c r="J8" s="0" t="n">
        <f aca="false">J6*J7/100</f>
        <v>25200.258232437</v>
      </c>
      <c r="K8" s="0" t="n">
        <f aca="false">K6*K7/100</f>
        <v>26613.6640202563</v>
      </c>
      <c r="L8" s="0" t="n">
        <f aca="false">L6*L7/100</f>
        <v>27891.426678981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0.6</v>
      </c>
      <c r="D9" s="4" t="n">
        <f aca="false">Assumptions!D43</f>
        <v>0.57</v>
      </c>
      <c r="E9" s="4" t="n">
        <f aca="false">Assumptions!E43</f>
        <v>0.55</v>
      </c>
      <c r="F9" s="4" t="n">
        <f aca="false">Assumptions!F43</f>
        <v>0.53</v>
      </c>
      <c r="G9" s="4" t="n">
        <f aca="false">Assumptions!G43</f>
        <v>0.52</v>
      </c>
      <c r="H9" s="4" t="n">
        <f aca="false">Assumptions!H43</f>
        <v>0.51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-216.166392</v>
      </c>
      <c r="D10" s="0" t="n">
        <f aca="false">-D6*D9/100</f>
        <v>-246.42968688</v>
      </c>
      <c r="E10" s="0" t="n">
        <f aca="false">-E6*E9/100</f>
        <v>-271.072655568</v>
      </c>
      <c r="F10" s="0" t="n">
        <f aca="false">-F6*F9/100</f>
        <v>-289.949169583008</v>
      </c>
      <c r="G10" s="0" t="n">
        <f aca="false">-G6*G9/100</f>
        <v>-310.081489282357</v>
      </c>
      <c r="H10" s="0" t="n">
        <f aca="false">-H6*H9/100</f>
        <v>-328.447854416773</v>
      </c>
      <c r="I10" s="0" t="n">
        <f aca="false">-I6*I9/100</f>
        <v>-344.548239437203</v>
      </c>
      <c r="J10" s="0" t="n">
        <f aca="false">-J6*J9/100</f>
        <v>-365.221133803435</v>
      </c>
      <c r="K10" s="0" t="n">
        <f aca="false">-K6*K9/100</f>
        <v>-383.482190493607</v>
      </c>
      <c r="L10" s="0" t="n">
        <f aca="false">-L6*L9/100</f>
        <v>-400.738889065819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10772.291868</v>
      </c>
      <c r="D11" s="0" t="n">
        <f aca="false">D8+D10+D24</f>
        <v>13372.05300912</v>
      </c>
      <c r="E11" s="0" t="n">
        <f aca="false">E8+E10+E24</f>
        <v>15648.28511688</v>
      </c>
      <c r="F11" s="0" t="n">
        <f aca="false">F8+F10+F24</f>
        <v>17763.4896912458</v>
      </c>
      <c r="G11" s="0" t="n">
        <f aca="false">G8+G10+G24</f>
        <v>19666.3221471772</v>
      </c>
      <c r="H11" s="0" t="n">
        <f aca="false">H8+H10+H24</f>
        <v>21568.0757733681</v>
      </c>
      <c r="I11" s="0" t="n">
        <f aca="false">I8+I10+I24</f>
        <v>23291.4609859549</v>
      </c>
      <c r="J11" s="0" t="n">
        <f aca="false">J8+J10+J24</f>
        <v>24835.0370986336</v>
      </c>
      <c r="K11" s="0" t="n">
        <f aca="false">K8+K10+K24</f>
        <v>26230.1818297627</v>
      </c>
      <c r="L11" s="0" t="n">
        <f aca="false">L8+L10+L24</f>
        <v>27490.6877899152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-1513.164744</v>
      </c>
      <c r="D12" s="4" t="n">
        <f aca="false">-D6*Assumptions!D45/100</f>
        <v>-1686.0978576</v>
      </c>
      <c r="E12" s="4" t="n">
        <f aca="false">-E6*Assumptions!E45/100</f>
        <v>-1823.579682912</v>
      </c>
      <c r="F12" s="4" t="n">
        <f aca="false">-F6*Assumptions!F45/100</f>
        <v>-1914.7586670576</v>
      </c>
      <c r="G12" s="4" t="n">
        <f aca="false">-G6*Assumptions!G45/100</f>
        <v>-2027.45589146156</v>
      </c>
      <c r="H12" s="4" t="n">
        <f aca="false">-H6*Assumptions!H45/100</f>
        <v>-2125.25082269677</v>
      </c>
      <c r="I12" s="4" t="n">
        <f aca="false">-I6*Assumptions!I45/100</f>
        <v>-2274.01838028554</v>
      </c>
      <c r="J12" s="4" t="n">
        <f aca="false">-J6*Assumptions!J45/100</f>
        <v>-2410.45948310267</v>
      </c>
      <c r="K12" s="4" t="n">
        <f aca="false">-K6*Assumptions!K45/100</f>
        <v>-2530.98245725781</v>
      </c>
      <c r="L12" s="4" t="n">
        <f aca="false">-L6*Assumptions!L45/100</f>
        <v>-2644.87666783441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9259.127124</v>
      </c>
      <c r="D13" s="0" t="n">
        <f aca="false">D11+D12</f>
        <v>11685.95515152</v>
      </c>
      <c r="E13" s="0" t="n">
        <f aca="false">E11+E12</f>
        <v>13824.705433968</v>
      </c>
      <c r="F13" s="0" t="n">
        <f aca="false">F11+F12</f>
        <v>15848.7310241882</v>
      </c>
      <c r="G13" s="0" t="n">
        <f aca="false">G11+G12</f>
        <v>17638.8662557156</v>
      </c>
      <c r="H13" s="0" t="n">
        <f aca="false">H11+H12</f>
        <v>19442.8249506713</v>
      </c>
      <c r="I13" s="0" t="n">
        <f aca="false">I11+I12</f>
        <v>21017.4426056694</v>
      </c>
      <c r="J13" s="0" t="n">
        <f aca="false">J11+J12</f>
        <v>22424.5776155309</v>
      </c>
      <c r="K13" s="0" t="n">
        <f aca="false">K11+K12</f>
        <v>23699.1993725049</v>
      </c>
      <c r="L13" s="0" t="n">
        <f aca="false">L11+L12</f>
        <v>24845.8111220808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22.5</v>
      </c>
      <c r="D14" s="4" t="n">
        <f aca="false">Assumptions!D47</f>
        <v>22.5</v>
      </c>
      <c r="E14" s="4" t="n">
        <f aca="false">Assumptions!E47</f>
        <v>22.5</v>
      </c>
      <c r="F14" s="4" t="n">
        <f aca="false">Assumptions!F47</f>
        <v>22.5</v>
      </c>
      <c r="G14" s="4" t="n">
        <f aca="false">Assumptions!G47</f>
        <v>22.5</v>
      </c>
      <c r="H14" s="4" t="n">
        <f aca="false">Assumptions!H47</f>
        <v>22.5</v>
      </c>
      <c r="I14" s="4" t="n">
        <f aca="false">Assumptions!I47</f>
        <v>22.5</v>
      </c>
      <c r="J14" s="4" t="n">
        <f aca="false">Assumptions!J47</f>
        <v>22.5</v>
      </c>
      <c r="K14" s="4" t="n">
        <f aca="false">Assumptions!K47</f>
        <v>22.5</v>
      </c>
      <c r="L14" s="4" t="n">
        <f aca="false">Assumptions!L47</f>
        <v>22.5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7175.8235211</v>
      </c>
      <c r="D15" s="0" t="n">
        <f aca="false">D13-MAX(0,D13)*D14/100</f>
        <v>9056.615242428</v>
      </c>
      <c r="E15" s="0" t="n">
        <f aca="false">E13-MAX(0,E13)*E14/100</f>
        <v>10714.1467113252</v>
      </c>
      <c r="F15" s="0" t="n">
        <f aca="false">F13-MAX(0,F13)*F14/100</f>
        <v>12282.7665437459</v>
      </c>
      <c r="G15" s="0" t="n">
        <f aca="false">G13-MAX(0,G13)*G14/100</f>
        <v>13670.1213481796</v>
      </c>
      <c r="H15" s="0" t="n">
        <f aca="false">H13-MAX(0,H13)*H14/100</f>
        <v>15068.1893367703</v>
      </c>
      <c r="I15" s="0" t="n">
        <f aca="false">I13-MAX(0,I13)*I14/100</f>
        <v>16288.5180193938</v>
      </c>
      <c r="J15" s="0" t="n">
        <f aca="false">J13-MAX(0,J13)*J14/100</f>
        <v>17379.0476520365</v>
      </c>
      <c r="K15" s="0" t="n">
        <f aca="false">K13-MAX(0,K13)*K14/100</f>
        <v>18366.8795136913</v>
      </c>
      <c r="L15" s="0" t="n">
        <f aca="false">L13-MAX(0,L13)*L14/100</f>
        <v>19255.5036196126</v>
      </c>
    </row>
    <row r="16" customFormat="false" ht="15" hidden="false" customHeight="false" outlineLevel="0" collapsed="false">
      <c r="A16" s="0" t="s">
        <v>128</v>
      </c>
      <c r="C16" s="0" t="n">
        <f aca="false">-C12</f>
        <v>1513.164744</v>
      </c>
      <c r="D16" s="0" t="n">
        <f aca="false">-D12</f>
        <v>1686.0978576</v>
      </c>
      <c r="E16" s="0" t="n">
        <f aca="false">-E12</f>
        <v>1823.579682912</v>
      </c>
      <c r="F16" s="0" t="n">
        <f aca="false">-F12</f>
        <v>1914.7586670576</v>
      </c>
      <c r="G16" s="0" t="n">
        <f aca="false">-G12</f>
        <v>2027.45589146156</v>
      </c>
      <c r="H16" s="0" t="n">
        <f aca="false">-H12</f>
        <v>2125.25082269677</v>
      </c>
      <c r="I16" s="0" t="n">
        <f aca="false">-I12</f>
        <v>2274.01838028554</v>
      </c>
      <c r="J16" s="0" t="n">
        <f aca="false">-J12</f>
        <v>2410.45948310267</v>
      </c>
      <c r="K16" s="0" t="n">
        <f aca="false">-K12</f>
        <v>2530.98245725781</v>
      </c>
      <c r="L16" s="0" t="n">
        <f aca="false">-L12</f>
        <v>2644.87666783441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-1477.137012</v>
      </c>
      <c r="D17" s="4" t="n">
        <f aca="false">-D6*Assumptions!D46/100</f>
        <v>-1729.331136</v>
      </c>
      <c r="E17" s="4" t="n">
        <f aca="false">-E6*Assumptions!E46/100</f>
        <v>-1922.151557664</v>
      </c>
      <c r="F17" s="4" t="n">
        <f aca="false">-F6*Assumptions!F46/100</f>
        <v>-2078.88083851968</v>
      </c>
      <c r="G17" s="4" t="n">
        <f aca="false">-G6*Assumptions!G46/100</f>
        <v>-2265.98011398645</v>
      </c>
      <c r="H17" s="4" t="n">
        <f aca="false">-H6*Assumptions!H46/100</f>
        <v>-2382.85698302365</v>
      </c>
      <c r="I17" s="4" t="n">
        <f aca="false">-I6*Assumptions!I46/100</f>
        <v>-2549.6569718353</v>
      </c>
      <c r="J17" s="4" t="n">
        <f aca="false">-J6*Assumptions!J46/100</f>
        <v>-2702.63639014542</v>
      </c>
      <c r="K17" s="4" t="n">
        <f aca="false">-K6*Assumptions!K46/100</f>
        <v>-2837.76820965269</v>
      </c>
      <c r="L17" s="4" t="n">
        <f aca="false">-L6*Assumptions!L46/100</f>
        <v>-2965.46777908706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-1034.64256</v>
      </c>
      <c r="D18" s="4" t="n">
        <f aca="false">(D6-C6)*Assumptions!$B$51/100</f>
        <v>-576.443712</v>
      </c>
      <c r="E18" s="4" t="n">
        <f aca="false">(E6-D6)*Assumptions!$B$51/100</f>
        <v>-484.212718080001</v>
      </c>
      <c r="F18" s="4" t="n">
        <f aca="false">(F6-E6)*Assumptions!$B$51/100</f>
        <v>-433.7162489088</v>
      </c>
      <c r="G18" s="4" t="n">
        <f aca="false">(G6-F6)*Assumptions!$B$51/100</f>
        <v>-393.893211508992</v>
      </c>
      <c r="H18" s="4" t="n">
        <f aca="false">(H6-G6)*Assumptions!$B$51/100</f>
        <v>-381.638756039824</v>
      </c>
      <c r="I18" s="4" t="n">
        <f aca="false">(I6-H6)*Assumptions!$B$51/100</f>
        <v>-360.648624457634</v>
      </c>
      <c r="J18" s="4" t="n">
        <f aca="false">(J6-I6)*Assumptions!$B$51/100</f>
        <v>-330.766309859715</v>
      </c>
      <c r="K18" s="4" t="n">
        <f aca="false">(K6-J6)*Assumptions!$B$51/100</f>
        <v>-292.176907042748</v>
      </c>
      <c r="L18" s="4" t="n">
        <f aca="false">(L6-K6)*Assumptions!$B$51/100</f>
        <v>-276.107177155396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6177.2086931</v>
      </c>
      <c r="D19" s="0" t="n">
        <f aca="false">D15+D16+D17+D18</f>
        <v>8436.938252028</v>
      </c>
      <c r="E19" s="0" t="n">
        <f aca="false">E15+E16+E17+E18</f>
        <v>10131.3621184932</v>
      </c>
      <c r="F19" s="0" t="n">
        <f aca="false">F15+F16+F17+F18</f>
        <v>11684.928123375</v>
      </c>
      <c r="G19" s="0" t="n">
        <f aca="false">G15+G16+G17+G18</f>
        <v>13037.7039141457</v>
      </c>
      <c r="H19" s="0" t="n">
        <f aca="false">H15+H16+H17+H18</f>
        <v>14428.9444204036</v>
      </c>
      <c r="I19" s="0" t="n">
        <f aca="false">I15+I16+I17+I18</f>
        <v>15652.2308033864</v>
      </c>
      <c r="J19" s="0" t="n">
        <f aca="false">J15+J16+J17+J18</f>
        <v>16756.104435134</v>
      </c>
      <c r="K19" s="0" t="n">
        <f aca="false">K15+K16+K17+K18</f>
        <v>17767.9168542537</v>
      </c>
      <c r="L19" s="0" t="n">
        <f aca="false">L15+L16+L17+L18</f>
        <v>18658.8053312046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0.928074245939675</v>
      </c>
      <c r="D20" s="0" t="n">
        <f aca="false">1/(1+$B$27/100)^D4</f>
        <v>0.861321805976497</v>
      </c>
      <c r="E20" s="0" t="n">
        <f aca="false">1/(1+$B$27/100)^E4</f>
        <v>0.799370585593037</v>
      </c>
      <c r="F20" s="0" t="n">
        <f aca="false">1/(1+$B$27/100)^F4</f>
        <v>0.741875253450614</v>
      </c>
      <c r="G20" s="0" t="n">
        <f aca="false">1/(1+$B$27/100)^G4</f>
        <v>0.688515316427484</v>
      </c>
      <c r="H20" s="0" t="n">
        <f aca="false">1/(1+$B$27/100)^H4</f>
        <v>0.638993333111354</v>
      </c>
      <c r="I20" s="0" t="n">
        <f aca="false">1/(1+$B$27/100)^I4</f>
        <v>0.5930332557878</v>
      </c>
      <c r="J20" s="0" t="n">
        <f aca="false">1/(1+$B$27/100)^J4</f>
        <v>0.550378891682413</v>
      </c>
      <c r="K20" s="0" t="n">
        <f aca="false">1/(1+$B$27/100)^K4</f>
        <v>0.51079247487927</v>
      </c>
      <c r="L20" s="0" t="n">
        <f aca="false">1/(1+$B$27/100)^L4</f>
        <v>0.474053340955239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5732.90829986079</v>
      </c>
      <c r="D21" s="0" t="n">
        <f aca="false">D19*D20</f>
        <v>7266.91889214895</v>
      </c>
      <c r="E21" s="0" t="n">
        <f aca="false">E19*E20</f>
        <v>8098.71286951502</v>
      </c>
      <c r="F21" s="0" t="n">
        <f aca="false">F19*F20</f>
        <v>8668.75901308102</v>
      </c>
      <c r="G21" s="0" t="n">
        <f aca="false">G19*G20</f>
        <v>8976.65883593587</v>
      </c>
      <c r="H21" s="0" t="n">
        <f aca="false">H19*H20</f>
        <v>9219.99928847216</v>
      </c>
      <c r="I21" s="0" t="n">
        <f aca="false">I19*I20</f>
        <v>9282.29339367431</v>
      </c>
      <c r="J21" s="0" t="n">
        <f aca="false">J19*J20</f>
        <v>9222.20618792382</v>
      </c>
      <c r="K21" s="0" t="n">
        <f aca="false">K19*K20</f>
        <v>9075.71822343332</v>
      </c>
      <c r="L21" s="0" t="n">
        <f aca="false">L19*L20</f>
        <v>8845.26900549094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7.75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84389.4440095362</v>
      </c>
    </row>
    <row r="31" customFormat="false" ht="15" hidden="false" customHeight="false" outlineLevel="0" collapsed="false">
      <c r="A31" s="0" t="s">
        <v>137</v>
      </c>
      <c r="B31" s="0" t="n">
        <f aca="false">L19</f>
        <v>18658.8053312046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454396.788654041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373176.106624091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373176.106624091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176905.380109819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261294.824119355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247212.924119355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191.756844647343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1.30809875598632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2059.22918267086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4626.36742434763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196.942693706464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167929.247980841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66.9143231497882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48.5726761385993</v>
      </c>
      <c r="C4" s="0" t="n">
        <f aca="false">B4/Assumptions!$B$2-1</f>
        <v>-0.415350552014934</v>
      </c>
      <c r="D4" s="4" t="n">
        <f aca="false">Assumptions!$B$24</f>
        <v>0.25</v>
      </c>
      <c r="E4" s="4" t="n">
        <f aca="false">DCF_Bear!$B$43</f>
        <v>50.9313732643094</v>
      </c>
      <c r="F4" s="4" t="n">
        <f aca="false">DCF_Bear!$B$47</f>
        <v>25.1531148573189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119.945127762458</v>
      </c>
      <c r="C5" s="0" t="n">
        <f aca="false">B5/Assumptions!$B$2-1</f>
        <v>0.443730473789823</v>
      </c>
      <c r="D5" s="4" t="n">
        <f aca="false">Assumptions!$B$38</f>
        <v>0.5</v>
      </c>
      <c r="E5" s="4" t="n">
        <f aca="false">DCF_Base!$B$43</f>
        <v>123.388097456086</v>
      </c>
      <c r="F5" s="4" t="n">
        <f aca="false">DCF_Base!$B$47</f>
        <v>47.1177977808252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191.756844647343</v>
      </c>
      <c r="C6" s="0" t="n">
        <f aca="false">B6/Assumptions!$B$2-1</f>
        <v>1.30809875598632</v>
      </c>
      <c r="D6" s="4" t="n">
        <f aca="false">Assumptions!$B$52</f>
        <v>0.25</v>
      </c>
      <c r="E6" s="4" t="n">
        <f aca="false">DCF_Bull!$B$43</f>
        <v>196.942693706464</v>
      </c>
      <c r="F6" s="4" t="n">
        <f aca="false">DCF_Bull!$B$47</f>
        <v>66.9143231497882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120.054944077715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123.662565470737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0.307983518394544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-1024.91198630866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46.5757583921894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119.945127762458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111.45058963709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92.9639938218504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79.1392812152408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68.4202274459174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47.1177977808252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142.002942596174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142.002942596174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142.002942596174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142.002942596174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142.002942596174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130.448236541065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130.448236541065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130.448236541065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130.448236541065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130.448236541065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109.496668356872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115.794767498573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119.945127762458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119.945127762458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119.945127762458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92.2115380068988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96.5193363760385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101.489872955815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107.288832298888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110.386906468475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79.0478328783611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82.1124225149011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85.5856241029798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89.5549973464983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94.1350433967119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2026-09-25T10:07:26Z</dcterms:created>
  <dc:creator>openpyxl</dc:creator>
  <dc:description/>
  <dc:language>en-NZ</dc:language>
  <cp:lastModifiedBy/>
  <dcterms:modified xsi:type="dcterms:W3CDTF">2026-09-25T10:07:26Z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