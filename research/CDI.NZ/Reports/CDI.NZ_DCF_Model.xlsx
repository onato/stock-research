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FCF Quality" sheetId="4" r:id="rId4"/>
    <sheet name="Historical" sheetId="5" r:id="rId5"/>
    <sheet name="Model_Info" sheetId="6" r:id="rId6"/>
  </sheets>
  <calcPr calcId="124519" fullCalcOnLoad="1"/>
</workbook>
</file>

<file path=xl/sharedStrings.xml><?xml version="1.0" encoding="utf-8"?>
<sst xmlns="http://schemas.openxmlformats.org/spreadsheetml/2006/main" count="147" uniqueCount="139">
  <si>
    <t>CDI.NZ Earnings + NTA Valuation Model (Base Case)</t>
  </si>
  <si>
    <t>NOT an FCF DCF -- CDI is a land subdivider with structurally negative reported FCF (inventory build). Gray cells are INPUTS. See Model_Info tab.</t>
  </si>
  <si>
    <t>KEY INPUTS</t>
  </si>
  <si>
    <t>Current Stock Price (NZD)</t>
  </si>
  <si>
    <t>Shares Outstanding FY2025 (M)</t>
  </si>
  <si>
    <t>FY2025 Book Equity / NTA (M)</t>
  </si>
  <si>
    <t>FY2025 Book NTA per share</t>
  </si>
  <si>
    <t>DRP dilution rate (annual)</t>
  </si>
  <si>
    <t>WACC (base case)</t>
  </si>
  <si>
    <t>Dividend payout ratio (base)</t>
  </si>
  <si>
    <t>Exit P/B multiple (Year 5, base)</t>
  </si>
  <si>
    <t>Exit P/E multiple (Year 5, base)</t>
  </si>
  <si>
    <t>NTA leg / Earnings leg blend weight</t>
  </si>
  <si>
    <t>(NTA leg weight; earnings leg = 1-B14)</t>
  </si>
  <si>
    <t>NPAT PROJECTION (Base Case, $M)</t>
  </si>
  <si>
    <t>FY2026</t>
  </si>
  <si>
    <t>FY2027</t>
  </si>
  <si>
    <t>FY2028</t>
  </si>
  <si>
    <t>FY2029</t>
  </si>
  <si>
    <t>FY2030</t>
  </si>
  <si>
    <t>NPAT ($M)</t>
  </si>
  <si>
    <t>Dividends ($M)</t>
  </si>
  <si>
    <t>Retained earnings ($M)</t>
  </si>
  <si>
    <t>Discount factor @ WACC</t>
  </si>
  <si>
    <t>PV of Dividends ($M)</t>
  </si>
  <si>
    <t>Shares Outstanding (M)</t>
  </si>
  <si>
    <t>Book NTA roll-forward ($M)</t>
  </si>
  <si>
    <t>NTA LEG VALUATION</t>
  </si>
  <si>
    <t>Year-5 NTA per share</t>
  </si>
  <si>
    <t>Year-5 exit value/share (NTA x exit P/B)</t>
  </si>
  <si>
    <t>PV of Year-5 exit value/share</t>
  </si>
  <si>
    <t>PV of dividends per share (sum/Yr5 shares)</t>
  </si>
  <si>
    <t>NTA-leg Intrinsic Value/share</t>
  </si>
  <si>
    <t>EARNINGS LEG VALUATION</t>
  </si>
  <si>
    <t>Year-5 NPAT ($M)</t>
  </si>
  <si>
    <t>Terminal equity value ($M) = NPAT5 x exit P/E</t>
  </si>
  <si>
    <t>PV of terminal equity value ($M)</t>
  </si>
  <si>
    <t>PV of dividends ($M, sum)</t>
  </si>
  <si>
    <t>Earnings-leg Equity Value ($M)</t>
  </si>
  <si>
    <t>Earnings-leg Intrinsic Value/share</t>
  </si>
  <si>
    <t>BLENDED VALUATION</t>
  </si>
  <si>
    <t>NTA leg IV/share</t>
  </si>
  <si>
    <t>Earnings leg IV/share</t>
  </si>
  <si>
    <t>INTRINSIC VALUE/SHARE (Blended)</t>
  </si>
  <si>
    <t>Upside/(Downside) to current price</t>
  </si>
  <si>
    <t>ENTRY PRICE (15% IRR Target)</t>
  </si>
  <si>
    <t>Hurdle rate</t>
  </si>
  <si>
    <t>PV of dividends/share @ hurdle</t>
  </si>
  <si>
    <t>Year-5 blended exit value/share (at WACC-fair multiples)</t>
  </si>
  <si>
    <t>PV of exit value/share @ hurdle</t>
  </si>
  <si>
    <t>ENTRY PRICE (15% IRR)</t>
  </si>
  <si>
    <t>Entry discount from current price</t>
  </si>
  <si>
    <t>Note: Net cash is NOT added to either valuation -- it is already inside Book Equity (NTA),</t>
  </si>
  <si>
    <t>which is the exit-value basis for both legs. Adding it again would double count the same cash.</t>
  </si>
  <si>
    <t>Scenario Comparison</t>
  </si>
  <si>
    <t>Bear</t>
  </si>
  <si>
    <t>Base</t>
  </si>
  <si>
    <t>Bull</t>
  </si>
  <si>
    <t>WACC</t>
  </si>
  <si>
    <t>Payout ratio</t>
  </si>
  <si>
    <t>Exit P/B</t>
  </si>
  <si>
    <t>Exit P/E</t>
  </si>
  <si>
    <t>Year 1 NPAT ($M)</t>
  </si>
  <si>
    <t>Year 5 NPAT ($M)</t>
  </si>
  <si>
    <t>NTA-leg IV/share</t>
  </si>
  <si>
    <t>Earnings-leg IV/share</t>
  </si>
  <si>
    <t>Blended Intrinsic Value</t>
  </si>
  <si>
    <t>Upside/(Downside) %</t>
  </si>
  <si>
    <t>Probability weight</t>
  </si>
  <si>
    <t>PROBABILITY-WEIGHTED IV</t>
  </si>
  <si>
    <t>(Weighted IV computed from Blended Intrinsic Value row x weights row above)</t>
  </si>
  <si>
    <t>Sensitivity Analysis</t>
  </si>
  <si>
    <t>Blended Base-Case Intrinsic Value by WACC &amp; Exit P/B multiple</t>
  </si>
  <si>
    <t>(Exit P/E scaled proportionally to exit P/B, consistent with the base-case ROE cross-check)</t>
  </si>
  <si>
    <t>WACC \ Exit P/B</t>
  </si>
  <si>
    <t>FCF Quality / Why This Is NOT an FCF DCF</t>
  </si>
  <si>
    <t>Period</t>
  </si>
  <si>
    <t>FY2019</t>
  </si>
  <si>
    <t>FY2020</t>
  </si>
  <si>
    <t>FY2021</t>
  </si>
  <si>
    <t>FY2022</t>
  </si>
  <si>
    <t>FY2023</t>
  </si>
  <si>
    <t>FY2024</t>
  </si>
  <si>
    <t>FY2025</t>
  </si>
  <si>
    <t>Operating Cash Flow ($M)</t>
  </si>
  <si>
    <t>CapEx ($M)</t>
  </si>
  <si>
    <t>Reported FCF ($M)</t>
  </si>
  <si>
    <t>FCF vs NPAT gap ($M)</t>
  </si>
  <si>
    <t>Interpretation</t>
  </si>
  <si>
    <t>FY2023-2025 OCF/FCF turned structurally negative even as NPAT stayed positive ($11-15m/yr) --</t>
  </si>
  <si>
    <t>this is cash being reinvested into growing the development-property land bank (inventory build),</t>
  </si>
  <si>
    <t>i.e. growth capex disguised as working capital, NOT a going-concern or distress signal.</t>
  </si>
  <si>
    <t>SBC is verified NIL (no equity compensation scheme) -- no SBC adjustment applies to any of the</t>
  </si>
  <si>
    <t>figures on this sheet or anywhere in this model.</t>
  </si>
  <si>
    <t>Historical Trading Multiples (Sanity Check)</t>
  </si>
  <si>
    <t>Dec (FY-end) monthly closes vs FY-end book NTA/share and EPS</t>
  </si>
  <si>
    <t>FY</t>
  </si>
  <si>
    <t>Dec Close</t>
  </si>
  <si>
    <t>BVPS</t>
  </si>
  <si>
    <t>P/B</t>
  </si>
  <si>
    <t>EPS</t>
  </si>
  <si>
    <t>P/E</t>
  </si>
  <si>
    <t>FY2017</t>
  </si>
  <si>
    <t>FY2018</t>
  </si>
  <si>
    <t>10yr P/B range:</t>
  </si>
  <si>
    <t>0.693x - 1.402x</t>
  </si>
  <si>
    <t>Recent 4yr (FY22-25) P/B avg:</t>
  </si>
  <si>
    <t>10yr P/E average:</t>
  </si>
  <si>
    <t>Model implied P/B (base IV):</t>
  </si>
  <si>
    <t>Model implied fwd P/E (base IV):</t>
  </si>
  <si>
    <t>Sanity check verdict:</t>
  </si>
  <si>
    <t>PASS (no overvaluation trip)</t>
  </si>
  <si>
    <t>Model Provenance &amp; Notes</t>
  </si>
  <si>
    <t>Ticker</t>
  </si>
  <si>
    <t>CDI.NZ -- CDL Investments New Zealand Limited (NZX)</t>
  </si>
  <si>
    <t>Built by</t>
  </si>
  <si>
    <t>Claude DCF-modelling agent, Stocks/Research pipeline</t>
  </si>
  <si>
    <t>Valuation date</t>
  </si>
  <si>
    <t>2026-08-09</t>
  </si>
  <si>
    <t>Data vintage</t>
  </si>
  <si>
    <t>FY2025 (Dec-31-2025 year end) annual report; AGM guidance 26-May-2026; ANZ debt facility announced 7-Aug-2026; share price live from Yahoo Finance as of 9-Aug-2026 ($0.65).</t>
  </si>
  <si>
    <t>Methodology</t>
  </si>
  <si>
    <t>NOT a Gordon-growth FCF DCF. CDI is a land subdivider whose reported OCF/FCF has been structurally negative for 3 years (land-bank reinvestment, not distress). Instead this is a blended EARNINGS-POWER (dividends + exit P/E on Year-5 NPAT) and NTA/BOOK-VALUE (dividends + exit P/B on Year-5 book NTA/share) model, 50/50 weighted, at a stacked WACC of ~17% (base). See valuation_philosophy and wacc_rationale in the JSON for full detail.</t>
  </si>
  <si>
    <t>Mid-cycle NPAT anchor</t>
  </si>
  <si>
    <t>$20m -- roughly midpoint between the FY2023-25 downturn trough ($11-15m) and the FY2019-22 boom peak ($30-34m); FY2026 guided by management to be "considerably lower" than FY2025 ($11.1m), so Year 1 of the projection starts at $8.5m, below FY2025, and recovers toward $20m by Year 5.</t>
  </si>
  <si>
    <t>Exit multiples</t>
  </si>
  <si>
    <t>Anchored to CDI's OWN trading history (matched Dec FY-end closes vs FY-end book NTA/EPS), specifically the RECENT FY2022-2025 regime (P/B 0.69-0.74x) rather than the older FY2017-2021 up-cycle regime (P/B 1.07-1.40x), because management guidance signals the boom-era environment has not returned.</t>
  </si>
  <si>
    <t>SBC</t>
  </si>
  <si>
    <t>Verified NIL -- CDI has no employee equity compensation scheme. No SBC adjustment applied anywhere.</t>
  </si>
  <si>
    <t>Net cash treatment</t>
  </si>
  <si>
    <t>NOT added separately to either valuation leg -- it is already inside book equity (NTA), which is the exit-value basis for both the NTA leg and (via retained earnings) the earnings leg. Adding it again would double count the same balance-sheet cash.</t>
  </si>
  <si>
    <t>New debt facility</t>
  </si>
  <si>
    <t>NZ$20m ANZ credit facility entered 7-Aug-2026 (two days before this valuation date) -- CDI's first-ever debt facility. Not drawn as of the FY2025 balance date so FY2025 net debt figures exclude it. Its existence is folded qualitatively into the WACC stack (control/financial-risk premium) rather than modelled as a capital-structure change, since terms beyond amount/lender/date are undisclosed.</t>
  </si>
  <si>
    <t>What to refresh after next earnings</t>
  </si>
  <si>
    <t>FY2026 half-year (H1-2026, expected ~Aug/Sep 2026) and FY2026 annual (expected ~Mar 2027) results: update NPAT actuals vs the guided-down path, update book equity/NTA, re-check dividend payout ratio, and refresh the Dec-2026 close in the Historical sanity-check tab once available. Also monitor ANZ facility drawdown/terms once disclosed.</t>
  </si>
  <si>
    <t>Cell colour conventions</t>
  </si>
  <si>
    <t>Gray cells = INPUTS you can change. Green cells = key OUTPUT results. White cells with borders = formula-driven intermediate calculations. Do not hardcode over green or white formula cells -- edit only the gray inputs.</t>
  </si>
  <si>
    <t>Staleness warning</t>
  </si>
  <si>
    <t>All figures will go stale as new filings/guidance/price data arrive. Re-verify the current price, FY2025 balance-sheet figures and AGM/guidance commentary before relying on this model for a live investment decision.</t>
  </si>
</sst>
</file>

<file path=xl/styles.xml><?xml version="1.0" encoding="utf-8"?>
<styleSheet xmlns="http://schemas.openxmlformats.org/spreadsheetml/2006/main">
  <numFmts count="10">
    <numFmt numFmtId="164" formatCode="#,##0.000"/>
    <numFmt numFmtId="165" formatCode="0.0%"/>
    <numFmt numFmtId="166" formatCode="&quot;$&quot;#,##0.0000"/>
    <numFmt numFmtId="167" formatCode="0.0&quot;%&quot;"/>
    <numFmt numFmtId="168" formatCode="0.00&quot;x&quot;"/>
    <numFmt numFmtId="169" formatCode="0.0&quot;x&quot;"/>
    <numFmt numFmtId="170" formatCode="#,##0.0"/>
    <numFmt numFmtId="171" formatCode="&quot;$&quot;0.0000"/>
    <numFmt numFmtId="172" formatCode="0%"/>
    <numFmt numFmtId="173" formatCode="0.000&quot;x&quot;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DCB6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166" fontId="0" fillId="0" borderId="2" xfId="0" applyNumberFormat="1" applyBorder="1"/>
    <xf numFmtId="0" fontId="5" fillId="0" borderId="0" xfId="0" applyFont="1"/>
    <xf numFmtId="166" fontId="4" fillId="4" borderId="2" xfId="0" applyNumberFormat="1" applyFont="1" applyFill="1" applyBorder="1"/>
    <xf numFmtId="165" fontId="0" fillId="0" borderId="2" xfId="0" applyNumberFormat="1" applyBorder="1"/>
    <xf numFmtId="0" fontId="0" fillId="0" borderId="0" xfId="0" applyAlignment="1">
      <alignment vertical="top" wrapText="1"/>
    </xf>
    <xf numFmtId="167" fontId="0" fillId="0" borderId="2" xfId="0" applyNumberFormat="1" applyBorder="1"/>
    <xf numFmtId="168" fontId="0" fillId="0" borderId="2" xfId="0" applyNumberFormat="1" applyBorder="1"/>
    <xf numFmtId="169" fontId="0" fillId="0" borderId="2" xfId="0" applyNumberFormat="1" applyBorder="1"/>
    <xf numFmtId="170" fontId="0" fillId="0" borderId="2" xfId="0" applyNumberFormat="1" applyBorder="1"/>
    <xf numFmtId="171" fontId="0" fillId="0" borderId="2" xfId="0" applyNumberFormat="1" applyBorder="1"/>
    <xf numFmtId="172" fontId="0" fillId="0" borderId="2" xfId="0" applyNumberFormat="1" applyBorder="1"/>
    <xf numFmtId="168" fontId="4" fillId="3" borderId="0" xfId="0" applyNumberFormat="1" applyFont="1" applyFill="1"/>
    <xf numFmtId="165" fontId="4" fillId="3" borderId="0" xfId="0" applyNumberFormat="1" applyFont="1" applyFill="1"/>
    <xf numFmtId="173" fontId="0" fillId="0" borderId="2" xfId="0" applyNumberFormat="1" applyBorder="1"/>
    <xf numFmtId="173" fontId="0" fillId="0" borderId="0" xfId="0" applyNumberFormat="1"/>
    <xf numFmtId="168" fontId="0" fillId="0" borderId="0" xfId="0" applyNumberFormat="1"/>
    <xf numFmtId="0" fontId="5" fillId="5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cols>
    <col min="1" max="1" width="32.7109375" customWidth="1"/>
    <col min="2" max="8" width="14.7109375" customWidth="1"/>
  </cols>
  <sheetData>
    <row r="1" spans="1:3">
      <c r="A1" s="1" t="s">
        <v>0</v>
      </c>
    </row>
    <row r="2" spans="1:3">
      <c r="A2" s="2" t="s">
        <v>1</v>
      </c>
    </row>
    <row r="4" spans="1:3">
      <c r="A4" s="3" t="s">
        <v>2</v>
      </c>
    </row>
    <row r="5" spans="1:3">
      <c r="A5" t="s">
        <v>3</v>
      </c>
      <c r="B5" s="4">
        <v>0.65</v>
      </c>
    </row>
    <row r="6" spans="1:3">
      <c r="A6" t="s">
        <v>4</v>
      </c>
      <c r="B6" s="4">
        <v>292.672296</v>
      </c>
    </row>
    <row r="7" spans="1:3">
      <c r="A7" t="s">
        <v>5</v>
      </c>
      <c r="B7" s="4">
        <v>321.178</v>
      </c>
    </row>
    <row r="8" spans="1:3">
      <c r="A8" t="s">
        <v>6</v>
      </c>
      <c r="B8" s="5">
        <f>B7/B6</f>
        <v>0</v>
      </c>
    </row>
    <row r="9" spans="1:3">
      <c r="A9" t="s">
        <v>7</v>
      </c>
      <c r="B9" s="6">
        <v>0.003</v>
      </c>
    </row>
    <row r="10" spans="1:3">
      <c r="A10" t="s">
        <v>8</v>
      </c>
      <c r="B10" s="6">
        <v>0.17</v>
      </c>
    </row>
    <row r="11" spans="1:3">
      <c r="A11" t="s">
        <v>9</v>
      </c>
      <c r="B11" s="6">
        <v>0.28</v>
      </c>
    </row>
    <row r="12" spans="1:3">
      <c r="A12" t="s">
        <v>10</v>
      </c>
      <c r="B12" s="4">
        <v>0.71</v>
      </c>
    </row>
    <row r="13" spans="1:3">
      <c r="A13" t="s">
        <v>11</v>
      </c>
      <c r="B13" s="4">
        <v>10</v>
      </c>
    </row>
    <row r="14" spans="1:3">
      <c r="A14" t="s">
        <v>12</v>
      </c>
      <c r="B14" s="6">
        <v>0.5</v>
      </c>
      <c r="C14" t="s">
        <v>13</v>
      </c>
    </row>
    <row r="16" spans="1:3">
      <c r="A16" s="3" t="s">
        <v>14</v>
      </c>
    </row>
    <row r="17" spans="1:6">
      <c r="A17" s="7"/>
      <c r="B17" s="7" t="s">
        <v>15</v>
      </c>
      <c r="C17" s="7" t="s">
        <v>16</v>
      </c>
      <c r="D17" s="7" t="s">
        <v>17</v>
      </c>
      <c r="E17" s="7" t="s">
        <v>18</v>
      </c>
      <c r="F17" s="7" t="s">
        <v>19</v>
      </c>
    </row>
    <row r="18" spans="1:6">
      <c r="A18" t="s">
        <v>20</v>
      </c>
      <c r="B18" s="4">
        <v>8.5</v>
      </c>
      <c r="C18" s="4">
        <v>10.5</v>
      </c>
      <c r="D18" s="4">
        <v>14</v>
      </c>
      <c r="E18" s="4">
        <v>17.5</v>
      </c>
      <c r="F18" s="4">
        <v>20</v>
      </c>
    </row>
    <row r="19" spans="1:6">
      <c r="A19" t="s">
        <v>21</v>
      </c>
      <c r="B19" s="5">
        <f>B18*$B$11</f>
        <v>0</v>
      </c>
      <c r="C19" s="5">
        <f>C18*$B$11</f>
        <v>0</v>
      </c>
      <c r="D19" s="5">
        <f>D18*$B$11</f>
        <v>0</v>
      </c>
      <c r="E19" s="5">
        <f>E18*$B$11</f>
        <v>0</v>
      </c>
      <c r="F19" s="5">
        <f>F18*$B$11</f>
        <v>0</v>
      </c>
    </row>
    <row r="20" spans="1:6">
      <c r="A20" t="s">
        <v>22</v>
      </c>
      <c r="B20" s="5">
        <f>B18-B19</f>
        <v>0</v>
      </c>
      <c r="C20" s="5">
        <f>C18-C19</f>
        <v>0</v>
      </c>
      <c r="D20" s="5">
        <f>D18-D19</f>
        <v>0</v>
      </c>
      <c r="E20" s="5">
        <f>E18-E19</f>
        <v>0</v>
      </c>
      <c r="F20" s="5">
        <f>F18-F19</f>
        <v>0</v>
      </c>
    </row>
    <row r="21" spans="1:6">
      <c r="A21" t="s">
        <v>23</v>
      </c>
      <c r="B21" s="5">
        <f>1/(1+$B$10)^1</f>
        <v>0</v>
      </c>
      <c r="C21" s="5">
        <f>1/(1+$B$10)^2</f>
        <v>0</v>
      </c>
      <c r="D21" s="5">
        <f>1/(1+$B$10)^3</f>
        <v>0</v>
      </c>
      <c r="E21" s="5">
        <f>1/(1+$B$10)^4</f>
        <v>0</v>
      </c>
      <c r="F21" s="5">
        <f>1/(1+$B$10)^5</f>
        <v>0</v>
      </c>
    </row>
    <row r="22" spans="1:6">
      <c r="A22" t="s">
        <v>24</v>
      </c>
      <c r="B22" s="5">
        <f>B19*B21</f>
        <v>0</v>
      </c>
      <c r="C22" s="5">
        <f>C19*C21</f>
        <v>0</v>
      </c>
      <c r="D22" s="5">
        <f>D19*D21</f>
        <v>0</v>
      </c>
      <c r="E22" s="5">
        <f>E19*E21</f>
        <v>0</v>
      </c>
      <c r="F22" s="5">
        <f>F19*F21</f>
        <v>0</v>
      </c>
    </row>
    <row r="23" spans="1:6">
      <c r="A23" t="s">
        <v>25</v>
      </c>
      <c r="B23" s="5">
        <f>$B$6*(1+$B$9)</f>
        <v>0</v>
      </c>
      <c r="C23" s="5">
        <f>B23*(1+$B$9)</f>
        <v>0</v>
      </c>
      <c r="D23" s="5">
        <f>C23*(1+$B$9)</f>
        <v>0</v>
      </c>
      <c r="E23" s="5">
        <f>D23*(1+$B$9)</f>
        <v>0</v>
      </c>
      <c r="F23" s="5">
        <f>E23*(1+$B$9)</f>
        <v>0</v>
      </c>
    </row>
    <row r="24" spans="1:6">
      <c r="A24" t="s">
        <v>26</v>
      </c>
      <c r="B24" s="5">
        <f>$B$7+B20</f>
        <v>0</v>
      </c>
      <c r="C24" s="5">
        <f>B24+C20</f>
        <v>0</v>
      </c>
      <c r="D24" s="5">
        <f>C24+D20</f>
        <v>0</v>
      </c>
      <c r="E24" s="5">
        <f>D24+E20</f>
        <v>0</v>
      </c>
      <c r="F24" s="5">
        <f>E24+F20</f>
        <v>0</v>
      </c>
    </row>
    <row r="26" spans="1:6">
      <c r="A26" s="3" t="s">
        <v>27</v>
      </c>
    </row>
    <row r="27" spans="1:6">
      <c r="A27" t="s">
        <v>28</v>
      </c>
      <c r="B27" s="5">
        <f>F24/F23</f>
        <v>0</v>
      </c>
    </row>
    <row r="28" spans="1:6">
      <c r="A28" t="s">
        <v>29</v>
      </c>
      <c r="B28" s="5">
        <f>B27*B12</f>
        <v>0</v>
      </c>
    </row>
    <row r="29" spans="1:6">
      <c r="A29" t="s">
        <v>30</v>
      </c>
      <c r="B29" s="5">
        <f>B28*F21</f>
        <v>0</v>
      </c>
    </row>
    <row r="30" spans="1:6">
      <c r="A30" t="s">
        <v>31</v>
      </c>
      <c r="B30" s="5">
        <f>SUM(B22:F22)/F23</f>
        <v>0</v>
      </c>
    </row>
    <row r="31" spans="1:6">
      <c r="A31" t="s">
        <v>32</v>
      </c>
      <c r="B31" s="8">
        <f>B29+B30</f>
        <v>0</v>
      </c>
    </row>
    <row r="33" spans="1:2">
      <c r="A33" s="3" t="s">
        <v>33</v>
      </c>
    </row>
    <row r="34" spans="1:2">
      <c r="A34" t="s">
        <v>34</v>
      </c>
      <c r="B34" s="5">
        <f>F18</f>
        <v>0</v>
      </c>
    </row>
    <row r="35" spans="1:2">
      <c r="A35" t="s">
        <v>35</v>
      </c>
      <c r="B35" s="5">
        <f>B34*B13</f>
        <v>0</v>
      </c>
    </row>
    <row r="36" spans="1:2">
      <c r="A36" t="s">
        <v>36</v>
      </c>
      <c r="B36" s="5">
        <f>B35*F21</f>
        <v>0</v>
      </c>
    </row>
    <row r="37" spans="1:2">
      <c r="A37" t="s">
        <v>37</v>
      </c>
      <c r="B37" s="5">
        <f>SUM(B22:F22)</f>
        <v>0</v>
      </c>
    </row>
    <row r="38" spans="1:2">
      <c r="A38" t="s">
        <v>38</v>
      </c>
      <c r="B38" s="5">
        <f>B36+B37</f>
        <v>0</v>
      </c>
    </row>
    <row r="39" spans="1:2">
      <c r="A39" t="s">
        <v>39</v>
      </c>
      <c r="B39" s="8">
        <f>B38/F23</f>
        <v>0</v>
      </c>
    </row>
    <row r="41" spans="1:2">
      <c r="A41" s="3" t="s">
        <v>40</v>
      </c>
    </row>
    <row r="42" spans="1:2">
      <c r="A42" t="s">
        <v>41</v>
      </c>
      <c r="B42" s="5">
        <f>B31</f>
        <v>0</v>
      </c>
    </row>
    <row r="43" spans="1:2">
      <c r="A43" t="s">
        <v>42</v>
      </c>
      <c r="B43" s="5">
        <f>B39</f>
        <v>0</v>
      </c>
    </row>
    <row r="44" spans="1:2">
      <c r="A44" s="9" t="s">
        <v>43</v>
      </c>
      <c r="B44" s="10">
        <f>B14*B42+(1-B14)*B43</f>
        <v>0</v>
      </c>
    </row>
    <row r="46" spans="1:2">
      <c r="A46" t="s">
        <v>44</v>
      </c>
      <c r="B46" s="11">
        <f>(B44-B5)/B5</f>
        <v>0</v>
      </c>
    </row>
    <row r="48" spans="1:2">
      <c r="A48" s="3" t="s">
        <v>45</v>
      </c>
    </row>
    <row r="49" spans="1:2">
      <c r="A49" t="s">
        <v>46</v>
      </c>
      <c r="B49" s="6">
        <v>0.15</v>
      </c>
    </row>
    <row r="50" spans="1:2">
      <c r="A50" t="s">
        <v>47</v>
      </c>
      <c r="B50" s="5">
        <f>NPV(B49,B19:F19)/F23</f>
        <v>0</v>
      </c>
    </row>
    <row r="51" spans="1:2">
      <c r="A51" t="s">
        <v>48</v>
      </c>
      <c r="B51" s="5">
        <f>B14*B28+(1-B14)*(B34*B13)/F23</f>
        <v>0</v>
      </c>
    </row>
    <row r="52" spans="1:2">
      <c r="A52" t="s">
        <v>49</v>
      </c>
      <c r="B52" s="5">
        <f>B51/(1+B49)^5</f>
        <v>0</v>
      </c>
    </row>
    <row r="53" spans="1:2">
      <c r="A53" s="9" t="s">
        <v>50</v>
      </c>
      <c r="B53" s="10">
        <f>B50+B52</f>
        <v>0</v>
      </c>
    </row>
    <row r="54" spans="1:2">
      <c r="A54" t="s">
        <v>51</v>
      </c>
      <c r="B54" s="11">
        <f>(B53-B5)/B5</f>
        <v>0</v>
      </c>
    </row>
    <row r="56" spans="1:2">
      <c r="A56" s="12" t="s">
        <v>52</v>
      </c>
    </row>
    <row r="57" spans="1:2">
      <c r="A57" s="1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cols>
    <col min="1" max="1" width="30.7109375" customWidth="1"/>
    <col min="2" max="4" width="14.7109375" customWidth="1"/>
  </cols>
  <sheetData>
    <row r="1" spans="1:4">
      <c r="A1" s="1" t="s">
        <v>54</v>
      </c>
    </row>
    <row r="3" spans="1:4">
      <c r="A3" s="7"/>
      <c r="B3" s="7" t="s">
        <v>55</v>
      </c>
      <c r="C3" s="7" t="s">
        <v>56</v>
      </c>
      <c r="D3" s="7" t="s">
        <v>57</v>
      </c>
    </row>
    <row r="4" spans="1:4">
      <c r="A4" s="9" t="s">
        <v>58</v>
      </c>
      <c r="B4" s="13">
        <v>18.5</v>
      </c>
      <c r="C4" s="13">
        <v>17</v>
      </c>
      <c r="D4" s="13">
        <v>16</v>
      </c>
    </row>
    <row r="5" spans="1:4">
      <c r="A5" s="9" t="s">
        <v>59</v>
      </c>
      <c r="B5" s="11">
        <v>0.22</v>
      </c>
      <c r="C5" s="11">
        <v>0.28</v>
      </c>
      <c r="D5" s="11">
        <v>0.3</v>
      </c>
    </row>
    <row r="6" spans="1:4">
      <c r="A6" s="9" t="s">
        <v>60</v>
      </c>
      <c r="B6" s="14">
        <v>0.6</v>
      </c>
      <c r="C6" s="14">
        <v>0.71</v>
      </c>
      <c r="D6" s="14">
        <v>0.9</v>
      </c>
    </row>
    <row r="7" spans="1:4">
      <c r="A7" s="9" t="s">
        <v>61</v>
      </c>
      <c r="B7" s="15">
        <v>7</v>
      </c>
      <c r="C7" s="15">
        <v>10</v>
      </c>
      <c r="D7" s="15">
        <v>11.5</v>
      </c>
    </row>
    <row r="8" spans="1:4">
      <c r="A8" s="9" t="s">
        <v>62</v>
      </c>
      <c r="B8" s="16">
        <v>7</v>
      </c>
      <c r="C8" s="16">
        <v>8.5</v>
      </c>
      <c r="D8" s="16">
        <v>9.5</v>
      </c>
    </row>
    <row r="9" spans="1:4">
      <c r="A9" s="9" t="s">
        <v>63</v>
      </c>
      <c r="B9" s="16">
        <v>14</v>
      </c>
      <c r="C9" s="16">
        <v>20</v>
      </c>
      <c r="D9" s="16">
        <v>27</v>
      </c>
    </row>
    <row r="10" spans="1:4">
      <c r="A10" s="9" t="s">
        <v>64</v>
      </c>
      <c r="B10" s="17">
        <v>0.3317</v>
      </c>
      <c r="C10" s="17">
        <v>0.4451</v>
      </c>
      <c r="D10" s="17">
        <v>0.6101</v>
      </c>
    </row>
    <row r="11" spans="1:4">
      <c r="A11" s="9" t="s">
        <v>65</v>
      </c>
      <c r="B11" s="17">
        <v>0.1623</v>
      </c>
      <c r="C11" s="17">
        <v>0.3468</v>
      </c>
      <c r="D11" s="17">
        <v>0.5531</v>
      </c>
    </row>
    <row r="12" spans="1:4">
      <c r="A12" s="9" t="s">
        <v>66</v>
      </c>
      <c r="B12" s="17">
        <v>0.247</v>
      </c>
      <c r="C12" s="17">
        <v>0.396</v>
      </c>
      <c r="D12" s="17">
        <v>0.5816</v>
      </c>
    </row>
    <row r="13" spans="1:4">
      <c r="A13" s="9" t="s">
        <v>67</v>
      </c>
      <c r="B13" s="11">
        <v>-0.62</v>
      </c>
      <c r="C13" s="11">
        <v>-0.391</v>
      </c>
      <c r="D13" s="11">
        <v>-0.105</v>
      </c>
    </row>
    <row r="15" spans="1:4">
      <c r="A15" s="9" t="s">
        <v>68</v>
      </c>
      <c r="B15" s="18">
        <v>0.25</v>
      </c>
      <c r="C15" s="18">
        <v>0.5</v>
      </c>
      <c r="D15" s="18">
        <v>0.25</v>
      </c>
    </row>
    <row r="17" spans="1:2">
      <c r="A17" s="9" t="s">
        <v>69</v>
      </c>
      <c r="B17" s="8">
        <f>B15*B12+C15*C12+D15*D12</f>
        <v>0</v>
      </c>
    </row>
    <row r="18" spans="1:2">
      <c r="A18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18.7109375" customWidth="1"/>
    <col min="2" max="6" width="12.7109375" customWidth="1"/>
  </cols>
  <sheetData>
    <row r="1" spans="1:6">
      <c r="A1" s="1" t="s">
        <v>71</v>
      </c>
    </row>
    <row r="2" spans="1:6">
      <c r="A2" t="s">
        <v>72</v>
      </c>
    </row>
    <row r="3" spans="1:6">
      <c r="A3" t="s">
        <v>73</v>
      </c>
    </row>
    <row r="5" spans="1:6">
      <c r="A5" s="7" t="s">
        <v>74</v>
      </c>
      <c r="B5" s="19">
        <v>0.51</v>
      </c>
      <c r="C5" s="19">
        <v>0.61</v>
      </c>
      <c r="D5" s="19">
        <v>0.71</v>
      </c>
      <c r="E5" s="19">
        <v>0.8100000000000001</v>
      </c>
      <c r="F5" s="19">
        <v>0.91</v>
      </c>
    </row>
    <row r="6" spans="1:6">
      <c r="A6" s="20">
        <v>0.13</v>
      </c>
      <c r="B6" s="8">
        <v>0.349</v>
      </c>
      <c r="C6" s="8">
        <v>0.409</v>
      </c>
      <c r="D6" s="8">
        <v>0.468</v>
      </c>
      <c r="E6" s="8">
        <v>0.528</v>
      </c>
      <c r="F6" s="8">
        <v>0.588</v>
      </c>
    </row>
    <row r="7" spans="1:6">
      <c r="A7" s="20">
        <v>0.15</v>
      </c>
      <c r="B7" s="8">
        <v>0.321</v>
      </c>
      <c r="C7" s="8">
        <v>0.376</v>
      </c>
      <c r="D7" s="8">
        <v>0.43</v>
      </c>
      <c r="E7" s="8">
        <v>0.485</v>
      </c>
      <c r="F7" s="8">
        <v>0.54</v>
      </c>
    </row>
    <row r="8" spans="1:6">
      <c r="A8" s="20">
        <v>0.17</v>
      </c>
      <c r="B8" s="8">
        <v>0.296</v>
      </c>
      <c r="C8" s="8">
        <v>0.346</v>
      </c>
      <c r="D8" s="8">
        <v>0.396</v>
      </c>
      <c r="E8" s="8">
        <v>0.446</v>
      </c>
      <c r="F8" s="8">
        <v>0.496</v>
      </c>
    </row>
    <row r="9" spans="1:6">
      <c r="A9" s="20">
        <v>0.19</v>
      </c>
      <c r="B9" s="8">
        <v>0.273</v>
      </c>
      <c r="C9" s="8">
        <v>0.319</v>
      </c>
      <c r="D9" s="8">
        <v>0.365</v>
      </c>
      <c r="E9" s="8">
        <v>0.411</v>
      </c>
      <c r="F9" s="8">
        <v>0.457</v>
      </c>
    </row>
    <row r="10" spans="1:6">
      <c r="A10" s="20">
        <v>0.21</v>
      </c>
      <c r="B10" s="8">
        <v>0.252</v>
      </c>
      <c r="C10" s="8">
        <v>0.295</v>
      </c>
      <c r="D10" s="8">
        <v>0.337</v>
      </c>
      <c r="E10" s="8">
        <v>0.379</v>
      </c>
      <c r="F10" s="8">
        <v>0.422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cols>
    <col min="1" max="1" width="24.7109375" customWidth="1"/>
    <col min="2" max="11" width="12.7109375" customWidth="1"/>
  </cols>
  <sheetData>
    <row r="1" spans="1:8">
      <c r="A1" s="1" t="s">
        <v>75</v>
      </c>
    </row>
    <row r="3" spans="1:8">
      <c r="A3" s="7" t="s">
        <v>76</v>
      </c>
      <c r="B3" s="7" t="s">
        <v>77</v>
      </c>
      <c r="C3" s="7" t="s">
        <v>78</v>
      </c>
      <c r="D3" s="7" t="s">
        <v>79</v>
      </c>
      <c r="E3" s="7" t="s">
        <v>80</v>
      </c>
      <c r="F3" s="7" t="s">
        <v>81</v>
      </c>
      <c r="G3" s="7" t="s">
        <v>82</v>
      </c>
      <c r="H3" s="7" t="s">
        <v>83</v>
      </c>
    </row>
    <row r="4" spans="1:8">
      <c r="A4" t="s">
        <v>84</v>
      </c>
      <c r="B4" s="5">
        <v>17.71</v>
      </c>
      <c r="C4" s="5">
        <v>54.787</v>
      </c>
      <c r="D4" s="5">
        <v>4.117</v>
      </c>
      <c r="E4" s="5">
        <v>11.224</v>
      </c>
      <c r="F4" s="5">
        <v>-10.309</v>
      </c>
      <c r="G4" s="5">
        <v>-8.129</v>
      </c>
      <c r="H4" s="5">
        <v>-8.99</v>
      </c>
    </row>
    <row r="5" spans="1:8">
      <c r="A5" t="s">
        <v>85</v>
      </c>
      <c r="B5" s="5">
        <v>-0.006</v>
      </c>
      <c r="C5" s="5">
        <v>-0.006</v>
      </c>
      <c r="D5" s="5">
        <v>-0.003</v>
      </c>
      <c r="E5" s="5">
        <v>-0.004</v>
      </c>
      <c r="F5" s="5">
        <v>-0.014</v>
      </c>
      <c r="G5" s="5">
        <v>-0.002</v>
      </c>
      <c r="H5" s="5">
        <v>-0.025</v>
      </c>
    </row>
    <row r="6" spans="1:8">
      <c r="A6" t="s">
        <v>86</v>
      </c>
      <c r="B6" s="5">
        <v>17.704</v>
      </c>
      <c r="C6" s="5">
        <v>54.781</v>
      </c>
      <c r="D6" s="5">
        <v>4.114</v>
      </c>
      <c r="E6" s="5">
        <v>11.22</v>
      </c>
      <c r="F6" s="5">
        <v>-10.323</v>
      </c>
      <c r="G6" s="5">
        <v>-8.131</v>
      </c>
      <c r="H6" s="5">
        <v>-9.015000000000001</v>
      </c>
    </row>
    <row r="7" spans="1:8">
      <c r="A7" t="s">
        <v>20</v>
      </c>
      <c r="B7" s="5">
        <v>34.14</v>
      </c>
      <c r="C7" s="5">
        <v>30.099</v>
      </c>
      <c r="D7" s="5">
        <v>31.264</v>
      </c>
      <c r="E7" s="5">
        <v>31.189</v>
      </c>
      <c r="F7" s="5">
        <v>13.463</v>
      </c>
      <c r="G7" s="5">
        <v>15.381</v>
      </c>
      <c r="H7" s="5">
        <v>11.066</v>
      </c>
    </row>
    <row r="8" spans="1:8">
      <c r="A8" t="s">
        <v>87</v>
      </c>
      <c r="B8" s="5">
        <f>B6-B7</f>
        <v>0</v>
      </c>
      <c r="C8" s="5">
        <f>C6-C7</f>
        <v>0</v>
      </c>
      <c r="D8" s="5">
        <f>D6-D7</f>
        <v>0</v>
      </c>
      <c r="E8" s="5">
        <f>E6-E7</f>
        <v>0</v>
      </c>
      <c r="F8" s="5">
        <f>F6-F7</f>
        <v>0</v>
      </c>
      <c r="G8" s="5">
        <f>G6-G7</f>
        <v>0</v>
      </c>
      <c r="H8" s="5">
        <f>H6-H7</f>
        <v>0</v>
      </c>
    </row>
    <row r="10" spans="1:8">
      <c r="A10" s="9" t="s">
        <v>88</v>
      </c>
    </row>
    <row r="11" spans="1:8">
      <c r="A11" s="12" t="s">
        <v>89</v>
      </c>
    </row>
    <row r="12" spans="1:8">
      <c r="A12" s="12" t="s">
        <v>90</v>
      </c>
    </row>
    <row r="13" spans="1:8">
      <c r="A13" s="12" t="s">
        <v>91</v>
      </c>
    </row>
    <row r="14" spans="1:8">
      <c r="A14" s="12" t="s">
        <v>92</v>
      </c>
    </row>
    <row r="15" spans="1:8">
      <c r="A15" s="12" t="s">
        <v>93</v>
      </c>
    </row>
    <row r="16" spans="1:8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0.7109375" customWidth="1"/>
    <col min="2" max="6" width="14.7109375" customWidth="1"/>
  </cols>
  <sheetData>
    <row r="1" spans="1:6">
      <c r="A1" s="1" t="s">
        <v>94</v>
      </c>
    </row>
    <row r="2" spans="1:6">
      <c r="A2" t="s">
        <v>95</v>
      </c>
    </row>
    <row r="4" spans="1:6">
      <c r="A4" s="7" t="s">
        <v>96</v>
      </c>
      <c r="B4" s="7" t="s">
        <v>97</v>
      </c>
      <c r="C4" s="7" t="s">
        <v>98</v>
      </c>
      <c r="D4" s="7" t="s">
        <v>99</v>
      </c>
      <c r="E4" s="7" t="s">
        <v>100</v>
      </c>
      <c r="F4" s="7" t="s">
        <v>101</v>
      </c>
    </row>
    <row r="5" spans="1:6">
      <c r="A5" t="s">
        <v>102</v>
      </c>
      <c r="B5" s="5">
        <v>0.9399999999999999</v>
      </c>
      <c r="C5" s="5">
        <v>0.671</v>
      </c>
      <c r="D5" s="21">
        <v>1.402</v>
      </c>
      <c r="E5" s="5">
        <v>0.116</v>
      </c>
      <c r="F5" s="14">
        <v>8.1</v>
      </c>
    </row>
    <row r="6" spans="1:6">
      <c r="A6" t="s">
        <v>103</v>
      </c>
      <c r="B6" s="5">
        <v>0.8100000000000001</v>
      </c>
      <c r="C6" s="5">
        <v>0.755</v>
      </c>
      <c r="D6" s="21">
        <v>1.072</v>
      </c>
      <c r="E6" s="5">
        <v>0.121</v>
      </c>
      <c r="F6" s="14">
        <v>6.69</v>
      </c>
    </row>
    <row r="7" spans="1:6">
      <c r="A7" t="s">
        <v>77</v>
      </c>
      <c r="B7" s="5">
        <v>0.92</v>
      </c>
      <c r="C7" s="5">
        <v>0.845</v>
      </c>
      <c r="D7" s="21">
        <v>1.089</v>
      </c>
      <c r="E7" s="5">
        <v>0.1226</v>
      </c>
      <c r="F7" s="14">
        <v>7.5</v>
      </c>
    </row>
    <row r="8" spans="1:6">
      <c r="A8" t="s">
        <v>78</v>
      </c>
      <c r="B8" s="5">
        <v>1.04</v>
      </c>
      <c r="C8" s="5">
        <v>0.917</v>
      </c>
      <c r="D8" s="21">
        <v>1.134</v>
      </c>
      <c r="E8" s="5">
        <v>0.1075</v>
      </c>
      <c r="F8" s="14">
        <v>9.67</v>
      </c>
    </row>
    <row r="9" spans="1:6">
      <c r="A9" t="s">
        <v>79</v>
      </c>
      <c r="B9" s="5">
        <v>1.075</v>
      </c>
      <c r="C9" s="5">
        <v>0.996</v>
      </c>
      <c r="D9" s="21">
        <v>1.079</v>
      </c>
      <c r="E9" s="5">
        <v>0.1096</v>
      </c>
      <c r="F9" s="14">
        <v>9.81</v>
      </c>
    </row>
    <row r="10" spans="1:6">
      <c r="A10" t="s">
        <v>80</v>
      </c>
      <c r="B10" s="5">
        <v>0.75</v>
      </c>
      <c r="C10" s="5">
        <v>1.07</v>
      </c>
      <c r="D10" s="21">
        <v>0.701</v>
      </c>
      <c r="E10" s="5">
        <v>0.1082</v>
      </c>
      <c r="F10" s="14">
        <v>6.93</v>
      </c>
    </row>
    <row r="11" spans="1:6">
      <c r="A11" t="s">
        <v>81</v>
      </c>
      <c r="B11" s="5">
        <v>0.8</v>
      </c>
      <c r="C11" s="5">
        <v>1.079</v>
      </c>
      <c r="D11" s="21">
        <v>0.742</v>
      </c>
      <c r="E11" s="5">
        <v>0.0464</v>
      </c>
      <c r="F11" s="14">
        <v>17.24</v>
      </c>
    </row>
    <row r="12" spans="1:6">
      <c r="A12" t="s">
        <v>82</v>
      </c>
      <c r="B12" s="5">
        <v>0.79</v>
      </c>
      <c r="C12" s="5">
        <v>1.095</v>
      </c>
      <c r="D12" s="21">
        <v>0.721</v>
      </c>
      <c r="E12" s="5">
        <v>0.0528</v>
      </c>
      <c r="F12" s="14">
        <v>14.96</v>
      </c>
    </row>
    <row r="13" spans="1:6">
      <c r="A13" t="s">
        <v>83</v>
      </c>
      <c r="B13" s="5">
        <v>0.76</v>
      </c>
      <c r="C13" s="5">
        <v>1.097</v>
      </c>
      <c r="D13" s="21">
        <v>0.6929999999999999</v>
      </c>
      <c r="E13" s="5">
        <v>0.0378</v>
      </c>
      <c r="F13" s="14">
        <v>20.11</v>
      </c>
    </row>
    <row r="15" spans="1:6">
      <c r="A15" s="9" t="s">
        <v>104</v>
      </c>
      <c r="B15" t="s">
        <v>105</v>
      </c>
    </row>
    <row r="16" spans="1:6">
      <c r="A16" s="9" t="s">
        <v>106</v>
      </c>
      <c r="B16" s="22">
        <v>0.714</v>
      </c>
    </row>
    <row r="17" spans="1:2">
      <c r="A17" s="9" t="s">
        <v>107</v>
      </c>
      <c r="B17" s="23">
        <v>11.22</v>
      </c>
    </row>
    <row r="19" spans="1:2">
      <c r="A19" s="9" t="s">
        <v>108</v>
      </c>
      <c r="B19" s="22">
        <v>0.361</v>
      </c>
    </row>
    <row r="20" spans="1:2">
      <c r="A20" s="9" t="s">
        <v>109</v>
      </c>
      <c r="B20" s="23">
        <v>13.68</v>
      </c>
    </row>
    <row r="21" spans="1:2">
      <c r="A21" s="9" t="s">
        <v>110</v>
      </c>
      <c r="B21" s="24" t="s">
        <v>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112</v>
      </c>
    </row>
    <row r="3" spans="1:2" ht="60" customHeight="1">
      <c r="A3" s="9" t="s">
        <v>113</v>
      </c>
      <c r="B3" s="12" t="s">
        <v>114</v>
      </c>
    </row>
    <row r="4" spans="1:2" ht="60" customHeight="1">
      <c r="A4" s="9" t="s">
        <v>115</v>
      </c>
      <c r="B4" s="12" t="s">
        <v>116</v>
      </c>
    </row>
    <row r="5" spans="1:2" ht="60" customHeight="1">
      <c r="A5" s="9" t="s">
        <v>117</v>
      </c>
      <c r="B5" s="12" t="s">
        <v>118</v>
      </c>
    </row>
    <row r="6" spans="1:2" ht="60" customHeight="1">
      <c r="A6" s="9" t="s">
        <v>119</v>
      </c>
      <c r="B6" s="12" t="s">
        <v>120</v>
      </c>
    </row>
    <row r="7" spans="1:2" ht="60" customHeight="1">
      <c r="A7" s="9" t="s">
        <v>121</v>
      </c>
      <c r="B7" s="12" t="s">
        <v>122</v>
      </c>
    </row>
    <row r="8" spans="1:2" ht="60" customHeight="1">
      <c r="A8" s="9" t="s">
        <v>123</v>
      </c>
      <c r="B8" s="12" t="s">
        <v>124</v>
      </c>
    </row>
    <row r="9" spans="1:2" ht="60" customHeight="1">
      <c r="A9" s="9" t="s">
        <v>125</v>
      </c>
      <c r="B9" s="12" t="s">
        <v>126</v>
      </c>
    </row>
    <row r="10" spans="1:2" ht="60" customHeight="1">
      <c r="A10" s="9" t="s">
        <v>127</v>
      </c>
      <c r="B10" s="12" t="s">
        <v>128</v>
      </c>
    </row>
    <row r="11" spans="1:2" ht="60" customHeight="1">
      <c r="A11" s="9" t="s">
        <v>129</v>
      </c>
      <c r="B11" s="12" t="s">
        <v>130</v>
      </c>
    </row>
    <row r="12" spans="1:2" ht="60" customHeight="1">
      <c r="A12" s="9" t="s">
        <v>131</v>
      </c>
      <c r="B12" s="12" t="s">
        <v>132</v>
      </c>
    </row>
    <row r="13" spans="1:2" ht="60" customHeight="1">
      <c r="A13" s="9" t="s">
        <v>133</v>
      </c>
      <c r="B13" s="12" t="s">
        <v>134</v>
      </c>
    </row>
    <row r="14" spans="1:2" ht="60" customHeight="1">
      <c r="A14" s="9" t="s">
        <v>135</v>
      </c>
      <c r="B14" s="12" t="s">
        <v>136</v>
      </c>
    </row>
    <row r="15" spans="1:2" ht="60" customHeight="1">
      <c r="A15" s="9" t="s">
        <v>137</v>
      </c>
      <c r="B15" s="1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DCF Model</vt:lpstr>
      <vt:lpstr>Scenarios</vt:lpstr>
      <vt:lpstr>Sensitivity</vt:lpstr>
      <vt:lpstr>FCF Quality</vt:lpstr>
      <vt:lpstr>Historical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2026-08-09T10:31:04Z</dcterms:created>
  <dcterms:modified xsi:type="dcterms:W3CDTF">2026-08-09T10:31:04Z</dcterms:modified>
</cp:coreProperties>
</file>