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<sst xmlns="http://schemas.openxmlformats.org/spreadsheetml/2006/main" count="368" uniqueCount="171">
  <si>
    <t xml:space="preserve">Ticker</t>
  </si>
  <si>
    <t xml:space="preserve">TLS.AX</t>
  </si>
  <si>
    <t xml:space="preserve">Company</t>
  </si>
  <si>
    <t xml:space="preserve">Telstra Group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</si>
  <si>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</si>
  <si>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</si>
  <si>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</si>
  <si>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</si>
  <si>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2026-09-25T04:52:31Z regular session (Yahoo Finance chart API), 52-week range 4.56-5.58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</si>
  <si>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</si>
  <si>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</si>
  <si>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</si>
  <si>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</si>
  <si>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</si>
  <si>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</si>
  <si>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</si>
  <si>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</si>
  <si>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</si>
  <si>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</si>
  <si>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</si>
  <si>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</si>
  <si>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2026-09-25T05:14:14Z</t>
  </si>
  <si>
    <t xml:space="preserve">Drivers file</t>
  </si>
  <si>
    <t xml:space="preserve">TLS.AX_Drivers.json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</si>
  <si>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</si>
  <si>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</si>
  <si>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</si>
  <si>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Telstra is Australia's dominant integrated telco -- a mature, structurally low-growth revenue base (flat-to-negative over 10 years) increasingly monetised through margin expansion, capital discipline (buybacks, progressive dividends) and a growing, high-margin, contracted digital-infrastructure income stream (InfraCo Fixed nbn payments, 51%-owned Amplitel towers, Aura fibre, subsea cable, satellite). The house owner-FCF DCF values the consolidated cash-generative core net of the Amplitel/PM minority interest (charged once via a ~7.5% NOPAT leakage rate) and net of total debt inclusive of lease liabilities (Telstra's own net-debt definition). The July 2026 nationwide outage and its regulatory fallout (ACMA investigation, Senate inquiry recommending loss of Triple Zero control) is a live, unresolved risk priced through an elevated 30% bear-case weight and a bear-case narrative of sustained opex/capex drag and slower ARPU growth, not through a WACC premium -- risk is charged once, in the flows.
key_risks_to_valuation: July 2026 outage regulatory outcome (ACMA fines/Federal Court action, potential loss of Triple Zero control) remains unresolved at valuation date and could be materially worse or better than the bear/base cases assume; Structural decline in Fixed Enterprise/International/legacy voice segments outpacing cost-out and infrastructure-income growth; Intensifying wholesale/infrastructure-sharing competition (Optus-TPG MOCN agreement) eroding Telstra's network-quality pricing advantage; Debt-funded buyback pace against a high (106% FY26) dividend payout ratio reduces balance-sheet flexibility if earnings or the regulatory outcome disappoint; Execution risk on the simultaneous, interdependent Connected Future 30 transformation programs (network evolution, digital infrastructure build-out, AI enablement)</t>
  </si>
  <si>
    <t xml:space="preserve">Data sources</t>
  </si>
  <si>
    <t xml:space="preserve">price: Yahoo Finance chart API at inputs.price_as_of
financials: TLS.AX_Metrics.csv (core_metrics-derived) and TLS.AX_Annual_FY2026.txt / TLS.AX_Annual_FY2025.txt (net debt note 4.4, non-controlling interests note 6.3, income statement, cash flow statement, finance costs note)
qualitative: TLS.AX_Analysis.json (bull/bear case, growth drivers, risk register, guidance table) and TLS.AX_Annual_FY2026.txt guidance-versus-reported schedule</t>
  </si>
  <si>
    <t xml:space="preserve">Scenario narrative: bear</t>
  </si>
  <si>
    <t xml:space="preserve">The July 2026 outage triggers sustained regulatory/reputational damage -- top-of-range ACMA fines, Federal Court action, legislated loss of Triple Zero control, and a multi-year remediation programme that keeps opex and capex elevated while brand damage and intensifying MOCN network-sharing competition soften mobile ARPU and revenue growth; margin stalls around 36.5-37.5% and the FY30 ROIC ambition slips.</t>
  </si>
  <si>
    <t xml:space="preserve">Scenario narrative: base</t>
  </si>
  <si>
    <t xml:space="preserve">Connected Future 30 delivers roughly as guided: flat-to-low-single-digit revenue (mobile ARPU growth offsetting legacy decline), underlying EBITDAaL margin expanding from 38.5% toward ~39.8% on positive operating leverage, BAU capex easing from ~16% to ~15% of revenue, and the July 2026 outage resolving as a manageable, guided-range regulatory outcome.</t>
  </si>
  <si>
    <t xml:space="preserve">Scenario narrative: bull</t>
  </si>
  <si>
    <t xml:space="preserve">Digital-infrastructure monetisation (Aura fibre, subsea cable, satellite, Amplitel third-party tower leasing) rides the AI/data-centre capex supercycle faster than guided, mobile ARPU growth holds up on network-quality pricing power, and the outage overhang resolves quickly and cheaply -- margin reaches ~42% by year 5, ahead of the FY30 10% ROIC ambition.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</si>
  <si>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</si>
  <si>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</si>
  <si>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</si>
  <si>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</si>
  <si>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</si>
  <si>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</si>
  <si>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</si>
  <si>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</si>
  <si>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</si>
  <si>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</si>
  <si>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</si>
  <si>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</si>
  <si>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</si>
  <si>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</si>
  <si>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</si>
  <si>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</si>
  <si>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</si>
  <si>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</si>
  <si>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</si>
  <si>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</si>
  <si>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</si>
  <si>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</si>
  <si>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</si>
  <si>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</si>
  <si>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</si>
  <si>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</si>
  <si>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</si>
  <si>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CashEPS</t>
  </si>
  <si>
    <t xml:space="preserve">CashEarnings</t>
  </si>
  <si>
    <t xml:space="preserve">DividendPerShareDeclared</t>
  </si>
  <si>
    <t xml:space="preserve">NetProfitAttributable</t>
  </si>
  <si>
    <t xml:space="preserve">TotalIncome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</si>
  <si>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</si>
  <si>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</si>
  <si>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</si>
  <si>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</si>
  <si>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</si>
  <si>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</si>
  <si>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</si>
  <si>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</si>
  <si>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</si>
  <si>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</si>
  <si>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</si>
  <si>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</si>
  <si>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</si>
  <si>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</si>
  <si>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</si>
  <si>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</si>
  <si>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</si>
  <si>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</si>
  <si>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</si>
  <si>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</si>
  <si>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</si>
  <si>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</si>
  <si>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</si>
  <si>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</si>
  <si>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</si>
  <si>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</si>
  <si>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</si>
  <si>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</si>
  <si>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</si>
  <si>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</si>
  <si>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</si>
  <si>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</si>
  <si>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</si>
  <si>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</si>
  <si>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</si>
  <si>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</si>
  <si>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</si>
  <si>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</si>
  <si>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</si>
  <si>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</si>
  <si>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</si>
  <si>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</si>
  <si>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</si>
  <si>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</si>
  <si>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</si>
  <si>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</si>
  <si>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</si>
  <si>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</si>
  <si>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TLS.AX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</si>
  <si>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</si>
  <si>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</si>
  <si>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</si>
  <si>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</si>
  <si>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</si>
  <si>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</si>
  <si>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</si>
  <si>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</si>
  <si>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</si>
  <si>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</si>
  <si>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</si>
  <si>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</si>
  <si>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</si>
  <si>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</si>
  <si>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</si>
  <si>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</si>
  <si>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</si>
  <si>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</si>
  <si>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</si>
  <si>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</si>
  <si>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</si>
  <si>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</si>
  <si>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</si>
  <si>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</si>
  <si>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</si>
  <si>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</si>
  <si>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</si>
  <si>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</si>
  <si>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</si>
  <si>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</si>
  <si>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TLS.AX owner-FCF component DCF: base case (millions, AUD)</t>
  </si>
  <si>
    <t xml:space="preserve">TLS.AX owner-FCF component DCF: bull case (millions, AUD)</t>
  </si>
  <si>
    <t xml:space="preserve">TLS.AX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</si>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</sst>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4.78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25911</v>
      </c>
      <c r="F2" s="0" t="n">
        <v>6310</v>
      </c>
      <c r="G2" s="0" t="n">
        <v>24.4</v>
      </c>
      <c r="H2" s="0" t="n">
        <v>10465</v>
      </c>
      <c r="I2" s="0" t="n">
        <v>5780</v>
      </c>
      <c r="J2" s="0" t="n">
        <v>22.3</v>
      </c>
      <c r="K2" s="0" t="n">
        <v>0.316</v>
      </c>
      <c r="L2" s="0" t="n">
        <v>8133</v>
      </c>
      <c r="M2" s="0" t="n">
        <v>4194</v>
      </c>
      <c r="N2" s="0" t="n">
        <v>3939</v>
      </c>
      <c r="O2" s="0" t="n">
        <v>15907</v>
      </c>
      <c r="P2" s="0" t="n">
        <v>43286</v>
      </c>
      <c r="Q2" s="0" t="n">
        <v>27379</v>
      </c>
      <c r="R2" s="0" t="n">
        <v>17302</v>
      </c>
      <c r="S2" s="0" t="n">
        <v>3550</v>
      </c>
      <c r="V2" s="0" t="n">
        <v>0.31</v>
      </c>
      <c r="AA2" s="0" t="s">
        <v>17</v>
      </c>
      <c r="AB2" s="0" t="s">
        <v>14</v>
      </c>
      <c r="AG2" s="0" t="n">
        <v>27050</v>
      </c>
    </row>
    <row r="3" customFormat="false" ht="15" hidden="false" customHeight="false" outlineLevel="0" collapsed="false">
      <c r="A3" s="0" t="s">
        <v>69</v>
      </c>
      <c r="B3" s="0" t="n">
        <v>26013</v>
      </c>
      <c r="F3" s="0" t="n">
        <v>6238</v>
      </c>
      <c r="G3" s="0" t="n">
        <v>24</v>
      </c>
      <c r="H3" s="0" t="n">
        <v>10679</v>
      </c>
      <c r="I3" s="0" t="n">
        <v>3891</v>
      </c>
      <c r="J3" s="0" t="n">
        <v>15</v>
      </c>
      <c r="K3" s="0" t="n">
        <v>0.325</v>
      </c>
      <c r="L3" s="0" t="n">
        <v>7775</v>
      </c>
      <c r="M3" s="0" t="n">
        <v>5321</v>
      </c>
      <c r="N3" s="0" t="n">
        <v>2454</v>
      </c>
      <c r="O3" s="0" t="n">
        <v>14560</v>
      </c>
      <c r="P3" s="0" t="n">
        <v>42133</v>
      </c>
      <c r="Q3" s="0" t="n">
        <v>27573</v>
      </c>
      <c r="R3" s="0" t="n">
        <v>17284</v>
      </c>
      <c r="S3" s="0" t="n">
        <v>938</v>
      </c>
      <c r="T3" s="0" t="n">
        <v>11979</v>
      </c>
      <c r="U3" s="0" t="n">
        <v>31</v>
      </c>
      <c r="V3" s="0" t="n">
        <v>0.31</v>
      </c>
      <c r="AA3" s="0" t="s">
        <v>17</v>
      </c>
      <c r="AB3" s="0" t="s">
        <v>14</v>
      </c>
      <c r="AF3" s="0" t="n">
        <v>3891</v>
      </c>
      <c r="AG3" s="0" t="n">
        <v>28205</v>
      </c>
    </row>
    <row r="4" customFormat="false" ht="15" hidden="false" customHeight="false" outlineLevel="0" collapsed="false">
      <c r="A4" s="0" t="s">
        <v>70</v>
      </c>
      <c r="B4" s="0" t="n">
        <v>26011</v>
      </c>
      <c r="F4" s="0" t="n">
        <v>5651</v>
      </c>
      <c r="G4" s="0" t="n">
        <v>21.7</v>
      </c>
      <c r="H4" s="0" t="n">
        <v>10121</v>
      </c>
      <c r="I4" s="0" t="n">
        <v>3563</v>
      </c>
      <c r="J4" s="0" t="n">
        <v>13.7</v>
      </c>
      <c r="K4" s="0" t="n">
        <v>0.3</v>
      </c>
      <c r="L4" s="0" t="n">
        <v>8606</v>
      </c>
      <c r="M4" s="0" t="n">
        <v>4932</v>
      </c>
      <c r="N4" s="0" t="n">
        <v>3674</v>
      </c>
      <c r="O4" s="0" t="n">
        <v>15014</v>
      </c>
      <c r="P4" s="0" t="n">
        <v>42870</v>
      </c>
      <c r="Q4" s="0" t="n">
        <v>27856</v>
      </c>
      <c r="R4" s="0" t="n">
        <v>16951</v>
      </c>
      <c r="S4" s="0" t="n">
        <v>629</v>
      </c>
      <c r="T4" s="0" t="n">
        <v>11884</v>
      </c>
      <c r="U4" s="0" t="n">
        <v>31</v>
      </c>
      <c r="AA4" s="0" t="s">
        <v>17</v>
      </c>
      <c r="AB4" s="0" t="s">
        <v>14</v>
      </c>
      <c r="AG4" s="0" t="n">
        <v>29042</v>
      </c>
    </row>
    <row r="5" customFormat="false" ht="15" hidden="false" customHeight="false" outlineLevel="0" collapsed="false">
      <c r="A5" s="0" t="s">
        <v>71</v>
      </c>
      <c r="B5" s="0" t="n">
        <v>25259</v>
      </c>
      <c r="F5" s="0" t="n">
        <v>3702</v>
      </c>
      <c r="G5" s="0" t="n">
        <v>14.7</v>
      </c>
      <c r="H5" s="0" t="n">
        <v>7984</v>
      </c>
      <c r="I5" s="0" t="n">
        <v>2154</v>
      </c>
      <c r="J5" s="0" t="n">
        <v>8.5</v>
      </c>
      <c r="K5" s="0" t="n">
        <v>0.181</v>
      </c>
      <c r="L5" s="0" t="n">
        <v>6683</v>
      </c>
      <c r="M5" s="0" t="n">
        <v>4370</v>
      </c>
      <c r="N5" s="0" t="n">
        <v>2313</v>
      </c>
      <c r="O5" s="0" t="n">
        <v>14530</v>
      </c>
      <c r="P5" s="0" t="n">
        <v>42589</v>
      </c>
      <c r="Q5" s="0" t="n">
        <v>28059</v>
      </c>
      <c r="R5" s="0" t="n">
        <v>17253</v>
      </c>
      <c r="S5" s="0" t="n">
        <v>604</v>
      </c>
      <c r="T5" s="0" t="n">
        <v>11880</v>
      </c>
      <c r="U5" s="0" t="n">
        <v>29</v>
      </c>
      <c r="AA5" s="0" t="s">
        <v>17</v>
      </c>
      <c r="AB5" s="0" t="s">
        <v>14</v>
      </c>
      <c r="AG5" s="0" t="n">
        <v>27807</v>
      </c>
    </row>
    <row r="6" customFormat="false" ht="15" hidden="false" customHeight="false" outlineLevel="0" collapsed="false">
      <c r="A6" s="0" t="s">
        <v>72</v>
      </c>
      <c r="B6" s="0" t="n">
        <v>23710</v>
      </c>
      <c r="F6" s="0" t="n">
        <v>3567</v>
      </c>
      <c r="G6" s="0" t="n">
        <v>15</v>
      </c>
      <c r="H6" s="0" t="n">
        <v>8905</v>
      </c>
      <c r="I6" s="0" t="n">
        <v>1819</v>
      </c>
      <c r="J6" s="0" t="n">
        <v>7.7</v>
      </c>
      <c r="K6" s="0" t="n">
        <v>0.153</v>
      </c>
      <c r="L6" s="0" t="n">
        <v>7010</v>
      </c>
      <c r="M6" s="0" t="n">
        <v>3442</v>
      </c>
      <c r="N6" s="0" t="n">
        <v>3568</v>
      </c>
      <c r="O6" s="0" t="n">
        <v>15147</v>
      </c>
      <c r="P6" s="0" t="n">
        <v>44403</v>
      </c>
      <c r="Q6" s="0" t="n">
        <v>29256</v>
      </c>
      <c r="R6" s="0" t="n">
        <v>15829</v>
      </c>
      <c r="S6" s="0" t="n">
        <v>499</v>
      </c>
      <c r="T6" s="0" t="n">
        <v>11880</v>
      </c>
      <c r="U6" s="0" t="n">
        <v>23</v>
      </c>
      <c r="AA6" s="0" t="s">
        <v>17</v>
      </c>
      <c r="AB6" s="0" t="s">
        <v>14</v>
      </c>
      <c r="AG6" s="0" t="n">
        <v>26161</v>
      </c>
    </row>
    <row r="7" customFormat="false" ht="15" hidden="false" customHeight="false" outlineLevel="0" collapsed="false">
      <c r="A7" s="0" t="s">
        <v>73</v>
      </c>
      <c r="B7" s="0" t="n">
        <v>21558</v>
      </c>
      <c r="F7" s="0" t="n">
        <v>2992</v>
      </c>
      <c r="G7" s="0" t="n">
        <v>13.9</v>
      </c>
      <c r="H7" s="0" t="n">
        <v>7638</v>
      </c>
      <c r="I7" s="0" t="n">
        <v>1857</v>
      </c>
      <c r="J7" s="0" t="n">
        <v>8.6</v>
      </c>
      <c r="K7" s="0" t="n">
        <v>0.156</v>
      </c>
      <c r="L7" s="0" t="n">
        <v>7231</v>
      </c>
      <c r="M7" s="0" t="n">
        <v>3140</v>
      </c>
      <c r="N7" s="0" t="n">
        <v>4091</v>
      </c>
      <c r="O7" s="0" t="n">
        <v>15275</v>
      </c>
      <c r="P7" s="0" t="n">
        <v>42525</v>
      </c>
      <c r="Q7" s="0" t="n">
        <v>27250</v>
      </c>
      <c r="R7" s="0" t="n">
        <v>14136</v>
      </c>
      <c r="S7" s="0" t="n">
        <v>1125</v>
      </c>
      <c r="T7" s="0" t="n">
        <v>11875</v>
      </c>
      <c r="U7" s="0" t="n">
        <v>23</v>
      </c>
      <c r="V7" s="0" t="n">
        <v>0.16</v>
      </c>
      <c r="AA7" s="0" t="s">
        <v>17</v>
      </c>
      <c r="AB7" s="0" t="s">
        <v>14</v>
      </c>
      <c r="AG7" s="0" t="n">
        <v>23132</v>
      </c>
    </row>
    <row r="8" customFormat="false" ht="15" hidden="false" customHeight="false" outlineLevel="0" collapsed="false">
      <c r="A8" s="0" t="s">
        <v>74</v>
      </c>
      <c r="B8" s="0" t="n">
        <v>21277</v>
      </c>
      <c r="F8" s="0" t="n">
        <v>2898</v>
      </c>
      <c r="G8" s="0" t="n">
        <v>13.6</v>
      </c>
      <c r="H8" s="0" t="n">
        <v>7256</v>
      </c>
      <c r="I8" s="0" t="n">
        <v>1688</v>
      </c>
      <c r="J8" s="0" t="n">
        <v>7.9</v>
      </c>
      <c r="K8" s="0" t="n">
        <v>0.144</v>
      </c>
      <c r="L8" s="0" t="n">
        <v>7249</v>
      </c>
      <c r="M8" s="0" t="n">
        <v>3094</v>
      </c>
      <c r="N8" s="0" t="n">
        <v>4155</v>
      </c>
      <c r="O8" s="0" t="n">
        <v>16837</v>
      </c>
      <c r="P8" s="0" t="n">
        <v>41628</v>
      </c>
      <c r="Q8" s="0" t="n">
        <v>24791</v>
      </c>
      <c r="R8" s="0" t="n">
        <v>10982</v>
      </c>
      <c r="S8" s="0" t="n">
        <v>1040</v>
      </c>
      <c r="T8" s="0" t="n">
        <v>11755</v>
      </c>
      <c r="U8" s="0" t="n">
        <v>18</v>
      </c>
      <c r="V8" s="0" t="n">
        <v>0.165</v>
      </c>
      <c r="AA8" s="0" t="s">
        <v>17</v>
      </c>
      <c r="AB8" s="0" t="s">
        <v>14</v>
      </c>
      <c r="AG8" s="0" t="n">
        <v>22045</v>
      </c>
    </row>
    <row r="9" customFormat="false" ht="15" hidden="false" customHeight="false" outlineLevel="0" collapsed="false">
      <c r="A9" s="0" t="s">
        <v>75</v>
      </c>
      <c r="B9" s="0" t="n">
        <v>22702</v>
      </c>
      <c r="F9" s="0" t="n">
        <v>3392</v>
      </c>
      <c r="G9" s="0" t="n">
        <v>14.9</v>
      </c>
      <c r="H9" s="0" t="n">
        <v>7862</v>
      </c>
      <c r="I9" s="0" t="n">
        <v>1928</v>
      </c>
      <c r="J9" s="0" t="n">
        <v>8.5</v>
      </c>
      <c r="K9" s="0" t="n">
        <v>0.167</v>
      </c>
      <c r="L9" s="0" t="n">
        <v>6802</v>
      </c>
      <c r="M9" s="0" t="n">
        <v>3870</v>
      </c>
      <c r="N9" s="0" t="n">
        <v>2932</v>
      </c>
      <c r="O9" s="0" t="n">
        <v>17816</v>
      </c>
      <c r="P9" s="0" t="n">
        <v>45029</v>
      </c>
      <c r="Q9" s="0" t="n">
        <v>27213</v>
      </c>
      <c r="R9" s="0" t="n">
        <v>12675</v>
      </c>
      <c r="S9" s="0" t="n">
        <v>932</v>
      </c>
      <c r="T9" s="0" t="n">
        <v>11554</v>
      </c>
      <c r="U9" s="0" t="n">
        <v>19</v>
      </c>
      <c r="AA9" s="0" t="s">
        <v>17</v>
      </c>
      <c r="AB9" s="0" t="s">
        <v>14</v>
      </c>
      <c r="AG9" s="0" t="n">
        <v>23245</v>
      </c>
    </row>
    <row r="10" customFormat="false" ht="15" hidden="false" customHeight="false" outlineLevel="0" collapsed="false">
      <c r="A10" s="0" t="s">
        <v>76</v>
      </c>
      <c r="B10" s="0" t="n">
        <v>22928</v>
      </c>
      <c r="F10" s="0" t="n">
        <v>3049</v>
      </c>
      <c r="G10" s="0" t="n">
        <v>13.3</v>
      </c>
      <c r="H10" s="0" t="n">
        <v>7528</v>
      </c>
      <c r="I10" s="0" t="n">
        <v>1622</v>
      </c>
      <c r="J10" s="0" t="n">
        <v>7.1</v>
      </c>
      <c r="K10" s="0" t="n">
        <v>0.141</v>
      </c>
      <c r="L10" s="0" t="n">
        <v>7049</v>
      </c>
      <c r="M10" s="0" t="n">
        <v>5064</v>
      </c>
      <c r="N10" s="0" t="n">
        <v>1985</v>
      </c>
      <c r="O10" s="0" t="n">
        <v>17352</v>
      </c>
      <c r="P10" s="0" t="n">
        <v>45550</v>
      </c>
      <c r="Q10" s="0" t="n">
        <v>28198</v>
      </c>
      <c r="R10" s="0" t="n">
        <v>13860</v>
      </c>
      <c r="S10" s="0" t="n">
        <v>1046</v>
      </c>
      <c r="T10" s="0" t="n">
        <v>11553</v>
      </c>
      <c r="U10" s="0" t="n">
        <v>20</v>
      </c>
      <c r="AA10" s="0" t="s">
        <v>17</v>
      </c>
      <c r="AB10" s="0" t="s">
        <v>14</v>
      </c>
      <c r="AG10" s="0" t="n">
        <v>23482</v>
      </c>
    </row>
    <row r="11" customFormat="false" ht="15" hidden="false" customHeight="false" outlineLevel="0" collapsed="false">
      <c r="A11" s="0" t="s">
        <v>77</v>
      </c>
      <c r="B11" s="0" t="n">
        <v>23125</v>
      </c>
      <c r="F11" s="0" t="n">
        <v>3916</v>
      </c>
      <c r="G11" s="0" t="n">
        <v>16.9</v>
      </c>
      <c r="H11" s="0" t="n">
        <v>8607</v>
      </c>
      <c r="I11" s="0" t="n">
        <v>2172</v>
      </c>
      <c r="J11" s="0" t="n">
        <v>9.4</v>
      </c>
      <c r="K11" s="0" t="n">
        <v>0.189</v>
      </c>
      <c r="L11" s="0" t="n">
        <v>7324</v>
      </c>
      <c r="M11" s="0" t="n">
        <v>3874</v>
      </c>
      <c r="N11" s="0" t="n">
        <v>3450</v>
      </c>
      <c r="O11" s="0" t="n">
        <v>16316</v>
      </c>
      <c r="P11" s="0" t="n">
        <v>44968</v>
      </c>
      <c r="Q11" s="0" t="n">
        <v>28652</v>
      </c>
      <c r="R11" s="0" t="n">
        <v>14896</v>
      </c>
      <c r="S11" s="0" t="n">
        <v>1012</v>
      </c>
      <c r="T11" s="0" t="n">
        <v>11492</v>
      </c>
      <c r="U11" s="0" t="n">
        <v>19</v>
      </c>
      <c r="V11" s="0" t="n">
        <v>0.19</v>
      </c>
      <c r="AA11" s="0" t="s">
        <v>17</v>
      </c>
      <c r="AB11" s="0" t="s">
        <v>14</v>
      </c>
      <c r="AC11" s="0" t="n">
        <v>0.224</v>
      </c>
      <c r="AD11" s="0" t="n">
        <v>2577</v>
      </c>
      <c r="AE11" s="0" t="n">
        <v>0.19</v>
      </c>
      <c r="AG11" s="0" t="n">
        <v>23610</v>
      </c>
    </row>
    <row r="12" customFormat="false" ht="15" hidden="false" customHeight="false" outlineLevel="0" collapsed="false">
      <c r="A12" s="0" t="s">
        <v>78</v>
      </c>
      <c r="B12" s="0" t="n">
        <v>22937</v>
      </c>
      <c r="F12" s="0" t="n">
        <v>3983</v>
      </c>
      <c r="G12" s="0" t="n">
        <v>17.4</v>
      </c>
      <c r="H12" s="0" t="n">
        <v>8822</v>
      </c>
      <c r="I12" s="0" t="n">
        <v>2241</v>
      </c>
      <c r="J12" s="0" t="n">
        <v>9.8</v>
      </c>
      <c r="K12" s="0" t="n">
        <v>0.199</v>
      </c>
      <c r="L12" s="0" t="n">
        <v>7554</v>
      </c>
      <c r="M12" s="0" t="n">
        <v>3905</v>
      </c>
      <c r="N12" s="0" t="n">
        <v>3649</v>
      </c>
      <c r="O12" s="0" t="n">
        <v>14986</v>
      </c>
      <c r="P12" s="0" t="n">
        <v>44119</v>
      </c>
      <c r="Q12" s="0" t="n">
        <v>29133</v>
      </c>
      <c r="R12" s="0" t="n">
        <v>15512</v>
      </c>
      <c r="S12" s="0" t="n">
        <v>1103</v>
      </c>
      <c r="T12" s="0" t="n">
        <v>11261</v>
      </c>
      <c r="U12" s="0" t="n">
        <v>28</v>
      </c>
      <c r="V12" s="0" t="n">
        <v>0.21</v>
      </c>
      <c r="AA12" s="0" t="s">
        <v>17</v>
      </c>
      <c r="AB12" s="0" t="s">
        <v>14</v>
      </c>
      <c r="AC12" s="0" t="n">
        <v>0.255</v>
      </c>
      <c r="AD12" s="0" t="n">
        <v>2876</v>
      </c>
      <c r="AE12" s="0" t="n">
        <v>0.21</v>
      </c>
      <c r="AG12" s="0" t="n">
        <v>23405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4.78</v>
      </c>
    </row>
    <row r="3" customFormat="false" ht="15" hidden="false" customHeight="false" outlineLevel="0" collapsed="false">
      <c r="A3" s="0" t="s">
        <v>82</v>
      </c>
      <c r="B3" s="3" t="n">
        <v>11139.1</v>
      </c>
    </row>
    <row r="4" customFormat="false" ht="15" hidden="false" customHeight="false" outlineLevel="0" collapsed="false">
      <c r="A4" s="0" t="s">
        <v>83</v>
      </c>
      <c r="B4" s="3" t="n">
        <v>17301</v>
      </c>
    </row>
    <row r="5" customFormat="false" ht="15" hidden="false" customHeight="false" outlineLevel="0" collapsed="false">
      <c r="A5" s="0" t="s">
        <v>84</v>
      </c>
      <c r="B5" s="3" t="n">
        <v>-30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22937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-1</v>
      </c>
      <c r="D13" s="3" t="n">
        <v>-1</v>
      </c>
      <c r="E13" s="3" t="n">
        <v>0</v>
      </c>
      <c r="F13" s="3" t="n">
        <v>0.5</v>
      </c>
      <c r="G13" s="3" t="n">
        <v>1</v>
      </c>
      <c r="H13" s="3" t="n">
        <v>1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103</v>
      </c>
      <c r="C14" s="3" t="n">
        <v>37</v>
      </c>
      <c r="D14" s="3" t="n">
        <v>36.5</v>
      </c>
      <c r="E14" s="3" t="n">
        <v>36.5</v>
      </c>
      <c r="F14" s="3" t="n">
        <v>36.8</v>
      </c>
      <c r="G14" s="3" t="n">
        <v>37</v>
      </c>
      <c r="H14" s="3" t="n">
        <v>37.2</v>
      </c>
      <c r="I14" s="3" t="n">
        <v>37.5</v>
      </c>
      <c r="J14" s="3" t="n">
        <v>37.5</v>
      </c>
      <c r="K14" s="3" t="n">
        <v>37.5</v>
      </c>
      <c r="L14" s="3" t="n">
        <v>37.5</v>
      </c>
    </row>
    <row r="15" customFormat="false" ht="15" hidden="false" customHeight="false" outlineLevel="0" collapsed="false">
      <c r="A15" s="0" t="s">
        <v>104</v>
      </c>
      <c r="C15" s="3" t="n">
        <v>0.13</v>
      </c>
      <c r="D15" s="3" t="n">
        <v>0.13</v>
      </c>
      <c r="E15" s="3" t="n">
        <v>0.13</v>
      </c>
      <c r="F15" s="3" t="n">
        <v>0.13</v>
      </c>
      <c r="G15" s="3" t="n">
        <v>0.13</v>
      </c>
      <c r="H15" s="3" t="n">
        <v>0.13</v>
      </c>
      <c r="I15" s="3" t="n">
        <v>0.13</v>
      </c>
      <c r="J15" s="3" t="n">
        <v>0.13</v>
      </c>
      <c r="K15" s="3" t="n">
        <v>0.13</v>
      </c>
      <c r="L15" s="3" t="n">
        <v>0.13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19</v>
      </c>
      <c r="D17" s="3" t="n">
        <v>19.2</v>
      </c>
      <c r="E17" s="3" t="n">
        <v>19</v>
      </c>
      <c r="F17" s="3" t="n">
        <v>18.8</v>
      </c>
      <c r="G17" s="3" t="n">
        <v>18.6</v>
      </c>
      <c r="H17" s="3" t="n">
        <v>18.4</v>
      </c>
      <c r="I17" s="3" t="n">
        <v>18.2</v>
      </c>
      <c r="J17" s="3" t="n">
        <v>18</v>
      </c>
      <c r="K17" s="3" t="n">
        <v>18</v>
      </c>
      <c r="L17" s="3" t="n">
        <v>18</v>
      </c>
    </row>
    <row r="18" customFormat="false" ht="15" hidden="false" customHeight="false" outlineLevel="0" collapsed="false">
      <c r="A18" s="0" t="s">
        <v>107</v>
      </c>
      <c r="C18" s="3" t="n">
        <v>16.5</v>
      </c>
      <c r="D18" s="3" t="n">
        <v>16.8</v>
      </c>
      <c r="E18" s="3" t="n">
        <v>16.5</v>
      </c>
      <c r="F18" s="3" t="n">
        <v>16.3</v>
      </c>
      <c r="G18" s="3" t="n">
        <v>16</v>
      </c>
      <c r="H18" s="3" t="n">
        <v>15.8</v>
      </c>
      <c r="I18" s="3" t="n">
        <v>15.5</v>
      </c>
      <c r="J18" s="3" t="n">
        <v>15.5</v>
      </c>
      <c r="K18" s="3" t="n">
        <v>15.5</v>
      </c>
      <c r="L18" s="3" t="n">
        <v>15.5</v>
      </c>
    </row>
    <row r="19" customFormat="false" ht="15" hidden="false" customHeight="false" outlineLevel="0" collapsed="false">
      <c r="A19" s="0" t="s">
        <v>108</v>
      </c>
      <c r="C19" s="3" t="n">
        <v>35.6</v>
      </c>
      <c r="D19" s="3" t="n">
        <v>35.6</v>
      </c>
      <c r="E19" s="3" t="n">
        <v>35.6</v>
      </c>
      <c r="F19" s="3" t="n">
        <v>35.6</v>
      </c>
      <c r="G19" s="3" t="n">
        <v>35.6</v>
      </c>
      <c r="H19" s="3" t="n">
        <v>35.6</v>
      </c>
      <c r="I19" s="3" t="n">
        <v>35.6</v>
      </c>
      <c r="J19" s="3" t="n">
        <v>35.6</v>
      </c>
      <c r="K19" s="3" t="n">
        <v>35.6</v>
      </c>
      <c r="L19" s="3" t="n">
        <v>35.6</v>
      </c>
    </row>
    <row r="20" customFormat="false" ht="15" hidden="false" customHeight="false" outlineLevel="0" collapsed="false">
      <c r="A20" s="0" t="s">
        <v>109</v>
      </c>
      <c r="B20" s="3" t="n">
        <v>7.5</v>
      </c>
    </row>
    <row r="21" customFormat="false" ht="15" hidden="false" customHeight="false" outlineLevel="0" collapsed="false">
      <c r="A21" s="0" t="s">
        <v>110</v>
      </c>
      <c r="B21" s="3" t="n">
        <v>1.5</v>
      </c>
    </row>
    <row r="22" customFormat="false" ht="15" hidden="false" customHeight="false" outlineLevel="0" collapsed="false">
      <c r="A22" s="0" t="s">
        <v>111</v>
      </c>
      <c r="B22" s="3" t="n">
        <v>12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0.3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1.5</v>
      </c>
      <c r="D27" s="3" t="n">
        <v>1.5</v>
      </c>
      <c r="E27" s="3" t="n">
        <v>2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103</v>
      </c>
      <c r="C28" s="3" t="n">
        <v>38.8</v>
      </c>
      <c r="D28" s="3" t="n">
        <v>39</v>
      </c>
      <c r="E28" s="3" t="n">
        <v>39.2</v>
      </c>
      <c r="F28" s="3" t="n">
        <v>39.4</v>
      </c>
      <c r="G28" s="3" t="n">
        <v>39.6</v>
      </c>
      <c r="H28" s="3" t="n">
        <v>39.7</v>
      </c>
      <c r="I28" s="3" t="n">
        <v>39.8</v>
      </c>
      <c r="J28" s="3" t="n">
        <v>39.8</v>
      </c>
      <c r="K28" s="3" t="n">
        <v>39.8</v>
      </c>
      <c r="L28" s="3" t="n">
        <v>39.8</v>
      </c>
    </row>
    <row r="29" customFormat="false" ht="15" hidden="false" customHeight="false" outlineLevel="0" collapsed="false">
      <c r="A29" s="0" t="s">
        <v>104</v>
      </c>
      <c r="C29" s="3" t="n">
        <v>0.12</v>
      </c>
      <c r="D29" s="3" t="n">
        <v>0.12</v>
      </c>
      <c r="E29" s="3" t="n">
        <v>0.12</v>
      </c>
      <c r="F29" s="3" t="n">
        <v>0.12</v>
      </c>
      <c r="G29" s="3" t="n">
        <v>0.12</v>
      </c>
      <c r="H29" s="3" t="n">
        <v>0.12</v>
      </c>
      <c r="I29" s="3" t="n">
        <v>0.12</v>
      </c>
      <c r="J29" s="3" t="n">
        <v>0.12</v>
      </c>
      <c r="K29" s="3" t="n">
        <v>0.12</v>
      </c>
      <c r="L29" s="3" t="n">
        <v>0.12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18.6</v>
      </c>
      <c r="D31" s="3" t="n">
        <v>18.4</v>
      </c>
      <c r="E31" s="3" t="n">
        <v>18.2</v>
      </c>
      <c r="F31" s="3" t="n">
        <v>18</v>
      </c>
      <c r="G31" s="3" t="n">
        <v>17.8</v>
      </c>
      <c r="H31" s="3" t="n">
        <v>17.6</v>
      </c>
      <c r="I31" s="3" t="n">
        <v>17.5</v>
      </c>
      <c r="J31" s="3" t="n">
        <v>17.5</v>
      </c>
      <c r="K31" s="3" t="n">
        <v>17.5</v>
      </c>
      <c r="L31" s="3" t="n">
        <v>17.5</v>
      </c>
    </row>
    <row r="32" customFormat="false" ht="15" hidden="false" customHeight="false" outlineLevel="0" collapsed="false">
      <c r="A32" s="0" t="s">
        <v>107</v>
      </c>
      <c r="C32" s="3" t="n">
        <v>15.8</v>
      </c>
      <c r="D32" s="3" t="n">
        <v>15.8</v>
      </c>
      <c r="E32" s="3" t="n">
        <v>15.6</v>
      </c>
      <c r="F32" s="3" t="n">
        <v>15.5</v>
      </c>
      <c r="G32" s="3" t="n">
        <v>15.3</v>
      </c>
      <c r="H32" s="3" t="n">
        <v>15.2</v>
      </c>
      <c r="I32" s="3" t="n">
        <v>15</v>
      </c>
      <c r="J32" s="3" t="n">
        <v>15</v>
      </c>
      <c r="K32" s="3" t="n">
        <v>15</v>
      </c>
      <c r="L32" s="3" t="n">
        <v>15</v>
      </c>
    </row>
    <row r="33" customFormat="false" ht="15" hidden="false" customHeight="false" outlineLevel="0" collapsed="false">
      <c r="A33" s="0" t="s">
        <v>108</v>
      </c>
      <c r="C33" s="3" t="n">
        <v>35.25</v>
      </c>
      <c r="D33" s="3" t="n">
        <v>35.25</v>
      </c>
      <c r="E33" s="3" t="n">
        <v>35.25</v>
      </c>
      <c r="F33" s="3" t="n">
        <v>35.25</v>
      </c>
      <c r="G33" s="3" t="n">
        <v>35.25</v>
      </c>
      <c r="H33" s="3" t="n">
        <v>35.25</v>
      </c>
      <c r="I33" s="3" t="n">
        <v>35.25</v>
      </c>
      <c r="J33" s="3" t="n">
        <v>35.25</v>
      </c>
      <c r="K33" s="3" t="n">
        <v>35.25</v>
      </c>
      <c r="L33" s="3" t="n">
        <v>35.25</v>
      </c>
    </row>
    <row r="34" customFormat="false" ht="15" hidden="false" customHeight="false" outlineLevel="0" collapsed="false">
      <c r="A34" s="0" t="s">
        <v>109</v>
      </c>
      <c r="B34" s="3" t="n">
        <v>7.5</v>
      </c>
    </row>
    <row r="35" customFormat="false" ht="15" hidden="false" customHeight="false" outlineLevel="0" collapsed="false">
      <c r="A35" s="0" t="s">
        <v>110</v>
      </c>
      <c r="B35" s="3" t="n">
        <v>2</v>
      </c>
    </row>
    <row r="36" customFormat="false" ht="15" hidden="false" customHeight="false" outlineLevel="0" collapsed="false">
      <c r="A36" s="0" t="s">
        <v>111</v>
      </c>
      <c r="B36" s="3" t="n">
        <v>15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3</v>
      </c>
      <c r="D41" s="3" t="n">
        <v>3.5</v>
      </c>
      <c r="E41" s="3" t="n">
        <v>4</v>
      </c>
      <c r="F41" s="3" t="n">
        <v>4</v>
      </c>
      <c r="G41" s="3" t="n">
        <v>3.5</v>
      </c>
      <c r="H41" s="3" t="n">
        <v>3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103</v>
      </c>
      <c r="C42" s="3" t="n">
        <v>39.2</v>
      </c>
      <c r="D42" s="3" t="n">
        <v>39.8</v>
      </c>
      <c r="E42" s="3" t="n">
        <v>40.5</v>
      </c>
      <c r="F42" s="3" t="n">
        <v>41</v>
      </c>
      <c r="G42" s="3" t="n">
        <v>41.5</v>
      </c>
      <c r="H42" s="3" t="n">
        <v>41.8</v>
      </c>
      <c r="I42" s="3" t="n">
        <v>42</v>
      </c>
      <c r="J42" s="3" t="n">
        <v>42</v>
      </c>
      <c r="K42" s="3" t="n">
        <v>42</v>
      </c>
      <c r="L42" s="3" t="n">
        <v>42</v>
      </c>
    </row>
    <row r="43" customFormat="false" ht="15" hidden="false" customHeight="false" outlineLevel="0" collapsed="false">
      <c r="A43" s="0" t="s">
        <v>104</v>
      </c>
      <c r="C43" s="3" t="n">
        <v>0.12</v>
      </c>
      <c r="D43" s="3" t="n">
        <v>0.12</v>
      </c>
      <c r="E43" s="3" t="n">
        <v>0.12</v>
      </c>
      <c r="F43" s="3" t="n">
        <v>0.12</v>
      </c>
      <c r="G43" s="3" t="n">
        <v>0.12</v>
      </c>
      <c r="H43" s="3" t="n">
        <v>0.12</v>
      </c>
      <c r="I43" s="3" t="n">
        <v>0.12</v>
      </c>
      <c r="J43" s="3" t="n">
        <v>0.12</v>
      </c>
      <c r="K43" s="3" t="n">
        <v>0.12</v>
      </c>
      <c r="L43" s="3" t="n">
        <v>0.12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18.4</v>
      </c>
      <c r="D45" s="3" t="n">
        <v>18</v>
      </c>
      <c r="E45" s="3" t="n">
        <v>17.6</v>
      </c>
      <c r="F45" s="3" t="n">
        <v>17.2</v>
      </c>
      <c r="G45" s="3" t="n">
        <v>16.8</v>
      </c>
      <c r="H45" s="3" t="n">
        <v>16.5</v>
      </c>
      <c r="I45" s="3" t="n">
        <v>16.3</v>
      </c>
      <c r="J45" s="3" t="n">
        <v>16.2</v>
      </c>
      <c r="K45" s="3" t="n">
        <v>16.2</v>
      </c>
      <c r="L45" s="3" t="n">
        <v>16.2</v>
      </c>
    </row>
    <row r="46" customFormat="false" ht="15" hidden="false" customHeight="false" outlineLevel="0" collapsed="false">
      <c r="A46" s="0" t="s">
        <v>107</v>
      </c>
      <c r="C46" s="3" t="n">
        <v>15.5</v>
      </c>
      <c r="D46" s="3" t="n">
        <v>15.3</v>
      </c>
      <c r="E46" s="3" t="n">
        <v>15</v>
      </c>
      <c r="F46" s="3" t="n">
        <v>14.8</v>
      </c>
      <c r="G46" s="3" t="n">
        <v>14.5</v>
      </c>
      <c r="H46" s="3" t="n">
        <v>14.3</v>
      </c>
      <c r="I46" s="3" t="n">
        <v>14</v>
      </c>
      <c r="J46" s="3" t="n">
        <v>14</v>
      </c>
      <c r="K46" s="3" t="n">
        <v>14</v>
      </c>
      <c r="L46" s="3" t="n">
        <v>14</v>
      </c>
    </row>
    <row r="47" customFormat="false" ht="15" hidden="false" customHeight="false" outlineLevel="0" collapsed="false">
      <c r="A47" s="0" t="s">
        <v>108</v>
      </c>
      <c r="C47" s="3" t="n">
        <v>34.9</v>
      </c>
      <c r="D47" s="3" t="n">
        <v>34.9</v>
      </c>
      <c r="E47" s="3" t="n">
        <v>34.9</v>
      </c>
      <c r="F47" s="3" t="n">
        <v>34.9</v>
      </c>
      <c r="G47" s="3" t="n">
        <v>34.9</v>
      </c>
      <c r="H47" s="3" t="n">
        <v>34.9</v>
      </c>
      <c r="I47" s="3" t="n">
        <v>34.9</v>
      </c>
      <c r="J47" s="3" t="n">
        <v>34.9</v>
      </c>
      <c r="K47" s="3" t="n">
        <v>34.9</v>
      </c>
      <c r="L47" s="3" t="n">
        <v>34.9</v>
      </c>
    </row>
    <row r="48" customFormat="false" ht="15" hidden="false" customHeight="false" outlineLevel="0" collapsed="false">
      <c r="A48" s="0" t="s">
        <v>109</v>
      </c>
      <c r="B48" s="3" t="n">
        <v>7</v>
      </c>
    </row>
    <row r="49" customFormat="false" ht="15" hidden="false" customHeight="false" outlineLevel="0" collapsed="false">
      <c r="A49" s="0" t="s">
        <v>110</v>
      </c>
      <c r="B49" s="3" t="n">
        <v>2.5</v>
      </c>
    </row>
    <row r="50" customFormat="false" ht="15" hidden="false" customHeight="false" outlineLevel="0" collapsed="false">
      <c r="A50" s="0" t="s">
        <v>111</v>
      </c>
      <c r="B50" s="3" t="n">
        <v>17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-1</v>
      </c>
      <c r="D5" s="4" t="n">
        <f aca="false">Assumptions!D13</f>
        <v>-1</v>
      </c>
      <c r="E5" s="4" t="n">
        <f aca="false">Assumptions!E13</f>
        <v>0</v>
      </c>
      <c r="F5" s="4" t="n">
        <f aca="false">Assumptions!F13</f>
        <v>0.5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22937</v>
      </c>
      <c r="C6" s="0" t="n">
        <f aca="false">B6*(1+C5/100)</f>
        <v>22707.63</v>
      </c>
      <c r="D6" s="0" t="n">
        <f aca="false">C6*(1+D5/100)</f>
        <v>22480.5537</v>
      </c>
      <c r="E6" s="0" t="n">
        <f aca="false">D6*(1+E5/100)</f>
        <v>22480.5537</v>
      </c>
      <c r="F6" s="0" t="n">
        <f aca="false">E6*(1+F5/100)</f>
        <v>22592.9564685</v>
      </c>
      <c r="G6" s="0" t="n">
        <f aca="false">F6*(1+G5/100)</f>
        <v>22818.886033185</v>
      </c>
      <c r="H6" s="0" t="n">
        <f aca="false">G6*(1+H5/100)</f>
        <v>23047.0748935169</v>
      </c>
      <c r="I6" s="0" t="n">
        <f aca="false">H6*(1+I5/100)</f>
        <v>23392.7810169196</v>
      </c>
      <c r="J6" s="0" t="n">
        <f aca="false">I6*(1+J5/100)</f>
        <v>23743.6727321734</v>
      </c>
      <c r="K6" s="0" t="n">
        <f aca="false">J6*(1+K5/100)</f>
        <v>24099.827823156</v>
      </c>
      <c r="L6" s="0" t="n">
        <f aca="false">K6*(1+L5/100)</f>
        <v>24461.3252405033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37</v>
      </c>
      <c r="D7" s="4" t="n">
        <f aca="false">Assumptions!D14</f>
        <v>36.5</v>
      </c>
      <c r="E7" s="4" t="n">
        <f aca="false">Assumptions!E14</f>
        <v>36.5</v>
      </c>
      <c r="F7" s="4" t="n">
        <f aca="false">Assumptions!F14</f>
        <v>36.8</v>
      </c>
      <c r="G7" s="4" t="n">
        <f aca="false">Assumptions!G14</f>
        <v>37</v>
      </c>
      <c r="H7" s="4" t="n">
        <f aca="false">Assumptions!H14</f>
        <v>37.2</v>
      </c>
      <c r="I7" s="4" t="n">
        <f aca="false">Assumptions!I14</f>
        <v>37.5</v>
      </c>
      <c r="J7" s="4" t="n">
        <f aca="false">Assumptions!J14</f>
        <v>37.5</v>
      </c>
      <c r="K7" s="4" t="n">
        <f aca="false">Assumptions!K14</f>
        <v>37.5</v>
      </c>
      <c r="L7" s="4" t="n">
        <f aca="false">Assumptions!L14</f>
        <v>37.5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8401.8231</v>
      </c>
      <c r="D8" s="0" t="n">
        <f aca="false">D6*D7/100</f>
        <v>8205.4021005</v>
      </c>
      <c r="E8" s="0" t="n">
        <f aca="false">E6*E7/100</f>
        <v>8205.4021005</v>
      </c>
      <c r="F8" s="0" t="n">
        <f aca="false">F6*F7/100</f>
        <v>8314.207980408</v>
      </c>
      <c r="G8" s="0" t="n">
        <f aca="false">G6*G7/100</f>
        <v>8442.98783227845</v>
      </c>
      <c r="H8" s="0" t="n">
        <f aca="false">H6*H7/100</f>
        <v>8573.51186038827</v>
      </c>
      <c r="I8" s="0" t="n">
        <f aca="false">I6*I7/100</f>
        <v>8772.29288134485</v>
      </c>
      <c r="J8" s="0" t="n">
        <f aca="false">J6*J7/100</f>
        <v>8903.87727456502</v>
      </c>
      <c r="K8" s="0" t="n">
        <f aca="false">K6*K7/100</f>
        <v>9037.4354336835</v>
      </c>
      <c r="L8" s="0" t="n">
        <f aca="false">L6*L7/100</f>
        <v>9172.99696518875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0.13</v>
      </c>
      <c r="D9" s="4" t="n">
        <f aca="false">Assumptions!D15</f>
        <v>0.13</v>
      </c>
      <c r="E9" s="4" t="n">
        <f aca="false">Assumptions!E15</f>
        <v>0.13</v>
      </c>
      <c r="F9" s="4" t="n">
        <f aca="false">Assumptions!F15</f>
        <v>0.13</v>
      </c>
      <c r="G9" s="4" t="n">
        <f aca="false">Assumptions!G15</f>
        <v>0.13</v>
      </c>
      <c r="H9" s="4" t="n">
        <f aca="false">Assumptions!H15</f>
        <v>0.13</v>
      </c>
      <c r="I9" s="4" t="n">
        <f aca="false">Assumptions!I15</f>
        <v>0.13</v>
      </c>
      <c r="J9" s="4" t="n">
        <f aca="false">Assumptions!J15</f>
        <v>0.13</v>
      </c>
      <c r="K9" s="4" t="n">
        <f aca="false">Assumptions!K15</f>
        <v>0.13</v>
      </c>
      <c r="L9" s="4" t="n">
        <f aca="false">Assumptions!L15</f>
        <v>0.13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-29.519919</v>
      </c>
      <c r="D10" s="0" t="n">
        <f aca="false">-D6*D9/100</f>
        <v>-29.22471981</v>
      </c>
      <c r="E10" s="0" t="n">
        <f aca="false">-E6*E9/100</f>
        <v>-29.22471981</v>
      </c>
      <c r="F10" s="0" t="n">
        <f aca="false">-F6*F9/100</f>
        <v>-29.37084340905</v>
      </c>
      <c r="G10" s="0" t="n">
        <f aca="false">-G6*G9/100</f>
        <v>-29.6645518431405</v>
      </c>
      <c r="H10" s="0" t="n">
        <f aca="false">-H6*H9/100</f>
        <v>-29.9611973615719</v>
      </c>
      <c r="I10" s="0" t="n">
        <f aca="false">-I6*I9/100</f>
        <v>-30.4106153219955</v>
      </c>
      <c r="J10" s="0" t="n">
        <f aca="false">-J6*J9/100</f>
        <v>-30.8667745518254</v>
      </c>
      <c r="K10" s="0" t="n">
        <f aca="false">-K6*K9/100</f>
        <v>-31.3297761701028</v>
      </c>
      <c r="L10" s="0" t="n">
        <f aca="false">-L6*L9/100</f>
        <v>-31.7997228126543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8372.303181</v>
      </c>
      <c r="D11" s="0" t="n">
        <f aca="false">D8+D10+D24</f>
        <v>8176.17738069</v>
      </c>
      <c r="E11" s="0" t="n">
        <f aca="false">E8+E10+E24</f>
        <v>8176.17738069</v>
      </c>
      <c r="F11" s="0" t="n">
        <f aca="false">F8+F10+F24</f>
        <v>8284.83713699895</v>
      </c>
      <c r="G11" s="0" t="n">
        <f aca="false">G8+G10+G24</f>
        <v>8413.32328043531</v>
      </c>
      <c r="H11" s="0" t="n">
        <f aca="false">H8+H10+H24</f>
        <v>8543.5506630267</v>
      </c>
      <c r="I11" s="0" t="n">
        <f aca="false">I8+I10+I24</f>
        <v>8741.88226602285</v>
      </c>
      <c r="J11" s="0" t="n">
        <f aca="false">J8+J10+J24</f>
        <v>8873.0105000132</v>
      </c>
      <c r="K11" s="0" t="n">
        <f aca="false">K8+K10+K24</f>
        <v>9006.10565751339</v>
      </c>
      <c r="L11" s="0" t="n">
        <f aca="false">L8+L10+L24</f>
        <v>9141.19724237609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-4314.4497</v>
      </c>
      <c r="D12" s="4" t="n">
        <f aca="false">-D6*Assumptions!D17/100</f>
        <v>-4316.2663104</v>
      </c>
      <c r="E12" s="4" t="n">
        <f aca="false">-E6*Assumptions!E17/100</f>
        <v>-4271.305203</v>
      </c>
      <c r="F12" s="4" t="n">
        <f aca="false">-F6*Assumptions!F17/100</f>
        <v>-4247.475816078</v>
      </c>
      <c r="G12" s="4" t="n">
        <f aca="false">-G6*Assumptions!G17/100</f>
        <v>-4244.31280217241</v>
      </c>
      <c r="H12" s="4" t="n">
        <f aca="false">-H6*Assumptions!H17/100</f>
        <v>-4240.6617804071</v>
      </c>
      <c r="I12" s="4" t="n">
        <f aca="false">-I6*Assumptions!I17/100</f>
        <v>-4257.48614507937</v>
      </c>
      <c r="J12" s="4" t="n">
        <f aca="false">-J6*Assumptions!J17/100</f>
        <v>-4273.86109179121</v>
      </c>
      <c r="K12" s="4" t="n">
        <f aca="false">-K6*Assumptions!K17/100</f>
        <v>-4337.96900816808</v>
      </c>
      <c r="L12" s="4" t="n">
        <f aca="false">-L6*Assumptions!L17/100</f>
        <v>-4403.0385432906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4057.853481</v>
      </c>
      <c r="D13" s="0" t="n">
        <f aca="false">D11+D12</f>
        <v>3859.91107029</v>
      </c>
      <c r="E13" s="0" t="n">
        <f aca="false">E11+E12</f>
        <v>3904.87217769</v>
      </c>
      <c r="F13" s="0" t="n">
        <f aca="false">F11+F12</f>
        <v>4037.36132092095</v>
      </c>
      <c r="G13" s="0" t="n">
        <f aca="false">G11+G12</f>
        <v>4169.0104782629</v>
      </c>
      <c r="H13" s="0" t="n">
        <f aca="false">H11+H12</f>
        <v>4302.8888826196</v>
      </c>
      <c r="I13" s="0" t="n">
        <f aca="false">I11+I12</f>
        <v>4484.39612094349</v>
      </c>
      <c r="J13" s="0" t="n">
        <f aca="false">J11+J12</f>
        <v>4599.14940822199</v>
      </c>
      <c r="K13" s="0" t="n">
        <f aca="false">K11+K12</f>
        <v>4668.13664934531</v>
      </c>
      <c r="L13" s="0" t="n">
        <f aca="false">L11+L12</f>
        <v>4738.15869908549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35.6</v>
      </c>
      <c r="D14" s="4" t="n">
        <f aca="false">Assumptions!D19</f>
        <v>35.6</v>
      </c>
      <c r="E14" s="4" t="n">
        <f aca="false">Assumptions!E19</f>
        <v>35.6</v>
      </c>
      <c r="F14" s="4" t="n">
        <f aca="false">Assumptions!F19</f>
        <v>35.6</v>
      </c>
      <c r="G14" s="4" t="n">
        <f aca="false">Assumptions!G19</f>
        <v>35.6</v>
      </c>
      <c r="H14" s="4" t="n">
        <f aca="false">Assumptions!H19</f>
        <v>35.6</v>
      </c>
      <c r="I14" s="4" t="n">
        <f aca="false">Assumptions!I19</f>
        <v>35.6</v>
      </c>
      <c r="J14" s="4" t="n">
        <f aca="false">Assumptions!J19</f>
        <v>35.6</v>
      </c>
      <c r="K14" s="4" t="n">
        <f aca="false">Assumptions!K19</f>
        <v>35.6</v>
      </c>
      <c r="L14" s="4" t="n">
        <f aca="false">Assumptions!L19</f>
        <v>35.6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2613.257641764</v>
      </c>
      <c r="D15" s="0" t="n">
        <f aca="false">D13-MAX(0,D13)*D14/100</f>
        <v>2485.78272926676</v>
      </c>
      <c r="E15" s="0" t="n">
        <f aca="false">E13-MAX(0,E13)*E14/100</f>
        <v>2514.73768243236</v>
      </c>
      <c r="F15" s="0" t="n">
        <f aca="false">F13-MAX(0,F13)*F14/100</f>
        <v>2600.06069067309</v>
      </c>
      <c r="G15" s="0" t="n">
        <f aca="false">G13-MAX(0,G13)*G14/100</f>
        <v>2684.84274800131</v>
      </c>
      <c r="H15" s="0" t="n">
        <f aca="false">H13-MAX(0,H13)*H14/100</f>
        <v>2771.06044040702</v>
      </c>
      <c r="I15" s="0" t="n">
        <f aca="false">I13-MAX(0,I13)*I14/100</f>
        <v>2887.9511018876</v>
      </c>
      <c r="J15" s="0" t="n">
        <f aca="false">J13-MAX(0,J13)*J14/100</f>
        <v>2961.85221889496</v>
      </c>
      <c r="K15" s="0" t="n">
        <f aca="false">K13-MAX(0,K13)*K14/100</f>
        <v>3006.28000217838</v>
      </c>
      <c r="L15" s="0" t="n">
        <f aca="false">L13-MAX(0,L13)*L14/100</f>
        <v>3051.37420221106</v>
      </c>
    </row>
    <row r="16" customFormat="false" ht="15" hidden="false" customHeight="false" outlineLevel="0" collapsed="false">
      <c r="A16" s="0" t="s">
        <v>124</v>
      </c>
      <c r="C16" s="0" t="n">
        <f aca="false">-C12</f>
        <v>4314.4497</v>
      </c>
      <c r="D16" s="0" t="n">
        <f aca="false">-D12</f>
        <v>4316.2663104</v>
      </c>
      <c r="E16" s="0" t="n">
        <f aca="false">-E12</f>
        <v>4271.305203</v>
      </c>
      <c r="F16" s="0" t="n">
        <f aca="false">-F12</f>
        <v>4247.475816078</v>
      </c>
      <c r="G16" s="0" t="n">
        <f aca="false">-G12</f>
        <v>4244.31280217241</v>
      </c>
      <c r="H16" s="0" t="n">
        <f aca="false">-H12</f>
        <v>4240.6617804071</v>
      </c>
      <c r="I16" s="0" t="n">
        <f aca="false">-I12</f>
        <v>4257.48614507937</v>
      </c>
      <c r="J16" s="0" t="n">
        <f aca="false">-J12</f>
        <v>4273.86109179121</v>
      </c>
      <c r="K16" s="0" t="n">
        <f aca="false">-K12</f>
        <v>4337.96900816808</v>
      </c>
      <c r="L16" s="0" t="n">
        <f aca="false">-L12</f>
        <v>4403.0385432906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-3746.75895</v>
      </c>
      <c r="D17" s="4" t="n">
        <f aca="false">-D6*Assumptions!D18/100</f>
        <v>-3776.7330216</v>
      </c>
      <c r="E17" s="4" t="n">
        <f aca="false">-E6*Assumptions!E18/100</f>
        <v>-3709.2913605</v>
      </c>
      <c r="F17" s="4" t="n">
        <f aca="false">-F6*Assumptions!F18/100</f>
        <v>-3682.6519043655</v>
      </c>
      <c r="G17" s="4" t="n">
        <f aca="false">-G6*Assumptions!G18/100</f>
        <v>-3651.0217653096</v>
      </c>
      <c r="H17" s="4" t="n">
        <f aca="false">-H6*Assumptions!H18/100</f>
        <v>-3641.43783317566</v>
      </c>
      <c r="I17" s="4" t="n">
        <f aca="false">-I6*Assumptions!I18/100</f>
        <v>-3625.88105762254</v>
      </c>
      <c r="J17" s="4" t="n">
        <f aca="false">-J6*Assumptions!J18/100</f>
        <v>-3680.26927348688</v>
      </c>
      <c r="K17" s="4" t="n">
        <f aca="false">-K6*Assumptions!K18/100</f>
        <v>-3735.47331258918</v>
      </c>
      <c r="L17" s="4" t="n">
        <f aca="false">-L6*Assumptions!L18/100</f>
        <v>-3791.50541227802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3180.948391764</v>
      </c>
      <c r="D19" s="0" t="n">
        <f aca="false">D15+D16+D17+D18</f>
        <v>3025.31601806676</v>
      </c>
      <c r="E19" s="0" t="n">
        <f aca="false">E15+E16+E17+E18</f>
        <v>3076.75152493236</v>
      </c>
      <c r="F19" s="0" t="n">
        <f aca="false">F15+F16+F17+F18</f>
        <v>3164.88460238559</v>
      </c>
      <c r="G19" s="0" t="n">
        <f aca="false">G15+G16+G17+G18</f>
        <v>3278.13378486412</v>
      </c>
      <c r="H19" s="0" t="n">
        <f aca="false">H15+H16+H17+H18</f>
        <v>3370.28438763846</v>
      </c>
      <c r="I19" s="0" t="n">
        <f aca="false">I15+I16+I17+I18</f>
        <v>3519.55618934443</v>
      </c>
      <c r="J19" s="0" t="n">
        <f aca="false">J15+J16+J17+J18</f>
        <v>3555.44403719929</v>
      </c>
      <c r="K19" s="0" t="n">
        <f aca="false">K15+K16+K17+K18</f>
        <v>3608.77569775728</v>
      </c>
      <c r="L19" s="0" t="n">
        <f aca="false">L15+L16+L17+L18</f>
        <v>3662.90733322364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2959.02175978047</v>
      </c>
      <c r="D21" s="0" t="n">
        <f aca="false">D19*D20</f>
        <v>2617.90461271326</v>
      </c>
      <c r="E21" s="0" t="n">
        <f aca="false">E19*E20</f>
        <v>2476.66365974909</v>
      </c>
      <c r="F21" s="0" t="n">
        <f aca="false">F19*F20</f>
        <v>2369.86726694742</v>
      </c>
      <c r="G21" s="0" t="n">
        <f aca="false">G19*G20</f>
        <v>2283.41238584566</v>
      </c>
      <c r="H21" s="0" t="n">
        <f aca="false">H19*H20</f>
        <v>2183.81458947385</v>
      </c>
      <c r="I21" s="0" t="n">
        <f aca="false">I19*I20</f>
        <v>2121.42974211284</v>
      </c>
      <c r="J21" s="0" t="n">
        <f aca="false">J19*J20</f>
        <v>1993.54541236282</v>
      </c>
      <c r="K21" s="0" t="n">
        <f aca="false">K19*K20</f>
        <v>1882.27776144024</v>
      </c>
      <c r="L21" s="0" t="n">
        <f aca="false">L19*L20</f>
        <v>1777.22039801102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22665.1575884367</v>
      </c>
    </row>
    <row r="31" customFormat="false" ht="15" hidden="false" customHeight="false" outlineLevel="0" collapsed="false">
      <c r="A31" s="0" t="s">
        <v>133</v>
      </c>
      <c r="B31" s="0" t="n">
        <f aca="false">L19</f>
        <v>3662.90733322364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61964.1823870333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43954.8879986837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43954.8879986837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21326.6447761322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43991.8023645689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26660.8023645689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2.39344312956782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-0.499279680006732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205.751288451996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261.00779861375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2.43534589433928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27539.6366164592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0.526621089809518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1.5</v>
      </c>
      <c r="D5" s="4" t="n">
        <f aca="false">Assumptions!D27</f>
        <v>1.5</v>
      </c>
      <c r="E5" s="4" t="n">
        <f aca="false">Assumptions!E27</f>
        <v>2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22937</v>
      </c>
      <c r="C6" s="0" t="n">
        <f aca="false">B6*(1+C5/100)</f>
        <v>23281.055</v>
      </c>
      <c r="D6" s="0" t="n">
        <f aca="false">C6*(1+D5/100)</f>
        <v>23630.270825</v>
      </c>
      <c r="E6" s="0" t="n">
        <f aca="false">D6*(1+E5/100)</f>
        <v>24102.8762415</v>
      </c>
      <c r="F6" s="0" t="n">
        <f aca="false">E6*(1+F5/100)</f>
        <v>24584.93376633</v>
      </c>
      <c r="G6" s="0" t="n">
        <f aca="false">F6*(1+G5/100)</f>
        <v>25076.6324416566</v>
      </c>
      <c r="H6" s="0" t="n">
        <f aca="false">G6*(1+H5/100)</f>
        <v>25578.1650904897</v>
      </c>
      <c r="I6" s="0" t="n">
        <f aca="false">H6*(1+I5/100)</f>
        <v>26089.7283922995</v>
      </c>
      <c r="J6" s="0" t="n">
        <f aca="false">I6*(1+J5/100)</f>
        <v>26611.5229601455</v>
      </c>
      <c r="K6" s="0" t="n">
        <f aca="false">J6*(1+K5/100)</f>
        <v>27143.7534193484</v>
      </c>
      <c r="L6" s="0" t="n">
        <f aca="false">K6*(1+L5/100)</f>
        <v>27686.6284877354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38.8</v>
      </c>
      <c r="D7" s="4" t="n">
        <f aca="false">Assumptions!D28</f>
        <v>39</v>
      </c>
      <c r="E7" s="4" t="n">
        <f aca="false">Assumptions!E28</f>
        <v>39.2</v>
      </c>
      <c r="F7" s="4" t="n">
        <f aca="false">Assumptions!F28</f>
        <v>39.4</v>
      </c>
      <c r="G7" s="4" t="n">
        <f aca="false">Assumptions!G28</f>
        <v>39.6</v>
      </c>
      <c r="H7" s="4" t="n">
        <f aca="false">Assumptions!H28</f>
        <v>39.7</v>
      </c>
      <c r="I7" s="4" t="n">
        <f aca="false">Assumptions!I28</f>
        <v>39.8</v>
      </c>
      <c r="J7" s="4" t="n">
        <f aca="false">Assumptions!J28</f>
        <v>39.8</v>
      </c>
      <c r="K7" s="4" t="n">
        <f aca="false">Assumptions!K28</f>
        <v>39.8</v>
      </c>
      <c r="L7" s="4" t="n">
        <f aca="false">Assumptions!L28</f>
        <v>39.8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9033.04934</v>
      </c>
      <c r="D8" s="0" t="n">
        <f aca="false">D6*D7/100</f>
        <v>9215.80562175</v>
      </c>
      <c r="E8" s="0" t="n">
        <f aca="false">E6*E7/100</f>
        <v>9448.327486668</v>
      </c>
      <c r="F8" s="0" t="n">
        <f aca="false">F6*F7/100</f>
        <v>9686.46390393402</v>
      </c>
      <c r="G8" s="0" t="n">
        <f aca="false">G6*G7/100</f>
        <v>9930.34644689601</v>
      </c>
      <c r="H8" s="0" t="n">
        <f aca="false">H6*H7/100</f>
        <v>10154.5315409244</v>
      </c>
      <c r="I8" s="0" t="n">
        <f aca="false">I6*I7/100</f>
        <v>10383.7119001352</v>
      </c>
      <c r="J8" s="0" t="n">
        <f aca="false">J6*J7/100</f>
        <v>10591.3861381379</v>
      </c>
      <c r="K8" s="0" t="n">
        <f aca="false">K6*K7/100</f>
        <v>10803.2138609007</v>
      </c>
      <c r="L8" s="0" t="n">
        <f aca="false">L6*L7/100</f>
        <v>11019.2781381187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0.12</v>
      </c>
      <c r="D9" s="4" t="n">
        <f aca="false">Assumptions!D29</f>
        <v>0.12</v>
      </c>
      <c r="E9" s="4" t="n">
        <f aca="false">Assumptions!E29</f>
        <v>0.12</v>
      </c>
      <c r="F9" s="4" t="n">
        <f aca="false">Assumptions!F29</f>
        <v>0.12</v>
      </c>
      <c r="G9" s="4" t="n">
        <f aca="false">Assumptions!G29</f>
        <v>0.12</v>
      </c>
      <c r="H9" s="4" t="n">
        <f aca="false">Assumptions!H29</f>
        <v>0.12</v>
      </c>
      <c r="I9" s="4" t="n">
        <f aca="false">Assumptions!I29</f>
        <v>0.12</v>
      </c>
      <c r="J9" s="4" t="n">
        <f aca="false">Assumptions!J29</f>
        <v>0.12</v>
      </c>
      <c r="K9" s="4" t="n">
        <f aca="false">Assumptions!K29</f>
        <v>0.12</v>
      </c>
      <c r="L9" s="4" t="n">
        <f aca="false">Assumptions!L29</f>
        <v>0.12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-27.937266</v>
      </c>
      <c r="D10" s="0" t="n">
        <f aca="false">-D6*D9/100</f>
        <v>-28.35632499</v>
      </c>
      <c r="E10" s="0" t="n">
        <f aca="false">-E6*E9/100</f>
        <v>-28.9234514898</v>
      </c>
      <c r="F10" s="0" t="n">
        <f aca="false">-F6*F9/100</f>
        <v>-29.501920519596</v>
      </c>
      <c r="G10" s="0" t="n">
        <f aca="false">-G6*G9/100</f>
        <v>-30.0919589299879</v>
      </c>
      <c r="H10" s="0" t="n">
        <f aca="false">-H6*H9/100</f>
        <v>-30.6937981085877</v>
      </c>
      <c r="I10" s="0" t="n">
        <f aca="false">-I6*I9/100</f>
        <v>-31.3076740707594</v>
      </c>
      <c r="J10" s="0" t="n">
        <f aca="false">-J6*J9/100</f>
        <v>-31.9338275521746</v>
      </c>
      <c r="K10" s="0" t="n">
        <f aca="false">-K6*K9/100</f>
        <v>-32.5725041032181</v>
      </c>
      <c r="L10" s="0" t="n">
        <f aca="false">-L6*L9/100</f>
        <v>-33.2239541852825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9005.112074</v>
      </c>
      <c r="D11" s="0" t="n">
        <f aca="false">D8+D10+D24</f>
        <v>9187.44929676</v>
      </c>
      <c r="E11" s="0" t="n">
        <f aca="false">E8+E10+E24</f>
        <v>9419.4040351782</v>
      </c>
      <c r="F11" s="0" t="n">
        <f aca="false">F8+F10+F24</f>
        <v>9656.96198341442</v>
      </c>
      <c r="G11" s="0" t="n">
        <f aca="false">G8+G10+G24</f>
        <v>9900.25448796602</v>
      </c>
      <c r="H11" s="0" t="n">
        <f aca="false">H8+H10+H24</f>
        <v>10123.8377428158</v>
      </c>
      <c r="I11" s="0" t="n">
        <f aca="false">I8+I10+I24</f>
        <v>10352.4042260645</v>
      </c>
      <c r="J11" s="0" t="n">
        <f aca="false">J8+J10+J24</f>
        <v>10559.4523105857</v>
      </c>
      <c r="K11" s="0" t="n">
        <f aca="false">K8+K10+K24</f>
        <v>10770.6413567975</v>
      </c>
      <c r="L11" s="0" t="n">
        <f aca="false">L8+L10+L24</f>
        <v>10986.0541839334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-4330.27623</v>
      </c>
      <c r="D12" s="4" t="n">
        <f aca="false">-D6*Assumptions!D31/100</f>
        <v>-4347.9698318</v>
      </c>
      <c r="E12" s="4" t="n">
        <f aca="false">-E6*Assumptions!E31/100</f>
        <v>-4386.723475953</v>
      </c>
      <c r="F12" s="4" t="n">
        <f aca="false">-F6*Assumptions!F31/100</f>
        <v>-4425.2880779394</v>
      </c>
      <c r="G12" s="4" t="n">
        <f aca="false">-G6*Assumptions!G31/100</f>
        <v>-4463.64057461487</v>
      </c>
      <c r="H12" s="4" t="n">
        <f aca="false">-H6*Assumptions!H31/100</f>
        <v>-4501.75705592619</v>
      </c>
      <c r="I12" s="4" t="n">
        <f aca="false">-I6*Assumptions!I31/100</f>
        <v>-4565.70246865242</v>
      </c>
      <c r="J12" s="4" t="n">
        <f aca="false">-J6*Assumptions!J31/100</f>
        <v>-4657.01651802547</v>
      </c>
      <c r="K12" s="4" t="n">
        <f aca="false">-K6*Assumptions!K31/100</f>
        <v>-4750.15684838598</v>
      </c>
      <c r="L12" s="4" t="n">
        <f aca="false">-L6*Assumptions!L31/100</f>
        <v>-4845.15998535369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4674.835844</v>
      </c>
      <c r="D13" s="0" t="n">
        <f aca="false">D11+D12</f>
        <v>4839.47946496</v>
      </c>
      <c r="E13" s="0" t="n">
        <f aca="false">E11+E12</f>
        <v>5032.6805592252</v>
      </c>
      <c r="F13" s="0" t="n">
        <f aca="false">F11+F12</f>
        <v>5231.67390547502</v>
      </c>
      <c r="G13" s="0" t="n">
        <f aca="false">G11+G12</f>
        <v>5436.61391335115</v>
      </c>
      <c r="H13" s="0" t="n">
        <f aca="false">H11+H12</f>
        <v>5622.08068688964</v>
      </c>
      <c r="I13" s="0" t="n">
        <f aca="false">I11+I12</f>
        <v>5786.70175741203</v>
      </c>
      <c r="J13" s="0" t="n">
        <f aca="false">J11+J12</f>
        <v>5902.43579256027</v>
      </c>
      <c r="K13" s="0" t="n">
        <f aca="false">K11+K12</f>
        <v>6020.48450841148</v>
      </c>
      <c r="L13" s="0" t="n">
        <f aca="false">L11+L12</f>
        <v>6140.89419857971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35.25</v>
      </c>
      <c r="D14" s="4" t="n">
        <f aca="false">Assumptions!D33</f>
        <v>35.25</v>
      </c>
      <c r="E14" s="4" t="n">
        <f aca="false">Assumptions!E33</f>
        <v>35.25</v>
      </c>
      <c r="F14" s="4" t="n">
        <f aca="false">Assumptions!F33</f>
        <v>35.25</v>
      </c>
      <c r="G14" s="4" t="n">
        <f aca="false">Assumptions!G33</f>
        <v>35.25</v>
      </c>
      <c r="H14" s="4" t="n">
        <f aca="false">Assumptions!H33</f>
        <v>35.25</v>
      </c>
      <c r="I14" s="4" t="n">
        <f aca="false">Assumptions!I33</f>
        <v>35.25</v>
      </c>
      <c r="J14" s="4" t="n">
        <f aca="false">Assumptions!J33</f>
        <v>35.25</v>
      </c>
      <c r="K14" s="4" t="n">
        <f aca="false">Assumptions!K33</f>
        <v>35.25</v>
      </c>
      <c r="L14" s="4" t="n">
        <f aca="false">Assumptions!L33</f>
        <v>35.25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3026.95620899</v>
      </c>
      <c r="D15" s="0" t="n">
        <f aca="false">D13-MAX(0,D13)*D14/100</f>
        <v>3133.5629535616</v>
      </c>
      <c r="E15" s="0" t="n">
        <f aca="false">E13-MAX(0,E13)*E14/100</f>
        <v>3258.66066209832</v>
      </c>
      <c r="F15" s="0" t="n">
        <f aca="false">F13-MAX(0,F13)*F14/100</f>
        <v>3387.50885379508</v>
      </c>
      <c r="G15" s="0" t="n">
        <f aca="false">G13-MAX(0,G13)*G14/100</f>
        <v>3520.20750889487</v>
      </c>
      <c r="H15" s="0" t="n">
        <f aca="false">H13-MAX(0,H13)*H14/100</f>
        <v>3640.29724476104</v>
      </c>
      <c r="I15" s="0" t="n">
        <f aca="false">I13-MAX(0,I13)*I14/100</f>
        <v>3746.88938792429</v>
      </c>
      <c r="J15" s="0" t="n">
        <f aca="false">J13-MAX(0,J13)*J14/100</f>
        <v>3821.82717568278</v>
      </c>
      <c r="K15" s="0" t="n">
        <f aca="false">K13-MAX(0,K13)*K14/100</f>
        <v>3898.26371919643</v>
      </c>
      <c r="L15" s="0" t="n">
        <f aca="false">L13-MAX(0,L13)*L14/100</f>
        <v>3976.22899358036</v>
      </c>
    </row>
    <row r="16" customFormat="false" ht="15" hidden="false" customHeight="false" outlineLevel="0" collapsed="false">
      <c r="A16" s="0" t="s">
        <v>124</v>
      </c>
      <c r="C16" s="0" t="n">
        <f aca="false">-C12</f>
        <v>4330.27623</v>
      </c>
      <c r="D16" s="0" t="n">
        <f aca="false">-D12</f>
        <v>4347.9698318</v>
      </c>
      <c r="E16" s="0" t="n">
        <f aca="false">-E12</f>
        <v>4386.723475953</v>
      </c>
      <c r="F16" s="0" t="n">
        <f aca="false">-F12</f>
        <v>4425.2880779394</v>
      </c>
      <c r="G16" s="0" t="n">
        <f aca="false">-G12</f>
        <v>4463.64057461487</v>
      </c>
      <c r="H16" s="0" t="n">
        <f aca="false">-H12</f>
        <v>4501.75705592619</v>
      </c>
      <c r="I16" s="0" t="n">
        <f aca="false">-I12</f>
        <v>4565.70246865242</v>
      </c>
      <c r="J16" s="0" t="n">
        <f aca="false">-J12</f>
        <v>4657.01651802547</v>
      </c>
      <c r="K16" s="0" t="n">
        <f aca="false">-K12</f>
        <v>4750.15684838598</v>
      </c>
      <c r="L16" s="0" t="n">
        <f aca="false">-L12</f>
        <v>4845.15998535369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-3678.40669</v>
      </c>
      <c r="D17" s="4" t="n">
        <f aca="false">-D6*Assumptions!D32/100</f>
        <v>-3733.58279035</v>
      </c>
      <c r="E17" s="4" t="n">
        <f aca="false">-E6*Assumptions!E32/100</f>
        <v>-3760.048693674</v>
      </c>
      <c r="F17" s="4" t="n">
        <f aca="false">-F6*Assumptions!F32/100</f>
        <v>-3810.66473378115</v>
      </c>
      <c r="G17" s="4" t="n">
        <f aca="false">-G6*Assumptions!G32/100</f>
        <v>-3836.72476357346</v>
      </c>
      <c r="H17" s="4" t="n">
        <f aca="false">-H6*Assumptions!H32/100</f>
        <v>-3887.88109375444</v>
      </c>
      <c r="I17" s="4" t="n">
        <f aca="false">-I6*Assumptions!I32/100</f>
        <v>-3913.45925884493</v>
      </c>
      <c r="J17" s="4" t="n">
        <f aca="false">-J6*Assumptions!J32/100</f>
        <v>-3991.72844402183</v>
      </c>
      <c r="K17" s="4" t="n">
        <f aca="false">-K6*Assumptions!K32/100</f>
        <v>-4071.56301290226</v>
      </c>
      <c r="L17" s="4" t="n">
        <f aca="false">-L6*Assumptions!L32/100</f>
        <v>-4152.99427316031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3678.82574899</v>
      </c>
      <c r="D19" s="0" t="n">
        <f aca="false">D15+D16+D17+D18</f>
        <v>3747.9499950116</v>
      </c>
      <c r="E19" s="0" t="n">
        <f aca="false">E15+E16+E17+E18</f>
        <v>3885.33544437732</v>
      </c>
      <c r="F19" s="0" t="n">
        <f aca="false">F15+F16+F17+F18</f>
        <v>4002.13219795333</v>
      </c>
      <c r="G19" s="0" t="n">
        <f aca="false">G15+G16+G17+G18</f>
        <v>4147.12331993628</v>
      </c>
      <c r="H19" s="0" t="n">
        <f aca="false">H15+H16+H17+H18</f>
        <v>4254.1732069328</v>
      </c>
      <c r="I19" s="0" t="n">
        <f aca="false">I15+I16+I17+I18</f>
        <v>4399.13259773178</v>
      </c>
      <c r="J19" s="0" t="n">
        <f aca="false">J15+J16+J17+J18</f>
        <v>4487.11524968642</v>
      </c>
      <c r="K19" s="0" t="n">
        <f aca="false">K15+K16+K17+K18</f>
        <v>4576.85755468015</v>
      </c>
      <c r="L19" s="0" t="n">
        <f aca="false">L15+L16+L17+L18</f>
        <v>4668.39470577375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3422.16348743256</v>
      </c>
      <c r="D21" s="0" t="n">
        <f aca="false">D19*D20</f>
        <v>3243.2233596639</v>
      </c>
      <c r="E21" s="0" t="n">
        <f aca="false">E19*E20</f>
        <v>3127.54183204181</v>
      </c>
      <c r="F21" s="0" t="n">
        <f aca="false">F19*F20</f>
        <v>2996.79871006254</v>
      </c>
      <c r="G21" s="0" t="n">
        <f aca="false">G19*G20</f>
        <v>2888.71454792209</v>
      </c>
      <c r="H21" s="0" t="n">
        <f aca="false">H19*H20</f>
        <v>2756.54053097825</v>
      </c>
      <c r="I21" s="0" t="n">
        <f aca="false">I19*I20</f>
        <v>2651.59873298247</v>
      </c>
      <c r="J21" s="0" t="n">
        <f aca="false">J19*J20</f>
        <v>2515.93554199267</v>
      </c>
      <c r="K21" s="0" t="n">
        <f aca="false">K19*K20</f>
        <v>2387.21325844886</v>
      </c>
      <c r="L21" s="0" t="n">
        <f aca="false">L19*L20</f>
        <v>2265.07676615612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28254.8067676813</v>
      </c>
    </row>
    <row r="31" customFormat="false" ht="15" hidden="false" customHeight="false" outlineLevel="0" collapsed="false">
      <c r="A31" s="0" t="s">
        <v>133</v>
      </c>
      <c r="B31" s="0" t="n">
        <f aca="false">L19</f>
        <v>4668.39470577375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86577.5018161677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70025.9205866062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70025.9205866062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33976.1514923419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62230.9582600231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44899.9582600231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4.03084255101607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-0.156727499787433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206.633875748084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298.953855668407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4.07623111305578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36628.9430760709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1.08407880025632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3</v>
      </c>
      <c r="D5" s="4" t="n">
        <f aca="false">Assumptions!D41</f>
        <v>3.5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22937</v>
      </c>
      <c r="C6" s="0" t="n">
        <f aca="false">B6*(1+C5/100)</f>
        <v>23625.11</v>
      </c>
      <c r="D6" s="0" t="n">
        <f aca="false">C6*(1+D5/100)</f>
        <v>24451.98885</v>
      </c>
      <c r="E6" s="0" t="n">
        <f aca="false">D6*(1+E5/100)</f>
        <v>25430.068404</v>
      </c>
      <c r="F6" s="0" t="n">
        <f aca="false">E6*(1+F5/100)</f>
        <v>26447.27114016</v>
      </c>
      <c r="G6" s="0" t="n">
        <f aca="false">F6*(1+G5/100)</f>
        <v>27372.9256300656</v>
      </c>
      <c r="H6" s="0" t="n">
        <f aca="false">G6*(1+H5/100)</f>
        <v>28194.1133989676</v>
      </c>
      <c r="I6" s="0" t="n">
        <f aca="false">H6*(1+I5/100)</f>
        <v>28898.9662339418</v>
      </c>
      <c r="J6" s="0" t="n">
        <f aca="false">I6*(1+J5/100)</f>
        <v>29621.4403897903</v>
      </c>
      <c r="K6" s="0" t="n">
        <f aca="false">J6*(1+K5/100)</f>
        <v>30361.976399535</v>
      </c>
      <c r="L6" s="0" t="n">
        <f aca="false">K6*(1+L5/100)</f>
        <v>31121.0258095234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39.2</v>
      </c>
      <c r="D7" s="4" t="n">
        <f aca="false">Assumptions!D42</f>
        <v>39.8</v>
      </c>
      <c r="E7" s="4" t="n">
        <f aca="false">Assumptions!E42</f>
        <v>40.5</v>
      </c>
      <c r="F7" s="4" t="n">
        <f aca="false">Assumptions!F42</f>
        <v>41</v>
      </c>
      <c r="G7" s="4" t="n">
        <f aca="false">Assumptions!G42</f>
        <v>41.5</v>
      </c>
      <c r="H7" s="4" t="n">
        <f aca="false">Assumptions!H42</f>
        <v>41.8</v>
      </c>
      <c r="I7" s="4" t="n">
        <f aca="false">Assumptions!I42</f>
        <v>42</v>
      </c>
      <c r="J7" s="4" t="n">
        <f aca="false">Assumptions!J42</f>
        <v>42</v>
      </c>
      <c r="K7" s="4" t="n">
        <f aca="false">Assumptions!K42</f>
        <v>42</v>
      </c>
      <c r="L7" s="4" t="n">
        <f aca="false">Assumptions!L42</f>
        <v>42</v>
      </c>
    </row>
    <row r="8" customFormat="false" ht="15" hidden="false" customHeight="false" outlineLevel="0" collapsed="false">
      <c r="A8" s="0" t="s">
        <v>43</v>
      </c>
      <c r="C8" s="0" t="n">
        <f aca="false">C6*C7/100</f>
        <v>9261.04312</v>
      </c>
      <c r="D8" s="0" t="n">
        <f aca="false">D6*D7/100</f>
        <v>9731.8915623</v>
      </c>
      <c r="E8" s="0" t="n">
        <f aca="false">E6*E7/100</f>
        <v>10299.17770362</v>
      </c>
      <c r="F8" s="0" t="n">
        <f aca="false">F6*F7/100</f>
        <v>10843.3811674656</v>
      </c>
      <c r="G8" s="0" t="n">
        <f aca="false">G6*G7/100</f>
        <v>11359.7641364772</v>
      </c>
      <c r="H8" s="0" t="n">
        <f aca="false">H6*H7/100</f>
        <v>11785.1394007684</v>
      </c>
      <c r="I8" s="0" t="n">
        <f aca="false">I6*I7/100</f>
        <v>12137.5658182555</v>
      </c>
      <c r="J8" s="0" t="n">
        <f aca="false">J6*J7/100</f>
        <v>12441.0049637119</v>
      </c>
      <c r="K8" s="0" t="n">
        <f aca="false">K6*K7/100</f>
        <v>12752.0300878047</v>
      </c>
      <c r="L8" s="0" t="n">
        <f aca="false">L6*L7/100</f>
        <v>13070.8308399998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0.12</v>
      </c>
      <c r="D9" s="4" t="n">
        <f aca="false">Assumptions!D43</f>
        <v>0.12</v>
      </c>
      <c r="E9" s="4" t="n">
        <f aca="false">Assumptions!E43</f>
        <v>0.12</v>
      </c>
      <c r="F9" s="4" t="n">
        <f aca="false">Assumptions!F43</f>
        <v>0.12</v>
      </c>
      <c r="G9" s="4" t="n">
        <f aca="false">Assumptions!G43</f>
        <v>0.12</v>
      </c>
      <c r="H9" s="4" t="n">
        <f aca="false">Assumptions!H43</f>
        <v>0.12</v>
      </c>
      <c r="I9" s="4" t="n">
        <f aca="false">Assumptions!I43</f>
        <v>0.12</v>
      </c>
      <c r="J9" s="4" t="n">
        <f aca="false">Assumptions!J43</f>
        <v>0.12</v>
      </c>
      <c r="K9" s="4" t="n">
        <f aca="false">Assumptions!K43</f>
        <v>0.12</v>
      </c>
      <c r="L9" s="4" t="n">
        <f aca="false">Assumptions!L43</f>
        <v>0.12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-28.350132</v>
      </c>
      <c r="D10" s="0" t="n">
        <f aca="false">-D6*D9/100</f>
        <v>-29.34238662</v>
      </c>
      <c r="E10" s="0" t="n">
        <f aca="false">-E6*E9/100</f>
        <v>-30.5160820848</v>
      </c>
      <c r="F10" s="0" t="n">
        <f aca="false">-F6*F9/100</f>
        <v>-31.736725368192</v>
      </c>
      <c r="G10" s="0" t="n">
        <f aca="false">-G6*G9/100</f>
        <v>-32.8475107560787</v>
      </c>
      <c r="H10" s="0" t="n">
        <f aca="false">-H6*H9/100</f>
        <v>-33.8329360787611</v>
      </c>
      <c r="I10" s="0" t="n">
        <f aca="false">-I6*I9/100</f>
        <v>-34.6787594807301</v>
      </c>
      <c r="J10" s="0" t="n">
        <f aca="false">-J6*J9/100</f>
        <v>-35.5457284677484</v>
      </c>
      <c r="K10" s="0" t="n">
        <f aca="false">-K6*K9/100</f>
        <v>-36.4343716794421</v>
      </c>
      <c r="L10" s="0" t="n">
        <f aca="false">-L6*L9/100</f>
        <v>-37.3452309714281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9232.692988</v>
      </c>
      <c r="D11" s="0" t="n">
        <f aca="false">D8+D10+D24</f>
        <v>9702.54917568</v>
      </c>
      <c r="E11" s="0" t="n">
        <f aca="false">E8+E10+E24</f>
        <v>10268.6616215352</v>
      </c>
      <c r="F11" s="0" t="n">
        <f aca="false">F8+F10+F24</f>
        <v>10811.6444420974</v>
      </c>
      <c r="G11" s="0" t="n">
        <f aca="false">G8+G10+G24</f>
        <v>11326.9166257211</v>
      </c>
      <c r="H11" s="0" t="n">
        <f aca="false">H8+H10+H24</f>
        <v>11751.3064646897</v>
      </c>
      <c r="I11" s="0" t="n">
        <f aca="false">I8+I10+I24</f>
        <v>12102.8870587748</v>
      </c>
      <c r="J11" s="0" t="n">
        <f aca="false">J8+J10+J24</f>
        <v>12405.4592352442</v>
      </c>
      <c r="K11" s="0" t="n">
        <f aca="false">K8+K10+K24</f>
        <v>12715.5957161253</v>
      </c>
      <c r="L11" s="0" t="n">
        <f aca="false">L8+L10+L24</f>
        <v>13033.4856090284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-4347.02024</v>
      </c>
      <c r="D12" s="4" t="n">
        <f aca="false">-D6*Assumptions!D45/100</f>
        <v>-4401.357993</v>
      </c>
      <c r="E12" s="4" t="n">
        <f aca="false">-E6*Assumptions!E45/100</f>
        <v>-4475.692039104</v>
      </c>
      <c r="F12" s="4" t="n">
        <f aca="false">-F6*Assumptions!F45/100</f>
        <v>-4548.93063610752</v>
      </c>
      <c r="G12" s="4" t="n">
        <f aca="false">-G6*Assumptions!G45/100</f>
        <v>-4598.65150585102</v>
      </c>
      <c r="H12" s="4" t="n">
        <f aca="false">-H6*Assumptions!H45/100</f>
        <v>-4652.02871082965</v>
      </c>
      <c r="I12" s="4" t="n">
        <f aca="false">-I6*Assumptions!I45/100</f>
        <v>-4710.53149613251</v>
      </c>
      <c r="J12" s="4" t="n">
        <f aca="false">-J6*Assumptions!J45/100</f>
        <v>-4798.67334314603</v>
      </c>
      <c r="K12" s="4" t="n">
        <f aca="false">-K6*Assumptions!K45/100</f>
        <v>-4918.64017672468</v>
      </c>
      <c r="L12" s="4" t="n">
        <f aca="false">-L6*Assumptions!L45/100</f>
        <v>-5041.60618114279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4885.672748</v>
      </c>
      <c r="D13" s="0" t="n">
        <f aca="false">D11+D12</f>
        <v>5301.19118268</v>
      </c>
      <c r="E13" s="0" t="n">
        <f aca="false">E11+E12</f>
        <v>5792.9695824312</v>
      </c>
      <c r="F13" s="0" t="n">
        <f aca="false">F11+F12</f>
        <v>6262.71380598989</v>
      </c>
      <c r="G13" s="0" t="n">
        <f aca="false">G11+G12</f>
        <v>6728.26511987012</v>
      </c>
      <c r="H13" s="0" t="n">
        <f aca="false">H11+H12</f>
        <v>7099.27775386003</v>
      </c>
      <c r="I13" s="0" t="n">
        <f aca="false">I11+I12</f>
        <v>7392.3555626423</v>
      </c>
      <c r="J13" s="0" t="n">
        <f aca="false">J11+J12</f>
        <v>7606.78589209815</v>
      </c>
      <c r="K13" s="0" t="n">
        <f aca="false">K11+K12</f>
        <v>7796.9555394006</v>
      </c>
      <c r="L13" s="0" t="n">
        <f aca="false">L11+L12</f>
        <v>7991.87942788561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34.9</v>
      </c>
      <c r="D14" s="4" t="n">
        <f aca="false">Assumptions!D47</f>
        <v>34.9</v>
      </c>
      <c r="E14" s="4" t="n">
        <f aca="false">Assumptions!E47</f>
        <v>34.9</v>
      </c>
      <c r="F14" s="4" t="n">
        <f aca="false">Assumptions!F47</f>
        <v>34.9</v>
      </c>
      <c r="G14" s="4" t="n">
        <f aca="false">Assumptions!G47</f>
        <v>34.9</v>
      </c>
      <c r="H14" s="4" t="n">
        <f aca="false">Assumptions!H47</f>
        <v>34.9</v>
      </c>
      <c r="I14" s="4" t="n">
        <f aca="false">Assumptions!I47</f>
        <v>34.9</v>
      </c>
      <c r="J14" s="4" t="n">
        <f aca="false">Assumptions!J47</f>
        <v>34.9</v>
      </c>
      <c r="K14" s="4" t="n">
        <f aca="false">Assumptions!K47</f>
        <v>34.9</v>
      </c>
      <c r="L14" s="4" t="n">
        <f aca="false">Assumptions!L47</f>
        <v>34.9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3180.572958948</v>
      </c>
      <c r="D15" s="0" t="n">
        <f aca="false">D13-MAX(0,D13)*D14/100</f>
        <v>3451.07545992468</v>
      </c>
      <c r="E15" s="0" t="n">
        <f aca="false">E13-MAX(0,E13)*E14/100</f>
        <v>3771.22319816271</v>
      </c>
      <c r="F15" s="0" t="n">
        <f aca="false">F13-MAX(0,F13)*F14/100</f>
        <v>4077.02668769942</v>
      </c>
      <c r="G15" s="0" t="n">
        <f aca="false">G13-MAX(0,G13)*G14/100</f>
        <v>4380.10059303545</v>
      </c>
      <c r="H15" s="0" t="n">
        <f aca="false">H13-MAX(0,H13)*H14/100</f>
        <v>4621.62981776288</v>
      </c>
      <c r="I15" s="0" t="n">
        <f aca="false">I13-MAX(0,I13)*I14/100</f>
        <v>4812.42347128014</v>
      </c>
      <c r="J15" s="0" t="n">
        <f aca="false">J13-MAX(0,J13)*J14/100</f>
        <v>4952.01761575589</v>
      </c>
      <c r="K15" s="0" t="n">
        <f aca="false">K13-MAX(0,K13)*K14/100</f>
        <v>5075.81805614979</v>
      </c>
      <c r="L15" s="0" t="n">
        <f aca="false">L13-MAX(0,L13)*L14/100</f>
        <v>5202.71350755353</v>
      </c>
    </row>
    <row r="16" customFormat="false" ht="15" hidden="false" customHeight="false" outlineLevel="0" collapsed="false">
      <c r="A16" s="0" t="s">
        <v>124</v>
      </c>
      <c r="C16" s="0" t="n">
        <f aca="false">-C12</f>
        <v>4347.02024</v>
      </c>
      <c r="D16" s="0" t="n">
        <f aca="false">-D12</f>
        <v>4401.357993</v>
      </c>
      <c r="E16" s="0" t="n">
        <f aca="false">-E12</f>
        <v>4475.692039104</v>
      </c>
      <c r="F16" s="0" t="n">
        <f aca="false">-F12</f>
        <v>4548.93063610752</v>
      </c>
      <c r="G16" s="0" t="n">
        <f aca="false">-G12</f>
        <v>4598.65150585102</v>
      </c>
      <c r="H16" s="0" t="n">
        <f aca="false">-H12</f>
        <v>4652.02871082965</v>
      </c>
      <c r="I16" s="0" t="n">
        <f aca="false">-I12</f>
        <v>4710.53149613251</v>
      </c>
      <c r="J16" s="0" t="n">
        <f aca="false">-J12</f>
        <v>4798.67334314603</v>
      </c>
      <c r="K16" s="0" t="n">
        <f aca="false">-K12</f>
        <v>4918.64017672468</v>
      </c>
      <c r="L16" s="0" t="n">
        <f aca="false">-L12</f>
        <v>5041.60618114279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-3661.89205</v>
      </c>
      <c r="D17" s="4" t="n">
        <f aca="false">-D6*Assumptions!D46/100</f>
        <v>-3741.15429405</v>
      </c>
      <c r="E17" s="4" t="n">
        <f aca="false">-E6*Assumptions!E46/100</f>
        <v>-3814.5102606</v>
      </c>
      <c r="F17" s="4" t="n">
        <f aca="false">-F6*Assumptions!F46/100</f>
        <v>-3914.19612874368</v>
      </c>
      <c r="G17" s="4" t="n">
        <f aca="false">-G6*Assumptions!G46/100</f>
        <v>-3969.07421635951</v>
      </c>
      <c r="H17" s="4" t="n">
        <f aca="false">-H6*Assumptions!H46/100</f>
        <v>-4031.75821605236</v>
      </c>
      <c r="I17" s="4" t="n">
        <f aca="false">-I6*Assumptions!I46/100</f>
        <v>-4045.85527275185</v>
      </c>
      <c r="J17" s="4" t="n">
        <f aca="false">-J6*Assumptions!J46/100</f>
        <v>-4147.00165457064</v>
      </c>
      <c r="K17" s="4" t="n">
        <f aca="false">-K6*Assumptions!K46/100</f>
        <v>-4250.67669593491</v>
      </c>
      <c r="L17" s="4" t="n">
        <f aca="false">-L6*Assumptions!L46/100</f>
        <v>-4356.94361333328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3865.701148948</v>
      </c>
      <c r="D19" s="0" t="n">
        <f aca="false">D15+D16+D17+D18</f>
        <v>4111.27915887468</v>
      </c>
      <c r="E19" s="0" t="n">
        <f aca="false">E15+E16+E17+E18</f>
        <v>4432.40497666671</v>
      </c>
      <c r="F19" s="0" t="n">
        <f aca="false">F15+F16+F17+F18</f>
        <v>4711.76119506326</v>
      </c>
      <c r="G19" s="0" t="n">
        <f aca="false">G15+G16+G17+G18</f>
        <v>5009.67788252696</v>
      </c>
      <c r="H19" s="0" t="n">
        <f aca="false">H15+H16+H17+H18</f>
        <v>5241.90031254017</v>
      </c>
      <c r="I19" s="0" t="n">
        <f aca="false">I15+I16+I17+I18</f>
        <v>5477.0996946608</v>
      </c>
      <c r="J19" s="0" t="n">
        <f aca="false">J15+J16+J17+J18</f>
        <v>5603.68930433128</v>
      </c>
      <c r="K19" s="0" t="n">
        <f aca="false">K15+K16+K17+K18</f>
        <v>5743.78153693956</v>
      </c>
      <c r="L19" s="0" t="n">
        <f aca="false">L15+L16+L17+L18</f>
        <v>5887.37607536305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3612.80481210093</v>
      </c>
      <c r="D21" s="0" t="n">
        <f aca="false">D19*D20</f>
        <v>3590.95044010366</v>
      </c>
      <c r="E21" s="0" t="n">
        <f aca="false">E19*E20</f>
        <v>3618.16277197348</v>
      </c>
      <c r="F21" s="0" t="n">
        <f aca="false">F19*F20</f>
        <v>3594.58005602508</v>
      </c>
      <c r="G21" s="0" t="n">
        <f aca="false">G19*G20</f>
        <v>3571.83109390673</v>
      </c>
      <c r="H21" s="0" t="n">
        <f aca="false">H19*H20</f>
        <v>3492.89951128249</v>
      </c>
      <c r="I21" s="0" t="n">
        <f aca="false">I19*I20</f>
        <v>3410.86242112618</v>
      </c>
      <c r="J21" s="0" t="n">
        <f aca="false">J19*J20</f>
        <v>3261.39819427453</v>
      </c>
      <c r="K21" s="0" t="n">
        <f aca="false">K19*K20</f>
        <v>3124.23658797326</v>
      </c>
      <c r="L21" s="0" t="n">
        <f aca="false">L19*L20</f>
        <v>2992.84346044168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34270.569349208</v>
      </c>
    </row>
    <row r="31" customFormat="false" ht="15" hidden="false" customHeight="false" outlineLevel="0" collapsed="false">
      <c r="A31" s="0" t="s">
        <v>133</v>
      </c>
      <c r="B31" s="0" t="n">
        <f aca="false">L19</f>
        <v>5887.37607536305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134101.343938825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100085.393281172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100085.393281172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50878.3388275085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85148.9081767166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67817.9081767166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6.08827537024684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0.273697776202267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228.296803219325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432.422939381252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6.14759073168543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48276.483817977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1.65332683933355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2.39344312956782</v>
      </c>
      <c r="C4" s="0" t="n">
        <f aca="false">B4/Assumptions!$B$2-1</f>
        <v>-0.499279680006732</v>
      </c>
      <c r="D4" s="4" t="n">
        <f aca="false">Assumptions!$B$24</f>
        <v>0.3</v>
      </c>
      <c r="E4" s="4" t="n">
        <f aca="false">DCF_Bear!$B$43</f>
        <v>2.43534589433928</v>
      </c>
      <c r="F4" s="4" t="n">
        <f aca="false">DCF_Bear!$B$47</f>
        <v>0.526621089809518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4.03084255101607</v>
      </c>
      <c r="C5" s="0" t="n">
        <f aca="false">B5/Assumptions!$B$2-1</f>
        <v>-0.156727499787433</v>
      </c>
      <c r="D5" s="4" t="n">
        <f aca="false">Assumptions!$B$38</f>
        <v>0.5</v>
      </c>
      <c r="E5" s="4" t="n">
        <f aca="false">DCF_Base!$B$43</f>
        <v>4.07623111305578</v>
      </c>
      <c r="F5" s="4" t="n">
        <f aca="false">DCF_Base!$B$47</f>
        <v>1.08407880025632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6.08827537024684</v>
      </c>
      <c r="C6" s="0" t="n">
        <f aca="false">B6/Assumptions!$B$2-1</f>
        <v>0.273697776202267</v>
      </c>
      <c r="D6" s="4" t="n">
        <f aca="false">Assumptions!$B$52</f>
        <v>0.2</v>
      </c>
      <c r="E6" s="4" t="n">
        <f aca="false">DCF_Bull!$B$43</f>
        <v>6.14759073168543</v>
      </c>
      <c r="F6" s="4" t="n">
        <f aca="false">DCF_Bull!$B$47</f>
        <v>1.65332683933355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3.95110928842775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3.99823747116676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-0.209786834801041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1758.80049558154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1.03069109493773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4.03084255101607</v>
      </c>
      <c r="C15" s="3" t="n">
        <v>7.5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3.38791188074246</v>
      </c>
      <c r="C16" s="3" t="n">
        <v>9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2.7632249950853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2.27763860527166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1.88940771833368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1.08407880025632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4.92178690135181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4.92178690135181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4.92178690135181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4.92178690135181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4.92178690135181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4.45529656498742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4.45529656498742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4.45529656498742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4.45529656498742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4.45529656498742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4.03084255101607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4.03084255101607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4.03084255101607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4.03084255101607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4.03084255101607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3.35993950236659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3.55147996072192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3.64416082766805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3.64416082766805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3.64416082766805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2.76422610485603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2.90038671352026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3.05470207000639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3.2310624774191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3.29145987721798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2026-09-25T05:14:14Z</dcterms:created>
  <dc:creator>openpyxl</dc:creator>
  <dc:description/>
  <dc:language>en-NZ</dc:language>
  <cp:lastModifiedBy/>
  <dcterms:modified xsi:type="dcterms:W3CDTF">2026-09-25T05:14:14Z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