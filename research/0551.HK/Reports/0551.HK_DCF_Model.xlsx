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<sst xmlns="http://schemas.openxmlformats.org/spreadsheetml/2006/main" count="354" uniqueCount="164">
  <si>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</si>
  <si>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0551.HK</t>
  </si>
  <si>
    <t xml:space="preserve">Company</t>
  </si>
  <si>
    <t xml:space="preserve">Yue Yuen Industrial (Holdings)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</si>
  <si>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</si>
  <si>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</si>
  <si>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</si>
  <si>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</si>
  <si>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HKEX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</si>
  <si>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</si>
  <si>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</si>
  <si>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</si>
  <si>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</si>
  <si>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</si>
  <si>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</si>
  <si>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</si>
  <si>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</si>
  <si>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</si>
  <si>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</si>
  <si>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</si>
  <si>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</si>
  <si>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</si>
  <si>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2026-10-10T22:56:05Z</t>
  </si>
  <si>
    <t xml:space="preserve">Drivers file</t>
  </si>
  <si>
    <t xml:space="preserve">0551.HK_Drivers.json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</si>
  <si>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</si>
  <si>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</si>
  <si>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</si>
  <si>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Yue Yuen as a cyclical contract manufacturer on a deliberately below-prior-cycle mid-cycle margin, with leases charged in the flows, the associates and financial-asset portfolio added at book, and Pou Sheng's minority taken at market. The question is not whether FY2025 recurs but how much of the 2026 tariff-sharing squeeze is permanent; the base case assumes most of it.
key_risks_to_valuation: Margin recovery: every 1pp of terminal EBITDA margin is worth roughly HK$4-5/share; the base already sits below the FY2022-25 average.; Customer concentration: Nike and Adidas order reallocation can move volume by double digits in a year.; Tariff policy: US tariffs on Vietnam/Indonesia/China-made footwear and how much brands push back onto OEMs.; Capex overrun or slow ramp in India (~US$276m) and Indonesia.; Dividend: the HK$1.30 payout (~US$266m) exceeds near-term owner FCF; holding it raises net debt.; Bridge items at book (associates/JVs US$593m, financial assets US$239m) are ~30% of equity value; a haircut to them moves the answer materially.</t>
  </si>
  <si>
    <t xml:space="preserve">Data sources</t>
  </si>
  <si>
    <t xml:space="preserve">price: Yahoo Finance chart API at inputs.price_as_of (regular HKEX close); 52-week range HK$11.96-19.10. Pou Sheng (3813.HK) and USDHKD=X from the same API.
financials: 0551.HK_Metrics.csv (core_metrics, USD millions) FY2018-FY2025 and H1 FY2023-26; FY2025 Annual Report (income statement, cash flow, note 44 NCI); H1 FY2026 Interim Report (balance sheet, cash flow, EPS note 8, MD&amp;A liquidity and Prospects).
qualitative: 0551.HK_Analysis.json (2026-10-11).</t>
  </si>
  <si>
    <t xml:space="preserve">Scenario narrative: bear</t>
  </si>
  <si>
    <t xml:space="preserve">The H1 FY2026 margin is the new normal. Customer concentration bites: Nike and Adidas keep reallocating volume and sharing tariff cost, India's new capacity ramps into weak demand, wage inflation outruns ASP, and Pou Sheng keeps closing stores (-200 net in H1 FY2026) as domestic brands disintermediate it. Revenue falls in FY2026-27 and grows ~1.5% thereafter; margin stays ~7.5%; the 70% payout is cut.</t>
  </si>
  <si>
    <t xml:space="preserve">Scenario narrative: base</t>
  </si>
  <si>
    <t xml:space="preserve">Yue Yuen's two axes are OEM manufacturing margin (tariff-cost sharing with Nike/Adidas, wage inflation in Vietnam/Indonesia/China, production leveling as capacity shifts to Indonesia and India) and the slow erosion of Pou Sheng's China distribution model. The base case treats the 2026 margin compression as partly structural: H1 FY2026's 7.2% EBITDA margin is a trough, but the recovery stops at 9.0%, ~1.2pp below the FY2022-25 average, because brands have shown they can push tariff cost onto suppliers and will keep doing so. Revenue grows 2-3% a year on ASP and modest share gains from China-exit sourcing while Pou Sheng shrinks; capex normalises after the India build.</t>
  </si>
  <si>
    <t xml:space="preserve">Scenario narrative: bull</t>
  </si>
  <si>
    <t xml:space="preserve">Tariffs settle into a predictable regime and the 2026 cautious-ordering cycle reverses (as the 2023 destock did into 2024). The largest, most geographically diversified OEM takes share as brands consolidate their supplier base away from China; ASP premiumisation (+3.7% in FY2025) continues; Indonesia and India reach efficient utilisation; Pou Sheng stabilises on digital channels. EBITDA margin returns to 10.5%, close to the FY2024 peak of 11.0%, and revenue compounds 4-5% for several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</si>
  <si>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</si>
  <si>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</si>
  <si>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</si>
  <si>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</si>
  <si>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</si>
  <si>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</si>
  <si>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</si>
  <si>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</si>
  <si>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</si>
  <si>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</si>
  <si>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</si>
  <si>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</si>
  <si>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</si>
  <si>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</si>
  <si>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</si>
  <si>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</si>
  <si>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</si>
  <si>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</si>
  <si>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</si>
  <si>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</si>
  <si>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</si>
  <si>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</si>
  <si>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</si>
  <si>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</si>
  <si>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</si>
  <si>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</si>
  <si>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</si>
  <si>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</si>
  <si>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</si>
  <si>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</si>
  <si>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</si>
  <si>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</si>
  <si>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</si>
  <si>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</si>
  <si>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</si>
  <si>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</si>
  <si>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</si>
  <si>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</si>
  <si>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</si>
  <si>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</si>
  <si>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</si>
  <si>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</si>
  <si>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</si>
  <si>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</si>
  <si>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</si>
  <si>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</si>
  <si>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</si>
  <si>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</si>
  <si>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</si>
  <si>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</si>
  <si>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</si>
  <si>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</si>
  <si>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</si>
  <si>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</si>
  <si>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</si>
  <si>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</si>
  <si>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</si>
  <si>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</si>
  <si>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</si>
  <si>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</si>
  <si>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</si>
  <si>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</si>
  <si>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</si>
  <si>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</si>
  <si>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</si>
  <si>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</si>
  <si>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</si>
  <si>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</si>
  <si>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</si>
  <si>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</si>
  <si>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</si>
  <si>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</si>
  <si>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0551.HK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</si>
  <si>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</si>
  <si>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</si>
  <si>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</si>
  <si>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</si>
  <si>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</si>
  <si>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</si>
  <si>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</si>
  <si>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</si>
  <si>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</si>
  <si>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</si>
  <si>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</si>
  <si>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</si>
  <si>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</si>
  <si>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</si>
  <si>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</si>
  <si>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</si>
  <si>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</si>
  <si>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</si>
  <si>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</si>
  <si>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</si>
  <si>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</si>
  <si>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</si>
  <si>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</si>
  <si>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</si>
  <si>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</si>
  <si>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</si>
  <si>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</si>
  <si>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</si>
  <si>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</si>
  <si>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</si>
  <si>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0551.HK owner-FCF component DCF: base case (millions, USD)</t>
  </si>
  <si>
    <t xml:space="preserve">0551.HK owner-FCF component DCF: bull case (millions, USD)</t>
  </si>
  <si>
    <t xml:space="preserve">0551.HK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</si>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</sst>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12.99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9695.282</v>
      </c>
      <c r="C2" s="0" t="n">
        <v>7249.224</v>
      </c>
      <c r="D2" s="0" t="n">
        <v>2446.058</v>
      </c>
      <c r="E2" s="0" t="n">
        <v>25.2</v>
      </c>
      <c r="F2" s="0" t="n">
        <v>498.591</v>
      </c>
      <c r="G2" s="0" t="n">
        <v>5.1</v>
      </c>
      <c r="H2" s="0" t="n">
        <v>825.9</v>
      </c>
      <c r="I2" s="0" t="n">
        <v>307.116</v>
      </c>
      <c r="J2" s="0" t="n">
        <v>3.2</v>
      </c>
      <c r="K2" s="0" t="n">
        <v>0.187</v>
      </c>
      <c r="L2" s="0" t="n">
        <v>479.824</v>
      </c>
      <c r="M2" s="0" t="n">
        <v>479.936</v>
      </c>
      <c r="N2" s="0" t="n">
        <v>-0.112</v>
      </c>
      <c r="O2" s="0" t="n">
        <v>4127.5</v>
      </c>
      <c r="P2" s="0" t="n">
        <v>8315.992</v>
      </c>
      <c r="Q2" s="0" t="n">
        <v>3769.956</v>
      </c>
      <c r="R2" s="0" t="n">
        <v>2123.923</v>
      </c>
      <c r="S2" s="0" t="n">
        <v>851.42</v>
      </c>
      <c r="T2" s="0" t="n">
        <v>1642.3</v>
      </c>
      <c r="U2" s="0" t="n">
        <v>4.302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10105.387</v>
      </c>
      <c r="C3" s="0" t="n">
        <v>7592.334</v>
      </c>
      <c r="D3" s="0" t="n">
        <v>2513.053</v>
      </c>
      <c r="E3" s="0" t="n">
        <v>24.9</v>
      </c>
      <c r="F3" s="0" t="n">
        <v>470.67</v>
      </c>
      <c r="G3" s="0" t="n">
        <v>4.7</v>
      </c>
      <c r="H3" s="0" t="n">
        <v>957</v>
      </c>
      <c r="I3" s="0" t="n">
        <v>300.546</v>
      </c>
      <c r="J3" s="0" t="n">
        <v>3</v>
      </c>
      <c r="K3" s="0" t="n">
        <v>0.186</v>
      </c>
      <c r="L3" s="0" t="n">
        <v>793.585</v>
      </c>
      <c r="M3" s="0" t="n">
        <v>396.299</v>
      </c>
      <c r="N3" s="0" t="n">
        <v>397.286</v>
      </c>
      <c r="O3" s="0" t="n">
        <v>4098.706</v>
      </c>
      <c r="P3" s="0" t="n">
        <v>8789.391</v>
      </c>
      <c r="Q3" s="0" t="n">
        <v>4256.3</v>
      </c>
      <c r="R3" s="0" t="n">
        <v>2089.879</v>
      </c>
      <c r="S3" s="0" t="n">
        <v>982.079</v>
      </c>
      <c r="T3" s="0" t="n">
        <v>1615.8</v>
      </c>
      <c r="U3" s="0" t="n">
        <v>5.006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8444.935</v>
      </c>
      <c r="C4" s="0" t="n">
        <v>6613.92</v>
      </c>
      <c r="D4" s="0" t="n">
        <v>1831.015</v>
      </c>
      <c r="E4" s="0" t="n">
        <v>21.7</v>
      </c>
      <c r="F4" s="0" t="n">
        <v>-10.716</v>
      </c>
      <c r="G4" s="0" t="n">
        <v>-0.1</v>
      </c>
      <c r="H4" s="0" t="n">
        <v>527.5</v>
      </c>
      <c r="I4" s="0" t="n">
        <v>-90.791</v>
      </c>
      <c r="J4" s="0" t="n">
        <v>-1.1</v>
      </c>
      <c r="K4" s="0" t="n">
        <v>-0.0564</v>
      </c>
      <c r="L4" s="0" t="n">
        <v>834.23</v>
      </c>
      <c r="M4" s="0" t="n">
        <v>255.359</v>
      </c>
      <c r="N4" s="0" t="n">
        <v>578.871</v>
      </c>
      <c r="O4" s="0" t="n">
        <v>3895.854</v>
      </c>
      <c r="P4" s="0" t="n">
        <v>8522.87</v>
      </c>
      <c r="Q4" s="0" t="n">
        <v>4148.728</v>
      </c>
      <c r="R4" s="0" t="n">
        <v>1867.941</v>
      </c>
      <c r="S4" s="0" t="n">
        <v>896.977</v>
      </c>
      <c r="T4" s="0" t="n">
        <v>1609.8</v>
      </c>
      <c r="U4" s="0" t="n">
        <v>0.416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8533.337</v>
      </c>
      <c r="C5" s="0" t="n">
        <v>6485.102</v>
      </c>
      <c r="D5" s="0" t="n">
        <v>2048.235</v>
      </c>
      <c r="E5" s="0" t="n">
        <v>24</v>
      </c>
      <c r="F5" s="0" t="n">
        <v>161.561</v>
      </c>
      <c r="G5" s="0" t="n">
        <v>1.9</v>
      </c>
      <c r="H5" s="0" t="n">
        <v>727.4</v>
      </c>
      <c r="I5" s="0" t="n">
        <v>115.072</v>
      </c>
      <c r="J5" s="0" t="n">
        <v>1.3</v>
      </c>
      <c r="K5" s="0" t="n">
        <v>0.0714</v>
      </c>
      <c r="L5" s="0" t="n">
        <v>463.103</v>
      </c>
      <c r="M5" s="0" t="n">
        <v>286.336</v>
      </c>
      <c r="N5" s="0" t="n">
        <v>176.767</v>
      </c>
      <c r="O5" s="0" t="n">
        <v>4098.458</v>
      </c>
      <c r="P5" s="0" t="n">
        <v>8638.084</v>
      </c>
      <c r="Q5" s="0" t="n">
        <v>4033.633</v>
      </c>
      <c r="R5" s="0" t="n">
        <v>1717.097</v>
      </c>
      <c r="S5" s="0" t="n">
        <v>837.965</v>
      </c>
      <c r="T5" s="0" t="n">
        <v>1611.7</v>
      </c>
      <c r="U5" s="0" t="n">
        <v>4.708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8970.228</v>
      </c>
      <c r="C6" s="0" t="n">
        <v>6833.014</v>
      </c>
      <c r="D6" s="0" t="n">
        <v>2137.214</v>
      </c>
      <c r="E6" s="0" t="n">
        <v>23.8</v>
      </c>
      <c r="F6" s="0" t="n">
        <v>416.827</v>
      </c>
      <c r="G6" s="0" t="n">
        <v>4.6</v>
      </c>
      <c r="H6" s="0" t="n">
        <v>894.4</v>
      </c>
      <c r="I6" s="0" t="n">
        <v>296.347</v>
      </c>
      <c r="J6" s="0" t="n">
        <v>3.3</v>
      </c>
      <c r="K6" s="0" t="n">
        <v>0.1839</v>
      </c>
      <c r="L6" s="0" t="n">
        <v>907.902</v>
      </c>
      <c r="M6" s="0" t="n">
        <v>204.283</v>
      </c>
      <c r="N6" s="0" t="n">
        <v>703.619</v>
      </c>
      <c r="O6" s="0" t="n">
        <v>4189.711</v>
      </c>
      <c r="P6" s="0" t="n">
        <v>7935.421</v>
      </c>
      <c r="Q6" s="0" t="n">
        <v>3293.096</v>
      </c>
      <c r="R6" s="0" t="n">
        <v>1434.931</v>
      </c>
      <c r="S6" s="0" t="n">
        <v>994.781</v>
      </c>
      <c r="T6" s="0" t="n">
        <v>1611.5</v>
      </c>
      <c r="U6" s="0" t="n">
        <v>4.09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7890.168</v>
      </c>
      <c r="C7" s="0" t="n">
        <v>5964.854</v>
      </c>
      <c r="D7" s="0" t="n">
        <v>1925.314</v>
      </c>
      <c r="E7" s="0" t="n">
        <v>24.4</v>
      </c>
      <c r="F7" s="0" t="n">
        <v>403.898</v>
      </c>
      <c r="G7" s="0" t="n">
        <v>5.1</v>
      </c>
      <c r="H7" s="0" t="n">
        <v>777.5</v>
      </c>
      <c r="I7" s="0" t="n">
        <v>274.71</v>
      </c>
      <c r="J7" s="0" t="n">
        <v>3.5</v>
      </c>
      <c r="K7" s="0" t="n">
        <v>0.1704</v>
      </c>
      <c r="L7" s="0" t="n">
        <v>944.657</v>
      </c>
      <c r="M7" s="0" t="n">
        <v>168.469</v>
      </c>
      <c r="N7" s="0" t="n">
        <v>776.188</v>
      </c>
      <c r="O7" s="0" t="n">
        <v>4240.268</v>
      </c>
      <c r="P7" s="0" t="n">
        <v>7358.232</v>
      </c>
      <c r="Q7" s="0" t="n">
        <v>2648.204</v>
      </c>
      <c r="R7" s="0" t="n">
        <v>972.66</v>
      </c>
      <c r="S7" s="0" t="n">
        <v>923.217</v>
      </c>
      <c r="T7" s="0" t="n">
        <v>1612.1</v>
      </c>
      <c r="U7" s="0" t="n">
        <v>3.45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8182.161</v>
      </c>
      <c r="C8" s="0" t="n">
        <v>6189.451</v>
      </c>
      <c r="D8" s="0" t="n">
        <v>1992.71</v>
      </c>
      <c r="E8" s="0" t="n">
        <v>24.4</v>
      </c>
      <c r="F8" s="0" t="n">
        <v>546.438</v>
      </c>
      <c r="G8" s="0" t="n">
        <v>6.7</v>
      </c>
      <c r="H8" s="0" t="n">
        <v>899.7</v>
      </c>
      <c r="I8" s="0" t="n">
        <v>392.415</v>
      </c>
      <c r="J8" s="0" t="n">
        <v>4.8</v>
      </c>
      <c r="K8" s="0" t="n">
        <v>0.2434</v>
      </c>
      <c r="L8" s="0" t="n">
        <v>537.077</v>
      </c>
      <c r="M8" s="0" t="n">
        <v>205.891</v>
      </c>
      <c r="N8" s="0" t="n">
        <v>331.186</v>
      </c>
      <c r="O8" s="0" t="n">
        <v>4438.191</v>
      </c>
      <c r="P8" s="0" t="n">
        <v>7375.354</v>
      </c>
      <c r="Q8" s="0" t="n">
        <v>2461</v>
      </c>
      <c r="R8" s="0" t="n">
        <v>757.3</v>
      </c>
      <c r="S8" s="0" t="n">
        <v>756.849</v>
      </c>
      <c r="T8" s="0" t="n">
        <v>1612.2</v>
      </c>
      <c r="U8" s="0" t="n">
        <v>3.32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8031.354</v>
      </c>
      <c r="C9" s="0" t="n">
        <v>6203.55</v>
      </c>
      <c r="D9" s="0" t="n">
        <v>1827.804</v>
      </c>
      <c r="E9" s="0" t="n">
        <v>22.8</v>
      </c>
      <c r="F9" s="0" t="n">
        <v>435.887</v>
      </c>
      <c r="G9" s="0" t="n">
        <v>5.4</v>
      </c>
      <c r="H9" s="0" t="n">
        <v>779.1</v>
      </c>
      <c r="I9" s="0" t="n">
        <v>381.082</v>
      </c>
      <c r="J9" s="0" t="n">
        <v>4.7</v>
      </c>
      <c r="K9" s="0" t="n">
        <v>0.2375</v>
      </c>
      <c r="L9" s="0" t="n">
        <v>591.24</v>
      </c>
      <c r="M9" s="0" t="n">
        <v>316.5</v>
      </c>
      <c r="N9" s="0" t="n">
        <v>274.74</v>
      </c>
      <c r="O9" s="0" t="n">
        <v>4616.696</v>
      </c>
      <c r="P9" s="0" t="n">
        <v>7528.733</v>
      </c>
      <c r="Q9" s="0" t="n">
        <v>2417.776</v>
      </c>
      <c r="R9" s="0" t="n">
        <v>788.69</v>
      </c>
      <c r="S9" s="0" t="n">
        <v>633.897</v>
      </c>
      <c r="T9" s="0" t="n">
        <v>1604.6</v>
      </c>
      <c r="U9" s="0" t="n">
        <v>3.014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12.99</v>
      </c>
    </row>
    <row r="3" customFormat="false" ht="15" hidden="false" customHeight="false" outlineLevel="0" collapsed="false">
      <c r="A3" s="0" t="s">
        <v>75</v>
      </c>
      <c r="B3" s="3" t="n">
        <v>1605.687</v>
      </c>
    </row>
    <row r="4" customFormat="false" ht="15" hidden="false" customHeight="false" outlineLevel="0" collapsed="false">
      <c r="A4" s="0" t="s">
        <v>76</v>
      </c>
      <c r="B4" s="3" t="n">
        <v>224.3</v>
      </c>
    </row>
    <row r="5" customFormat="false" ht="15" hidden="false" customHeight="false" outlineLevel="0" collapsed="false">
      <c r="A5" s="0" t="s">
        <v>77</v>
      </c>
      <c r="B5" s="3" t="n">
        <v>615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8031.354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7.8472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-2.5</v>
      </c>
      <c r="D13" s="3" t="n">
        <v>-1</v>
      </c>
      <c r="E13" s="3" t="n">
        <v>1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7.6</v>
      </c>
      <c r="D14" s="3" t="n">
        <v>7.4</v>
      </c>
      <c r="E14" s="3" t="n">
        <v>7.5</v>
      </c>
      <c r="F14" s="3" t="n">
        <v>7.6</v>
      </c>
      <c r="G14" s="3" t="n">
        <v>7.7</v>
      </c>
      <c r="H14" s="3" t="n">
        <v>7.7</v>
      </c>
      <c r="I14" s="3" t="n">
        <v>7.7</v>
      </c>
      <c r="J14" s="3" t="n">
        <v>7.7</v>
      </c>
      <c r="K14" s="3" t="n">
        <v>7.7</v>
      </c>
      <c r="L14" s="3" t="n">
        <v>7.7</v>
      </c>
    </row>
    <row r="15" customFormat="false" ht="15" hidden="false" customHeight="false" outlineLevel="0" collapsed="false">
      <c r="A15" s="0" t="s">
        <v>97</v>
      </c>
      <c r="C15" s="3" t="n">
        <v>0.04</v>
      </c>
      <c r="D15" s="3" t="n">
        <v>0.04</v>
      </c>
      <c r="E15" s="3" t="n">
        <v>0.04</v>
      </c>
      <c r="F15" s="3" t="n">
        <v>0.04</v>
      </c>
      <c r="G15" s="3" t="n">
        <v>0.04</v>
      </c>
      <c r="H15" s="3" t="n">
        <v>0.04</v>
      </c>
      <c r="I15" s="3" t="n">
        <v>0.04</v>
      </c>
      <c r="J15" s="3" t="n">
        <v>0.04</v>
      </c>
      <c r="K15" s="3" t="n">
        <v>0.04</v>
      </c>
      <c r="L15" s="3" t="n">
        <v>0.04</v>
      </c>
    </row>
    <row r="16" customFormat="false" ht="15" hidden="false" customHeight="false" outlineLevel="0" collapsed="false">
      <c r="A16" s="0" t="s">
        <v>98</v>
      </c>
      <c r="C16" s="3" t="n">
        <v>1.25</v>
      </c>
      <c r="D16" s="3" t="n">
        <v>1.25</v>
      </c>
      <c r="E16" s="3" t="n">
        <v>1.25</v>
      </c>
      <c r="F16" s="3" t="n">
        <v>1.25</v>
      </c>
      <c r="G16" s="3" t="n">
        <v>1.25</v>
      </c>
      <c r="H16" s="3" t="n">
        <v>1.25</v>
      </c>
      <c r="I16" s="3" t="n">
        <v>1.25</v>
      </c>
      <c r="J16" s="3" t="n">
        <v>1.25</v>
      </c>
      <c r="K16" s="3" t="n">
        <v>1.25</v>
      </c>
      <c r="L16" s="3" t="n">
        <v>1.25</v>
      </c>
    </row>
    <row r="17" customFormat="false" ht="15" hidden="false" customHeight="false" outlineLevel="0" collapsed="false">
      <c r="A17" s="0" t="s">
        <v>99</v>
      </c>
      <c r="C17" s="3" t="n">
        <v>3.3</v>
      </c>
      <c r="D17" s="3" t="n">
        <v>3.4</v>
      </c>
      <c r="E17" s="3" t="n">
        <v>3.4</v>
      </c>
      <c r="F17" s="3" t="n">
        <v>3.3</v>
      </c>
      <c r="G17" s="3" t="n">
        <v>3.2</v>
      </c>
      <c r="H17" s="3" t="n">
        <v>3.1</v>
      </c>
      <c r="I17" s="3" t="n">
        <v>3</v>
      </c>
      <c r="J17" s="3" t="n">
        <v>3</v>
      </c>
      <c r="K17" s="3" t="n">
        <v>2.9</v>
      </c>
      <c r="L17" s="3" t="n">
        <v>2.9</v>
      </c>
    </row>
    <row r="18" customFormat="false" ht="15" hidden="false" customHeight="false" outlineLevel="0" collapsed="false">
      <c r="A18" s="0" t="s">
        <v>100</v>
      </c>
      <c r="C18" s="3" t="n">
        <v>3.8</v>
      </c>
      <c r="D18" s="3" t="n">
        <v>3.5</v>
      </c>
      <c r="E18" s="3" t="n">
        <v>3.2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101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102</v>
      </c>
      <c r="B20" s="3" t="n">
        <v>9.5</v>
      </c>
    </row>
    <row r="21" customFormat="false" ht="15" hidden="false" customHeight="false" outlineLevel="0" collapsed="false">
      <c r="A21" s="0" t="s">
        <v>103</v>
      </c>
      <c r="B21" s="3" t="n">
        <v>1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-20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-1</v>
      </c>
      <c r="D27" s="3" t="n">
        <v>2</v>
      </c>
      <c r="E27" s="3" t="n">
        <v>3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96</v>
      </c>
      <c r="C28" s="3" t="n">
        <v>7.8</v>
      </c>
      <c r="D28" s="3" t="n">
        <v>8.4</v>
      </c>
      <c r="E28" s="3" t="n">
        <v>8.8</v>
      </c>
      <c r="F28" s="3" t="n">
        <v>9</v>
      </c>
      <c r="G28" s="3" t="n">
        <v>9</v>
      </c>
      <c r="H28" s="3" t="n">
        <v>9</v>
      </c>
      <c r="I28" s="3" t="n">
        <v>9</v>
      </c>
      <c r="J28" s="3" t="n">
        <v>9</v>
      </c>
      <c r="K28" s="3" t="n">
        <v>9</v>
      </c>
      <c r="L28" s="3" t="n">
        <v>9</v>
      </c>
    </row>
    <row r="29" customFormat="false" ht="15" hidden="false" customHeight="false" outlineLevel="0" collapsed="false">
      <c r="A29" s="0" t="s">
        <v>97</v>
      </c>
      <c r="C29" s="3" t="n">
        <v>0.04</v>
      </c>
      <c r="D29" s="3" t="n">
        <v>0.04</v>
      </c>
      <c r="E29" s="3" t="n">
        <v>0.04</v>
      </c>
      <c r="F29" s="3" t="n">
        <v>0.04</v>
      </c>
      <c r="G29" s="3" t="n">
        <v>0.04</v>
      </c>
      <c r="H29" s="3" t="n">
        <v>0.04</v>
      </c>
      <c r="I29" s="3" t="n">
        <v>0.04</v>
      </c>
      <c r="J29" s="3" t="n">
        <v>0.04</v>
      </c>
      <c r="K29" s="3" t="n">
        <v>0.04</v>
      </c>
      <c r="L29" s="3" t="n">
        <v>0.04</v>
      </c>
    </row>
    <row r="30" customFormat="false" ht="15" hidden="false" customHeight="false" outlineLevel="0" collapsed="false">
      <c r="A30" s="0" t="s">
        <v>98</v>
      </c>
      <c r="C30" s="3" t="n">
        <v>1.25</v>
      </c>
      <c r="D30" s="3" t="n">
        <v>1.25</v>
      </c>
      <c r="E30" s="3" t="n">
        <v>1.25</v>
      </c>
      <c r="F30" s="3" t="n">
        <v>1.25</v>
      </c>
      <c r="G30" s="3" t="n">
        <v>1.25</v>
      </c>
      <c r="H30" s="3" t="n">
        <v>1.25</v>
      </c>
      <c r="I30" s="3" t="n">
        <v>1.25</v>
      </c>
      <c r="J30" s="3" t="n">
        <v>1.25</v>
      </c>
      <c r="K30" s="3" t="n">
        <v>1.25</v>
      </c>
      <c r="L30" s="3" t="n">
        <v>1.25</v>
      </c>
    </row>
    <row r="31" customFormat="false" ht="15" hidden="false" customHeight="false" outlineLevel="0" collapsed="false">
      <c r="A31" s="0" t="s">
        <v>99</v>
      </c>
      <c r="C31" s="3" t="n">
        <v>3.3</v>
      </c>
      <c r="D31" s="3" t="n">
        <v>3.4</v>
      </c>
      <c r="E31" s="3" t="n">
        <v>3.4</v>
      </c>
      <c r="F31" s="3" t="n">
        <v>3.3</v>
      </c>
      <c r="G31" s="3" t="n">
        <v>3.2</v>
      </c>
      <c r="H31" s="3" t="n">
        <v>3.1</v>
      </c>
      <c r="I31" s="3" t="n">
        <v>3</v>
      </c>
      <c r="J31" s="3" t="n">
        <v>3</v>
      </c>
      <c r="K31" s="3" t="n">
        <v>2.9</v>
      </c>
      <c r="L31" s="3" t="n">
        <v>2.9</v>
      </c>
    </row>
    <row r="32" customFormat="false" ht="15" hidden="false" customHeight="false" outlineLevel="0" collapsed="false">
      <c r="A32" s="0" t="s">
        <v>100</v>
      </c>
      <c r="C32" s="3" t="n">
        <v>3.8</v>
      </c>
      <c r="D32" s="3" t="n">
        <v>3.6</v>
      </c>
      <c r="E32" s="3" t="n">
        <v>3.3</v>
      </c>
      <c r="F32" s="3" t="n">
        <v>3.1</v>
      </c>
      <c r="G32" s="3" t="n">
        <v>3.1</v>
      </c>
      <c r="H32" s="3" t="n">
        <v>3.1</v>
      </c>
      <c r="I32" s="3" t="n">
        <v>3.1</v>
      </c>
      <c r="J32" s="3" t="n">
        <v>3.1</v>
      </c>
      <c r="K32" s="3" t="n">
        <v>3.1</v>
      </c>
      <c r="L32" s="3" t="n">
        <v>3.1</v>
      </c>
    </row>
    <row r="33" customFormat="false" ht="15" hidden="false" customHeight="false" outlineLevel="0" collapsed="false">
      <c r="A33" s="0" t="s">
        <v>101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102</v>
      </c>
      <c r="B34" s="3" t="n">
        <v>9.5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-20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-0.5</v>
      </c>
      <c r="D41" s="3" t="n">
        <v>4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96</v>
      </c>
      <c r="C42" s="3" t="n">
        <v>8</v>
      </c>
      <c r="D42" s="3" t="n">
        <v>9</v>
      </c>
      <c r="E42" s="3" t="n">
        <v>9.7</v>
      </c>
      <c r="F42" s="3" t="n">
        <v>10.2</v>
      </c>
      <c r="G42" s="3" t="n">
        <v>10.5</v>
      </c>
      <c r="H42" s="3" t="n">
        <v>10.5</v>
      </c>
      <c r="I42" s="3" t="n">
        <v>10.5</v>
      </c>
      <c r="J42" s="3" t="n">
        <v>10.5</v>
      </c>
      <c r="K42" s="3" t="n">
        <v>10.5</v>
      </c>
      <c r="L42" s="3" t="n">
        <v>10.5</v>
      </c>
    </row>
    <row r="43" customFormat="false" ht="15" hidden="false" customHeight="false" outlineLevel="0" collapsed="false">
      <c r="A43" s="0" t="s">
        <v>97</v>
      </c>
      <c r="C43" s="3" t="n">
        <v>0.04</v>
      </c>
      <c r="D43" s="3" t="n">
        <v>0.04</v>
      </c>
      <c r="E43" s="3" t="n">
        <v>0.04</v>
      </c>
      <c r="F43" s="3" t="n">
        <v>0.04</v>
      </c>
      <c r="G43" s="3" t="n">
        <v>0.04</v>
      </c>
      <c r="H43" s="3" t="n">
        <v>0.04</v>
      </c>
      <c r="I43" s="3" t="n">
        <v>0.04</v>
      </c>
      <c r="J43" s="3" t="n">
        <v>0.04</v>
      </c>
      <c r="K43" s="3" t="n">
        <v>0.04</v>
      </c>
      <c r="L43" s="3" t="n">
        <v>0.04</v>
      </c>
    </row>
    <row r="44" customFormat="false" ht="15" hidden="false" customHeight="false" outlineLevel="0" collapsed="false">
      <c r="A44" s="0" t="s">
        <v>98</v>
      </c>
      <c r="C44" s="3" t="n">
        <v>1.25</v>
      </c>
      <c r="D44" s="3" t="n">
        <v>1.25</v>
      </c>
      <c r="E44" s="3" t="n">
        <v>1.25</v>
      </c>
      <c r="F44" s="3" t="n">
        <v>1.25</v>
      </c>
      <c r="G44" s="3" t="n">
        <v>1.25</v>
      </c>
      <c r="H44" s="3" t="n">
        <v>1.25</v>
      </c>
      <c r="I44" s="3" t="n">
        <v>1.25</v>
      </c>
      <c r="J44" s="3" t="n">
        <v>1.25</v>
      </c>
      <c r="K44" s="3" t="n">
        <v>1.25</v>
      </c>
      <c r="L44" s="3" t="n">
        <v>1.25</v>
      </c>
    </row>
    <row r="45" customFormat="false" ht="15" hidden="false" customHeight="false" outlineLevel="0" collapsed="false">
      <c r="A45" s="0" t="s">
        <v>99</v>
      </c>
      <c r="C45" s="3" t="n">
        <v>3.3</v>
      </c>
      <c r="D45" s="3" t="n">
        <v>3.4</v>
      </c>
      <c r="E45" s="3" t="n">
        <v>3.4</v>
      </c>
      <c r="F45" s="3" t="n">
        <v>3.3</v>
      </c>
      <c r="G45" s="3" t="n">
        <v>3.2</v>
      </c>
      <c r="H45" s="3" t="n">
        <v>3.1</v>
      </c>
      <c r="I45" s="3" t="n">
        <v>3</v>
      </c>
      <c r="J45" s="3" t="n">
        <v>3</v>
      </c>
      <c r="K45" s="3" t="n">
        <v>2.9</v>
      </c>
      <c r="L45" s="3" t="n">
        <v>2.9</v>
      </c>
    </row>
    <row r="46" customFormat="false" ht="15" hidden="false" customHeight="false" outlineLevel="0" collapsed="false">
      <c r="A46" s="0" t="s">
        <v>100</v>
      </c>
      <c r="C46" s="3" t="n">
        <v>3.8</v>
      </c>
      <c r="D46" s="3" t="n">
        <v>3.8</v>
      </c>
      <c r="E46" s="3" t="n">
        <v>3.5</v>
      </c>
      <c r="F46" s="3" t="n">
        <v>3.3</v>
      </c>
      <c r="G46" s="3" t="n">
        <v>3.2</v>
      </c>
      <c r="H46" s="3" t="n">
        <v>3.1</v>
      </c>
      <c r="I46" s="3" t="n">
        <v>3.1</v>
      </c>
      <c r="J46" s="3" t="n">
        <v>3.1</v>
      </c>
      <c r="K46" s="3" t="n">
        <v>3.1</v>
      </c>
      <c r="L46" s="3" t="n">
        <v>3.1</v>
      </c>
    </row>
    <row r="47" customFormat="false" ht="15" hidden="false" customHeight="false" outlineLevel="0" collapsed="false">
      <c r="A47" s="0" t="s">
        <v>101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102</v>
      </c>
      <c r="B48" s="3" t="n">
        <v>9.5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-20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-2.5</v>
      </c>
      <c r="D5" s="4" t="n">
        <f aca="false">Assumptions!D13</f>
        <v>-1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8031.354</v>
      </c>
      <c r="C6" s="0" t="n">
        <f aca="false">B6*(1+C5/100)</f>
        <v>7830.57015</v>
      </c>
      <c r="D6" s="0" t="n">
        <f aca="false">C6*(1+D5/100)</f>
        <v>7752.2644485</v>
      </c>
      <c r="E6" s="0" t="n">
        <f aca="false">D6*(1+E5/100)</f>
        <v>7829.787092985</v>
      </c>
      <c r="F6" s="0" t="n">
        <f aca="false">E6*(1+F5/100)</f>
        <v>7947.23389937978</v>
      </c>
      <c r="G6" s="0" t="n">
        <f aca="false">F6*(1+G5/100)</f>
        <v>8066.44240787047</v>
      </c>
      <c r="H6" s="0" t="n">
        <f aca="false">G6*(1+H5/100)</f>
        <v>8187.43904398853</v>
      </c>
      <c r="I6" s="0" t="n">
        <f aca="false">H6*(1+I5/100)</f>
        <v>8310.25062964835</v>
      </c>
      <c r="J6" s="0" t="n">
        <f aca="false">I6*(1+J5/100)</f>
        <v>8434.90438909308</v>
      </c>
      <c r="K6" s="0" t="n">
        <f aca="false">J6*(1+K5/100)</f>
        <v>8561.42795492947</v>
      </c>
      <c r="L6" s="0" t="n">
        <f aca="false">K6*(1+L5/100)</f>
        <v>8689.84937425341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7.6</v>
      </c>
      <c r="D7" s="4" t="n">
        <f aca="false">Assumptions!D14</f>
        <v>7.4</v>
      </c>
      <c r="E7" s="4" t="n">
        <f aca="false">Assumptions!E14</f>
        <v>7.5</v>
      </c>
      <c r="F7" s="4" t="n">
        <f aca="false">Assumptions!F14</f>
        <v>7.6</v>
      </c>
      <c r="G7" s="4" t="n">
        <f aca="false">Assumptions!G14</f>
        <v>7.7</v>
      </c>
      <c r="H7" s="4" t="n">
        <f aca="false">Assumptions!H14</f>
        <v>7.7</v>
      </c>
      <c r="I7" s="4" t="n">
        <f aca="false">Assumptions!I14</f>
        <v>7.7</v>
      </c>
      <c r="J7" s="4" t="n">
        <f aca="false">Assumptions!J14</f>
        <v>7.7</v>
      </c>
      <c r="K7" s="4" t="n">
        <f aca="false">Assumptions!K14</f>
        <v>7.7</v>
      </c>
      <c r="L7" s="4" t="n">
        <f aca="false">Assumptions!L14</f>
        <v>7.7</v>
      </c>
    </row>
    <row r="8" customFormat="false" ht="15" hidden="false" customHeight="false" outlineLevel="0" collapsed="false">
      <c r="A8" s="0" t="s">
        <v>44</v>
      </c>
      <c r="C8" s="0" t="n">
        <f aca="false">C6*C7/100</f>
        <v>595.1233314</v>
      </c>
      <c r="D8" s="0" t="n">
        <f aca="false">D6*D7/100</f>
        <v>573.667569189</v>
      </c>
      <c r="E8" s="0" t="n">
        <f aca="false">E6*E7/100</f>
        <v>587.234031973875</v>
      </c>
      <c r="F8" s="0" t="n">
        <f aca="false">F6*F7/100</f>
        <v>603.989776352863</v>
      </c>
      <c r="G8" s="0" t="n">
        <f aca="false">G6*G7/100</f>
        <v>621.116065406026</v>
      </c>
      <c r="H8" s="0" t="n">
        <f aca="false">H6*H7/100</f>
        <v>630.432806387117</v>
      </c>
      <c r="I8" s="0" t="n">
        <f aca="false">I6*I7/100</f>
        <v>639.889298482923</v>
      </c>
      <c r="J8" s="0" t="n">
        <f aca="false">J6*J7/100</f>
        <v>649.487637960167</v>
      </c>
      <c r="K8" s="0" t="n">
        <f aca="false">K6*K7/100</f>
        <v>659.229952529569</v>
      </c>
      <c r="L8" s="0" t="n">
        <f aca="false">L6*L7/100</f>
        <v>669.118401817513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0.04</v>
      </c>
      <c r="D9" s="4" t="n">
        <f aca="false">Assumptions!D15</f>
        <v>0.04</v>
      </c>
      <c r="E9" s="4" t="n">
        <f aca="false">Assumptions!E15</f>
        <v>0.04</v>
      </c>
      <c r="F9" s="4" t="n">
        <f aca="false">Assumptions!F15</f>
        <v>0.04</v>
      </c>
      <c r="G9" s="4" t="n">
        <f aca="false">Assumptions!G15</f>
        <v>0.04</v>
      </c>
      <c r="H9" s="4" t="n">
        <f aca="false">Assumptions!H15</f>
        <v>0.04</v>
      </c>
      <c r="I9" s="4" t="n">
        <f aca="false">Assumptions!I15</f>
        <v>0.04</v>
      </c>
      <c r="J9" s="4" t="n">
        <f aca="false">Assumptions!J15</f>
        <v>0.04</v>
      </c>
      <c r="K9" s="4" t="n">
        <f aca="false">Assumptions!K15</f>
        <v>0.04</v>
      </c>
      <c r="L9" s="4" t="n">
        <f aca="false">Assumptions!L15</f>
        <v>0.04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-3.13222806</v>
      </c>
      <c r="D10" s="0" t="n">
        <f aca="false">-D6*D9/100</f>
        <v>-3.1009057794</v>
      </c>
      <c r="E10" s="0" t="n">
        <f aca="false">-E6*E9/100</f>
        <v>-3.131914837194</v>
      </c>
      <c r="F10" s="0" t="n">
        <f aca="false">-F6*F9/100</f>
        <v>-3.17889355975191</v>
      </c>
      <c r="G10" s="0" t="n">
        <f aca="false">-G6*G9/100</f>
        <v>-3.22657696314819</v>
      </c>
      <c r="H10" s="0" t="n">
        <f aca="false">-H6*H9/100</f>
        <v>-3.27497561759541</v>
      </c>
      <c r="I10" s="0" t="n">
        <f aca="false">-I6*I9/100</f>
        <v>-3.32410025185934</v>
      </c>
      <c r="J10" s="0" t="n">
        <f aca="false">-J6*J9/100</f>
        <v>-3.37396175563723</v>
      </c>
      <c r="K10" s="0" t="n">
        <f aca="false">-K6*K9/100</f>
        <v>-3.42457118197179</v>
      </c>
      <c r="L10" s="0" t="n">
        <f aca="false">-L6*L9/100</f>
        <v>-3.47593974970136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494.108976465</v>
      </c>
      <c r="D11" s="0" t="n">
        <f aca="false">D8+D10+D24</f>
        <v>473.66335780335</v>
      </c>
      <c r="E11" s="0" t="n">
        <f aca="false">E8+E10+E24</f>
        <v>486.229778474369</v>
      </c>
      <c r="F11" s="0" t="n">
        <f aca="false">F8+F10+F24</f>
        <v>501.470459050864</v>
      </c>
      <c r="G11" s="0" t="n">
        <f aca="false">G8+G10+G24</f>
        <v>517.058958344497</v>
      </c>
      <c r="H11" s="0" t="n">
        <f aca="false">H8+H10+H24</f>
        <v>524.814842719665</v>
      </c>
      <c r="I11" s="0" t="n">
        <f aca="false">I8+I10+I24</f>
        <v>532.687065360459</v>
      </c>
      <c r="J11" s="0" t="n">
        <f aca="false">J8+J10+J24</f>
        <v>540.677371340866</v>
      </c>
      <c r="K11" s="0" t="n">
        <f aca="false">K8+K10+K24</f>
        <v>548.787531910979</v>
      </c>
      <c r="L11" s="0" t="n">
        <f aca="false">L8+L10+L24</f>
        <v>557.019344889644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-258.40881495</v>
      </c>
      <c r="D12" s="4" t="n">
        <f aca="false">-D6*Assumptions!D17/100</f>
        <v>-263.576991249</v>
      </c>
      <c r="E12" s="4" t="n">
        <f aca="false">-E6*Assumptions!E17/100</f>
        <v>-266.21276116149</v>
      </c>
      <c r="F12" s="4" t="n">
        <f aca="false">-F6*Assumptions!F17/100</f>
        <v>-262.258718679533</v>
      </c>
      <c r="G12" s="4" t="n">
        <f aca="false">-G6*Assumptions!G17/100</f>
        <v>-258.126157051855</v>
      </c>
      <c r="H12" s="4" t="n">
        <f aca="false">-H6*Assumptions!H17/100</f>
        <v>-253.810610363644</v>
      </c>
      <c r="I12" s="4" t="n">
        <f aca="false">-I6*Assumptions!I17/100</f>
        <v>-249.307518889451</v>
      </c>
      <c r="J12" s="4" t="n">
        <f aca="false">-J6*Assumptions!J17/100</f>
        <v>-253.047131672792</v>
      </c>
      <c r="K12" s="4" t="n">
        <f aca="false">-K6*Assumptions!K17/100</f>
        <v>-248.281410692955</v>
      </c>
      <c r="L12" s="4" t="n">
        <f aca="false">-L6*Assumptions!L17/100</f>
        <v>-252.005631853349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235.700161515</v>
      </c>
      <c r="D13" s="0" t="n">
        <f aca="false">D11+D12</f>
        <v>210.08636655435</v>
      </c>
      <c r="E13" s="0" t="n">
        <f aca="false">E11+E12</f>
        <v>220.017017312879</v>
      </c>
      <c r="F13" s="0" t="n">
        <f aca="false">F11+F12</f>
        <v>239.211740371331</v>
      </c>
      <c r="G13" s="0" t="n">
        <f aca="false">G11+G12</f>
        <v>258.932801292642</v>
      </c>
      <c r="H13" s="0" t="n">
        <f aca="false">H11+H12</f>
        <v>271.00423235602</v>
      </c>
      <c r="I13" s="0" t="n">
        <f aca="false">I11+I12</f>
        <v>283.379546471009</v>
      </c>
      <c r="J13" s="0" t="n">
        <f aca="false">J11+J12</f>
        <v>287.630239668074</v>
      </c>
      <c r="K13" s="0" t="n">
        <f aca="false">K11+K12</f>
        <v>300.506121218024</v>
      </c>
      <c r="L13" s="0" t="n">
        <f aca="false">L11+L12</f>
        <v>305.013713036295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179.1321227514</v>
      </c>
      <c r="D15" s="0" t="n">
        <f aca="false">D13-MAX(0,D13)*D14/100</f>
        <v>159.665638581306</v>
      </c>
      <c r="E15" s="0" t="n">
        <f aca="false">E13-MAX(0,E13)*E14/100</f>
        <v>167.212933157788</v>
      </c>
      <c r="F15" s="0" t="n">
        <f aca="false">F13-MAX(0,F13)*F14/100</f>
        <v>181.800922682212</v>
      </c>
      <c r="G15" s="0" t="n">
        <f aca="false">G13-MAX(0,G13)*G14/100</f>
        <v>196.788928982408</v>
      </c>
      <c r="H15" s="0" t="n">
        <f aca="false">H13-MAX(0,H13)*H14/100</f>
        <v>205.963216590575</v>
      </c>
      <c r="I15" s="0" t="n">
        <f aca="false">I13-MAX(0,I13)*I14/100</f>
        <v>215.368455317967</v>
      </c>
      <c r="J15" s="0" t="n">
        <f aca="false">J13-MAX(0,J13)*J14/100</f>
        <v>218.598982147736</v>
      </c>
      <c r="K15" s="0" t="n">
        <f aca="false">K13-MAX(0,K13)*K14/100</f>
        <v>228.384652125698</v>
      </c>
      <c r="L15" s="0" t="n">
        <f aca="false">L13-MAX(0,L13)*L14/100</f>
        <v>231.810421907584</v>
      </c>
    </row>
    <row r="16" customFormat="false" ht="15" hidden="false" customHeight="false" outlineLevel="0" collapsed="false">
      <c r="A16" s="0" t="s">
        <v>117</v>
      </c>
      <c r="C16" s="0" t="n">
        <f aca="false">-C12</f>
        <v>258.40881495</v>
      </c>
      <c r="D16" s="0" t="n">
        <f aca="false">-D12</f>
        <v>263.576991249</v>
      </c>
      <c r="E16" s="0" t="n">
        <f aca="false">-E12</f>
        <v>266.21276116149</v>
      </c>
      <c r="F16" s="0" t="n">
        <f aca="false">-F12</f>
        <v>262.258718679533</v>
      </c>
      <c r="G16" s="0" t="n">
        <f aca="false">-G12</f>
        <v>258.126157051855</v>
      </c>
      <c r="H16" s="0" t="n">
        <f aca="false">-H12</f>
        <v>253.810610363644</v>
      </c>
      <c r="I16" s="0" t="n">
        <f aca="false">-I12</f>
        <v>249.307518889451</v>
      </c>
      <c r="J16" s="0" t="n">
        <f aca="false">-J12</f>
        <v>253.047131672792</v>
      </c>
      <c r="K16" s="0" t="n">
        <f aca="false">-K12</f>
        <v>248.281410692955</v>
      </c>
      <c r="L16" s="0" t="n">
        <f aca="false">-L12</f>
        <v>252.005631853349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-297.5616657</v>
      </c>
      <c r="D17" s="4" t="n">
        <f aca="false">-D6*Assumptions!D18/100</f>
        <v>-271.3292556975</v>
      </c>
      <c r="E17" s="4" t="n">
        <f aca="false">-E6*Assumptions!E18/100</f>
        <v>-250.55318697552</v>
      </c>
      <c r="F17" s="4" t="n">
        <f aca="false">-F6*Assumptions!F18/100</f>
        <v>-238.417016981393</v>
      </c>
      <c r="G17" s="4" t="n">
        <f aca="false">-G6*Assumptions!G18/100</f>
        <v>-241.993272236114</v>
      </c>
      <c r="H17" s="4" t="n">
        <f aca="false">-H6*Assumptions!H18/100</f>
        <v>-245.623171319656</v>
      </c>
      <c r="I17" s="4" t="n">
        <f aca="false">-I6*Assumptions!I18/100</f>
        <v>-249.307518889451</v>
      </c>
      <c r="J17" s="4" t="n">
        <f aca="false">-J6*Assumptions!J18/100</f>
        <v>-253.047131672792</v>
      </c>
      <c r="K17" s="4" t="n">
        <f aca="false">-K6*Assumptions!K18/100</f>
        <v>-256.842838647884</v>
      </c>
      <c r="L17" s="4" t="n">
        <f aca="false">-L6*Assumptions!L18/100</f>
        <v>-260.695481227602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40.15677</v>
      </c>
      <c r="D18" s="4" t="n">
        <f aca="false">(D6-C6)*Assumptions!$B$23/100</f>
        <v>15.6611403000001</v>
      </c>
      <c r="E18" s="4" t="n">
        <f aca="false">(E6-D6)*Assumptions!$B$23/100</f>
        <v>-15.5045288970001</v>
      </c>
      <c r="F18" s="4" t="n">
        <f aca="false">(F6-E6)*Assumptions!$B$23/100</f>
        <v>-23.4893612789549</v>
      </c>
      <c r="G18" s="4" t="n">
        <f aca="false">(G6-F6)*Assumptions!$B$23/100</f>
        <v>-23.8417016981392</v>
      </c>
      <c r="H18" s="4" t="n">
        <f aca="false">(H6-G6)*Assumptions!$B$23/100</f>
        <v>-24.1993272236112</v>
      </c>
      <c r="I18" s="4" t="n">
        <f aca="false">(I6-H6)*Assumptions!$B$23/100</f>
        <v>-24.5623171319654</v>
      </c>
      <c r="J18" s="4" t="n">
        <f aca="false">(J6-I6)*Assumptions!$B$23/100</f>
        <v>-24.9307518889447</v>
      </c>
      <c r="K18" s="4" t="n">
        <f aca="false">(K6-J6)*Assumptions!$B$23/100</f>
        <v>-25.3047131672789</v>
      </c>
      <c r="L18" s="4" t="n">
        <f aca="false">(L6-K6)*Assumptions!$B$23/100</f>
        <v>-25.6842838647881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180.1360420014</v>
      </c>
      <c r="D19" s="0" t="n">
        <f aca="false">D15+D16+D17+D18</f>
        <v>167.574514432806</v>
      </c>
      <c r="E19" s="0" t="n">
        <f aca="false">E15+E16+E17+E18</f>
        <v>167.367978446758</v>
      </c>
      <c r="F19" s="0" t="n">
        <f aca="false">F15+F16+F17+F18</f>
        <v>182.153263101396</v>
      </c>
      <c r="G19" s="0" t="n">
        <f aca="false">G15+G16+G17+G18</f>
        <v>189.08011210001</v>
      </c>
      <c r="H19" s="0" t="n">
        <f aca="false">H15+H16+H17+H18</f>
        <v>189.951328410953</v>
      </c>
      <c r="I19" s="0" t="n">
        <f aca="false">I15+I16+I17+I18</f>
        <v>190.806138186001</v>
      </c>
      <c r="J19" s="0" t="n">
        <f aca="false">J15+J16+J17+J18</f>
        <v>193.668230258791</v>
      </c>
      <c r="K19" s="0" t="n">
        <f aca="false">K15+K16+K17+K18</f>
        <v>194.51851100349</v>
      </c>
      <c r="L19" s="0" t="n">
        <f aca="false">L15+L16+L17+L18</f>
        <v>197.436288668543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164.507800914521</v>
      </c>
      <c r="D21" s="0" t="n">
        <f aca="false">D19*D20</f>
        <v>139.758982867585</v>
      </c>
      <c r="E21" s="0" t="n">
        <f aca="false">E19*E20</f>
        <v>127.476465379078</v>
      </c>
      <c r="F21" s="0" t="n">
        <f aca="false">F19*F20</f>
        <v>126.701127287493</v>
      </c>
      <c r="G21" s="0" t="n">
        <f aca="false">G19*G20</f>
        <v>120.108918160522</v>
      </c>
      <c r="H21" s="0" t="n">
        <f aca="false">H19*H20</f>
        <v>110.193916770482</v>
      </c>
      <c r="I21" s="0" t="n">
        <f aca="false">I19*I20</f>
        <v>101.086580914778</v>
      </c>
      <c r="J21" s="0" t="n">
        <f aca="false">J19*J20</f>
        <v>93.7012599347031</v>
      </c>
      <c r="K21" s="0" t="n">
        <f aca="false">K19*K20</f>
        <v>85.9476217568084</v>
      </c>
      <c r="L21" s="0" t="n">
        <f aca="false">L19*L20</f>
        <v>79.6683434549411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1.25</v>
      </c>
      <c r="D23" s="4" t="n">
        <f aca="false">Assumptions!D16</f>
        <v>1.25</v>
      </c>
      <c r="E23" s="4" t="n">
        <f aca="false">Assumptions!E16</f>
        <v>1.25</v>
      </c>
      <c r="F23" s="4" t="n">
        <f aca="false">Assumptions!F16</f>
        <v>1.25</v>
      </c>
      <c r="G23" s="4" t="n">
        <f aca="false">Assumptions!G16</f>
        <v>1.25</v>
      </c>
      <c r="H23" s="4" t="n">
        <f aca="false">Assumptions!H16</f>
        <v>1.25</v>
      </c>
      <c r="I23" s="4" t="n">
        <f aca="false">Assumptions!I16</f>
        <v>1.25</v>
      </c>
      <c r="J23" s="4" t="n">
        <f aca="false">Assumptions!J16</f>
        <v>1.25</v>
      </c>
      <c r="K23" s="4" t="n">
        <f aca="false">Assumptions!K16</f>
        <v>1.25</v>
      </c>
      <c r="L23" s="4" t="n">
        <f aca="false">Assumptions!L16</f>
        <v>1.25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-97.882126875</v>
      </c>
      <c r="D24" s="0" t="n">
        <f aca="false">-D6*D23/100</f>
        <v>-96.90330560625</v>
      </c>
      <c r="E24" s="0" t="n">
        <f aca="false">-E6*E23/100</f>
        <v>-97.8723386623125</v>
      </c>
      <c r="F24" s="0" t="n">
        <f aca="false">-F6*F23/100</f>
        <v>-99.3404237422472</v>
      </c>
      <c r="G24" s="0" t="n">
        <f aca="false">-G6*G23/100</f>
        <v>-100.830530098381</v>
      </c>
      <c r="H24" s="0" t="n">
        <f aca="false">-H6*H23/100</f>
        <v>-102.342988049857</v>
      </c>
      <c r="I24" s="0" t="n">
        <f aca="false">-I6*I23/100</f>
        <v>-103.878132870604</v>
      </c>
      <c r="J24" s="0" t="n">
        <f aca="false">-J6*J23/100</f>
        <v>-105.436304863663</v>
      </c>
      <c r="K24" s="0" t="n">
        <f aca="false">-K6*K23/100</f>
        <v>-107.017849436618</v>
      </c>
      <c r="L24" s="0" t="n">
        <f aca="false">-L6*L23/100</f>
        <v>-108.623117178168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1149.15101744091</v>
      </c>
    </row>
    <row r="31" customFormat="false" ht="15" hidden="false" customHeight="false" outlineLevel="0" collapsed="false">
      <c r="A31" s="0" t="s">
        <v>126</v>
      </c>
      <c r="B31" s="0" t="n">
        <f aca="false">L19</f>
        <v>197.436288668543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2346.00766535562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2369.23546402251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2346.00766535562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946.647375170477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2095.79839261139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2486.49839261139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12.1518391732013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-0.0645235432485525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20.3019398802333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16.6660813090425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12.3325066730792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1424.36179682306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8.09108890147591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-1</v>
      </c>
      <c r="D5" s="4" t="n">
        <f aca="false">Assumptions!D27</f>
        <v>2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8031.354</v>
      </c>
      <c r="C6" s="0" t="n">
        <f aca="false">B6*(1+C5/100)</f>
        <v>7951.04046</v>
      </c>
      <c r="D6" s="0" t="n">
        <f aca="false">C6*(1+D5/100)</f>
        <v>8110.0612692</v>
      </c>
      <c r="E6" s="0" t="n">
        <f aca="false">D6*(1+E5/100)</f>
        <v>8353.363107276</v>
      </c>
      <c r="F6" s="0" t="n">
        <f aca="false">E6*(1+F5/100)</f>
        <v>8603.96400049428</v>
      </c>
      <c r="G6" s="0" t="n">
        <f aca="false">F6*(1+G5/100)</f>
        <v>8862.08292050911</v>
      </c>
      <c r="H6" s="0" t="n">
        <f aca="false">G6*(1+H5/100)</f>
        <v>9083.63499352184</v>
      </c>
      <c r="I6" s="0" t="n">
        <f aca="false">H6*(1+I5/100)</f>
        <v>9310.72586835988</v>
      </c>
      <c r="J6" s="0" t="n">
        <f aca="false">I6*(1+J5/100)</f>
        <v>9543.49401506888</v>
      </c>
      <c r="K6" s="0" t="n">
        <f aca="false">J6*(1+K5/100)</f>
        <v>9734.36389537025</v>
      </c>
      <c r="L6" s="0" t="n">
        <f aca="false">K6*(1+L5/100)</f>
        <v>9929.05117327766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7.8</v>
      </c>
      <c r="D7" s="4" t="n">
        <f aca="false">Assumptions!D28</f>
        <v>8.4</v>
      </c>
      <c r="E7" s="4" t="n">
        <f aca="false">Assumptions!E28</f>
        <v>8.8</v>
      </c>
      <c r="F7" s="4" t="n">
        <f aca="false">Assumptions!F28</f>
        <v>9</v>
      </c>
      <c r="G7" s="4" t="n">
        <f aca="false">Assumptions!G28</f>
        <v>9</v>
      </c>
      <c r="H7" s="4" t="n">
        <f aca="false">Assumptions!H28</f>
        <v>9</v>
      </c>
      <c r="I7" s="4" t="n">
        <f aca="false">Assumptions!I28</f>
        <v>9</v>
      </c>
      <c r="J7" s="4" t="n">
        <f aca="false">Assumptions!J28</f>
        <v>9</v>
      </c>
      <c r="K7" s="4" t="n">
        <f aca="false">Assumptions!K28</f>
        <v>9</v>
      </c>
      <c r="L7" s="4" t="n">
        <f aca="false">Assumptions!L28</f>
        <v>9</v>
      </c>
    </row>
    <row r="8" customFormat="false" ht="15" hidden="false" customHeight="false" outlineLevel="0" collapsed="false">
      <c r="A8" s="0" t="s">
        <v>44</v>
      </c>
      <c r="C8" s="0" t="n">
        <f aca="false">C6*C7/100</f>
        <v>620.18115588</v>
      </c>
      <c r="D8" s="0" t="n">
        <f aca="false">D6*D7/100</f>
        <v>681.2451466128</v>
      </c>
      <c r="E8" s="0" t="n">
        <f aca="false">E6*E7/100</f>
        <v>735.095953440288</v>
      </c>
      <c r="F8" s="0" t="n">
        <f aca="false">F6*F7/100</f>
        <v>774.356760044485</v>
      </c>
      <c r="G8" s="0" t="n">
        <f aca="false">G6*G7/100</f>
        <v>797.58746284582</v>
      </c>
      <c r="H8" s="0" t="n">
        <f aca="false">H6*H7/100</f>
        <v>817.527149416965</v>
      </c>
      <c r="I8" s="0" t="n">
        <f aca="false">I6*I7/100</f>
        <v>837.965328152389</v>
      </c>
      <c r="J8" s="0" t="n">
        <f aca="false">J6*J7/100</f>
        <v>858.914461356199</v>
      </c>
      <c r="K8" s="0" t="n">
        <f aca="false">K6*K7/100</f>
        <v>876.092750583323</v>
      </c>
      <c r="L8" s="0" t="n">
        <f aca="false">L6*L7/100</f>
        <v>893.614605594989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0.04</v>
      </c>
      <c r="D9" s="4" t="n">
        <f aca="false">Assumptions!D29</f>
        <v>0.04</v>
      </c>
      <c r="E9" s="4" t="n">
        <f aca="false">Assumptions!E29</f>
        <v>0.04</v>
      </c>
      <c r="F9" s="4" t="n">
        <f aca="false">Assumptions!F29</f>
        <v>0.04</v>
      </c>
      <c r="G9" s="4" t="n">
        <f aca="false">Assumptions!G29</f>
        <v>0.04</v>
      </c>
      <c r="H9" s="4" t="n">
        <f aca="false">Assumptions!H29</f>
        <v>0.04</v>
      </c>
      <c r="I9" s="4" t="n">
        <f aca="false">Assumptions!I29</f>
        <v>0.04</v>
      </c>
      <c r="J9" s="4" t="n">
        <f aca="false">Assumptions!J29</f>
        <v>0.04</v>
      </c>
      <c r="K9" s="4" t="n">
        <f aca="false">Assumptions!K29</f>
        <v>0.04</v>
      </c>
      <c r="L9" s="4" t="n">
        <f aca="false">Assumptions!L29</f>
        <v>0.04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-3.180416184</v>
      </c>
      <c r="D10" s="0" t="n">
        <f aca="false">-D6*D9/100</f>
        <v>-3.24402450768</v>
      </c>
      <c r="E10" s="0" t="n">
        <f aca="false">-E6*E9/100</f>
        <v>-3.3413452429104</v>
      </c>
      <c r="F10" s="0" t="n">
        <f aca="false">-F6*F9/100</f>
        <v>-3.44158560019771</v>
      </c>
      <c r="G10" s="0" t="n">
        <f aca="false">-G6*G9/100</f>
        <v>-3.54483316820364</v>
      </c>
      <c r="H10" s="0" t="n">
        <f aca="false">-H6*H9/100</f>
        <v>-3.63345399740873</v>
      </c>
      <c r="I10" s="0" t="n">
        <f aca="false">-I6*I9/100</f>
        <v>-3.72429034734395</v>
      </c>
      <c r="J10" s="0" t="n">
        <f aca="false">-J6*J9/100</f>
        <v>-3.81739760602755</v>
      </c>
      <c r="K10" s="0" t="n">
        <f aca="false">-K6*K9/100</f>
        <v>-3.8937455581481</v>
      </c>
      <c r="L10" s="0" t="n">
        <f aca="false">-L6*L9/100</f>
        <v>-3.97162046931106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517.612733946</v>
      </c>
      <c r="D11" s="0" t="n">
        <f aca="false">D8+D10+D24</f>
        <v>576.62535624012</v>
      </c>
      <c r="E11" s="0" t="n">
        <f aca="false">E8+E10+E24</f>
        <v>627.337569356428</v>
      </c>
      <c r="F11" s="0" t="n">
        <f aca="false">F8+F10+F24</f>
        <v>663.365624438109</v>
      </c>
      <c r="G11" s="0" t="n">
        <f aca="false">G8+G10+G24</f>
        <v>683.266593171252</v>
      </c>
      <c r="H11" s="0" t="n">
        <f aca="false">H8+H10+H24</f>
        <v>700.348258000533</v>
      </c>
      <c r="I11" s="0" t="n">
        <f aca="false">I8+I10+I24</f>
        <v>717.856964450547</v>
      </c>
      <c r="J11" s="0" t="n">
        <f aca="false">J8+J10+J24</f>
        <v>735.80338856181</v>
      </c>
      <c r="K11" s="0" t="n">
        <f aca="false">K8+K10+K24</f>
        <v>750.519456333047</v>
      </c>
      <c r="L11" s="0" t="n">
        <f aca="false">L8+L10+L24</f>
        <v>765.529845459708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-262.38433518</v>
      </c>
      <c r="D12" s="4" t="n">
        <f aca="false">-D6*Assumptions!D31/100</f>
        <v>-275.7420831528</v>
      </c>
      <c r="E12" s="4" t="n">
        <f aca="false">-E6*Assumptions!E31/100</f>
        <v>-284.014345647384</v>
      </c>
      <c r="F12" s="4" t="n">
        <f aca="false">-F6*Assumptions!F31/100</f>
        <v>-283.930812016311</v>
      </c>
      <c r="G12" s="4" t="n">
        <f aca="false">-G6*Assumptions!G31/100</f>
        <v>-283.586653456292</v>
      </c>
      <c r="H12" s="4" t="n">
        <f aca="false">-H6*Assumptions!H31/100</f>
        <v>-281.592684799177</v>
      </c>
      <c r="I12" s="4" t="n">
        <f aca="false">-I6*Assumptions!I31/100</f>
        <v>-279.321776050796</v>
      </c>
      <c r="J12" s="4" t="n">
        <f aca="false">-J6*Assumptions!J31/100</f>
        <v>-286.304820452066</v>
      </c>
      <c r="K12" s="4" t="n">
        <f aca="false">-K6*Assumptions!K31/100</f>
        <v>-282.296552965737</v>
      </c>
      <c r="L12" s="4" t="n">
        <f aca="false">-L6*Assumptions!L31/100</f>
        <v>-287.942484025052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255.228398766</v>
      </c>
      <c r="D13" s="0" t="n">
        <f aca="false">D11+D12</f>
        <v>300.88327308732</v>
      </c>
      <c r="E13" s="0" t="n">
        <f aca="false">E11+E12</f>
        <v>343.323223709044</v>
      </c>
      <c r="F13" s="0" t="n">
        <f aca="false">F11+F12</f>
        <v>379.434812421798</v>
      </c>
      <c r="G13" s="0" t="n">
        <f aca="false">G11+G12</f>
        <v>399.679939714961</v>
      </c>
      <c r="H13" s="0" t="n">
        <f aca="false">H11+H12</f>
        <v>418.755573201357</v>
      </c>
      <c r="I13" s="0" t="n">
        <f aca="false">I11+I12</f>
        <v>438.53518839975</v>
      </c>
      <c r="J13" s="0" t="n">
        <f aca="false">J11+J12</f>
        <v>449.498568109744</v>
      </c>
      <c r="K13" s="0" t="n">
        <f aca="false">K11+K12</f>
        <v>468.222903367309</v>
      </c>
      <c r="L13" s="0" t="n">
        <f aca="false">L11+L12</f>
        <v>477.587361434655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196.52586704982</v>
      </c>
      <c r="D15" s="0" t="n">
        <f aca="false">D13-MAX(0,D13)*D14/100</f>
        <v>231.680120277236</v>
      </c>
      <c r="E15" s="0" t="n">
        <f aca="false">E13-MAX(0,E13)*E14/100</f>
        <v>264.358882255964</v>
      </c>
      <c r="F15" s="0" t="n">
        <f aca="false">F13-MAX(0,F13)*F14/100</f>
        <v>292.164805564784</v>
      </c>
      <c r="G15" s="0" t="n">
        <f aca="false">G13-MAX(0,G13)*G14/100</f>
        <v>307.75355358052</v>
      </c>
      <c r="H15" s="0" t="n">
        <f aca="false">H13-MAX(0,H13)*H14/100</f>
        <v>322.441791365045</v>
      </c>
      <c r="I15" s="0" t="n">
        <f aca="false">I13-MAX(0,I13)*I14/100</f>
        <v>337.672095067808</v>
      </c>
      <c r="J15" s="0" t="n">
        <f aca="false">J13-MAX(0,J13)*J14/100</f>
        <v>346.113897444503</v>
      </c>
      <c r="K15" s="0" t="n">
        <f aca="false">K13-MAX(0,K13)*K14/100</f>
        <v>360.531635592828</v>
      </c>
      <c r="L15" s="0" t="n">
        <f aca="false">L13-MAX(0,L13)*L14/100</f>
        <v>367.742268304685</v>
      </c>
    </row>
    <row r="16" customFormat="false" ht="15" hidden="false" customHeight="false" outlineLevel="0" collapsed="false">
      <c r="A16" s="0" t="s">
        <v>117</v>
      </c>
      <c r="C16" s="0" t="n">
        <f aca="false">-C12</f>
        <v>262.38433518</v>
      </c>
      <c r="D16" s="0" t="n">
        <f aca="false">-D12</f>
        <v>275.7420831528</v>
      </c>
      <c r="E16" s="0" t="n">
        <f aca="false">-E12</f>
        <v>284.014345647384</v>
      </c>
      <c r="F16" s="0" t="n">
        <f aca="false">-F12</f>
        <v>283.930812016311</v>
      </c>
      <c r="G16" s="0" t="n">
        <f aca="false">-G12</f>
        <v>283.586653456292</v>
      </c>
      <c r="H16" s="0" t="n">
        <f aca="false">-H12</f>
        <v>281.592684799177</v>
      </c>
      <c r="I16" s="0" t="n">
        <f aca="false">-I12</f>
        <v>279.321776050796</v>
      </c>
      <c r="J16" s="0" t="n">
        <f aca="false">-J12</f>
        <v>286.304820452066</v>
      </c>
      <c r="K16" s="0" t="n">
        <f aca="false">-K12</f>
        <v>282.296552965737</v>
      </c>
      <c r="L16" s="0" t="n">
        <f aca="false">-L12</f>
        <v>287.942484025052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-302.13953748</v>
      </c>
      <c r="D17" s="4" t="n">
        <f aca="false">-D6*Assumptions!D32/100</f>
        <v>-291.9622056912</v>
      </c>
      <c r="E17" s="4" t="n">
        <f aca="false">-E6*Assumptions!E32/100</f>
        <v>-275.660982540108</v>
      </c>
      <c r="F17" s="4" t="n">
        <f aca="false">-F6*Assumptions!F32/100</f>
        <v>-266.722884015323</v>
      </c>
      <c r="G17" s="4" t="n">
        <f aca="false">-G6*Assumptions!G32/100</f>
        <v>-274.724570535782</v>
      </c>
      <c r="H17" s="4" t="n">
        <f aca="false">-H6*Assumptions!H32/100</f>
        <v>-281.592684799177</v>
      </c>
      <c r="I17" s="4" t="n">
        <f aca="false">-I6*Assumptions!I32/100</f>
        <v>-288.632501919156</v>
      </c>
      <c r="J17" s="4" t="n">
        <f aca="false">-J6*Assumptions!J32/100</f>
        <v>-295.848314467135</v>
      </c>
      <c r="K17" s="4" t="n">
        <f aca="false">-K6*Assumptions!K32/100</f>
        <v>-301.765280756478</v>
      </c>
      <c r="L17" s="4" t="n">
        <f aca="false">-L6*Assumptions!L32/100</f>
        <v>-307.800586371607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16.062708</v>
      </c>
      <c r="D18" s="4" t="n">
        <f aca="false">(D6-C6)*Assumptions!$B$37/100</f>
        <v>-31.8041618400001</v>
      </c>
      <c r="E18" s="4" t="n">
        <f aca="false">(E6-D6)*Assumptions!$B$37/100</f>
        <v>-48.6603676151999</v>
      </c>
      <c r="F18" s="4" t="n">
        <f aca="false">(F6-E6)*Assumptions!$B$37/100</f>
        <v>-50.1201786436559</v>
      </c>
      <c r="G18" s="4" t="n">
        <f aca="false">(G6-F6)*Assumptions!$B$37/100</f>
        <v>-51.6237840029658</v>
      </c>
      <c r="H18" s="4" t="n">
        <f aca="false">(H6-G6)*Assumptions!$B$37/100</f>
        <v>-44.3104146025453</v>
      </c>
      <c r="I18" s="4" t="n">
        <f aca="false">(I6-H6)*Assumptions!$B$37/100</f>
        <v>-45.4181749676089</v>
      </c>
      <c r="J18" s="4" t="n">
        <f aca="false">(J6-I6)*Assumptions!$B$37/100</f>
        <v>-46.5536293417994</v>
      </c>
      <c r="K18" s="4" t="n">
        <f aca="false">(K6-J6)*Assumptions!$B$37/100</f>
        <v>-38.1739760602755</v>
      </c>
      <c r="L18" s="4" t="n">
        <f aca="false">(L6-K6)*Assumptions!$B$37/100</f>
        <v>-38.9374555814811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172.83337274982</v>
      </c>
      <c r="D19" s="0" t="n">
        <f aca="false">D15+D16+D17+D18</f>
        <v>183.655835898836</v>
      </c>
      <c r="E19" s="0" t="n">
        <f aca="false">E15+E16+E17+E18</f>
        <v>224.05187774804</v>
      </c>
      <c r="F19" s="0" t="n">
        <f aca="false">F15+F16+F17+F18</f>
        <v>259.252554922117</v>
      </c>
      <c r="G19" s="0" t="n">
        <f aca="false">G15+G16+G17+G18</f>
        <v>264.991852498063</v>
      </c>
      <c r="H19" s="0" t="n">
        <f aca="false">H15+H16+H17+H18</f>
        <v>278.131376762499</v>
      </c>
      <c r="I19" s="0" t="n">
        <f aca="false">I15+I16+I17+I18</f>
        <v>282.943194231839</v>
      </c>
      <c r="J19" s="0" t="n">
        <f aca="false">J15+J16+J17+J18</f>
        <v>290.016774087635</v>
      </c>
      <c r="K19" s="0" t="n">
        <f aca="false">K15+K16+K17+K18</f>
        <v>302.888931741812</v>
      </c>
      <c r="L19" s="0" t="n">
        <f aca="false">L15+L16+L17+L18</f>
        <v>308.946710376648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157.838696575178</v>
      </c>
      <c r="D21" s="0" t="n">
        <f aca="false">D19*D20</f>
        <v>153.170981338034</v>
      </c>
      <c r="E21" s="0" t="n">
        <f aca="false">E19*E20</f>
        <v>170.649975592261</v>
      </c>
      <c r="F21" s="0" t="n">
        <f aca="false">F19*F20</f>
        <v>180.32941272378</v>
      </c>
      <c r="G21" s="0" t="n">
        <f aca="false">G19*G20</f>
        <v>168.33015578106</v>
      </c>
      <c r="H21" s="0" t="n">
        <f aca="false">H19*H20</f>
        <v>161.348625664358</v>
      </c>
      <c r="I21" s="0" t="n">
        <f aca="false">I19*I20</f>
        <v>149.899580642008</v>
      </c>
      <c r="J21" s="0" t="n">
        <f aca="false">J19*J20</f>
        <v>140.316959048455</v>
      </c>
      <c r="K21" s="0" t="n">
        <f aca="false">K19*K20</f>
        <v>133.830879155773</v>
      </c>
      <c r="L21" s="0" t="n">
        <f aca="false">L19*L20</f>
        <v>124.66438058346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1.25</v>
      </c>
      <c r="D23" s="4" t="n">
        <f aca="false">Assumptions!D30</f>
        <v>1.25</v>
      </c>
      <c r="E23" s="4" t="n">
        <f aca="false">Assumptions!E30</f>
        <v>1.25</v>
      </c>
      <c r="F23" s="4" t="n">
        <f aca="false">Assumptions!F30</f>
        <v>1.25</v>
      </c>
      <c r="G23" s="4" t="n">
        <f aca="false">Assumptions!G30</f>
        <v>1.25</v>
      </c>
      <c r="H23" s="4" t="n">
        <f aca="false">Assumptions!H30</f>
        <v>1.25</v>
      </c>
      <c r="I23" s="4" t="n">
        <f aca="false">Assumptions!I30</f>
        <v>1.25</v>
      </c>
      <c r="J23" s="4" t="n">
        <f aca="false">Assumptions!J30</f>
        <v>1.25</v>
      </c>
      <c r="K23" s="4" t="n">
        <f aca="false">Assumptions!K30</f>
        <v>1.25</v>
      </c>
      <c r="L23" s="4" t="n">
        <f aca="false">Assumptions!L30</f>
        <v>1.25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-99.38800575</v>
      </c>
      <c r="D24" s="0" t="n">
        <f aca="false">-D6*D23/100</f>
        <v>-101.375765865</v>
      </c>
      <c r="E24" s="0" t="n">
        <f aca="false">-E6*E23/100</f>
        <v>-104.41703884095</v>
      </c>
      <c r="F24" s="0" t="n">
        <f aca="false">-F6*F23/100</f>
        <v>-107.549550006178</v>
      </c>
      <c r="G24" s="0" t="n">
        <f aca="false">-G6*G23/100</f>
        <v>-110.776036506364</v>
      </c>
      <c r="H24" s="0" t="n">
        <f aca="false">-H6*H23/100</f>
        <v>-113.545437419023</v>
      </c>
      <c r="I24" s="0" t="n">
        <f aca="false">-I6*I23/100</f>
        <v>-116.384073354498</v>
      </c>
      <c r="J24" s="0" t="n">
        <f aca="false">-J6*J23/100</f>
        <v>-119.293675188361</v>
      </c>
      <c r="K24" s="0" t="n">
        <f aca="false">-K6*K23/100</f>
        <v>-121.679548692128</v>
      </c>
      <c r="L24" s="0" t="n">
        <f aca="false">-L6*L23/100</f>
        <v>-124.113139665971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1540.37964710437</v>
      </c>
    </row>
    <row r="31" customFormat="false" ht="15" hidden="false" customHeight="false" outlineLevel="0" collapsed="false">
      <c r="A31" s="0" t="s">
        <v>126</v>
      </c>
      <c r="B31" s="0" t="n">
        <f aca="false">L19</f>
        <v>308.946710376648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4201.67526112242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3707.36052451978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3707.36052451978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1495.97256700152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3036.35221410589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3427.05221410589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16.7484473216335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0.289333896969476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22.0515477479018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21.7954307704803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16.9627331754951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2424.04341987832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10.703923063862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-0.5</v>
      </c>
      <c r="D5" s="4" t="n">
        <f aca="false">Assumptions!D41</f>
        <v>4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8031.354</v>
      </c>
      <c r="C6" s="0" t="n">
        <f aca="false">B6*(1+C5/100)</f>
        <v>7991.19723</v>
      </c>
      <c r="D6" s="0" t="n">
        <f aca="false">C6*(1+D5/100)</f>
        <v>8310.8451192</v>
      </c>
      <c r="E6" s="0" t="n">
        <f aca="false">D6*(1+E5/100)</f>
        <v>8726.38737516</v>
      </c>
      <c r="F6" s="0" t="n">
        <f aca="false">E6*(1+F5/100)</f>
        <v>9162.706743918</v>
      </c>
      <c r="G6" s="0" t="n">
        <f aca="false">F6*(1+G5/100)</f>
        <v>9575.02854739431</v>
      </c>
      <c r="H6" s="0" t="n">
        <f aca="false">G6*(1+H5/100)</f>
        <v>9958.02968929009</v>
      </c>
      <c r="I6" s="0" t="n">
        <f aca="false">H6*(1+I5/100)</f>
        <v>10306.5607284152</v>
      </c>
      <c r="J6" s="0" t="n">
        <f aca="false">I6*(1+J5/100)</f>
        <v>10615.7575502677</v>
      </c>
      <c r="K6" s="0" t="n">
        <f aca="false">J6*(1+K5/100)</f>
        <v>10881.1514890244</v>
      </c>
      <c r="L6" s="0" t="n">
        <f aca="false">K6*(1+L5/100)</f>
        <v>11153.18027625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8</v>
      </c>
      <c r="D7" s="4" t="n">
        <f aca="false">Assumptions!D42</f>
        <v>9</v>
      </c>
      <c r="E7" s="4" t="n">
        <f aca="false">Assumptions!E42</f>
        <v>9.7</v>
      </c>
      <c r="F7" s="4" t="n">
        <f aca="false">Assumptions!F42</f>
        <v>10.2</v>
      </c>
      <c r="G7" s="4" t="n">
        <f aca="false">Assumptions!G42</f>
        <v>10.5</v>
      </c>
      <c r="H7" s="4" t="n">
        <f aca="false">Assumptions!H42</f>
        <v>10.5</v>
      </c>
      <c r="I7" s="4" t="n">
        <f aca="false">Assumptions!I42</f>
        <v>10.5</v>
      </c>
      <c r="J7" s="4" t="n">
        <f aca="false">Assumptions!J42</f>
        <v>10.5</v>
      </c>
      <c r="K7" s="4" t="n">
        <f aca="false">Assumptions!K42</f>
        <v>10.5</v>
      </c>
      <c r="L7" s="4" t="n">
        <f aca="false">Assumptions!L42</f>
        <v>10.5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639.2957784</v>
      </c>
      <c r="D8" s="0" t="n">
        <f aca="false">D6*D7/100</f>
        <v>747.976060728</v>
      </c>
      <c r="E8" s="0" t="n">
        <f aca="false">E6*E7/100</f>
        <v>846.45957539052</v>
      </c>
      <c r="F8" s="0" t="n">
        <f aca="false">F6*F7/100</f>
        <v>934.596087879636</v>
      </c>
      <c r="G8" s="0" t="n">
        <f aca="false">G6*G7/100</f>
        <v>1005.3779974764</v>
      </c>
      <c r="H8" s="0" t="n">
        <f aca="false">H6*H7/100</f>
        <v>1045.59311737546</v>
      </c>
      <c r="I8" s="0" t="n">
        <f aca="false">I6*I7/100</f>
        <v>1082.1888764836</v>
      </c>
      <c r="J8" s="0" t="n">
        <f aca="false">J6*J7/100</f>
        <v>1114.65454277811</v>
      </c>
      <c r="K8" s="0" t="n">
        <f aca="false">K6*K7/100</f>
        <v>1142.52090634756</v>
      </c>
      <c r="L8" s="0" t="n">
        <f aca="false">L6*L7/100</f>
        <v>1171.08392900625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0.04</v>
      </c>
      <c r="D9" s="4" t="n">
        <f aca="false">Assumptions!D43</f>
        <v>0.04</v>
      </c>
      <c r="E9" s="4" t="n">
        <f aca="false">Assumptions!E43</f>
        <v>0.04</v>
      </c>
      <c r="F9" s="4" t="n">
        <f aca="false">Assumptions!F43</f>
        <v>0.04</v>
      </c>
      <c r="G9" s="4" t="n">
        <f aca="false">Assumptions!G43</f>
        <v>0.04</v>
      </c>
      <c r="H9" s="4" t="n">
        <f aca="false">Assumptions!H43</f>
        <v>0.04</v>
      </c>
      <c r="I9" s="4" t="n">
        <f aca="false">Assumptions!I43</f>
        <v>0.04</v>
      </c>
      <c r="J9" s="4" t="n">
        <f aca="false">Assumptions!J43</f>
        <v>0.04</v>
      </c>
      <c r="K9" s="4" t="n">
        <f aca="false">Assumptions!K43</f>
        <v>0.04</v>
      </c>
      <c r="L9" s="4" t="n">
        <f aca="false">Assumptions!L43</f>
        <v>0.04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-3.196478892</v>
      </c>
      <c r="D10" s="0" t="n">
        <f aca="false">-D6*D9/100</f>
        <v>-3.32433804768</v>
      </c>
      <c r="E10" s="0" t="n">
        <f aca="false">-E6*E9/100</f>
        <v>-3.490554950064</v>
      </c>
      <c r="F10" s="0" t="n">
        <f aca="false">-F6*F9/100</f>
        <v>-3.6650826975672</v>
      </c>
      <c r="G10" s="0" t="n">
        <f aca="false">-G6*G9/100</f>
        <v>-3.83001141895773</v>
      </c>
      <c r="H10" s="0" t="n">
        <f aca="false">-H6*H9/100</f>
        <v>-3.98321187571603</v>
      </c>
      <c r="I10" s="0" t="n">
        <f aca="false">-I6*I9/100</f>
        <v>-4.1226242913661</v>
      </c>
      <c r="J10" s="0" t="n">
        <f aca="false">-J6*J9/100</f>
        <v>-4.24630302010708</v>
      </c>
      <c r="K10" s="0" t="n">
        <f aca="false">-K6*K9/100</f>
        <v>-4.35246059560976</v>
      </c>
      <c r="L10" s="0" t="n">
        <f aca="false">-L6*L9/100</f>
        <v>-4.4612721105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536.209334133</v>
      </c>
      <c r="D11" s="0" t="n">
        <f aca="false">D8+D10+D24</f>
        <v>640.76615869032</v>
      </c>
      <c r="E11" s="0" t="n">
        <f aca="false">E8+E10+E24</f>
        <v>733.889178250956</v>
      </c>
      <c r="F11" s="0" t="n">
        <f aca="false">F8+F10+F24</f>
        <v>816.397170883094</v>
      </c>
      <c r="G11" s="0" t="n">
        <f aca="false">G8+G10+G24</f>
        <v>881.860129215016</v>
      </c>
      <c r="H11" s="0" t="n">
        <f aca="false">H8+H10+H24</f>
        <v>917.134534383617</v>
      </c>
      <c r="I11" s="0" t="n">
        <f aca="false">I8+I10+I24</f>
        <v>949.234243087043</v>
      </c>
      <c r="J11" s="0" t="n">
        <f aca="false">J8+J10+J24</f>
        <v>977.711270379655</v>
      </c>
      <c r="K11" s="0" t="n">
        <f aca="false">K8+K10+K24</f>
        <v>1002.15405213915</v>
      </c>
      <c r="L11" s="0" t="n">
        <f aca="false">L8+L10+L24</f>
        <v>1027.20790344262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-263.70950859</v>
      </c>
      <c r="D12" s="4" t="n">
        <f aca="false">-D6*Assumptions!D45/100</f>
        <v>-282.5687340528</v>
      </c>
      <c r="E12" s="4" t="n">
        <f aca="false">-E6*Assumptions!E45/100</f>
        <v>-296.69717075544</v>
      </c>
      <c r="F12" s="4" t="n">
        <f aca="false">-F6*Assumptions!F45/100</f>
        <v>-302.369322549294</v>
      </c>
      <c r="G12" s="4" t="n">
        <f aca="false">-G6*Assumptions!G45/100</f>
        <v>-306.400913516618</v>
      </c>
      <c r="H12" s="4" t="n">
        <f aca="false">-H6*Assumptions!H45/100</f>
        <v>-308.698920367993</v>
      </c>
      <c r="I12" s="4" t="n">
        <f aca="false">-I6*Assumptions!I45/100</f>
        <v>-309.196821852457</v>
      </c>
      <c r="J12" s="4" t="n">
        <f aca="false">-J6*Assumptions!J45/100</f>
        <v>-318.472726508031</v>
      </c>
      <c r="K12" s="4" t="n">
        <f aca="false">-K6*Assumptions!K45/100</f>
        <v>-315.553393181707</v>
      </c>
      <c r="L12" s="4" t="n">
        <f aca="false">-L6*Assumptions!L45/100</f>
        <v>-323.44222801125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272.499825543</v>
      </c>
      <c r="D13" s="0" t="n">
        <f aca="false">D11+D12</f>
        <v>358.19742463752</v>
      </c>
      <c r="E13" s="0" t="n">
        <f aca="false">E11+E12</f>
        <v>437.192007495516</v>
      </c>
      <c r="F13" s="0" t="n">
        <f aca="false">F11+F12</f>
        <v>514.0278483338</v>
      </c>
      <c r="G13" s="0" t="n">
        <f aca="false">G11+G12</f>
        <v>575.459215698398</v>
      </c>
      <c r="H13" s="0" t="n">
        <f aca="false">H11+H12</f>
        <v>608.435614015624</v>
      </c>
      <c r="I13" s="0" t="n">
        <f aca="false">I11+I12</f>
        <v>640.037421234586</v>
      </c>
      <c r="J13" s="0" t="n">
        <f aca="false">J11+J12</f>
        <v>659.238543871624</v>
      </c>
      <c r="K13" s="0" t="n">
        <f aca="false">K11+K12</f>
        <v>686.600658957439</v>
      </c>
      <c r="L13" s="0" t="n">
        <f aca="false">L11+L12</f>
        <v>703.765675431375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209.82486566811</v>
      </c>
      <c r="D15" s="0" t="n">
        <f aca="false">D13-MAX(0,D13)*D14/100</f>
        <v>275.81201697089</v>
      </c>
      <c r="E15" s="0" t="n">
        <f aca="false">E13-MAX(0,E13)*E14/100</f>
        <v>336.637845771547</v>
      </c>
      <c r="F15" s="0" t="n">
        <f aca="false">F13-MAX(0,F13)*F14/100</f>
        <v>395.801443217026</v>
      </c>
      <c r="G15" s="0" t="n">
        <f aca="false">G13-MAX(0,G13)*G14/100</f>
        <v>443.103596087767</v>
      </c>
      <c r="H15" s="0" t="n">
        <f aca="false">H13-MAX(0,H13)*H14/100</f>
        <v>468.49542279203</v>
      </c>
      <c r="I15" s="0" t="n">
        <f aca="false">I13-MAX(0,I13)*I14/100</f>
        <v>492.828814350631</v>
      </c>
      <c r="J15" s="0" t="n">
        <f aca="false">J13-MAX(0,J13)*J14/100</f>
        <v>507.61367878115</v>
      </c>
      <c r="K15" s="0" t="n">
        <f aca="false">K13-MAX(0,K13)*K14/100</f>
        <v>528.682507397228</v>
      </c>
      <c r="L15" s="0" t="n">
        <f aca="false">L13-MAX(0,L13)*L14/100</f>
        <v>541.899570082159</v>
      </c>
    </row>
    <row r="16" customFormat="false" ht="15" hidden="false" customHeight="false" outlineLevel="0" collapsed="false">
      <c r="A16" s="0" t="s">
        <v>117</v>
      </c>
      <c r="C16" s="0" t="n">
        <f aca="false">-C12</f>
        <v>263.70950859</v>
      </c>
      <c r="D16" s="0" t="n">
        <f aca="false">-D12</f>
        <v>282.5687340528</v>
      </c>
      <c r="E16" s="0" t="n">
        <f aca="false">-E12</f>
        <v>296.69717075544</v>
      </c>
      <c r="F16" s="0" t="n">
        <f aca="false">-F12</f>
        <v>302.369322549294</v>
      </c>
      <c r="G16" s="0" t="n">
        <f aca="false">-G12</f>
        <v>306.400913516618</v>
      </c>
      <c r="H16" s="0" t="n">
        <f aca="false">-H12</f>
        <v>308.698920367993</v>
      </c>
      <c r="I16" s="0" t="n">
        <f aca="false">-I12</f>
        <v>309.196821852457</v>
      </c>
      <c r="J16" s="0" t="n">
        <f aca="false">-J12</f>
        <v>318.472726508031</v>
      </c>
      <c r="K16" s="0" t="n">
        <f aca="false">-K12</f>
        <v>315.553393181707</v>
      </c>
      <c r="L16" s="0" t="n">
        <f aca="false">-L12</f>
        <v>323.44222801125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-303.66549474</v>
      </c>
      <c r="D17" s="4" t="n">
        <f aca="false">-D6*Assumptions!D46/100</f>
        <v>-315.8121145296</v>
      </c>
      <c r="E17" s="4" t="n">
        <f aca="false">-E6*Assumptions!E46/100</f>
        <v>-305.4235581306</v>
      </c>
      <c r="F17" s="4" t="n">
        <f aca="false">-F6*Assumptions!F46/100</f>
        <v>-302.369322549294</v>
      </c>
      <c r="G17" s="4" t="n">
        <f aca="false">-G6*Assumptions!G46/100</f>
        <v>-306.400913516618</v>
      </c>
      <c r="H17" s="4" t="n">
        <f aca="false">-H6*Assumptions!H46/100</f>
        <v>-308.698920367993</v>
      </c>
      <c r="I17" s="4" t="n">
        <f aca="false">-I6*Assumptions!I46/100</f>
        <v>-319.503382580872</v>
      </c>
      <c r="J17" s="4" t="n">
        <f aca="false">-J6*Assumptions!J46/100</f>
        <v>-329.088484058299</v>
      </c>
      <c r="K17" s="4" t="n">
        <f aca="false">-K6*Assumptions!K46/100</f>
        <v>-337.315696159756</v>
      </c>
      <c r="L17" s="4" t="n">
        <f aca="false">-L6*Assumptions!L46/100</f>
        <v>-345.74858856375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8.03135399999992</v>
      </c>
      <c r="D18" s="4" t="n">
        <f aca="false">(D6-C6)*Assumptions!$B$51/100</f>
        <v>-63.9295778400001</v>
      </c>
      <c r="E18" s="4" t="n">
        <f aca="false">(E6-D6)*Assumptions!$B$51/100</f>
        <v>-83.1084511920002</v>
      </c>
      <c r="F18" s="4" t="n">
        <f aca="false">(F6-E6)*Assumptions!$B$51/100</f>
        <v>-87.2638737516001</v>
      </c>
      <c r="G18" s="4" t="n">
        <f aca="false">(G6-F6)*Assumptions!$B$51/100</f>
        <v>-82.4643606952621</v>
      </c>
      <c r="H18" s="4" t="n">
        <f aca="false">(H6-G6)*Assumptions!$B$51/100</f>
        <v>-76.6002283791546</v>
      </c>
      <c r="I18" s="4" t="n">
        <f aca="false">(I6-H6)*Assumptions!$B$51/100</f>
        <v>-69.7062078250303</v>
      </c>
      <c r="J18" s="4" t="n">
        <f aca="false">(J6-I6)*Assumptions!$B$51/100</f>
        <v>-61.8393643704916</v>
      </c>
      <c r="K18" s="4" t="n">
        <f aca="false">(K6-J6)*Assumptions!$B$51/100</f>
        <v>-53.0787877513383</v>
      </c>
      <c r="L18" s="4" t="n">
        <f aca="false">(L6-K6)*Assumptions!$B$51/100</f>
        <v>-54.4057574451217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177.90023351811</v>
      </c>
      <c r="D19" s="0" t="n">
        <f aca="false">D15+D16+D17+D18</f>
        <v>178.63905865409</v>
      </c>
      <c r="E19" s="0" t="n">
        <f aca="false">E15+E16+E17+E18</f>
        <v>244.803007204387</v>
      </c>
      <c r="F19" s="0" t="n">
        <f aca="false">F15+F16+F17+F18</f>
        <v>308.537569465426</v>
      </c>
      <c r="G19" s="0" t="n">
        <f aca="false">G15+G16+G17+G18</f>
        <v>360.639235392505</v>
      </c>
      <c r="H19" s="0" t="n">
        <f aca="false">H15+H16+H17+H18</f>
        <v>391.895194412876</v>
      </c>
      <c r="I19" s="0" t="n">
        <f aca="false">I15+I16+I17+I18</f>
        <v>412.816045797186</v>
      </c>
      <c r="J19" s="0" t="n">
        <f aca="false">J15+J16+J17+J18</f>
        <v>435.158556860391</v>
      </c>
      <c r="K19" s="0" t="n">
        <f aca="false">K15+K16+K17+K18</f>
        <v>453.841416667841</v>
      </c>
      <c r="L19" s="0" t="n">
        <f aca="false">L15+L16+L17+L18</f>
        <v>465.187452084537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162.465966683205</v>
      </c>
      <c r="D21" s="0" t="n">
        <f aca="false">D19*D20</f>
        <v>148.986934095695</v>
      </c>
      <c r="E21" s="0" t="n">
        <f aca="false">E19*E20</f>
        <v>186.455153262853</v>
      </c>
      <c r="F21" s="0" t="n">
        <f aca="false">F19*F20</f>
        <v>214.610801894073</v>
      </c>
      <c r="G21" s="0" t="n">
        <f aca="false">G19*G20</f>
        <v>229.088019507416</v>
      </c>
      <c r="H21" s="0" t="n">
        <f aca="false">H19*H20</f>
        <v>227.344903545272</v>
      </c>
      <c r="I21" s="0" t="n">
        <f aca="false">I19*I20</f>
        <v>218.704508215122</v>
      </c>
      <c r="J21" s="0" t="n">
        <f aca="false">J19*J20</f>
        <v>210.539978574182</v>
      </c>
      <c r="K21" s="0" t="n">
        <f aca="false">K19*K20</f>
        <v>200.528937920164</v>
      </c>
      <c r="L21" s="0" t="n">
        <f aca="false">L19*L20</f>
        <v>187.709736409286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1.25</v>
      </c>
      <c r="D23" s="4" t="n">
        <f aca="false">Assumptions!D44</f>
        <v>1.25</v>
      </c>
      <c r="E23" s="4" t="n">
        <f aca="false">Assumptions!E44</f>
        <v>1.25</v>
      </c>
      <c r="F23" s="4" t="n">
        <f aca="false">Assumptions!F44</f>
        <v>1.25</v>
      </c>
      <c r="G23" s="4" t="n">
        <f aca="false">Assumptions!G44</f>
        <v>1.25</v>
      </c>
      <c r="H23" s="4" t="n">
        <f aca="false">Assumptions!H44</f>
        <v>1.25</v>
      </c>
      <c r="I23" s="4" t="n">
        <f aca="false">Assumptions!I44</f>
        <v>1.25</v>
      </c>
      <c r="J23" s="4" t="n">
        <f aca="false">Assumptions!J44</f>
        <v>1.25</v>
      </c>
      <c r="K23" s="4" t="n">
        <f aca="false">Assumptions!K44</f>
        <v>1.25</v>
      </c>
      <c r="L23" s="4" t="n">
        <f aca="false">Assumptions!L44</f>
        <v>1.25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-99.889965375</v>
      </c>
      <c r="D24" s="0" t="n">
        <f aca="false">-D6*D23/100</f>
        <v>-103.88556399</v>
      </c>
      <c r="E24" s="0" t="n">
        <f aca="false">-E6*E23/100</f>
        <v>-109.0798421895</v>
      </c>
      <c r="F24" s="0" t="n">
        <f aca="false">-F6*F23/100</f>
        <v>-114.533834298975</v>
      </c>
      <c r="G24" s="0" t="n">
        <f aca="false">-G6*G23/100</f>
        <v>-119.687856842429</v>
      </c>
      <c r="H24" s="0" t="n">
        <f aca="false">-H6*H23/100</f>
        <v>-124.475371116126</v>
      </c>
      <c r="I24" s="0" t="n">
        <f aca="false">-I6*I23/100</f>
        <v>-128.83200910519</v>
      </c>
      <c r="J24" s="0" t="n">
        <f aca="false">-J6*J23/100</f>
        <v>-132.696969378346</v>
      </c>
      <c r="K24" s="0" t="n">
        <f aca="false">-K6*K23/100</f>
        <v>-136.014393612805</v>
      </c>
      <c r="L24" s="0" t="n">
        <f aca="false">-L6*L23/100</f>
        <v>-139.414753453125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1986.43494010727</v>
      </c>
    </row>
    <row r="31" customFormat="false" ht="15" hidden="false" customHeight="false" outlineLevel="0" collapsed="false">
      <c r="A31" s="0" t="s">
        <v>126</v>
      </c>
      <c r="B31" s="0" t="n">
        <f aca="false">L19</f>
        <v>465.187452084537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6811.67340552357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5582.24942501444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5582.24942501444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2252.51683691144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4238.9517770187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4629.6517770187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22.6257068934488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0.741778821666576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23.6051680696697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26.3598750311295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22.8698925200501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3814.5371070932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13.9327656272676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12.1518391732013</v>
      </c>
      <c r="C4" s="0" t="n">
        <f aca="false">B4/Assumptions!$B$2-1</f>
        <v>-0.0645235432485525</v>
      </c>
      <c r="D4" s="4" t="n">
        <f aca="false">Assumptions!$B$24</f>
        <v>0.25</v>
      </c>
      <c r="E4" s="4" t="n">
        <f aca="false">DCF_Bear!$B$43</f>
        <v>12.3325066730792</v>
      </c>
      <c r="F4" s="4" t="n">
        <f aca="false">DCF_Bear!$B$47</f>
        <v>8.09108890147591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16.7484473216335</v>
      </c>
      <c r="C5" s="0" t="n">
        <f aca="false">B5/Assumptions!$B$2-1</f>
        <v>0.289333896969476</v>
      </c>
      <c r="D5" s="4" t="n">
        <f aca="false">Assumptions!$B$38</f>
        <v>0.5</v>
      </c>
      <c r="E5" s="4" t="n">
        <f aca="false">DCF_Base!$B$43</f>
        <v>16.9627331754951</v>
      </c>
      <c r="F5" s="4" t="n">
        <f aca="false">DCF_Base!$B$47</f>
        <v>10.703923063862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22.6257068934488</v>
      </c>
      <c r="C6" s="0" t="n">
        <f aca="false">B6/Assumptions!$B$2-1</f>
        <v>0.741778821666576</v>
      </c>
      <c r="D6" s="4" t="n">
        <f aca="false">Assumptions!$B$52</f>
        <v>0.25</v>
      </c>
      <c r="E6" s="4" t="n">
        <f aca="false">DCF_Bull!$B$43</f>
        <v>22.8698925200501</v>
      </c>
      <c r="F6" s="4" t="n">
        <f aca="false">DCF_Bull!$B$47</f>
        <v>13.9327656272676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17.0686101774793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17.2819663860299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0.238953853598502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-1911.64353978103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10.8579251641169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17.2755078422834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16.7484473216335</v>
      </c>
      <c r="C16" s="3" t="n">
        <v>9.5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16.2445771279329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14.947313749624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13.5636084361114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10.703923063862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19.008533333315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19.008533333315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19.008533333315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19.008533333315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19.008533333315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17.8269918916711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17.8269918916711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17.8269918916711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17.8269918916711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17.8269918916711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16.6767707394885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16.7484473216335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16.7484473216335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16.7484473216335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16.7484473216335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15.0014702869122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15.3609553029692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15.7627326738565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15.7627326738565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15.7627326738565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13.6503517999731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13.9202775422707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14.2186165205996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14.5501042742984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14.8607811376305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2026-10-10T22:56:05Z</dcterms:created>
  <dc:creator>openpyxl</dc:creator>
  <dc:description/>
  <dc:language>en-NZ</dc:language>
  <cp:lastModifiedBy/>
  <dcterms:modified xsi:type="dcterms:W3CDTF">2026-10-10T22:56:05Z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