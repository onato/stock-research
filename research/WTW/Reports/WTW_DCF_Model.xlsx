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<sst xmlns="http://schemas.openxmlformats.org/spreadsheetml/2006/main" count="387" uniqueCount="174">
  <si>
    <t xml:space="preserve">Ticker</t>
  </si>
  <si>
    <t xml:space="preserve">WTW</t>
  </si>
  <si>
    <t xml:space="preserve">Company</t>
  </si>
  <si>
    <t xml:space="preserve">Willis Towers Watson plc</t>
  </si>
  <si>
    <t xml:space="preserve">Valuation date</t>
  </si>
  <si>
    <t xml:space="preserve">2026-10-03</t>
  </si>
  <si>
    <t xml:space="preserve">Current price</t>
  </si>
  <si>
    <t xml:space="preserve">Price as of</t>
  </si>
  <si>
    <t xml:space="preserve">2026-10-02T20:00:00Z regular close (Yahoo Finance chart API)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</si>
  <si>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</si>
  <si>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</si>
  <si>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</si>
  <si>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</si>
  <si>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</si>
  <si>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</si>
  <si>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</si>
  <si>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</si>
  <si>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</si>
  <si>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</si>
  <si>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</si>
  <si>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</si>
  <si>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2026-10-02T22:01:26Z</t>
  </si>
  <si>
    <t xml:space="preserve">Drivers file</t>
  </si>
  <si>
    <t xml:space="preserve">WTW_Drivers.json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</si>
  <si>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</si>
  <si>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</si>
  <si>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</si>
  <si>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Asset-light fee/commission business valued on unlevered owner FCF (SBC and equity-award withholding fully expensed, share count flat), anchored on normalized FY2025 earnings power rather than the TRANZACT-distorted FY2024 GAAP loss, with margin expansion credited only partially toward management's Propel target.
key_risks_to_valuation: Terminal value carries most of the value; an 18x cap on terminal FCF binds near Gordon at 8%/3%; Propel margin delivery: each 1pp of mature cash-EBITDA margin is worth roughly $8-9/share; Soft P&amp;C pricing cycle compressing R&amp;B commission growth; AI substitution in actuarial/benefits consulting fee pools; Non-adjusted cash leakage (pensions, E&amp;O, deferred comp) has historically kept FCF well below adjusted earnings - the calibration assumes it persists; Integration of Newfront ($1.3B) and FlowStone; debt-funded M&amp;A raised net debt to $4.9B</t>
  </si>
  <si>
    <t xml:space="preserve">Data sources</t>
  </si>
  <si>
    <t xml:space="preserve">price: Yahoo Finance chart API at inputs.price_as_of; 52-week range 240.61-352.79
financials: WTW_Metrics.csv (SEC XBRL-derived, FY2008-Q2 2026) plus SEC XBRL companyfacts (CIK 1140536) for depreciation, intangible amortization, SBC, equity-award withholding, buybacks, debt split, NCI, cash taxes, and the 10-Q cover share count
qualitative: WTW_Analysis.json (2026-10-03): FY2025 results, Q2-2026 results, Propel AI Acceleration Plan, Newfront/FlowStone acquisitions, TRANZACT divestiture</t>
  </si>
  <si>
    <t xml:space="preserve">Scenario narrative: bear</t>
  </si>
  <si>
    <t xml:space="preserve">The P&amp;C and reinsurance pricing cycle turns decisively soft and corporate payroll/benefits budgets tighten, cutting organic growth to ~3%; generative-AI tools commoditise actuarial, benefits and compensation-benchmarking work so Propel savings are passed through to clients rather than retained; Newfront integration disappoints. Cash margins stay near the FY2025 level (~24.5-25%) and terminal growth is 2.5%. The business remains solidly cash generative - this is a de-rating, not a solvency, case.</t>
  </si>
  <si>
    <t xml:space="preserve">Scenario narrative: base</t>
  </si>
  <si>
    <t xml:space="preserve">WTW compounds organic revenue at ~5% (benefits/retirement advisory demand from ageing populations and regulatory complexity in HWC, new business and retention in R&amp;B) while the commercial P&amp;C rate cycle softens, with Newfront, FlowStone and the Al-Futtaim Willis buy-in adding ~3pp in FY2026. Propel's ~$625M cash cost depresses 2026-28 cash margins by ~1.5-2pp before ~$350M net run-rate savings lift cash EBITDA to ~27.5% pre-SBC (about +3pp on FY2025), below management's ~30% adjusted-operating-margin ambition. Capital returns continue at ~100% of FCF; the share count is held flat with SBC expensed.</t>
  </si>
  <si>
    <t xml:space="preserve">Scenario narrative: bull</t>
  </si>
  <si>
    <t xml:space="preserve">Propel is the transformation programme repeated: WTW reaches the ~30% adjusted operating margin in 2028 and closes the margin gap to Aon, the broking platform gains share in US middle market and specialty through Newfront, and FlowStone gives the Wealth/investments business a private-markets growth leg. Organic growth runs 6-7% early, decaying to 4%; cash EBITDA matures at 29.5%.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</si>
  <si>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</si>
  <si>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</si>
  <si>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</si>
  <si>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</si>
  <si>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</si>
  <si>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</si>
  <si>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</si>
  <si>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</si>
  <si>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</si>
  <si>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</si>
  <si>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</si>
  <si>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</si>
  <si>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</si>
  <si>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</si>
  <si>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</si>
  <si>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</si>
  <si>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</si>
  <si>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</si>
  <si>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</si>
  <si>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</si>
  <si>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</si>
  <si>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</si>
  <si>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</si>
  <si>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</si>
  <si>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</si>
  <si>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</si>
  <si>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</si>
  <si>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</si>
  <si>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</si>
  <si>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</si>
  <si>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</si>
  <si>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</si>
  <si>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</si>
  <si>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</si>
  <si>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</si>
  <si>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</si>
  <si>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</si>
  <si>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</si>
  <si>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</si>
  <si>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</si>
  <si>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</si>
  <si>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</si>
  <si>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</si>
  <si>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</si>
  <si>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</si>
  <si>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</si>
  <si>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</si>
  <si>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</si>
  <si>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</si>
  <si>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</si>
  <si>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</si>
  <si>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</si>
  <si>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</si>
  <si>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</si>
  <si>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</si>
  <si>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</si>
  <si>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</si>
  <si>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</si>
  <si>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</si>
  <si>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</si>
  <si>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</si>
  <si>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</si>
  <si>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</si>
  <si>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</si>
  <si>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</si>
  <si>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</si>
  <si>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</si>
  <si>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</si>
  <si>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</si>
  <si>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</si>
  <si>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</si>
  <si>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</si>
  <si>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</si>
  <si>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</si>
  <si>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</si>
  <si>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</si>
  <si>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</si>
  <si>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</si>
  <si>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</si>
  <si>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</si>
  <si>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</si>
  <si>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</si>
  <si>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</si>
  <si>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WTW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</si>
  <si>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</si>
  <si>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</si>
  <si>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</si>
  <si>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</si>
  <si>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</si>
  <si>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</si>
  <si>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</si>
  <si>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</si>
  <si>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</si>
  <si>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</si>
  <si>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</si>
  <si>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</si>
  <si>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</si>
  <si>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</si>
  <si>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</si>
  <si>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</si>
  <si>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</si>
  <si>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</si>
  <si>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</si>
  <si>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</si>
  <si>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</si>
  <si>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</si>
  <si>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</si>
  <si>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</si>
  <si>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</si>
  <si>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</si>
  <si>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</si>
  <si>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</si>
  <si>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</si>
  <si>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</si>
  <si>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WTW owner-FCF component DCF: base case (millions, USD)</t>
  </si>
  <si>
    <t xml:space="preserve">WTW owner-FCF component DCF: bull case (millions, USD)</t>
  </si>
  <si>
    <t xml:space="preserve">WTW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</si>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</sst>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288.61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S2" s="0" t="n">
        <v>200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2827</v>
      </c>
      <c r="F3" s="0" t="n">
        <v>503</v>
      </c>
      <c r="G3" s="0" t="n">
        <v>17.7927131234524</v>
      </c>
      <c r="I3" s="0" t="n">
        <v>324</v>
      </c>
      <c r="J3" s="0" t="n">
        <v>11.4609126282278</v>
      </c>
      <c r="L3" s="0" t="n">
        <v>253</v>
      </c>
      <c r="M3" s="0" t="n">
        <v>94</v>
      </c>
      <c r="N3" s="0" t="n">
        <v>159</v>
      </c>
      <c r="O3" s="0" t="n">
        <v>1895</v>
      </c>
      <c r="S3" s="0" t="n">
        <v>205</v>
      </c>
      <c r="U3" s="0" t="n">
        <v>40</v>
      </c>
      <c r="V3" s="0" t="n">
        <v>1.04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3253</v>
      </c>
      <c r="F4" s="0" t="n">
        <v>690</v>
      </c>
      <c r="G4" s="0" t="n">
        <v>21.2111896710729</v>
      </c>
      <c r="H4" s="0" t="n">
        <v>854</v>
      </c>
      <c r="I4" s="0" t="n">
        <v>459</v>
      </c>
      <c r="J4" s="0" t="n">
        <v>14.1100522594528</v>
      </c>
      <c r="K4" s="0" t="n">
        <v>2.61</v>
      </c>
      <c r="L4" s="0" t="n">
        <v>419</v>
      </c>
      <c r="M4" s="0" t="n">
        <v>96</v>
      </c>
      <c r="N4" s="0" t="n">
        <v>323</v>
      </c>
      <c r="O4" s="0" t="n">
        <v>2229</v>
      </c>
      <c r="P4" s="0" t="n">
        <v>15625</v>
      </c>
      <c r="Q4" s="0" t="n">
        <v>13396</v>
      </c>
      <c r="R4" s="0" t="n">
        <v>2374</v>
      </c>
      <c r="S4" s="0" t="n">
        <v>221</v>
      </c>
      <c r="T4" s="0" t="n">
        <v>169</v>
      </c>
      <c r="U4" s="0" t="n">
        <v>39</v>
      </c>
      <c r="V4" s="0" t="n">
        <v>1.04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3332</v>
      </c>
      <c r="F5" s="0" t="n">
        <v>753</v>
      </c>
      <c r="G5" s="0" t="n">
        <v>22.5990396158463</v>
      </c>
      <c r="H5" s="0" t="n">
        <v>898</v>
      </c>
      <c r="I5" s="0" t="n">
        <v>470</v>
      </c>
      <c r="J5" s="0" t="n">
        <v>14.1056422569028</v>
      </c>
      <c r="K5" s="0" t="n">
        <v>2.68</v>
      </c>
      <c r="L5" s="0" t="n">
        <v>489</v>
      </c>
      <c r="M5" s="0" t="n">
        <v>83</v>
      </c>
      <c r="N5" s="0" t="n">
        <v>406</v>
      </c>
      <c r="O5" s="0" t="n">
        <v>2608</v>
      </c>
      <c r="P5" s="0" t="n">
        <v>15850</v>
      </c>
      <c r="Q5" s="0" t="n">
        <v>13242</v>
      </c>
      <c r="R5" s="0" t="n">
        <v>2267</v>
      </c>
      <c r="S5" s="0" t="n">
        <v>316</v>
      </c>
      <c r="T5" s="0" t="n">
        <v>171</v>
      </c>
      <c r="U5" s="0" t="n">
        <v>47</v>
      </c>
      <c r="V5" s="0" t="n">
        <v>1.04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3447</v>
      </c>
      <c r="F6" s="0" t="n">
        <v>566</v>
      </c>
      <c r="G6" s="0" t="n">
        <v>16.4200754279083</v>
      </c>
      <c r="H6" s="0" t="n">
        <v>708</v>
      </c>
      <c r="I6" s="0" t="n">
        <v>220</v>
      </c>
      <c r="J6" s="0" t="n">
        <v>6.38236147374529</v>
      </c>
      <c r="K6" s="0" t="n">
        <v>1.18</v>
      </c>
      <c r="L6" s="0" t="n">
        <v>439</v>
      </c>
      <c r="M6" s="0" t="n">
        <v>111</v>
      </c>
      <c r="N6" s="0" t="n">
        <v>328</v>
      </c>
      <c r="O6" s="0" t="n">
        <v>2517</v>
      </c>
      <c r="P6" s="0" t="n">
        <v>15728</v>
      </c>
      <c r="Q6" s="0" t="n">
        <v>13211</v>
      </c>
      <c r="R6" s="0" t="n">
        <v>2369</v>
      </c>
      <c r="S6" s="0" t="n">
        <v>436</v>
      </c>
      <c r="T6" s="0" t="n">
        <v>176</v>
      </c>
      <c r="U6" s="0" t="n">
        <v>41</v>
      </c>
      <c r="V6" s="0" t="n">
        <v>1.04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3480</v>
      </c>
      <c r="F7" s="0" t="n">
        <v>-225</v>
      </c>
      <c r="G7" s="0" t="n">
        <v>-6.46551724137931</v>
      </c>
      <c r="H7" s="0" t="n">
        <v>-87</v>
      </c>
      <c r="I7" s="0" t="n">
        <v>-446</v>
      </c>
      <c r="J7" s="0" t="n">
        <v>-12.816091954023</v>
      </c>
      <c r="K7" s="0" t="n">
        <v>-2.58</v>
      </c>
      <c r="L7" s="0" t="n">
        <v>525</v>
      </c>
      <c r="M7" s="0" t="n">
        <v>135</v>
      </c>
      <c r="N7" s="0" t="n">
        <v>390</v>
      </c>
      <c r="O7" s="0" t="n">
        <v>1725</v>
      </c>
      <c r="P7" s="0" t="n">
        <v>15112</v>
      </c>
      <c r="Q7" s="0" t="n">
        <v>13387</v>
      </c>
      <c r="R7" s="0" t="n">
        <v>2353</v>
      </c>
      <c r="S7" s="0" t="n">
        <v>500</v>
      </c>
      <c r="T7" s="0" t="n">
        <v>173</v>
      </c>
      <c r="U7" s="0" t="n">
        <v>32</v>
      </c>
      <c r="V7" s="0" t="n">
        <v>1.08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3655</v>
      </c>
      <c r="F8" s="0" t="n">
        <v>663</v>
      </c>
      <c r="G8" s="0" t="n">
        <v>18.1395348837209</v>
      </c>
      <c r="H8" s="0" t="n">
        <v>812</v>
      </c>
      <c r="I8" s="0" t="n">
        <v>377</v>
      </c>
      <c r="J8" s="0" t="n">
        <v>10.3146374829001</v>
      </c>
      <c r="K8" s="0" t="n">
        <v>5.53</v>
      </c>
      <c r="L8" s="0" t="n">
        <v>561</v>
      </c>
      <c r="M8" s="0" t="n">
        <v>112</v>
      </c>
      <c r="N8" s="0" t="n">
        <v>449</v>
      </c>
      <c r="O8" s="0" t="n">
        <v>2243</v>
      </c>
      <c r="P8" s="0" t="n">
        <v>14800</v>
      </c>
      <c r="Q8" s="0" t="n">
        <v>12557</v>
      </c>
      <c r="R8" s="0" t="n">
        <v>2326</v>
      </c>
      <c r="S8" s="0" t="n">
        <v>796</v>
      </c>
      <c r="T8" s="0" t="n">
        <v>68</v>
      </c>
      <c r="U8" s="0" t="n">
        <v>42</v>
      </c>
      <c r="V8" s="0" t="n">
        <v>2.97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3802</v>
      </c>
      <c r="F9" s="0" t="n">
        <v>647</v>
      </c>
      <c r="G9" s="0" t="n">
        <v>17.0173592845871</v>
      </c>
      <c r="H9" s="0" t="n">
        <v>793</v>
      </c>
      <c r="I9" s="0" t="n">
        <v>373</v>
      </c>
      <c r="J9" s="0" t="n">
        <v>9.81062598632299</v>
      </c>
      <c r="K9" s="0" t="n">
        <v>5.4</v>
      </c>
      <c r="L9" s="0" t="n">
        <v>477</v>
      </c>
      <c r="M9" s="0" t="n">
        <v>113</v>
      </c>
      <c r="N9" s="0" t="n">
        <v>364</v>
      </c>
      <c r="O9" s="0" t="n">
        <v>2007</v>
      </c>
      <c r="P9" s="0" t="n">
        <v>15421</v>
      </c>
      <c r="Q9" s="0" t="n">
        <v>13355</v>
      </c>
      <c r="R9" s="0" t="n">
        <v>2297</v>
      </c>
      <c r="S9" s="0" t="n">
        <v>635</v>
      </c>
      <c r="T9" s="0" t="n">
        <v>68</v>
      </c>
      <c r="U9" s="0" t="n">
        <v>52</v>
      </c>
      <c r="V9" s="0" t="n">
        <v>3.18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3829</v>
      </c>
      <c r="F10" s="0" t="n">
        <v>427</v>
      </c>
      <c r="G10" s="0" t="n">
        <v>11.1517367458867</v>
      </c>
      <c r="H10" s="0" t="n">
        <v>598</v>
      </c>
      <c r="I10" s="0" t="n">
        <v>384</v>
      </c>
      <c r="J10" s="0" t="n">
        <v>10.0287281274484</v>
      </c>
      <c r="K10" s="0" t="n">
        <v>5.49</v>
      </c>
      <c r="L10" s="0" t="n">
        <v>244</v>
      </c>
      <c r="M10" s="0" t="n">
        <v>146</v>
      </c>
      <c r="N10" s="0" t="n">
        <v>98</v>
      </c>
      <c r="O10" s="0" t="n">
        <v>2360</v>
      </c>
      <c r="P10" s="0" t="n">
        <v>18839</v>
      </c>
      <c r="Q10" s="0" t="n">
        <v>16426</v>
      </c>
      <c r="R10" s="0" t="n">
        <v>3266</v>
      </c>
      <c r="S10" s="0" t="n">
        <v>532</v>
      </c>
      <c r="T10" s="0" t="n">
        <v>69</v>
      </c>
      <c r="U10" s="0" t="n">
        <v>64</v>
      </c>
      <c r="V10" s="0" t="n">
        <v>3.28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7887</v>
      </c>
      <c r="F11" s="0" t="n">
        <v>348</v>
      </c>
      <c r="G11" s="0" t="n">
        <v>4.41232407759604</v>
      </c>
      <c r="I11" s="0" t="n">
        <v>438</v>
      </c>
      <c r="J11" s="0" t="n">
        <v>5.55344237352606</v>
      </c>
      <c r="K11" s="0" t="n">
        <v>3.07</v>
      </c>
      <c r="L11" s="0" t="n">
        <v>933</v>
      </c>
      <c r="M11" s="0" t="n">
        <v>218</v>
      </c>
      <c r="N11" s="0" t="n">
        <v>715</v>
      </c>
      <c r="O11" s="0" t="n">
        <v>10183</v>
      </c>
      <c r="P11" s="0" t="n">
        <v>30253</v>
      </c>
      <c r="Q11" s="0" t="n">
        <v>20019</v>
      </c>
      <c r="R11" s="0" t="n">
        <v>3865</v>
      </c>
      <c r="S11" s="0" t="n">
        <v>870</v>
      </c>
      <c r="T11" s="0" t="n">
        <v>138</v>
      </c>
      <c r="U11" s="0" t="n">
        <v>123</v>
      </c>
      <c r="V11" s="0" t="n">
        <v>1.92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8202</v>
      </c>
      <c r="F12" s="0" t="n">
        <v>516</v>
      </c>
      <c r="G12" s="0" t="n">
        <v>6.29114850036577</v>
      </c>
      <c r="I12" s="0" t="n">
        <v>592</v>
      </c>
      <c r="J12" s="0" t="n">
        <v>7.2177517678615</v>
      </c>
      <c r="K12" s="0" t="n">
        <v>4.21</v>
      </c>
      <c r="L12" s="0" t="n">
        <v>862</v>
      </c>
      <c r="M12" s="0" t="n">
        <v>300</v>
      </c>
      <c r="N12" s="0" t="n">
        <v>562</v>
      </c>
      <c r="O12" s="0" t="n">
        <v>10249</v>
      </c>
      <c r="P12" s="0" t="n">
        <v>32458</v>
      </c>
      <c r="Q12" s="0" t="n">
        <v>22181</v>
      </c>
      <c r="R12" s="0" t="n">
        <v>4535</v>
      </c>
      <c r="S12" s="0" t="n">
        <v>1030</v>
      </c>
      <c r="T12" s="0" t="n">
        <v>136</v>
      </c>
      <c r="U12" s="0" t="n">
        <v>67</v>
      </c>
      <c r="V12" s="0" t="n">
        <v>2.12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8513</v>
      </c>
      <c r="F13" s="0" t="n">
        <v>809</v>
      </c>
      <c r="G13" s="0" t="n">
        <v>9.50311288617409</v>
      </c>
      <c r="I13" s="0" t="n">
        <v>715</v>
      </c>
      <c r="J13" s="0" t="n">
        <v>8.39891929989428</v>
      </c>
      <c r="K13" s="0" t="n">
        <v>5.29</v>
      </c>
      <c r="L13" s="0" t="n">
        <v>1288</v>
      </c>
      <c r="M13" s="0" t="n">
        <v>268</v>
      </c>
      <c r="N13" s="0" t="n">
        <v>1020</v>
      </c>
      <c r="O13" s="0" t="n">
        <v>9971</v>
      </c>
      <c r="P13" s="0" t="n">
        <v>32385</v>
      </c>
      <c r="Q13" s="0" t="n">
        <v>22388</v>
      </c>
      <c r="R13" s="0" t="n">
        <v>4575</v>
      </c>
      <c r="S13" s="0" t="n">
        <v>1033</v>
      </c>
      <c r="T13" s="0" t="n">
        <v>132</v>
      </c>
      <c r="U13" s="0" t="n">
        <v>50</v>
      </c>
      <c r="V13" s="0" t="n">
        <v>2.4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8370</v>
      </c>
      <c r="F14" s="0" t="n">
        <v>1054</v>
      </c>
      <c r="G14" s="0" t="n">
        <v>12.5925925925926</v>
      </c>
      <c r="I14" s="0" t="n">
        <v>1073</v>
      </c>
      <c r="J14" s="0" t="n">
        <v>12.8195937873357</v>
      </c>
      <c r="K14" s="0" t="n">
        <v>8.05</v>
      </c>
      <c r="L14" s="0" t="n">
        <v>1081</v>
      </c>
      <c r="O14" s="0" t="n">
        <v>10369</v>
      </c>
      <c r="P14" s="0" t="n">
        <v>35426</v>
      </c>
      <c r="Q14" s="0" t="n">
        <v>25057</v>
      </c>
      <c r="R14" s="0" t="n">
        <v>5617</v>
      </c>
      <c r="S14" s="0" t="n">
        <v>887</v>
      </c>
      <c r="T14" s="0" t="n">
        <v>130</v>
      </c>
      <c r="U14" s="0" t="n">
        <v>74</v>
      </c>
      <c r="V14" s="0" t="n">
        <v>2.6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8615</v>
      </c>
      <c r="F15" s="0" t="n">
        <v>859</v>
      </c>
      <c r="G15" s="0" t="n">
        <v>9.97098084735926</v>
      </c>
      <c r="I15" s="0" t="n">
        <v>1020</v>
      </c>
      <c r="J15" s="0" t="n">
        <v>11.8398142774231</v>
      </c>
      <c r="K15" s="0" t="n">
        <v>7.68</v>
      </c>
      <c r="L15" s="0" t="n">
        <v>1774</v>
      </c>
      <c r="O15" s="0" t="n">
        <v>10932</v>
      </c>
      <c r="P15" s="0" t="n">
        <v>38531</v>
      </c>
      <c r="Q15" s="0" t="n">
        <v>27599</v>
      </c>
      <c r="R15" s="0" t="n">
        <v>5635</v>
      </c>
      <c r="S15" s="0" t="n">
        <v>2039</v>
      </c>
      <c r="T15" s="0" t="n">
        <v>130</v>
      </c>
      <c r="U15" s="0" t="n">
        <v>90</v>
      </c>
      <c r="V15" s="0" t="n">
        <v>2.75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8998</v>
      </c>
      <c r="F16" s="0" t="n">
        <v>2202</v>
      </c>
      <c r="G16" s="0" t="n">
        <v>24.4721049122027</v>
      </c>
      <c r="I16" s="0" t="n">
        <v>4236</v>
      </c>
      <c r="J16" s="0" t="n">
        <v>47.0771282507224</v>
      </c>
      <c r="K16" s="0" t="n">
        <v>32.88</v>
      </c>
      <c r="L16" s="0" t="n">
        <v>2061</v>
      </c>
      <c r="O16" s="0" t="n">
        <v>13308</v>
      </c>
      <c r="P16" s="0" t="n">
        <v>34970</v>
      </c>
      <c r="Q16" s="0" t="n">
        <v>21662</v>
      </c>
      <c r="R16" s="0" t="n">
        <v>4587</v>
      </c>
      <c r="S16" s="0" t="n">
        <v>4486</v>
      </c>
      <c r="T16" s="0" t="n">
        <v>129</v>
      </c>
      <c r="U16" s="0" t="n">
        <v>101</v>
      </c>
      <c r="V16" s="0" t="n">
        <v>3.02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8866</v>
      </c>
      <c r="F17" s="0" t="n">
        <v>1178</v>
      </c>
      <c r="G17" s="0" t="n">
        <v>13.2867132867133</v>
      </c>
      <c r="I17" s="0" t="n">
        <v>1024</v>
      </c>
      <c r="J17" s="0" t="n">
        <v>11.5497405819987</v>
      </c>
      <c r="K17" s="0" t="n">
        <v>9</v>
      </c>
      <c r="L17" s="0" t="n">
        <v>812</v>
      </c>
      <c r="O17" s="0" t="n">
        <v>10093</v>
      </c>
      <c r="P17" s="0" t="n">
        <v>31769</v>
      </c>
      <c r="Q17" s="0" t="n">
        <v>21676</v>
      </c>
      <c r="R17" s="0" t="n">
        <v>4721</v>
      </c>
      <c r="S17" s="0" t="n">
        <v>1262</v>
      </c>
      <c r="T17" s="0" t="n">
        <v>112</v>
      </c>
      <c r="U17" s="0" t="n">
        <v>99</v>
      </c>
      <c r="V17" s="0" t="n">
        <v>3.28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9483</v>
      </c>
      <c r="F18" s="0" t="n">
        <v>1365</v>
      </c>
      <c r="G18" s="0" t="n">
        <v>14.3941790572604</v>
      </c>
      <c r="I18" s="0" t="n">
        <v>1064</v>
      </c>
      <c r="J18" s="0" t="n">
        <v>11.2200780343773</v>
      </c>
      <c r="K18" s="0" t="n">
        <v>10.01</v>
      </c>
      <c r="L18" s="0" t="n">
        <v>1345</v>
      </c>
      <c r="M18" s="0" t="n">
        <v>242</v>
      </c>
      <c r="N18" s="0" t="n">
        <v>1103</v>
      </c>
      <c r="O18" s="0" t="n">
        <v>9593</v>
      </c>
      <c r="P18" s="0" t="n">
        <v>29090</v>
      </c>
      <c r="Q18" s="0" t="n">
        <v>19497</v>
      </c>
      <c r="R18" s="0" t="n">
        <v>5217</v>
      </c>
      <c r="S18" s="0" t="n">
        <v>1424</v>
      </c>
      <c r="T18" s="0" t="n">
        <v>106</v>
      </c>
      <c r="U18" s="0" t="n">
        <v>125</v>
      </c>
      <c r="V18" s="0" t="n">
        <v>3.36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9930</v>
      </c>
      <c r="F19" s="0" t="n">
        <v>627</v>
      </c>
      <c r="G19" s="0" t="n">
        <v>6.31419939577039</v>
      </c>
      <c r="I19" s="0" t="n">
        <v>-98</v>
      </c>
      <c r="J19" s="0" t="n">
        <v>-0.986908358509567</v>
      </c>
      <c r="K19" s="0" t="n">
        <v>-0.96</v>
      </c>
      <c r="L19" s="0" t="n">
        <v>1512</v>
      </c>
      <c r="M19" s="0" t="n">
        <v>245</v>
      </c>
      <c r="N19" s="0" t="n">
        <v>1267</v>
      </c>
      <c r="O19" s="0" t="n">
        <v>8017</v>
      </c>
      <c r="P19" s="0" t="n">
        <v>27681</v>
      </c>
      <c r="Q19" s="0" t="n">
        <v>19664</v>
      </c>
      <c r="R19" s="0" t="n">
        <v>5309</v>
      </c>
      <c r="S19" s="0" t="n">
        <v>1890</v>
      </c>
      <c r="T19" s="0" t="n">
        <v>102</v>
      </c>
      <c r="U19" s="0" t="n">
        <v>121</v>
      </c>
      <c r="V19" s="0" t="n">
        <v>3.52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9708</v>
      </c>
      <c r="F20" s="0" t="n">
        <v>2234</v>
      </c>
      <c r="G20" s="0" t="n">
        <v>23.011948908117</v>
      </c>
      <c r="I20" s="0" t="n">
        <v>1613</v>
      </c>
      <c r="J20" s="0" t="n">
        <v>16.6151627523692</v>
      </c>
      <c r="K20" s="0" t="n">
        <v>16.34</v>
      </c>
      <c r="L20" s="0" t="n">
        <v>1775</v>
      </c>
      <c r="M20" s="0" t="n">
        <v>229</v>
      </c>
      <c r="N20" s="0" t="n">
        <v>1546</v>
      </c>
      <c r="O20" s="0" t="n">
        <v>8052</v>
      </c>
      <c r="P20" s="0" t="n">
        <v>29530</v>
      </c>
      <c r="Q20" s="0" t="n">
        <v>21478</v>
      </c>
      <c r="R20" s="0" t="n">
        <v>6306</v>
      </c>
      <c r="S20" s="0" t="n">
        <v>3132</v>
      </c>
      <c r="T20" s="0" t="n">
        <v>99</v>
      </c>
      <c r="U20" s="0" t="n">
        <v>153</v>
      </c>
      <c r="V20" s="0" t="n">
        <v>3.68</v>
      </c>
      <c r="AA20" s="0" t="s">
        <v>17</v>
      </c>
      <c r="AB2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82</v>
      </c>
      <c r="B1" s="2" t="s">
        <v>83</v>
      </c>
    </row>
    <row r="2" customFormat="false" ht="15" hidden="false" customHeight="false" outlineLevel="0" collapsed="false">
      <c r="A2" s="0" t="s">
        <v>84</v>
      </c>
      <c r="B2" s="3" t="n">
        <v>288.61</v>
      </c>
    </row>
    <row r="3" customFormat="false" ht="15" hidden="false" customHeight="false" outlineLevel="0" collapsed="false">
      <c r="A3" s="0" t="s">
        <v>85</v>
      </c>
      <c r="B3" s="3" t="n">
        <v>93.5</v>
      </c>
    </row>
    <row r="4" customFormat="false" ht="15" hidden="false" customHeight="false" outlineLevel="0" collapsed="false">
      <c r="A4" s="0" t="s">
        <v>86</v>
      </c>
      <c r="B4" s="3" t="n">
        <v>4903</v>
      </c>
    </row>
    <row r="5" customFormat="false" ht="15" hidden="false" customHeight="false" outlineLevel="0" collapsed="false">
      <c r="A5" s="0" t="s">
        <v>87</v>
      </c>
      <c r="B5" s="3" t="n">
        <v>-397</v>
      </c>
    </row>
    <row r="6" customFormat="false" ht="15" hidden="false" customHeight="false" outlineLevel="0" collapsed="false">
      <c r="A6" s="0" t="s">
        <v>88</v>
      </c>
      <c r="B6" s="3" t="n">
        <v>15</v>
      </c>
    </row>
    <row r="7" customFormat="false" ht="15" hidden="false" customHeight="false" outlineLevel="0" collapsed="false">
      <c r="A7" s="0" t="s">
        <v>89</v>
      </c>
      <c r="B7" s="3" t="n">
        <v>9708</v>
      </c>
    </row>
    <row r="8" customFormat="false" ht="15" hidden="false" customHeight="false" outlineLevel="0" collapsed="false">
      <c r="A8" s="0" t="s">
        <v>90</v>
      </c>
      <c r="B8" s="3" t="s">
        <v>81</v>
      </c>
    </row>
    <row r="9" customFormat="false" ht="15" hidden="false" customHeight="false" outlineLevel="0" collapsed="false">
      <c r="A9" s="0" t="s">
        <v>91</v>
      </c>
      <c r="B9" s="3" t="s">
        <v>92</v>
      </c>
    </row>
    <row r="10" customFormat="false" ht="15" hidden="false" customHeight="false" outlineLevel="0" collapsed="false">
      <c r="A10" s="0" t="s">
        <v>93</v>
      </c>
      <c r="B10" s="3" t="n">
        <v>1</v>
      </c>
    </row>
    <row r="12" customFormat="false" ht="15" hidden="false" customHeight="false" outlineLevel="0" collapsed="false">
      <c r="A12" s="2" t="s">
        <v>94</v>
      </c>
      <c r="C12" s="2" t="s">
        <v>95</v>
      </c>
      <c r="D12" s="2" t="s">
        <v>96</v>
      </c>
      <c r="E12" s="2" t="s">
        <v>97</v>
      </c>
      <c r="F12" s="2" t="s">
        <v>98</v>
      </c>
      <c r="G12" s="2" t="s">
        <v>99</v>
      </c>
      <c r="H12" s="2" t="s">
        <v>100</v>
      </c>
      <c r="I12" s="2" t="s">
        <v>101</v>
      </c>
      <c r="J12" s="2" t="s">
        <v>102</v>
      </c>
      <c r="K12" s="2" t="s">
        <v>103</v>
      </c>
      <c r="L12" s="2" t="s">
        <v>104</v>
      </c>
    </row>
    <row r="13" customFormat="false" ht="15" hidden="false" customHeight="false" outlineLevel="0" collapsed="false">
      <c r="A13" s="0" t="s">
        <v>105</v>
      </c>
      <c r="C13" s="3" t="n">
        <v>6.5</v>
      </c>
      <c r="D13" s="3" t="n">
        <v>3</v>
      </c>
      <c r="E13" s="3" t="n">
        <v>3</v>
      </c>
      <c r="F13" s="3" t="n">
        <v>3</v>
      </c>
      <c r="G13" s="3" t="n">
        <v>3</v>
      </c>
      <c r="H13" s="3" t="n">
        <v>3</v>
      </c>
      <c r="I13" s="3" t="n">
        <v>3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106</v>
      </c>
      <c r="C14" s="3" t="n">
        <v>24.5</v>
      </c>
      <c r="D14" s="3" t="n">
        <v>24.5</v>
      </c>
      <c r="E14" s="3" t="n">
        <v>24.5</v>
      </c>
      <c r="F14" s="3" t="n">
        <v>25</v>
      </c>
      <c r="G14" s="3" t="n">
        <v>25</v>
      </c>
      <c r="H14" s="3" t="n">
        <v>25</v>
      </c>
      <c r="I14" s="3" t="n">
        <v>25</v>
      </c>
      <c r="J14" s="3" t="n">
        <v>25</v>
      </c>
      <c r="K14" s="3" t="n">
        <v>25</v>
      </c>
      <c r="L14" s="3" t="n">
        <v>25</v>
      </c>
    </row>
    <row r="15" customFormat="false" ht="15" hidden="false" customHeight="false" outlineLevel="0" collapsed="false">
      <c r="A15" s="0" t="s">
        <v>107</v>
      </c>
      <c r="C15" s="3" t="n">
        <v>2.4</v>
      </c>
      <c r="D15" s="3" t="n">
        <v>2.4</v>
      </c>
      <c r="E15" s="3" t="n">
        <v>2.4</v>
      </c>
      <c r="F15" s="3" t="n">
        <v>2.4</v>
      </c>
      <c r="G15" s="3" t="n">
        <v>2.4</v>
      </c>
      <c r="H15" s="3" t="n">
        <v>2.4</v>
      </c>
      <c r="I15" s="3" t="n">
        <v>2.4</v>
      </c>
      <c r="J15" s="3" t="n">
        <v>2.4</v>
      </c>
      <c r="K15" s="3" t="n">
        <v>2.4</v>
      </c>
      <c r="L15" s="3" t="n">
        <v>2.4</v>
      </c>
    </row>
    <row r="16" customFormat="false" ht="15" hidden="false" customHeight="false" outlineLevel="0" collapsed="false">
      <c r="A16" s="0" t="s">
        <v>108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109</v>
      </c>
      <c r="C17" s="3" t="n">
        <v>4.2</v>
      </c>
      <c r="D17" s="3" t="n">
        <v>4.1</v>
      </c>
      <c r="E17" s="3" t="n">
        <v>4</v>
      </c>
      <c r="F17" s="3" t="n">
        <v>3.9</v>
      </c>
      <c r="G17" s="3" t="n">
        <v>3.8</v>
      </c>
      <c r="H17" s="3" t="n">
        <v>3.7</v>
      </c>
      <c r="I17" s="3" t="n">
        <v>3.6</v>
      </c>
      <c r="J17" s="3" t="n">
        <v>3.5</v>
      </c>
      <c r="K17" s="3" t="n">
        <v>3.5</v>
      </c>
      <c r="L17" s="3" t="n">
        <v>3.5</v>
      </c>
    </row>
    <row r="18" customFormat="false" ht="15" hidden="false" customHeight="false" outlineLevel="0" collapsed="false">
      <c r="A18" s="0" t="s">
        <v>110</v>
      </c>
      <c r="C18" s="3" t="n">
        <v>2.6</v>
      </c>
      <c r="D18" s="3" t="n">
        <v>2.6</v>
      </c>
      <c r="E18" s="3" t="n">
        <v>2.6</v>
      </c>
      <c r="F18" s="3" t="n">
        <v>2.5</v>
      </c>
      <c r="G18" s="3" t="n">
        <v>2.5</v>
      </c>
      <c r="H18" s="3" t="n">
        <v>2.5</v>
      </c>
      <c r="I18" s="3" t="n">
        <v>2.5</v>
      </c>
      <c r="J18" s="3" t="n">
        <v>2.5</v>
      </c>
      <c r="K18" s="3" t="n">
        <v>2.5</v>
      </c>
      <c r="L18" s="3" t="n">
        <v>2.5</v>
      </c>
    </row>
    <row r="19" customFormat="false" ht="15" hidden="false" customHeight="false" outlineLevel="0" collapsed="false">
      <c r="A19" s="0" t="s">
        <v>111</v>
      </c>
      <c r="C19" s="3" t="n">
        <v>23</v>
      </c>
      <c r="D19" s="3" t="n">
        <v>23</v>
      </c>
      <c r="E19" s="3" t="n">
        <v>23</v>
      </c>
      <c r="F19" s="3" t="n">
        <v>23</v>
      </c>
      <c r="G19" s="3" t="n">
        <v>23</v>
      </c>
      <c r="H19" s="3" t="n">
        <v>23</v>
      </c>
      <c r="I19" s="3" t="n">
        <v>23</v>
      </c>
      <c r="J19" s="3" t="n">
        <v>23</v>
      </c>
      <c r="K19" s="3" t="n">
        <v>23</v>
      </c>
      <c r="L19" s="3" t="n">
        <v>23</v>
      </c>
    </row>
    <row r="20" customFormat="false" ht="15" hidden="false" customHeight="false" outlineLevel="0" collapsed="false">
      <c r="A20" s="0" t="s">
        <v>112</v>
      </c>
      <c r="B20" s="3" t="n">
        <v>8</v>
      </c>
    </row>
    <row r="21" customFormat="false" ht="15" hidden="false" customHeight="false" outlineLevel="0" collapsed="false">
      <c r="A21" s="0" t="s">
        <v>113</v>
      </c>
      <c r="B21" s="3" t="n">
        <v>2.5</v>
      </c>
    </row>
    <row r="22" customFormat="false" ht="15" hidden="false" customHeight="false" outlineLevel="0" collapsed="false">
      <c r="A22" s="0" t="s">
        <v>114</v>
      </c>
      <c r="B22" s="3" t="n">
        <v>18</v>
      </c>
    </row>
    <row r="23" customFormat="false" ht="15" hidden="false" customHeight="false" outlineLevel="0" collapsed="false">
      <c r="A23" s="0" t="s">
        <v>115</v>
      </c>
      <c r="B23" s="3" t="n">
        <v>-10</v>
      </c>
    </row>
    <row r="24" customFormat="false" ht="15" hidden="false" customHeight="false" outlineLevel="0" collapsed="false">
      <c r="A24" s="0" t="s">
        <v>116</v>
      </c>
      <c r="B24" s="3" t="n">
        <v>0.2</v>
      </c>
    </row>
    <row r="26" customFormat="false" ht="15" hidden="false" customHeight="false" outlineLevel="0" collapsed="false">
      <c r="A26" s="2" t="s">
        <v>117</v>
      </c>
      <c r="C26" s="2" t="s">
        <v>95</v>
      </c>
      <c r="D26" s="2" t="s">
        <v>96</v>
      </c>
      <c r="E26" s="2" t="s">
        <v>97</v>
      </c>
      <c r="F26" s="2" t="s">
        <v>98</v>
      </c>
      <c r="G26" s="2" t="s">
        <v>99</v>
      </c>
      <c r="H26" s="2" t="s">
        <v>100</v>
      </c>
      <c r="I26" s="2" t="s">
        <v>101</v>
      </c>
      <c r="J26" s="2" t="s">
        <v>102</v>
      </c>
      <c r="K26" s="2" t="s">
        <v>103</v>
      </c>
      <c r="L26" s="2" t="s">
        <v>104</v>
      </c>
    </row>
    <row r="27" customFormat="false" ht="15" hidden="false" customHeight="false" outlineLevel="0" collapsed="false">
      <c r="A27" s="0" t="s">
        <v>105</v>
      </c>
      <c r="C27" s="3" t="n">
        <v>8</v>
      </c>
      <c r="D27" s="3" t="n">
        <v>6</v>
      </c>
      <c r="E27" s="3" t="n">
        <v>5</v>
      </c>
      <c r="F27" s="3" t="n">
        <v>5</v>
      </c>
      <c r="G27" s="3" t="n">
        <v>4.5</v>
      </c>
      <c r="H27" s="3" t="n">
        <v>4.5</v>
      </c>
      <c r="I27" s="3" t="n">
        <v>4</v>
      </c>
      <c r="J27" s="3" t="n">
        <v>4</v>
      </c>
      <c r="K27" s="3" t="n">
        <v>3.5</v>
      </c>
      <c r="L27" s="3" t="n">
        <v>3.5</v>
      </c>
    </row>
    <row r="28" customFormat="false" ht="15" hidden="false" customHeight="false" outlineLevel="0" collapsed="false">
      <c r="A28" s="0" t="s">
        <v>106</v>
      </c>
      <c r="C28" s="3" t="n">
        <v>25</v>
      </c>
      <c r="D28" s="3" t="n">
        <v>25.5</v>
      </c>
      <c r="E28" s="3" t="n">
        <v>26.5</v>
      </c>
      <c r="F28" s="3" t="n">
        <v>27.5</v>
      </c>
      <c r="G28" s="3" t="n">
        <v>27.5</v>
      </c>
      <c r="H28" s="3" t="n">
        <v>27.5</v>
      </c>
      <c r="I28" s="3" t="n">
        <v>27.5</v>
      </c>
      <c r="J28" s="3" t="n">
        <v>27.5</v>
      </c>
      <c r="K28" s="3" t="n">
        <v>27.5</v>
      </c>
      <c r="L28" s="3" t="n">
        <v>27.5</v>
      </c>
    </row>
    <row r="29" customFormat="false" ht="15" hidden="false" customHeight="false" outlineLevel="0" collapsed="false">
      <c r="A29" s="0" t="s">
        <v>107</v>
      </c>
      <c r="C29" s="3" t="n">
        <v>2.3</v>
      </c>
      <c r="D29" s="3" t="n">
        <v>2.2</v>
      </c>
      <c r="E29" s="3" t="n">
        <v>2.1</v>
      </c>
      <c r="F29" s="3" t="n">
        <v>2</v>
      </c>
      <c r="G29" s="3" t="n">
        <v>2</v>
      </c>
      <c r="H29" s="3" t="n">
        <v>2</v>
      </c>
      <c r="I29" s="3" t="n">
        <v>2</v>
      </c>
      <c r="J29" s="3" t="n">
        <v>2</v>
      </c>
      <c r="K29" s="3" t="n">
        <v>2</v>
      </c>
      <c r="L29" s="3" t="n">
        <v>2</v>
      </c>
    </row>
    <row r="30" customFormat="false" ht="15" hidden="false" customHeight="false" outlineLevel="0" collapsed="false">
      <c r="A30" s="0" t="s">
        <v>108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109</v>
      </c>
      <c r="C31" s="3" t="n">
        <v>4.2</v>
      </c>
      <c r="D31" s="3" t="n">
        <v>4.1</v>
      </c>
      <c r="E31" s="3" t="n">
        <v>4</v>
      </c>
      <c r="F31" s="3" t="n">
        <v>3.9</v>
      </c>
      <c r="G31" s="3" t="n">
        <v>3.8</v>
      </c>
      <c r="H31" s="3" t="n">
        <v>3.7</v>
      </c>
      <c r="I31" s="3" t="n">
        <v>3.6</v>
      </c>
      <c r="J31" s="3" t="n">
        <v>3.5</v>
      </c>
      <c r="K31" s="3" t="n">
        <v>3.5</v>
      </c>
      <c r="L31" s="3" t="n">
        <v>3.5</v>
      </c>
    </row>
    <row r="32" customFormat="false" ht="15" hidden="false" customHeight="false" outlineLevel="0" collapsed="false">
      <c r="A32" s="0" t="s">
        <v>110</v>
      </c>
      <c r="C32" s="3" t="n">
        <v>2.5</v>
      </c>
      <c r="D32" s="3" t="n">
        <v>2.5</v>
      </c>
      <c r="E32" s="3" t="n">
        <v>2.5</v>
      </c>
      <c r="F32" s="3" t="n">
        <v>2.4</v>
      </c>
      <c r="G32" s="3" t="n">
        <v>2.4</v>
      </c>
      <c r="H32" s="3" t="n">
        <v>2.4</v>
      </c>
      <c r="I32" s="3" t="n">
        <v>2.4</v>
      </c>
      <c r="J32" s="3" t="n">
        <v>2.4</v>
      </c>
      <c r="K32" s="3" t="n">
        <v>2.4</v>
      </c>
      <c r="L32" s="3" t="n">
        <v>2.4</v>
      </c>
    </row>
    <row r="33" customFormat="false" ht="15" hidden="false" customHeight="false" outlineLevel="0" collapsed="false">
      <c r="A33" s="0" t="s">
        <v>111</v>
      </c>
      <c r="C33" s="3" t="n">
        <v>22</v>
      </c>
      <c r="D33" s="3" t="n">
        <v>22</v>
      </c>
      <c r="E33" s="3" t="n">
        <v>22</v>
      </c>
      <c r="F33" s="3" t="n">
        <v>22</v>
      </c>
      <c r="G33" s="3" t="n">
        <v>22</v>
      </c>
      <c r="H33" s="3" t="n">
        <v>22</v>
      </c>
      <c r="I33" s="3" t="n">
        <v>22</v>
      </c>
      <c r="J33" s="3" t="n">
        <v>22</v>
      </c>
      <c r="K33" s="3" t="n">
        <v>22</v>
      </c>
      <c r="L33" s="3" t="n">
        <v>22</v>
      </c>
    </row>
    <row r="34" customFormat="false" ht="15" hidden="false" customHeight="false" outlineLevel="0" collapsed="false">
      <c r="A34" s="0" t="s">
        <v>112</v>
      </c>
      <c r="B34" s="3" t="n">
        <v>8</v>
      </c>
    </row>
    <row r="35" customFormat="false" ht="15" hidden="false" customHeight="false" outlineLevel="0" collapsed="false">
      <c r="A35" s="0" t="s">
        <v>113</v>
      </c>
      <c r="B35" s="3" t="n">
        <v>3</v>
      </c>
    </row>
    <row r="36" customFormat="false" ht="15" hidden="false" customHeight="false" outlineLevel="0" collapsed="false">
      <c r="A36" s="0" t="s">
        <v>114</v>
      </c>
      <c r="B36" s="3" t="n">
        <v>18</v>
      </c>
    </row>
    <row r="37" customFormat="false" ht="15" hidden="false" customHeight="false" outlineLevel="0" collapsed="false">
      <c r="A37" s="0" t="s">
        <v>115</v>
      </c>
      <c r="B37" s="3" t="n">
        <v>-10</v>
      </c>
    </row>
    <row r="38" customFormat="false" ht="15" hidden="false" customHeight="false" outlineLevel="0" collapsed="false">
      <c r="A38" s="0" t="s">
        <v>116</v>
      </c>
      <c r="B38" s="3" t="n">
        <v>0.5</v>
      </c>
    </row>
    <row r="40" customFormat="false" ht="15" hidden="false" customHeight="false" outlineLevel="0" collapsed="false">
      <c r="A40" s="2" t="s">
        <v>118</v>
      </c>
      <c r="C40" s="2" t="s">
        <v>95</v>
      </c>
      <c r="D40" s="2" t="s">
        <v>96</v>
      </c>
      <c r="E40" s="2" t="s">
        <v>97</v>
      </c>
      <c r="F40" s="2" t="s">
        <v>98</v>
      </c>
      <c r="G40" s="2" t="s">
        <v>99</v>
      </c>
      <c r="H40" s="2" t="s">
        <v>100</v>
      </c>
      <c r="I40" s="2" t="s">
        <v>101</v>
      </c>
      <c r="J40" s="2" t="s">
        <v>102</v>
      </c>
      <c r="K40" s="2" t="s">
        <v>103</v>
      </c>
      <c r="L40" s="2" t="s">
        <v>104</v>
      </c>
    </row>
    <row r="41" customFormat="false" ht="15" hidden="false" customHeight="false" outlineLevel="0" collapsed="false">
      <c r="A41" s="0" t="s">
        <v>105</v>
      </c>
      <c r="C41" s="3" t="n">
        <v>9</v>
      </c>
      <c r="D41" s="3" t="n">
        <v>7</v>
      </c>
      <c r="E41" s="3" t="n">
        <v>6.5</v>
      </c>
      <c r="F41" s="3" t="n">
        <v>6</v>
      </c>
      <c r="G41" s="3" t="n">
        <v>6</v>
      </c>
      <c r="H41" s="3" t="n">
        <v>5.5</v>
      </c>
      <c r="I41" s="3" t="n">
        <v>5</v>
      </c>
      <c r="J41" s="3" t="n">
        <v>4.5</v>
      </c>
      <c r="K41" s="3" t="n">
        <v>4</v>
      </c>
      <c r="L41" s="3" t="n">
        <v>4</v>
      </c>
    </row>
    <row r="42" customFormat="false" ht="15" hidden="false" customHeight="false" outlineLevel="0" collapsed="false">
      <c r="A42" s="0" t="s">
        <v>106</v>
      </c>
      <c r="C42" s="3" t="n">
        <v>25.5</v>
      </c>
      <c r="D42" s="3" t="n">
        <v>26.5</v>
      </c>
      <c r="E42" s="3" t="n">
        <v>28</v>
      </c>
      <c r="F42" s="3" t="n">
        <v>29</v>
      </c>
      <c r="G42" s="3" t="n">
        <v>29.5</v>
      </c>
      <c r="H42" s="3" t="n">
        <v>29.5</v>
      </c>
      <c r="I42" s="3" t="n">
        <v>29.5</v>
      </c>
      <c r="J42" s="3" t="n">
        <v>29.5</v>
      </c>
      <c r="K42" s="3" t="n">
        <v>29.5</v>
      </c>
      <c r="L42" s="3" t="n">
        <v>29.5</v>
      </c>
    </row>
    <row r="43" customFormat="false" ht="15" hidden="false" customHeight="false" outlineLevel="0" collapsed="false">
      <c r="A43" s="0" t="s">
        <v>107</v>
      </c>
      <c r="C43" s="3" t="n">
        <v>2.2</v>
      </c>
      <c r="D43" s="3" t="n">
        <v>2.1</v>
      </c>
      <c r="E43" s="3" t="n">
        <v>2</v>
      </c>
      <c r="F43" s="3" t="n">
        <v>1.9</v>
      </c>
      <c r="G43" s="3" t="n">
        <v>1.9</v>
      </c>
      <c r="H43" s="3" t="n">
        <v>1.9</v>
      </c>
      <c r="I43" s="3" t="n">
        <v>1.9</v>
      </c>
      <c r="J43" s="3" t="n">
        <v>1.9</v>
      </c>
      <c r="K43" s="3" t="n">
        <v>1.9</v>
      </c>
      <c r="L43" s="3" t="n">
        <v>1.9</v>
      </c>
    </row>
    <row r="44" customFormat="false" ht="15" hidden="false" customHeight="false" outlineLevel="0" collapsed="false">
      <c r="A44" s="0" t="s">
        <v>108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109</v>
      </c>
      <c r="C45" s="3" t="n">
        <v>4.2</v>
      </c>
      <c r="D45" s="3" t="n">
        <v>4.1</v>
      </c>
      <c r="E45" s="3" t="n">
        <v>4</v>
      </c>
      <c r="F45" s="3" t="n">
        <v>3.9</v>
      </c>
      <c r="G45" s="3" t="n">
        <v>3.8</v>
      </c>
      <c r="H45" s="3" t="n">
        <v>3.7</v>
      </c>
      <c r="I45" s="3" t="n">
        <v>3.6</v>
      </c>
      <c r="J45" s="3" t="n">
        <v>3.5</v>
      </c>
      <c r="K45" s="3" t="n">
        <v>3.5</v>
      </c>
      <c r="L45" s="3" t="n">
        <v>3.5</v>
      </c>
    </row>
    <row r="46" customFormat="false" ht="15" hidden="false" customHeight="false" outlineLevel="0" collapsed="false">
      <c r="A46" s="0" t="s">
        <v>110</v>
      </c>
      <c r="C46" s="3" t="n">
        <v>2.5</v>
      </c>
      <c r="D46" s="3" t="n">
        <v>2.5</v>
      </c>
      <c r="E46" s="3" t="n">
        <v>2.5</v>
      </c>
      <c r="F46" s="3" t="n">
        <v>2.4</v>
      </c>
      <c r="G46" s="3" t="n">
        <v>2.4</v>
      </c>
      <c r="H46" s="3" t="n">
        <v>2.4</v>
      </c>
      <c r="I46" s="3" t="n">
        <v>2.4</v>
      </c>
      <c r="J46" s="3" t="n">
        <v>2.4</v>
      </c>
      <c r="K46" s="3" t="n">
        <v>2.4</v>
      </c>
      <c r="L46" s="3" t="n">
        <v>2.4</v>
      </c>
    </row>
    <row r="47" customFormat="false" ht="15" hidden="false" customHeight="false" outlineLevel="0" collapsed="false">
      <c r="A47" s="0" t="s">
        <v>111</v>
      </c>
      <c r="C47" s="3" t="n">
        <v>21</v>
      </c>
      <c r="D47" s="3" t="n">
        <v>21</v>
      </c>
      <c r="E47" s="3" t="n">
        <v>21</v>
      </c>
      <c r="F47" s="3" t="n">
        <v>21</v>
      </c>
      <c r="G47" s="3" t="n">
        <v>21</v>
      </c>
      <c r="H47" s="3" t="n">
        <v>21</v>
      </c>
      <c r="I47" s="3" t="n">
        <v>21</v>
      </c>
      <c r="J47" s="3" t="n">
        <v>21</v>
      </c>
      <c r="K47" s="3" t="n">
        <v>21</v>
      </c>
      <c r="L47" s="3" t="n">
        <v>21</v>
      </c>
    </row>
    <row r="48" customFormat="false" ht="15" hidden="false" customHeight="false" outlineLevel="0" collapsed="false">
      <c r="A48" s="0" t="s">
        <v>112</v>
      </c>
      <c r="B48" s="3" t="n">
        <v>8</v>
      </c>
    </row>
    <row r="49" customFormat="false" ht="15" hidden="false" customHeight="false" outlineLevel="0" collapsed="false">
      <c r="A49" s="0" t="s">
        <v>113</v>
      </c>
      <c r="B49" s="3" t="n">
        <v>3</v>
      </c>
    </row>
    <row r="50" customFormat="false" ht="15" hidden="false" customHeight="false" outlineLevel="0" collapsed="false">
      <c r="A50" s="0" t="s">
        <v>114</v>
      </c>
      <c r="B50" s="3" t="n">
        <v>18</v>
      </c>
    </row>
    <row r="51" customFormat="false" ht="15" hidden="false" customHeight="false" outlineLevel="0" collapsed="false">
      <c r="A51" s="0" t="s">
        <v>115</v>
      </c>
      <c r="B51" s="3" t="n">
        <v>-10</v>
      </c>
    </row>
    <row r="52" customFormat="false" ht="15" hidden="false" customHeight="false" outlineLevel="0" collapsed="false">
      <c r="A52" s="0" t="s">
        <v>116</v>
      </c>
      <c r="B52" s="3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119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Assumptions!C13</f>
        <v>6.5</v>
      </c>
      <c r="D5" s="4" t="n">
        <f aca="false">Assumptions!D13</f>
        <v>3</v>
      </c>
      <c r="E5" s="4" t="n">
        <f aca="false">Assumptions!E13</f>
        <v>3</v>
      </c>
      <c r="F5" s="4" t="n">
        <f aca="false">Assumptions!F13</f>
        <v>3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3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37</v>
      </c>
      <c r="B6" s="3" t="n">
        <v>9708</v>
      </c>
      <c r="C6" s="0" t="n">
        <f aca="false">B6*(1+C5/100)</f>
        <v>10339.02</v>
      </c>
      <c r="D6" s="0" t="n">
        <f aca="false">C6*(1+D5/100)</f>
        <v>10649.1906</v>
      </c>
      <c r="E6" s="0" t="n">
        <f aca="false">D6*(1+E5/100)</f>
        <v>10968.666318</v>
      </c>
      <c r="F6" s="0" t="n">
        <f aca="false">E6*(1+F5/100)</f>
        <v>11297.72630754</v>
      </c>
      <c r="G6" s="0" t="n">
        <f aca="false">F6*(1+G5/100)</f>
        <v>11636.6580967662</v>
      </c>
      <c r="H6" s="0" t="n">
        <f aca="false">G6*(1+H5/100)</f>
        <v>11985.7578396692</v>
      </c>
      <c r="I6" s="0" t="n">
        <f aca="false">H6*(1+I5/100)</f>
        <v>12345.3305748593</v>
      </c>
      <c r="J6" s="0" t="n">
        <f aca="false">I6*(1+J5/100)</f>
        <v>12653.9638392307</v>
      </c>
      <c r="K6" s="0" t="n">
        <f aca="false">J6*(1+K5/100)</f>
        <v>12970.3129352115</v>
      </c>
      <c r="L6" s="0" t="n">
        <f aca="false">K6*(1+L5/100)</f>
        <v>13294.5707585918</v>
      </c>
    </row>
    <row r="7" customFormat="false" ht="15" hidden="false" customHeight="false" outlineLevel="0" collapsed="false">
      <c r="A7" s="0" t="s">
        <v>106</v>
      </c>
      <c r="C7" s="4" t="n">
        <f aca="false">Assumptions!C14</f>
        <v>24.5</v>
      </c>
      <c r="D7" s="4" t="n">
        <f aca="false">Assumptions!D14</f>
        <v>24.5</v>
      </c>
      <c r="E7" s="4" t="n">
        <f aca="false">Assumptions!E14</f>
        <v>24.5</v>
      </c>
      <c r="F7" s="4" t="n">
        <f aca="false">Assumptions!F14</f>
        <v>25</v>
      </c>
      <c r="G7" s="4" t="n">
        <f aca="false">Assumptions!G14</f>
        <v>25</v>
      </c>
      <c r="H7" s="4" t="n">
        <f aca="false">Assumptions!H14</f>
        <v>25</v>
      </c>
      <c r="I7" s="4" t="n">
        <f aca="false">Assumptions!I14</f>
        <v>25</v>
      </c>
      <c r="J7" s="4" t="n">
        <f aca="false">Assumptions!J14</f>
        <v>25</v>
      </c>
      <c r="K7" s="4" t="n">
        <f aca="false">Assumptions!K14</f>
        <v>25</v>
      </c>
      <c r="L7" s="4" t="n">
        <f aca="false">Assumptions!L14</f>
        <v>25</v>
      </c>
    </row>
    <row r="8" customFormat="false" ht="15" hidden="false" customHeight="false" outlineLevel="0" collapsed="false">
      <c r="A8" s="0" t="s">
        <v>43</v>
      </c>
      <c r="C8" s="0" t="n">
        <f aca="false">C6*C7/100</f>
        <v>2533.0599</v>
      </c>
      <c r="D8" s="0" t="n">
        <f aca="false">D6*D7/100</f>
        <v>2609.051697</v>
      </c>
      <c r="E8" s="0" t="n">
        <f aca="false">E6*E7/100</f>
        <v>2687.32324791</v>
      </c>
      <c r="F8" s="0" t="n">
        <f aca="false">F6*F7/100</f>
        <v>2824.431576885</v>
      </c>
      <c r="G8" s="0" t="n">
        <f aca="false">G6*G7/100</f>
        <v>2909.16452419155</v>
      </c>
      <c r="H8" s="0" t="n">
        <f aca="false">H6*H7/100</f>
        <v>2996.4394599173</v>
      </c>
      <c r="I8" s="0" t="n">
        <f aca="false">I6*I7/100</f>
        <v>3086.33264371482</v>
      </c>
      <c r="J8" s="0" t="n">
        <f aca="false">J6*J7/100</f>
        <v>3163.49095980769</v>
      </c>
      <c r="K8" s="0" t="n">
        <f aca="false">K6*K7/100</f>
        <v>3242.57823380288</v>
      </c>
      <c r="L8" s="0" t="n">
        <f aca="false">L6*L7/100</f>
        <v>3323.64268964795</v>
      </c>
    </row>
    <row r="9" customFormat="false" ht="15" hidden="false" customHeight="false" outlineLevel="0" collapsed="false">
      <c r="A9" s="0" t="s">
        <v>107</v>
      </c>
      <c r="C9" s="4" t="n">
        <f aca="false">Assumptions!C15</f>
        <v>2.4</v>
      </c>
      <c r="D9" s="4" t="n">
        <f aca="false">Assumptions!D15</f>
        <v>2.4</v>
      </c>
      <c r="E9" s="4" t="n">
        <f aca="false">Assumptions!E15</f>
        <v>2.4</v>
      </c>
      <c r="F9" s="4" t="n">
        <f aca="false">Assumptions!F15</f>
        <v>2.4</v>
      </c>
      <c r="G9" s="4" t="n">
        <f aca="false">Assumptions!G15</f>
        <v>2.4</v>
      </c>
      <c r="H9" s="4" t="n">
        <f aca="false">Assumptions!H15</f>
        <v>2.4</v>
      </c>
      <c r="I9" s="4" t="n">
        <f aca="false">Assumptions!I15</f>
        <v>2.4</v>
      </c>
      <c r="J9" s="4" t="n">
        <f aca="false">Assumptions!J15</f>
        <v>2.4</v>
      </c>
      <c r="K9" s="4" t="n">
        <f aca="false">Assumptions!K15</f>
        <v>2.4</v>
      </c>
      <c r="L9" s="4" t="n">
        <f aca="false">Assumptions!L15</f>
        <v>2.4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-248.13648</v>
      </c>
      <c r="D10" s="0" t="n">
        <f aca="false">-D6*D9/100</f>
        <v>-255.5805744</v>
      </c>
      <c r="E10" s="0" t="n">
        <f aca="false">-E6*E9/100</f>
        <v>-263.247991632</v>
      </c>
      <c r="F10" s="0" t="n">
        <f aca="false">-F6*F9/100</f>
        <v>-271.14543138096</v>
      </c>
      <c r="G10" s="0" t="n">
        <f aca="false">-G6*G9/100</f>
        <v>-279.279794322389</v>
      </c>
      <c r="H10" s="0" t="n">
        <f aca="false">-H6*H9/100</f>
        <v>-287.65818815206</v>
      </c>
      <c r="I10" s="0" t="n">
        <f aca="false">-I6*I9/100</f>
        <v>-296.287933796622</v>
      </c>
      <c r="J10" s="0" t="n">
        <f aca="false">-J6*J9/100</f>
        <v>-303.695132141538</v>
      </c>
      <c r="K10" s="0" t="n">
        <f aca="false">-K6*K9/100</f>
        <v>-311.287510445076</v>
      </c>
      <c r="L10" s="0" t="n">
        <f aca="false">-L6*L9/100</f>
        <v>-319.069698206203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2284.92342</v>
      </c>
      <c r="D11" s="0" t="n">
        <f aca="false">D8+D10+D24</f>
        <v>2353.4711226</v>
      </c>
      <c r="E11" s="0" t="n">
        <f aca="false">E8+E10+E24</f>
        <v>2424.075256278</v>
      </c>
      <c r="F11" s="0" t="n">
        <f aca="false">F8+F10+F24</f>
        <v>2553.28614550404</v>
      </c>
      <c r="G11" s="0" t="n">
        <f aca="false">G8+G10+G24</f>
        <v>2629.88472986916</v>
      </c>
      <c r="H11" s="0" t="n">
        <f aca="false">H8+H10+H24</f>
        <v>2708.78127176524</v>
      </c>
      <c r="I11" s="0" t="n">
        <f aca="false">I8+I10+I24</f>
        <v>2790.04470991819</v>
      </c>
      <c r="J11" s="0" t="n">
        <f aca="false">J8+J10+J24</f>
        <v>2859.79582766615</v>
      </c>
      <c r="K11" s="0" t="n">
        <f aca="false">K8+K10+K24</f>
        <v>2931.2907233578</v>
      </c>
      <c r="L11" s="0" t="n">
        <f aca="false">L8+L10+L24</f>
        <v>3004.57299144175</v>
      </c>
    </row>
    <row r="12" customFormat="false" ht="15" hidden="false" customHeight="false" outlineLevel="0" collapsed="false">
      <c r="A12" s="0" t="s">
        <v>124</v>
      </c>
      <c r="C12" s="4" t="n">
        <f aca="false">-C6*Assumptions!C17/100</f>
        <v>-434.23884</v>
      </c>
      <c r="D12" s="4" t="n">
        <f aca="false">-D6*Assumptions!D17/100</f>
        <v>-436.6168146</v>
      </c>
      <c r="E12" s="4" t="n">
        <f aca="false">-E6*Assumptions!E17/100</f>
        <v>-438.74665272</v>
      </c>
      <c r="F12" s="4" t="n">
        <f aca="false">-F6*Assumptions!F17/100</f>
        <v>-440.61132599406</v>
      </c>
      <c r="G12" s="4" t="n">
        <f aca="false">-G6*Assumptions!G17/100</f>
        <v>-442.193007677116</v>
      </c>
      <c r="H12" s="4" t="n">
        <f aca="false">-H6*Assumptions!H17/100</f>
        <v>-443.47304006776</v>
      </c>
      <c r="I12" s="4" t="n">
        <f aca="false">-I6*Assumptions!I17/100</f>
        <v>-444.431900694933</v>
      </c>
      <c r="J12" s="4" t="n">
        <f aca="false">-J6*Assumptions!J17/100</f>
        <v>-442.888734373076</v>
      </c>
      <c r="K12" s="4" t="n">
        <f aca="false">-K6*Assumptions!K17/100</f>
        <v>-453.960952732403</v>
      </c>
      <c r="L12" s="4" t="n">
        <f aca="false">-L6*Assumptions!L17/100</f>
        <v>-465.309976550713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1850.68458</v>
      </c>
      <c r="D13" s="0" t="n">
        <f aca="false">D11+D12</f>
        <v>1916.854308</v>
      </c>
      <c r="E13" s="0" t="n">
        <f aca="false">E11+E12</f>
        <v>1985.328603558</v>
      </c>
      <c r="F13" s="0" t="n">
        <f aca="false">F11+F12</f>
        <v>2112.67481950998</v>
      </c>
      <c r="G13" s="0" t="n">
        <f aca="false">G11+G12</f>
        <v>2187.69172219205</v>
      </c>
      <c r="H13" s="0" t="n">
        <f aca="false">H11+H12</f>
        <v>2265.30823169748</v>
      </c>
      <c r="I13" s="0" t="n">
        <f aca="false">I11+I12</f>
        <v>2345.61280922326</v>
      </c>
      <c r="J13" s="0" t="n">
        <f aca="false">J11+J12</f>
        <v>2416.90709329307</v>
      </c>
      <c r="K13" s="0" t="n">
        <f aca="false">K11+K12</f>
        <v>2477.3297706254</v>
      </c>
      <c r="L13" s="0" t="n">
        <f aca="false">L11+L12</f>
        <v>2539.26301489103</v>
      </c>
    </row>
    <row r="14" customFormat="false" ht="15" hidden="false" customHeight="false" outlineLevel="0" collapsed="false">
      <c r="A14" s="0" t="s">
        <v>111</v>
      </c>
      <c r="C14" s="4" t="n">
        <f aca="false">Assumptions!C19</f>
        <v>23</v>
      </c>
      <c r="D14" s="4" t="n">
        <f aca="false">Assumptions!D19</f>
        <v>23</v>
      </c>
      <c r="E14" s="4" t="n">
        <f aca="false">Assumptions!E19</f>
        <v>23</v>
      </c>
      <c r="F14" s="4" t="n">
        <f aca="false">Assumptions!F19</f>
        <v>23</v>
      </c>
      <c r="G14" s="4" t="n">
        <f aca="false">Assumptions!G19</f>
        <v>23</v>
      </c>
      <c r="H14" s="4" t="n">
        <f aca="false">Assumptions!H19</f>
        <v>23</v>
      </c>
      <c r="I14" s="4" t="n">
        <f aca="false">Assumptions!I19</f>
        <v>23</v>
      </c>
      <c r="J14" s="4" t="n">
        <f aca="false">Assumptions!J19</f>
        <v>23</v>
      </c>
      <c r="K14" s="4" t="n">
        <f aca="false">Assumptions!K19</f>
        <v>23</v>
      </c>
      <c r="L14" s="4" t="n">
        <f aca="false">Assumptions!L19</f>
        <v>23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1425.0271266</v>
      </c>
      <c r="D15" s="0" t="n">
        <f aca="false">D13-MAX(0,D13)*D14/100</f>
        <v>1475.97781716</v>
      </c>
      <c r="E15" s="0" t="n">
        <f aca="false">E13-MAX(0,E13)*E14/100</f>
        <v>1528.70302473966</v>
      </c>
      <c r="F15" s="0" t="n">
        <f aca="false">F13-MAX(0,F13)*F14/100</f>
        <v>1626.75961102268</v>
      </c>
      <c r="G15" s="0" t="n">
        <f aca="false">G13-MAX(0,G13)*G14/100</f>
        <v>1684.52262608788</v>
      </c>
      <c r="H15" s="0" t="n">
        <f aca="false">H13-MAX(0,H13)*H14/100</f>
        <v>1744.28733840706</v>
      </c>
      <c r="I15" s="0" t="n">
        <f aca="false">I13-MAX(0,I13)*I14/100</f>
        <v>1806.12186310191</v>
      </c>
      <c r="J15" s="0" t="n">
        <f aca="false">J13-MAX(0,J13)*J14/100</f>
        <v>1861.01846183567</v>
      </c>
      <c r="K15" s="0" t="n">
        <f aca="false">K13-MAX(0,K13)*K14/100</f>
        <v>1907.54392338156</v>
      </c>
      <c r="L15" s="0" t="n">
        <f aca="false">L13-MAX(0,L13)*L14/100</f>
        <v>1955.2325214661</v>
      </c>
    </row>
    <row r="16" customFormat="false" ht="15" hidden="false" customHeight="false" outlineLevel="0" collapsed="false">
      <c r="A16" s="0" t="s">
        <v>127</v>
      </c>
      <c r="C16" s="0" t="n">
        <f aca="false">-C12</f>
        <v>434.23884</v>
      </c>
      <c r="D16" s="0" t="n">
        <f aca="false">-D12</f>
        <v>436.6168146</v>
      </c>
      <c r="E16" s="0" t="n">
        <f aca="false">-E12</f>
        <v>438.74665272</v>
      </c>
      <c r="F16" s="0" t="n">
        <f aca="false">-F12</f>
        <v>440.61132599406</v>
      </c>
      <c r="G16" s="0" t="n">
        <f aca="false">-G12</f>
        <v>442.193007677116</v>
      </c>
      <c r="H16" s="0" t="n">
        <f aca="false">-H12</f>
        <v>443.47304006776</v>
      </c>
      <c r="I16" s="0" t="n">
        <f aca="false">-I12</f>
        <v>444.431900694933</v>
      </c>
      <c r="J16" s="0" t="n">
        <f aca="false">-J12</f>
        <v>442.888734373076</v>
      </c>
      <c r="K16" s="0" t="n">
        <f aca="false">-K12</f>
        <v>453.960952732403</v>
      </c>
      <c r="L16" s="0" t="n">
        <f aca="false">-L12</f>
        <v>465.309976550713</v>
      </c>
    </row>
    <row r="17" customFormat="false" ht="15" hidden="false" customHeight="false" outlineLevel="0" collapsed="false">
      <c r="A17" s="0" t="s">
        <v>128</v>
      </c>
      <c r="C17" s="4" t="n">
        <f aca="false">-C6*Assumptions!C18/100</f>
        <v>-268.81452</v>
      </c>
      <c r="D17" s="4" t="n">
        <f aca="false">-D6*Assumptions!D18/100</f>
        <v>-276.8789556</v>
      </c>
      <c r="E17" s="4" t="n">
        <f aca="false">-E6*Assumptions!E18/100</f>
        <v>-285.185324268</v>
      </c>
      <c r="F17" s="4" t="n">
        <f aca="false">-F6*Assumptions!F18/100</f>
        <v>-282.4431576885</v>
      </c>
      <c r="G17" s="4" t="n">
        <f aca="false">-G6*Assumptions!G18/100</f>
        <v>-290.916452419155</v>
      </c>
      <c r="H17" s="4" t="n">
        <f aca="false">-H6*Assumptions!H18/100</f>
        <v>-299.64394599173</v>
      </c>
      <c r="I17" s="4" t="n">
        <f aca="false">-I6*Assumptions!I18/100</f>
        <v>-308.633264371482</v>
      </c>
      <c r="J17" s="4" t="n">
        <f aca="false">-J6*Assumptions!J18/100</f>
        <v>-316.349095980769</v>
      </c>
      <c r="K17" s="4" t="n">
        <f aca="false">-K6*Assumptions!K18/100</f>
        <v>-324.257823380288</v>
      </c>
      <c r="L17" s="4" t="n">
        <f aca="false">-L6*Assumptions!L18/100</f>
        <v>-332.364268964795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(C6-B6)*Assumptions!$B$23/100</f>
        <v>-63.1019999999999</v>
      </c>
      <c r="D18" s="4" t="n">
        <f aca="false">(D6-C6)*Assumptions!$B$23/100</f>
        <v>-31.0170599999999</v>
      </c>
      <c r="E18" s="4" t="n">
        <f aca="false">(E6-D6)*Assumptions!$B$23/100</f>
        <v>-31.9475718</v>
      </c>
      <c r="F18" s="4" t="n">
        <f aca="false">(F6-E6)*Assumptions!$B$23/100</f>
        <v>-32.9059989540001</v>
      </c>
      <c r="G18" s="4" t="n">
        <f aca="false">(G6-F6)*Assumptions!$B$23/100</f>
        <v>-33.8931789226201</v>
      </c>
      <c r="H18" s="4" t="n">
        <f aca="false">(H6-G6)*Assumptions!$B$23/100</f>
        <v>-34.9099742902987</v>
      </c>
      <c r="I18" s="4" t="n">
        <f aca="false">(I6-H6)*Assumptions!$B$23/100</f>
        <v>-35.9572735190075</v>
      </c>
      <c r="J18" s="4" t="n">
        <f aca="false">(J6-I6)*Assumptions!$B$23/100</f>
        <v>-30.863326437148</v>
      </c>
      <c r="K18" s="4" t="n">
        <f aca="false">(K6-J6)*Assumptions!$B$23/100</f>
        <v>-31.6349095980768</v>
      </c>
      <c r="L18" s="4" t="n">
        <f aca="false">(L6-K6)*Assumptions!$B$23/100</f>
        <v>-32.4257823380287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1527.3494466</v>
      </c>
      <c r="D19" s="0" t="n">
        <f aca="false">D15+D16+D17+D18</f>
        <v>1604.69861616</v>
      </c>
      <c r="E19" s="0" t="n">
        <f aca="false">E15+E16+E17+E18</f>
        <v>1650.31678139166</v>
      </c>
      <c r="F19" s="0" t="n">
        <f aca="false">F15+F16+F17+F18</f>
        <v>1752.02178037424</v>
      </c>
      <c r="G19" s="0" t="n">
        <f aca="false">G15+G16+G17+G18</f>
        <v>1801.90600242322</v>
      </c>
      <c r="H19" s="0" t="n">
        <f aca="false">H15+H16+H17+H18</f>
        <v>1853.20645819279</v>
      </c>
      <c r="I19" s="0" t="n">
        <f aca="false">I15+I16+I17+I18</f>
        <v>1905.96322590635</v>
      </c>
      <c r="J19" s="0" t="n">
        <f aca="false">J15+J16+J17+J18</f>
        <v>1956.69477379082</v>
      </c>
      <c r="K19" s="0" t="n">
        <f aca="false">K15+K16+K17+K18</f>
        <v>2005.6121431356</v>
      </c>
      <c r="L19" s="0" t="n">
        <f aca="false">L15+L16+L17+L18</f>
        <v>2055.75244671398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1414.21245055556</v>
      </c>
      <c r="D21" s="0" t="n">
        <f aca="false">D19*D20</f>
        <v>1375.77041851852</v>
      </c>
      <c r="E21" s="0" t="n">
        <f aca="false">E19*E20</f>
        <v>1310.07466896533</v>
      </c>
      <c r="F21" s="0" t="n">
        <f aca="false">F19*F20</f>
        <v>1287.78831132466</v>
      </c>
      <c r="G21" s="0" t="n">
        <f aca="false">G19*G20</f>
        <v>1226.3469478835</v>
      </c>
      <c r="H21" s="0" t="n">
        <f aca="false">H19*H20</f>
        <v>1167.83442229671</v>
      </c>
      <c r="I21" s="0" t="n">
        <f aca="false">I19*I20</f>
        <v>1112.11123603919</v>
      </c>
      <c r="J21" s="0" t="n">
        <f aca="false">J19*J20</f>
        <v>1057.14130274681</v>
      </c>
      <c r="K21" s="0" t="n">
        <f aca="false">K19*K20</f>
        <v>1003.30540306989</v>
      </c>
      <c r="L21" s="0" t="n">
        <f aca="false">L19*L20</f>
        <v>952.211146432074</v>
      </c>
    </row>
    <row r="23" customFormat="false" ht="15" hidden="false" customHeight="false" outlineLevel="0" collapsed="false">
      <c r="A23" s="0" t="s">
        <v>108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Assumptions!$B$20</f>
        <v>8</v>
      </c>
    </row>
    <row r="28" customFormat="false" ht="15" hidden="false" customHeight="false" outlineLevel="0" collapsed="false">
      <c r="A28" s="0" t="s">
        <v>113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114</v>
      </c>
      <c r="B29" s="4" t="n">
        <f aca="false">Assumptions!$B$22</f>
        <v>18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11906.7963078323</v>
      </c>
    </row>
    <row r="31" customFormat="false" ht="15" hidden="false" customHeight="false" outlineLevel="0" collapsed="false">
      <c r="A31" s="0" t="s">
        <v>136</v>
      </c>
      <c r="B31" s="0" t="n">
        <f aca="false">L19</f>
        <v>2055.75244671398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38311.7501433061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37003.5440408517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37003.5440408517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17139.8006357773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29046.5969436096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23746.5969436096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253.974298862135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-0.120008666151087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1868.96692209684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2754.28693846573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303.420864215745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16857.1700630547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81.5687636564203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Assumptions!C27</f>
        <v>8</v>
      </c>
      <c r="D5" s="4" t="n">
        <f aca="false">Assumptions!D27</f>
        <v>6</v>
      </c>
      <c r="E5" s="4" t="n">
        <f aca="false">Assumptions!E27</f>
        <v>5</v>
      </c>
      <c r="F5" s="4" t="n">
        <f aca="false">Assumptions!F27</f>
        <v>5</v>
      </c>
      <c r="G5" s="4" t="n">
        <f aca="false">Assumptions!G27</f>
        <v>4.5</v>
      </c>
      <c r="H5" s="4" t="n">
        <f aca="false">Assumptions!H27</f>
        <v>4.5</v>
      </c>
      <c r="I5" s="4" t="n">
        <f aca="false">Assumptions!I27</f>
        <v>4</v>
      </c>
      <c r="J5" s="4" t="n">
        <f aca="false">Assumptions!J27</f>
        <v>4</v>
      </c>
      <c r="K5" s="4" t="n">
        <f aca="false">Assumptions!K27</f>
        <v>3.5</v>
      </c>
      <c r="L5" s="4" t="n">
        <f aca="false">Assumptions!L27</f>
        <v>3.5</v>
      </c>
    </row>
    <row r="6" customFormat="false" ht="15" hidden="false" customHeight="false" outlineLevel="0" collapsed="false">
      <c r="A6" s="0" t="s">
        <v>37</v>
      </c>
      <c r="B6" s="3" t="n">
        <v>9708</v>
      </c>
      <c r="C6" s="0" t="n">
        <f aca="false">B6*(1+C5/100)</f>
        <v>10484.64</v>
      </c>
      <c r="D6" s="0" t="n">
        <f aca="false">C6*(1+D5/100)</f>
        <v>11113.7184</v>
      </c>
      <c r="E6" s="0" t="n">
        <f aca="false">D6*(1+E5/100)</f>
        <v>11669.40432</v>
      </c>
      <c r="F6" s="0" t="n">
        <f aca="false">E6*(1+F5/100)</f>
        <v>12252.874536</v>
      </c>
      <c r="G6" s="0" t="n">
        <f aca="false">F6*(1+G5/100)</f>
        <v>12804.25389012</v>
      </c>
      <c r="H6" s="0" t="n">
        <f aca="false">G6*(1+H5/100)</f>
        <v>13380.4453151754</v>
      </c>
      <c r="I6" s="0" t="n">
        <f aca="false">H6*(1+I5/100)</f>
        <v>13915.6631277824</v>
      </c>
      <c r="J6" s="0" t="n">
        <f aca="false">I6*(1+J5/100)</f>
        <v>14472.2896528937</v>
      </c>
      <c r="K6" s="0" t="n">
        <f aca="false">J6*(1+K5/100)</f>
        <v>14978.819790745</v>
      </c>
      <c r="L6" s="0" t="n">
        <f aca="false">K6*(1+L5/100)</f>
        <v>15503.0784834211</v>
      </c>
    </row>
    <row r="7" customFormat="false" ht="15" hidden="false" customHeight="false" outlineLevel="0" collapsed="false">
      <c r="A7" s="0" t="s">
        <v>106</v>
      </c>
      <c r="C7" s="4" t="n">
        <f aca="false">Assumptions!C28</f>
        <v>25</v>
      </c>
      <c r="D7" s="4" t="n">
        <f aca="false">Assumptions!D28</f>
        <v>25.5</v>
      </c>
      <c r="E7" s="4" t="n">
        <f aca="false">Assumptions!E28</f>
        <v>26.5</v>
      </c>
      <c r="F7" s="4" t="n">
        <f aca="false">Assumptions!F28</f>
        <v>27.5</v>
      </c>
      <c r="G7" s="4" t="n">
        <f aca="false">Assumptions!G28</f>
        <v>27.5</v>
      </c>
      <c r="H7" s="4" t="n">
        <f aca="false">Assumptions!H28</f>
        <v>27.5</v>
      </c>
      <c r="I7" s="4" t="n">
        <f aca="false">Assumptions!I28</f>
        <v>27.5</v>
      </c>
      <c r="J7" s="4" t="n">
        <f aca="false">Assumptions!J28</f>
        <v>27.5</v>
      </c>
      <c r="K7" s="4" t="n">
        <f aca="false">Assumptions!K28</f>
        <v>27.5</v>
      </c>
      <c r="L7" s="4" t="n">
        <f aca="false">Assumptions!L28</f>
        <v>27.5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2621.16</v>
      </c>
      <c r="D8" s="0" t="n">
        <f aca="false">D6*D7/100</f>
        <v>2833.998192</v>
      </c>
      <c r="E8" s="0" t="n">
        <f aca="false">E6*E7/100</f>
        <v>3092.3921448</v>
      </c>
      <c r="F8" s="0" t="n">
        <f aca="false">F6*F7/100</f>
        <v>3369.5404974</v>
      </c>
      <c r="G8" s="0" t="n">
        <f aca="false">G6*G7/100</f>
        <v>3521.169819783</v>
      </c>
      <c r="H8" s="0" t="n">
        <f aca="false">H6*H7/100</f>
        <v>3679.62246167323</v>
      </c>
      <c r="I8" s="0" t="n">
        <f aca="false">I6*I7/100</f>
        <v>3826.80736014016</v>
      </c>
      <c r="J8" s="0" t="n">
        <f aca="false">J6*J7/100</f>
        <v>3979.87965454577</v>
      </c>
      <c r="K8" s="0" t="n">
        <f aca="false">K6*K7/100</f>
        <v>4119.17544245487</v>
      </c>
      <c r="L8" s="0" t="n">
        <f aca="false">L6*L7/100</f>
        <v>4263.34658294079</v>
      </c>
    </row>
    <row r="9" customFormat="false" ht="15" hidden="false" customHeight="false" outlineLevel="0" collapsed="false">
      <c r="A9" s="0" t="s">
        <v>107</v>
      </c>
      <c r="C9" s="4" t="n">
        <f aca="false">Assumptions!C29</f>
        <v>2.3</v>
      </c>
      <c r="D9" s="4" t="n">
        <f aca="false">Assumptions!D29</f>
        <v>2.2</v>
      </c>
      <c r="E9" s="4" t="n">
        <f aca="false">Assumptions!E29</f>
        <v>2.1</v>
      </c>
      <c r="F9" s="4" t="n">
        <f aca="false">Assumptions!F29</f>
        <v>2</v>
      </c>
      <c r="G9" s="4" t="n">
        <f aca="false">Assumptions!G29</f>
        <v>2</v>
      </c>
      <c r="H9" s="4" t="n">
        <f aca="false">Assumptions!H29</f>
        <v>2</v>
      </c>
      <c r="I9" s="4" t="n">
        <f aca="false">Assumptions!I29</f>
        <v>2</v>
      </c>
      <c r="J9" s="4" t="n">
        <f aca="false">Assumptions!J29</f>
        <v>2</v>
      </c>
      <c r="K9" s="4" t="n">
        <f aca="false">Assumptions!K29</f>
        <v>2</v>
      </c>
      <c r="L9" s="4" t="n">
        <f aca="false">Assumptions!L29</f>
        <v>2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-241.14672</v>
      </c>
      <c r="D10" s="0" t="n">
        <f aca="false">-D6*D9/100</f>
        <v>-244.5018048</v>
      </c>
      <c r="E10" s="0" t="n">
        <f aca="false">-E6*E9/100</f>
        <v>-245.05749072</v>
      </c>
      <c r="F10" s="0" t="n">
        <f aca="false">-F6*F9/100</f>
        <v>-245.05749072</v>
      </c>
      <c r="G10" s="0" t="n">
        <f aca="false">-G6*G9/100</f>
        <v>-256.0850778024</v>
      </c>
      <c r="H10" s="0" t="n">
        <f aca="false">-H6*H9/100</f>
        <v>-267.608906303508</v>
      </c>
      <c r="I10" s="0" t="n">
        <f aca="false">-I6*I9/100</f>
        <v>-278.313262555648</v>
      </c>
      <c r="J10" s="0" t="n">
        <f aca="false">-J6*J9/100</f>
        <v>-289.445793057874</v>
      </c>
      <c r="K10" s="0" t="n">
        <f aca="false">-K6*K9/100</f>
        <v>-299.5763958149</v>
      </c>
      <c r="L10" s="0" t="n">
        <f aca="false">-L6*L9/100</f>
        <v>-310.061569668421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2380.01328</v>
      </c>
      <c r="D11" s="0" t="n">
        <f aca="false">D8+D10+D24</f>
        <v>2589.4963872</v>
      </c>
      <c r="E11" s="0" t="n">
        <f aca="false">E8+E10+E24</f>
        <v>2847.33465408</v>
      </c>
      <c r="F11" s="0" t="n">
        <f aca="false">F8+F10+F24</f>
        <v>3124.48300668</v>
      </c>
      <c r="G11" s="0" t="n">
        <f aca="false">G8+G10+G24</f>
        <v>3265.0847419806</v>
      </c>
      <c r="H11" s="0" t="n">
        <f aca="false">H8+H10+H24</f>
        <v>3412.01355536973</v>
      </c>
      <c r="I11" s="0" t="n">
        <f aca="false">I8+I10+I24</f>
        <v>3548.49409758452</v>
      </c>
      <c r="J11" s="0" t="n">
        <f aca="false">J8+J10+J24</f>
        <v>3690.4338614879</v>
      </c>
      <c r="K11" s="0" t="n">
        <f aca="false">K8+K10+K24</f>
        <v>3819.59904663997</v>
      </c>
      <c r="L11" s="0" t="n">
        <f aca="false">L8+L10+L24</f>
        <v>3953.28501327237</v>
      </c>
    </row>
    <row r="12" customFormat="false" ht="15" hidden="false" customHeight="false" outlineLevel="0" collapsed="false">
      <c r="A12" s="0" t="s">
        <v>124</v>
      </c>
      <c r="C12" s="4" t="n">
        <f aca="false">-C6*Assumptions!C31/100</f>
        <v>-440.35488</v>
      </c>
      <c r="D12" s="4" t="n">
        <f aca="false">-D6*Assumptions!D31/100</f>
        <v>-455.6624544</v>
      </c>
      <c r="E12" s="4" t="n">
        <f aca="false">-E6*Assumptions!E31/100</f>
        <v>-466.7761728</v>
      </c>
      <c r="F12" s="4" t="n">
        <f aca="false">-F6*Assumptions!F31/100</f>
        <v>-477.862106904</v>
      </c>
      <c r="G12" s="4" t="n">
        <f aca="false">-G6*Assumptions!G31/100</f>
        <v>-486.56164782456</v>
      </c>
      <c r="H12" s="4" t="n">
        <f aca="false">-H6*Assumptions!H31/100</f>
        <v>-495.07647666149</v>
      </c>
      <c r="I12" s="4" t="n">
        <f aca="false">-I6*Assumptions!I31/100</f>
        <v>-500.963872600167</v>
      </c>
      <c r="J12" s="4" t="n">
        <f aca="false">-J6*Assumptions!J31/100</f>
        <v>-506.53013785128</v>
      </c>
      <c r="K12" s="4" t="n">
        <f aca="false">-K6*Assumptions!K31/100</f>
        <v>-524.258692676075</v>
      </c>
      <c r="L12" s="4" t="n">
        <f aca="false">-L6*Assumptions!L31/100</f>
        <v>-542.607746919737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1939.6584</v>
      </c>
      <c r="D13" s="0" t="n">
        <f aca="false">D11+D12</f>
        <v>2133.8339328</v>
      </c>
      <c r="E13" s="0" t="n">
        <f aca="false">E11+E12</f>
        <v>2380.55848128</v>
      </c>
      <c r="F13" s="0" t="n">
        <f aca="false">F11+F12</f>
        <v>2646.620899776</v>
      </c>
      <c r="G13" s="0" t="n">
        <f aca="false">G11+G12</f>
        <v>2778.52309415604</v>
      </c>
      <c r="H13" s="0" t="n">
        <f aca="false">H11+H12</f>
        <v>2916.93707870824</v>
      </c>
      <c r="I13" s="0" t="n">
        <f aca="false">I11+I12</f>
        <v>3047.53022498435</v>
      </c>
      <c r="J13" s="0" t="n">
        <f aca="false">J11+J12</f>
        <v>3183.90372363662</v>
      </c>
      <c r="K13" s="0" t="n">
        <f aca="false">K11+K12</f>
        <v>3295.3403539639</v>
      </c>
      <c r="L13" s="0" t="n">
        <f aca="false">L11+L12</f>
        <v>3410.67726635263</v>
      </c>
    </row>
    <row r="14" customFormat="false" ht="15" hidden="false" customHeight="false" outlineLevel="0" collapsed="false">
      <c r="A14" s="0" t="s">
        <v>111</v>
      </c>
      <c r="C14" s="4" t="n">
        <f aca="false">Assumptions!C33</f>
        <v>22</v>
      </c>
      <c r="D14" s="4" t="n">
        <f aca="false">Assumptions!D33</f>
        <v>22</v>
      </c>
      <c r="E14" s="4" t="n">
        <f aca="false">Assumptions!E33</f>
        <v>22</v>
      </c>
      <c r="F14" s="4" t="n">
        <f aca="false">Assumptions!F33</f>
        <v>22</v>
      </c>
      <c r="G14" s="4" t="n">
        <f aca="false">Assumptions!G33</f>
        <v>22</v>
      </c>
      <c r="H14" s="4" t="n">
        <f aca="false">Assumptions!H33</f>
        <v>22</v>
      </c>
      <c r="I14" s="4" t="n">
        <f aca="false">Assumptions!I33</f>
        <v>22</v>
      </c>
      <c r="J14" s="4" t="n">
        <f aca="false">Assumptions!J33</f>
        <v>22</v>
      </c>
      <c r="K14" s="4" t="n">
        <f aca="false">Assumptions!K33</f>
        <v>22</v>
      </c>
      <c r="L14" s="4" t="n">
        <f aca="false">Assumptions!L33</f>
        <v>22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1512.933552</v>
      </c>
      <c r="D15" s="0" t="n">
        <f aca="false">D13-MAX(0,D13)*D14/100</f>
        <v>1664.390467584</v>
      </c>
      <c r="E15" s="0" t="n">
        <f aca="false">E13-MAX(0,E13)*E14/100</f>
        <v>1856.8356153984</v>
      </c>
      <c r="F15" s="0" t="n">
        <f aca="false">F13-MAX(0,F13)*F14/100</f>
        <v>2064.36430182528</v>
      </c>
      <c r="G15" s="0" t="n">
        <f aca="false">G13-MAX(0,G13)*G14/100</f>
        <v>2167.24801344171</v>
      </c>
      <c r="H15" s="0" t="n">
        <f aca="false">H13-MAX(0,H13)*H14/100</f>
        <v>2275.21092139242</v>
      </c>
      <c r="I15" s="0" t="n">
        <f aca="false">I13-MAX(0,I13)*I14/100</f>
        <v>2377.07357548779</v>
      </c>
      <c r="J15" s="0" t="n">
        <f aca="false">J13-MAX(0,J13)*J14/100</f>
        <v>2483.44490443656</v>
      </c>
      <c r="K15" s="0" t="n">
        <f aca="false">K13-MAX(0,K13)*K14/100</f>
        <v>2570.36547609184</v>
      </c>
      <c r="L15" s="0" t="n">
        <f aca="false">L13-MAX(0,L13)*L14/100</f>
        <v>2660.32826775505</v>
      </c>
    </row>
    <row r="16" customFormat="false" ht="15" hidden="false" customHeight="false" outlineLevel="0" collapsed="false">
      <c r="A16" s="0" t="s">
        <v>127</v>
      </c>
      <c r="C16" s="0" t="n">
        <f aca="false">-C12</f>
        <v>440.35488</v>
      </c>
      <c r="D16" s="0" t="n">
        <f aca="false">-D12</f>
        <v>455.6624544</v>
      </c>
      <c r="E16" s="0" t="n">
        <f aca="false">-E12</f>
        <v>466.7761728</v>
      </c>
      <c r="F16" s="0" t="n">
        <f aca="false">-F12</f>
        <v>477.862106904</v>
      </c>
      <c r="G16" s="0" t="n">
        <f aca="false">-G12</f>
        <v>486.56164782456</v>
      </c>
      <c r="H16" s="0" t="n">
        <f aca="false">-H12</f>
        <v>495.07647666149</v>
      </c>
      <c r="I16" s="0" t="n">
        <f aca="false">-I12</f>
        <v>500.963872600167</v>
      </c>
      <c r="J16" s="0" t="n">
        <f aca="false">-J12</f>
        <v>506.53013785128</v>
      </c>
      <c r="K16" s="0" t="n">
        <f aca="false">-K12</f>
        <v>524.258692676075</v>
      </c>
      <c r="L16" s="0" t="n">
        <f aca="false">-L12</f>
        <v>542.607746919737</v>
      </c>
    </row>
    <row r="17" customFormat="false" ht="15" hidden="false" customHeight="false" outlineLevel="0" collapsed="false">
      <c r="A17" s="0" t="s">
        <v>128</v>
      </c>
      <c r="C17" s="4" t="n">
        <f aca="false">-C6*Assumptions!C32/100</f>
        <v>-262.116</v>
      </c>
      <c r="D17" s="4" t="n">
        <f aca="false">-D6*Assumptions!D32/100</f>
        <v>-277.84296</v>
      </c>
      <c r="E17" s="4" t="n">
        <f aca="false">-E6*Assumptions!E32/100</f>
        <v>-291.735108</v>
      </c>
      <c r="F17" s="4" t="n">
        <f aca="false">-F6*Assumptions!F32/100</f>
        <v>-294.068988864</v>
      </c>
      <c r="G17" s="4" t="n">
        <f aca="false">-G6*Assumptions!G32/100</f>
        <v>-307.30209336288</v>
      </c>
      <c r="H17" s="4" t="n">
        <f aca="false">-H6*Assumptions!H32/100</f>
        <v>-321.13068756421</v>
      </c>
      <c r="I17" s="4" t="n">
        <f aca="false">-I6*Assumptions!I32/100</f>
        <v>-333.975915066778</v>
      </c>
      <c r="J17" s="4" t="n">
        <f aca="false">-J6*Assumptions!J32/100</f>
        <v>-347.334951669449</v>
      </c>
      <c r="K17" s="4" t="n">
        <f aca="false">-K6*Assumptions!K32/100</f>
        <v>-359.49167497788</v>
      </c>
      <c r="L17" s="4" t="n">
        <f aca="false">-L6*Assumptions!L32/100</f>
        <v>-372.073883602106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(C6-B6)*Assumptions!$B$37/100</f>
        <v>-77.6640000000001</v>
      </c>
      <c r="D18" s="4" t="n">
        <f aca="false">(D6-C6)*Assumptions!$B$37/100</f>
        <v>-62.90784</v>
      </c>
      <c r="E18" s="4" t="n">
        <f aca="false">(E6-D6)*Assumptions!$B$37/100</f>
        <v>-55.568592</v>
      </c>
      <c r="F18" s="4" t="n">
        <f aca="false">(F6-E6)*Assumptions!$B$37/100</f>
        <v>-58.3470216</v>
      </c>
      <c r="G18" s="4" t="n">
        <f aca="false">(G6-F6)*Assumptions!$B$37/100</f>
        <v>-55.1379354119999</v>
      </c>
      <c r="H18" s="4" t="n">
        <f aca="false">(H6-G6)*Assumptions!$B$37/100</f>
        <v>-57.6191425055398</v>
      </c>
      <c r="I18" s="4" t="n">
        <f aca="false">(I6-H6)*Assumptions!$B$37/100</f>
        <v>-53.5217812607016</v>
      </c>
      <c r="J18" s="4" t="n">
        <f aca="false">(J6-I6)*Assumptions!$B$37/100</f>
        <v>-55.6626525111296</v>
      </c>
      <c r="K18" s="4" t="n">
        <f aca="false">(K6-J6)*Assumptions!$B$37/100</f>
        <v>-50.653013785128</v>
      </c>
      <c r="L18" s="4" t="n">
        <f aca="false">(L6-K6)*Assumptions!$B$37/100</f>
        <v>-52.4258692676074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1613.508432</v>
      </c>
      <c r="D19" s="0" t="n">
        <f aca="false">D15+D16+D17+D18</f>
        <v>1779.302121984</v>
      </c>
      <c r="E19" s="0" t="n">
        <f aca="false">E15+E16+E17+E18</f>
        <v>1976.3080881984</v>
      </c>
      <c r="F19" s="0" t="n">
        <f aca="false">F15+F16+F17+F18</f>
        <v>2189.81039826528</v>
      </c>
      <c r="G19" s="0" t="n">
        <f aca="false">G15+G16+G17+G18</f>
        <v>2291.36963249139</v>
      </c>
      <c r="H19" s="0" t="n">
        <f aca="false">H15+H16+H17+H18</f>
        <v>2391.53756798417</v>
      </c>
      <c r="I19" s="0" t="n">
        <f aca="false">I15+I16+I17+I18</f>
        <v>2490.53975176048</v>
      </c>
      <c r="J19" s="0" t="n">
        <f aca="false">J15+J16+J17+J18</f>
        <v>2586.97743810726</v>
      </c>
      <c r="K19" s="0" t="n">
        <f aca="false">K15+K16+K17+K18</f>
        <v>2684.47948000491</v>
      </c>
      <c r="L19" s="0" t="n">
        <f aca="false">L15+L16+L17+L18</f>
        <v>2778.43626180508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1493.98928888889</v>
      </c>
      <c r="D21" s="0" t="n">
        <f aca="false">D19*D20</f>
        <v>1525.46478222222</v>
      </c>
      <c r="E21" s="0" t="n">
        <f aca="false">E19*E20</f>
        <v>1568.85707860082</v>
      </c>
      <c r="F21" s="0" t="n">
        <f aca="false">F19*F20</f>
        <v>1609.57601468907</v>
      </c>
      <c r="G21" s="0" t="n">
        <f aca="false">G19*G20</f>
        <v>1559.46767006705</v>
      </c>
      <c r="H21" s="0" t="n">
        <f aca="false">H19*H20</f>
        <v>1507.07433689351</v>
      </c>
      <c r="I21" s="0" t="n">
        <f aca="false">I19*I20</f>
        <v>1453.20602417078</v>
      </c>
      <c r="J21" s="0" t="n">
        <f aca="false">J19*J20</f>
        <v>1397.66341471799</v>
      </c>
      <c r="K21" s="0" t="n">
        <f aca="false">K19*K20</f>
        <v>1342.90808715805</v>
      </c>
      <c r="L21" s="0" t="n">
        <f aca="false">L19*L20</f>
        <v>1286.95358352647</v>
      </c>
    </row>
    <row r="23" customFormat="false" ht="15" hidden="false" customHeight="false" outlineLevel="0" collapsed="false">
      <c r="A23" s="0" t="s">
        <v>108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Assumptions!$B$34</f>
        <v>8</v>
      </c>
    </row>
    <row r="28" customFormat="false" ht="15" hidden="false" customHeight="false" outlineLevel="0" collapsed="false">
      <c r="A28" s="0" t="s">
        <v>113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114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14745.1602809348</v>
      </c>
    </row>
    <row r="31" customFormat="false" ht="15" hidden="false" customHeight="false" outlineLevel="0" collapsed="false">
      <c r="A31" s="0" t="s">
        <v>136</v>
      </c>
      <c r="B31" s="0" t="n">
        <f aca="false">L19</f>
        <v>2778.43626180508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57235.7869931846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50011.8527124914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50011.8527124914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23165.1645034764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37910.3247844112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32610.3247844112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348.773527106002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0.208459606756531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1762.74315672934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2958.5410995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399.268545889204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23848.2445804936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120.854188235396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Assumptions!C41</f>
        <v>9</v>
      </c>
      <c r="D5" s="4" t="n">
        <f aca="false">Assumptions!D41</f>
        <v>7</v>
      </c>
      <c r="E5" s="4" t="n">
        <f aca="false">Assumptions!E41</f>
        <v>6.5</v>
      </c>
      <c r="F5" s="4" t="n">
        <f aca="false">Assumptions!F41</f>
        <v>6</v>
      </c>
      <c r="G5" s="4" t="n">
        <f aca="false">Assumptions!G41</f>
        <v>6</v>
      </c>
      <c r="H5" s="4" t="n">
        <f aca="false">Assumptions!H41</f>
        <v>5.5</v>
      </c>
      <c r="I5" s="4" t="n">
        <f aca="false">Assumptions!I41</f>
        <v>5</v>
      </c>
      <c r="J5" s="4" t="n">
        <f aca="false">Assumptions!J41</f>
        <v>4.5</v>
      </c>
      <c r="K5" s="4" t="n">
        <f aca="false">Assumptions!K41</f>
        <v>4</v>
      </c>
      <c r="L5" s="4" t="n">
        <f aca="false">Assumptions!L41</f>
        <v>4</v>
      </c>
    </row>
    <row r="6" customFormat="false" ht="15" hidden="false" customHeight="false" outlineLevel="0" collapsed="false">
      <c r="A6" s="0" t="s">
        <v>37</v>
      </c>
      <c r="B6" s="3" t="n">
        <v>9708</v>
      </c>
      <c r="C6" s="0" t="n">
        <f aca="false">B6*(1+C5/100)</f>
        <v>10581.72</v>
      </c>
      <c r="D6" s="0" t="n">
        <f aca="false">C6*(1+D5/100)</f>
        <v>11322.4404</v>
      </c>
      <c r="E6" s="0" t="n">
        <f aca="false">D6*(1+E5/100)</f>
        <v>12058.399026</v>
      </c>
      <c r="F6" s="0" t="n">
        <f aca="false">E6*(1+F5/100)</f>
        <v>12781.90296756</v>
      </c>
      <c r="G6" s="0" t="n">
        <f aca="false">F6*(1+G5/100)</f>
        <v>13548.8171456136</v>
      </c>
      <c r="H6" s="0" t="n">
        <f aca="false">G6*(1+H5/100)</f>
        <v>14294.0020886224</v>
      </c>
      <c r="I6" s="0" t="n">
        <f aca="false">H6*(1+I5/100)</f>
        <v>15008.7021930535</v>
      </c>
      <c r="J6" s="0" t="n">
        <f aca="false">I6*(1+J5/100)</f>
        <v>15684.0937917409</v>
      </c>
      <c r="K6" s="0" t="n">
        <f aca="false">J6*(1+K5/100)</f>
        <v>16311.4575434105</v>
      </c>
      <c r="L6" s="0" t="n">
        <f aca="false">K6*(1+L5/100)</f>
        <v>16963.9158451469</v>
      </c>
    </row>
    <row r="7" customFormat="false" ht="15" hidden="false" customHeight="false" outlineLevel="0" collapsed="false">
      <c r="A7" s="0" t="s">
        <v>106</v>
      </c>
      <c r="C7" s="4" t="n">
        <f aca="false">Assumptions!C42</f>
        <v>25.5</v>
      </c>
      <c r="D7" s="4" t="n">
        <f aca="false">Assumptions!D42</f>
        <v>26.5</v>
      </c>
      <c r="E7" s="4" t="n">
        <f aca="false">Assumptions!E42</f>
        <v>28</v>
      </c>
      <c r="F7" s="4" t="n">
        <f aca="false">Assumptions!F42</f>
        <v>29</v>
      </c>
      <c r="G7" s="4" t="n">
        <f aca="false">Assumptions!G42</f>
        <v>29.5</v>
      </c>
      <c r="H7" s="4" t="n">
        <f aca="false">Assumptions!H42</f>
        <v>29.5</v>
      </c>
      <c r="I7" s="4" t="n">
        <f aca="false">Assumptions!I42</f>
        <v>29.5</v>
      </c>
      <c r="J7" s="4" t="n">
        <f aca="false">Assumptions!J42</f>
        <v>29.5</v>
      </c>
      <c r="K7" s="4" t="n">
        <f aca="false">Assumptions!K42</f>
        <v>29.5</v>
      </c>
      <c r="L7" s="4" t="n">
        <f aca="false">Assumptions!L42</f>
        <v>29.5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2698.3386</v>
      </c>
      <c r="D8" s="0" t="n">
        <f aca="false">D6*D7/100</f>
        <v>3000.446706</v>
      </c>
      <c r="E8" s="0" t="n">
        <f aca="false">E6*E7/100</f>
        <v>3376.35172728</v>
      </c>
      <c r="F8" s="0" t="n">
        <f aca="false">F6*F7/100</f>
        <v>3706.7518605924</v>
      </c>
      <c r="G8" s="0" t="n">
        <f aca="false">G6*G7/100</f>
        <v>3996.90105795601</v>
      </c>
      <c r="H8" s="0" t="n">
        <f aca="false">H6*H7/100</f>
        <v>4216.73061614359</v>
      </c>
      <c r="I8" s="0" t="n">
        <f aca="false">I6*I7/100</f>
        <v>4427.56714695077</v>
      </c>
      <c r="J8" s="0" t="n">
        <f aca="false">J6*J7/100</f>
        <v>4626.80766856356</v>
      </c>
      <c r="K8" s="0" t="n">
        <f aca="false">K6*K7/100</f>
        <v>4811.8799753061</v>
      </c>
      <c r="L8" s="0" t="n">
        <f aca="false">L6*L7/100</f>
        <v>5004.35517431834</v>
      </c>
    </row>
    <row r="9" customFormat="false" ht="15" hidden="false" customHeight="false" outlineLevel="0" collapsed="false">
      <c r="A9" s="0" t="s">
        <v>107</v>
      </c>
      <c r="C9" s="4" t="n">
        <f aca="false">Assumptions!C43</f>
        <v>2.2</v>
      </c>
      <c r="D9" s="4" t="n">
        <f aca="false">Assumptions!D43</f>
        <v>2.1</v>
      </c>
      <c r="E9" s="4" t="n">
        <f aca="false">Assumptions!E43</f>
        <v>2</v>
      </c>
      <c r="F9" s="4" t="n">
        <f aca="false">Assumptions!F43</f>
        <v>1.9</v>
      </c>
      <c r="G9" s="4" t="n">
        <f aca="false">Assumptions!G43</f>
        <v>1.9</v>
      </c>
      <c r="H9" s="4" t="n">
        <f aca="false">Assumptions!H43</f>
        <v>1.9</v>
      </c>
      <c r="I9" s="4" t="n">
        <f aca="false">Assumptions!I43</f>
        <v>1.9</v>
      </c>
      <c r="J9" s="4" t="n">
        <f aca="false">Assumptions!J43</f>
        <v>1.9</v>
      </c>
      <c r="K9" s="4" t="n">
        <f aca="false">Assumptions!K43</f>
        <v>1.9</v>
      </c>
      <c r="L9" s="4" t="n">
        <f aca="false">Assumptions!L43</f>
        <v>1.9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-232.79784</v>
      </c>
      <c r="D10" s="0" t="n">
        <f aca="false">-D6*D9/100</f>
        <v>-237.7712484</v>
      </c>
      <c r="E10" s="0" t="n">
        <f aca="false">-E6*E9/100</f>
        <v>-241.16798052</v>
      </c>
      <c r="F10" s="0" t="n">
        <f aca="false">-F6*F9/100</f>
        <v>-242.85615638364</v>
      </c>
      <c r="G10" s="0" t="n">
        <f aca="false">-G6*G9/100</f>
        <v>-257.427525766658</v>
      </c>
      <c r="H10" s="0" t="n">
        <f aca="false">-H6*H9/100</f>
        <v>-271.586039683825</v>
      </c>
      <c r="I10" s="0" t="n">
        <f aca="false">-I6*I9/100</f>
        <v>-285.165341668016</v>
      </c>
      <c r="J10" s="0" t="n">
        <f aca="false">-J6*J9/100</f>
        <v>-297.997782043077</v>
      </c>
      <c r="K10" s="0" t="n">
        <f aca="false">-K6*K9/100</f>
        <v>-309.9176933248</v>
      </c>
      <c r="L10" s="0" t="n">
        <f aca="false">-L6*L9/100</f>
        <v>-322.314401057792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2465.54076</v>
      </c>
      <c r="D11" s="0" t="n">
        <f aca="false">D8+D10+D24</f>
        <v>2762.6754576</v>
      </c>
      <c r="E11" s="0" t="n">
        <f aca="false">E8+E10+E24</f>
        <v>3135.18374676</v>
      </c>
      <c r="F11" s="0" t="n">
        <f aca="false">F8+F10+F24</f>
        <v>3463.89570420876</v>
      </c>
      <c r="G11" s="0" t="n">
        <f aca="false">G8+G10+G24</f>
        <v>3739.47353218935</v>
      </c>
      <c r="H11" s="0" t="n">
        <f aca="false">H8+H10+H24</f>
        <v>3945.14457645977</v>
      </c>
      <c r="I11" s="0" t="n">
        <f aca="false">I8+I10+I24</f>
        <v>4142.40180528276</v>
      </c>
      <c r="J11" s="0" t="n">
        <f aca="false">J8+J10+J24</f>
        <v>4328.80988652048</v>
      </c>
      <c r="K11" s="0" t="n">
        <f aca="false">K8+K10+K24</f>
        <v>4501.9622819813</v>
      </c>
      <c r="L11" s="0" t="n">
        <f aca="false">L8+L10+L24</f>
        <v>4682.04077326055</v>
      </c>
    </row>
    <row r="12" customFormat="false" ht="15" hidden="false" customHeight="false" outlineLevel="0" collapsed="false">
      <c r="A12" s="0" t="s">
        <v>124</v>
      </c>
      <c r="C12" s="4" t="n">
        <f aca="false">-C6*Assumptions!C45/100</f>
        <v>-444.43224</v>
      </c>
      <c r="D12" s="4" t="n">
        <f aca="false">-D6*Assumptions!D45/100</f>
        <v>-464.2200564</v>
      </c>
      <c r="E12" s="4" t="n">
        <f aca="false">-E6*Assumptions!E45/100</f>
        <v>-482.33596104</v>
      </c>
      <c r="F12" s="4" t="n">
        <f aca="false">-F6*Assumptions!F45/100</f>
        <v>-498.49421573484</v>
      </c>
      <c r="G12" s="4" t="n">
        <f aca="false">-G6*Assumptions!G45/100</f>
        <v>-514.855051533317</v>
      </c>
      <c r="H12" s="4" t="n">
        <f aca="false">-H6*Assumptions!H45/100</f>
        <v>-528.878077279027</v>
      </c>
      <c r="I12" s="4" t="n">
        <f aca="false">-I6*Assumptions!I45/100</f>
        <v>-540.313278949925</v>
      </c>
      <c r="J12" s="4" t="n">
        <f aca="false">-J6*Assumptions!J45/100</f>
        <v>-548.943282710931</v>
      </c>
      <c r="K12" s="4" t="n">
        <f aca="false">-K6*Assumptions!K45/100</f>
        <v>-570.901014019368</v>
      </c>
      <c r="L12" s="4" t="n">
        <f aca="false">-L6*Assumptions!L45/100</f>
        <v>-593.737054580143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2021.10852</v>
      </c>
      <c r="D13" s="0" t="n">
        <f aca="false">D11+D12</f>
        <v>2298.4554012</v>
      </c>
      <c r="E13" s="0" t="n">
        <f aca="false">E11+E12</f>
        <v>2652.84778572</v>
      </c>
      <c r="F13" s="0" t="n">
        <f aca="false">F11+F12</f>
        <v>2965.40148847392</v>
      </c>
      <c r="G13" s="0" t="n">
        <f aca="false">G11+G12</f>
        <v>3224.61848065604</v>
      </c>
      <c r="H13" s="0" t="n">
        <f aca="false">H11+H12</f>
        <v>3416.26649918074</v>
      </c>
      <c r="I13" s="0" t="n">
        <f aca="false">I11+I12</f>
        <v>3602.08852633283</v>
      </c>
      <c r="J13" s="0" t="n">
        <f aca="false">J11+J12</f>
        <v>3779.86660380955</v>
      </c>
      <c r="K13" s="0" t="n">
        <f aca="false">K11+K12</f>
        <v>3931.06126796193</v>
      </c>
      <c r="L13" s="0" t="n">
        <f aca="false">L11+L12</f>
        <v>4088.30371868041</v>
      </c>
    </row>
    <row r="14" customFormat="false" ht="15" hidden="false" customHeight="false" outlineLevel="0" collapsed="false">
      <c r="A14" s="0" t="s">
        <v>111</v>
      </c>
      <c r="C14" s="4" t="n">
        <f aca="false">Assumptions!C47</f>
        <v>21</v>
      </c>
      <c r="D14" s="4" t="n">
        <f aca="false">Assumptions!D47</f>
        <v>21</v>
      </c>
      <c r="E14" s="4" t="n">
        <f aca="false">Assumptions!E47</f>
        <v>21</v>
      </c>
      <c r="F14" s="4" t="n">
        <f aca="false">Assumptions!F47</f>
        <v>21</v>
      </c>
      <c r="G14" s="4" t="n">
        <f aca="false">Assumptions!G47</f>
        <v>21</v>
      </c>
      <c r="H14" s="4" t="n">
        <f aca="false">Assumptions!H47</f>
        <v>21</v>
      </c>
      <c r="I14" s="4" t="n">
        <f aca="false">Assumptions!I47</f>
        <v>21</v>
      </c>
      <c r="J14" s="4" t="n">
        <f aca="false">Assumptions!J47</f>
        <v>21</v>
      </c>
      <c r="K14" s="4" t="n">
        <f aca="false">Assumptions!K47</f>
        <v>21</v>
      </c>
      <c r="L14" s="4" t="n">
        <f aca="false">Assumptions!L47</f>
        <v>21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1596.6757308</v>
      </c>
      <c r="D15" s="0" t="n">
        <f aca="false">D13-MAX(0,D13)*D14/100</f>
        <v>1815.779766948</v>
      </c>
      <c r="E15" s="0" t="n">
        <f aca="false">E13-MAX(0,E13)*E14/100</f>
        <v>2095.7497507188</v>
      </c>
      <c r="F15" s="0" t="n">
        <f aca="false">F13-MAX(0,F13)*F14/100</f>
        <v>2342.6671758944</v>
      </c>
      <c r="G15" s="0" t="n">
        <f aca="false">G13-MAX(0,G13)*G14/100</f>
        <v>2547.44859971827</v>
      </c>
      <c r="H15" s="0" t="n">
        <f aca="false">H13-MAX(0,H13)*H14/100</f>
        <v>2698.85053435279</v>
      </c>
      <c r="I15" s="0" t="n">
        <f aca="false">I13-MAX(0,I13)*I14/100</f>
        <v>2845.64993580294</v>
      </c>
      <c r="J15" s="0" t="n">
        <f aca="false">J13-MAX(0,J13)*J14/100</f>
        <v>2986.09461700955</v>
      </c>
      <c r="K15" s="0" t="n">
        <f aca="false">K13-MAX(0,K13)*K14/100</f>
        <v>3105.53840168993</v>
      </c>
      <c r="L15" s="0" t="n">
        <f aca="false">L13-MAX(0,L13)*L14/100</f>
        <v>3229.75993775752</v>
      </c>
    </row>
    <row r="16" customFormat="false" ht="15" hidden="false" customHeight="false" outlineLevel="0" collapsed="false">
      <c r="A16" s="0" t="s">
        <v>127</v>
      </c>
      <c r="C16" s="0" t="n">
        <f aca="false">-C12</f>
        <v>444.43224</v>
      </c>
      <c r="D16" s="0" t="n">
        <f aca="false">-D12</f>
        <v>464.2200564</v>
      </c>
      <c r="E16" s="0" t="n">
        <f aca="false">-E12</f>
        <v>482.33596104</v>
      </c>
      <c r="F16" s="0" t="n">
        <f aca="false">-F12</f>
        <v>498.49421573484</v>
      </c>
      <c r="G16" s="0" t="n">
        <f aca="false">-G12</f>
        <v>514.855051533317</v>
      </c>
      <c r="H16" s="0" t="n">
        <f aca="false">-H12</f>
        <v>528.878077279027</v>
      </c>
      <c r="I16" s="0" t="n">
        <f aca="false">-I12</f>
        <v>540.313278949925</v>
      </c>
      <c r="J16" s="0" t="n">
        <f aca="false">-J12</f>
        <v>548.943282710931</v>
      </c>
      <c r="K16" s="0" t="n">
        <f aca="false">-K12</f>
        <v>570.901014019368</v>
      </c>
      <c r="L16" s="0" t="n">
        <f aca="false">-L12</f>
        <v>593.737054580143</v>
      </c>
    </row>
    <row r="17" customFormat="false" ht="15" hidden="false" customHeight="false" outlineLevel="0" collapsed="false">
      <c r="A17" s="0" t="s">
        <v>128</v>
      </c>
      <c r="C17" s="4" t="n">
        <f aca="false">-C6*Assumptions!C46/100</f>
        <v>-264.543</v>
      </c>
      <c r="D17" s="4" t="n">
        <f aca="false">-D6*Assumptions!D46/100</f>
        <v>-283.06101</v>
      </c>
      <c r="E17" s="4" t="n">
        <f aca="false">-E6*Assumptions!E46/100</f>
        <v>-301.45997565</v>
      </c>
      <c r="F17" s="4" t="n">
        <f aca="false">-F6*Assumptions!F46/100</f>
        <v>-306.76567122144</v>
      </c>
      <c r="G17" s="4" t="n">
        <f aca="false">-G6*Assumptions!G46/100</f>
        <v>-325.171611494726</v>
      </c>
      <c r="H17" s="4" t="n">
        <f aca="false">-H6*Assumptions!H46/100</f>
        <v>-343.056050126936</v>
      </c>
      <c r="I17" s="4" t="n">
        <f aca="false">-I6*Assumptions!I46/100</f>
        <v>-360.208852633283</v>
      </c>
      <c r="J17" s="4" t="n">
        <f aca="false">-J6*Assumptions!J46/100</f>
        <v>-376.418251001781</v>
      </c>
      <c r="K17" s="4" t="n">
        <f aca="false">-K6*Assumptions!K46/100</f>
        <v>-391.474981041852</v>
      </c>
      <c r="L17" s="4" t="n">
        <f aca="false">-L6*Assumptions!L46/100</f>
        <v>-407.133980283526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(C6-B6)*Assumptions!$B$51/100</f>
        <v>-87.3720000000001</v>
      </c>
      <c r="D18" s="4" t="n">
        <f aca="false">(D6-C6)*Assumptions!$B$51/100</f>
        <v>-74.07204</v>
      </c>
      <c r="E18" s="4" t="n">
        <f aca="false">(E6-D6)*Assumptions!$B$51/100</f>
        <v>-73.5958626</v>
      </c>
      <c r="F18" s="4" t="n">
        <f aca="false">(F6-E6)*Assumptions!$B$51/100</f>
        <v>-72.350394156</v>
      </c>
      <c r="G18" s="4" t="n">
        <f aca="false">(G6-F6)*Assumptions!$B$51/100</f>
        <v>-76.6914178053601</v>
      </c>
      <c r="H18" s="4" t="n">
        <f aca="false">(H6-G6)*Assumptions!$B$51/100</f>
        <v>-74.5184943008748</v>
      </c>
      <c r="I18" s="4" t="n">
        <f aca="false">(I6-H6)*Assumptions!$B$51/100</f>
        <v>-71.4700104431118</v>
      </c>
      <c r="J18" s="4" t="n">
        <f aca="false">(J6-I6)*Assumptions!$B$51/100</f>
        <v>-67.5391598687405</v>
      </c>
      <c r="K18" s="4" t="n">
        <f aca="false">(K6-J6)*Assumptions!$B$51/100</f>
        <v>-62.7363751669636</v>
      </c>
      <c r="L18" s="4" t="n">
        <f aca="false">(L6-K6)*Assumptions!$B$51/100</f>
        <v>-65.245830173642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1689.1929708</v>
      </c>
      <c r="D19" s="0" t="n">
        <f aca="false">D15+D16+D17+D18</f>
        <v>1922.866773348</v>
      </c>
      <c r="E19" s="0" t="n">
        <f aca="false">E15+E16+E17+E18</f>
        <v>2203.0298735088</v>
      </c>
      <c r="F19" s="0" t="n">
        <f aca="false">F15+F16+F17+F18</f>
        <v>2462.0453262518</v>
      </c>
      <c r="G19" s="0" t="n">
        <f aca="false">G15+G16+G17+G18</f>
        <v>2660.4406219515</v>
      </c>
      <c r="H19" s="0" t="n">
        <f aca="false">H15+H16+H17+H18</f>
        <v>2810.154067204</v>
      </c>
      <c r="I19" s="0" t="n">
        <f aca="false">I15+I16+I17+I18</f>
        <v>2954.28435167647</v>
      </c>
      <c r="J19" s="0" t="n">
        <f aca="false">J15+J16+J17+J18</f>
        <v>3091.08048884995</v>
      </c>
      <c r="K19" s="0" t="n">
        <f aca="false">K15+K16+K17+K18</f>
        <v>3222.22805950048</v>
      </c>
      <c r="L19" s="0" t="n">
        <f aca="false">L15+L16+L17+L18</f>
        <v>3351.1171818805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1564.06756555556</v>
      </c>
      <c r="D21" s="0" t="n">
        <f aca="false">D19*D20</f>
        <v>1648.54833105967</v>
      </c>
      <c r="E21" s="0" t="n">
        <f aca="false">E19*E20</f>
        <v>1748.83614152187</v>
      </c>
      <c r="F21" s="0" t="n">
        <f aca="false">F19*F20</f>
        <v>1809.67681373305</v>
      </c>
      <c r="G21" s="0" t="n">
        <f aca="false">G19*G20</f>
        <v>1810.65118400622</v>
      </c>
      <c r="H21" s="0" t="n">
        <f aca="false">H19*H20</f>
        <v>1770.87374001398</v>
      </c>
      <c r="I21" s="0" t="n">
        <f aca="false">I19*I20</f>
        <v>1723.79654407644</v>
      </c>
      <c r="J21" s="0" t="n">
        <f aca="false">J19*J20</f>
        <v>1670.01460761679</v>
      </c>
      <c r="K21" s="0" t="n">
        <f aca="false">K19*K20</f>
        <v>1611.91625862712</v>
      </c>
      <c r="L21" s="0" t="n">
        <f aca="false">L19*L20</f>
        <v>1552.21565645575</v>
      </c>
    </row>
    <row r="23" customFormat="false" ht="15" hidden="false" customHeight="false" outlineLevel="0" collapsed="false">
      <c r="A23" s="0" t="s">
        <v>108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Assumptions!$B$48</f>
        <v>8</v>
      </c>
    </row>
    <row r="28" customFormat="false" ht="15" hidden="false" customHeight="false" outlineLevel="0" collapsed="false">
      <c r="A28" s="0" t="s">
        <v>113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114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16910.5968426664</v>
      </c>
    </row>
    <row r="31" customFormat="false" ht="15" hidden="false" customHeight="false" outlineLevel="0" collapsed="false">
      <c r="A31" s="0" t="s">
        <v>136</v>
      </c>
      <c r="B31" s="0" t="n">
        <f aca="false">L19</f>
        <v>3351.1171818805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69033.0139467383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60320.109273849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60320.109273849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27939.8818162034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44850.4786588699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39550.4786588699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422.999771752619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0.465644890172269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1767.42374714214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3075.45499272922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474.795266296697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28763.7558111409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149.647294142837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2" t="s">
        <v>153</v>
      </c>
      <c r="B3" s="2" t="s">
        <v>154</v>
      </c>
      <c r="C3" s="2" t="s">
        <v>144</v>
      </c>
      <c r="D3" s="2" t="s">
        <v>155</v>
      </c>
      <c r="E3" s="2" t="s">
        <v>147</v>
      </c>
      <c r="F3" s="2" t="s">
        <v>156</v>
      </c>
    </row>
    <row r="4" customFormat="false" ht="15" hidden="false" customHeight="false" outlineLevel="0" collapsed="false">
      <c r="A4" s="0" t="s">
        <v>157</v>
      </c>
      <c r="B4" s="4" t="n">
        <f aca="false">DCF_Bear!$B$38</f>
        <v>253.974298862135</v>
      </c>
      <c r="C4" s="0" t="n">
        <f aca="false">B4/Assumptions!$B$2-1</f>
        <v>-0.120008666151087</v>
      </c>
      <c r="D4" s="4" t="n">
        <f aca="false">Assumptions!$B$24</f>
        <v>0.2</v>
      </c>
      <c r="E4" s="4" t="n">
        <f aca="false">DCF_Bear!$B$43</f>
        <v>303.420864215745</v>
      </c>
      <c r="F4" s="4" t="n">
        <f aca="false">DCF_Bear!$B$47</f>
        <v>81.5687636564203</v>
      </c>
    </row>
    <row r="5" customFormat="false" ht="15" hidden="false" customHeight="false" outlineLevel="0" collapsed="false">
      <c r="A5" s="0" t="s">
        <v>158</v>
      </c>
      <c r="B5" s="4" t="n">
        <f aca="false">DCF_Base!$B$38</f>
        <v>348.773527106002</v>
      </c>
      <c r="C5" s="0" t="n">
        <f aca="false">B5/Assumptions!$B$2-1</f>
        <v>0.208459606756531</v>
      </c>
      <c r="D5" s="4" t="n">
        <f aca="false">Assumptions!$B$38</f>
        <v>0.5</v>
      </c>
      <c r="E5" s="4" t="n">
        <f aca="false">DCF_Base!$B$43</f>
        <v>399.268545889204</v>
      </c>
      <c r="F5" s="4" t="n">
        <f aca="false">DCF_Base!$B$47</f>
        <v>120.854188235396</v>
      </c>
    </row>
    <row r="6" customFormat="false" ht="15" hidden="false" customHeight="false" outlineLevel="0" collapsed="false">
      <c r="A6" s="0" t="s">
        <v>159</v>
      </c>
      <c r="B6" s="4" t="n">
        <f aca="false">DCF_Bull!$B$38</f>
        <v>422.999771752619</v>
      </c>
      <c r="C6" s="0" t="n">
        <f aca="false">B6/Assumptions!$B$2-1</f>
        <v>0.465644890172269</v>
      </c>
      <c r="D6" s="4" t="n">
        <f aca="false">Assumptions!$B$52</f>
        <v>0.3</v>
      </c>
      <c r="E6" s="4" t="n">
        <f aca="false">DCF_Bull!$B$43</f>
        <v>474.795266296697</v>
      </c>
      <c r="F6" s="4" t="n">
        <f aca="false">DCF_Bull!$B$47</f>
        <v>149.647294142837</v>
      </c>
    </row>
    <row r="8" customFormat="false" ht="15" hidden="false" customHeight="false" outlineLevel="0" collapsed="false">
      <c r="A8" s="0" t="s">
        <v>160</v>
      </c>
      <c r="B8" s="0" t="n">
        <f aca="false">SUMPRODUCT(B4:B6,D4:D6)</f>
        <v>352.081554851214</v>
      </c>
    </row>
    <row r="9" customFormat="false" ht="15" hidden="false" customHeight="false" outlineLevel="0" collapsed="false">
      <c r="A9" s="0" t="s">
        <v>161</v>
      </c>
      <c r="B9" s="0" t="n">
        <f aca="false">SUMPRODUCT(E4:E6,D4:D6)</f>
        <v>402.75702567676</v>
      </c>
    </row>
    <row r="10" customFormat="false" ht="15" hidden="false" customHeight="false" outlineLevel="0" collapsed="false">
      <c r="A10" s="0" t="s">
        <v>162</v>
      </c>
      <c r="B10" s="0" t="n">
        <f aca="false">1-Assumptions!$B$2/B8</f>
        <v>0.18027514925636</v>
      </c>
    </row>
    <row r="11" customFormat="false" ht="15" hidden="false" customHeight="false" outlineLevel="0" collapsed="false">
      <c r="A11" s="0" t="s">
        <v>163</v>
      </c>
      <c r="B11" s="0" t="n">
        <f aca="false">IF(ABS(B9-B8)&gt;0.01*ABS(B8),(Assumptions!$B$2-B8)/(B9-B8)*100,"n/a")</f>
        <v>-125.251041218183</v>
      </c>
    </row>
    <row r="12" customFormat="false" ht="15" hidden="false" customHeight="false" outlineLevel="0" collapsed="false">
      <c r="A12" s="0" t="s">
        <v>164</v>
      </c>
      <c r="B12" s="0" t="n">
        <f aca="false">SUMPRODUCT(F4:F6,D4:D6)</f>
        <v>121.635035091833</v>
      </c>
    </row>
    <row r="14" customFormat="false" ht="15" hidden="false" customHeight="false" outlineLevel="0" collapsed="false">
      <c r="A14" s="2" t="s">
        <v>165</v>
      </c>
      <c r="C14" s="0" t="s">
        <v>166</v>
      </c>
    </row>
    <row r="15" customFormat="false" ht="15" hidden="false" customHeight="false" outlineLevel="0" collapsed="false">
      <c r="A15" s="0" t="s">
        <v>167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348.773527106002</v>
      </c>
      <c r="C15" s="3" t="n">
        <v>8</v>
      </c>
    </row>
    <row r="16" customFormat="false" ht="15" hidden="false" customHeight="false" outlineLevel="0" collapsed="false">
      <c r="A16" s="0" t="s">
        <v>168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308.966783372665</v>
      </c>
      <c r="C16" s="3" t="n">
        <v>9</v>
      </c>
    </row>
    <row r="17" customFormat="false" ht="15" hidden="false" customHeight="false" outlineLevel="0" collapsed="false">
      <c r="A17" s="0" t="s">
        <v>169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255.049946108589</v>
      </c>
      <c r="C17" s="3" t="n">
        <v>10</v>
      </c>
    </row>
    <row r="18" customFormat="false" ht="15" hidden="false" customHeight="false" outlineLevel="0" collapsed="false">
      <c r="A18" s="0" t="s">
        <v>170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214.676894132088</v>
      </c>
      <c r="C18" s="3" t="n">
        <v>11</v>
      </c>
    </row>
    <row r="19" customFormat="false" ht="15" hidden="false" customHeight="false" outlineLevel="0" collapsed="false">
      <c r="A19" s="0" t="s">
        <v>171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183.329546782517</v>
      </c>
      <c r="C19" s="3" t="n">
        <v>12</v>
      </c>
    </row>
    <row r="20" customFormat="false" ht="15" hidden="false" customHeight="false" outlineLevel="0" collapsed="false">
      <c r="A20" s="0" t="s">
        <v>172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120.854188235396</v>
      </c>
      <c r="C20" s="3" t="n">
        <v>15</v>
      </c>
    </row>
    <row r="22" customFormat="false" ht="15" hidden="false" customHeight="false" outlineLevel="0" collapsed="false">
      <c r="A22" s="2" t="s">
        <v>173</v>
      </c>
    </row>
    <row r="23" customFormat="false" ht="15" hidden="false" customHeight="false" outlineLevel="0" collapsed="false">
      <c r="B23" s="3" t="n">
        <v>2</v>
      </c>
      <c r="C23" s="3" t="n">
        <v>2.5</v>
      </c>
      <c r="D23" s="3" t="n">
        <v>3</v>
      </c>
      <c r="E23" s="3" t="n">
        <v>3.5</v>
      </c>
      <c r="F23" s="3" t="n">
        <v>4</v>
      </c>
    </row>
    <row r="24" customFormat="false" ht="15" hidden="false" customHeight="false" outlineLevel="0" collapsed="false">
      <c r="A24" s="3" t="n">
        <v>6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416.513686462867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416.513686462867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416.513686462867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416.513686462867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416.513686462867</v>
      </c>
    </row>
    <row r="25" customFormat="false" ht="15" hidden="false" customHeight="false" outlineLevel="0" collapsed="false">
      <c r="A25" s="3" t="n">
        <v>7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381.025934826368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381.025934826368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381.025934826368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381.025934826368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381.025934826368</v>
      </c>
    </row>
    <row r="26" customFormat="false" ht="15" hidden="false" customHeight="false" outlineLevel="0" collapsed="false">
      <c r="A26" s="3" t="n">
        <v>8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335.009317656521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348.773527106002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348.773527106002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348.773527106002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348.773527106002</v>
      </c>
    </row>
    <row r="27" customFormat="false" ht="15" hidden="false" customHeight="false" outlineLevel="0" collapsed="false">
      <c r="A27" s="3" t="n">
        <v>9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276.390535892388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291.425727037131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308.966783372665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319.427046325047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319.427046325047</v>
      </c>
    </row>
    <row r="28" customFormat="false" ht="15" hidden="false" customHeight="false" outlineLevel="0" collapsed="false">
      <c r="A28" s="3" t="n">
        <v>10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232.545587792483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243.047621673333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255.049946108589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268.898781995423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285.05575719673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2026-10-02T22:01:26Z</dcterms:created>
  <dc:creator>openpyxl</dc:creator>
  <dc:description/>
  <dc:language>en-NZ</dc:language>
  <cp:lastModifiedBy/>
  <dcterms:modified xsi:type="dcterms:W3CDTF">2026-10-02T22:01:26Z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