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<sst xmlns="http://schemas.openxmlformats.org/spreadsheetml/2006/main" count="370" uniqueCount="171">
  <si>
    <t xml:space="preserve">Ticker</t>
  </si>
  <si>
    <t xml:space="preserve">MTS.AX</t>
  </si>
  <si>
    <t xml:space="preserve">Company</t>
  </si>
  <si>
    <t xml:space="preserve">Metcash Limited</t>
  </si>
  <si>
    <t xml:space="preserve">Valuation date</t>
  </si>
  <si>
    <t xml:space="preserve">2026-09-24</t>
  </si>
  <si>
    <t xml:space="preserve">Current price</t>
  </si>
  <si>
    <t xml:space="preserve">Price as of</t>
  </si>
  <si>
    <t xml:space="preserve">2026-09-24T06:10:03Z (ASX regular close)</t>
  </si>
  <si>
    <t xml:space="preserve">Balance sheet date</t>
  </si>
  <si>
    <t xml:space="preserve">2026-04-30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</si>
  <si>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</si>
  <si>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</si>
  <si>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</si>
  <si>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</si>
  <si>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</si>
  <si>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</si>
  <si>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</si>
  <si>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</si>
  <si>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</si>
  <si>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</si>
  <si>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2026-09-24T08:44:59Z</t>
  </si>
  <si>
    <t xml:space="preserve">Drivers file</t>
  </si>
  <si>
    <t xml:space="preserve">MTS.AX_Drivers.json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</si>
  <si>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</si>
  <si>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</si>
  <si>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</si>
  <si>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unlevered owner cash flow of a thin-margin, defensive wholesale distributor at an AUD WACC, with leases charged once as an operating cost (net of the back-to-back subleases) and excluded from net debt, the Total Tools put liabilities and NCI deducted once in the bridge, SBC expensed (immaterial at 0.02% of sales) and the share count held flat. The terminal multiple is capped at the multiple the stock trades on today, so the valuation depends on the sustainability of a ~4.4-4.5% EBITDA margin and ~3% growth, not on a re-rating. Risk is expressed through the bear/bull flows and a 25/50/25 weighting, not through per-scenario discount rates.
key_risks_to_valuation: Loss or vertical integration of a large Multiple Store Owner (Ritchies, Romeo Retail Group, Drakes) would remove Food volume the base case assumes is stable; Hardware &amp; Tools has had three years of EBIT decline; the base assumes only a slow recovery, but a deeper housing downturn takes the margin path toward the bear case; Net lease cash (1.15% of sales) is a larger charge than SBC or capex; if store leases grow faster than sales or sublessee retailers default on back-to-back leases, the margin assumption breaks; Program Horizon (cumulative $286.7m) and TTHG integration: overruns or non-delivery of cost-to-serve benefits push the base margin path down; Illicit tobacco and excise policy: legal tobacco sales are down 52% since FY21; the FY27 rebound (+11.7% in the 18-week update) depends on enforcement; Bolt-on M&amp;A is excluded from the flows; if management keeps deploying $70-400m a year at low returns, the modelled organic value overstates what shareholders receive; Terminal multiple: the base 15x cap equals today's multiple; a permanent de-rating of ASX grocery/wholesale to 12x is the bear terminal and costs ~$0.60/share</t>
  </si>
  <si>
    <t xml:space="preserve">Data sources</t>
  </si>
  <si>
    <t xml:space="preserve">price: Yahoo Finance chart API at inputs.price_as_of (ASX regular close); 52-week range 2.63-3.98
financials: research/MTS.AX/Reports/MTS.AX_Metrics.csv (FY2015-FY2026 plus half-years, AUD millions, from MTS.AX.duckdb core_metrics); Annual FY2026 financial report for the cash flow statement (lines 3733-3746), D&amp;A split (3963-3967), diluted shares (4163), contributed equity (5135-5140), funds employed / net debt / put options (500-512) and segment results (3908-3920)
qualitative: research/MTS.AX/Reports/MTS.AX_Analysis.json (2026-09-24), FY26 results 22 June 2026 and AGM 18-week trading update 9 September 2026</t>
  </si>
  <si>
    <t xml:space="preserve">Scenario narrative: bear</t>
  </si>
  <si>
    <t xml:space="preserve">The duopoly and ALDI grind share and price, a large Multiple Store Owner vertically integrates or switches supplier, Hardware never leaves its trough, illicit tobacco keeps eroding a high-margin category, and Horizon overruns while the lease book (already $1.2bn gross) grows faster than sales. Sales stall at ~1% nominal, the EBITDA margin sags to 4.0%, capex stays elevated and the market pays only 12x terminal FCF. No solvency issue: net debt / EBITDA stays inside the 1.0-1.75x target band, so the bear is a margin and multiple case, not a going-concern case.</t>
  </si>
  <si>
    <t xml:space="preserve">Scenario narrative: base</t>
  </si>
  <si>
    <t xml:space="preserve">Metcash remains Australia's fourth grocery force with a stable ~7-10% independent share, Liquor keeps taking share (32.3% and rising), and Hardware recovers slowly from three years of EBIT decline. Sales grow ~3% organically; the EBITDA margin edges from 4.39% to 4.50% as TTHG duplication is removed and Program Horizon (complete FY27) lowers cost-to-serve; capex normalises from the Horizon peak. Net leases stay 1.15% of sales, cash tax 29%, and the terminal multiple is held at today's ~15x unlevered owner FCF, so no re-rating is assumed. Bolt-on retail M&amp;A is excluded.</t>
  </si>
  <si>
    <t xml:space="preserve">Scenario narrative: bull</t>
  </si>
  <si>
    <t xml:space="preserve">The Hardware cycle turns with housing/renovation activity and the TTHG merger delivers mid-cycle margins; Foodservice &amp; Convenience, Sorted (~30% of Group revenue) and LocalEyes retail media compound higher-margin revenue; the mandatory Food and Grocery Code and excessive-pricing prohibition on Coles/Woolworths lift independents' relative standing; Horizon delivers its cost benefits. Sales grow 4-4.5% for five years and the EBITDA margin reaches 4.85%; terminal 16x at 2.75%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</si>
  <si>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</si>
  <si>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</si>
  <si>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</si>
  <si>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</si>
  <si>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</si>
  <si>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</si>
  <si>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</si>
  <si>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</si>
  <si>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</si>
  <si>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</si>
  <si>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</si>
  <si>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</si>
  <si>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</si>
  <si>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</si>
  <si>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</si>
  <si>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</si>
  <si>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</si>
  <si>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</si>
  <si>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</si>
  <si>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</si>
  <si>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</si>
  <si>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</si>
  <si>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</si>
  <si>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</si>
  <si>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</si>
  <si>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</si>
  <si>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</si>
  <si>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LeasePrincipalPaid</t>
  </si>
  <si>
    <t xml:space="preserve">ShareIssuanceProceeds</t>
  </si>
  <si>
    <t xml:space="preserve">SignificantItems</t>
  </si>
  <si>
    <t xml:space="preserve">TreasurySharesPurchased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</si>
  <si>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</si>
  <si>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</si>
  <si>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</si>
  <si>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</si>
  <si>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</si>
  <si>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</si>
  <si>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</si>
  <si>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</si>
  <si>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</si>
  <si>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</si>
  <si>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</si>
  <si>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</si>
  <si>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</si>
  <si>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</si>
  <si>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</si>
  <si>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</si>
  <si>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</si>
  <si>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</si>
  <si>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</si>
  <si>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</si>
  <si>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</si>
  <si>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</si>
  <si>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</si>
  <si>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</si>
  <si>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</si>
  <si>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</si>
  <si>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</si>
  <si>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</si>
  <si>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</si>
  <si>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</si>
  <si>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</si>
  <si>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</si>
  <si>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</si>
  <si>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</si>
  <si>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</si>
  <si>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</si>
  <si>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</si>
  <si>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</si>
  <si>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</si>
  <si>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</si>
  <si>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</si>
  <si>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</si>
  <si>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</si>
  <si>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</si>
  <si>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</si>
  <si>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</si>
  <si>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</si>
  <si>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</si>
  <si>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</si>
  <si>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MTS.AX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</si>
  <si>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</si>
  <si>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</si>
  <si>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</si>
  <si>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</si>
  <si>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</si>
  <si>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</si>
  <si>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</si>
  <si>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</si>
  <si>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</si>
  <si>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</si>
  <si>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</si>
  <si>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</si>
  <si>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</si>
  <si>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</si>
  <si>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</si>
  <si>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</si>
  <si>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</si>
  <si>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</si>
  <si>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</si>
  <si>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</si>
  <si>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</si>
  <si>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</si>
  <si>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</si>
  <si>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</si>
  <si>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</si>
  <si>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</si>
  <si>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</si>
  <si>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</si>
  <si>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</si>
  <si>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</si>
  <si>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MTS.AX owner-FCF component DCF: base case (millions, AUD)</t>
  </si>
  <si>
    <t xml:space="preserve">MTS.AX owner-FCF component DCF: bull case (millions, AUD)</t>
  </si>
  <si>
    <t xml:space="preserve">MTS.AX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</si>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</sst>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2.83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13369.8</v>
      </c>
      <c r="C2" s="0" t="n">
        <v>12211.5</v>
      </c>
      <c r="D2" s="0" t="n">
        <v>1158.3</v>
      </c>
      <c r="E2" s="0" t="n">
        <v>8.7</v>
      </c>
      <c r="F2" s="0" t="n">
        <v>-333</v>
      </c>
      <c r="G2" s="0" t="n">
        <v>-2.5</v>
      </c>
      <c r="I2" s="0" t="n">
        <v>-384.2</v>
      </c>
      <c r="J2" s="0" t="n">
        <v>-2.9</v>
      </c>
      <c r="K2" s="0" t="n">
        <v>-0.424</v>
      </c>
      <c r="L2" s="0" t="n">
        <v>231.7</v>
      </c>
      <c r="M2" s="0" t="n">
        <v>85.9</v>
      </c>
      <c r="N2" s="0" t="n">
        <v>145.8</v>
      </c>
      <c r="O2" s="0" t="n">
        <v>1156.6</v>
      </c>
      <c r="P2" s="0" t="n">
        <v>3766.9</v>
      </c>
      <c r="Q2" s="0" t="n">
        <v>2610.3</v>
      </c>
      <c r="R2" s="0" t="n">
        <v>858</v>
      </c>
      <c r="S2" s="0" t="n">
        <v>83.3</v>
      </c>
      <c r="T2" s="0" t="n">
        <v>907</v>
      </c>
      <c r="U2" s="0" t="n">
        <v>5</v>
      </c>
      <c r="AA2" s="0" t="s">
        <v>17</v>
      </c>
      <c r="AB2" s="0" t="s">
        <v>14</v>
      </c>
      <c r="AC2" s="0" t="n">
        <v>4.5</v>
      </c>
      <c r="AE2" s="0" t="n">
        <v>-638.8</v>
      </c>
    </row>
    <row r="3" customFormat="false" ht="15" hidden="false" customHeight="false" outlineLevel="0" collapsed="false">
      <c r="A3" s="0" t="s">
        <v>68</v>
      </c>
      <c r="B3" s="0" t="n">
        <v>13541.3</v>
      </c>
      <c r="C3" s="0" t="n">
        <v>12412.3</v>
      </c>
      <c r="D3" s="0" t="n">
        <v>1129</v>
      </c>
      <c r="E3" s="0" t="n">
        <v>8.3</v>
      </c>
      <c r="F3" s="0" t="n">
        <v>289.5</v>
      </c>
      <c r="G3" s="0" t="n">
        <v>2.1</v>
      </c>
      <c r="I3" s="0" t="n">
        <v>216.5</v>
      </c>
      <c r="J3" s="0" t="n">
        <v>1.6</v>
      </c>
      <c r="K3" s="0" t="n">
        <v>0.233</v>
      </c>
      <c r="L3" s="0" t="n">
        <v>165.8</v>
      </c>
      <c r="M3" s="0" t="n">
        <v>64.9</v>
      </c>
      <c r="N3" s="0" t="n">
        <v>100.9</v>
      </c>
      <c r="O3" s="0" t="n">
        <v>1369.1</v>
      </c>
      <c r="P3" s="0" t="n">
        <v>3348.1</v>
      </c>
      <c r="Q3" s="0" t="n">
        <v>1979</v>
      </c>
      <c r="R3" s="0" t="n">
        <v>315.1</v>
      </c>
      <c r="S3" s="0" t="n">
        <v>26.4</v>
      </c>
      <c r="T3" s="0" t="n">
        <v>928.4</v>
      </c>
      <c r="U3" s="0" t="n">
        <v>-4.3</v>
      </c>
      <c r="AA3" s="0" t="s">
        <v>17</v>
      </c>
      <c r="AB3" s="0" t="s">
        <v>14</v>
      </c>
      <c r="AC3" s="0" t="n">
        <v>4.2</v>
      </c>
      <c r="AE3" s="0" t="n">
        <v>0</v>
      </c>
    </row>
    <row r="4" customFormat="false" ht="15" hidden="false" customHeight="false" outlineLevel="0" collapsed="false">
      <c r="A4" s="0" t="s">
        <v>69</v>
      </c>
      <c r="B4" s="0" t="n">
        <v>14121.9</v>
      </c>
      <c r="C4" s="0" t="n">
        <v>12885.6</v>
      </c>
      <c r="D4" s="0" t="n">
        <v>1236.3</v>
      </c>
      <c r="E4" s="0" t="n">
        <v>8.8</v>
      </c>
      <c r="F4" s="0" t="n">
        <v>275.9</v>
      </c>
      <c r="G4" s="0" t="n">
        <v>2</v>
      </c>
      <c r="I4" s="0" t="n">
        <v>171.9</v>
      </c>
      <c r="J4" s="0" t="n">
        <v>1.2</v>
      </c>
      <c r="K4" s="0" t="n">
        <v>0.179</v>
      </c>
      <c r="L4" s="0" t="n">
        <v>304.6</v>
      </c>
      <c r="M4" s="0" t="n">
        <v>44.4</v>
      </c>
      <c r="N4" s="0" t="n">
        <v>260.2</v>
      </c>
      <c r="O4" s="0" t="n">
        <v>1637.4</v>
      </c>
      <c r="P4" s="0" t="n">
        <v>3931.8</v>
      </c>
      <c r="Q4" s="0" t="n">
        <v>2294.4</v>
      </c>
      <c r="R4" s="0" t="n">
        <v>190.1</v>
      </c>
      <c r="S4" s="0" t="n">
        <v>96.5</v>
      </c>
      <c r="T4" s="0" t="n">
        <v>958.8</v>
      </c>
      <c r="U4" s="0" t="n">
        <v>1.4</v>
      </c>
      <c r="AA4" s="0" t="s">
        <v>17</v>
      </c>
      <c r="AB4" s="0" t="s">
        <v>14</v>
      </c>
      <c r="AE4" s="0" t="n">
        <v>-32.7</v>
      </c>
    </row>
    <row r="5" customFormat="false" ht="15" hidden="false" customHeight="false" outlineLevel="0" collapsed="false">
      <c r="A5" s="0" t="s">
        <v>70</v>
      </c>
      <c r="B5" s="0" t="n">
        <v>14463.7</v>
      </c>
      <c r="C5" s="0" t="n">
        <v>13175.6</v>
      </c>
      <c r="D5" s="0" t="n">
        <v>1288.1</v>
      </c>
      <c r="E5" s="0" t="n">
        <v>8.9</v>
      </c>
      <c r="F5" s="0" t="n">
        <v>-42.8</v>
      </c>
      <c r="G5" s="0" t="n">
        <v>-0.3</v>
      </c>
      <c r="I5" s="0" t="n">
        <v>-149.5</v>
      </c>
      <c r="J5" s="0" t="n">
        <v>-1</v>
      </c>
      <c r="K5" s="0" t="n">
        <v>-0.153</v>
      </c>
      <c r="L5" s="0" t="n">
        <v>288.6</v>
      </c>
      <c r="M5" s="0" t="n">
        <v>47</v>
      </c>
      <c r="N5" s="0" t="n">
        <v>241.6</v>
      </c>
      <c r="O5" s="0" t="n">
        <v>1388.6</v>
      </c>
      <c r="P5" s="0" t="n">
        <v>3719</v>
      </c>
      <c r="Q5" s="0" t="n">
        <v>2330.4</v>
      </c>
      <c r="R5" s="0" t="n">
        <v>129</v>
      </c>
      <c r="S5" s="0" t="n">
        <v>161.2</v>
      </c>
      <c r="T5" s="0" t="n">
        <v>975.6</v>
      </c>
      <c r="U5" s="0" t="n">
        <v>2.3</v>
      </c>
      <c r="AA5" s="0" t="s">
        <v>17</v>
      </c>
      <c r="AB5" s="0" t="s">
        <v>14</v>
      </c>
      <c r="AE5" s="0" t="n">
        <v>-380.1</v>
      </c>
    </row>
    <row r="6" customFormat="false" ht="15" hidden="false" customHeight="false" outlineLevel="0" collapsed="false">
      <c r="A6" s="0" t="s">
        <v>71</v>
      </c>
      <c r="B6" s="0" t="n">
        <v>12660.3</v>
      </c>
      <c r="C6" s="0" t="n">
        <v>11382.6</v>
      </c>
      <c r="D6" s="0" t="n">
        <v>1277.7</v>
      </c>
      <c r="E6" s="0" t="n">
        <v>10.1</v>
      </c>
      <c r="F6" s="0" t="n">
        <v>308.6</v>
      </c>
      <c r="G6" s="0" t="n">
        <v>2.4</v>
      </c>
      <c r="I6" s="0" t="n">
        <v>192.8</v>
      </c>
      <c r="J6" s="0" t="n">
        <v>1.5</v>
      </c>
      <c r="K6" s="0" t="n">
        <v>0.207</v>
      </c>
      <c r="L6" s="0" t="n">
        <v>244.9</v>
      </c>
      <c r="M6" s="0" t="n">
        <v>54.2</v>
      </c>
      <c r="N6" s="0" t="n">
        <v>190.7</v>
      </c>
      <c r="O6" s="0" t="n">
        <v>1250.1</v>
      </c>
      <c r="P6" s="0" t="n">
        <v>3666.6</v>
      </c>
      <c r="Q6" s="0" t="n">
        <v>2416.5</v>
      </c>
      <c r="R6" s="0" t="n">
        <v>185.5</v>
      </c>
      <c r="S6" s="0" t="n">
        <v>142.6</v>
      </c>
      <c r="T6" s="0" t="n">
        <v>928.6</v>
      </c>
      <c r="U6" s="0" t="n">
        <v>1.2</v>
      </c>
      <c r="AA6" s="0" t="s">
        <v>17</v>
      </c>
      <c r="AB6" s="0" t="s">
        <v>14</v>
      </c>
      <c r="AE6" s="0" t="n">
        <v>-25</v>
      </c>
    </row>
    <row r="7" customFormat="false" ht="15" hidden="false" customHeight="false" outlineLevel="0" collapsed="false">
      <c r="A7" s="0" t="s">
        <v>72</v>
      </c>
      <c r="B7" s="0" t="n">
        <v>13025.4</v>
      </c>
      <c r="C7" s="0" t="n">
        <v>11712.7</v>
      </c>
      <c r="D7" s="0" t="n">
        <v>1312.7</v>
      </c>
      <c r="E7" s="0" t="n">
        <v>10.1</v>
      </c>
      <c r="F7" s="0" t="n">
        <v>66.4</v>
      </c>
      <c r="G7" s="0" t="n">
        <v>0.5</v>
      </c>
      <c r="H7" s="0" t="n">
        <v>223.6</v>
      </c>
      <c r="I7" s="0" t="n">
        <v>-56.8</v>
      </c>
      <c r="J7" s="0" t="n">
        <v>-0.4</v>
      </c>
      <c r="K7" s="0" t="n">
        <v>-0.062</v>
      </c>
      <c r="L7" s="0" t="n">
        <v>117.5</v>
      </c>
      <c r="M7" s="0" t="n">
        <v>61.5</v>
      </c>
      <c r="N7" s="0" t="n">
        <v>56</v>
      </c>
      <c r="O7" s="0" t="n">
        <v>1371.6</v>
      </c>
      <c r="P7" s="0" t="n">
        <v>4695.6</v>
      </c>
      <c r="Q7" s="0" t="n">
        <v>3324</v>
      </c>
      <c r="R7" s="0" t="n">
        <v>188.4</v>
      </c>
      <c r="S7" s="0" t="n">
        <v>275.1</v>
      </c>
      <c r="T7" s="0" t="n">
        <v>910.1</v>
      </c>
      <c r="U7" s="0" t="n">
        <v>3</v>
      </c>
      <c r="AA7" s="0" t="s">
        <v>17</v>
      </c>
      <c r="AB7" s="0" t="s">
        <v>14</v>
      </c>
      <c r="AC7" s="0" t="n">
        <v>129.7</v>
      </c>
      <c r="AE7" s="0" t="n">
        <v>-268.5</v>
      </c>
      <c r="AF7" s="0" t="n">
        <v>3.3</v>
      </c>
    </row>
    <row r="8" customFormat="false" ht="15" hidden="false" customHeight="false" outlineLevel="0" collapsed="false">
      <c r="A8" s="0" t="s">
        <v>73</v>
      </c>
      <c r="B8" s="0" t="n">
        <v>14315.3</v>
      </c>
      <c r="C8" s="0" t="n">
        <v>12834</v>
      </c>
      <c r="D8" s="0" t="n">
        <v>1481.3</v>
      </c>
      <c r="E8" s="0" t="n">
        <v>10.3</v>
      </c>
      <c r="F8" s="0" t="n">
        <v>384.4</v>
      </c>
      <c r="G8" s="0" t="n">
        <v>2.7</v>
      </c>
      <c r="H8" s="0" t="n">
        <v>548.1</v>
      </c>
      <c r="I8" s="0" t="n">
        <v>239</v>
      </c>
      <c r="J8" s="0" t="n">
        <v>1.7</v>
      </c>
      <c r="K8" s="0" t="n">
        <v>0.233</v>
      </c>
      <c r="L8" s="0" t="n">
        <v>475.5</v>
      </c>
      <c r="M8" s="0" t="n">
        <v>85.6</v>
      </c>
      <c r="N8" s="0" t="n">
        <v>389.9</v>
      </c>
      <c r="O8" s="0" t="n">
        <v>1291.1</v>
      </c>
      <c r="P8" s="0" t="n">
        <v>4853.1</v>
      </c>
      <c r="Q8" s="0" t="n">
        <v>3562</v>
      </c>
      <c r="R8" s="0" t="n">
        <v>0</v>
      </c>
      <c r="S8" s="0" t="n">
        <v>124.6</v>
      </c>
      <c r="T8" s="0" t="n">
        <v>1021.9</v>
      </c>
      <c r="U8" s="0" t="n">
        <v>8.7</v>
      </c>
      <c r="AA8" s="0" t="s">
        <v>17</v>
      </c>
      <c r="AB8" s="0" t="s">
        <v>14</v>
      </c>
      <c r="AC8" s="0" t="n">
        <v>122</v>
      </c>
      <c r="AE8" s="0" t="n">
        <v>-17</v>
      </c>
      <c r="AF8" s="0" t="n">
        <v>5.2</v>
      </c>
    </row>
    <row r="9" customFormat="false" ht="15" hidden="false" customHeight="false" outlineLevel="0" collapsed="false">
      <c r="A9" s="0" t="s">
        <v>74</v>
      </c>
      <c r="B9" s="0" t="n">
        <v>15164.8</v>
      </c>
      <c r="C9" s="0" t="n">
        <v>13482.3</v>
      </c>
      <c r="D9" s="0" t="n">
        <v>1682.5</v>
      </c>
      <c r="E9" s="0" t="n">
        <v>11.1</v>
      </c>
      <c r="F9" s="0" t="n">
        <v>406.7</v>
      </c>
      <c r="G9" s="0" t="n">
        <v>2.7</v>
      </c>
      <c r="H9" s="0" t="n">
        <v>582.6</v>
      </c>
      <c r="I9" s="0" t="n">
        <v>245.4</v>
      </c>
      <c r="J9" s="0" t="n">
        <v>1.6</v>
      </c>
      <c r="K9" s="0" t="n">
        <v>0.249</v>
      </c>
      <c r="L9" s="0" t="n">
        <v>432.3</v>
      </c>
      <c r="M9" s="0" t="n">
        <v>121.7</v>
      </c>
      <c r="N9" s="0" t="n">
        <v>310.6</v>
      </c>
      <c r="O9" s="0" t="n">
        <v>1090.4</v>
      </c>
      <c r="P9" s="0" t="n">
        <v>5200.9</v>
      </c>
      <c r="Q9" s="0" t="n">
        <v>4110.5</v>
      </c>
      <c r="R9" s="0" t="n">
        <v>293.7</v>
      </c>
      <c r="S9" s="0" t="n">
        <v>104.7</v>
      </c>
      <c r="T9" s="0" t="n">
        <v>982.8</v>
      </c>
      <c r="U9" s="0" t="n">
        <v>7.7</v>
      </c>
      <c r="AA9" s="0" t="s">
        <v>17</v>
      </c>
      <c r="AB9" s="0" t="s">
        <v>14</v>
      </c>
      <c r="AC9" s="0" t="n">
        <v>149.4</v>
      </c>
      <c r="AE9" s="0" t="n">
        <v>-65.6</v>
      </c>
    </row>
    <row r="10" customFormat="false" ht="15" hidden="false" customHeight="false" outlineLevel="0" collapsed="false">
      <c r="A10" s="0" t="s">
        <v>75</v>
      </c>
      <c r="B10" s="0" t="n">
        <v>15803.4</v>
      </c>
      <c r="C10" s="0" t="n">
        <v>13961.1</v>
      </c>
      <c r="D10" s="0" t="n">
        <v>1842.3</v>
      </c>
      <c r="E10" s="0" t="n">
        <v>11.7</v>
      </c>
      <c r="F10" s="0" t="n">
        <v>441.2</v>
      </c>
      <c r="G10" s="0" t="n">
        <v>2.8</v>
      </c>
      <c r="H10" s="0" t="n">
        <v>616.2</v>
      </c>
      <c r="I10" s="0" t="n">
        <v>259</v>
      </c>
      <c r="J10" s="0" t="n">
        <v>1.6</v>
      </c>
      <c r="K10" s="0" t="n">
        <v>0.267</v>
      </c>
      <c r="L10" s="0" t="n">
        <v>372.7</v>
      </c>
      <c r="M10" s="0" t="n">
        <v>152.1</v>
      </c>
      <c r="N10" s="0" t="n">
        <v>220.6</v>
      </c>
      <c r="O10" s="0" t="n">
        <v>1085.1</v>
      </c>
      <c r="P10" s="0" t="n">
        <v>5379.1</v>
      </c>
      <c r="Q10" s="0" t="n">
        <v>4294</v>
      </c>
      <c r="R10" s="0" t="n">
        <v>439.1</v>
      </c>
      <c r="S10" s="0" t="n">
        <v>89.5</v>
      </c>
      <c r="T10" s="0" t="n">
        <v>965.5</v>
      </c>
      <c r="U10" s="0" t="n">
        <v>7</v>
      </c>
      <c r="AA10" s="0" t="s">
        <v>17</v>
      </c>
      <c r="AB10" s="0" t="s">
        <v>14</v>
      </c>
      <c r="AC10" s="0" t="n">
        <v>119.8</v>
      </c>
      <c r="AE10" s="0" t="n">
        <v>-59.6</v>
      </c>
      <c r="AF10" s="0" t="n">
        <v>16.2</v>
      </c>
    </row>
    <row r="11" customFormat="false" ht="15" hidden="false" customHeight="false" outlineLevel="0" collapsed="false">
      <c r="A11" s="0" t="s">
        <v>76</v>
      </c>
      <c r="B11" s="0" t="n">
        <v>15912.4</v>
      </c>
      <c r="C11" s="0" t="n">
        <v>13970.7</v>
      </c>
      <c r="D11" s="0" t="n">
        <v>1941.7</v>
      </c>
      <c r="E11" s="0" t="n">
        <v>12.2</v>
      </c>
      <c r="F11" s="0" t="n">
        <v>464.4</v>
      </c>
      <c r="G11" s="0" t="n">
        <v>2.9</v>
      </c>
      <c r="H11" s="0" t="n">
        <v>656.4</v>
      </c>
      <c r="I11" s="0" t="n">
        <v>257.2</v>
      </c>
      <c r="J11" s="0" t="n">
        <v>1.6</v>
      </c>
      <c r="K11" s="0" t="n">
        <v>0.257</v>
      </c>
      <c r="L11" s="0" t="n">
        <v>482.6</v>
      </c>
      <c r="M11" s="0" t="n">
        <v>135.9</v>
      </c>
      <c r="N11" s="0" t="n">
        <v>346.7</v>
      </c>
      <c r="O11" s="0" t="n">
        <v>1528.4</v>
      </c>
      <c r="P11" s="0" t="n">
        <v>5796.4</v>
      </c>
      <c r="Q11" s="0" t="n">
        <v>4268</v>
      </c>
      <c r="R11" s="0" t="n">
        <v>349.2</v>
      </c>
      <c r="S11" s="0" t="n">
        <v>97.3</v>
      </c>
      <c r="T11" s="0" t="n">
        <v>1000.8</v>
      </c>
      <c r="U11" s="0" t="n">
        <v>5.9</v>
      </c>
      <c r="AA11" s="0" t="s">
        <v>17</v>
      </c>
      <c r="AB11" s="0" t="s">
        <v>14</v>
      </c>
      <c r="AC11" s="0" t="n">
        <v>152.3</v>
      </c>
      <c r="AD11" s="0" t="n">
        <v>351.9</v>
      </c>
      <c r="AE11" s="0" t="n">
        <v>-31.9</v>
      </c>
      <c r="AF11" s="0" t="n">
        <v>0</v>
      </c>
    </row>
    <row r="12" customFormat="false" ht="15" hidden="false" customHeight="false" outlineLevel="0" collapsed="false">
      <c r="A12" s="0" t="s">
        <v>77</v>
      </c>
      <c r="B12" s="0" t="n">
        <v>17323</v>
      </c>
      <c r="C12" s="0" t="n">
        <v>15080.3</v>
      </c>
      <c r="D12" s="0" t="n">
        <v>2242.7</v>
      </c>
      <c r="E12" s="0" t="n">
        <v>12.9</v>
      </c>
      <c r="F12" s="0" t="n">
        <v>508.2</v>
      </c>
      <c r="G12" s="0" t="n">
        <v>2.9</v>
      </c>
      <c r="H12" s="0" t="n">
        <v>748.2</v>
      </c>
      <c r="I12" s="0" t="n">
        <v>283.3</v>
      </c>
      <c r="J12" s="0" t="n">
        <v>1.6</v>
      </c>
      <c r="K12" s="0" t="n">
        <v>0.258</v>
      </c>
      <c r="L12" s="0" t="n">
        <v>539</v>
      </c>
      <c r="M12" s="0" t="n">
        <v>148.5</v>
      </c>
      <c r="N12" s="0" t="n">
        <v>390.5</v>
      </c>
      <c r="O12" s="0" t="n">
        <v>1636.6</v>
      </c>
      <c r="P12" s="0" t="n">
        <v>6892.1</v>
      </c>
      <c r="Q12" s="0" t="n">
        <v>5255.5</v>
      </c>
      <c r="R12" s="0" t="n">
        <v>662.2</v>
      </c>
      <c r="S12" s="0" t="n">
        <v>84.8</v>
      </c>
      <c r="T12" s="0" t="n">
        <v>1095.9</v>
      </c>
      <c r="U12" s="0" t="n">
        <v>3.1</v>
      </c>
      <c r="AA12" s="0" t="s">
        <v>17</v>
      </c>
      <c r="AB12" s="0" t="s">
        <v>14</v>
      </c>
      <c r="AC12" s="0" t="n">
        <v>166</v>
      </c>
      <c r="AE12" s="0" t="n">
        <v>0.4</v>
      </c>
      <c r="AF12" s="0" t="n">
        <v>9.7</v>
      </c>
    </row>
    <row r="13" customFormat="false" ht="15" hidden="false" customHeight="false" outlineLevel="0" collapsed="false">
      <c r="A13" s="0" t="s">
        <v>78</v>
      </c>
      <c r="B13" s="0" t="n">
        <v>17354</v>
      </c>
      <c r="C13" s="0" t="n">
        <v>15005</v>
      </c>
      <c r="D13" s="0" t="n">
        <v>2349</v>
      </c>
      <c r="E13" s="0" t="n">
        <v>13.5</v>
      </c>
      <c r="F13" s="0" t="n">
        <v>508.7</v>
      </c>
      <c r="G13" s="0" t="n">
        <v>2.9</v>
      </c>
      <c r="H13" s="0" t="n">
        <v>766.7</v>
      </c>
      <c r="I13" s="0" t="n">
        <v>279.1</v>
      </c>
      <c r="J13" s="0" t="n">
        <v>1.6</v>
      </c>
      <c r="K13" s="0" t="n">
        <v>0.253</v>
      </c>
      <c r="L13" s="0" t="n">
        <v>558</v>
      </c>
      <c r="M13" s="0" t="n">
        <v>175.2</v>
      </c>
      <c r="N13" s="0" t="n">
        <v>382.8</v>
      </c>
      <c r="O13" s="0" t="n">
        <v>1722.6</v>
      </c>
      <c r="P13" s="0" t="n">
        <v>6996.5</v>
      </c>
      <c r="Q13" s="0" t="n">
        <v>5273.9</v>
      </c>
      <c r="R13" s="0" t="n">
        <v>683.8</v>
      </c>
      <c r="S13" s="0" t="n">
        <v>67.2</v>
      </c>
      <c r="T13" s="0" t="n">
        <v>1099</v>
      </c>
      <c r="U13" s="0" t="n">
        <v>3</v>
      </c>
      <c r="AA13" s="0" t="s">
        <v>17</v>
      </c>
      <c r="AB13" s="0" t="s">
        <v>14</v>
      </c>
      <c r="AC13" s="0" t="n">
        <v>184.2</v>
      </c>
      <c r="AE13" s="0" t="n">
        <v>5</v>
      </c>
      <c r="AF13" s="0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2.83</v>
      </c>
    </row>
    <row r="3" customFormat="false" ht="15" hidden="false" customHeight="false" outlineLevel="0" collapsed="false">
      <c r="A3" s="0" t="s">
        <v>82</v>
      </c>
      <c r="B3" s="3" t="n">
        <v>1104.8</v>
      </c>
    </row>
    <row r="4" customFormat="false" ht="15" hidden="false" customHeight="false" outlineLevel="0" collapsed="false">
      <c r="A4" s="0" t="s">
        <v>83</v>
      </c>
      <c r="B4" s="3" t="n">
        <v>616.6</v>
      </c>
    </row>
    <row r="5" customFormat="false" ht="15" hidden="false" customHeight="false" outlineLevel="0" collapsed="false">
      <c r="A5" s="0" t="s">
        <v>84</v>
      </c>
      <c r="B5" s="3" t="n">
        <v>-107.1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17354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1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103</v>
      </c>
      <c r="C14" s="3" t="n">
        <v>4.3</v>
      </c>
      <c r="D14" s="3" t="n">
        <v>4.2</v>
      </c>
      <c r="E14" s="3" t="n">
        <v>4.1</v>
      </c>
      <c r="F14" s="3" t="n">
        <v>4.05</v>
      </c>
      <c r="G14" s="3" t="n">
        <v>4</v>
      </c>
      <c r="H14" s="3" t="n">
        <v>4</v>
      </c>
      <c r="I14" s="3" t="n">
        <v>4</v>
      </c>
      <c r="J14" s="3" t="n">
        <v>4</v>
      </c>
      <c r="K14" s="3" t="n">
        <v>4</v>
      </c>
      <c r="L14" s="3" t="n">
        <v>4</v>
      </c>
    </row>
    <row r="15" customFormat="false" ht="15" hidden="false" customHeight="false" outlineLevel="0" collapsed="false">
      <c r="A15" s="0" t="s">
        <v>104</v>
      </c>
      <c r="C15" s="3" t="n">
        <v>0.02</v>
      </c>
      <c r="D15" s="3" t="n">
        <v>0.02</v>
      </c>
      <c r="E15" s="3" t="n">
        <v>0.02</v>
      </c>
      <c r="F15" s="3" t="n">
        <v>0.02</v>
      </c>
      <c r="G15" s="3" t="n">
        <v>0.02</v>
      </c>
      <c r="H15" s="3" t="n">
        <v>0.02</v>
      </c>
      <c r="I15" s="3" t="n">
        <v>0.02</v>
      </c>
      <c r="J15" s="3" t="n">
        <v>0.02</v>
      </c>
      <c r="K15" s="3" t="n">
        <v>0.02</v>
      </c>
      <c r="L15" s="3" t="n">
        <v>0.02</v>
      </c>
    </row>
    <row r="16" customFormat="false" ht="15" hidden="false" customHeight="false" outlineLevel="0" collapsed="false">
      <c r="A16" s="0" t="s">
        <v>105</v>
      </c>
      <c r="C16" s="3" t="n">
        <v>1.2</v>
      </c>
      <c r="D16" s="3" t="n">
        <v>1.2</v>
      </c>
      <c r="E16" s="3" t="n">
        <v>1.2</v>
      </c>
      <c r="F16" s="3" t="n">
        <v>1.2</v>
      </c>
      <c r="G16" s="3" t="n">
        <v>1.2</v>
      </c>
      <c r="H16" s="3" t="n">
        <v>1.2</v>
      </c>
      <c r="I16" s="3" t="n">
        <v>1.2</v>
      </c>
      <c r="J16" s="3" t="n">
        <v>1.2</v>
      </c>
      <c r="K16" s="3" t="n">
        <v>1.2</v>
      </c>
      <c r="L16" s="3" t="n">
        <v>1.2</v>
      </c>
    </row>
    <row r="17" customFormat="false" ht="15" hidden="false" customHeight="false" outlineLevel="0" collapsed="false">
      <c r="A17" s="0" t="s">
        <v>106</v>
      </c>
      <c r="C17" s="3" t="n">
        <v>0.62</v>
      </c>
      <c r="D17" s="3" t="n">
        <v>0.65</v>
      </c>
      <c r="E17" s="3" t="n">
        <v>0.68</v>
      </c>
      <c r="F17" s="3" t="n">
        <v>0.7</v>
      </c>
      <c r="G17" s="3" t="n">
        <v>0.7</v>
      </c>
      <c r="H17" s="3" t="n">
        <v>0.7</v>
      </c>
      <c r="I17" s="3" t="n">
        <v>0.7</v>
      </c>
      <c r="J17" s="3" t="n">
        <v>0.7</v>
      </c>
      <c r="K17" s="3" t="n">
        <v>0.7</v>
      </c>
      <c r="L17" s="3" t="n">
        <v>0.7</v>
      </c>
    </row>
    <row r="18" customFormat="false" ht="15" hidden="false" customHeight="false" outlineLevel="0" collapsed="false">
      <c r="A18" s="0" t="s">
        <v>107</v>
      </c>
      <c r="C18" s="3" t="n">
        <v>1.05</v>
      </c>
      <c r="D18" s="3" t="n">
        <v>1</v>
      </c>
      <c r="E18" s="3" t="n">
        <v>0.9</v>
      </c>
      <c r="F18" s="3" t="n">
        <v>0.85</v>
      </c>
      <c r="G18" s="3" t="n">
        <v>0.85</v>
      </c>
      <c r="H18" s="3" t="n">
        <v>0.85</v>
      </c>
      <c r="I18" s="3" t="n">
        <v>0.85</v>
      </c>
      <c r="J18" s="3" t="n">
        <v>0.85</v>
      </c>
      <c r="K18" s="3" t="n">
        <v>0.85</v>
      </c>
      <c r="L18" s="3" t="n">
        <v>0.85</v>
      </c>
    </row>
    <row r="19" customFormat="false" ht="15" hidden="false" customHeight="false" outlineLevel="0" collapsed="false">
      <c r="A19" s="0" t="s">
        <v>108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109</v>
      </c>
      <c r="B20" s="3" t="n">
        <v>8</v>
      </c>
    </row>
    <row r="21" customFormat="false" ht="15" hidden="false" customHeight="false" outlineLevel="0" collapsed="false">
      <c r="A21" s="0" t="s">
        <v>110</v>
      </c>
      <c r="B21" s="3" t="n">
        <v>1.5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-2.5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3</v>
      </c>
      <c r="D27" s="3" t="n">
        <v>3</v>
      </c>
      <c r="E27" s="3" t="n">
        <v>3</v>
      </c>
      <c r="F27" s="3" t="n">
        <v>3</v>
      </c>
      <c r="G27" s="3" t="n">
        <v>2.75</v>
      </c>
      <c r="H27" s="3" t="n">
        <v>2.75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103</v>
      </c>
      <c r="C28" s="3" t="n">
        <v>4.4</v>
      </c>
      <c r="D28" s="3" t="n">
        <v>4.4</v>
      </c>
      <c r="E28" s="3" t="n">
        <v>4.45</v>
      </c>
      <c r="F28" s="3" t="n">
        <v>4.5</v>
      </c>
      <c r="G28" s="3" t="n">
        <v>4.5</v>
      </c>
      <c r="H28" s="3" t="n">
        <v>4.5</v>
      </c>
      <c r="I28" s="3" t="n">
        <v>4.5</v>
      </c>
      <c r="J28" s="3" t="n">
        <v>4.5</v>
      </c>
      <c r="K28" s="3" t="n">
        <v>4.5</v>
      </c>
      <c r="L28" s="3" t="n">
        <v>4.5</v>
      </c>
    </row>
    <row r="29" customFormat="false" ht="15" hidden="false" customHeight="false" outlineLevel="0" collapsed="false">
      <c r="A29" s="0" t="s">
        <v>104</v>
      </c>
      <c r="C29" s="3" t="n">
        <v>0.02</v>
      </c>
      <c r="D29" s="3" t="n">
        <v>0.02</v>
      </c>
      <c r="E29" s="3" t="n">
        <v>0.02</v>
      </c>
      <c r="F29" s="3" t="n">
        <v>0.02</v>
      </c>
      <c r="G29" s="3" t="n">
        <v>0.02</v>
      </c>
      <c r="H29" s="3" t="n">
        <v>0.02</v>
      </c>
      <c r="I29" s="3" t="n">
        <v>0.02</v>
      </c>
      <c r="J29" s="3" t="n">
        <v>0.02</v>
      </c>
      <c r="K29" s="3" t="n">
        <v>0.02</v>
      </c>
      <c r="L29" s="3" t="n">
        <v>0.02</v>
      </c>
    </row>
    <row r="30" customFormat="false" ht="15" hidden="false" customHeight="false" outlineLevel="0" collapsed="false">
      <c r="A30" s="0" t="s">
        <v>105</v>
      </c>
      <c r="C30" s="3" t="n">
        <v>1.15</v>
      </c>
      <c r="D30" s="3" t="n">
        <v>1.15</v>
      </c>
      <c r="E30" s="3" t="n">
        <v>1.15</v>
      </c>
      <c r="F30" s="3" t="n">
        <v>1.15</v>
      </c>
      <c r="G30" s="3" t="n">
        <v>1.15</v>
      </c>
      <c r="H30" s="3" t="n">
        <v>1.15</v>
      </c>
      <c r="I30" s="3" t="n">
        <v>1.15</v>
      </c>
      <c r="J30" s="3" t="n">
        <v>1.15</v>
      </c>
      <c r="K30" s="3" t="n">
        <v>1.15</v>
      </c>
      <c r="L30" s="3" t="n">
        <v>1.15</v>
      </c>
    </row>
    <row r="31" customFormat="false" ht="15" hidden="false" customHeight="false" outlineLevel="0" collapsed="false">
      <c r="A31" s="0" t="s">
        <v>106</v>
      </c>
      <c r="C31" s="3" t="n">
        <v>0.62</v>
      </c>
      <c r="D31" s="3" t="n">
        <v>0.65</v>
      </c>
      <c r="E31" s="3" t="n">
        <v>0.68</v>
      </c>
      <c r="F31" s="3" t="n">
        <v>0.7</v>
      </c>
      <c r="G31" s="3" t="n">
        <v>0.7</v>
      </c>
      <c r="H31" s="3" t="n">
        <v>0.7</v>
      </c>
      <c r="I31" s="3" t="n">
        <v>0.7</v>
      </c>
      <c r="J31" s="3" t="n">
        <v>0.7</v>
      </c>
      <c r="K31" s="3" t="n">
        <v>0.7</v>
      </c>
      <c r="L31" s="3" t="n">
        <v>0.7</v>
      </c>
    </row>
    <row r="32" customFormat="false" ht="15" hidden="false" customHeight="false" outlineLevel="0" collapsed="false">
      <c r="A32" s="0" t="s">
        <v>107</v>
      </c>
      <c r="C32" s="3" t="n">
        <v>1</v>
      </c>
      <c r="D32" s="3" t="n">
        <v>0.95</v>
      </c>
      <c r="E32" s="3" t="n">
        <v>0.85</v>
      </c>
      <c r="F32" s="3" t="n">
        <v>0.8</v>
      </c>
      <c r="G32" s="3" t="n">
        <v>0.78</v>
      </c>
      <c r="H32" s="3" t="n">
        <v>0.75</v>
      </c>
      <c r="I32" s="3" t="n">
        <v>0.75</v>
      </c>
      <c r="J32" s="3" t="n">
        <v>0.75</v>
      </c>
      <c r="K32" s="3" t="n">
        <v>0.75</v>
      </c>
      <c r="L32" s="3" t="n">
        <v>0.75</v>
      </c>
    </row>
    <row r="33" customFormat="false" ht="15" hidden="false" customHeight="false" outlineLevel="0" collapsed="false">
      <c r="A33" s="0" t="s">
        <v>108</v>
      </c>
      <c r="C33" s="3" t="n">
        <v>29</v>
      </c>
      <c r="D33" s="3" t="n">
        <v>29</v>
      </c>
      <c r="E33" s="3" t="n">
        <v>29</v>
      </c>
      <c r="F33" s="3" t="n">
        <v>29</v>
      </c>
      <c r="G33" s="3" t="n">
        <v>29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109</v>
      </c>
      <c r="B34" s="3" t="n">
        <v>8</v>
      </c>
    </row>
    <row r="35" customFormat="false" ht="15" hidden="false" customHeight="false" outlineLevel="0" collapsed="false">
      <c r="A35" s="0" t="s">
        <v>110</v>
      </c>
      <c r="B35" s="3" t="n">
        <v>2.5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-2.5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4.5</v>
      </c>
      <c r="D41" s="3" t="n">
        <v>4.5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103</v>
      </c>
      <c r="C42" s="3" t="n">
        <v>4.45</v>
      </c>
      <c r="D42" s="3" t="n">
        <v>4.55</v>
      </c>
      <c r="E42" s="3" t="n">
        <v>4.65</v>
      </c>
      <c r="F42" s="3" t="n">
        <v>4.75</v>
      </c>
      <c r="G42" s="3" t="n">
        <v>4.8</v>
      </c>
      <c r="H42" s="3" t="n">
        <v>4.85</v>
      </c>
      <c r="I42" s="3" t="n">
        <v>4.85</v>
      </c>
      <c r="J42" s="3" t="n">
        <v>4.85</v>
      </c>
      <c r="K42" s="3" t="n">
        <v>4.85</v>
      </c>
      <c r="L42" s="3" t="n">
        <v>4.85</v>
      </c>
    </row>
    <row r="43" customFormat="false" ht="15" hidden="false" customHeight="false" outlineLevel="0" collapsed="false">
      <c r="A43" s="0" t="s">
        <v>104</v>
      </c>
      <c r="C43" s="3" t="n">
        <v>0.02</v>
      </c>
      <c r="D43" s="3" t="n">
        <v>0.02</v>
      </c>
      <c r="E43" s="3" t="n">
        <v>0.02</v>
      </c>
      <c r="F43" s="3" t="n">
        <v>0.02</v>
      </c>
      <c r="G43" s="3" t="n">
        <v>0.02</v>
      </c>
      <c r="H43" s="3" t="n">
        <v>0.02</v>
      </c>
      <c r="I43" s="3" t="n">
        <v>0.02</v>
      </c>
      <c r="J43" s="3" t="n">
        <v>0.02</v>
      </c>
      <c r="K43" s="3" t="n">
        <v>0.02</v>
      </c>
      <c r="L43" s="3" t="n">
        <v>0.02</v>
      </c>
    </row>
    <row r="44" customFormat="false" ht="15" hidden="false" customHeight="false" outlineLevel="0" collapsed="false">
      <c r="A44" s="0" t="s">
        <v>105</v>
      </c>
      <c r="C44" s="3" t="n">
        <v>1.15</v>
      </c>
      <c r="D44" s="3" t="n">
        <v>1.15</v>
      </c>
      <c r="E44" s="3" t="n">
        <v>1.15</v>
      </c>
      <c r="F44" s="3" t="n">
        <v>1.15</v>
      </c>
      <c r="G44" s="3" t="n">
        <v>1.15</v>
      </c>
      <c r="H44" s="3" t="n">
        <v>1.15</v>
      </c>
      <c r="I44" s="3" t="n">
        <v>1.15</v>
      </c>
      <c r="J44" s="3" t="n">
        <v>1.15</v>
      </c>
      <c r="K44" s="3" t="n">
        <v>1.15</v>
      </c>
      <c r="L44" s="3" t="n">
        <v>1.15</v>
      </c>
    </row>
    <row r="45" customFormat="false" ht="15" hidden="false" customHeight="false" outlineLevel="0" collapsed="false">
      <c r="A45" s="0" t="s">
        <v>106</v>
      </c>
      <c r="C45" s="3" t="n">
        <v>0.62</v>
      </c>
      <c r="D45" s="3" t="n">
        <v>0.65</v>
      </c>
      <c r="E45" s="3" t="n">
        <v>0.68</v>
      </c>
      <c r="F45" s="3" t="n">
        <v>0.7</v>
      </c>
      <c r="G45" s="3" t="n">
        <v>0.7</v>
      </c>
      <c r="H45" s="3" t="n">
        <v>0.7</v>
      </c>
      <c r="I45" s="3" t="n">
        <v>0.7</v>
      </c>
      <c r="J45" s="3" t="n">
        <v>0.7</v>
      </c>
      <c r="K45" s="3" t="n">
        <v>0.7</v>
      </c>
      <c r="L45" s="3" t="n">
        <v>0.7</v>
      </c>
    </row>
    <row r="46" customFormat="false" ht="15" hidden="false" customHeight="false" outlineLevel="0" collapsed="false">
      <c r="A46" s="0" t="s">
        <v>107</v>
      </c>
      <c r="C46" s="3" t="n">
        <v>1</v>
      </c>
      <c r="D46" s="3" t="n">
        <v>0.95</v>
      </c>
      <c r="E46" s="3" t="n">
        <v>0.85</v>
      </c>
      <c r="F46" s="3" t="n">
        <v>0.8</v>
      </c>
      <c r="G46" s="3" t="n">
        <v>0.8</v>
      </c>
      <c r="H46" s="3" t="n">
        <v>0.78</v>
      </c>
      <c r="I46" s="3" t="n">
        <v>0.75</v>
      </c>
      <c r="J46" s="3" t="n">
        <v>0.75</v>
      </c>
      <c r="K46" s="3" t="n">
        <v>0.75</v>
      </c>
      <c r="L46" s="3" t="n">
        <v>0.75</v>
      </c>
    </row>
    <row r="47" customFormat="false" ht="15" hidden="false" customHeight="false" outlineLevel="0" collapsed="false">
      <c r="A47" s="0" t="s">
        <v>108</v>
      </c>
      <c r="C47" s="3" t="n">
        <v>29</v>
      </c>
      <c r="D47" s="3" t="n">
        <v>29</v>
      </c>
      <c r="E47" s="3" t="n">
        <v>29</v>
      </c>
      <c r="F47" s="3" t="n">
        <v>29</v>
      </c>
      <c r="G47" s="3" t="n">
        <v>29</v>
      </c>
      <c r="H47" s="3" t="n">
        <v>29</v>
      </c>
      <c r="I47" s="3" t="n">
        <v>29</v>
      </c>
      <c r="J47" s="3" t="n">
        <v>29</v>
      </c>
      <c r="K47" s="3" t="n">
        <v>29</v>
      </c>
      <c r="L47" s="3" t="n">
        <v>29</v>
      </c>
    </row>
    <row r="48" customFormat="false" ht="15" hidden="false" customHeight="false" outlineLevel="0" collapsed="false">
      <c r="A48" s="0" t="s">
        <v>109</v>
      </c>
      <c r="B48" s="3" t="n">
        <v>8</v>
      </c>
    </row>
    <row r="49" customFormat="false" ht="15" hidden="false" customHeight="false" outlineLevel="0" collapsed="false">
      <c r="A49" s="0" t="s">
        <v>110</v>
      </c>
      <c r="B49" s="3" t="n">
        <v>2.75</v>
      </c>
    </row>
    <row r="50" customFormat="false" ht="15" hidden="false" customHeight="false" outlineLevel="0" collapsed="false">
      <c r="A50" s="0" t="s">
        <v>111</v>
      </c>
      <c r="B50" s="3" t="n">
        <v>16</v>
      </c>
    </row>
    <row r="51" customFormat="false" ht="15" hidden="false" customHeight="false" outlineLevel="0" collapsed="false">
      <c r="A51" s="0" t="s">
        <v>112</v>
      </c>
      <c r="B51" s="3" t="n">
        <v>-2.5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1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17354</v>
      </c>
      <c r="C6" s="0" t="n">
        <f aca="false">B6*(1+C5/100)</f>
        <v>17527.54</v>
      </c>
      <c r="D6" s="0" t="n">
        <f aca="false">C6*(1+D5/100)</f>
        <v>17702.8154</v>
      </c>
      <c r="E6" s="0" t="n">
        <f aca="false">D6*(1+E5/100)</f>
        <v>17879.843554</v>
      </c>
      <c r="F6" s="0" t="n">
        <f aca="false">E6*(1+F5/100)</f>
        <v>18058.64198954</v>
      </c>
      <c r="G6" s="0" t="n">
        <f aca="false">F6*(1+G5/100)</f>
        <v>18239.2284094354</v>
      </c>
      <c r="H6" s="0" t="n">
        <f aca="false">G6*(1+H5/100)</f>
        <v>18421.6206935298</v>
      </c>
      <c r="I6" s="0" t="n">
        <f aca="false">H6*(1+I5/100)</f>
        <v>18605.8369004651</v>
      </c>
      <c r="J6" s="0" t="n">
        <f aca="false">I6*(1+J5/100)</f>
        <v>18791.8952694697</v>
      </c>
      <c r="K6" s="0" t="n">
        <f aca="false">J6*(1+K5/100)</f>
        <v>18979.8142221644</v>
      </c>
      <c r="L6" s="0" t="n">
        <f aca="false">K6*(1+L5/100)</f>
        <v>19169.612364386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4.3</v>
      </c>
      <c r="D7" s="4" t="n">
        <f aca="false">Assumptions!D14</f>
        <v>4.2</v>
      </c>
      <c r="E7" s="4" t="n">
        <f aca="false">Assumptions!E14</f>
        <v>4.1</v>
      </c>
      <c r="F7" s="4" t="n">
        <f aca="false">Assumptions!F14</f>
        <v>4.05</v>
      </c>
      <c r="G7" s="4" t="n">
        <f aca="false">Assumptions!G14</f>
        <v>4</v>
      </c>
      <c r="H7" s="4" t="n">
        <f aca="false">Assumptions!H14</f>
        <v>4</v>
      </c>
      <c r="I7" s="4" t="n">
        <f aca="false">Assumptions!I14</f>
        <v>4</v>
      </c>
      <c r="J7" s="4" t="n">
        <f aca="false">Assumptions!J14</f>
        <v>4</v>
      </c>
      <c r="K7" s="4" t="n">
        <f aca="false">Assumptions!K14</f>
        <v>4</v>
      </c>
      <c r="L7" s="4" t="n">
        <f aca="false">Assumptions!L14</f>
        <v>4</v>
      </c>
    </row>
    <row r="8" customFormat="false" ht="15" hidden="false" customHeight="false" outlineLevel="0" collapsed="false">
      <c r="A8" s="0" t="s">
        <v>43</v>
      </c>
      <c r="C8" s="0" t="n">
        <f aca="false">C6*C7/100</f>
        <v>753.68422</v>
      </c>
      <c r="D8" s="0" t="n">
        <f aca="false">D6*D7/100</f>
        <v>743.5182468</v>
      </c>
      <c r="E8" s="0" t="n">
        <f aca="false">E6*E7/100</f>
        <v>733.073585714</v>
      </c>
      <c r="F8" s="0" t="n">
        <f aca="false">F6*F7/100</f>
        <v>731.37500057637</v>
      </c>
      <c r="G8" s="0" t="n">
        <f aca="false">G6*G7/100</f>
        <v>729.569136377416</v>
      </c>
      <c r="H8" s="0" t="n">
        <f aca="false">H6*H7/100</f>
        <v>736.86482774119</v>
      </c>
      <c r="I8" s="0" t="n">
        <f aca="false">I6*I7/100</f>
        <v>744.233476018602</v>
      </c>
      <c r="J8" s="0" t="n">
        <f aca="false">J6*J7/100</f>
        <v>751.675810778788</v>
      </c>
      <c r="K8" s="0" t="n">
        <f aca="false">K6*K7/100</f>
        <v>759.192568886576</v>
      </c>
      <c r="L8" s="0" t="n">
        <f aca="false">L6*L7/100</f>
        <v>766.784494575442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0.02</v>
      </c>
      <c r="D9" s="4" t="n">
        <f aca="false">Assumptions!D15</f>
        <v>0.02</v>
      </c>
      <c r="E9" s="4" t="n">
        <f aca="false">Assumptions!E15</f>
        <v>0.02</v>
      </c>
      <c r="F9" s="4" t="n">
        <f aca="false">Assumptions!F15</f>
        <v>0.02</v>
      </c>
      <c r="G9" s="4" t="n">
        <f aca="false">Assumptions!G15</f>
        <v>0.02</v>
      </c>
      <c r="H9" s="4" t="n">
        <f aca="false">Assumptions!H15</f>
        <v>0.02</v>
      </c>
      <c r="I9" s="4" t="n">
        <f aca="false">Assumptions!I15</f>
        <v>0.02</v>
      </c>
      <c r="J9" s="4" t="n">
        <f aca="false">Assumptions!J15</f>
        <v>0.02</v>
      </c>
      <c r="K9" s="4" t="n">
        <f aca="false">Assumptions!K15</f>
        <v>0.02</v>
      </c>
      <c r="L9" s="4" t="n">
        <f aca="false">Assumptions!L15</f>
        <v>0.02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-3.505508</v>
      </c>
      <c r="D10" s="0" t="n">
        <f aca="false">-D6*D9/100</f>
        <v>-3.54056308</v>
      </c>
      <c r="E10" s="0" t="n">
        <f aca="false">-E6*E9/100</f>
        <v>-3.5759687108</v>
      </c>
      <c r="F10" s="0" t="n">
        <f aca="false">-F6*F9/100</f>
        <v>-3.611728397908</v>
      </c>
      <c r="G10" s="0" t="n">
        <f aca="false">-G6*G9/100</f>
        <v>-3.64784568188708</v>
      </c>
      <c r="H10" s="0" t="n">
        <f aca="false">-H6*H9/100</f>
        <v>-3.68432413870595</v>
      </c>
      <c r="I10" s="0" t="n">
        <f aca="false">-I6*I9/100</f>
        <v>-3.72116738009301</v>
      </c>
      <c r="J10" s="0" t="n">
        <f aca="false">-J6*J9/100</f>
        <v>-3.75837905389394</v>
      </c>
      <c r="K10" s="0" t="n">
        <f aca="false">-K6*K9/100</f>
        <v>-3.79596284443288</v>
      </c>
      <c r="L10" s="0" t="n">
        <f aca="false">-L6*L9/100</f>
        <v>-3.83392247287721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539.848232</v>
      </c>
      <c r="D11" s="0" t="n">
        <f aca="false">D8+D10+D24</f>
        <v>527.54389892</v>
      </c>
      <c r="E11" s="0" t="n">
        <f aca="false">E8+E10+E24</f>
        <v>514.9394943552</v>
      </c>
      <c r="F11" s="0" t="n">
        <f aca="false">F8+F10+F24</f>
        <v>511.059568303982</v>
      </c>
      <c r="G11" s="0" t="n">
        <f aca="false">G8+G10+G24</f>
        <v>507.050549782304</v>
      </c>
      <c r="H11" s="0" t="n">
        <f aca="false">H8+H10+H24</f>
        <v>512.121055280127</v>
      </c>
      <c r="I11" s="0" t="n">
        <f aca="false">I8+I10+I24</f>
        <v>517.242265832928</v>
      </c>
      <c r="J11" s="0" t="n">
        <f aca="false">J8+J10+J24</f>
        <v>522.414688491258</v>
      </c>
      <c r="K11" s="0" t="n">
        <f aca="false">K8+K10+K24</f>
        <v>527.63883537617</v>
      </c>
      <c r="L11" s="0" t="n">
        <f aca="false">L8+L10+L24</f>
        <v>532.915223729932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-108.670748</v>
      </c>
      <c r="D12" s="4" t="n">
        <f aca="false">-D6*Assumptions!D17/100</f>
        <v>-115.0683001</v>
      </c>
      <c r="E12" s="4" t="n">
        <f aca="false">-E6*Assumptions!E17/100</f>
        <v>-121.5829361672</v>
      </c>
      <c r="F12" s="4" t="n">
        <f aca="false">-F6*Assumptions!F17/100</f>
        <v>-126.41049392678</v>
      </c>
      <c r="G12" s="4" t="n">
        <f aca="false">-G6*Assumptions!G17/100</f>
        <v>-127.674598866048</v>
      </c>
      <c r="H12" s="4" t="n">
        <f aca="false">-H6*Assumptions!H17/100</f>
        <v>-128.951344854708</v>
      </c>
      <c r="I12" s="4" t="n">
        <f aca="false">-I6*Assumptions!I17/100</f>
        <v>-130.240858303255</v>
      </c>
      <c r="J12" s="4" t="n">
        <f aca="false">-J6*Assumptions!J17/100</f>
        <v>-131.543266886288</v>
      </c>
      <c r="K12" s="4" t="n">
        <f aca="false">-K6*Assumptions!K17/100</f>
        <v>-132.858699555151</v>
      </c>
      <c r="L12" s="4" t="n">
        <f aca="false">-L6*Assumptions!L17/100</f>
        <v>-134.187286550702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431.177484</v>
      </c>
      <c r="D13" s="0" t="n">
        <f aca="false">D11+D12</f>
        <v>412.47559882</v>
      </c>
      <c r="E13" s="0" t="n">
        <f aca="false">E11+E12</f>
        <v>393.356558188</v>
      </c>
      <c r="F13" s="0" t="n">
        <f aca="false">F11+F12</f>
        <v>384.649074377202</v>
      </c>
      <c r="G13" s="0" t="n">
        <f aca="false">G11+G12</f>
        <v>379.375950916256</v>
      </c>
      <c r="H13" s="0" t="n">
        <f aca="false">H11+H12</f>
        <v>383.169710425419</v>
      </c>
      <c r="I13" s="0" t="n">
        <f aca="false">I11+I12</f>
        <v>387.001407529673</v>
      </c>
      <c r="J13" s="0" t="n">
        <f aca="false">J11+J12</f>
        <v>390.87142160497</v>
      </c>
      <c r="K13" s="0" t="n">
        <f aca="false">K11+K12</f>
        <v>394.78013582102</v>
      </c>
      <c r="L13" s="0" t="n">
        <f aca="false">L11+L12</f>
        <v>398.72793717923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301.8242388</v>
      </c>
      <c r="D15" s="0" t="n">
        <f aca="false">D13-MAX(0,D13)*D14/100</f>
        <v>288.732919174</v>
      </c>
      <c r="E15" s="0" t="n">
        <f aca="false">E13-MAX(0,E13)*E14/100</f>
        <v>275.3495907316</v>
      </c>
      <c r="F15" s="0" t="n">
        <f aca="false">F13-MAX(0,F13)*F14/100</f>
        <v>269.254352064041</v>
      </c>
      <c r="G15" s="0" t="n">
        <f aca="false">G13-MAX(0,G13)*G14/100</f>
        <v>265.563165641379</v>
      </c>
      <c r="H15" s="0" t="n">
        <f aca="false">H13-MAX(0,H13)*H14/100</f>
        <v>268.218797297793</v>
      </c>
      <c r="I15" s="0" t="n">
        <f aca="false">I13-MAX(0,I13)*I14/100</f>
        <v>270.900985270771</v>
      </c>
      <c r="J15" s="0" t="n">
        <f aca="false">J13-MAX(0,J13)*J14/100</f>
        <v>273.609995123479</v>
      </c>
      <c r="K15" s="0" t="n">
        <f aca="false">K13-MAX(0,K13)*K14/100</f>
        <v>276.346095074714</v>
      </c>
      <c r="L15" s="0" t="n">
        <f aca="false">L13-MAX(0,L13)*L14/100</f>
        <v>279.109556025461</v>
      </c>
    </row>
    <row r="16" customFormat="false" ht="15" hidden="false" customHeight="false" outlineLevel="0" collapsed="false">
      <c r="A16" s="0" t="s">
        <v>124</v>
      </c>
      <c r="C16" s="0" t="n">
        <f aca="false">-C12</f>
        <v>108.670748</v>
      </c>
      <c r="D16" s="0" t="n">
        <f aca="false">-D12</f>
        <v>115.0683001</v>
      </c>
      <c r="E16" s="0" t="n">
        <f aca="false">-E12</f>
        <v>121.5829361672</v>
      </c>
      <c r="F16" s="0" t="n">
        <f aca="false">-F12</f>
        <v>126.41049392678</v>
      </c>
      <c r="G16" s="0" t="n">
        <f aca="false">-G12</f>
        <v>127.674598866048</v>
      </c>
      <c r="H16" s="0" t="n">
        <f aca="false">-H12</f>
        <v>128.951344854708</v>
      </c>
      <c r="I16" s="0" t="n">
        <f aca="false">-I12</f>
        <v>130.240858303255</v>
      </c>
      <c r="J16" s="0" t="n">
        <f aca="false">-J12</f>
        <v>131.543266886288</v>
      </c>
      <c r="K16" s="0" t="n">
        <f aca="false">-K12</f>
        <v>132.858699555151</v>
      </c>
      <c r="L16" s="0" t="n">
        <f aca="false">-L12</f>
        <v>134.187286550702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-184.03917</v>
      </c>
      <c r="D17" s="4" t="n">
        <f aca="false">-D6*Assumptions!D18/100</f>
        <v>-177.028154</v>
      </c>
      <c r="E17" s="4" t="n">
        <f aca="false">-E6*Assumptions!E18/100</f>
        <v>-160.918591986</v>
      </c>
      <c r="F17" s="4" t="n">
        <f aca="false">-F6*Assumptions!F18/100</f>
        <v>-153.49845691109</v>
      </c>
      <c r="G17" s="4" t="n">
        <f aca="false">-G6*Assumptions!G18/100</f>
        <v>-155.033441480201</v>
      </c>
      <c r="H17" s="4" t="n">
        <f aca="false">-H6*Assumptions!H18/100</f>
        <v>-156.583775895003</v>
      </c>
      <c r="I17" s="4" t="n">
        <f aca="false">-I6*Assumptions!I18/100</f>
        <v>-158.149613653953</v>
      </c>
      <c r="J17" s="4" t="n">
        <f aca="false">-J6*Assumptions!J18/100</f>
        <v>-159.731109790492</v>
      </c>
      <c r="K17" s="4" t="n">
        <f aca="false">-K6*Assumptions!K18/100</f>
        <v>-161.328420888397</v>
      </c>
      <c r="L17" s="4" t="n">
        <f aca="false">-L6*Assumptions!L18/100</f>
        <v>-162.941705097281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-4.33850000000002</v>
      </c>
      <c r="D18" s="4" t="n">
        <f aca="false">(D6-C6)*Assumptions!$B$23/100</f>
        <v>-4.38188499999997</v>
      </c>
      <c r="E18" s="4" t="n">
        <f aca="false">(E6-D6)*Assumptions!$B$23/100</f>
        <v>-4.42570384999999</v>
      </c>
      <c r="F18" s="4" t="n">
        <f aca="false">(F6-E6)*Assumptions!$B$23/100</f>
        <v>-4.46996088850001</v>
      </c>
      <c r="G18" s="4" t="n">
        <f aca="false">(G6-F6)*Assumptions!$B$23/100</f>
        <v>-4.51466049738501</v>
      </c>
      <c r="H18" s="4" t="n">
        <f aca="false">(H6-G6)*Assumptions!$B$23/100</f>
        <v>-4.55980710235881</v>
      </c>
      <c r="I18" s="4" t="n">
        <f aca="false">(I6-H6)*Assumptions!$B$23/100</f>
        <v>-4.60540517338241</v>
      </c>
      <c r="J18" s="4" t="n">
        <f aca="false">(J6-I6)*Assumptions!$B$23/100</f>
        <v>-4.65145922511629</v>
      </c>
      <c r="K18" s="4" t="n">
        <f aca="false">(K6-J6)*Assumptions!$B$23/100</f>
        <v>-4.69797381736744</v>
      </c>
      <c r="L18" s="4" t="n">
        <f aca="false">(L6-K6)*Assumptions!$B$23/100</f>
        <v>-4.74495355554109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222.1173168</v>
      </c>
      <c r="D19" s="0" t="n">
        <f aca="false">D15+D16+D17+D18</f>
        <v>222.391180274</v>
      </c>
      <c r="E19" s="0" t="n">
        <f aca="false">E15+E16+E17+E18</f>
        <v>231.5882310628</v>
      </c>
      <c r="F19" s="0" t="n">
        <f aca="false">F15+F16+F17+F18</f>
        <v>237.696428191231</v>
      </c>
      <c r="G19" s="0" t="n">
        <f aca="false">G15+G16+G17+G18</f>
        <v>233.689662529841</v>
      </c>
      <c r="H19" s="0" t="n">
        <f aca="false">H15+H16+H17+H18</f>
        <v>236.02655915514</v>
      </c>
      <c r="I19" s="0" t="n">
        <f aca="false">I15+I16+I17+I18</f>
        <v>238.386824746691</v>
      </c>
      <c r="J19" s="0" t="n">
        <f aca="false">J15+J16+J17+J18</f>
        <v>240.770692994158</v>
      </c>
      <c r="K19" s="0" t="n">
        <f aca="false">K15+K16+K17+K18</f>
        <v>243.1783999241</v>
      </c>
      <c r="L19" s="0" t="n">
        <f aca="false">L15+L16+L17+L18</f>
        <v>245.610183923341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205.664182222222</v>
      </c>
      <c r="D21" s="0" t="n">
        <f aca="false">D19*D20</f>
        <v>190.664592141632</v>
      </c>
      <c r="E21" s="0" t="n">
        <f aca="false">E19*E20</f>
        <v>183.842204458479</v>
      </c>
      <c r="F21" s="0" t="n">
        <f aca="false">F19*F20</f>
        <v>174.713970623644</v>
      </c>
      <c r="G21" s="0" t="n">
        <f aca="false">G19*G20</f>
        <v>159.045257638298</v>
      </c>
      <c r="H21" s="0" t="n">
        <f aca="false">H19*H20</f>
        <v>148.736768717297</v>
      </c>
      <c r="I21" s="0" t="n">
        <f aca="false">I19*I20</f>
        <v>139.096422596732</v>
      </c>
      <c r="J21" s="0" t="n">
        <f aca="false">J19*J20</f>
        <v>130.080913724721</v>
      </c>
      <c r="K21" s="0" t="n">
        <f aca="false">K19*K20</f>
        <v>121.649743390712</v>
      </c>
      <c r="L21" s="0" t="n">
        <f aca="false">L19*L20</f>
        <v>113.765037800573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1.2</v>
      </c>
      <c r="D23" s="4" t="n">
        <f aca="false">Assumptions!D16</f>
        <v>1.2</v>
      </c>
      <c r="E23" s="4" t="n">
        <f aca="false">Assumptions!E16</f>
        <v>1.2</v>
      </c>
      <c r="F23" s="4" t="n">
        <f aca="false">Assumptions!F16</f>
        <v>1.2</v>
      </c>
      <c r="G23" s="4" t="n">
        <f aca="false">Assumptions!G16</f>
        <v>1.2</v>
      </c>
      <c r="H23" s="4" t="n">
        <f aca="false">Assumptions!H16</f>
        <v>1.2</v>
      </c>
      <c r="I23" s="4" t="n">
        <f aca="false">Assumptions!I16</f>
        <v>1.2</v>
      </c>
      <c r="J23" s="4" t="n">
        <f aca="false">Assumptions!J16</f>
        <v>1.2</v>
      </c>
      <c r="K23" s="4" t="n">
        <f aca="false">Assumptions!K16</f>
        <v>1.2</v>
      </c>
      <c r="L23" s="4" t="n">
        <f aca="false">Assumptions!L16</f>
        <v>1.2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-210.33048</v>
      </c>
      <c r="D24" s="0" t="n">
        <f aca="false">-D6*D23/100</f>
        <v>-212.4337848</v>
      </c>
      <c r="E24" s="0" t="n">
        <f aca="false">-E6*E23/100</f>
        <v>-214.558122648</v>
      </c>
      <c r="F24" s="0" t="n">
        <f aca="false">-F6*F23/100</f>
        <v>-216.70370387448</v>
      </c>
      <c r="G24" s="0" t="n">
        <f aca="false">-G6*G23/100</f>
        <v>-218.870740913225</v>
      </c>
      <c r="H24" s="0" t="n">
        <f aca="false">-H6*H23/100</f>
        <v>-221.059448322357</v>
      </c>
      <c r="I24" s="0" t="n">
        <f aca="false">-I6*I23/100</f>
        <v>-223.270042805581</v>
      </c>
      <c r="J24" s="0" t="n">
        <f aca="false">-J6*J23/100</f>
        <v>-225.502743233636</v>
      </c>
      <c r="K24" s="0" t="n">
        <f aca="false">-K6*K23/100</f>
        <v>-227.757770665973</v>
      </c>
      <c r="L24" s="0" t="n">
        <f aca="false">-L6*L23/100</f>
        <v>-230.035348372632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1567.25909331431</v>
      </c>
    </row>
    <row r="31" customFormat="false" ht="15" hidden="false" customHeight="false" outlineLevel="0" collapsed="false">
      <c r="A31" s="0" t="s">
        <v>133</v>
      </c>
      <c r="B31" s="0" t="n">
        <f aca="false">L19</f>
        <v>245.610183923341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3835.29748741832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2947.32220708009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2947.32220708009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1365.18045360687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2932.43954692119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2208.73954692119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1.99922116846595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-0.293561424570334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24.4557371072738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27.7305483401096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2.04645712560515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1846.62471616437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0.81338659543941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3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2.75</v>
      </c>
      <c r="H5" s="4" t="n">
        <f aca="false">Assumptions!H27</f>
        <v>2.75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17354</v>
      </c>
      <c r="C6" s="0" t="n">
        <f aca="false">B6*(1+C5/100)</f>
        <v>17874.62</v>
      </c>
      <c r="D6" s="0" t="n">
        <f aca="false">C6*(1+D5/100)</f>
        <v>18410.8586</v>
      </c>
      <c r="E6" s="0" t="n">
        <f aca="false">D6*(1+E5/100)</f>
        <v>18963.184358</v>
      </c>
      <c r="F6" s="0" t="n">
        <f aca="false">E6*(1+F5/100)</f>
        <v>19532.07988874</v>
      </c>
      <c r="G6" s="0" t="n">
        <f aca="false">F6*(1+G5/100)</f>
        <v>20069.2120856804</v>
      </c>
      <c r="H6" s="0" t="n">
        <f aca="false">G6*(1+H5/100)</f>
        <v>20621.1154180366</v>
      </c>
      <c r="I6" s="0" t="n">
        <f aca="false">H6*(1+I5/100)</f>
        <v>21136.6433034875</v>
      </c>
      <c r="J6" s="0" t="n">
        <f aca="false">I6*(1+J5/100)</f>
        <v>21665.0593860747</v>
      </c>
      <c r="K6" s="0" t="n">
        <f aca="false">J6*(1+K5/100)</f>
        <v>22206.6858707265</v>
      </c>
      <c r="L6" s="0" t="n">
        <f aca="false">K6*(1+L5/100)</f>
        <v>22761.8530174947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4.4</v>
      </c>
      <c r="D7" s="4" t="n">
        <f aca="false">Assumptions!D28</f>
        <v>4.4</v>
      </c>
      <c r="E7" s="4" t="n">
        <f aca="false">Assumptions!E28</f>
        <v>4.45</v>
      </c>
      <c r="F7" s="4" t="n">
        <f aca="false">Assumptions!F28</f>
        <v>4.5</v>
      </c>
      <c r="G7" s="4" t="n">
        <f aca="false">Assumptions!G28</f>
        <v>4.5</v>
      </c>
      <c r="H7" s="4" t="n">
        <f aca="false">Assumptions!H28</f>
        <v>4.5</v>
      </c>
      <c r="I7" s="4" t="n">
        <f aca="false">Assumptions!I28</f>
        <v>4.5</v>
      </c>
      <c r="J7" s="4" t="n">
        <f aca="false">Assumptions!J28</f>
        <v>4.5</v>
      </c>
      <c r="K7" s="4" t="n">
        <f aca="false">Assumptions!K28</f>
        <v>4.5</v>
      </c>
      <c r="L7" s="4" t="n">
        <f aca="false">Assumptions!L28</f>
        <v>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786.48328</v>
      </c>
      <c r="D8" s="0" t="n">
        <f aca="false">D6*D7/100</f>
        <v>810.0777784</v>
      </c>
      <c r="E8" s="0" t="n">
        <f aca="false">E6*E7/100</f>
        <v>843.861703931</v>
      </c>
      <c r="F8" s="0" t="n">
        <f aca="false">F6*F7/100</f>
        <v>878.9435949933</v>
      </c>
      <c r="G8" s="0" t="n">
        <f aca="false">G6*G7/100</f>
        <v>903.114543855616</v>
      </c>
      <c r="H8" s="0" t="n">
        <f aca="false">H6*H7/100</f>
        <v>927.950193811645</v>
      </c>
      <c r="I8" s="0" t="n">
        <f aca="false">I6*I7/100</f>
        <v>951.148948656936</v>
      </c>
      <c r="J8" s="0" t="n">
        <f aca="false">J6*J7/100</f>
        <v>974.92767237336</v>
      </c>
      <c r="K8" s="0" t="n">
        <f aca="false">K6*K7/100</f>
        <v>999.300864182693</v>
      </c>
      <c r="L8" s="0" t="n">
        <f aca="false">L6*L7/100</f>
        <v>1024.28338578726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0.02</v>
      </c>
      <c r="D9" s="4" t="n">
        <f aca="false">Assumptions!D29</f>
        <v>0.02</v>
      </c>
      <c r="E9" s="4" t="n">
        <f aca="false">Assumptions!E29</f>
        <v>0.02</v>
      </c>
      <c r="F9" s="4" t="n">
        <f aca="false">Assumptions!F29</f>
        <v>0.02</v>
      </c>
      <c r="G9" s="4" t="n">
        <f aca="false">Assumptions!G29</f>
        <v>0.02</v>
      </c>
      <c r="H9" s="4" t="n">
        <f aca="false">Assumptions!H29</f>
        <v>0.02</v>
      </c>
      <c r="I9" s="4" t="n">
        <f aca="false">Assumptions!I29</f>
        <v>0.02</v>
      </c>
      <c r="J9" s="4" t="n">
        <f aca="false">Assumptions!J29</f>
        <v>0.02</v>
      </c>
      <c r="K9" s="4" t="n">
        <f aca="false">Assumptions!K29</f>
        <v>0.02</v>
      </c>
      <c r="L9" s="4" t="n">
        <f aca="false">Assumptions!L29</f>
        <v>0.02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-3.574924</v>
      </c>
      <c r="D10" s="0" t="n">
        <f aca="false">-D6*D9/100</f>
        <v>-3.68217172</v>
      </c>
      <c r="E10" s="0" t="n">
        <f aca="false">-E6*E9/100</f>
        <v>-3.7926368716</v>
      </c>
      <c r="F10" s="0" t="n">
        <f aca="false">-F6*F9/100</f>
        <v>-3.906415977748</v>
      </c>
      <c r="G10" s="0" t="n">
        <f aca="false">-G6*G9/100</f>
        <v>-4.01384241713607</v>
      </c>
      <c r="H10" s="0" t="n">
        <f aca="false">-H6*H9/100</f>
        <v>-4.12422308360731</v>
      </c>
      <c r="I10" s="0" t="n">
        <f aca="false">-I6*I9/100</f>
        <v>-4.22732866069749</v>
      </c>
      <c r="J10" s="0" t="n">
        <f aca="false">-J6*J9/100</f>
        <v>-4.33301187721493</v>
      </c>
      <c r="K10" s="0" t="n">
        <f aca="false">-K6*K9/100</f>
        <v>-4.4413371741453</v>
      </c>
      <c r="L10" s="0" t="n">
        <f aca="false">-L6*L9/100</f>
        <v>-4.55237060349894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577.350226</v>
      </c>
      <c r="D11" s="0" t="n">
        <f aca="false">D8+D10+D24</f>
        <v>594.67073278</v>
      </c>
      <c r="E11" s="0" t="n">
        <f aca="false">E8+E10+E24</f>
        <v>621.9924469424</v>
      </c>
      <c r="F11" s="0" t="n">
        <f aca="false">F8+F10+F24</f>
        <v>650.418260295042</v>
      </c>
      <c r="G11" s="0" t="n">
        <f aca="false">G8+G10+G24</f>
        <v>668.304762453156</v>
      </c>
      <c r="H11" s="0" t="n">
        <f aca="false">H8+H10+H24</f>
        <v>686.683143420617</v>
      </c>
      <c r="I11" s="0" t="n">
        <f aca="false">I8+I10+I24</f>
        <v>703.850222006133</v>
      </c>
      <c r="J11" s="0" t="n">
        <f aca="false">J8+J10+J24</f>
        <v>721.446477556286</v>
      </c>
      <c r="K11" s="0" t="n">
        <f aca="false">K8+K10+K24</f>
        <v>739.482639495193</v>
      </c>
      <c r="L11" s="0" t="n">
        <f aca="false">L8+L10+L24</f>
        <v>757.969705482573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-110.822644</v>
      </c>
      <c r="D12" s="4" t="n">
        <f aca="false">-D6*Assumptions!D31/100</f>
        <v>-119.6705809</v>
      </c>
      <c r="E12" s="4" t="n">
        <f aca="false">-E6*Assumptions!E31/100</f>
        <v>-128.9496536344</v>
      </c>
      <c r="F12" s="4" t="n">
        <f aca="false">-F6*Assumptions!F31/100</f>
        <v>-136.72455922118</v>
      </c>
      <c r="G12" s="4" t="n">
        <f aca="false">-G6*Assumptions!G31/100</f>
        <v>-140.484484599762</v>
      </c>
      <c r="H12" s="4" t="n">
        <f aca="false">-H6*Assumptions!H31/100</f>
        <v>-144.347807926256</v>
      </c>
      <c r="I12" s="4" t="n">
        <f aca="false">-I6*Assumptions!I31/100</f>
        <v>-147.956503124412</v>
      </c>
      <c r="J12" s="4" t="n">
        <f aca="false">-J6*Assumptions!J31/100</f>
        <v>-151.655415702523</v>
      </c>
      <c r="K12" s="4" t="n">
        <f aca="false">-K6*Assumptions!K31/100</f>
        <v>-155.446801095086</v>
      </c>
      <c r="L12" s="4" t="n">
        <f aca="false">-L6*Assumptions!L31/100</f>
        <v>-159.332971122463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466.527582</v>
      </c>
      <c r="D13" s="0" t="n">
        <f aca="false">D11+D12</f>
        <v>475.00015188</v>
      </c>
      <c r="E13" s="0" t="n">
        <f aca="false">E11+E12</f>
        <v>493.042793308</v>
      </c>
      <c r="F13" s="0" t="n">
        <f aca="false">F11+F12</f>
        <v>513.693701073862</v>
      </c>
      <c r="G13" s="0" t="n">
        <f aca="false">G11+G12</f>
        <v>527.820277853393</v>
      </c>
      <c r="H13" s="0" t="n">
        <f aca="false">H11+H12</f>
        <v>542.335335494362</v>
      </c>
      <c r="I13" s="0" t="n">
        <f aca="false">I11+I12</f>
        <v>555.893718881721</v>
      </c>
      <c r="J13" s="0" t="n">
        <f aca="false">J11+J12</f>
        <v>569.791061853764</v>
      </c>
      <c r="K13" s="0" t="n">
        <f aca="false">K11+K12</f>
        <v>584.035838400107</v>
      </c>
      <c r="L13" s="0" t="n">
        <f aca="false">L11+L12</f>
        <v>598.63673436011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29</v>
      </c>
      <c r="D14" s="4" t="n">
        <f aca="false">Assumptions!D33</f>
        <v>29</v>
      </c>
      <c r="E14" s="4" t="n">
        <f aca="false">Assumptions!E33</f>
        <v>29</v>
      </c>
      <c r="F14" s="4" t="n">
        <f aca="false">Assumptions!F33</f>
        <v>29</v>
      </c>
      <c r="G14" s="4" t="n">
        <f aca="false">Assumptions!G33</f>
        <v>29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331.23458322</v>
      </c>
      <c r="D15" s="0" t="n">
        <f aca="false">D13-MAX(0,D13)*D14/100</f>
        <v>337.2501078348</v>
      </c>
      <c r="E15" s="0" t="n">
        <f aca="false">E13-MAX(0,E13)*E14/100</f>
        <v>350.06038324868</v>
      </c>
      <c r="F15" s="0" t="n">
        <f aca="false">F13-MAX(0,F13)*F14/100</f>
        <v>364.722527762442</v>
      </c>
      <c r="G15" s="0" t="n">
        <f aca="false">G13-MAX(0,G13)*G14/100</f>
        <v>374.752397275909</v>
      </c>
      <c r="H15" s="0" t="n">
        <f aca="false">H13-MAX(0,H13)*H14/100</f>
        <v>385.058088200997</v>
      </c>
      <c r="I15" s="0" t="n">
        <f aca="false">I13-MAX(0,I13)*I14/100</f>
        <v>394.684540406022</v>
      </c>
      <c r="J15" s="0" t="n">
        <f aca="false">J13-MAX(0,J13)*J14/100</f>
        <v>404.551653916172</v>
      </c>
      <c r="K15" s="0" t="n">
        <f aca="false">K13-MAX(0,K13)*K14/100</f>
        <v>414.665445264076</v>
      </c>
      <c r="L15" s="0" t="n">
        <f aca="false">L13-MAX(0,L13)*L14/100</f>
        <v>425.032081395678</v>
      </c>
    </row>
    <row r="16" customFormat="false" ht="15" hidden="false" customHeight="false" outlineLevel="0" collapsed="false">
      <c r="A16" s="0" t="s">
        <v>124</v>
      </c>
      <c r="C16" s="0" t="n">
        <f aca="false">-C12</f>
        <v>110.822644</v>
      </c>
      <c r="D16" s="0" t="n">
        <f aca="false">-D12</f>
        <v>119.6705809</v>
      </c>
      <c r="E16" s="0" t="n">
        <f aca="false">-E12</f>
        <v>128.9496536344</v>
      </c>
      <c r="F16" s="0" t="n">
        <f aca="false">-F12</f>
        <v>136.72455922118</v>
      </c>
      <c r="G16" s="0" t="n">
        <f aca="false">-G12</f>
        <v>140.484484599762</v>
      </c>
      <c r="H16" s="0" t="n">
        <f aca="false">-H12</f>
        <v>144.347807926256</v>
      </c>
      <c r="I16" s="0" t="n">
        <f aca="false">-I12</f>
        <v>147.956503124412</v>
      </c>
      <c r="J16" s="0" t="n">
        <f aca="false">-J12</f>
        <v>151.655415702523</v>
      </c>
      <c r="K16" s="0" t="n">
        <f aca="false">-K12</f>
        <v>155.446801095086</v>
      </c>
      <c r="L16" s="0" t="n">
        <f aca="false">-L12</f>
        <v>159.332971122463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-178.7462</v>
      </c>
      <c r="D17" s="4" t="n">
        <f aca="false">-D6*Assumptions!D32/100</f>
        <v>-174.9031567</v>
      </c>
      <c r="E17" s="4" t="n">
        <f aca="false">-E6*Assumptions!E32/100</f>
        <v>-161.187067043</v>
      </c>
      <c r="F17" s="4" t="n">
        <f aca="false">-F6*Assumptions!F32/100</f>
        <v>-156.25663910992</v>
      </c>
      <c r="G17" s="4" t="n">
        <f aca="false">-G6*Assumptions!G32/100</f>
        <v>-156.539854268307</v>
      </c>
      <c r="H17" s="4" t="n">
        <f aca="false">-H6*Assumptions!H32/100</f>
        <v>-154.658365635274</v>
      </c>
      <c r="I17" s="4" t="n">
        <f aca="false">-I6*Assumptions!I32/100</f>
        <v>-158.524824776156</v>
      </c>
      <c r="J17" s="4" t="n">
        <f aca="false">-J6*Assumptions!J32/100</f>
        <v>-162.48794539556</v>
      </c>
      <c r="K17" s="4" t="n">
        <f aca="false">-K6*Assumptions!K32/100</f>
        <v>-166.550144030449</v>
      </c>
      <c r="L17" s="4" t="n">
        <f aca="false">-L6*Assumptions!L32/100</f>
        <v>-170.71389763121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-13.0155</v>
      </c>
      <c r="D18" s="4" t="n">
        <f aca="false">(D6-C6)*Assumptions!$B$37/100</f>
        <v>-13.405965</v>
      </c>
      <c r="E18" s="4" t="n">
        <f aca="false">(E6-D6)*Assumptions!$B$37/100</f>
        <v>-13.80814395</v>
      </c>
      <c r="F18" s="4" t="n">
        <f aca="false">(F6-E6)*Assumptions!$B$37/100</f>
        <v>-14.2223882685</v>
      </c>
      <c r="G18" s="4" t="n">
        <f aca="false">(G6-F6)*Assumptions!$B$37/100</f>
        <v>-13.4283049235088</v>
      </c>
      <c r="H18" s="4" t="n">
        <f aca="false">(H6-G6)*Assumptions!$B$37/100</f>
        <v>-13.7975833089053</v>
      </c>
      <c r="I18" s="4" t="n">
        <f aca="false">(I6-H6)*Assumptions!$B$37/100</f>
        <v>-12.8881971362728</v>
      </c>
      <c r="J18" s="4" t="n">
        <f aca="false">(J6-I6)*Assumptions!$B$37/100</f>
        <v>-13.2104020646796</v>
      </c>
      <c r="K18" s="4" t="n">
        <f aca="false">(K6-J6)*Assumptions!$B$37/100</f>
        <v>-13.5406621162966</v>
      </c>
      <c r="L18" s="4" t="n">
        <f aca="false">(L6-K6)*Assumptions!$B$37/100</f>
        <v>-13.8791786692041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250.29552722</v>
      </c>
      <c r="D19" s="0" t="n">
        <f aca="false">D15+D16+D17+D18</f>
        <v>268.6115670348</v>
      </c>
      <c r="E19" s="0" t="n">
        <f aca="false">E15+E16+E17+E18</f>
        <v>304.01482589008</v>
      </c>
      <c r="F19" s="0" t="n">
        <f aca="false">F15+F16+F17+F18</f>
        <v>330.968059605202</v>
      </c>
      <c r="G19" s="0" t="n">
        <f aca="false">G15+G16+G17+G18</f>
        <v>345.268722683856</v>
      </c>
      <c r="H19" s="0" t="n">
        <f aca="false">H15+H16+H17+H18</f>
        <v>360.949947183073</v>
      </c>
      <c r="I19" s="0" t="n">
        <f aca="false">I15+I16+I17+I18</f>
        <v>371.228021618005</v>
      </c>
      <c r="J19" s="0" t="n">
        <f aca="false">J15+J16+J17+J18</f>
        <v>380.508722158455</v>
      </c>
      <c r="K19" s="0" t="n">
        <f aca="false">K15+K16+K17+K18</f>
        <v>390.021440212416</v>
      </c>
      <c r="L19" s="0" t="n">
        <f aca="false">L15+L16+L17+L18</f>
        <v>399.771976217727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231.755117796296</v>
      </c>
      <c r="D21" s="0" t="n">
        <f aca="false">D19*D20</f>
        <v>230.291124001029</v>
      </c>
      <c r="E21" s="0" t="n">
        <f aca="false">E19*E20</f>
        <v>241.336770539679</v>
      </c>
      <c r="F21" s="0" t="n">
        <f aca="false">F19*F20</f>
        <v>243.271404131939</v>
      </c>
      <c r="G21" s="0" t="n">
        <f aca="false">G19*G20</f>
        <v>234.984091119939</v>
      </c>
      <c r="H21" s="0" t="n">
        <f aca="false">H19*H20</f>
        <v>227.459693539834</v>
      </c>
      <c r="I21" s="0" t="n">
        <f aca="false">I19*I20</f>
        <v>216.60798506627</v>
      </c>
      <c r="J21" s="0" t="n">
        <f aca="false">J19*J20</f>
        <v>205.577022863821</v>
      </c>
      <c r="K21" s="0" t="n">
        <f aca="false">K19*K20</f>
        <v>195.107822625385</v>
      </c>
      <c r="L21" s="0" t="n">
        <f aca="false">L19*L20</f>
        <v>185.171776102796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1.15</v>
      </c>
      <c r="D23" s="4" t="n">
        <f aca="false">Assumptions!D30</f>
        <v>1.15</v>
      </c>
      <c r="E23" s="4" t="n">
        <f aca="false">Assumptions!E30</f>
        <v>1.15</v>
      </c>
      <c r="F23" s="4" t="n">
        <f aca="false">Assumptions!F30</f>
        <v>1.15</v>
      </c>
      <c r="G23" s="4" t="n">
        <f aca="false">Assumptions!G30</f>
        <v>1.15</v>
      </c>
      <c r="H23" s="4" t="n">
        <f aca="false">Assumptions!H30</f>
        <v>1.15</v>
      </c>
      <c r="I23" s="4" t="n">
        <f aca="false">Assumptions!I30</f>
        <v>1.15</v>
      </c>
      <c r="J23" s="4" t="n">
        <f aca="false">Assumptions!J30</f>
        <v>1.15</v>
      </c>
      <c r="K23" s="4" t="n">
        <f aca="false">Assumptions!K30</f>
        <v>1.15</v>
      </c>
      <c r="L23" s="4" t="n">
        <f aca="false">Assumptions!L30</f>
        <v>1.15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-205.55813</v>
      </c>
      <c r="D24" s="0" t="n">
        <f aca="false">-D6*D23/100</f>
        <v>-211.7248739</v>
      </c>
      <c r="E24" s="0" t="n">
        <f aca="false">-E6*E23/100</f>
        <v>-218.076620117</v>
      </c>
      <c r="F24" s="0" t="n">
        <f aca="false">-F6*F23/100</f>
        <v>-224.61891872051</v>
      </c>
      <c r="G24" s="0" t="n">
        <f aca="false">-G6*G23/100</f>
        <v>-230.795938985324</v>
      </c>
      <c r="H24" s="0" t="n">
        <f aca="false">-H6*H23/100</f>
        <v>-237.14282730742</v>
      </c>
      <c r="I24" s="0" t="n">
        <f aca="false">-I6*I23/100</f>
        <v>-243.071397990106</v>
      </c>
      <c r="J24" s="0" t="n">
        <f aca="false">-J6*J23/100</f>
        <v>-249.148182939859</v>
      </c>
      <c r="K24" s="0" t="n">
        <f aca="false">-K6*K23/100</f>
        <v>-255.376887513355</v>
      </c>
      <c r="L24" s="0" t="n">
        <f aca="false">-L6*L23/100</f>
        <v>-261.761309701189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2211.56280778699</v>
      </c>
    </row>
    <row r="31" customFormat="false" ht="15" hidden="false" customHeight="false" outlineLevel="0" collapsed="false">
      <c r="A31" s="0" t="s">
        <v>133</v>
      </c>
      <c r="B31" s="0" t="n">
        <f aca="false">L19</f>
        <v>399.771976217727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7450.29592042127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5996.5796432659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5996.5796432659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2777.57664154195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4989.13944932893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4265.43944932893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3.86082499034118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0.364249113194762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26.8177471055633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39.2971659883831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3.92066832225098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3278.13020498536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1.53677508085475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4.5</v>
      </c>
      <c r="D5" s="4" t="n">
        <f aca="false">Assumptions!D41</f>
        <v>4.5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17354</v>
      </c>
      <c r="C6" s="0" t="n">
        <f aca="false">B6*(1+C5/100)</f>
        <v>18134.93</v>
      </c>
      <c r="D6" s="0" t="n">
        <f aca="false">C6*(1+D5/100)</f>
        <v>18951.00185</v>
      </c>
      <c r="E6" s="0" t="n">
        <f aca="false">D6*(1+E5/100)</f>
        <v>19803.79693325</v>
      </c>
      <c r="F6" s="0" t="n">
        <f aca="false">E6*(1+F5/100)</f>
        <v>20595.94881058</v>
      </c>
      <c r="G6" s="0" t="n">
        <f aca="false">F6*(1+G5/100)</f>
        <v>21419.7867630032</v>
      </c>
      <c r="H6" s="0" t="n">
        <f aca="false">G6*(1+H5/100)</f>
        <v>22169.4792997083</v>
      </c>
      <c r="I6" s="0" t="n">
        <f aca="false">H6*(1+I5/100)</f>
        <v>22834.5636786996</v>
      </c>
      <c r="J6" s="0" t="n">
        <f aca="false">I6*(1+J5/100)</f>
        <v>23519.6005890606</v>
      </c>
      <c r="K6" s="0" t="n">
        <f aca="false">J6*(1+K5/100)</f>
        <v>24107.5906037871</v>
      </c>
      <c r="L6" s="0" t="n">
        <f aca="false">K6*(1+L5/100)</f>
        <v>24710.2803688817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4.45</v>
      </c>
      <c r="D7" s="4" t="n">
        <f aca="false">Assumptions!D42</f>
        <v>4.55</v>
      </c>
      <c r="E7" s="4" t="n">
        <f aca="false">Assumptions!E42</f>
        <v>4.65</v>
      </c>
      <c r="F7" s="4" t="n">
        <f aca="false">Assumptions!F42</f>
        <v>4.75</v>
      </c>
      <c r="G7" s="4" t="n">
        <f aca="false">Assumptions!G42</f>
        <v>4.8</v>
      </c>
      <c r="H7" s="4" t="n">
        <f aca="false">Assumptions!H42</f>
        <v>4.85</v>
      </c>
      <c r="I7" s="4" t="n">
        <f aca="false">Assumptions!I42</f>
        <v>4.85</v>
      </c>
      <c r="J7" s="4" t="n">
        <f aca="false">Assumptions!J42</f>
        <v>4.85</v>
      </c>
      <c r="K7" s="4" t="n">
        <f aca="false">Assumptions!K42</f>
        <v>4.85</v>
      </c>
      <c r="L7" s="4" t="n">
        <f aca="false">Assumptions!L42</f>
        <v>4.85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807.004385</v>
      </c>
      <c r="D8" s="0" t="n">
        <f aca="false">D6*D7/100</f>
        <v>862.270584175</v>
      </c>
      <c r="E8" s="0" t="n">
        <f aca="false">E6*E7/100</f>
        <v>920.876557396125</v>
      </c>
      <c r="F8" s="0" t="n">
        <f aca="false">F6*F7/100</f>
        <v>978.30756850255</v>
      </c>
      <c r="G8" s="0" t="n">
        <f aca="false">G6*G7/100</f>
        <v>1028.14976462415</v>
      </c>
      <c r="H8" s="0" t="n">
        <f aca="false">H6*H7/100</f>
        <v>1075.21974603585</v>
      </c>
      <c r="I8" s="0" t="n">
        <f aca="false">I6*I7/100</f>
        <v>1107.47633841693</v>
      </c>
      <c r="J8" s="0" t="n">
        <f aca="false">J6*J7/100</f>
        <v>1140.70062856944</v>
      </c>
      <c r="K8" s="0" t="n">
        <f aca="false">K6*K7/100</f>
        <v>1169.21814428367</v>
      </c>
      <c r="L8" s="0" t="n">
        <f aca="false">L6*L7/100</f>
        <v>1198.44859789076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0.02</v>
      </c>
      <c r="D9" s="4" t="n">
        <f aca="false">Assumptions!D43</f>
        <v>0.02</v>
      </c>
      <c r="E9" s="4" t="n">
        <f aca="false">Assumptions!E43</f>
        <v>0.02</v>
      </c>
      <c r="F9" s="4" t="n">
        <f aca="false">Assumptions!F43</f>
        <v>0.02</v>
      </c>
      <c r="G9" s="4" t="n">
        <f aca="false">Assumptions!G43</f>
        <v>0.02</v>
      </c>
      <c r="H9" s="4" t="n">
        <f aca="false">Assumptions!H43</f>
        <v>0.02</v>
      </c>
      <c r="I9" s="4" t="n">
        <f aca="false">Assumptions!I43</f>
        <v>0.02</v>
      </c>
      <c r="J9" s="4" t="n">
        <f aca="false">Assumptions!J43</f>
        <v>0.02</v>
      </c>
      <c r="K9" s="4" t="n">
        <f aca="false">Assumptions!K43</f>
        <v>0.02</v>
      </c>
      <c r="L9" s="4" t="n">
        <f aca="false">Assumptions!L43</f>
        <v>0.02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-3.626986</v>
      </c>
      <c r="D10" s="0" t="n">
        <f aca="false">-D6*D9/100</f>
        <v>-3.79020037</v>
      </c>
      <c r="E10" s="0" t="n">
        <f aca="false">-E6*E9/100</f>
        <v>-3.96075938665</v>
      </c>
      <c r="F10" s="0" t="n">
        <f aca="false">-F6*F9/100</f>
        <v>-4.119189762116</v>
      </c>
      <c r="G10" s="0" t="n">
        <f aca="false">-G6*G9/100</f>
        <v>-4.28395735260064</v>
      </c>
      <c r="H10" s="0" t="n">
        <f aca="false">-H6*H9/100</f>
        <v>-4.43389585994166</v>
      </c>
      <c r="I10" s="0" t="n">
        <f aca="false">-I6*I9/100</f>
        <v>-4.56691273573991</v>
      </c>
      <c r="J10" s="0" t="n">
        <f aca="false">-J6*J9/100</f>
        <v>-4.70392011781211</v>
      </c>
      <c r="K10" s="0" t="n">
        <f aca="false">-K6*K9/100</f>
        <v>-4.82151812075741</v>
      </c>
      <c r="L10" s="0" t="n">
        <f aca="false">-L6*L9/100</f>
        <v>-4.94205607377635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594.825704</v>
      </c>
      <c r="D11" s="0" t="n">
        <f aca="false">D8+D10+D24</f>
        <v>640.54386253</v>
      </c>
      <c r="E11" s="0" t="n">
        <f aca="false">E8+E10+E24</f>
        <v>689.1721332771</v>
      </c>
      <c r="F11" s="0" t="n">
        <f aca="false">F8+F10+F24</f>
        <v>737.334967418764</v>
      </c>
      <c r="G11" s="0" t="n">
        <f aca="false">G8+G10+G24</f>
        <v>777.538259497016</v>
      </c>
      <c r="H11" s="0" t="n">
        <f aca="false">H8+H10+H24</f>
        <v>815.836838229266</v>
      </c>
      <c r="I11" s="0" t="n">
        <f aca="false">I8+I10+I24</f>
        <v>840.311943376144</v>
      </c>
      <c r="J11" s="0" t="n">
        <f aca="false">J8+J10+J24</f>
        <v>865.521301677428</v>
      </c>
      <c r="K11" s="0" t="n">
        <f aca="false">K8+K10+K24</f>
        <v>887.159334219364</v>
      </c>
      <c r="L11" s="0" t="n">
        <f aca="false">L8+L10+L24</f>
        <v>909.338317574848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-112.436566</v>
      </c>
      <c r="D12" s="4" t="n">
        <f aca="false">-D6*Assumptions!D45/100</f>
        <v>-123.181512025</v>
      </c>
      <c r="E12" s="4" t="n">
        <f aca="false">-E6*Assumptions!E45/100</f>
        <v>-134.6658191461</v>
      </c>
      <c r="F12" s="4" t="n">
        <f aca="false">-F6*Assumptions!F45/100</f>
        <v>-144.17164167406</v>
      </c>
      <c r="G12" s="4" t="n">
        <f aca="false">-G6*Assumptions!G45/100</f>
        <v>-149.938507341022</v>
      </c>
      <c r="H12" s="4" t="n">
        <f aca="false">-H6*Assumptions!H45/100</f>
        <v>-155.186355097958</v>
      </c>
      <c r="I12" s="4" t="n">
        <f aca="false">-I6*Assumptions!I45/100</f>
        <v>-159.841945750897</v>
      </c>
      <c r="J12" s="4" t="n">
        <f aca="false">-J6*Assumptions!J45/100</f>
        <v>-164.637204123424</v>
      </c>
      <c r="K12" s="4" t="n">
        <f aca="false">-K6*Assumptions!K45/100</f>
        <v>-168.753134226509</v>
      </c>
      <c r="L12" s="4" t="n">
        <f aca="false">-L6*Assumptions!L45/100</f>
        <v>-172.971962582172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482.389138</v>
      </c>
      <c r="D13" s="0" t="n">
        <f aca="false">D11+D12</f>
        <v>517.362350505</v>
      </c>
      <c r="E13" s="0" t="n">
        <f aca="false">E11+E12</f>
        <v>554.506314131</v>
      </c>
      <c r="F13" s="0" t="n">
        <f aca="false">F11+F12</f>
        <v>593.163325744704</v>
      </c>
      <c r="G13" s="0" t="n">
        <f aca="false">G11+G12</f>
        <v>627.599752155994</v>
      </c>
      <c r="H13" s="0" t="n">
        <f aca="false">H11+H12</f>
        <v>660.650483131308</v>
      </c>
      <c r="I13" s="0" t="n">
        <f aca="false">I11+I12</f>
        <v>680.469997625247</v>
      </c>
      <c r="J13" s="0" t="n">
        <f aca="false">J11+J12</f>
        <v>700.884097554005</v>
      </c>
      <c r="K13" s="0" t="n">
        <f aca="false">K11+K12</f>
        <v>718.406199992855</v>
      </c>
      <c r="L13" s="0" t="n">
        <f aca="false">L11+L12</f>
        <v>736.366354992676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29</v>
      </c>
      <c r="D14" s="4" t="n">
        <f aca="false">Assumptions!D47</f>
        <v>29</v>
      </c>
      <c r="E14" s="4" t="n">
        <f aca="false">Assumptions!E47</f>
        <v>29</v>
      </c>
      <c r="F14" s="4" t="n">
        <f aca="false">Assumptions!F47</f>
        <v>29</v>
      </c>
      <c r="G14" s="4" t="n">
        <f aca="false">Assumptions!G47</f>
        <v>29</v>
      </c>
      <c r="H14" s="4" t="n">
        <f aca="false">Assumptions!H47</f>
        <v>29</v>
      </c>
      <c r="I14" s="4" t="n">
        <f aca="false">Assumptions!I47</f>
        <v>29</v>
      </c>
      <c r="J14" s="4" t="n">
        <f aca="false">Assumptions!J47</f>
        <v>29</v>
      </c>
      <c r="K14" s="4" t="n">
        <f aca="false">Assumptions!K47</f>
        <v>29</v>
      </c>
      <c r="L14" s="4" t="n">
        <f aca="false">Assumptions!L47</f>
        <v>29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342.49628798</v>
      </c>
      <c r="D15" s="0" t="n">
        <f aca="false">D13-MAX(0,D13)*D14/100</f>
        <v>367.32726885855</v>
      </c>
      <c r="E15" s="0" t="n">
        <f aca="false">E13-MAX(0,E13)*E14/100</f>
        <v>393.69948303301</v>
      </c>
      <c r="F15" s="0" t="n">
        <f aca="false">F13-MAX(0,F13)*F14/100</f>
        <v>421.14596127874</v>
      </c>
      <c r="G15" s="0" t="n">
        <f aca="false">G13-MAX(0,G13)*G14/100</f>
        <v>445.595824030756</v>
      </c>
      <c r="H15" s="0" t="n">
        <f aca="false">H13-MAX(0,H13)*H14/100</f>
        <v>469.061843023229</v>
      </c>
      <c r="I15" s="0" t="n">
        <f aca="false">I13-MAX(0,I13)*I14/100</f>
        <v>483.133698313925</v>
      </c>
      <c r="J15" s="0" t="n">
        <f aca="false">J13-MAX(0,J13)*J14/100</f>
        <v>497.627709263343</v>
      </c>
      <c r="K15" s="0" t="n">
        <f aca="false">K13-MAX(0,K13)*K14/100</f>
        <v>510.068401994927</v>
      </c>
      <c r="L15" s="0" t="n">
        <f aca="false">L13-MAX(0,L13)*L14/100</f>
        <v>522.8201120448</v>
      </c>
    </row>
    <row r="16" customFormat="false" ht="15" hidden="false" customHeight="false" outlineLevel="0" collapsed="false">
      <c r="A16" s="0" t="s">
        <v>124</v>
      </c>
      <c r="C16" s="0" t="n">
        <f aca="false">-C12</f>
        <v>112.436566</v>
      </c>
      <c r="D16" s="0" t="n">
        <f aca="false">-D12</f>
        <v>123.181512025</v>
      </c>
      <c r="E16" s="0" t="n">
        <f aca="false">-E12</f>
        <v>134.6658191461</v>
      </c>
      <c r="F16" s="0" t="n">
        <f aca="false">-F12</f>
        <v>144.17164167406</v>
      </c>
      <c r="G16" s="0" t="n">
        <f aca="false">-G12</f>
        <v>149.938507341022</v>
      </c>
      <c r="H16" s="0" t="n">
        <f aca="false">-H12</f>
        <v>155.186355097958</v>
      </c>
      <c r="I16" s="0" t="n">
        <f aca="false">-I12</f>
        <v>159.841945750897</v>
      </c>
      <c r="J16" s="0" t="n">
        <f aca="false">-J12</f>
        <v>164.637204123424</v>
      </c>
      <c r="K16" s="0" t="n">
        <f aca="false">-K12</f>
        <v>168.753134226509</v>
      </c>
      <c r="L16" s="0" t="n">
        <f aca="false">-L12</f>
        <v>172.971962582172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-181.3493</v>
      </c>
      <c r="D17" s="4" t="n">
        <f aca="false">-D6*Assumptions!D46/100</f>
        <v>-180.034517575</v>
      </c>
      <c r="E17" s="4" t="n">
        <f aca="false">-E6*Assumptions!E46/100</f>
        <v>-168.332273932625</v>
      </c>
      <c r="F17" s="4" t="n">
        <f aca="false">-F6*Assumptions!F46/100</f>
        <v>-164.76759048464</v>
      </c>
      <c r="G17" s="4" t="n">
        <f aca="false">-G6*Assumptions!G46/100</f>
        <v>-171.358294104026</v>
      </c>
      <c r="H17" s="4" t="n">
        <f aca="false">-H6*Assumptions!H46/100</f>
        <v>-172.921938537725</v>
      </c>
      <c r="I17" s="4" t="n">
        <f aca="false">-I6*Assumptions!I46/100</f>
        <v>-171.259227590247</v>
      </c>
      <c r="J17" s="4" t="n">
        <f aca="false">-J6*Assumptions!J46/100</f>
        <v>-176.397004417954</v>
      </c>
      <c r="K17" s="4" t="n">
        <f aca="false">-K6*Assumptions!K46/100</f>
        <v>-180.806929528403</v>
      </c>
      <c r="L17" s="4" t="n">
        <f aca="false">-L6*Assumptions!L46/100</f>
        <v>-185.327102766613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-19.52325</v>
      </c>
      <c r="D18" s="4" t="n">
        <f aca="false">(D6-C6)*Assumptions!$B$51/100</f>
        <v>-20.40179625</v>
      </c>
      <c r="E18" s="4" t="n">
        <f aca="false">(E6-D6)*Assumptions!$B$51/100</f>
        <v>-21.31987708125</v>
      </c>
      <c r="F18" s="4" t="n">
        <f aca="false">(F6-E6)*Assumptions!$B$51/100</f>
        <v>-19.80379693325</v>
      </c>
      <c r="G18" s="4" t="n">
        <f aca="false">(G6-F6)*Assumptions!$B$51/100</f>
        <v>-20.59594881058</v>
      </c>
      <c r="H18" s="4" t="n">
        <f aca="false">(H6-G6)*Assumptions!$B$51/100</f>
        <v>-18.7423134176278</v>
      </c>
      <c r="I18" s="4" t="n">
        <f aca="false">(I6-H6)*Assumptions!$B$51/100</f>
        <v>-16.6271094747813</v>
      </c>
      <c r="J18" s="4" t="n">
        <f aca="false">(J6-I6)*Assumptions!$B$51/100</f>
        <v>-17.1259227590247</v>
      </c>
      <c r="K18" s="4" t="n">
        <f aca="false">(K6-J6)*Assumptions!$B$51/100</f>
        <v>-14.6997503681628</v>
      </c>
      <c r="L18" s="4" t="n">
        <f aca="false">(L6-K6)*Assumptions!$B$51/100</f>
        <v>-15.0672441273668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254.06030398</v>
      </c>
      <c r="D19" s="0" t="n">
        <f aca="false">D15+D16+D17+D18</f>
        <v>290.07246705855</v>
      </c>
      <c r="E19" s="0" t="n">
        <f aca="false">E15+E16+E17+E18</f>
        <v>338.713151165235</v>
      </c>
      <c r="F19" s="0" t="n">
        <f aca="false">F15+F16+F17+F18</f>
        <v>380.74621553491</v>
      </c>
      <c r="G19" s="0" t="n">
        <f aca="false">G15+G16+G17+G18</f>
        <v>403.580088457172</v>
      </c>
      <c r="H19" s="0" t="n">
        <f aca="false">H15+H16+H17+H18</f>
        <v>432.583946165834</v>
      </c>
      <c r="I19" s="0" t="n">
        <f aca="false">I15+I16+I17+I18</f>
        <v>455.089306999794</v>
      </c>
      <c r="J19" s="0" t="n">
        <f aca="false">J15+J16+J17+J18</f>
        <v>468.741986209788</v>
      </c>
      <c r="K19" s="0" t="n">
        <f aca="false">K15+K16+K17+K18</f>
        <v>483.31485632487</v>
      </c>
      <c r="L19" s="0" t="n">
        <f aca="false">L15+L16+L17+L18</f>
        <v>495.397727732992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235.241022203704</v>
      </c>
      <c r="D21" s="0" t="n">
        <f aca="false">D19*D20</f>
        <v>248.690386710005</v>
      </c>
      <c r="E21" s="0" t="n">
        <f aca="false">E19*E20</f>
        <v>268.881419852502</v>
      </c>
      <c r="F21" s="0" t="n">
        <f aca="false">F19*F20</f>
        <v>279.859834757431</v>
      </c>
      <c r="G21" s="0" t="n">
        <f aca="false">G19*G20</f>
        <v>274.669826861347</v>
      </c>
      <c r="H21" s="0" t="n">
        <f aca="false">H19*H20</f>
        <v>272.601263950945</v>
      </c>
      <c r="I21" s="0" t="n">
        <f aca="false">I19*I20</f>
        <v>265.540239620881</v>
      </c>
      <c r="J21" s="0" t="n">
        <f aca="false">J19*J20</f>
        <v>253.246710008803</v>
      </c>
      <c r="K21" s="0" t="n">
        <f aca="false">K19*K20</f>
        <v>241.777757675806</v>
      </c>
      <c r="L21" s="0" t="n">
        <f aca="false">L19*L20</f>
        <v>229.465001497871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1.15</v>
      </c>
      <c r="D23" s="4" t="n">
        <f aca="false">Assumptions!D44</f>
        <v>1.15</v>
      </c>
      <c r="E23" s="4" t="n">
        <f aca="false">Assumptions!E44</f>
        <v>1.15</v>
      </c>
      <c r="F23" s="4" t="n">
        <f aca="false">Assumptions!F44</f>
        <v>1.15</v>
      </c>
      <c r="G23" s="4" t="n">
        <f aca="false">Assumptions!G44</f>
        <v>1.15</v>
      </c>
      <c r="H23" s="4" t="n">
        <f aca="false">Assumptions!H44</f>
        <v>1.15</v>
      </c>
      <c r="I23" s="4" t="n">
        <f aca="false">Assumptions!I44</f>
        <v>1.15</v>
      </c>
      <c r="J23" s="4" t="n">
        <f aca="false">Assumptions!J44</f>
        <v>1.15</v>
      </c>
      <c r="K23" s="4" t="n">
        <f aca="false">Assumptions!K44</f>
        <v>1.15</v>
      </c>
      <c r="L23" s="4" t="n">
        <f aca="false">Assumptions!L44</f>
        <v>1.15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-208.551695</v>
      </c>
      <c r="D24" s="0" t="n">
        <f aca="false">-D6*D23/100</f>
        <v>-217.936521275</v>
      </c>
      <c r="E24" s="0" t="n">
        <f aca="false">-E6*E23/100</f>
        <v>-227.743664732375</v>
      </c>
      <c r="F24" s="0" t="n">
        <f aca="false">-F6*F23/100</f>
        <v>-236.85341132167</v>
      </c>
      <c r="G24" s="0" t="n">
        <f aca="false">-G6*G23/100</f>
        <v>-246.327547774537</v>
      </c>
      <c r="H24" s="0" t="n">
        <f aca="false">-H6*H23/100</f>
        <v>-254.949011946646</v>
      </c>
      <c r="I24" s="0" t="n">
        <f aca="false">-I6*I23/100</f>
        <v>-262.597482305045</v>
      </c>
      <c r="J24" s="0" t="n">
        <f aca="false">-J6*J23/100</f>
        <v>-270.475406774196</v>
      </c>
      <c r="K24" s="0" t="n">
        <f aca="false">-K6*K23/100</f>
        <v>-277.237291943551</v>
      </c>
      <c r="L24" s="0" t="n">
        <f aca="false">-L6*L23/100</f>
        <v>-284.16822424214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2569.9734631393</v>
      </c>
    </row>
    <row r="31" customFormat="false" ht="15" hidden="false" customHeight="false" outlineLevel="0" collapsed="false">
      <c r="A31" s="0" t="s">
        <v>133</v>
      </c>
      <c r="B31" s="0" t="n">
        <f aca="false">L19</f>
        <v>495.397727732992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9695.64124277427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7926.36364372787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7926.36364372787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3671.44002396594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6241.41348710524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5517.71348710524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4.99430981816187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0.76477378733635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28.3966271626939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44.8015088833988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5.06056446700881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4155.27481833183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1.95140318376492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1.99922116846595</v>
      </c>
      <c r="C4" s="0" t="n">
        <f aca="false">B4/Assumptions!$B$2-1</f>
        <v>-0.293561424570334</v>
      </c>
      <c r="D4" s="4" t="n">
        <f aca="false">Assumptions!$B$24</f>
        <v>0.25</v>
      </c>
      <c r="E4" s="4" t="n">
        <f aca="false">DCF_Bear!$B$43</f>
        <v>2.04645712560515</v>
      </c>
      <c r="F4" s="4" t="n">
        <f aca="false">DCF_Bear!$B$47</f>
        <v>0.81338659543941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3.86082499034118</v>
      </c>
      <c r="C5" s="0" t="n">
        <f aca="false">B5/Assumptions!$B$2-1</f>
        <v>0.364249113194762</v>
      </c>
      <c r="D5" s="4" t="n">
        <f aca="false">Assumptions!$B$38</f>
        <v>0.5</v>
      </c>
      <c r="E5" s="4" t="n">
        <f aca="false">DCF_Base!$B$43</f>
        <v>3.92066832225098</v>
      </c>
      <c r="F5" s="4" t="n">
        <f aca="false">DCF_Base!$B$47</f>
        <v>1.53677508085475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4.99430981816187</v>
      </c>
      <c r="C6" s="0" t="n">
        <f aca="false">B6/Assumptions!$B$2-1</f>
        <v>0.76477378733635</v>
      </c>
      <c r="D6" s="4" t="n">
        <f aca="false">Assumptions!$B$52</f>
        <v>0.25</v>
      </c>
      <c r="E6" s="4" t="n">
        <f aca="false">DCF_Bull!$B$43</f>
        <v>5.06056446700881</v>
      </c>
      <c r="F6" s="4" t="n">
        <f aca="false">DCF_Bull!$B$47</f>
        <v>1.95140318376492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3.67879524182755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3.73708955927898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0.230726416131245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-1456.05142822834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1.45958498522846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3.86082499034118</v>
      </c>
      <c r="C15" s="3" t="n">
        <v>8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3.54486113426667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3.07061276264473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2.6185531947595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2.26210054636491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1.53677508085475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4.58864237413361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4.58864237413361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4.58864237413361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4.58864237413361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4.58864237413361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4.20759753518237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4.20759753518237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4.20759753518237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4.20759753518237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4.20759753518237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3.86082499034118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3.86082499034118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3.86082499034118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3.86082499034118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3.86082499034118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3.32068203294727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3.479354254011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3.54486113426667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3.54486113426667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3.54486113426667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2.82989157026354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2.94272962919222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3.07061276264473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3.21676491516189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3.25662459312111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2026-09-24T08:44:59Z</dcterms:created>
  <dc:creator>openpyxl</dc:creator>
  <dc:description/>
  <dc:language>en-NZ</dc:language>
  <cp:lastModifiedBy/>
  <dcterms:modified xsi:type="dcterms:W3CDTF">2026-09-24T08:44:59Z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