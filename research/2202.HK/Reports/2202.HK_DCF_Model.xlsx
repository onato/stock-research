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<sst xmlns="http://schemas.openxmlformats.org/spreadsheetml/2006/main" count="358" uniqueCount="166">
  <si>
    <t xml:space="preserve">Ticker</t>
  </si>
  <si>
    <t xml:space="preserve">2202.HK</t>
  </si>
  <si>
    <t xml:space="preserve">Company</t>
  </si>
  <si>
    <t xml:space="preserve">China Vanke Co., Ltd. (H Shares)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</si>
  <si>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</si>
  <si>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</si>
  <si>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</si>
  <si>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</si>
  <si>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HKEX regular close (Yahoo regularMarketTime); 52-week range 2.10-4.74</t>
  </si>
  <si>
    <t xml:space="preserve">Balance sheet date</t>
  </si>
  <si>
    <t xml:space="preserve">2026-06-30</t>
  </si>
  <si>
    <t xml:space="preserve">Model</t>
  </si>
  <si>
    <t xml:space="preserve">Distressed asset waterfall (bear) plus capitalised post-restructuring attributable earnings at cost of equity (engine route)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</si>
  <si>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</si>
  <si>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</si>
  <si>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</si>
  <si>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</si>
  <si>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</si>
  <si>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</si>
  <si>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</si>
  <si>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</si>
  <si>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</si>
  <si>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2026-10-17T22:45:13Z</t>
  </si>
  <si>
    <t xml:space="preserve">Drivers file</t>
  </si>
  <si>
    <t xml:space="preserve">2202.HK_Drivers.json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</si>
  <si>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</si>
  <si>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</si>
  <si>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</si>
  <si>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For a developer in selective default with a going-concern qualification, equity is a call option on avoiding liquidation. The asset waterfall shows that on any realistic haircut, liquidation leaves shareholders nothing (break-even needs ~89% blended asset recovery). So the value rests entirely on how probable a state-managed survival is and how much dilution it brings. At HKD2.43 (P/B ~0.24 on H1 2026 book), the H-shares are priced close to the bull case, which leaves no margin of safety against the 30% wipe-out branch.
key_risks_to_valuation: Shenzhen Metro / Shenzhen SASAC stance is the single dominant variable: a decision to stop lending moves the base toward the bear, and an explicit guarantee moves it toward the bull; Dilution ratio in any debt-for-equity swap is unknowable today; base assumes existing holders keep 50%, and every 10 points of dilution moves the base IV ~RMB0.13; Inventory and JV/receivable recovery rates: book values already carry large impairments, but 2025 bulk disposals cleared at discounts and FY2025 credit impairments were RMB33.7bn; Further losses before stabilisation could exceed the RMB35bn assumed; H1 2026 alone was RMB14.95bn; Offshore USD bond cross-default acceleration could force a court process regardless of onshore support; H-share holders may be treated differently from A-share holders in a restructuring (the H line trades at a ~43% discount to the A line)</t>
  </si>
  <si>
    <t xml:space="preserve">Data sources</t>
  </si>
  <si>
    <t xml:space="preserve">price: Yahoo Finance chart API at inputs.price_as_of; 52-week range 2.10-4.74; FX from Yahoo CNYHKD=X; A-share parity from Yahoo 000002.SZ
financials: 2202.HK_Metrics.csv (core_metrics, FY2017-H1 FY2026); balance sheet and going-concern paragraph from 2202.HK_HalfYear_H1-2026.txt (Deloitte review report dated 27 August 2026, lines 4792-4800)
qualitative: 2202.HK_Analysis.json (2026-10-18): S&amp;P SD Dec 2025, Shenzhen Metro support cap Nov 2025, bond extensions, FY2025 impairments</t>
  </si>
  <si>
    <t xml:space="preserve">Scenario narrative: bear</t>
  </si>
  <si>
    <t xml:space="preserve">Liquidation or holistic restructuring with equity wiped out (30%). Shenzhen Metro has said further open-ended support exceeds its risk tolerance; S&amp;P already rates Vanke SD, and advisers are urging offshore bondholders to call cross-defaults. With RMB178.9bn of borrowings due within a year against RMB53.1bn of cash, a creditor-led process is plausible. The asset waterfall shows recovered assets of ~RMB468bn against ~RMB742bn of claims at bear haircuts, and even at base haircuts (65% inventory, 60% receivables, 70% investment property) creditors are RMB127bn short. Equity value 0.</t>
  </si>
  <si>
    <t xml:space="preserve">Scenario narrative: base</t>
  </si>
  <si>
    <t xml:space="preserve">State-managed extend-and-dilute (50%). Onshore bonds keep being extended with Shenzhen Metro guarantees, banks roll project loans under the financing-coordination ('whitelist') mechanism, and the shareholder loans (~RMB33.5bn disclosed, more drawn in 2026) are eventually converted or swapped into equity, leaving existing A and H holders with about half the company. Losses continue through 2028 as the legacy 2017-2021 land bank is worked through; the survivor is a smaller developer plus Onewo property services and rental/logistics assets earning a ~4% ROE on ~RMB67bn of equity, capitalised at a 12.5% cost of equity after a 3-year work-out. Roughly RMB0.6 per share, a P/B of ~0.07x on current book, in line with where restructured private developers trade.</t>
  </si>
  <si>
    <t xml:space="preserve">Scenario narrative: bull</t>
  </si>
  <si>
    <t xml:space="preserve">Full state backstop (20%). Shenzhen SASAC treats Vanke as too systemically important to restructure: public debt is extended at par, shareholder loans are subordinated or converted with only ~15% dilution, and the sector bottoms in 2027. Equity bottoms at ~RMB80bn and earns 6%, comparable to COLI or CR Land, capitalised at 12.5% after a 2-year work-out. Roughly RMB2.1 per share, close to the current H-share price: the market is pricing something near this outcome.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</si>
  <si>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</si>
  <si>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</si>
  <si>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</si>
  <si>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</si>
  <si>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</si>
  <si>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</si>
  <si>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</si>
  <si>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</si>
  <si>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</si>
  <si>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</si>
  <si>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</si>
  <si>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</si>
  <si>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</si>
  <si>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</si>
  <si>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</si>
  <si>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</si>
  <si>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</si>
  <si>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</si>
  <si>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</si>
  <si>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</si>
  <si>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</si>
  <si>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</si>
  <si>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</si>
  <si>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</si>
  <si>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</si>
  <si>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</si>
  <si>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</si>
  <si>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NonControllingInterestProfit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</si>
  <si>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</si>
  <si>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</si>
  <si>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</si>
  <si>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</si>
  <si>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</si>
  <si>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</si>
  <si>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</si>
  <si>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</si>
  <si>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</si>
  <si>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</si>
  <si>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</si>
  <si>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</si>
  <si>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</si>
  <si>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</si>
  <si>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</si>
  <si>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</si>
  <si>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</si>
  <si>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</si>
  <si>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</si>
  <si>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</si>
  <si>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</si>
  <si>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</si>
  <si>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</si>
  <si>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</si>
  <si>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</si>
  <si>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</si>
  <si>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</si>
  <si>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</si>
  <si>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</si>
  <si>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</si>
  <si>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</si>
  <si>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</si>
  <si>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</si>
  <si>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</si>
  <si>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</si>
  <si>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</si>
  <si>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</si>
  <si>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</si>
  <si>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</si>
  <si>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</si>
  <si>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</si>
  <si>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</si>
  <si>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</si>
  <si>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</si>
  <si>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</si>
  <si>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</si>
  <si>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2202.HK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</si>
  <si>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</si>
  <si>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</si>
  <si>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</si>
  <si>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</si>
  <si>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</si>
  <si>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</si>
  <si>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</si>
  <si>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</si>
  <si>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</si>
  <si>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</si>
  <si>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</si>
  <si>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</si>
  <si>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</si>
  <si>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</si>
  <si>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</si>
  <si>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</si>
  <si>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</si>
  <si>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</si>
  <si>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</si>
  <si>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</si>
  <si>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</si>
  <si>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</si>
  <si>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</si>
  <si>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</si>
  <si>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</si>
  <si>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</si>
  <si>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</si>
  <si>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</si>
  <si>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</si>
  <si>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</si>
  <si>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2202.HK owner-FCF component DCF: base case (millions, CNY)</t>
  </si>
  <si>
    <t xml:space="preserve">2202.HK owner-FCF component DCF: bull case (millions, CNY)</t>
  </si>
  <si>
    <t xml:space="preserve">2202.HK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</si>
  <si>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</si>
  <si>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</si>
  <si>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</si>
  <si>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</si>
  <si>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</si>
  <si>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</si>
  <si>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</si>
  <si>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</si>
  <si>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</si>
  <si>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</si>
  <si>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</si>
  <si>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</si>
  <si>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</si>
  <si>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</si>
  <si>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</si>
  <si>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</si>
  <si>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</si>
  <si>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</si>
  <si>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12.5%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</si>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</sst>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2.43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237345</v>
      </c>
      <c r="C2" s="0" t="n">
        <v>160621.5</v>
      </c>
      <c r="D2" s="0" t="n">
        <v>76723.5</v>
      </c>
      <c r="E2" s="0" t="n">
        <v>32.3</v>
      </c>
      <c r="F2" s="0" t="n">
        <v>64173.3</v>
      </c>
      <c r="G2" s="0" t="n">
        <v>27</v>
      </c>
      <c r="I2" s="0" t="n">
        <v>28051.8</v>
      </c>
      <c r="J2" s="0" t="n">
        <v>11.8</v>
      </c>
      <c r="K2" s="0" t="n">
        <v>2.54</v>
      </c>
      <c r="L2" s="0" t="n">
        <v>82322.8</v>
      </c>
      <c r="M2" s="0" t="n">
        <v>2360.5</v>
      </c>
      <c r="N2" s="0" t="n">
        <v>79962.4</v>
      </c>
      <c r="O2" s="0" t="n">
        <v>132675.3</v>
      </c>
      <c r="P2" s="0" t="n">
        <v>1165439.4</v>
      </c>
      <c r="Q2" s="0" t="n">
        <v>978765.4</v>
      </c>
      <c r="R2" s="0" t="n">
        <v>190624.4</v>
      </c>
      <c r="S2" s="0" t="n">
        <v>164326</v>
      </c>
      <c r="T2" s="0" t="n">
        <v>11039.152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297083.1</v>
      </c>
      <c r="C3" s="0" t="n">
        <v>187131</v>
      </c>
      <c r="D3" s="0" t="n">
        <v>109952</v>
      </c>
      <c r="E3" s="0" t="n">
        <v>37</v>
      </c>
      <c r="F3" s="0" t="n">
        <v>88966.4</v>
      </c>
      <c r="G3" s="0" t="n">
        <v>29.9</v>
      </c>
      <c r="I3" s="0" t="n">
        <v>33772.7</v>
      </c>
      <c r="J3" s="0" t="n">
        <v>11.4</v>
      </c>
      <c r="K3" s="0" t="n">
        <v>3.06</v>
      </c>
      <c r="L3" s="0" t="n">
        <v>33618.2</v>
      </c>
      <c r="M3" s="0" t="n">
        <v>5896.7</v>
      </c>
      <c r="N3" s="0" t="n">
        <v>27721.4</v>
      </c>
      <c r="O3" s="0" t="n">
        <v>155764.1</v>
      </c>
      <c r="P3" s="0" t="n">
        <v>1528663.4</v>
      </c>
      <c r="Q3" s="0" t="n">
        <v>1293042.7</v>
      </c>
      <c r="R3" s="0" t="n">
        <v>261207.6</v>
      </c>
      <c r="S3" s="0" t="n">
        <v>175668.2</v>
      </c>
      <c r="T3" s="0" t="n">
        <v>11039.152</v>
      </c>
      <c r="AA3" s="0" t="s">
        <v>18</v>
      </c>
      <c r="AB3" s="0" t="s">
        <v>14</v>
      </c>
      <c r="AC3" s="0" t="n">
        <v>15499.643</v>
      </c>
    </row>
    <row r="4" customFormat="false" ht="15" hidden="false" customHeight="false" outlineLevel="0" collapsed="false">
      <c r="A4" s="0" t="s">
        <v>67</v>
      </c>
      <c r="B4" s="0" t="n">
        <v>367893.9</v>
      </c>
      <c r="C4" s="0" t="n">
        <v>235697</v>
      </c>
      <c r="D4" s="0" t="n">
        <v>132197</v>
      </c>
      <c r="E4" s="0" t="n">
        <v>35.9</v>
      </c>
      <c r="F4" s="0" t="n">
        <v>111581</v>
      </c>
      <c r="G4" s="0" t="n">
        <v>30.3</v>
      </c>
      <c r="I4" s="0" t="n">
        <v>38872.1</v>
      </c>
      <c r="J4" s="0" t="n">
        <v>10.6</v>
      </c>
      <c r="K4" s="0" t="n">
        <v>3.47</v>
      </c>
      <c r="L4" s="0" t="n">
        <v>45686.8</v>
      </c>
      <c r="M4" s="0" t="n">
        <v>6244.2</v>
      </c>
      <c r="N4" s="0" t="n">
        <v>39442.6</v>
      </c>
      <c r="O4" s="0" t="n">
        <v>188058.5</v>
      </c>
      <c r="P4" s="0" t="n">
        <v>1730003.3</v>
      </c>
      <c r="Q4" s="0" t="n">
        <v>1459424.2</v>
      </c>
      <c r="R4" s="0" t="n">
        <v>259051.1</v>
      </c>
      <c r="S4" s="0" t="n">
        <v>159738.7</v>
      </c>
      <c r="T4" s="0" t="n">
        <v>11214.479</v>
      </c>
      <c r="AA4" s="0" t="s">
        <v>18</v>
      </c>
      <c r="AB4" s="0" t="s">
        <v>14</v>
      </c>
      <c r="AC4" s="0" t="n">
        <v>16259.528</v>
      </c>
    </row>
    <row r="5" customFormat="false" ht="15" hidden="false" customHeight="false" outlineLevel="0" collapsed="false">
      <c r="A5" s="0" t="s">
        <v>68</v>
      </c>
      <c r="B5" s="0" t="n">
        <v>419111.7</v>
      </c>
      <c r="C5" s="0" t="n">
        <v>298531</v>
      </c>
      <c r="D5" s="0" t="n">
        <v>120580</v>
      </c>
      <c r="E5" s="0" t="n">
        <v>28.8</v>
      </c>
      <c r="F5" s="0" t="n">
        <v>102773</v>
      </c>
      <c r="G5" s="0" t="n">
        <v>24.5</v>
      </c>
      <c r="I5" s="0" t="n">
        <v>41515.5</v>
      </c>
      <c r="J5" s="0" t="n">
        <v>9.9</v>
      </c>
      <c r="K5" s="0" t="n">
        <v>3.62</v>
      </c>
      <c r="L5" s="0" t="n">
        <v>53188</v>
      </c>
      <c r="M5" s="0" t="n">
        <v>7208.3</v>
      </c>
      <c r="N5" s="0" t="n">
        <v>45979.7</v>
      </c>
      <c r="O5" s="0" t="n">
        <v>224511</v>
      </c>
      <c r="P5" s="0" t="n">
        <v>1869241</v>
      </c>
      <c r="Q5" s="0" t="n">
        <v>1519396.5</v>
      </c>
      <c r="R5" s="0" t="n">
        <v>259602.1</v>
      </c>
      <c r="S5" s="0" t="n">
        <v>185662.4</v>
      </c>
      <c r="T5" s="0" t="n">
        <v>11459.938</v>
      </c>
      <c r="AA5" s="0" t="s">
        <v>18</v>
      </c>
      <c r="AB5" s="0" t="s">
        <v>14</v>
      </c>
      <c r="AC5" s="0" t="n">
        <v>17782.571</v>
      </c>
    </row>
    <row r="6" customFormat="false" ht="15" hidden="false" customHeight="false" outlineLevel="0" collapsed="false">
      <c r="A6" s="0" t="s">
        <v>69</v>
      </c>
      <c r="B6" s="0" t="n">
        <v>452797.8</v>
      </c>
      <c r="C6" s="0" t="n">
        <v>357106</v>
      </c>
      <c r="D6" s="0" t="n">
        <v>95691.3</v>
      </c>
      <c r="E6" s="0" t="n">
        <v>21.1</v>
      </c>
      <c r="F6" s="0" t="n">
        <v>73325.4</v>
      </c>
      <c r="G6" s="0" t="n">
        <v>16.2</v>
      </c>
      <c r="I6" s="0" t="n">
        <v>22524</v>
      </c>
      <c r="J6" s="0" t="n">
        <v>5</v>
      </c>
      <c r="K6" s="0" t="n">
        <v>1.94</v>
      </c>
      <c r="L6" s="0" t="n">
        <v>4113.2</v>
      </c>
      <c r="M6" s="0" t="n">
        <v>9577.9</v>
      </c>
      <c r="N6" s="0" t="n">
        <v>-5464.7</v>
      </c>
      <c r="O6" s="0" t="n">
        <v>235953.1</v>
      </c>
      <c r="P6" s="0" t="n">
        <v>1938692.8</v>
      </c>
      <c r="Q6" s="0" t="n">
        <v>1545920</v>
      </c>
      <c r="R6" s="0" t="n">
        <v>267761.3</v>
      </c>
      <c r="S6" s="0" t="n">
        <v>140708.5</v>
      </c>
      <c r="T6" s="0" t="n">
        <v>11620.282</v>
      </c>
      <c r="AA6" s="0" t="s">
        <v>18</v>
      </c>
      <c r="AB6" s="0" t="s">
        <v>14</v>
      </c>
      <c r="AC6" s="0" t="n">
        <v>15545.494</v>
      </c>
    </row>
    <row r="7" customFormat="false" ht="15" hidden="false" customHeight="false" outlineLevel="0" collapsed="false">
      <c r="A7" s="0" t="s">
        <v>70</v>
      </c>
      <c r="B7" s="0" t="n">
        <v>503838.4</v>
      </c>
      <c r="C7" s="0" t="n">
        <v>405785</v>
      </c>
      <c r="D7" s="0" t="n">
        <v>98053.7</v>
      </c>
      <c r="E7" s="0" t="n">
        <v>19.5</v>
      </c>
      <c r="F7" s="0" t="n">
        <v>80081</v>
      </c>
      <c r="G7" s="0" t="n">
        <v>15.9</v>
      </c>
      <c r="I7" s="0" t="n">
        <v>22617.8</v>
      </c>
      <c r="J7" s="0" t="n">
        <v>4.5</v>
      </c>
      <c r="K7" s="0" t="n">
        <v>1.95</v>
      </c>
      <c r="L7" s="0" t="n">
        <v>2750.4</v>
      </c>
      <c r="M7" s="0" t="n">
        <v>12826.7</v>
      </c>
      <c r="N7" s="0" t="n">
        <v>-10076.3</v>
      </c>
      <c r="O7" s="0" t="n">
        <v>242691.3</v>
      </c>
      <c r="P7" s="0" t="n">
        <v>1757163.5</v>
      </c>
      <c r="Q7" s="0" t="n">
        <v>1352172</v>
      </c>
      <c r="R7" s="0" t="n">
        <v>315685.7</v>
      </c>
      <c r="S7" s="0" t="n">
        <v>134424.7</v>
      </c>
      <c r="T7" s="0" t="n">
        <v>11593.943</v>
      </c>
      <c r="AA7" s="0" t="s">
        <v>18</v>
      </c>
      <c r="AB7" s="0" t="s">
        <v>14</v>
      </c>
      <c r="AC7" s="0" t="n">
        <v>14933.13</v>
      </c>
    </row>
    <row r="8" customFormat="false" ht="15" hidden="false" customHeight="false" outlineLevel="0" collapsed="false">
      <c r="A8" s="0" t="s">
        <v>71</v>
      </c>
      <c r="B8" s="0" t="n">
        <v>465739</v>
      </c>
      <c r="C8" s="0" t="n">
        <v>398291</v>
      </c>
      <c r="D8" s="0" t="n">
        <v>67448.2</v>
      </c>
      <c r="E8" s="0" t="n">
        <v>14.5</v>
      </c>
      <c r="F8" s="0" t="n">
        <v>50648.7</v>
      </c>
      <c r="G8" s="0" t="n">
        <v>10.9</v>
      </c>
      <c r="I8" s="0" t="n">
        <v>12162.7</v>
      </c>
      <c r="J8" s="0" t="n">
        <v>2.6</v>
      </c>
      <c r="K8" s="0" t="n">
        <v>1.03</v>
      </c>
      <c r="L8" s="0" t="n">
        <v>3912.3</v>
      </c>
      <c r="M8" s="0" t="n">
        <v>8334.2</v>
      </c>
      <c r="N8" s="0" t="n">
        <v>-4421.8</v>
      </c>
      <c r="O8" s="0" t="n">
        <v>250784.6</v>
      </c>
      <c r="P8" s="0" t="n">
        <v>1504872.2</v>
      </c>
      <c r="Q8" s="0" t="n">
        <v>1101938.6</v>
      </c>
      <c r="R8" s="0" t="n">
        <v>321666</v>
      </c>
      <c r="S8" s="0" t="n">
        <v>96942.6</v>
      </c>
      <c r="T8" s="0" t="n">
        <v>11782.753</v>
      </c>
      <c r="AA8" s="0" t="s">
        <v>18</v>
      </c>
      <c r="AB8" s="0" t="s">
        <v>14</v>
      </c>
      <c r="AC8" s="0" t="n">
        <v>8292.874</v>
      </c>
    </row>
    <row r="9" customFormat="false" ht="15" hidden="false" customHeight="false" outlineLevel="0" collapsed="false">
      <c r="A9" s="0" t="s">
        <v>72</v>
      </c>
      <c r="B9" s="0" t="n">
        <v>343176</v>
      </c>
      <c r="C9" s="0" t="n">
        <v>315334</v>
      </c>
      <c r="D9" s="0" t="n">
        <v>27842.3</v>
      </c>
      <c r="E9" s="0" t="n">
        <v>8.1</v>
      </c>
      <c r="F9" s="0" t="n">
        <v>-20815.7</v>
      </c>
      <c r="G9" s="0" t="n">
        <v>-6.1</v>
      </c>
      <c r="I9" s="0" t="n">
        <v>-49478.4</v>
      </c>
      <c r="J9" s="0" t="n">
        <v>-14.4</v>
      </c>
      <c r="K9" s="0" t="n">
        <v>-4.17</v>
      </c>
      <c r="L9" s="0" t="n">
        <v>3799.8</v>
      </c>
      <c r="M9" s="0" t="n">
        <v>4519.6</v>
      </c>
      <c r="N9" s="0" t="n">
        <v>-719.8</v>
      </c>
      <c r="O9" s="0" t="n">
        <v>202666.5</v>
      </c>
      <c r="P9" s="0" t="n">
        <v>1286259.9</v>
      </c>
      <c r="Q9" s="0" t="n">
        <v>947405.2</v>
      </c>
      <c r="R9" s="0" t="n">
        <v>363130</v>
      </c>
      <c r="S9" s="0" t="n">
        <v>84009.4</v>
      </c>
      <c r="T9" s="0" t="n">
        <v>11857.753</v>
      </c>
      <c r="AA9" s="0" t="s">
        <v>18</v>
      </c>
      <c r="AB9" s="0" t="s">
        <v>14</v>
      </c>
      <c r="AC9" s="0" t="n">
        <v>774.495</v>
      </c>
    </row>
    <row r="10" customFormat="false" ht="15" hidden="false" customHeight="false" outlineLevel="0" collapsed="false">
      <c r="A10" s="0" t="s">
        <v>73</v>
      </c>
      <c r="B10" s="0" t="n">
        <v>233433</v>
      </c>
      <c r="C10" s="0" t="n">
        <v>232174</v>
      </c>
      <c r="D10" s="0" t="n">
        <v>1259.1</v>
      </c>
      <c r="E10" s="0" t="n">
        <v>0.5</v>
      </c>
      <c r="F10" s="0" t="n">
        <v>-52137.4</v>
      </c>
      <c r="G10" s="0" t="n">
        <v>-22.3</v>
      </c>
      <c r="I10" s="0" t="n">
        <v>-88556.5</v>
      </c>
      <c r="J10" s="0" t="n">
        <v>-37.9</v>
      </c>
      <c r="K10" s="0" t="n">
        <v>-7.45</v>
      </c>
      <c r="L10" s="0" t="n">
        <v>-988.1</v>
      </c>
      <c r="M10" s="0" t="n">
        <v>3195.1</v>
      </c>
      <c r="N10" s="0" t="n">
        <v>-4183.2</v>
      </c>
      <c r="O10" s="0" t="n">
        <v>116905.2</v>
      </c>
      <c r="P10" s="0" t="n">
        <v>1020622.8</v>
      </c>
      <c r="Q10" s="0" t="n">
        <v>784762.8</v>
      </c>
      <c r="R10" s="0" t="n">
        <v>329737.6</v>
      </c>
      <c r="S10" s="0" t="n">
        <v>61520.8</v>
      </c>
      <c r="T10" s="0" t="n">
        <v>11930.709</v>
      </c>
      <c r="AA10" s="0" t="s">
        <v>18</v>
      </c>
      <c r="AB10" s="0" t="s">
        <v>14</v>
      </c>
      <c r="AC10" s="0" t="n">
        <v>-3253.621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2.43</v>
      </c>
    </row>
    <row r="3" customFormat="false" ht="15" hidden="false" customHeight="false" outlineLevel="0" collapsed="false">
      <c r="A3" s="0" t="s">
        <v>77</v>
      </c>
      <c r="B3" s="3" t="n">
        <v>11930.709</v>
      </c>
    </row>
    <row r="4" customFormat="false" ht="15" hidden="false" customHeight="false" outlineLevel="0" collapsed="false">
      <c r="A4" s="0" t="s">
        <v>78</v>
      </c>
      <c r="B4" s="3" t="n">
        <v>0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233433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1.1724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98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102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103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104</v>
      </c>
      <c r="B20" s="3" t="n">
        <v>12.5</v>
      </c>
    </row>
    <row r="21" customFormat="false" ht="15" hidden="false" customHeight="false" outlineLevel="0" collapsed="false">
      <c r="A21" s="0" t="s">
        <v>105</v>
      </c>
      <c r="B21" s="3" t="n">
        <v>0</v>
      </c>
    </row>
    <row r="22" customFormat="false" ht="15" hidden="false" customHeight="false" outlineLevel="0" collapsed="false">
      <c r="A22" s="0" t="s">
        <v>106</v>
      </c>
      <c r="B22" s="3" t="n">
        <v>8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</row>
    <row r="28" customFormat="false" ht="15" hidden="false" customHeight="false" outlineLevel="0" collapsed="false">
      <c r="A28" s="0" t="s">
        <v>98</v>
      </c>
      <c r="C28" s="3" t="n">
        <v>0</v>
      </c>
      <c r="D28" s="3" t="n">
        <v>0</v>
      </c>
      <c r="E28" s="3" t="n">
        <v>0</v>
      </c>
      <c r="F28" s="3" t="n">
        <v>0.574</v>
      </c>
      <c r="G28" s="3" t="n">
        <v>0.574</v>
      </c>
      <c r="H28" s="3" t="n">
        <v>0.574</v>
      </c>
      <c r="I28" s="3" t="n">
        <v>0.574</v>
      </c>
      <c r="J28" s="3" t="n">
        <v>0.574</v>
      </c>
      <c r="K28" s="3" t="n">
        <v>0.574</v>
      </c>
      <c r="L28" s="3" t="n">
        <v>0.574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102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103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104</v>
      </c>
      <c r="B34" s="3" t="n">
        <v>12.5</v>
      </c>
    </row>
    <row r="35" customFormat="false" ht="15" hidden="false" customHeight="false" outlineLevel="0" collapsed="false">
      <c r="A35" s="0" t="s">
        <v>105</v>
      </c>
      <c r="B35" s="3" t="n">
        <v>0</v>
      </c>
    </row>
    <row r="36" customFormat="false" ht="15" hidden="false" customHeight="false" outlineLevel="0" collapsed="false">
      <c r="A36" s="0" t="s">
        <v>106</v>
      </c>
      <c r="B36" s="3" t="n">
        <v>8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r="42" customFormat="false" ht="15" hidden="false" customHeight="false" outlineLevel="0" collapsed="false">
      <c r="A42" s="0" t="s">
        <v>98</v>
      </c>
      <c r="C42" s="3" t="n">
        <v>0</v>
      </c>
      <c r="D42" s="3" t="n">
        <v>0</v>
      </c>
      <c r="E42" s="3" t="n">
        <v>1.748</v>
      </c>
      <c r="F42" s="3" t="n">
        <v>1.748</v>
      </c>
      <c r="G42" s="3" t="n">
        <v>1.748</v>
      </c>
      <c r="H42" s="3" t="n">
        <v>1.748</v>
      </c>
      <c r="I42" s="3" t="n">
        <v>1.748</v>
      </c>
      <c r="J42" s="3" t="n">
        <v>1.748</v>
      </c>
      <c r="K42" s="3" t="n">
        <v>1.748</v>
      </c>
      <c r="L42" s="3" t="n">
        <v>1.748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102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103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104</v>
      </c>
      <c r="B48" s="3" t="n">
        <v>12.5</v>
      </c>
    </row>
    <row r="49" customFormat="false" ht="15" hidden="false" customHeight="false" outlineLevel="0" collapsed="false">
      <c r="A49" s="0" t="s">
        <v>105</v>
      </c>
      <c r="B49" s="3" t="n">
        <v>0</v>
      </c>
    </row>
    <row r="50" customFormat="false" ht="15" hidden="false" customHeight="false" outlineLevel="0" collapsed="false">
      <c r="A50" s="0" t="s">
        <v>106</v>
      </c>
      <c r="B50" s="3" t="n">
        <v>8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0</v>
      </c>
      <c r="D5" s="4" t="n">
        <f aca="false">Assumptions!D13</f>
        <v>0</v>
      </c>
      <c r="E5" s="4" t="n">
        <f aca="false">Assumptions!E13</f>
        <v>0</v>
      </c>
      <c r="F5" s="4" t="n">
        <f aca="false">Assumptions!F13</f>
        <v>0</v>
      </c>
      <c r="G5" s="4" t="n">
        <f aca="false">Assumptions!G13</f>
        <v>0</v>
      </c>
      <c r="H5" s="4" t="n">
        <f aca="false">Assumptions!H13</f>
        <v>0</v>
      </c>
      <c r="I5" s="4" t="n">
        <f aca="false">Assumptions!I13</f>
        <v>0</v>
      </c>
      <c r="J5" s="4" t="n">
        <f aca="false">Assumptions!J13</f>
        <v>0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38</v>
      </c>
      <c r="B6" s="3" t="n">
        <v>233433</v>
      </c>
      <c r="C6" s="0" t="n">
        <f aca="false">B6*(1+C5/100)</f>
        <v>233433</v>
      </c>
      <c r="D6" s="0" t="n">
        <f aca="false">C6*(1+D5/100)</f>
        <v>233433</v>
      </c>
      <c r="E6" s="0" t="n">
        <f aca="false">D6*(1+E5/100)</f>
        <v>233433</v>
      </c>
      <c r="F6" s="0" t="n">
        <f aca="false">E6*(1+F5/100)</f>
        <v>233433</v>
      </c>
      <c r="G6" s="0" t="n">
        <f aca="false">F6*(1+G5/100)</f>
        <v>233433</v>
      </c>
      <c r="H6" s="0" t="n">
        <f aca="false">G6*(1+H5/100)</f>
        <v>233433</v>
      </c>
      <c r="I6" s="0" t="n">
        <f aca="false">H6*(1+I5/100)</f>
        <v>233433</v>
      </c>
      <c r="J6" s="0" t="n">
        <f aca="false">I6*(1+J5/100)</f>
        <v>233433</v>
      </c>
      <c r="K6" s="0" t="n">
        <f aca="false">J6*(1+K5/100)</f>
        <v>233433</v>
      </c>
      <c r="L6" s="0" t="n">
        <f aca="false">K6*(1+L5/100)</f>
        <v>233433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0</v>
      </c>
      <c r="D7" s="4" t="n">
        <f aca="false">Assumptions!D14</f>
        <v>0</v>
      </c>
      <c r="E7" s="4" t="n">
        <f aca="false">Assumptions!E14</f>
        <v>0</v>
      </c>
      <c r="F7" s="4" t="n">
        <f aca="false">Assumptions!F14</f>
        <v>0</v>
      </c>
      <c r="G7" s="4" t="n">
        <f aca="false">Assumptions!G14</f>
        <v>0</v>
      </c>
      <c r="H7" s="4" t="n">
        <f aca="false">Assumptions!H14</f>
        <v>0</v>
      </c>
      <c r="I7" s="4" t="n">
        <f aca="false">Assumptions!I14</f>
        <v>0</v>
      </c>
      <c r="J7" s="4" t="n">
        <f aca="false">Assumptions!J14</f>
        <v>0</v>
      </c>
      <c r="K7" s="4" t="n">
        <f aca="false">Assumptions!K14</f>
        <v>0</v>
      </c>
      <c r="L7" s="4" t="n">
        <f aca="false">Assumptions!L14</f>
        <v>0</v>
      </c>
    </row>
    <row r="8" customFormat="false" ht="15" hidden="false" customHeight="false" outlineLevel="0" collapsed="false">
      <c r="A8" s="0" t="s">
        <v>44</v>
      </c>
      <c r="C8" s="0" t="n">
        <f aca="false">C6*C7/100</f>
        <v>0</v>
      </c>
      <c r="D8" s="0" t="n">
        <f aca="false">D6*D7/100</f>
        <v>0</v>
      </c>
      <c r="E8" s="0" t="n">
        <f aca="false">E6*E7/100</f>
        <v>0</v>
      </c>
      <c r="F8" s="0" t="n">
        <f aca="false">F6*F7/100</f>
        <v>0</v>
      </c>
      <c r="G8" s="0" t="n">
        <f aca="false">G6*G7/100</f>
        <v>0</v>
      </c>
      <c r="H8" s="0" t="n">
        <f aca="false">H6*H7/100</f>
        <v>0</v>
      </c>
      <c r="I8" s="0" t="n">
        <f aca="false">I6*I7/100</f>
        <v>0</v>
      </c>
      <c r="J8" s="0" t="n">
        <f aca="false">J6*J7/100</f>
        <v>0</v>
      </c>
      <c r="K8" s="0" t="n">
        <f aca="false">K6*K7/100</f>
        <v>0</v>
      </c>
      <c r="L8" s="0" t="n">
        <f aca="false">L6*L7/100</f>
        <v>0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0</v>
      </c>
      <c r="D11" s="0" t="n">
        <f aca="false">D8+D10+D24</f>
        <v>0</v>
      </c>
      <c r="E11" s="0" t="n">
        <f aca="false">E8+E10+E24</f>
        <v>0</v>
      </c>
      <c r="F11" s="0" t="n">
        <f aca="false">F8+F10+F24</f>
        <v>0</v>
      </c>
      <c r="G11" s="0" t="n">
        <f aca="false">G8+G10+G24</f>
        <v>0</v>
      </c>
      <c r="H11" s="0" t="n">
        <f aca="false">H8+H10+H24</f>
        <v>0</v>
      </c>
      <c r="I11" s="0" t="n">
        <f aca="false">I8+I10+I24</f>
        <v>0</v>
      </c>
      <c r="J11" s="0" t="n">
        <f aca="false">J8+J10+J24</f>
        <v>0</v>
      </c>
      <c r="K11" s="0" t="n">
        <f aca="false">K8+K10+K24</f>
        <v>0</v>
      </c>
      <c r="L11" s="0" t="n">
        <f aca="false">L8+L10+L24</f>
        <v>0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0</v>
      </c>
      <c r="D13" s="0" t="n">
        <f aca="false">D11+D12</f>
        <v>0</v>
      </c>
      <c r="E13" s="0" t="n">
        <f aca="false">E11+E12</f>
        <v>0</v>
      </c>
      <c r="F13" s="0" t="n">
        <f aca="false">F11+F12</f>
        <v>0</v>
      </c>
      <c r="G13" s="0" t="n">
        <f aca="false">G11+G12</f>
        <v>0</v>
      </c>
      <c r="H13" s="0" t="n">
        <f aca="false">H11+H12</f>
        <v>0</v>
      </c>
      <c r="I13" s="0" t="n">
        <f aca="false">I11+I12</f>
        <v>0</v>
      </c>
      <c r="J13" s="0" t="n">
        <f aca="false">J11+J12</f>
        <v>0</v>
      </c>
      <c r="K13" s="0" t="n">
        <f aca="false">K11+K12</f>
        <v>0</v>
      </c>
      <c r="L13" s="0" t="n">
        <f aca="false">L11+L12</f>
        <v>0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0</v>
      </c>
      <c r="D15" s="0" t="n">
        <f aca="false">D13-MAX(0,D13)*D14/100</f>
        <v>0</v>
      </c>
      <c r="E15" s="0" t="n">
        <f aca="false">E13-MAX(0,E13)*E14/100</f>
        <v>0</v>
      </c>
      <c r="F15" s="0" t="n">
        <f aca="false">F13-MAX(0,F13)*F14/100</f>
        <v>0</v>
      </c>
      <c r="G15" s="0" t="n">
        <f aca="false">G13-MAX(0,G13)*G14/100</f>
        <v>0</v>
      </c>
      <c r="H15" s="0" t="n">
        <f aca="false">H13-MAX(0,H13)*H14/100</f>
        <v>0</v>
      </c>
      <c r="I15" s="0" t="n">
        <f aca="false">I13-MAX(0,I13)*I14/100</f>
        <v>0</v>
      </c>
      <c r="J15" s="0" t="n">
        <f aca="false">J13-MAX(0,J13)*J14/100</f>
        <v>0</v>
      </c>
      <c r="K15" s="0" t="n">
        <f aca="false">K13-MAX(0,K13)*K14/100</f>
        <v>0</v>
      </c>
      <c r="L15" s="0" t="n">
        <f aca="false">L13-MAX(0,L13)*L14/100</f>
        <v>0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0</v>
      </c>
      <c r="D19" s="0" t="n">
        <f aca="false">D15+D16+D17+D18</f>
        <v>0</v>
      </c>
      <c r="E19" s="0" t="n">
        <f aca="false">E15+E16+E17+E18</f>
        <v>0</v>
      </c>
      <c r="F19" s="0" t="n">
        <f aca="false">F15+F16+F17+F18</f>
        <v>0</v>
      </c>
      <c r="G19" s="0" t="n">
        <f aca="false">G15+G16+G17+G18</f>
        <v>0</v>
      </c>
      <c r="H19" s="0" t="n">
        <f aca="false">H15+H16+H17+H18</f>
        <v>0</v>
      </c>
      <c r="I19" s="0" t="n">
        <f aca="false">I15+I16+I17+I18</f>
        <v>0</v>
      </c>
      <c r="J19" s="0" t="n">
        <f aca="false">J15+J16+J17+J18</f>
        <v>0</v>
      </c>
      <c r="K19" s="0" t="n">
        <f aca="false">K15+K16+K17+K18</f>
        <v>0</v>
      </c>
      <c r="L19" s="0" t="n">
        <f aca="false">L15+L16+L17+L18</f>
        <v>0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0</v>
      </c>
      <c r="D21" s="0" t="n">
        <f aca="false">D19*D20</f>
        <v>0</v>
      </c>
      <c r="E21" s="0" t="n">
        <f aca="false">E19*E20</f>
        <v>0</v>
      </c>
      <c r="F21" s="0" t="n">
        <f aca="false">F19*F20</f>
        <v>0</v>
      </c>
      <c r="G21" s="0" t="n">
        <f aca="false">G19*G20</f>
        <v>0</v>
      </c>
      <c r="H21" s="0" t="n">
        <f aca="false">H19*H20</f>
        <v>0</v>
      </c>
      <c r="I21" s="0" t="n">
        <f aca="false">I19*I20</f>
        <v>0</v>
      </c>
      <c r="J21" s="0" t="n">
        <f aca="false">J19*J20</f>
        <v>0</v>
      </c>
      <c r="K21" s="0" t="n">
        <f aca="false">K19*K20</f>
        <v>0</v>
      </c>
      <c r="L21" s="0" t="n">
        <f aca="false">L19*L20</f>
        <v>0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12.5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0</v>
      </c>
    </row>
    <row r="31" customFormat="false" ht="15" hidden="false" customHeight="false" outlineLevel="0" collapsed="false">
      <c r="A31" s="0" t="s">
        <v>128</v>
      </c>
      <c r="B31" s="0" t="n">
        <f aca="false">L19</f>
        <v>0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0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0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0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0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0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0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0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0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0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0</v>
      </c>
      <c r="D5" s="4" t="n">
        <f aca="false">Assumptions!D27</f>
        <v>0</v>
      </c>
      <c r="E5" s="4" t="n">
        <f aca="false">Assumptions!E27</f>
        <v>0</v>
      </c>
      <c r="F5" s="4" t="n">
        <f aca="false">Assumptions!F27</f>
        <v>0</v>
      </c>
      <c r="G5" s="4" t="n">
        <f aca="false">Assumptions!G27</f>
        <v>0</v>
      </c>
      <c r="H5" s="4" t="n">
        <f aca="false">Assumptions!H27</f>
        <v>0</v>
      </c>
      <c r="I5" s="4" t="n">
        <f aca="false">Assumptions!I27</f>
        <v>0</v>
      </c>
      <c r="J5" s="4" t="n">
        <f aca="false">Assumptions!J27</f>
        <v>0</v>
      </c>
      <c r="K5" s="4" t="n">
        <f aca="false">Assumptions!K27</f>
        <v>0</v>
      </c>
      <c r="L5" s="4" t="n">
        <f aca="false">Assumptions!L27</f>
        <v>0</v>
      </c>
    </row>
    <row r="6" customFormat="false" ht="15" hidden="false" customHeight="false" outlineLevel="0" collapsed="false">
      <c r="A6" s="0" t="s">
        <v>38</v>
      </c>
      <c r="B6" s="3" t="n">
        <v>233433</v>
      </c>
      <c r="C6" s="0" t="n">
        <f aca="false">B6*(1+C5/100)</f>
        <v>233433</v>
      </c>
      <c r="D6" s="0" t="n">
        <f aca="false">C6*(1+D5/100)</f>
        <v>233433</v>
      </c>
      <c r="E6" s="0" t="n">
        <f aca="false">D6*(1+E5/100)</f>
        <v>233433</v>
      </c>
      <c r="F6" s="0" t="n">
        <f aca="false">E6*(1+F5/100)</f>
        <v>233433</v>
      </c>
      <c r="G6" s="0" t="n">
        <f aca="false">F6*(1+G5/100)</f>
        <v>233433</v>
      </c>
      <c r="H6" s="0" t="n">
        <f aca="false">G6*(1+H5/100)</f>
        <v>233433</v>
      </c>
      <c r="I6" s="0" t="n">
        <f aca="false">H6*(1+I5/100)</f>
        <v>233433</v>
      </c>
      <c r="J6" s="0" t="n">
        <f aca="false">I6*(1+J5/100)</f>
        <v>233433</v>
      </c>
      <c r="K6" s="0" t="n">
        <f aca="false">J6*(1+K5/100)</f>
        <v>233433</v>
      </c>
      <c r="L6" s="0" t="n">
        <f aca="false">K6*(1+L5/100)</f>
        <v>233433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0</v>
      </c>
      <c r="D7" s="4" t="n">
        <f aca="false">Assumptions!D28</f>
        <v>0</v>
      </c>
      <c r="E7" s="4" t="n">
        <f aca="false">Assumptions!E28</f>
        <v>0</v>
      </c>
      <c r="F7" s="4" t="n">
        <f aca="false">Assumptions!F28</f>
        <v>0.574</v>
      </c>
      <c r="G7" s="4" t="n">
        <f aca="false">Assumptions!G28</f>
        <v>0.574</v>
      </c>
      <c r="H7" s="4" t="n">
        <f aca="false">Assumptions!H28</f>
        <v>0.574</v>
      </c>
      <c r="I7" s="4" t="n">
        <f aca="false">Assumptions!I28</f>
        <v>0.574</v>
      </c>
      <c r="J7" s="4" t="n">
        <f aca="false">Assumptions!J28</f>
        <v>0.574</v>
      </c>
      <c r="K7" s="4" t="n">
        <f aca="false">Assumptions!K28</f>
        <v>0.574</v>
      </c>
      <c r="L7" s="4" t="n">
        <f aca="false">Assumptions!L28</f>
        <v>0.574</v>
      </c>
    </row>
    <row r="8" customFormat="false" ht="15" hidden="false" customHeight="false" outlineLevel="0" collapsed="false">
      <c r="A8" s="0" t="s">
        <v>44</v>
      </c>
      <c r="C8" s="0" t="n">
        <f aca="false">C6*C7/100</f>
        <v>0</v>
      </c>
      <c r="D8" s="0" t="n">
        <f aca="false">D6*D7/100</f>
        <v>0</v>
      </c>
      <c r="E8" s="0" t="n">
        <f aca="false">E6*E7/100</f>
        <v>0</v>
      </c>
      <c r="F8" s="0" t="n">
        <f aca="false">F6*F7/100</f>
        <v>1339.90542</v>
      </c>
      <c r="G8" s="0" t="n">
        <f aca="false">G6*G7/100</f>
        <v>1339.90542</v>
      </c>
      <c r="H8" s="0" t="n">
        <f aca="false">H6*H7/100</f>
        <v>1339.90542</v>
      </c>
      <c r="I8" s="0" t="n">
        <f aca="false">I6*I7/100</f>
        <v>1339.90542</v>
      </c>
      <c r="J8" s="0" t="n">
        <f aca="false">J6*J7/100</f>
        <v>1339.90542</v>
      </c>
      <c r="K8" s="0" t="n">
        <f aca="false">K6*K7/100</f>
        <v>1339.90542</v>
      </c>
      <c r="L8" s="0" t="n">
        <f aca="false">L6*L7/100</f>
        <v>1339.90542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0</v>
      </c>
      <c r="D11" s="0" t="n">
        <f aca="false">D8+D10+D24</f>
        <v>0</v>
      </c>
      <c r="E11" s="0" t="n">
        <f aca="false">E8+E10+E24</f>
        <v>0</v>
      </c>
      <c r="F11" s="0" t="n">
        <f aca="false">F8+F10+F24</f>
        <v>1339.90542</v>
      </c>
      <c r="G11" s="0" t="n">
        <f aca="false">G8+G10+G24</f>
        <v>1339.90542</v>
      </c>
      <c r="H11" s="0" t="n">
        <f aca="false">H8+H10+H24</f>
        <v>1339.90542</v>
      </c>
      <c r="I11" s="0" t="n">
        <f aca="false">I8+I10+I24</f>
        <v>1339.90542</v>
      </c>
      <c r="J11" s="0" t="n">
        <f aca="false">J8+J10+J24</f>
        <v>1339.90542</v>
      </c>
      <c r="K11" s="0" t="n">
        <f aca="false">K8+K10+K24</f>
        <v>1339.90542</v>
      </c>
      <c r="L11" s="0" t="n">
        <f aca="false">L8+L10+L24</f>
        <v>1339.90542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0</v>
      </c>
      <c r="D13" s="0" t="n">
        <f aca="false">D11+D12</f>
        <v>0</v>
      </c>
      <c r="E13" s="0" t="n">
        <f aca="false">E11+E12</f>
        <v>0</v>
      </c>
      <c r="F13" s="0" t="n">
        <f aca="false">F11+F12</f>
        <v>1339.90542</v>
      </c>
      <c r="G13" s="0" t="n">
        <f aca="false">G11+G12</f>
        <v>1339.90542</v>
      </c>
      <c r="H13" s="0" t="n">
        <f aca="false">H11+H12</f>
        <v>1339.90542</v>
      </c>
      <c r="I13" s="0" t="n">
        <f aca="false">I11+I12</f>
        <v>1339.90542</v>
      </c>
      <c r="J13" s="0" t="n">
        <f aca="false">J11+J12</f>
        <v>1339.90542</v>
      </c>
      <c r="K13" s="0" t="n">
        <f aca="false">K11+K12</f>
        <v>1339.90542</v>
      </c>
      <c r="L13" s="0" t="n">
        <f aca="false">L11+L12</f>
        <v>1339.90542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0</v>
      </c>
      <c r="D15" s="0" t="n">
        <f aca="false">D13-MAX(0,D13)*D14/100</f>
        <v>0</v>
      </c>
      <c r="E15" s="0" t="n">
        <f aca="false">E13-MAX(0,E13)*E14/100</f>
        <v>0</v>
      </c>
      <c r="F15" s="0" t="n">
        <f aca="false">F13-MAX(0,F13)*F14/100</f>
        <v>1339.90542</v>
      </c>
      <c r="G15" s="0" t="n">
        <f aca="false">G13-MAX(0,G13)*G14/100</f>
        <v>1339.90542</v>
      </c>
      <c r="H15" s="0" t="n">
        <f aca="false">H13-MAX(0,H13)*H14/100</f>
        <v>1339.90542</v>
      </c>
      <c r="I15" s="0" t="n">
        <f aca="false">I13-MAX(0,I13)*I14/100</f>
        <v>1339.90542</v>
      </c>
      <c r="J15" s="0" t="n">
        <f aca="false">J13-MAX(0,J13)*J14/100</f>
        <v>1339.90542</v>
      </c>
      <c r="K15" s="0" t="n">
        <f aca="false">K13-MAX(0,K13)*K14/100</f>
        <v>1339.90542</v>
      </c>
      <c r="L15" s="0" t="n">
        <f aca="false">L13-MAX(0,L13)*L14/100</f>
        <v>1339.90542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0</v>
      </c>
      <c r="D19" s="0" t="n">
        <f aca="false">D15+D16+D17+D18</f>
        <v>0</v>
      </c>
      <c r="E19" s="0" t="n">
        <f aca="false">E15+E16+E17+E18</f>
        <v>0</v>
      </c>
      <c r="F19" s="0" t="n">
        <f aca="false">F15+F16+F17+F18</f>
        <v>1339.90542</v>
      </c>
      <c r="G19" s="0" t="n">
        <f aca="false">G15+G16+G17+G18</f>
        <v>1339.90542</v>
      </c>
      <c r="H19" s="0" t="n">
        <f aca="false">H15+H16+H17+H18</f>
        <v>1339.90542</v>
      </c>
      <c r="I19" s="0" t="n">
        <f aca="false">I15+I16+I17+I18</f>
        <v>1339.90542</v>
      </c>
      <c r="J19" s="0" t="n">
        <f aca="false">J15+J16+J17+J18</f>
        <v>1339.90542</v>
      </c>
      <c r="K19" s="0" t="n">
        <f aca="false">K15+K16+K17+K18</f>
        <v>1339.90542</v>
      </c>
      <c r="L19" s="0" t="n">
        <f aca="false">L15+L16+L17+L18</f>
        <v>1339.90542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0</v>
      </c>
      <c r="D21" s="0" t="n">
        <f aca="false">D19*D20</f>
        <v>0</v>
      </c>
      <c r="E21" s="0" t="n">
        <f aca="false">E19*E20</f>
        <v>0</v>
      </c>
      <c r="F21" s="0" t="n">
        <f aca="false">F19*F20</f>
        <v>836.496357311385</v>
      </c>
      <c r="G21" s="0" t="n">
        <f aca="false">G19*G20</f>
        <v>743.55231761012</v>
      </c>
      <c r="H21" s="0" t="n">
        <f aca="false">H19*H20</f>
        <v>660.935393431218</v>
      </c>
      <c r="I21" s="0" t="n">
        <f aca="false">I19*I20</f>
        <v>587.498127494416</v>
      </c>
      <c r="J21" s="0" t="n">
        <f aca="false">J19*J20</f>
        <v>522.220557772814</v>
      </c>
      <c r="K21" s="0" t="n">
        <f aca="false">K19*K20</f>
        <v>464.196051353613</v>
      </c>
      <c r="L21" s="0" t="n">
        <f aca="false">L19*L20</f>
        <v>412.618712314322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12.5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0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4227.51751728789</v>
      </c>
    </row>
    <row r="31" customFormat="false" ht="15" hidden="false" customHeight="false" outlineLevel="0" collapsed="false">
      <c r="A31" s="0" t="s">
        <v>128</v>
      </c>
      <c r="B31" s="0" t="n">
        <f aca="false">L19</f>
        <v>1339.90542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10719.24336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10719.24336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10719.24336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3300.94969851458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7528.46721580247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7528.46721580247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0.739803054772924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-0.695554298447357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0.739803054772924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8932.7028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0.577163582557522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0</v>
      </c>
      <c r="D5" s="4" t="n">
        <f aca="false">Assumptions!D41</f>
        <v>0</v>
      </c>
      <c r="E5" s="4" t="n">
        <f aca="false">Assumptions!E41</f>
        <v>0</v>
      </c>
      <c r="F5" s="4" t="n">
        <f aca="false">Assumptions!F41</f>
        <v>0</v>
      </c>
      <c r="G5" s="4" t="n">
        <f aca="false">Assumptions!G41</f>
        <v>0</v>
      </c>
      <c r="H5" s="4" t="n">
        <f aca="false">Assumptions!H41</f>
        <v>0</v>
      </c>
      <c r="I5" s="4" t="n">
        <f aca="false">Assumptions!I41</f>
        <v>0</v>
      </c>
      <c r="J5" s="4" t="n">
        <f aca="false">Assumptions!J41</f>
        <v>0</v>
      </c>
      <c r="K5" s="4" t="n">
        <f aca="false">Assumptions!K41</f>
        <v>0</v>
      </c>
      <c r="L5" s="4" t="n">
        <f aca="false">Assumptions!L41</f>
        <v>0</v>
      </c>
    </row>
    <row r="6" customFormat="false" ht="15" hidden="false" customHeight="false" outlineLevel="0" collapsed="false">
      <c r="A6" s="0" t="s">
        <v>38</v>
      </c>
      <c r="B6" s="3" t="n">
        <v>233433</v>
      </c>
      <c r="C6" s="0" t="n">
        <f aca="false">B6*(1+C5/100)</f>
        <v>233433</v>
      </c>
      <c r="D6" s="0" t="n">
        <f aca="false">C6*(1+D5/100)</f>
        <v>233433</v>
      </c>
      <c r="E6" s="0" t="n">
        <f aca="false">D6*(1+E5/100)</f>
        <v>233433</v>
      </c>
      <c r="F6" s="0" t="n">
        <f aca="false">E6*(1+F5/100)</f>
        <v>233433</v>
      </c>
      <c r="G6" s="0" t="n">
        <f aca="false">F6*(1+G5/100)</f>
        <v>233433</v>
      </c>
      <c r="H6" s="0" t="n">
        <f aca="false">G6*(1+H5/100)</f>
        <v>233433</v>
      </c>
      <c r="I6" s="0" t="n">
        <f aca="false">H6*(1+I5/100)</f>
        <v>233433</v>
      </c>
      <c r="J6" s="0" t="n">
        <f aca="false">I6*(1+J5/100)</f>
        <v>233433</v>
      </c>
      <c r="K6" s="0" t="n">
        <f aca="false">J6*(1+K5/100)</f>
        <v>233433</v>
      </c>
      <c r="L6" s="0" t="n">
        <f aca="false">K6*(1+L5/100)</f>
        <v>233433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0</v>
      </c>
      <c r="D7" s="4" t="n">
        <f aca="false">Assumptions!D42</f>
        <v>0</v>
      </c>
      <c r="E7" s="4" t="n">
        <f aca="false">Assumptions!E42</f>
        <v>1.748</v>
      </c>
      <c r="F7" s="4" t="n">
        <f aca="false">Assumptions!F42</f>
        <v>1.748</v>
      </c>
      <c r="G7" s="4" t="n">
        <f aca="false">Assumptions!G42</f>
        <v>1.748</v>
      </c>
      <c r="H7" s="4" t="n">
        <f aca="false">Assumptions!H42</f>
        <v>1.748</v>
      </c>
      <c r="I7" s="4" t="n">
        <f aca="false">Assumptions!I42</f>
        <v>1.748</v>
      </c>
      <c r="J7" s="4" t="n">
        <f aca="false">Assumptions!J42</f>
        <v>1.748</v>
      </c>
      <c r="K7" s="4" t="n">
        <f aca="false">Assumptions!K42</f>
        <v>1.748</v>
      </c>
      <c r="L7" s="4" t="n">
        <f aca="false">Assumptions!L42</f>
        <v>1.748</v>
      </c>
    </row>
    <row r="8" customFormat="false" ht="15" hidden="false" customHeight="false" outlineLevel="0" collapsed="false">
      <c r="A8" s="0" t="s">
        <v>44</v>
      </c>
      <c r="C8" s="0" t="n">
        <f aca="false">C6*C7/100</f>
        <v>0</v>
      </c>
      <c r="D8" s="0" t="n">
        <f aca="false">D6*D7/100</f>
        <v>0</v>
      </c>
      <c r="E8" s="0" t="n">
        <f aca="false">E6*E7/100</f>
        <v>4080.40884</v>
      </c>
      <c r="F8" s="0" t="n">
        <f aca="false">F6*F7/100</f>
        <v>4080.40884</v>
      </c>
      <c r="G8" s="0" t="n">
        <f aca="false">G6*G7/100</f>
        <v>4080.40884</v>
      </c>
      <c r="H8" s="0" t="n">
        <f aca="false">H6*H7/100</f>
        <v>4080.40884</v>
      </c>
      <c r="I8" s="0" t="n">
        <f aca="false">I6*I7/100</f>
        <v>4080.40884</v>
      </c>
      <c r="J8" s="0" t="n">
        <f aca="false">J6*J7/100</f>
        <v>4080.40884</v>
      </c>
      <c r="K8" s="0" t="n">
        <f aca="false">K6*K7/100</f>
        <v>4080.40884</v>
      </c>
      <c r="L8" s="0" t="n">
        <f aca="false">L6*L7/100</f>
        <v>4080.40884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0</v>
      </c>
      <c r="D11" s="0" t="n">
        <f aca="false">D8+D10+D24</f>
        <v>0</v>
      </c>
      <c r="E11" s="0" t="n">
        <f aca="false">E8+E10+E24</f>
        <v>4080.40884</v>
      </c>
      <c r="F11" s="0" t="n">
        <f aca="false">F8+F10+F24</f>
        <v>4080.40884</v>
      </c>
      <c r="G11" s="0" t="n">
        <f aca="false">G8+G10+G24</f>
        <v>4080.40884</v>
      </c>
      <c r="H11" s="0" t="n">
        <f aca="false">H8+H10+H24</f>
        <v>4080.40884</v>
      </c>
      <c r="I11" s="0" t="n">
        <f aca="false">I8+I10+I24</f>
        <v>4080.40884</v>
      </c>
      <c r="J11" s="0" t="n">
        <f aca="false">J8+J10+J24</f>
        <v>4080.40884</v>
      </c>
      <c r="K11" s="0" t="n">
        <f aca="false">K8+K10+K24</f>
        <v>4080.40884</v>
      </c>
      <c r="L11" s="0" t="n">
        <f aca="false">L8+L10+L24</f>
        <v>4080.40884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0</v>
      </c>
      <c r="D13" s="0" t="n">
        <f aca="false">D11+D12</f>
        <v>0</v>
      </c>
      <c r="E13" s="0" t="n">
        <f aca="false">E11+E12</f>
        <v>4080.40884</v>
      </c>
      <c r="F13" s="0" t="n">
        <f aca="false">F11+F12</f>
        <v>4080.40884</v>
      </c>
      <c r="G13" s="0" t="n">
        <f aca="false">G11+G12</f>
        <v>4080.40884</v>
      </c>
      <c r="H13" s="0" t="n">
        <f aca="false">H11+H12</f>
        <v>4080.40884</v>
      </c>
      <c r="I13" s="0" t="n">
        <f aca="false">I11+I12</f>
        <v>4080.40884</v>
      </c>
      <c r="J13" s="0" t="n">
        <f aca="false">J11+J12</f>
        <v>4080.40884</v>
      </c>
      <c r="K13" s="0" t="n">
        <f aca="false">K11+K12</f>
        <v>4080.40884</v>
      </c>
      <c r="L13" s="0" t="n">
        <f aca="false">L11+L12</f>
        <v>4080.40884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0</v>
      </c>
      <c r="D15" s="0" t="n">
        <f aca="false">D13-MAX(0,D13)*D14/100</f>
        <v>0</v>
      </c>
      <c r="E15" s="0" t="n">
        <f aca="false">E13-MAX(0,E13)*E14/100</f>
        <v>4080.40884</v>
      </c>
      <c r="F15" s="0" t="n">
        <f aca="false">F13-MAX(0,F13)*F14/100</f>
        <v>4080.40884</v>
      </c>
      <c r="G15" s="0" t="n">
        <f aca="false">G13-MAX(0,G13)*G14/100</f>
        <v>4080.40884</v>
      </c>
      <c r="H15" s="0" t="n">
        <f aca="false">H13-MAX(0,H13)*H14/100</f>
        <v>4080.40884</v>
      </c>
      <c r="I15" s="0" t="n">
        <f aca="false">I13-MAX(0,I13)*I14/100</f>
        <v>4080.40884</v>
      </c>
      <c r="J15" s="0" t="n">
        <f aca="false">J13-MAX(0,J13)*J14/100</f>
        <v>4080.40884</v>
      </c>
      <c r="K15" s="0" t="n">
        <f aca="false">K13-MAX(0,K13)*K14/100</f>
        <v>4080.40884</v>
      </c>
      <c r="L15" s="0" t="n">
        <f aca="false">L13-MAX(0,L13)*L14/100</f>
        <v>4080.40884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0</v>
      </c>
      <c r="D19" s="0" t="n">
        <f aca="false">D15+D16+D17+D18</f>
        <v>0</v>
      </c>
      <c r="E19" s="0" t="n">
        <f aca="false">E15+E16+E17+E18</f>
        <v>4080.40884</v>
      </c>
      <c r="F19" s="0" t="n">
        <f aca="false">F15+F16+F17+F18</f>
        <v>4080.40884</v>
      </c>
      <c r="G19" s="0" t="n">
        <f aca="false">G15+G16+G17+G18</f>
        <v>4080.40884</v>
      </c>
      <c r="H19" s="0" t="n">
        <f aca="false">H15+H16+H17+H18</f>
        <v>4080.40884</v>
      </c>
      <c r="I19" s="0" t="n">
        <f aca="false">I15+I16+I17+I18</f>
        <v>4080.40884</v>
      </c>
      <c r="J19" s="0" t="n">
        <f aca="false">J15+J16+J17+J18</f>
        <v>4080.40884</v>
      </c>
      <c r="K19" s="0" t="n">
        <f aca="false">K15+K16+K17+K18</f>
        <v>4080.40884</v>
      </c>
      <c r="L19" s="0" t="n">
        <f aca="false">L15+L16+L17+L18</f>
        <v>4080.40884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0</v>
      </c>
      <c r="D21" s="0" t="n">
        <f aca="false">D19*D20</f>
        <v>0</v>
      </c>
      <c r="E21" s="0" t="n">
        <f aca="false">E19*E20</f>
        <v>2865.80154469136</v>
      </c>
      <c r="F21" s="0" t="n">
        <f aca="false">F19*F20</f>
        <v>2547.37915083676</v>
      </c>
      <c r="G21" s="0" t="n">
        <f aca="false">G19*G20</f>
        <v>2264.33702296601</v>
      </c>
      <c r="H21" s="0" t="n">
        <f aca="false">H19*H20</f>
        <v>2012.74402041423</v>
      </c>
      <c r="I21" s="0" t="n">
        <f aca="false">I19*I20</f>
        <v>1789.10579592376</v>
      </c>
      <c r="J21" s="0" t="n">
        <f aca="false">J19*J20</f>
        <v>1590.31626304334</v>
      </c>
      <c r="K21" s="0" t="n">
        <f aca="false">K19*K20</f>
        <v>1413.61445603853</v>
      </c>
      <c r="L21" s="0" t="n">
        <f aca="false">L19*L20</f>
        <v>1256.54618314536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12.5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0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15739.8444370594</v>
      </c>
    </row>
    <row r="31" customFormat="false" ht="15" hidden="false" customHeight="false" outlineLevel="0" collapsed="false">
      <c r="A31" s="0" t="s">
        <v>128</v>
      </c>
      <c r="B31" s="0" t="n">
        <f aca="false">L19</f>
        <v>4080.40884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32643.27072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32643.27072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32643.27072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10052.3694651629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25792.2139022222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25792.2139022222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2.53453433312013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0.0430182440823581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2.53453433312013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27202.7256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2.02127915271277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0</v>
      </c>
      <c r="C4" s="0" t="n">
        <f aca="false">B4/Assumptions!$B$2-1</f>
        <v>-1</v>
      </c>
      <c r="D4" s="4" t="n">
        <f aca="false">Assumptions!$B$24</f>
        <v>0.3</v>
      </c>
      <c r="E4" s="4" t="n">
        <f aca="false">DCF_Bear!$B$43</f>
        <v>0</v>
      </c>
      <c r="F4" s="4" t="n">
        <f aca="false">DCF_Bear!$B$47</f>
        <v>0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0.739803054772924</v>
      </c>
      <c r="C5" s="0" t="n">
        <f aca="false">B5/Assumptions!$B$2-1</f>
        <v>-0.695554298447357</v>
      </c>
      <c r="D5" s="4" t="n">
        <f aca="false">Assumptions!$B$38</f>
        <v>0.5</v>
      </c>
      <c r="E5" s="4" t="n">
        <f aca="false">DCF_Base!$B$43</f>
        <v>0.739803054772924</v>
      </c>
      <c r="F5" s="4" t="n">
        <f aca="false">DCF_Base!$B$47</f>
        <v>0.577163582557522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2.53453433312013</v>
      </c>
      <c r="C6" s="0" t="n">
        <f aca="false">B6/Assumptions!$B$2-1</f>
        <v>0.0430182440823581</v>
      </c>
      <c r="D6" s="4" t="n">
        <f aca="false">Assumptions!$B$52</f>
        <v>0.2</v>
      </c>
      <c r="E6" s="4" t="n">
        <f aca="false">DCF_Bull!$B$43</f>
        <v>2.53453433312013</v>
      </c>
      <c r="F6" s="4" t="n">
        <f aca="false">DCF_Bull!$B$47</f>
        <v>2.02127915271277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0.876808394010488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0.876808394010488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-1.77141507380566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0.692837621821315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0.956661162707534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0.887720820471448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0.824642352182454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0.766863935930776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0.739803054772924</v>
      </c>
      <c r="C19" s="3" t="n">
        <v>12.5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0.577163582557522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-1</v>
      </c>
      <c r="C23" s="3" t="n">
        <v>-0.5</v>
      </c>
      <c r="D23" s="3" t="n">
        <v>0</v>
      </c>
      <c r="E23" s="3" t="n">
        <v>0.5</v>
      </c>
      <c r="F23" s="3" t="n">
        <v>1</v>
      </c>
    </row>
    <row r="24" customFormat="false" ht="15" hidden="false" customHeight="false" outlineLevel="0" collapsed="false">
      <c r="A24" s="3" t="n">
        <v>10.5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0.855485438649731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0.855485438649731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0.855485438649731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0.855485438649731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0.855485438649731</v>
      </c>
    </row>
    <row r="25" customFormat="false" ht="15" hidden="false" customHeight="false" outlineLevel="0" collapsed="false">
      <c r="A25" s="3" t="n">
        <v>11.5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0.791576651084505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0.795123355648189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0.795123355648189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0.795123355648189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0.795123355648189</v>
      </c>
    </row>
    <row r="26" customFormat="false" ht="15" hidden="false" customHeight="false" outlineLevel="0" collapsed="false">
      <c r="A26" s="3" t="n">
        <v>12.5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0.712771737057868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0.725767562882414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0.739803054772924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0.739803054772924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0.739803054772924</v>
      </c>
    </row>
    <row r="27" customFormat="false" ht="15" hidden="false" customHeight="false" outlineLevel="0" collapsed="false">
      <c r="A27" s="3" t="n">
        <v>13.5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0.645537225006036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0.655912387643071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0.667056080845813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0.679056981217996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0.689048920294395</v>
      </c>
    </row>
    <row r="28" customFormat="false" ht="15" hidden="false" customHeight="false" outlineLevel="0" collapsed="false">
      <c r="A28" s="3" t="n">
        <v>14.5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0.587602332700544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0.595973410296169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0.604921803588045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0.614509367829341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0.624807122014436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2026-10-17T22:45:13Z</dcterms:created>
  <dc:creator>openpyxl</dc:creator>
  <dc:description/>
  <dc:language>en-NZ</dc:language>
  <cp:lastModifiedBy/>
  <dcterms:modified xsi:type="dcterms:W3CDTF">2026-10-17T22:45:13Z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