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 FIRST" sheetId="1" r:id="rId1"/>
    <sheet name="Scenario Build" sheetId="2" r:id="rId2"/>
    <sheet name="NTA Bridge" sheetId="3" r:id="rId3"/>
    <sheet name="Burn &amp; Runway" sheetId="4" r:id="rId4"/>
    <sheet name="P-NTA History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<sst xmlns="http://schemas.openxmlformats.org/spreadsheetml/2006/main" count="132" uniqueCount="118">
  <si>
    <t>This is a dormant NZX-listed cash shell with NO operating business and NO revenue.</t>
  </si>
  <si>
    <t>A conventional discounted-cash-flow model on projected free cash flow would be MEANINGLESS and actively misleading:</t>
  </si>
  <si>
    <t xml:space="preserve"> - No revenue since the mortgage-lending business was discontinued in FY2023</t>
  </si>
  <si>
    <t xml:space="preserve"> - Owner FCF has been negative every year on record</t>
  </si>
  <si>
    <t xml:space="preserve"> - Cash runway is under 8 months at the FY2026 burn rate, before a pending $200,000 shareholder loan</t>
  </si>
  <si>
    <t xml:space="preserve"> - FY2026 audit contains an explicit Material Uncertainty Relating to Going Concern paragraph (William Buck, 24-Jun-2026)</t>
  </si>
  <si>
    <t>Instead, this workbook values the equity as a probability-weighted mix of three scenarios built on Net Tangible Assets (NTA)</t>
  </si>
  <si>
    <t>plus (in the base/bull cases) a listed-shell scarcity/option premium for a possible future reverse takeover (RTO).</t>
  </si>
  <si>
    <t>See the "Scenario Build" sheet for the full model, "NTA Bridge" for the balance-sheet walk, "Burn &amp; Runway" for the cash-burn schedule,</t>
  </si>
  <si>
    <t>and "P-NTA History" for the market-price-vs-book-value sanity check.</t>
  </si>
  <si>
    <t>Ticker note:</t>
  </si>
  <si>
    <t>BGI.NZ is a dead/legacy Yahoo Finance symbol frozen at NZ$0.004 as of 30 April 2024 - a pre-consolidation price on a pre-consolidation (736,259,059) share count. The company renamed from Blackwell Global Holdings Limited to RTO Limited and changed its NZX ticker from BGI to RTO effective 1 May 2024, then completed a 73.6259:1 share consolidation on 30 August 2024 (post-consolidation base: 10,000,026 shares). The live, currently-quoted instrument is RTO.NZ, last close NZ$0.119 (7 Aug 2026, confirmed via Yahoo Finance chart API). This file uses RTO.NZ's live price as current_price under the legacy BGI.NZ research folder/ticker key for pipeline continuity - do not confuse the two price series.</t>
  </si>
  <si>
    <t>BGI.NZ / RTO.NZ - Asset &amp; Scenario-Weighted Valuation</t>
  </si>
  <si>
    <t>Gray cells are INPUTS - adjust to see valuation change. This is NOT a cash-flow DCF.</t>
  </si>
  <si>
    <t>KEY INPUTS</t>
  </si>
  <si>
    <t>Current Price (RTO.NZ)</t>
  </si>
  <si>
    <t>Shares Outstanding (M)</t>
  </si>
  <si>
    <t>FY2026 NTA / Shareholders Equity ($)</t>
  </si>
  <si>
    <t>FY2026 Cash ($)</t>
  </si>
  <si>
    <t>FY2026 Total Debt ($)</t>
  </si>
  <si>
    <t>Pending Shareholder Loan ($, not yet drawn)</t>
  </si>
  <si>
    <t>FY2026 Annual Cash Burn ($)</t>
  </si>
  <si>
    <t>Cash Runway (years, pre-loan)</t>
  </si>
  <si>
    <t>SCENARIO ASSUMPTIONS</t>
  </si>
  <si>
    <t>Bear</t>
  </si>
  <si>
    <t>Base</t>
  </si>
  <si>
    <t>Bull</t>
  </si>
  <si>
    <t>Narrative driver</t>
  </si>
  <si>
    <t>No RTO; loan/rescue subordinates equity; wind-up or heavy dilution</t>
  </si>
  <si>
    <t>Eventually dilutive RTO; NTA + modest shell premium</t>
  </si>
  <si>
    <t>Prompt, favourable RTO; shell value near top of precedent</t>
  </si>
  <si>
    <t>Residual / Shell Value ($)</t>
  </si>
  <si>
    <t>Plus: FY2026 NTA credited? (1=yes,0=no)</t>
  </si>
  <si>
    <t>Equity Value ($)</t>
  </si>
  <si>
    <t>Intrinsic Value / Share ($)</t>
  </si>
  <si>
    <t>Upside / (Downside) vs Current Price</t>
  </si>
  <si>
    <t>Implied P/NTA Multiple</t>
  </si>
  <si>
    <t>PROBABILITY WEIGHTING</t>
  </si>
  <si>
    <t>Scenario Weight</t>
  </si>
  <si>
    <t>Weight Check (should = 100%)</t>
  </si>
  <si>
    <t>PROBABILITY-WEIGHTED INTRINSIC VALUE</t>
  </si>
  <si>
    <t>Weighted Upside / (Downside)</t>
  </si>
  <si>
    <t>Recommended Entry Price (= weighted IV, no FCF IRR exists)</t>
  </si>
  <si>
    <t>Note</t>
  </si>
  <si>
    <t>No conventional 15%-IRR entry-price formula applies: there is no distributable interim cash flow</t>
  </si>
  <si>
    <t>or compounding exit value to discount. Entry price = probability-weighted fair value.</t>
  </si>
  <si>
    <t>Net Tangible Asset Bridge</t>
  </si>
  <si>
    <t>FY2025</t>
  </si>
  <si>
    <t>FY2026</t>
  </si>
  <si>
    <t>Change</t>
  </si>
  <si>
    <t>Cash &amp; Equivalents</t>
  </si>
  <si>
    <t>Prepayments</t>
  </si>
  <si>
    <t>Other Receivables</t>
  </si>
  <si>
    <t>Total Assets</t>
  </si>
  <si>
    <t>Trade Payables</t>
  </si>
  <si>
    <t>Total Liabilities</t>
  </si>
  <si>
    <t>Total Equity / NTA</t>
  </si>
  <si>
    <t>NTA per Share (cents)</t>
  </si>
  <si>
    <t>Total Debt</t>
  </si>
  <si>
    <t>Pending shareholder loan (not yet drawn at FY26 BS date)</t>
  </si>
  <si>
    <t>$3.89M unrecognised tax losses - excluded from NTA (continuity risk on RTO)</t>
  </si>
  <si>
    <t>Cash Burn &amp; Runway Schedule (illustrative, funding-mechanism disclosure only)</t>
  </si>
  <si>
    <t>Burn is NOT subtracted from scenario equity values a second time - see model note.</t>
  </si>
  <si>
    <t>FY2026 Actual</t>
  </si>
  <si>
    <t>Cash Start</t>
  </si>
  <si>
    <t>Net Operating Outflow</t>
  </si>
  <si>
    <t>Cash End</t>
  </si>
  <si>
    <t>Base Case Burn Path</t>
  </si>
  <si>
    <t>FY2027</t>
  </si>
  <si>
    <t>FY2028</t>
  </si>
  <si>
    <t>FY2029</t>
  </si>
  <si>
    <t>FY2030</t>
  </si>
  <si>
    <t>FY2031</t>
  </si>
  <si>
    <t>Bear Case Burn Path</t>
  </si>
  <si>
    <t>Bull Case Burn Path (pre-transaction only)</t>
  </si>
  <si>
    <t>not modelled post-RTO</t>
  </si>
  <si>
    <t>Pending Shareholder Loan ($)</t>
  </si>
  <si>
    <t>Expected Advance</t>
  </si>
  <si>
    <t>July 2026</t>
  </si>
  <si>
    <t>Runway extension at FY26 burn rate (years)</t>
  </si>
  <si>
    <t>Price / NTA Sanity Check</t>
  </si>
  <si>
    <t>RTO.NZ has traded freely (not pinned at a tick floor) in a persistent premium-to-book range.</t>
  </si>
  <si>
    <t>Date/Period</t>
  </si>
  <si>
    <t>Price (NZD)</t>
  </si>
  <si>
    <t>NTA/share (NZD)</t>
  </si>
  <si>
    <t>P/NTA</t>
  </si>
  <si>
    <t>2024-08 (post-consol.)</t>
  </si>
  <si>
    <t>2025-03 (~FY25 YE)</t>
  </si>
  <si>
    <t>2025-08 (~H1 FY26)</t>
  </si>
  <si>
    <t>2026-03 (~FY26 YE)</t>
  </si>
  <si>
    <t>2026-08 (current)</t>
  </si>
  <si>
    <t>Observed range (12mo): ~4.5x - 6.9x P/NTA</t>
  </si>
  <si>
    <t>This model's weighted IV implies P/NTA:</t>
  </si>
  <si>
    <t>i.e. BELOW the low end of the observed trading range - a deliberately</t>
  </si>
  <si>
    <t>conservative read that treats years of unconverted RTO "discussions" as genuinely uncertain.</t>
  </si>
  <si>
    <t>Model Provenance &amp; Notes</t>
  </si>
  <si>
    <t>Built by</t>
  </si>
  <si>
    <t>Claude agent (dcf-analyst role), Stocks Research pipeline</t>
  </si>
  <si>
    <t>Valuation date</t>
  </si>
  <si>
    <t>2026-08-09</t>
  </si>
  <si>
    <t>Price date/source</t>
  </si>
  <si>
    <t>RTO.NZ live quote via Yahoo Finance chart API, NZ$0.119 close 7-Aug-2026 (confirmed by 5-day chart request at model-build time)</t>
  </si>
  <si>
    <t>Ticker note</t>
  </si>
  <si>
    <t>BGI.NZ is a dead/legacy Yahoo symbol frozen 30-Apr-2024 pre-consolidation. Live instrument is RTO.NZ. Both refer to the same NZX issuer (RTO Limited, formerly Blackwell Global Holdings Limited).</t>
  </si>
  <si>
    <t>Data vintage</t>
  </si>
  <si>
    <t>FY2026 audited annual report (year ended 31-Mar-2026), signed by auditor William Buck 24-Jun-2026; company financials from BGI.NZ_Metrics.csv and BGI.NZ_Annual_FY2026.txt</t>
  </si>
  <si>
    <t>Methodology</t>
  </si>
  <si>
    <t>Asset / scenario-weighted valuation, NOT a growth or cash-flow DCF. No operating business, no revenue, negative owner FCF every year. Structural precedent: AFC.NZ (research/AFC.NZ/Reports/AFC.NZ_DCF.json), a comparable NZX distressed cash shell.</t>
  </si>
  <si>
    <t>Scenario logic</t>
  </si>
  <si>
    <t>Bear = no RTO, shareholder loan subordinates equity, wind-up/dilution (60% weight). Base = eventual heavily-dilutive RTO, value = NTA + NZ$500k shell premium (32% weight). Bull = prompt favourable RTO, shell value at NZ$2.5M precedent top (8% weight).</t>
  </si>
  <si>
    <t>Key facts used</t>
  </si>
  <si>
    <t>FY2026 net loss $173,831; cash $114,903 (runway &lt;8mo pre-loan); NTA $187,125 (1.87c/share); zero debt but $200,000 shareholder loan pending (expected Jul-2026, not yet drawn at BS date); going-concern material uncertainty per auditor; &gt;81% combined shareholder control (BGGL 74.08% + Kaw Sing Chai 7.59%); $3.89M unrecognised tax losses at continuity risk.</t>
  </si>
  <si>
    <t>What to refresh next</t>
  </si>
  <si>
    <t>Re-check RTO.NZ live price and re-verify the FY2026 figures are still current after the next annual/half-year report (H1 FY2027, expected ~Nov 2026). Confirm whether the $200,000 shareholder loan was actually advanced as planned in July 2026, and whether any RTO MOU/LOI has since been signed - either development should materially shift the bear/base/bull weighting.</t>
  </si>
  <si>
    <t>Colour conventions</t>
  </si>
  <si>
    <t>Gray cells = editable inputs. White cells with borders = formulas. Green cells = key output results. Red cell (Read Me sheet) = warning banner.</t>
  </si>
  <si>
    <t>Caveat</t>
  </si>
  <si>
    <t>All figures are point-in-time and WILL go stale. This is a going-concern-qualified, &gt;81%-controlled, sub-NZ$1.2M market-cap nano-cap shell whose entire value proposition depends on an unscheduled future transaction - re-verify every input before relying on this model.</t>
  </si>
</sst>
</file>

<file path=xl/styles.xml><?xml version="1.0" encoding="utf-8"?>
<styleSheet xmlns="http://schemas.openxmlformats.org/spreadsheetml/2006/main">
  <numFmts count="5">
    <numFmt numFmtId="164" formatCode="&quot;$&quot;0.0000"/>
    <numFmt numFmtId="165" formatCode="#,##0"/>
    <numFmt numFmtId="166" formatCode="0.00"/>
    <numFmt numFmtId="167" formatCode="0.0%"/>
    <numFmt numFmtId="168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3031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0" borderId="1" xfId="0" applyNumberFormat="1" applyBorder="1"/>
    <xf numFmtId="0" fontId="1" fillId="4" borderId="1" xfId="0" applyFont="1" applyFill="1" applyBorder="1"/>
    <xf numFmtId="165" fontId="0" fillId="0" borderId="1" xfId="0" applyNumberFormat="1" applyBorder="1"/>
    <xf numFmtId="16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7" fontId="0" fillId="3" borderId="1" xfId="0" applyNumberFormat="1" applyFill="1" applyBorder="1"/>
    <xf numFmtId="164" fontId="1" fillId="5" borderId="1" xfId="0" applyNumberFormat="1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18"/>
  <sheetViews>
    <sheetView tabSelected="1" workbookViewId="0"/>
  </sheetViews>
  <sheetFormatPr defaultRowHeight="15"/>
  <cols>
    <col min="1" max="1" width="100.7109375" customWidth="1"/>
  </cols>
  <sheetData>
    <row r="3" spans="1:1">
      <c r="A3" s="1" t="s">
        <v>0</v>
      </c>
    </row>
    <row r="5" spans="1:1">
      <c r="A5" s="2" t="s">
        <v>1</v>
      </c>
    </row>
    <row r="6" spans="1:1">
      <c r="A6" t="s">
        <v>2</v>
      </c>
    </row>
    <row r="7" spans="1:1">
      <c r="A7" t="s">
        <v>3</v>
      </c>
    </row>
    <row r="8" spans="1:1">
      <c r="A8" t="s">
        <v>4</v>
      </c>
    </row>
    <row r="9" spans="1:1">
      <c r="A9" t="s">
        <v>5</v>
      </c>
    </row>
    <row r="11" spans="1:1">
      <c r="A11" s="2" t="s">
        <v>6</v>
      </c>
    </row>
    <row r="12" spans="1:1">
      <c r="A12" t="s">
        <v>7</v>
      </c>
    </row>
    <row r="14" spans="1:1">
      <c r="A14" t="s">
        <v>8</v>
      </c>
    </row>
    <row r="15" spans="1:1">
      <c r="A15" t="s">
        <v>9</v>
      </c>
    </row>
    <row r="17" spans="1:1">
      <c r="A17" s="2" t="s">
        <v>10</v>
      </c>
    </row>
    <row r="18" spans="1:1">
      <c r="A1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32.7109375" customWidth="1"/>
    <col min="2" max="5" width="16.7109375" customWidth="1"/>
  </cols>
  <sheetData>
    <row r="1" spans="1:4">
      <c r="A1" s="3" t="s">
        <v>12</v>
      </c>
    </row>
    <row r="2" spans="1:4">
      <c r="A2" s="4" t="s">
        <v>13</v>
      </c>
    </row>
    <row r="4" spans="1:4">
      <c r="A4" s="5" t="s">
        <v>14</v>
      </c>
    </row>
    <row r="5" spans="1:4">
      <c r="A5" t="s">
        <v>15</v>
      </c>
      <c r="B5" s="6">
        <v>0.119</v>
      </c>
    </row>
    <row r="6" spans="1:4">
      <c r="A6" t="s">
        <v>16</v>
      </c>
      <c r="B6" s="7">
        <v>10.000026</v>
      </c>
    </row>
    <row r="7" spans="1:4">
      <c r="A7" t="s">
        <v>17</v>
      </c>
      <c r="B7" s="7">
        <v>187125</v>
      </c>
    </row>
    <row r="8" spans="1:4">
      <c r="A8" t="s">
        <v>18</v>
      </c>
      <c r="B8" s="7">
        <v>114903</v>
      </c>
    </row>
    <row r="9" spans="1:4">
      <c r="A9" t="s">
        <v>19</v>
      </c>
      <c r="B9" s="7">
        <v>0</v>
      </c>
    </row>
    <row r="10" spans="1:4">
      <c r="A10" t="s">
        <v>20</v>
      </c>
      <c r="B10" s="7">
        <v>200000</v>
      </c>
    </row>
    <row r="11" spans="1:4">
      <c r="A11" t="s">
        <v>21</v>
      </c>
      <c r="B11" s="7">
        <v>173632</v>
      </c>
    </row>
    <row r="12" spans="1:4">
      <c r="A12" t="s">
        <v>22</v>
      </c>
      <c r="B12" s="8">
        <f>B8/B11</f>
        <v>0</v>
      </c>
    </row>
    <row r="14" spans="1:4">
      <c r="A14" s="5" t="s">
        <v>23</v>
      </c>
    </row>
    <row r="15" spans="1:4">
      <c r="B15" s="9" t="s">
        <v>24</v>
      </c>
      <c r="C15" s="9" t="s">
        <v>25</v>
      </c>
      <c r="D15" s="9" t="s">
        <v>26</v>
      </c>
    </row>
    <row r="16" spans="1:4">
      <c r="A16" t="s">
        <v>27</v>
      </c>
      <c r="B16" t="s">
        <v>28</v>
      </c>
      <c r="C16" t="s">
        <v>29</v>
      </c>
      <c r="D16" t="s">
        <v>30</v>
      </c>
    </row>
    <row r="17" spans="1:4">
      <c r="A17" t="s">
        <v>31</v>
      </c>
      <c r="B17" s="7">
        <v>20000</v>
      </c>
      <c r="C17" s="7">
        <v>500000</v>
      </c>
      <c r="D17" s="7">
        <v>2500000</v>
      </c>
    </row>
    <row r="18" spans="1:4">
      <c r="A18" t="s">
        <v>32</v>
      </c>
      <c r="B18" s="7">
        <v>0</v>
      </c>
      <c r="C18" s="7">
        <v>1</v>
      </c>
      <c r="D18" s="7">
        <v>0</v>
      </c>
    </row>
    <row r="19" spans="1:4">
      <c r="A19" t="s">
        <v>33</v>
      </c>
      <c r="B19" s="10">
        <f>B17+B18*$B$7</f>
        <v>0</v>
      </c>
      <c r="C19" s="10">
        <f>C17+C18*$B$7</f>
        <v>0</v>
      </c>
      <c r="D19" s="10">
        <f>D17+D18*$B$7</f>
        <v>0</v>
      </c>
    </row>
    <row r="20" spans="1:4">
      <c r="A20" t="s">
        <v>34</v>
      </c>
      <c r="B20" s="11">
        <f>B19/$B$6</f>
        <v>0</v>
      </c>
      <c r="C20" s="11">
        <f>C19/$B$6</f>
        <v>0</v>
      </c>
      <c r="D20" s="11">
        <f>D19/$B$6</f>
        <v>0</v>
      </c>
    </row>
    <row r="21" spans="1:4">
      <c r="A21" t="s">
        <v>35</v>
      </c>
      <c r="B21" s="12">
        <f>(B20-$B$5)/$B$5</f>
        <v>0</v>
      </c>
      <c r="C21" s="12">
        <f>(C20-$B$5)/$B$5</f>
        <v>0</v>
      </c>
      <c r="D21" s="12">
        <f>(D20-$B$5)/$B$5</f>
        <v>0</v>
      </c>
    </row>
    <row r="22" spans="1:4">
      <c r="A22" t="s">
        <v>36</v>
      </c>
      <c r="B22" s="13">
        <f>B19/$B$7</f>
        <v>0</v>
      </c>
      <c r="C22" s="13">
        <f>C19/$B$7</f>
        <v>0</v>
      </c>
      <c r="D22" s="13">
        <f>D19/$B$7</f>
        <v>0</v>
      </c>
    </row>
    <row r="24" spans="1:4">
      <c r="A24" s="5" t="s">
        <v>37</v>
      </c>
    </row>
    <row r="25" spans="1:4">
      <c r="A25" t="s">
        <v>38</v>
      </c>
      <c r="B25" s="14">
        <v>0.6</v>
      </c>
      <c r="C25" s="14">
        <v>0.32</v>
      </c>
      <c r="D25" s="14">
        <v>0.08</v>
      </c>
    </row>
    <row r="26" spans="1:4">
      <c r="A26" t="s">
        <v>39</v>
      </c>
      <c r="B26" s="12">
        <f>SUM(B25:D25)</f>
        <v>0</v>
      </c>
    </row>
    <row r="28" spans="1:4">
      <c r="A28" s="2" t="s">
        <v>40</v>
      </c>
      <c r="B28" s="15">
        <f>SUMPRODUCT(B20:D20,B25:D25)</f>
        <v>0</v>
      </c>
    </row>
    <row r="29" spans="1:4">
      <c r="A29" t="s">
        <v>41</v>
      </c>
      <c r="B29" s="12">
        <f>(B28-$B$5)/$B$5</f>
        <v>0</v>
      </c>
    </row>
    <row r="31" spans="1:4">
      <c r="A31" t="s">
        <v>42</v>
      </c>
      <c r="B31" s="15">
        <f>B28</f>
        <v>0</v>
      </c>
    </row>
    <row r="32" spans="1:4">
      <c r="A32" t="s">
        <v>43</v>
      </c>
    </row>
    <row r="33" spans="1:1">
      <c r="A33" s="16" t="s">
        <v>44</v>
      </c>
    </row>
    <row r="34" spans="1:1">
      <c r="A34" s="1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34.7109375" customWidth="1"/>
    <col min="2" max="4" width="16.7109375" customWidth="1"/>
  </cols>
  <sheetData>
    <row r="1" spans="1:4">
      <c r="A1" s="3" t="s">
        <v>46</v>
      </c>
    </row>
    <row r="3" spans="1:4">
      <c r="A3" s="9"/>
      <c r="B3" s="9" t="s">
        <v>47</v>
      </c>
      <c r="C3" s="9" t="s">
        <v>48</v>
      </c>
      <c r="D3" s="9" t="s">
        <v>49</v>
      </c>
    </row>
    <row r="5" spans="1:4">
      <c r="A5" t="s">
        <v>50</v>
      </c>
      <c r="B5" s="10">
        <v>288535</v>
      </c>
      <c r="C5" s="10">
        <v>114903</v>
      </c>
      <c r="D5" s="10">
        <f>C5-B5</f>
        <v>0</v>
      </c>
    </row>
    <row r="6" spans="1:4">
      <c r="A6" t="s">
        <v>51</v>
      </c>
      <c r="C6" s="10">
        <v>8712</v>
      </c>
    </row>
    <row r="7" spans="1:4">
      <c r="A7" t="s">
        <v>52</v>
      </c>
      <c r="C7" s="10">
        <v>78335</v>
      </c>
    </row>
    <row r="8" spans="1:4">
      <c r="A8" t="s">
        <v>53</v>
      </c>
      <c r="C8" s="10">
        <v>202081</v>
      </c>
    </row>
    <row r="9" spans="1:4">
      <c r="A9" t="s">
        <v>54</v>
      </c>
      <c r="C9" s="10">
        <v>2519</v>
      </c>
    </row>
    <row r="10" spans="1:4">
      <c r="A10" t="s">
        <v>55</v>
      </c>
      <c r="B10" s="10">
        <v>15953</v>
      </c>
      <c r="C10" s="10">
        <v>14956</v>
      </c>
      <c r="D10" s="10">
        <f>C10-B10</f>
        <v>0</v>
      </c>
    </row>
    <row r="11" spans="1:4">
      <c r="A11" t="s">
        <v>56</v>
      </c>
      <c r="B11" s="10">
        <v>360956</v>
      </c>
      <c r="C11" s="10">
        <v>187125</v>
      </c>
      <c r="D11" s="10">
        <f>C11-B11</f>
        <v>0</v>
      </c>
    </row>
    <row r="13" spans="1:4">
      <c r="A13" s="2" t="s">
        <v>57</v>
      </c>
      <c r="B13" s="10">
        <v>3.61</v>
      </c>
      <c r="C13" s="10">
        <v>1.87</v>
      </c>
    </row>
    <row r="14" spans="1:4">
      <c r="A14" t="s">
        <v>16</v>
      </c>
      <c r="B14" s="10">
        <v>10.000026</v>
      </c>
      <c r="C14" s="10">
        <v>10.000026</v>
      </c>
    </row>
    <row r="17" spans="1:3">
      <c r="A17" s="2" t="s">
        <v>58</v>
      </c>
      <c r="B17" s="10">
        <v>0</v>
      </c>
      <c r="C17" s="10">
        <v>0</v>
      </c>
    </row>
    <row r="18" spans="1:3">
      <c r="A18" t="s">
        <v>59</v>
      </c>
      <c r="C18" s="10">
        <v>200000</v>
      </c>
    </row>
    <row r="19" spans="1:3">
      <c r="A19" s="16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8.7109375" customWidth="1"/>
    <col min="2" max="7" width="13.7109375" customWidth="1"/>
  </cols>
  <sheetData>
    <row r="1" spans="1:6">
      <c r="A1" s="3" t="s">
        <v>61</v>
      </c>
    </row>
    <row r="2" spans="1:6">
      <c r="A2" s="4" t="s">
        <v>62</v>
      </c>
    </row>
    <row r="4" spans="1:6">
      <c r="A4" s="2" t="s">
        <v>63</v>
      </c>
      <c r="B4" t="s">
        <v>64</v>
      </c>
      <c r="C4" s="10">
        <v>288535</v>
      </c>
    </row>
    <row r="5" spans="1:6">
      <c r="B5" t="s">
        <v>65</v>
      </c>
      <c r="C5" s="10">
        <v>-173632</v>
      </c>
    </row>
    <row r="6" spans="1:6">
      <c r="B6" t="s">
        <v>66</v>
      </c>
      <c r="C6" s="10">
        <f>C4+C5</f>
        <v>0</v>
      </c>
    </row>
    <row r="8" spans="1:6">
      <c r="A8" s="2" t="s">
        <v>67</v>
      </c>
    </row>
    <row r="9" spans="1:6">
      <c r="B9" s="9" t="s">
        <v>68</v>
      </c>
      <c r="C9" s="9" t="s">
        <v>69</v>
      </c>
      <c r="D9" s="9" t="s">
        <v>70</v>
      </c>
      <c r="E9" s="9" t="s">
        <v>71</v>
      </c>
      <c r="F9" s="9" t="s">
        <v>72</v>
      </c>
    </row>
    <row r="10" spans="1:6">
      <c r="B10" s="10">
        <v>-180000</v>
      </c>
      <c r="C10" s="10">
        <v>-160000</v>
      </c>
      <c r="D10" s="10">
        <v>-140000</v>
      </c>
      <c r="E10" s="10">
        <v>-130000</v>
      </c>
      <c r="F10" s="10">
        <v>-120000</v>
      </c>
    </row>
    <row r="12" spans="1:6">
      <c r="A12" s="2" t="s">
        <v>73</v>
      </c>
    </row>
    <row r="13" spans="1:6">
      <c r="B13" s="9" t="s">
        <v>68</v>
      </c>
      <c r="C13" s="9" t="s">
        <v>69</v>
      </c>
      <c r="D13" s="9" t="s">
        <v>70</v>
      </c>
      <c r="E13" s="9" t="s">
        <v>71</v>
      </c>
      <c r="F13" s="9" t="s">
        <v>72</v>
      </c>
    </row>
    <row r="14" spans="1:6">
      <c r="B14" s="10">
        <v>-200000</v>
      </c>
      <c r="C14" s="10">
        <v>-150000</v>
      </c>
      <c r="D14" s="10">
        <v>0</v>
      </c>
      <c r="E14" s="10">
        <v>0</v>
      </c>
      <c r="F14" s="10">
        <v>0</v>
      </c>
    </row>
    <row r="16" spans="1:6">
      <c r="A16" s="2" t="s">
        <v>74</v>
      </c>
    </row>
    <row r="17" spans="1:6">
      <c r="B17" s="9" t="s">
        <v>68</v>
      </c>
      <c r="C17" s="9" t="s">
        <v>69</v>
      </c>
      <c r="D17" s="9" t="s">
        <v>70</v>
      </c>
      <c r="E17" s="9" t="s">
        <v>71</v>
      </c>
      <c r="F17" s="9" t="s">
        <v>72</v>
      </c>
    </row>
    <row r="18" spans="1:6">
      <c r="B18" s="10">
        <v>-150000</v>
      </c>
      <c r="C18" t="s">
        <v>75</v>
      </c>
      <c r="D18" t="s">
        <v>75</v>
      </c>
      <c r="E18" t="s">
        <v>75</v>
      </c>
      <c r="F18" t="s">
        <v>75</v>
      </c>
    </row>
    <row r="20" spans="1:6">
      <c r="A20" s="2" t="s">
        <v>76</v>
      </c>
      <c r="B20" s="10">
        <v>200000</v>
      </c>
    </row>
    <row r="21" spans="1:6">
      <c r="A21" t="s">
        <v>77</v>
      </c>
      <c r="B21" t="s">
        <v>78</v>
      </c>
    </row>
    <row r="22" spans="1:6">
      <c r="A22" t="s">
        <v>79</v>
      </c>
      <c r="B22" s="8">
        <f>200000/173632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5" width="16.7109375" customWidth="1"/>
  </cols>
  <sheetData>
    <row r="1" spans="1:4">
      <c r="A1" s="3" t="s">
        <v>80</v>
      </c>
    </row>
    <row r="2" spans="1:4">
      <c r="A2" s="4" t="s">
        <v>81</v>
      </c>
    </row>
    <row r="4" spans="1:4">
      <c r="A4" s="9" t="s">
        <v>82</v>
      </c>
      <c r="B4" s="9" t="s">
        <v>83</v>
      </c>
      <c r="C4" s="9" t="s">
        <v>84</v>
      </c>
      <c r="D4" s="9" t="s">
        <v>85</v>
      </c>
    </row>
    <row r="6" spans="1:4">
      <c r="A6" t="s">
        <v>86</v>
      </c>
      <c r="B6" s="11">
        <v>0.285</v>
      </c>
    </row>
    <row r="7" spans="1:4">
      <c r="A7" t="s">
        <v>87</v>
      </c>
      <c r="B7" s="11">
        <v>0.168</v>
      </c>
      <c r="C7" s="11">
        <v>0.0361</v>
      </c>
      <c r="D7" s="13">
        <f>B7/C7</f>
        <v>0</v>
      </c>
    </row>
    <row r="8" spans="1:4">
      <c r="A8" t="s">
        <v>88</v>
      </c>
      <c r="B8" s="11">
        <v>0.138</v>
      </c>
      <c r="C8" s="11">
        <v>0.0305</v>
      </c>
      <c r="D8" s="13">
        <f>B8/C8</f>
        <v>0</v>
      </c>
    </row>
    <row r="9" spans="1:4">
      <c r="A9" t="s">
        <v>89</v>
      </c>
      <c r="B9" s="11">
        <v>0.129</v>
      </c>
      <c r="C9" s="11">
        <v>0.0187</v>
      </c>
      <c r="D9" s="13">
        <f>B9/C9</f>
        <v>0</v>
      </c>
    </row>
    <row r="10" spans="1:4">
      <c r="A10" t="s">
        <v>90</v>
      </c>
      <c r="B10" s="11">
        <v>0.119</v>
      </c>
      <c r="C10" s="11">
        <v>0.0187</v>
      </c>
      <c r="D10" s="13">
        <f>B10/C10</f>
        <v>0</v>
      </c>
    </row>
    <row r="12" spans="1:4">
      <c r="A12" s="2" t="s">
        <v>91</v>
      </c>
    </row>
    <row r="13" spans="1:4">
      <c r="A13" s="2" t="s">
        <v>92</v>
      </c>
      <c r="B13" s="13">
        <f>'Scenario Build'!B28*'Scenario Build'!B6/'Scenario Build'!B7</f>
        <v>0</v>
      </c>
    </row>
    <row r="14" spans="1:4">
      <c r="A14" s="16" t="s">
        <v>93</v>
      </c>
    </row>
    <row r="15" spans="1:4">
      <c r="A15" s="16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3" t="s">
        <v>95</v>
      </c>
    </row>
    <row r="3" spans="1:2">
      <c r="A3" s="2" t="s">
        <v>96</v>
      </c>
      <c r="B3" s="16" t="s">
        <v>97</v>
      </c>
    </row>
    <row r="4" spans="1:2">
      <c r="A4" s="2" t="s">
        <v>98</v>
      </c>
      <c r="B4" s="16" t="s">
        <v>99</v>
      </c>
    </row>
    <row r="5" spans="1:2">
      <c r="A5" s="2" t="s">
        <v>100</v>
      </c>
      <c r="B5" s="16" t="s">
        <v>101</v>
      </c>
    </row>
    <row r="6" spans="1:2">
      <c r="A6" s="2" t="s">
        <v>102</v>
      </c>
      <c r="B6" s="16" t="s">
        <v>103</v>
      </c>
    </row>
    <row r="7" spans="1:2">
      <c r="A7" s="2" t="s">
        <v>104</v>
      </c>
      <c r="B7" s="16" t="s">
        <v>105</v>
      </c>
    </row>
    <row r="8" spans="1:2">
      <c r="A8" s="2" t="s">
        <v>106</v>
      </c>
      <c r="B8" s="16" t="s">
        <v>107</v>
      </c>
    </row>
    <row r="9" spans="1:2">
      <c r="A9" s="2" t="s">
        <v>108</v>
      </c>
      <c r="B9" s="16" t="s">
        <v>109</v>
      </c>
    </row>
    <row r="10" spans="1:2">
      <c r="A10" s="2" t="s">
        <v>110</v>
      </c>
      <c r="B10" s="16" t="s">
        <v>111</v>
      </c>
    </row>
    <row r="11" spans="1:2">
      <c r="A11" s="2" t="s">
        <v>112</v>
      </c>
      <c r="B11" s="16" t="s">
        <v>113</v>
      </c>
    </row>
    <row r="12" spans="1:2">
      <c r="A12" s="2" t="s">
        <v>114</v>
      </c>
      <c r="B12" s="16" t="s">
        <v>115</v>
      </c>
    </row>
    <row r="13" spans="1:2">
      <c r="A13" s="2" t="s">
        <v>116</v>
      </c>
      <c r="B13" s="1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 FIRST</vt:lpstr>
      <vt:lpstr>Scenario Build</vt:lpstr>
      <vt:lpstr>NTA Bridge</vt:lpstr>
      <vt:lpstr>Burn &amp; Runway</vt:lpstr>
      <vt:lpstr>P-NTA 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2026-08-09T05:37:36Z</dcterms:created>
  <dcterms:modified xsi:type="dcterms:W3CDTF">2026-08-09T05:37:36Z</dcterms:modified>
</cp:coreProperties>
</file>