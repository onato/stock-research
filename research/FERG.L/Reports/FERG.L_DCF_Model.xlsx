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<sst xmlns="http://schemas.openxmlformats.org/spreadsheetml/2006/main" count="348" uniqueCount="162">
  <si>
    <t xml:space="preserve">Ticker</t>
  </si>
  <si>
    <t xml:space="preserve">FERG.L</t>
  </si>
  <si>
    <t xml:space="preserve">Company</t>
  </si>
  <si>
    <t xml:space="preserve">Ferguson Enterprises Inc.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</si>
  <si>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</si>
  <si>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</si>
  <si>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</si>
  <si>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</si>
  <si>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2026-10-09T20:00:02Z regular close, NYSE (FERG)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</si>
  <si>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</si>
  <si>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</si>
  <si>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</si>
  <si>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</si>
  <si>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</si>
  <si>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</si>
  <si>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</si>
  <si>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</si>
  <si>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</si>
  <si>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</si>
  <si>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</si>
  <si>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</si>
  <si>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2026-10-09T23:07:15Z</t>
  </si>
  <si>
    <t xml:space="preserve">Drivers file</t>
  </si>
  <si>
    <t xml:space="preserve">FERG.L_Drivers.json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</si>
  <si>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</si>
  <si>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</si>
  <si>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</si>
  <si>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House basis: unlevered owner FCF with SBC fully expensed (immaterial here at ~0.25% of sales, so house and street values nearly coincide), bolt-on M&amp;A charged as growth capex because the growth path includes what it buys, working capital charged as a cash consumer, leases charged once via US GAAP operating cost, and a 15x cyclical cap on terminal FCF. Ferguson is a high-quality compounder of a thin-margin distribution model; the valuation question is price, not quality. At the current price the market is paying roughly 27x levered owner FCF (~21x CY2026 adjusted EPS), which this model only reaches on the bull path.
key_risks_to_valuation: Residential construction/RMI stays depressed longer than the base path's 2027 recovery (half of revenue); Data-center/large-project cycle peaks, removing the non-residential offset that has carried growth since FY2024; Tariff and commodity (copper, steel, PVC) swings: deflation squeezes gross margin, inflation that cannot be passed through squeezes it too; M&amp;A treated as recurring capex at 1% of sales: if bolt-ons stop, growth should be read ~1pp lower, roughly offsetting the saved cash; Working-capital capture at -12% of incremental revenue; a single destock/restock year moves FCF by several hundred million dollars either way; Terminal value is cap-bound at 15x owner FCF; a buyer paying 18-20x for a scaled distributor (as the market does today) adds ~$30-40/share</t>
  </si>
  <si>
    <t xml:space="preserve">Data sources</t>
  </si>
  <si>
    <t xml:space="preserve">price: Yahoo Finance chart API, NYSE line FERG, regular close at inputs.price_as_of; 52-week range 212.13-271.64 USD. FERG.L returned no data on Yahoo (see inputs.fx_note).
financials: Form 10-KT transition report (Aug-Dec 2025) FERG.L_Annual_FY2026.txt; Form 10-K FY2025 (12m to 31-Jul-2025); Q4 FY2025 results presentation (FY2025 adjusted operating profit 2,842, adjusted EBITDA 3,059, FCF 1,654); Q1 CY2026 results presentation (31-Mar-2026 net debt 3,309, rolling-12m adjusted EBITDA 3,303, diluted shares 194.8m, unchanged CY2026 guidance). Metrics: research/FERG.L/Reports/FERG.L_Metrics.csv.
qualitative: research/FERG.L/Reports/FERG.L_Analysis.json (2026-10-10)</t>
  </si>
  <si>
    <t xml:space="preserve">Scenario narrative: bear</t>
  </si>
  <si>
    <t xml:space="preserve">Residential weakens further through 2027 (industry trackers already forecast 2026 starts down 6-17%), the data-center build-out proves closer to a peak than a ramp, and commodity deflation returns, so revenue stalls for two years. Tariff costs (~50% on many steel/aluminium/copper products) cannot be fully passed through into a soft market and operating deleverage takes adjusted operating margin back toward FY2020-21 levels (~8.8%). Growth resumes only at market rate from 2029 with a slower M&amp;A cadence. The balance sheet (1.0x leverage, $2.4bn undrawn facilities) is not at risk in this path; it is an earnings-power bear case, not a solvency one.</t>
  </si>
  <si>
    <t xml:space="preserve">Scenario narrative: base</t>
  </si>
  <si>
    <t xml:space="preserve">Ferguson keeps taking share in a fragmented ~$340bn market while its two end markets move in opposite directions: residential (~50% of sales) stays flat-to-down through 2026 and recovers gradually from 2027 as rates ease, while non-residential (waterworks, commercial/mechanical, data-center and fab projects) grows mid-to-high single digits. CY2026 lands inside guidance (sales +3.5%, adjusted operating margin ~9.6%, capex $350-400m, 26% tax), medium-term growth runs ~4-5% including ~1pp of bolt-ons, and margin drifts toward 10% adjusted operating / 11% pre-SBC EBITDA as the HVAC-everywhere and distribution-centre investments mature. Net debt stays ~1x EBITDA; buybacks keep the share count flat. Terminal value is bound by the 15x owner-FCF cap, not Gordon growth.</t>
  </si>
  <si>
    <t xml:space="preserve">Scenario narrative: bull</t>
  </si>
  <si>
    <t xml:space="preserve">The housing cycle turns in 2027: starts and RMI recover as mortgage rates fall, just as the large-capital-project pipeline (data centres, semiconductors, biotech, onshoring; ~$50bn addressable through 2030) continues to build. Ferguson converts both into 6-7% growth for three years with M&amp;A adding on top, and scale economics plus mix push adjusted operating margin through the FY2022 peak to ~10.6%. The bull case needs residential recovery AND continued non-residential strength AND margin expansion to coincide, which is why its weight is held below the house default.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</si>
  <si>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</si>
  <si>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</si>
  <si>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</si>
  <si>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</si>
  <si>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</si>
  <si>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</si>
  <si>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</si>
  <si>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</si>
  <si>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</si>
  <si>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</si>
  <si>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</si>
  <si>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</si>
  <si>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</si>
  <si>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</si>
  <si>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</si>
  <si>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</si>
  <si>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</si>
  <si>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</si>
  <si>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</si>
  <si>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</si>
  <si>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</si>
  <si>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</si>
  <si>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</si>
  <si>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</si>
  <si>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</si>
  <si>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</si>
  <si>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</si>
  <si>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InterestPaid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</si>
  <si>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</si>
  <si>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</si>
  <si>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</si>
  <si>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</si>
  <si>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</si>
  <si>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</si>
  <si>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</si>
  <si>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</si>
  <si>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</si>
  <si>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</si>
  <si>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</si>
  <si>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</si>
  <si>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</si>
  <si>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</si>
  <si>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</si>
  <si>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CY2025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</si>
  <si>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</si>
  <si>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</si>
  <si>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</si>
  <si>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</si>
  <si>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</si>
  <si>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</si>
  <si>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</si>
  <si>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</si>
  <si>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</si>
  <si>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t xml:space="preserve">CY2031</t>
  </si>
  <si>
    <t xml:space="preserve">CY2032</t>
  </si>
  <si>
    <t xml:space="preserve">CY2033</t>
  </si>
  <si>
    <t xml:space="preserve">CY2034</t>
  </si>
  <si>
    <t xml:space="preserve">CY2035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</si>
  <si>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</si>
  <si>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</si>
  <si>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</si>
  <si>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</si>
  <si>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</si>
  <si>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</si>
  <si>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</si>
  <si>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</si>
  <si>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</si>
  <si>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</si>
  <si>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</si>
  <si>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</si>
  <si>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</si>
  <si>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</si>
  <si>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FERG.L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</si>
  <si>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</si>
  <si>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</si>
  <si>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</si>
  <si>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</si>
  <si>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</si>
  <si>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</si>
  <si>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</si>
  <si>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</si>
  <si>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</si>
  <si>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</si>
  <si>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</si>
  <si>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</si>
  <si>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</si>
  <si>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</si>
  <si>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</si>
  <si>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</si>
  <si>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</si>
  <si>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</si>
  <si>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</si>
  <si>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</si>
  <si>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</si>
  <si>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</si>
  <si>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</si>
  <si>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</si>
  <si>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</si>
  <si>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</si>
  <si>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</si>
  <si>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</si>
  <si>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</si>
  <si>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</si>
  <si>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FERG.L owner-FCF component DCF: base case (millions, USD)</t>
  </si>
  <si>
    <t xml:space="preserve">FERG.L owner-FCF component DCF: bull case (millions, USD)</t>
  </si>
  <si>
    <t xml:space="preserve">FERG.L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</si>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</sst>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220.04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19940</v>
      </c>
      <c r="C2" s="0" t="n">
        <v>13957</v>
      </c>
      <c r="D2" s="0" t="n">
        <v>5983</v>
      </c>
      <c r="E2" s="0" t="n">
        <v>30</v>
      </c>
      <c r="F2" s="0" t="n">
        <v>1372</v>
      </c>
      <c r="G2" s="0" t="n">
        <v>6.9</v>
      </c>
      <c r="H2" s="0" t="n">
        <v>1654</v>
      </c>
      <c r="I2" s="0" t="n">
        <v>961</v>
      </c>
      <c r="J2" s="0" t="n">
        <v>4.8</v>
      </c>
      <c r="K2" s="0" t="n">
        <v>4.24</v>
      </c>
      <c r="L2" s="0" t="n">
        <v>1545</v>
      </c>
      <c r="M2" s="0" t="n">
        <v>283</v>
      </c>
      <c r="N2" s="0" t="n">
        <v>1262</v>
      </c>
      <c r="O2" s="0" t="n">
        <v>4371</v>
      </c>
      <c r="P2" s="0" t="n">
        <v>13456</v>
      </c>
      <c r="Q2" s="0" t="n">
        <v>9085</v>
      </c>
      <c r="R2" s="0" t="n">
        <v>3166</v>
      </c>
      <c r="S2" s="0" t="n">
        <v>2115</v>
      </c>
      <c r="T2" s="0" t="n">
        <v>226.8</v>
      </c>
      <c r="U2" s="0" t="n">
        <v>29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22792</v>
      </c>
      <c r="C3" s="0" t="n">
        <v>15812</v>
      </c>
      <c r="D3" s="0" t="n">
        <v>6980</v>
      </c>
      <c r="E3" s="0" t="n">
        <v>30.6</v>
      </c>
      <c r="F3" s="0" t="n">
        <v>1950</v>
      </c>
      <c r="G3" s="0" t="n">
        <v>8.6</v>
      </c>
      <c r="H3" s="0" t="n">
        <v>2248</v>
      </c>
      <c r="I3" s="0" t="n">
        <v>1472</v>
      </c>
      <c r="J3" s="0" t="n">
        <v>6.5</v>
      </c>
      <c r="K3" s="0" t="n">
        <v>6.55</v>
      </c>
      <c r="L3" s="0" t="n">
        <v>1382</v>
      </c>
      <c r="M3" s="0" t="n">
        <v>241</v>
      </c>
      <c r="N3" s="0" t="n">
        <v>1141</v>
      </c>
      <c r="O3" s="0" t="n">
        <v>5003</v>
      </c>
      <c r="P3" s="0" t="n">
        <v>13709</v>
      </c>
      <c r="Q3" s="0" t="n">
        <v>8706</v>
      </c>
      <c r="R3" s="0" t="n">
        <v>2512</v>
      </c>
      <c r="S3" s="0" t="n">
        <v>1335</v>
      </c>
      <c r="T3" s="0" t="n">
        <v>224.8</v>
      </c>
      <c r="U3" s="0" t="n">
        <v>77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28566</v>
      </c>
      <c r="C4" s="0" t="n">
        <v>19810</v>
      </c>
      <c r="D4" s="0" t="n">
        <v>8756</v>
      </c>
      <c r="E4" s="0" t="n">
        <v>30.7</v>
      </c>
      <c r="F4" s="0" t="n">
        <v>2820</v>
      </c>
      <c r="G4" s="0" t="n">
        <v>9.9</v>
      </c>
      <c r="H4" s="0" t="n">
        <v>3121</v>
      </c>
      <c r="I4" s="0" t="n">
        <v>2122</v>
      </c>
      <c r="J4" s="0" t="n">
        <v>7.4</v>
      </c>
      <c r="K4" s="0" t="n">
        <v>9.69</v>
      </c>
      <c r="L4" s="0" t="n">
        <v>1149</v>
      </c>
      <c r="M4" s="0" t="n">
        <v>290</v>
      </c>
      <c r="N4" s="0" t="n">
        <v>859</v>
      </c>
      <c r="O4" s="0" t="n">
        <v>4665</v>
      </c>
      <c r="P4" s="0" t="n">
        <v>15661</v>
      </c>
      <c r="Q4" s="0" t="n">
        <v>10996</v>
      </c>
      <c r="R4" s="0" t="n">
        <v>3929</v>
      </c>
      <c r="S4" s="0" t="n">
        <v>771</v>
      </c>
      <c r="T4" s="0" t="n">
        <v>218.9</v>
      </c>
      <c r="U4" s="0" t="n">
        <v>57</v>
      </c>
      <c r="V4" s="0" t="n">
        <v>2.505</v>
      </c>
      <c r="AA4" s="0" t="s">
        <v>17</v>
      </c>
      <c r="AB4" s="0" t="s">
        <v>14</v>
      </c>
      <c r="AC4" s="0" t="n">
        <v>94</v>
      </c>
    </row>
    <row r="5" customFormat="false" ht="15" hidden="false" customHeight="false" outlineLevel="0" collapsed="false">
      <c r="A5" s="0" t="s">
        <v>67</v>
      </c>
      <c r="B5" s="0" t="n">
        <v>29734</v>
      </c>
      <c r="C5" s="0" t="n">
        <v>20709</v>
      </c>
      <c r="D5" s="0" t="n">
        <v>9025</v>
      </c>
      <c r="E5" s="0" t="n">
        <v>30.4</v>
      </c>
      <c r="F5" s="0" t="n">
        <v>2659</v>
      </c>
      <c r="G5" s="0" t="n">
        <v>8.9</v>
      </c>
      <c r="H5" s="0" t="n">
        <v>2980</v>
      </c>
      <c r="I5" s="0" t="n">
        <v>1889</v>
      </c>
      <c r="J5" s="0" t="n">
        <v>6.4</v>
      </c>
      <c r="K5" s="0" t="n">
        <v>9.12</v>
      </c>
      <c r="L5" s="0" t="n">
        <v>2723</v>
      </c>
      <c r="M5" s="0" t="n">
        <v>441</v>
      </c>
      <c r="N5" s="0" t="n">
        <v>2282</v>
      </c>
      <c r="O5" s="0" t="n">
        <v>5037</v>
      </c>
      <c r="P5" s="0" t="n">
        <v>15994</v>
      </c>
      <c r="Q5" s="0" t="n">
        <v>10957</v>
      </c>
      <c r="R5" s="0" t="n">
        <v>3766</v>
      </c>
      <c r="S5" s="0" t="n">
        <v>601</v>
      </c>
      <c r="T5" s="0" t="n">
        <v>207.2</v>
      </c>
      <c r="U5" s="0" t="n">
        <v>51</v>
      </c>
      <c r="V5" s="0" t="n">
        <v>4.16</v>
      </c>
      <c r="AA5" s="0" t="s">
        <v>17</v>
      </c>
      <c r="AB5" s="0" t="s">
        <v>14</v>
      </c>
      <c r="AC5" s="0" t="n">
        <v>182</v>
      </c>
    </row>
    <row r="6" customFormat="false" ht="15" hidden="false" customHeight="false" outlineLevel="0" collapsed="false">
      <c r="A6" s="0" t="s">
        <v>68</v>
      </c>
      <c r="B6" s="0" t="n">
        <v>29635</v>
      </c>
      <c r="C6" s="0" t="n">
        <v>20582</v>
      </c>
      <c r="D6" s="0" t="n">
        <v>9053</v>
      </c>
      <c r="E6" s="0" t="n">
        <v>30.5</v>
      </c>
      <c r="F6" s="0" t="n">
        <v>2652</v>
      </c>
      <c r="G6" s="0" t="n">
        <v>8.9</v>
      </c>
      <c r="H6" s="0" t="n">
        <v>2987</v>
      </c>
      <c r="I6" s="0" t="n">
        <v>1735</v>
      </c>
      <c r="J6" s="0" t="n">
        <v>5.9</v>
      </c>
      <c r="K6" s="0" t="n">
        <v>8.53</v>
      </c>
      <c r="L6" s="0" t="n">
        <v>1873</v>
      </c>
      <c r="M6" s="0" t="n">
        <v>372</v>
      </c>
      <c r="N6" s="0" t="n">
        <v>1501</v>
      </c>
      <c r="O6" s="0" t="n">
        <v>5616</v>
      </c>
      <c r="P6" s="0" t="n">
        <v>16572</v>
      </c>
      <c r="Q6" s="0" t="n">
        <v>10956</v>
      </c>
      <c r="R6" s="0" t="n">
        <v>3924</v>
      </c>
      <c r="S6" s="0" t="n">
        <v>571</v>
      </c>
      <c r="T6" s="0" t="n">
        <v>203.5</v>
      </c>
      <c r="U6" s="0" t="n">
        <v>49</v>
      </c>
      <c r="V6" s="0" t="n">
        <v>3.12</v>
      </c>
      <c r="AA6" s="0" t="s">
        <v>17</v>
      </c>
      <c r="AB6" s="0" t="s">
        <v>14</v>
      </c>
      <c r="AC6" s="0" t="n">
        <v>188</v>
      </c>
    </row>
    <row r="7" customFormat="false" ht="15" hidden="false" customHeight="false" outlineLevel="0" collapsed="false">
      <c r="A7" s="0" t="s">
        <v>69</v>
      </c>
      <c r="B7" s="0" t="n">
        <v>30762</v>
      </c>
      <c r="C7" s="0" t="n">
        <v>21327</v>
      </c>
      <c r="D7" s="0" t="n">
        <v>9435</v>
      </c>
      <c r="E7" s="0" t="n">
        <v>30.7</v>
      </c>
      <c r="F7" s="0" t="n">
        <v>2606</v>
      </c>
      <c r="G7" s="0" t="n">
        <v>8.5</v>
      </c>
      <c r="H7" s="0" t="n">
        <v>2979</v>
      </c>
      <c r="I7" s="0" t="n">
        <v>1856</v>
      </c>
      <c r="J7" s="0" t="n">
        <v>6</v>
      </c>
      <c r="K7" s="0" t="n">
        <v>9.32</v>
      </c>
      <c r="L7" s="0" t="n">
        <v>1908</v>
      </c>
      <c r="M7" s="0" t="n">
        <v>305</v>
      </c>
      <c r="N7" s="0" t="n">
        <v>1603</v>
      </c>
      <c r="O7" s="0" t="n">
        <v>5832</v>
      </c>
      <c r="P7" s="0" t="n">
        <v>17729</v>
      </c>
      <c r="Q7" s="0" t="n">
        <v>11897</v>
      </c>
      <c r="R7" s="0" t="n">
        <v>4152</v>
      </c>
      <c r="S7" s="0" t="n">
        <v>674</v>
      </c>
      <c r="T7" s="0" t="n">
        <v>199.2</v>
      </c>
      <c r="U7" s="0" t="n">
        <v>28</v>
      </c>
      <c r="V7" s="0" t="n">
        <v>3.28</v>
      </c>
      <c r="AA7" s="0" t="s">
        <v>17</v>
      </c>
      <c r="AB7" s="0" t="s">
        <v>14</v>
      </c>
      <c r="AC7" s="0" t="n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70</v>
      </c>
      <c r="B1" s="2" t="s">
        <v>71</v>
      </c>
    </row>
    <row r="2" customFormat="false" ht="15" hidden="false" customHeight="false" outlineLevel="0" collapsed="false">
      <c r="A2" s="0" t="s">
        <v>72</v>
      </c>
      <c r="B2" s="3" t="n">
        <v>220.04</v>
      </c>
    </row>
    <row r="3" customFormat="false" ht="15" hidden="false" customHeight="false" outlineLevel="0" collapsed="false">
      <c r="A3" s="0" t="s">
        <v>73</v>
      </c>
      <c r="B3" s="3" t="n">
        <v>194.8</v>
      </c>
    </row>
    <row r="4" customFormat="false" ht="15" hidden="false" customHeight="false" outlineLevel="0" collapsed="false">
      <c r="A4" s="0" t="s">
        <v>74</v>
      </c>
      <c r="B4" s="3" t="n">
        <v>3309</v>
      </c>
    </row>
    <row r="5" customFormat="false" ht="15" hidden="false" customHeight="false" outlineLevel="0" collapsed="false">
      <c r="A5" s="0" t="s">
        <v>75</v>
      </c>
      <c r="B5" s="3" t="n">
        <v>0</v>
      </c>
    </row>
    <row r="6" customFormat="false" ht="15" hidden="false" customHeight="false" outlineLevel="0" collapsed="false">
      <c r="A6" s="0" t="s">
        <v>76</v>
      </c>
      <c r="B6" s="3" t="n">
        <v>15</v>
      </c>
    </row>
    <row r="7" customFormat="false" ht="15" hidden="false" customHeight="false" outlineLevel="0" collapsed="false">
      <c r="A7" s="0" t="s">
        <v>77</v>
      </c>
      <c r="B7" s="3" t="n">
        <v>31316</v>
      </c>
    </row>
    <row r="8" customFormat="false" ht="15" hidden="false" customHeight="false" outlineLevel="0" collapsed="false">
      <c r="A8" s="0" t="s">
        <v>78</v>
      </c>
      <c r="B8" s="3" t="s">
        <v>79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1.5</v>
      </c>
      <c r="D13" s="3" t="n">
        <v>0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95</v>
      </c>
      <c r="C14" s="3" t="n">
        <v>10.3</v>
      </c>
      <c r="D14" s="3" t="n">
        <v>10</v>
      </c>
      <c r="E14" s="3" t="n">
        <v>9.8</v>
      </c>
      <c r="F14" s="3" t="n">
        <v>9.8</v>
      </c>
      <c r="G14" s="3" t="n">
        <v>9.8</v>
      </c>
      <c r="H14" s="3" t="n">
        <v>9.8</v>
      </c>
      <c r="I14" s="3" t="n">
        <v>9.8</v>
      </c>
      <c r="J14" s="3" t="n">
        <v>9.8</v>
      </c>
      <c r="K14" s="3" t="n">
        <v>9.8</v>
      </c>
      <c r="L14" s="3" t="n">
        <v>9.8</v>
      </c>
    </row>
    <row r="15" customFormat="false" ht="15" hidden="false" customHeight="false" outlineLevel="0" collapsed="false">
      <c r="A15" s="0" t="s">
        <v>96</v>
      </c>
      <c r="C15" s="3" t="n">
        <v>0.25</v>
      </c>
      <c r="D15" s="3" t="n">
        <v>0.25</v>
      </c>
      <c r="E15" s="3" t="n">
        <v>0.25</v>
      </c>
      <c r="F15" s="3" t="n">
        <v>0.25</v>
      </c>
      <c r="G15" s="3" t="n">
        <v>0.25</v>
      </c>
      <c r="H15" s="3" t="n">
        <v>0.25</v>
      </c>
      <c r="I15" s="3" t="n">
        <v>0.25</v>
      </c>
      <c r="J15" s="3" t="n">
        <v>0.25</v>
      </c>
      <c r="K15" s="3" t="n">
        <v>0.25</v>
      </c>
      <c r="L15" s="3" t="n">
        <v>0.25</v>
      </c>
    </row>
    <row r="16" customFormat="false" ht="15" hidden="false" customHeight="false" outlineLevel="0" collapsed="false">
      <c r="A16" s="0" t="s">
        <v>97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98</v>
      </c>
      <c r="C17" s="3" t="n">
        <v>1.2</v>
      </c>
      <c r="D17" s="3" t="n">
        <v>1.2</v>
      </c>
      <c r="E17" s="3" t="n">
        <v>1.2</v>
      </c>
      <c r="F17" s="3" t="n">
        <v>1.2</v>
      </c>
      <c r="G17" s="3" t="n">
        <v>1.2</v>
      </c>
      <c r="H17" s="3" t="n">
        <v>1.2</v>
      </c>
      <c r="I17" s="3" t="n">
        <v>1.2</v>
      </c>
      <c r="J17" s="3" t="n">
        <v>1.2</v>
      </c>
      <c r="K17" s="3" t="n">
        <v>1.2</v>
      </c>
      <c r="L17" s="3" t="n">
        <v>1.2</v>
      </c>
    </row>
    <row r="18" customFormat="false" ht="15" hidden="false" customHeight="false" outlineLevel="0" collapsed="false">
      <c r="A18" s="0" t="s">
        <v>99</v>
      </c>
      <c r="C18" s="3" t="n">
        <v>2</v>
      </c>
      <c r="D18" s="3" t="n">
        <v>2</v>
      </c>
      <c r="E18" s="3" t="n">
        <v>2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</row>
    <row r="19" customFormat="false" ht="15" hidden="false" customHeight="false" outlineLevel="0" collapsed="false">
      <c r="A19" s="0" t="s">
        <v>100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101</v>
      </c>
      <c r="B20" s="3" t="n">
        <v>9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15</v>
      </c>
    </row>
    <row r="23" customFormat="false" ht="15" hidden="false" customHeight="false" outlineLevel="0" collapsed="false">
      <c r="A23" s="0" t="s">
        <v>104</v>
      </c>
      <c r="B23" s="3" t="n">
        <v>-12</v>
      </c>
    </row>
    <row r="24" customFormat="false" ht="15" hidden="false" customHeight="false" outlineLevel="0" collapsed="false">
      <c r="A24" s="0" t="s">
        <v>105</v>
      </c>
      <c r="B24" s="3" t="n">
        <v>0.25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3.5</v>
      </c>
      <c r="D27" s="3" t="n">
        <v>4.5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95</v>
      </c>
      <c r="C28" s="3" t="n">
        <v>10.6</v>
      </c>
      <c r="D28" s="3" t="n">
        <v>10.7</v>
      </c>
      <c r="E28" s="3" t="n">
        <v>10.8</v>
      </c>
      <c r="F28" s="3" t="n">
        <v>10.9</v>
      </c>
      <c r="G28" s="3" t="n">
        <v>11</v>
      </c>
      <c r="H28" s="3" t="n">
        <v>11</v>
      </c>
      <c r="I28" s="3" t="n">
        <v>11</v>
      </c>
      <c r="J28" s="3" t="n">
        <v>11</v>
      </c>
      <c r="K28" s="3" t="n">
        <v>11</v>
      </c>
      <c r="L28" s="3" t="n">
        <v>11</v>
      </c>
    </row>
    <row r="29" customFormat="false" ht="15" hidden="false" customHeight="false" outlineLevel="0" collapsed="false">
      <c r="A29" s="0" t="s">
        <v>96</v>
      </c>
      <c r="C29" s="3" t="n">
        <v>0.25</v>
      </c>
      <c r="D29" s="3" t="n">
        <v>0.25</v>
      </c>
      <c r="E29" s="3" t="n">
        <v>0.25</v>
      </c>
      <c r="F29" s="3" t="n">
        <v>0.25</v>
      </c>
      <c r="G29" s="3" t="n">
        <v>0.25</v>
      </c>
      <c r="H29" s="3" t="n">
        <v>0.25</v>
      </c>
      <c r="I29" s="3" t="n">
        <v>0.25</v>
      </c>
      <c r="J29" s="3" t="n">
        <v>0.25</v>
      </c>
      <c r="K29" s="3" t="n">
        <v>0.25</v>
      </c>
      <c r="L29" s="3" t="n">
        <v>0.25</v>
      </c>
    </row>
    <row r="30" customFormat="false" ht="15" hidden="false" customHeight="false" outlineLevel="0" collapsed="false">
      <c r="A30" s="0" t="s">
        <v>97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98</v>
      </c>
      <c r="C31" s="3" t="n">
        <v>1.2</v>
      </c>
      <c r="D31" s="3" t="n">
        <v>1.2</v>
      </c>
      <c r="E31" s="3" t="n">
        <v>1.2</v>
      </c>
      <c r="F31" s="3" t="n">
        <v>1.2</v>
      </c>
      <c r="G31" s="3" t="n">
        <v>1.2</v>
      </c>
      <c r="H31" s="3" t="n">
        <v>1.2</v>
      </c>
      <c r="I31" s="3" t="n">
        <v>1.2</v>
      </c>
      <c r="J31" s="3" t="n">
        <v>1.2</v>
      </c>
      <c r="K31" s="3" t="n">
        <v>1.2</v>
      </c>
      <c r="L31" s="3" t="n">
        <v>1.2</v>
      </c>
    </row>
    <row r="32" customFormat="false" ht="15" hidden="false" customHeight="false" outlineLevel="0" collapsed="false">
      <c r="A32" s="0" t="s">
        <v>99</v>
      </c>
      <c r="C32" s="3" t="n">
        <v>2.2</v>
      </c>
      <c r="D32" s="3" t="n">
        <v>2.2</v>
      </c>
      <c r="E32" s="3" t="n">
        <v>2.2</v>
      </c>
      <c r="F32" s="3" t="n">
        <v>2.2</v>
      </c>
      <c r="G32" s="3" t="n">
        <v>2.2</v>
      </c>
      <c r="H32" s="3" t="n">
        <v>2.2</v>
      </c>
      <c r="I32" s="3" t="n">
        <v>2.2</v>
      </c>
      <c r="J32" s="3" t="n">
        <v>2.2</v>
      </c>
      <c r="K32" s="3" t="n">
        <v>2.2</v>
      </c>
      <c r="L32" s="3" t="n">
        <v>2.2</v>
      </c>
    </row>
    <row r="33" customFormat="false" ht="15" hidden="false" customHeight="false" outlineLevel="0" collapsed="false">
      <c r="A33" s="0" t="s">
        <v>100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101</v>
      </c>
      <c r="B34" s="3" t="n">
        <v>9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15</v>
      </c>
    </row>
    <row r="37" customFormat="false" ht="15" hidden="false" customHeight="false" outlineLevel="0" collapsed="false">
      <c r="A37" s="0" t="s">
        <v>104</v>
      </c>
      <c r="B37" s="3" t="n">
        <v>-12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5</v>
      </c>
      <c r="D41" s="3" t="n">
        <v>7</v>
      </c>
      <c r="E41" s="3" t="n">
        <v>7</v>
      </c>
      <c r="F41" s="3" t="n">
        <v>6.5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10.8</v>
      </c>
      <c r="D42" s="3" t="n">
        <v>11</v>
      </c>
      <c r="E42" s="3" t="n">
        <v>11.2</v>
      </c>
      <c r="F42" s="3" t="n">
        <v>11.4</v>
      </c>
      <c r="G42" s="3" t="n">
        <v>11.6</v>
      </c>
      <c r="H42" s="3" t="n">
        <v>11.6</v>
      </c>
      <c r="I42" s="3" t="n">
        <v>11.6</v>
      </c>
      <c r="J42" s="3" t="n">
        <v>11.6</v>
      </c>
      <c r="K42" s="3" t="n">
        <v>11.6</v>
      </c>
      <c r="L42" s="3" t="n">
        <v>11.6</v>
      </c>
    </row>
    <row r="43" customFormat="false" ht="15" hidden="false" customHeight="false" outlineLevel="0" collapsed="false">
      <c r="A43" s="0" t="s">
        <v>96</v>
      </c>
      <c r="C43" s="3" t="n">
        <v>0.25</v>
      </c>
      <c r="D43" s="3" t="n">
        <v>0.25</v>
      </c>
      <c r="E43" s="3" t="n">
        <v>0.25</v>
      </c>
      <c r="F43" s="3" t="n">
        <v>0.25</v>
      </c>
      <c r="G43" s="3" t="n">
        <v>0.25</v>
      </c>
      <c r="H43" s="3" t="n">
        <v>0.25</v>
      </c>
      <c r="I43" s="3" t="n">
        <v>0.25</v>
      </c>
      <c r="J43" s="3" t="n">
        <v>0.25</v>
      </c>
      <c r="K43" s="3" t="n">
        <v>0.25</v>
      </c>
      <c r="L43" s="3" t="n">
        <v>0.25</v>
      </c>
    </row>
    <row r="44" customFormat="false" ht="15" hidden="false" customHeight="false" outlineLevel="0" collapsed="false">
      <c r="A44" s="0" t="s">
        <v>97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98</v>
      </c>
      <c r="C45" s="3" t="n">
        <v>1.2</v>
      </c>
      <c r="D45" s="3" t="n">
        <v>1.2</v>
      </c>
      <c r="E45" s="3" t="n">
        <v>1.2</v>
      </c>
      <c r="F45" s="3" t="n">
        <v>1.2</v>
      </c>
      <c r="G45" s="3" t="n">
        <v>1.2</v>
      </c>
      <c r="H45" s="3" t="n">
        <v>1.2</v>
      </c>
      <c r="I45" s="3" t="n">
        <v>1.2</v>
      </c>
      <c r="J45" s="3" t="n">
        <v>1.2</v>
      </c>
      <c r="K45" s="3" t="n">
        <v>1.2</v>
      </c>
      <c r="L45" s="3" t="n">
        <v>1.2</v>
      </c>
    </row>
    <row r="46" customFormat="false" ht="15" hidden="false" customHeight="false" outlineLevel="0" collapsed="false">
      <c r="A46" s="0" t="s">
        <v>99</v>
      </c>
      <c r="C46" s="3" t="n">
        <v>2.3</v>
      </c>
      <c r="D46" s="3" t="n">
        <v>2.3</v>
      </c>
      <c r="E46" s="3" t="n">
        <v>2.3</v>
      </c>
      <c r="F46" s="3" t="n">
        <v>2.3</v>
      </c>
      <c r="G46" s="3" t="n">
        <v>2.3</v>
      </c>
      <c r="H46" s="3" t="n">
        <v>2.3</v>
      </c>
      <c r="I46" s="3" t="n">
        <v>2.3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100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101</v>
      </c>
      <c r="B48" s="3" t="n">
        <v>9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15</v>
      </c>
    </row>
    <row r="51" customFormat="false" ht="15" hidden="false" customHeight="false" outlineLevel="0" collapsed="false">
      <c r="A51" s="0" t="s">
        <v>104</v>
      </c>
      <c r="B51" s="3" t="n">
        <v>-12</v>
      </c>
    </row>
    <row r="52" customFormat="false" ht="15" hidden="false" customHeight="false" outlineLevel="0" collapsed="false">
      <c r="A52" s="0" t="s">
        <v>105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79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1.5</v>
      </c>
      <c r="D5" s="4" t="n">
        <f aca="false">Assumptions!D13</f>
        <v>0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31316</v>
      </c>
      <c r="C6" s="0" t="n">
        <f aca="false">B6*(1+C5/100)</f>
        <v>31785.74</v>
      </c>
      <c r="D6" s="0" t="n">
        <f aca="false">C6*(1+D5/100)</f>
        <v>31785.74</v>
      </c>
      <c r="E6" s="0" t="n">
        <f aca="false">D6*(1+E5/100)</f>
        <v>32421.4548</v>
      </c>
      <c r="F6" s="0" t="n">
        <f aca="false">E6*(1+F5/100)</f>
        <v>33394.098444</v>
      </c>
      <c r="G6" s="0" t="n">
        <f aca="false">F6*(1+G5/100)</f>
        <v>34395.92139732</v>
      </c>
      <c r="H6" s="0" t="n">
        <f aca="false">G6*(1+H5/100)</f>
        <v>35427.7990392396</v>
      </c>
      <c r="I6" s="0" t="n">
        <f aca="false">H6*(1+I5/100)</f>
        <v>36313.4940152206</v>
      </c>
      <c r="J6" s="0" t="n">
        <f aca="false">I6*(1+J5/100)</f>
        <v>37221.3313656011</v>
      </c>
      <c r="K6" s="0" t="n">
        <f aca="false">J6*(1+K5/100)</f>
        <v>38151.8646497411</v>
      </c>
      <c r="L6" s="0" t="n">
        <f aca="false">K6*(1+L5/100)</f>
        <v>39105.6612659847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10.3</v>
      </c>
      <c r="D7" s="4" t="n">
        <f aca="false">Assumptions!D14</f>
        <v>10</v>
      </c>
      <c r="E7" s="4" t="n">
        <f aca="false">Assumptions!E14</f>
        <v>9.8</v>
      </c>
      <c r="F7" s="4" t="n">
        <f aca="false">Assumptions!F14</f>
        <v>9.8</v>
      </c>
      <c r="G7" s="4" t="n">
        <f aca="false">Assumptions!G14</f>
        <v>9.8</v>
      </c>
      <c r="H7" s="4" t="n">
        <f aca="false">Assumptions!H14</f>
        <v>9.8</v>
      </c>
      <c r="I7" s="4" t="n">
        <f aca="false">Assumptions!I14</f>
        <v>9.8</v>
      </c>
      <c r="J7" s="4" t="n">
        <f aca="false">Assumptions!J14</f>
        <v>9.8</v>
      </c>
      <c r="K7" s="4" t="n">
        <f aca="false">Assumptions!K14</f>
        <v>9.8</v>
      </c>
      <c r="L7" s="4" t="n">
        <f aca="false">Assumptions!L14</f>
        <v>9.8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3273.93122</v>
      </c>
      <c r="D8" s="0" t="n">
        <f aca="false">D6*D7/100</f>
        <v>3178.574</v>
      </c>
      <c r="E8" s="0" t="n">
        <f aca="false">E6*E7/100</f>
        <v>3177.3025704</v>
      </c>
      <c r="F8" s="0" t="n">
        <f aca="false">F6*F7/100</f>
        <v>3272.621647512</v>
      </c>
      <c r="G8" s="0" t="n">
        <f aca="false">G6*G7/100</f>
        <v>3370.80029693736</v>
      </c>
      <c r="H8" s="0" t="n">
        <f aca="false">H6*H7/100</f>
        <v>3471.92430584548</v>
      </c>
      <c r="I8" s="0" t="n">
        <f aca="false">I6*I7/100</f>
        <v>3558.72241349162</v>
      </c>
      <c r="J8" s="0" t="n">
        <f aca="false">J6*J7/100</f>
        <v>3647.69047382891</v>
      </c>
      <c r="K8" s="0" t="n">
        <f aca="false">K6*K7/100</f>
        <v>3738.88273567463</v>
      </c>
      <c r="L8" s="0" t="n">
        <f aca="false">L6*L7/100</f>
        <v>3832.3548040665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0.25</v>
      </c>
      <c r="D9" s="4" t="n">
        <f aca="false">Assumptions!D15</f>
        <v>0.25</v>
      </c>
      <c r="E9" s="4" t="n">
        <f aca="false">Assumptions!E15</f>
        <v>0.25</v>
      </c>
      <c r="F9" s="4" t="n">
        <f aca="false">Assumptions!F15</f>
        <v>0.25</v>
      </c>
      <c r="G9" s="4" t="n">
        <f aca="false">Assumptions!G15</f>
        <v>0.25</v>
      </c>
      <c r="H9" s="4" t="n">
        <f aca="false">Assumptions!H15</f>
        <v>0.25</v>
      </c>
      <c r="I9" s="4" t="n">
        <f aca="false">Assumptions!I15</f>
        <v>0.25</v>
      </c>
      <c r="J9" s="4" t="n">
        <f aca="false">Assumptions!J15</f>
        <v>0.25</v>
      </c>
      <c r="K9" s="4" t="n">
        <f aca="false">Assumptions!K15</f>
        <v>0.25</v>
      </c>
      <c r="L9" s="4" t="n">
        <f aca="false">Assumptions!L15</f>
        <v>0.25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-79.46435</v>
      </c>
      <c r="D10" s="0" t="n">
        <f aca="false">-D6*D9/100</f>
        <v>-79.46435</v>
      </c>
      <c r="E10" s="0" t="n">
        <f aca="false">-E6*E9/100</f>
        <v>-81.053637</v>
      </c>
      <c r="F10" s="0" t="n">
        <f aca="false">-F6*F9/100</f>
        <v>-83.48524611</v>
      </c>
      <c r="G10" s="0" t="n">
        <f aca="false">-G6*G9/100</f>
        <v>-85.9898034933</v>
      </c>
      <c r="H10" s="0" t="n">
        <f aca="false">-H6*H9/100</f>
        <v>-88.569497598099</v>
      </c>
      <c r="I10" s="0" t="n">
        <f aca="false">-I6*I9/100</f>
        <v>-90.7837350380515</v>
      </c>
      <c r="J10" s="0" t="n">
        <f aca="false">-J6*J9/100</f>
        <v>-93.0533284140028</v>
      </c>
      <c r="K10" s="0" t="n">
        <f aca="false">-K6*K9/100</f>
        <v>-95.3796616243528</v>
      </c>
      <c r="L10" s="0" t="n">
        <f aca="false">-L6*L9/100</f>
        <v>-97.7641531649616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3194.46687</v>
      </c>
      <c r="D11" s="0" t="n">
        <f aca="false">D8+D10+D24</f>
        <v>3099.10965</v>
      </c>
      <c r="E11" s="0" t="n">
        <f aca="false">E8+E10+E24</f>
        <v>3096.2489334</v>
      </c>
      <c r="F11" s="0" t="n">
        <f aca="false">F8+F10+F24</f>
        <v>3189.136401402</v>
      </c>
      <c r="G11" s="0" t="n">
        <f aca="false">G8+G10+G24</f>
        <v>3284.81049344406</v>
      </c>
      <c r="H11" s="0" t="n">
        <f aca="false">H8+H10+H24</f>
        <v>3383.35480824738</v>
      </c>
      <c r="I11" s="0" t="n">
        <f aca="false">I8+I10+I24</f>
        <v>3467.93867845357</v>
      </c>
      <c r="J11" s="0" t="n">
        <f aca="false">J8+J10+J24</f>
        <v>3554.63714541491</v>
      </c>
      <c r="K11" s="0" t="n">
        <f aca="false">K8+K10+K24</f>
        <v>3643.50307405028</v>
      </c>
      <c r="L11" s="0" t="n">
        <f aca="false">L8+L10+L24</f>
        <v>3734.59065090153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-381.42888</v>
      </c>
      <c r="D12" s="4" t="n">
        <f aca="false">-D6*Assumptions!D17/100</f>
        <v>-381.42888</v>
      </c>
      <c r="E12" s="4" t="n">
        <f aca="false">-E6*Assumptions!E17/100</f>
        <v>-389.0574576</v>
      </c>
      <c r="F12" s="4" t="n">
        <f aca="false">-F6*Assumptions!F17/100</f>
        <v>-400.729181328</v>
      </c>
      <c r="G12" s="4" t="n">
        <f aca="false">-G6*Assumptions!G17/100</f>
        <v>-412.75105676784</v>
      </c>
      <c r="H12" s="4" t="n">
        <f aca="false">-H6*Assumptions!H17/100</f>
        <v>-425.133588470875</v>
      </c>
      <c r="I12" s="4" t="n">
        <f aca="false">-I6*Assumptions!I17/100</f>
        <v>-435.761928182647</v>
      </c>
      <c r="J12" s="4" t="n">
        <f aca="false">-J6*Assumptions!J17/100</f>
        <v>-446.655976387213</v>
      </c>
      <c r="K12" s="4" t="n">
        <f aca="false">-K6*Assumptions!K17/100</f>
        <v>-457.822375796894</v>
      </c>
      <c r="L12" s="4" t="n">
        <f aca="false">-L6*Assumptions!L17/100</f>
        <v>-469.267935191816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2813.03799</v>
      </c>
      <c r="D13" s="0" t="n">
        <f aca="false">D11+D12</f>
        <v>2717.68077</v>
      </c>
      <c r="E13" s="0" t="n">
        <f aca="false">E11+E12</f>
        <v>2707.1914758</v>
      </c>
      <c r="F13" s="0" t="n">
        <f aca="false">F11+F12</f>
        <v>2788.407220074</v>
      </c>
      <c r="G13" s="0" t="n">
        <f aca="false">G11+G12</f>
        <v>2872.05943667622</v>
      </c>
      <c r="H13" s="0" t="n">
        <f aca="false">H11+H12</f>
        <v>2958.22121977651</v>
      </c>
      <c r="I13" s="0" t="n">
        <f aca="false">I11+I12</f>
        <v>3032.17675027092</v>
      </c>
      <c r="J13" s="0" t="n">
        <f aca="false">J11+J12</f>
        <v>3107.98116902769</v>
      </c>
      <c r="K13" s="0" t="n">
        <f aca="false">K11+K12</f>
        <v>3185.68069825338</v>
      </c>
      <c r="L13" s="0" t="n">
        <f aca="false">L11+L12</f>
        <v>3265.32271570972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2081.6481126</v>
      </c>
      <c r="D15" s="0" t="n">
        <f aca="false">D13-MAX(0,D13)*D14/100</f>
        <v>2011.0837698</v>
      </c>
      <c r="E15" s="0" t="n">
        <f aca="false">E13-MAX(0,E13)*E14/100</f>
        <v>2003.321692092</v>
      </c>
      <c r="F15" s="0" t="n">
        <f aca="false">F13-MAX(0,F13)*F14/100</f>
        <v>2063.42134285476</v>
      </c>
      <c r="G15" s="0" t="n">
        <f aca="false">G13-MAX(0,G13)*G14/100</f>
        <v>2125.3239831404</v>
      </c>
      <c r="H15" s="0" t="n">
        <f aca="false">H13-MAX(0,H13)*H14/100</f>
        <v>2189.08370263462</v>
      </c>
      <c r="I15" s="0" t="n">
        <f aca="false">I13-MAX(0,I13)*I14/100</f>
        <v>2243.81079520048</v>
      </c>
      <c r="J15" s="0" t="n">
        <f aca="false">J13-MAX(0,J13)*J14/100</f>
        <v>2299.90606508049</v>
      </c>
      <c r="K15" s="0" t="n">
        <f aca="false">K13-MAX(0,K13)*K14/100</f>
        <v>2357.4037167075</v>
      </c>
      <c r="L15" s="0" t="n">
        <f aca="false">L13-MAX(0,L13)*L14/100</f>
        <v>2416.33880962519</v>
      </c>
    </row>
    <row r="16" customFormat="false" ht="15" hidden="false" customHeight="false" outlineLevel="0" collapsed="false">
      <c r="A16" s="0" t="s">
        <v>116</v>
      </c>
      <c r="C16" s="0" t="n">
        <f aca="false">-C12</f>
        <v>381.42888</v>
      </c>
      <c r="D16" s="0" t="n">
        <f aca="false">-D12</f>
        <v>381.42888</v>
      </c>
      <c r="E16" s="0" t="n">
        <f aca="false">-E12</f>
        <v>389.0574576</v>
      </c>
      <c r="F16" s="0" t="n">
        <f aca="false">-F12</f>
        <v>400.729181328</v>
      </c>
      <c r="G16" s="0" t="n">
        <f aca="false">-G12</f>
        <v>412.75105676784</v>
      </c>
      <c r="H16" s="0" t="n">
        <f aca="false">-H12</f>
        <v>425.133588470875</v>
      </c>
      <c r="I16" s="0" t="n">
        <f aca="false">-I12</f>
        <v>435.761928182647</v>
      </c>
      <c r="J16" s="0" t="n">
        <f aca="false">-J12</f>
        <v>446.655976387213</v>
      </c>
      <c r="K16" s="0" t="n">
        <f aca="false">-K12</f>
        <v>457.822375796894</v>
      </c>
      <c r="L16" s="0" t="n">
        <f aca="false">-L12</f>
        <v>469.267935191816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-635.7148</v>
      </c>
      <c r="D17" s="4" t="n">
        <f aca="false">-D6*Assumptions!D18/100</f>
        <v>-635.7148</v>
      </c>
      <c r="E17" s="4" t="n">
        <f aca="false">-E6*Assumptions!E18/100</f>
        <v>-648.429096</v>
      </c>
      <c r="F17" s="4" t="n">
        <f aca="false">-F6*Assumptions!F18/100</f>
        <v>-667.88196888</v>
      </c>
      <c r="G17" s="4" t="n">
        <f aca="false">-G6*Assumptions!G18/100</f>
        <v>-687.9184279464</v>
      </c>
      <c r="H17" s="4" t="n">
        <f aca="false">-H6*Assumptions!H18/100</f>
        <v>-708.555980784792</v>
      </c>
      <c r="I17" s="4" t="n">
        <f aca="false">-I6*Assumptions!I18/100</f>
        <v>-726.269880304412</v>
      </c>
      <c r="J17" s="4" t="n">
        <f aca="false">-J6*Assumptions!J18/100</f>
        <v>-744.426627312022</v>
      </c>
      <c r="K17" s="4" t="n">
        <f aca="false">-K6*Assumptions!K18/100</f>
        <v>-763.037292994823</v>
      </c>
      <c r="L17" s="4" t="n">
        <f aca="false">-L6*Assumptions!L18/100</f>
        <v>-782.113225319693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-56.3687999999998</v>
      </c>
      <c r="D18" s="4" t="n">
        <f aca="false">(D6-C6)*Assumptions!$B$23/100</f>
        <v>-0</v>
      </c>
      <c r="E18" s="4" t="n">
        <f aca="false">(E6-D6)*Assumptions!$B$23/100</f>
        <v>-76.2857760000002</v>
      </c>
      <c r="F18" s="4" t="n">
        <f aca="false">(F6-E6)*Assumptions!$B$23/100</f>
        <v>-116.71723728</v>
      </c>
      <c r="G18" s="4" t="n">
        <f aca="false">(G6-F6)*Assumptions!$B$23/100</f>
        <v>-120.2187543984</v>
      </c>
      <c r="H18" s="4" t="n">
        <f aca="false">(H6-G6)*Assumptions!$B$23/100</f>
        <v>-123.825317030352</v>
      </c>
      <c r="I18" s="4" t="n">
        <f aca="false">(I6-H6)*Assumptions!$B$23/100</f>
        <v>-106.283397117718</v>
      </c>
      <c r="J18" s="4" t="n">
        <f aca="false">(J6-I6)*Assumptions!$B$23/100</f>
        <v>-108.940482045661</v>
      </c>
      <c r="K18" s="4" t="n">
        <f aca="false">(K6-J6)*Assumptions!$B$23/100</f>
        <v>-111.663994096803</v>
      </c>
      <c r="L18" s="4" t="n">
        <f aca="false">(L6-K6)*Assumptions!$B$23/100</f>
        <v>-114.455593949223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1770.9933926</v>
      </c>
      <c r="D19" s="0" t="n">
        <f aca="false">D15+D16+D17+D18</f>
        <v>1756.7978498</v>
      </c>
      <c r="E19" s="0" t="n">
        <f aca="false">E15+E16+E17+E18</f>
        <v>1667.664277692</v>
      </c>
      <c r="F19" s="0" t="n">
        <f aca="false">F15+F16+F17+F18</f>
        <v>1679.55131802276</v>
      </c>
      <c r="G19" s="0" t="n">
        <f aca="false">G15+G16+G17+G18</f>
        <v>1729.93785756344</v>
      </c>
      <c r="H19" s="0" t="n">
        <f aca="false">H15+H16+H17+H18</f>
        <v>1781.83599329035</v>
      </c>
      <c r="I19" s="0" t="n">
        <f aca="false">I15+I16+I17+I18</f>
        <v>1847.019445961</v>
      </c>
      <c r="J19" s="0" t="n">
        <f aca="false">J15+J16+J17+J18</f>
        <v>1893.19493211002</v>
      </c>
      <c r="K19" s="0" t="n">
        <f aca="false">K15+K16+K17+K18</f>
        <v>1940.52480541277</v>
      </c>
      <c r="L19" s="0" t="n">
        <f aca="false">L15+L16+L17+L18</f>
        <v>1989.03792554809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1624.76458036697</v>
      </c>
      <c r="D21" s="0" t="n">
        <f aca="false">D19*D20</f>
        <v>1478.66160239037</v>
      </c>
      <c r="E21" s="0" t="n">
        <f aca="false">E19*E20</f>
        <v>1287.74280552173</v>
      </c>
      <c r="F21" s="0" t="n">
        <f aca="false">F19*F20</f>
        <v>1189.8364969651</v>
      </c>
      <c r="G21" s="0" t="n">
        <f aca="false">G19*G20</f>
        <v>1124.3409099762</v>
      </c>
      <c r="H21" s="0" t="n">
        <f aca="false">H19*H20</f>
        <v>1062.45058465641</v>
      </c>
      <c r="I21" s="0" t="n">
        <f aca="false">I19*I20</f>
        <v>1010.3828878322</v>
      </c>
      <c r="J21" s="0" t="n">
        <f aca="false">J19*J20</f>
        <v>950.130697273395</v>
      </c>
      <c r="K21" s="0" t="n">
        <f aca="false">K19*K20</f>
        <v>893.471527252505</v>
      </c>
      <c r="L21" s="0" t="n">
        <f aca="false">L19*L20</f>
        <v>840.191115076897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11461.9732073118</v>
      </c>
    </row>
    <row r="31" customFormat="false" ht="15" hidden="false" customHeight="false" outlineLevel="0" collapsed="false">
      <c r="A31" s="0" t="s">
        <v>125</v>
      </c>
      <c r="B31" s="0" t="n">
        <f aca="false">L19</f>
        <v>1989.03792554809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28983.1240579865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29835.5688832214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28983.1240579865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12242.7848196919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23704.7580270037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20395.7580270037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104.701016565727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-0.524172802373535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551.790749641278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601.750964576612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110.622688609967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15606.297569685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48.5666360419118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79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3.5</v>
      </c>
      <c r="D5" s="4" t="n">
        <f aca="false">Assumptions!D27</f>
        <v>4.5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31316</v>
      </c>
      <c r="C6" s="0" t="n">
        <f aca="false">B6*(1+C5/100)</f>
        <v>32412.06</v>
      </c>
      <c r="D6" s="0" t="n">
        <f aca="false">C6*(1+D5/100)</f>
        <v>33870.6027</v>
      </c>
      <c r="E6" s="0" t="n">
        <f aca="false">D6*(1+E5/100)</f>
        <v>35564.132835</v>
      </c>
      <c r="F6" s="0" t="n">
        <f aca="false">E6*(1+F5/100)</f>
        <v>37342.33947675</v>
      </c>
      <c r="G6" s="0" t="n">
        <f aca="false">F6*(1+G5/100)</f>
        <v>39022.7447532038</v>
      </c>
      <c r="H6" s="0" t="n">
        <f aca="false">G6*(1+H5/100)</f>
        <v>40583.6545433319</v>
      </c>
      <c r="I6" s="0" t="n">
        <f aca="false">H6*(1+I5/100)</f>
        <v>42004.0824523485</v>
      </c>
      <c r="J6" s="0" t="n">
        <f aca="false">I6*(1+J5/100)</f>
        <v>43264.204925919</v>
      </c>
      <c r="K6" s="0" t="n">
        <f aca="false">J6*(1+K5/100)</f>
        <v>44562.1310736965</v>
      </c>
      <c r="L6" s="0" t="n">
        <f aca="false">K6*(1+L5/100)</f>
        <v>45676.184350539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10.6</v>
      </c>
      <c r="D7" s="4" t="n">
        <f aca="false">Assumptions!D28</f>
        <v>10.7</v>
      </c>
      <c r="E7" s="4" t="n">
        <f aca="false">Assumptions!E28</f>
        <v>10.8</v>
      </c>
      <c r="F7" s="4" t="n">
        <f aca="false">Assumptions!F28</f>
        <v>10.9</v>
      </c>
      <c r="G7" s="4" t="n">
        <f aca="false">Assumptions!G28</f>
        <v>11</v>
      </c>
      <c r="H7" s="4" t="n">
        <f aca="false">Assumptions!H28</f>
        <v>11</v>
      </c>
      <c r="I7" s="4" t="n">
        <f aca="false">Assumptions!I28</f>
        <v>11</v>
      </c>
      <c r="J7" s="4" t="n">
        <f aca="false">Assumptions!J28</f>
        <v>11</v>
      </c>
      <c r="K7" s="4" t="n">
        <f aca="false">Assumptions!K28</f>
        <v>11</v>
      </c>
      <c r="L7" s="4" t="n">
        <f aca="false">Assumptions!L28</f>
        <v>11</v>
      </c>
    </row>
    <row r="8" customFormat="false" ht="15" hidden="false" customHeight="false" outlineLevel="0" collapsed="false">
      <c r="A8" s="0" t="s">
        <v>43</v>
      </c>
      <c r="C8" s="0" t="n">
        <f aca="false">C6*C7/100</f>
        <v>3435.67836</v>
      </c>
      <c r="D8" s="0" t="n">
        <f aca="false">D6*D7/100</f>
        <v>3624.1544889</v>
      </c>
      <c r="E8" s="0" t="n">
        <f aca="false">E6*E7/100</f>
        <v>3840.92634618</v>
      </c>
      <c r="F8" s="0" t="n">
        <f aca="false">F6*F7/100</f>
        <v>4070.31500296575</v>
      </c>
      <c r="G8" s="0" t="n">
        <f aca="false">G6*G7/100</f>
        <v>4292.50192285241</v>
      </c>
      <c r="H8" s="0" t="n">
        <f aca="false">H6*H7/100</f>
        <v>4464.20199976651</v>
      </c>
      <c r="I8" s="0" t="n">
        <f aca="false">I6*I7/100</f>
        <v>4620.44906975834</v>
      </c>
      <c r="J8" s="0" t="n">
        <f aca="false">J6*J7/100</f>
        <v>4759.06254185109</v>
      </c>
      <c r="K8" s="0" t="n">
        <f aca="false">K6*K7/100</f>
        <v>4901.83441810662</v>
      </c>
      <c r="L8" s="0" t="n">
        <f aca="false">L6*L7/100</f>
        <v>5024.38027855929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0.25</v>
      </c>
      <c r="D9" s="4" t="n">
        <f aca="false">Assumptions!D29</f>
        <v>0.25</v>
      </c>
      <c r="E9" s="4" t="n">
        <f aca="false">Assumptions!E29</f>
        <v>0.25</v>
      </c>
      <c r="F9" s="4" t="n">
        <f aca="false">Assumptions!F29</f>
        <v>0.25</v>
      </c>
      <c r="G9" s="4" t="n">
        <f aca="false">Assumptions!G29</f>
        <v>0.25</v>
      </c>
      <c r="H9" s="4" t="n">
        <f aca="false">Assumptions!H29</f>
        <v>0.25</v>
      </c>
      <c r="I9" s="4" t="n">
        <f aca="false">Assumptions!I29</f>
        <v>0.25</v>
      </c>
      <c r="J9" s="4" t="n">
        <f aca="false">Assumptions!J29</f>
        <v>0.25</v>
      </c>
      <c r="K9" s="4" t="n">
        <f aca="false">Assumptions!K29</f>
        <v>0.25</v>
      </c>
      <c r="L9" s="4" t="n">
        <f aca="false">Assumptions!L29</f>
        <v>0.25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-81.03015</v>
      </c>
      <c r="D10" s="0" t="n">
        <f aca="false">-D6*D9/100</f>
        <v>-84.67650675</v>
      </c>
      <c r="E10" s="0" t="n">
        <f aca="false">-E6*E9/100</f>
        <v>-88.9103320875</v>
      </c>
      <c r="F10" s="0" t="n">
        <f aca="false">-F6*F9/100</f>
        <v>-93.355848691875</v>
      </c>
      <c r="G10" s="0" t="n">
        <f aca="false">-G6*G9/100</f>
        <v>-97.5568618830094</v>
      </c>
      <c r="H10" s="0" t="n">
        <f aca="false">-H6*H9/100</f>
        <v>-101.45913635833</v>
      </c>
      <c r="I10" s="0" t="n">
        <f aca="false">-I6*I9/100</f>
        <v>-105.010206130871</v>
      </c>
      <c r="J10" s="0" t="n">
        <f aca="false">-J6*J9/100</f>
        <v>-108.160512314797</v>
      </c>
      <c r="K10" s="0" t="n">
        <f aca="false">-K6*K9/100</f>
        <v>-111.405327684241</v>
      </c>
      <c r="L10" s="0" t="n">
        <f aca="false">-L6*L9/100</f>
        <v>-114.190460876347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3354.64821</v>
      </c>
      <c r="D11" s="0" t="n">
        <f aca="false">D8+D10+D24</f>
        <v>3539.47798215</v>
      </c>
      <c r="E11" s="0" t="n">
        <f aca="false">E8+E10+E24</f>
        <v>3752.0160140925</v>
      </c>
      <c r="F11" s="0" t="n">
        <f aca="false">F8+F10+F24</f>
        <v>3976.95915427388</v>
      </c>
      <c r="G11" s="0" t="n">
        <f aca="false">G8+G10+G24</f>
        <v>4194.9450609694</v>
      </c>
      <c r="H11" s="0" t="n">
        <f aca="false">H8+H10+H24</f>
        <v>4362.74286340818</v>
      </c>
      <c r="I11" s="0" t="n">
        <f aca="false">I8+I10+I24</f>
        <v>4515.43886362746</v>
      </c>
      <c r="J11" s="0" t="n">
        <f aca="false">J8+J10+J24</f>
        <v>4650.90202953629</v>
      </c>
      <c r="K11" s="0" t="n">
        <f aca="false">K8+K10+K24</f>
        <v>4790.42909042238</v>
      </c>
      <c r="L11" s="0" t="n">
        <f aca="false">L8+L10+L24</f>
        <v>4910.18981768294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-388.94472</v>
      </c>
      <c r="D12" s="4" t="n">
        <f aca="false">-D6*Assumptions!D31/100</f>
        <v>-406.4472324</v>
      </c>
      <c r="E12" s="4" t="n">
        <f aca="false">-E6*Assumptions!E31/100</f>
        <v>-426.76959402</v>
      </c>
      <c r="F12" s="4" t="n">
        <f aca="false">-F6*Assumptions!F31/100</f>
        <v>-448.108073721</v>
      </c>
      <c r="G12" s="4" t="n">
        <f aca="false">-G6*Assumptions!G31/100</f>
        <v>-468.272937038445</v>
      </c>
      <c r="H12" s="4" t="n">
        <f aca="false">-H6*Assumptions!H31/100</f>
        <v>-487.003854519983</v>
      </c>
      <c r="I12" s="4" t="n">
        <f aca="false">-I6*Assumptions!I31/100</f>
        <v>-504.048989428182</v>
      </c>
      <c r="J12" s="4" t="n">
        <f aca="false">-J6*Assumptions!J31/100</f>
        <v>-519.170459111028</v>
      </c>
      <c r="K12" s="4" t="n">
        <f aca="false">-K6*Assumptions!K31/100</f>
        <v>-534.745572884359</v>
      </c>
      <c r="L12" s="4" t="n">
        <f aca="false">-L6*Assumptions!L31/100</f>
        <v>-548.114212206467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2965.70349</v>
      </c>
      <c r="D13" s="0" t="n">
        <f aca="false">D11+D12</f>
        <v>3133.03074975</v>
      </c>
      <c r="E13" s="0" t="n">
        <f aca="false">E11+E12</f>
        <v>3325.2464200725</v>
      </c>
      <c r="F13" s="0" t="n">
        <f aca="false">F11+F12</f>
        <v>3528.85108055288</v>
      </c>
      <c r="G13" s="0" t="n">
        <f aca="false">G11+G12</f>
        <v>3726.67212393096</v>
      </c>
      <c r="H13" s="0" t="n">
        <f aca="false">H11+H12</f>
        <v>3875.7390088882</v>
      </c>
      <c r="I13" s="0" t="n">
        <f aca="false">I11+I12</f>
        <v>4011.38987419928</v>
      </c>
      <c r="J13" s="0" t="n">
        <f aca="false">J11+J12</f>
        <v>4131.73157042526</v>
      </c>
      <c r="K13" s="0" t="n">
        <f aca="false">K11+K12</f>
        <v>4255.68351753802</v>
      </c>
      <c r="L13" s="0" t="n">
        <f aca="false">L11+L12</f>
        <v>4362.07560547647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2194.6205826</v>
      </c>
      <c r="D15" s="0" t="n">
        <f aca="false">D13-MAX(0,D13)*D14/100</f>
        <v>2318.442754815</v>
      </c>
      <c r="E15" s="0" t="n">
        <f aca="false">E13-MAX(0,E13)*E14/100</f>
        <v>2460.68235085365</v>
      </c>
      <c r="F15" s="0" t="n">
        <f aca="false">F13-MAX(0,F13)*F14/100</f>
        <v>2611.34979960913</v>
      </c>
      <c r="G15" s="0" t="n">
        <f aca="false">G13-MAX(0,G13)*G14/100</f>
        <v>2757.73737170891</v>
      </c>
      <c r="H15" s="0" t="n">
        <f aca="false">H13-MAX(0,H13)*H14/100</f>
        <v>2868.04686657727</v>
      </c>
      <c r="I15" s="0" t="n">
        <f aca="false">I13-MAX(0,I13)*I14/100</f>
        <v>2968.42850690747</v>
      </c>
      <c r="J15" s="0" t="n">
        <f aca="false">J13-MAX(0,J13)*J14/100</f>
        <v>3057.48136211469</v>
      </c>
      <c r="K15" s="0" t="n">
        <f aca="false">K13-MAX(0,K13)*K14/100</f>
        <v>3149.20580297813</v>
      </c>
      <c r="L15" s="0" t="n">
        <f aca="false">L13-MAX(0,L13)*L14/100</f>
        <v>3227.93594805259</v>
      </c>
    </row>
    <row r="16" customFormat="false" ht="15" hidden="false" customHeight="false" outlineLevel="0" collapsed="false">
      <c r="A16" s="0" t="s">
        <v>116</v>
      </c>
      <c r="C16" s="0" t="n">
        <f aca="false">-C12</f>
        <v>388.94472</v>
      </c>
      <c r="D16" s="0" t="n">
        <f aca="false">-D12</f>
        <v>406.4472324</v>
      </c>
      <c r="E16" s="0" t="n">
        <f aca="false">-E12</f>
        <v>426.76959402</v>
      </c>
      <c r="F16" s="0" t="n">
        <f aca="false">-F12</f>
        <v>448.108073721</v>
      </c>
      <c r="G16" s="0" t="n">
        <f aca="false">-G12</f>
        <v>468.272937038445</v>
      </c>
      <c r="H16" s="0" t="n">
        <f aca="false">-H12</f>
        <v>487.003854519983</v>
      </c>
      <c r="I16" s="0" t="n">
        <f aca="false">-I12</f>
        <v>504.048989428182</v>
      </c>
      <c r="J16" s="0" t="n">
        <f aca="false">-J12</f>
        <v>519.170459111028</v>
      </c>
      <c r="K16" s="0" t="n">
        <f aca="false">-K12</f>
        <v>534.745572884359</v>
      </c>
      <c r="L16" s="0" t="n">
        <f aca="false">-L12</f>
        <v>548.114212206467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-713.06532</v>
      </c>
      <c r="D17" s="4" t="n">
        <f aca="false">-D6*Assumptions!D32/100</f>
        <v>-745.1532594</v>
      </c>
      <c r="E17" s="4" t="n">
        <f aca="false">-E6*Assumptions!E32/100</f>
        <v>-782.41092237</v>
      </c>
      <c r="F17" s="4" t="n">
        <f aca="false">-F6*Assumptions!F32/100</f>
        <v>-821.5314684885</v>
      </c>
      <c r="G17" s="4" t="n">
        <f aca="false">-G6*Assumptions!G32/100</f>
        <v>-858.500384570483</v>
      </c>
      <c r="H17" s="4" t="n">
        <f aca="false">-H6*Assumptions!H32/100</f>
        <v>-892.840399953302</v>
      </c>
      <c r="I17" s="4" t="n">
        <f aca="false">-I6*Assumptions!I32/100</f>
        <v>-924.089813951667</v>
      </c>
      <c r="J17" s="4" t="n">
        <f aca="false">-J6*Assumptions!J32/100</f>
        <v>-951.812508370218</v>
      </c>
      <c r="K17" s="4" t="n">
        <f aca="false">-K6*Assumptions!K32/100</f>
        <v>-980.366883621324</v>
      </c>
      <c r="L17" s="4" t="n">
        <f aca="false">-L6*Assumptions!L32/100</f>
        <v>-1004.87605571186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-131.5272</v>
      </c>
      <c r="D18" s="4" t="n">
        <f aca="false">(D6-C6)*Assumptions!$B$37/100</f>
        <v>-175.025124</v>
      </c>
      <c r="E18" s="4" t="n">
        <f aca="false">(E6-D6)*Assumptions!$B$37/100</f>
        <v>-203.2236162</v>
      </c>
      <c r="F18" s="4" t="n">
        <f aca="false">(F6-E6)*Assumptions!$B$37/100</f>
        <v>-213.38479701</v>
      </c>
      <c r="G18" s="4" t="n">
        <f aca="false">(G6-F6)*Assumptions!$B$37/100</f>
        <v>-201.64863317445</v>
      </c>
      <c r="H18" s="4" t="n">
        <f aca="false">(H6-G6)*Assumptions!$B$37/100</f>
        <v>-187.309174815378</v>
      </c>
      <c r="I18" s="4" t="n">
        <f aca="false">(I6-H6)*Assumptions!$B$37/100</f>
        <v>-170.451349081994</v>
      </c>
      <c r="J18" s="4" t="n">
        <f aca="false">(J6-I6)*Assumptions!$B$37/100</f>
        <v>-151.214696828455</v>
      </c>
      <c r="K18" s="4" t="n">
        <f aca="false">(K6-J6)*Assumptions!$B$37/100</f>
        <v>-155.751137733309</v>
      </c>
      <c r="L18" s="4" t="n">
        <f aca="false">(L6-K6)*Assumptions!$B$37/100</f>
        <v>-133.686393221089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1738.9727826</v>
      </c>
      <c r="D19" s="0" t="n">
        <f aca="false">D15+D16+D17+D18</f>
        <v>1804.711603815</v>
      </c>
      <c r="E19" s="0" t="n">
        <f aca="false">E15+E16+E17+E18</f>
        <v>1901.81740630365</v>
      </c>
      <c r="F19" s="0" t="n">
        <f aca="false">F15+F16+F17+F18</f>
        <v>2024.54160783163</v>
      </c>
      <c r="G19" s="0" t="n">
        <f aca="false">G15+G16+G17+G18</f>
        <v>2165.86129100242</v>
      </c>
      <c r="H19" s="0" t="n">
        <f aca="false">H15+H16+H17+H18</f>
        <v>2274.90114632857</v>
      </c>
      <c r="I19" s="0" t="n">
        <f aca="false">I15+I16+I17+I18</f>
        <v>2377.93633330199</v>
      </c>
      <c r="J19" s="0" t="n">
        <f aca="false">J15+J16+J17+J18</f>
        <v>2473.62461602705</v>
      </c>
      <c r="K19" s="0" t="n">
        <f aca="false">K15+K16+K17+K18</f>
        <v>2547.83335450786</v>
      </c>
      <c r="L19" s="0" t="n">
        <f aca="false">L15+L16+L17+L18</f>
        <v>2637.48771132611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1595.38787394495</v>
      </c>
      <c r="D21" s="0" t="n">
        <f aca="false">D19*D20</f>
        <v>1518.98965054709</v>
      </c>
      <c r="E21" s="0" t="n">
        <f aca="false">E19*E20</f>
        <v>1468.55198324026</v>
      </c>
      <c r="F21" s="0" t="n">
        <f aca="false">F19*F20</f>
        <v>1434.23631583839</v>
      </c>
      <c r="G21" s="0" t="n">
        <f aca="false">G19*G20</f>
        <v>1407.66123139113</v>
      </c>
      <c r="H21" s="0" t="n">
        <f aca="false">H19*H20</f>
        <v>1356.4492254358</v>
      </c>
      <c r="I21" s="0" t="n">
        <f aca="false">I19*I20</f>
        <v>1300.81260637334</v>
      </c>
      <c r="J21" s="0" t="n">
        <f aca="false">J19*J20</f>
        <v>1241.42878335247</v>
      </c>
      <c r="K21" s="0" t="n">
        <f aca="false">K19*K20</f>
        <v>1173.09325399362</v>
      </c>
      <c r="L21" s="0" t="n">
        <f aca="false">L19*L20</f>
        <v>1114.10331231873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13610.7142364358</v>
      </c>
    </row>
    <row r="31" customFormat="false" ht="15" hidden="false" customHeight="false" outlineLevel="0" collapsed="false">
      <c r="A31" s="0" t="s">
        <v>125</v>
      </c>
      <c r="B31" s="0" t="n">
        <f aca="false">L19</f>
        <v>2637.48771132611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41591.1523709117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39562.3156698916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39562.3156698916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16711.5496847809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30322.2639212167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27013.2639212167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138.671786043207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-0.369788283752015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615.558554861037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760.633335946657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145.736426139755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21627.3992328741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63.9674166361826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79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5</v>
      </c>
      <c r="D5" s="4" t="n">
        <f aca="false">Assumptions!D41</f>
        <v>7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31316</v>
      </c>
      <c r="C6" s="0" t="n">
        <f aca="false">B6*(1+C5/100)</f>
        <v>32881.8</v>
      </c>
      <c r="D6" s="0" t="n">
        <f aca="false">C6*(1+D5/100)</f>
        <v>35183.526</v>
      </c>
      <c r="E6" s="0" t="n">
        <f aca="false">D6*(1+E5/100)</f>
        <v>37646.37282</v>
      </c>
      <c r="F6" s="0" t="n">
        <f aca="false">E6*(1+F5/100)</f>
        <v>40093.3870533</v>
      </c>
      <c r="G6" s="0" t="n">
        <f aca="false">F6*(1+G5/100)</f>
        <v>42498.990276498</v>
      </c>
      <c r="H6" s="0" t="n">
        <f aca="false">G6*(1+H5/100)</f>
        <v>44623.9397903229</v>
      </c>
      <c r="I6" s="0" t="n">
        <f aca="false">H6*(1+I5/100)</f>
        <v>46632.0170808874</v>
      </c>
      <c r="J6" s="0" t="n">
        <f aca="false">I6*(1+J5/100)</f>
        <v>48497.2977641229</v>
      </c>
      <c r="K6" s="0" t="n">
        <f aca="false">J6*(1+K5/100)</f>
        <v>50194.7031858672</v>
      </c>
      <c r="L6" s="0" t="n">
        <f aca="false">K6*(1+L5/100)</f>
        <v>51700.5442814433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10.8</v>
      </c>
      <c r="D7" s="4" t="n">
        <f aca="false">Assumptions!D42</f>
        <v>11</v>
      </c>
      <c r="E7" s="4" t="n">
        <f aca="false">Assumptions!E42</f>
        <v>11.2</v>
      </c>
      <c r="F7" s="4" t="n">
        <f aca="false">Assumptions!F42</f>
        <v>11.4</v>
      </c>
      <c r="G7" s="4" t="n">
        <f aca="false">Assumptions!G42</f>
        <v>11.6</v>
      </c>
      <c r="H7" s="4" t="n">
        <f aca="false">Assumptions!H42</f>
        <v>11.6</v>
      </c>
      <c r="I7" s="4" t="n">
        <f aca="false">Assumptions!I42</f>
        <v>11.6</v>
      </c>
      <c r="J7" s="4" t="n">
        <f aca="false">Assumptions!J42</f>
        <v>11.6</v>
      </c>
      <c r="K7" s="4" t="n">
        <f aca="false">Assumptions!K42</f>
        <v>11.6</v>
      </c>
      <c r="L7" s="4" t="n">
        <f aca="false">Assumptions!L42</f>
        <v>11.6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3551.2344</v>
      </c>
      <c r="D8" s="0" t="n">
        <f aca="false">D6*D7/100</f>
        <v>3870.18786</v>
      </c>
      <c r="E8" s="0" t="n">
        <f aca="false">E6*E7/100</f>
        <v>4216.39375584</v>
      </c>
      <c r="F8" s="0" t="n">
        <f aca="false">F6*F7/100</f>
        <v>4570.6461240762</v>
      </c>
      <c r="G8" s="0" t="n">
        <f aca="false">G6*G7/100</f>
        <v>4929.88287207377</v>
      </c>
      <c r="H8" s="0" t="n">
        <f aca="false">H6*H7/100</f>
        <v>5176.37701567746</v>
      </c>
      <c r="I8" s="0" t="n">
        <f aca="false">I6*I7/100</f>
        <v>5409.31398138294</v>
      </c>
      <c r="J8" s="0" t="n">
        <f aca="false">J6*J7/100</f>
        <v>5625.68654063826</v>
      </c>
      <c r="K8" s="0" t="n">
        <f aca="false">K6*K7/100</f>
        <v>5822.5855695606</v>
      </c>
      <c r="L8" s="0" t="n">
        <f aca="false">L6*L7/100</f>
        <v>5997.26313664742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0.25</v>
      </c>
      <c r="D9" s="4" t="n">
        <f aca="false">Assumptions!D43</f>
        <v>0.25</v>
      </c>
      <c r="E9" s="4" t="n">
        <f aca="false">Assumptions!E43</f>
        <v>0.25</v>
      </c>
      <c r="F9" s="4" t="n">
        <f aca="false">Assumptions!F43</f>
        <v>0.25</v>
      </c>
      <c r="G9" s="4" t="n">
        <f aca="false">Assumptions!G43</f>
        <v>0.25</v>
      </c>
      <c r="H9" s="4" t="n">
        <f aca="false">Assumptions!H43</f>
        <v>0.25</v>
      </c>
      <c r="I9" s="4" t="n">
        <f aca="false">Assumptions!I43</f>
        <v>0.25</v>
      </c>
      <c r="J9" s="4" t="n">
        <f aca="false">Assumptions!J43</f>
        <v>0.25</v>
      </c>
      <c r="K9" s="4" t="n">
        <f aca="false">Assumptions!K43</f>
        <v>0.25</v>
      </c>
      <c r="L9" s="4" t="n">
        <f aca="false">Assumptions!L43</f>
        <v>0.25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-82.2045</v>
      </c>
      <c r="D10" s="0" t="n">
        <f aca="false">-D6*D9/100</f>
        <v>-87.958815</v>
      </c>
      <c r="E10" s="0" t="n">
        <f aca="false">-E6*E9/100</f>
        <v>-94.11593205</v>
      </c>
      <c r="F10" s="0" t="n">
        <f aca="false">-F6*F9/100</f>
        <v>-100.23346763325</v>
      </c>
      <c r="G10" s="0" t="n">
        <f aca="false">-G6*G9/100</f>
        <v>-106.247475691245</v>
      </c>
      <c r="H10" s="0" t="n">
        <f aca="false">-H6*H9/100</f>
        <v>-111.559849475807</v>
      </c>
      <c r="I10" s="0" t="n">
        <f aca="false">-I6*I9/100</f>
        <v>-116.580042702219</v>
      </c>
      <c r="J10" s="0" t="n">
        <f aca="false">-J6*J9/100</f>
        <v>-121.243244410307</v>
      </c>
      <c r="K10" s="0" t="n">
        <f aca="false">-K6*K9/100</f>
        <v>-125.486757964668</v>
      </c>
      <c r="L10" s="0" t="n">
        <f aca="false">-L6*L9/100</f>
        <v>-129.251360703608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3469.0299</v>
      </c>
      <c r="D11" s="0" t="n">
        <f aca="false">D8+D10+D24</f>
        <v>3782.229045</v>
      </c>
      <c r="E11" s="0" t="n">
        <f aca="false">E8+E10+E24</f>
        <v>4122.27782379</v>
      </c>
      <c r="F11" s="0" t="n">
        <f aca="false">F8+F10+F24</f>
        <v>4470.41265644295</v>
      </c>
      <c r="G11" s="0" t="n">
        <f aca="false">G8+G10+G24</f>
        <v>4823.63539638252</v>
      </c>
      <c r="H11" s="0" t="n">
        <f aca="false">H8+H10+H24</f>
        <v>5064.81716620165</v>
      </c>
      <c r="I11" s="0" t="n">
        <f aca="false">I8+I10+I24</f>
        <v>5292.73393868073</v>
      </c>
      <c r="J11" s="0" t="n">
        <f aca="false">J8+J10+J24</f>
        <v>5504.44329622796</v>
      </c>
      <c r="K11" s="0" t="n">
        <f aca="false">K8+K10+K24</f>
        <v>5697.09881159593</v>
      </c>
      <c r="L11" s="0" t="n">
        <f aca="false">L8+L10+L24</f>
        <v>5868.01177594381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-394.5816</v>
      </c>
      <c r="D12" s="4" t="n">
        <f aca="false">-D6*Assumptions!D45/100</f>
        <v>-422.202312</v>
      </c>
      <c r="E12" s="4" t="n">
        <f aca="false">-E6*Assumptions!E45/100</f>
        <v>-451.75647384</v>
      </c>
      <c r="F12" s="4" t="n">
        <f aca="false">-F6*Assumptions!F45/100</f>
        <v>-481.1206446396</v>
      </c>
      <c r="G12" s="4" t="n">
        <f aca="false">-G6*Assumptions!G45/100</f>
        <v>-509.987883317976</v>
      </c>
      <c r="H12" s="4" t="n">
        <f aca="false">-H6*Assumptions!H45/100</f>
        <v>-535.487277483875</v>
      </c>
      <c r="I12" s="4" t="n">
        <f aca="false">-I6*Assumptions!I45/100</f>
        <v>-559.584204970649</v>
      </c>
      <c r="J12" s="4" t="n">
        <f aca="false">-J6*Assumptions!J45/100</f>
        <v>-581.967573169475</v>
      </c>
      <c r="K12" s="4" t="n">
        <f aca="false">-K6*Assumptions!K45/100</f>
        <v>-602.336438230407</v>
      </c>
      <c r="L12" s="4" t="n">
        <f aca="false">-L6*Assumptions!L45/100</f>
        <v>-620.406531377319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3074.4483</v>
      </c>
      <c r="D13" s="0" t="n">
        <f aca="false">D11+D12</f>
        <v>3360.026733</v>
      </c>
      <c r="E13" s="0" t="n">
        <f aca="false">E11+E12</f>
        <v>3670.52134995</v>
      </c>
      <c r="F13" s="0" t="n">
        <f aca="false">F11+F12</f>
        <v>3989.29201180335</v>
      </c>
      <c r="G13" s="0" t="n">
        <f aca="false">G11+G12</f>
        <v>4313.64751306455</v>
      </c>
      <c r="H13" s="0" t="n">
        <f aca="false">H11+H12</f>
        <v>4529.32988871778</v>
      </c>
      <c r="I13" s="0" t="n">
        <f aca="false">I11+I12</f>
        <v>4733.14973371008</v>
      </c>
      <c r="J13" s="0" t="n">
        <f aca="false">J11+J12</f>
        <v>4922.47572305848</v>
      </c>
      <c r="K13" s="0" t="n">
        <f aca="false">K11+K12</f>
        <v>5094.76237336553</v>
      </c>
      <c r="L13" s="0" t="n">
        <f aca="false">L11+L12</f>
        <v>5247.60524456649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2275.091742</v>
      </c>
      <c r="D15" s="0" t="n">
        <f aca="false">D13-MAX(0,D13)*D14/100</f>
        <v>2486.41978242</v>
      </c>
      <c r="E15" s="0" t="n">
        <f aca="false">E13-MAX(0,E13)*E14/100</f>
        <v>2716.185798963</v>
      </c>
      <c r="F15" s="0" t="n">
        <f aca="false">F13-MAX(0,F13)*F14/100</f>
        <v>2952.07608873448</v>
      </c>
      <c r="G15" s="0" t="n">
        <f aca="false">G13-MAX(0,G13)*G14/100</f>
        <v>3192.09915966777</v>
      </c>
      <c r="H15" s="0" t="n">
        <f aca="false">H13-MAX(0,H13)*H14/100</f>
        <v>3351.70411765115</v>
      </c>
      <c r="I15" s="0" t="n">
        <f aca="false">I13-MAX(0,I13)*I14/100</f>
        <v>3502.53080294546</v>
      </c>
      <c r="J15" s="0" t="n">
        <f aca="false">J13-MAX(0,J13)*J14/100</f>
        <v>3642.63203506328</v>
      </c>
      <c r="K15" s="0" t="n">
        <f aca="false">K13-MAX(0,K13)*K14/100</f>
        <v>3770.12415629049</v>
      </c>
      <c r="L15" s="0" t="n">
        <f aca="false">L13-MAX(0,L13)*L14/100</f>
        <v>3883.2278809792</v>
      </c>
    </row>
    <row r="16" customFormat="false" ht="15" hidden="false" customHeight="false" outlineLevel="0" collapsed="false">
      <c r="A16" s="0" t="s">
        <v>116</v>
      </c>
      <c r="C16" s="0" t="n">
        <f aca="false">-C12</f>
        <v>394.5816</v>
      </c>
      <c r="D16" s="0" t="n">
        <f aca="false">-D12</f>
        <v>422.202312</v>
      </c>
      <c r="E16" s="0" t="n">
        <f aca="false">-E12</f>
        <v>451.75647384</v>
      </c>
      <c r="F16" s="0" t="n">
        <f aca="false">-F12</f>
        <v>481.1206446396</v>
      </c>
      <c r="G16" s="0" t="n">
        <f aca="false">-G12</f>
        <v>509.987883317976</v>
      </c>
      <c r="H16" s="0" t="n">
        <f aca="false">-H12</f>
        <v>535.487277483875</v>
      </c>
      <c r="I16" s="0" t="n">
        <f aca="false">-I12</f>
        <v>559.584204970649</v>
      </c>
      <c r="J16" s="0" t="n">
        <f aca="false">-J12</f>
        <v>581.967573169475</v>
      </c>
      <c r="K16" s="0" t="n">
        <f aca="false">-K12</f>
        <v>602.336438230407</v>
      </c>
      <c r="L16" s="0" t="n">
        <f aca="false">-L12</f>
        <v>620.406531377319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-756.2814</v>
      </c>
      <c r="D17" s="4" t="n">
        <f aca="false">-D6*Assumptions!D46/100</f>
        <v>-809.221098</v>
      </c>
      <c r="E17" s="4" t="n">
        <f aca="false">-E6*Assumptions!E46/100</f>
        <v>-865.86657486</v>
      </c>
      <c r="F17" s="4" t="n">
        <f aca="false">-F6*Assumptions!F46/100</f>
        <v>-922.1479022259</v>
      </c>
      <c r="G17" s="4" t="n">
        <f aca="false">-G6*Assumptions!G46/100</f>
        <v>-977.476776359454</v>
      </c>
      <c r="H17" s="4" t="n">
        <f aca="false">-H6*Assumptions!H46/100</f>
        <v>-1026.35061517743</v>
      </c>
      <c r="I17" s="4" t="n">
        <f aca="false">-I6*Assumptions!I46/100</f>
        <v>-1072.53639286041</v>
      </c>
      <c r="J17" s="4" t="n">
        <f aca="false">-J6*Assumptions!J46/100</f>
        <v>-1115.43784857483</v>
      </c>
      <c r="K17" s="4" t="n">
        <f aca="false">-K6*Assumptions!K46/100</f>
        <v>-1154.47817327495</v>
      </c>
      <c r="L17" s="4" t="n">
        <f aca="false">-L6*Assumptions!L46/100</f>
        <v>-1189.1125184732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-187.896</v>
      </c>
      <c r="D18" s="4" t="n">
        <f aca="false">(D6-C6)*Assumptions!$B$51/100</f>
        <v>-276.20712</v>
      </c>
      <c r="E18" s="4" t="n">
        <f aca="false">(E6-D6)*Assumptions!$B$51/100</f>
        <v>-295.541618400001</v>
      </c>
      <c r="F18" s="4" t="n">
        <f aca="false">(F6-E6)*Assumptions!$B$51/100</f>
        <v>-293.641707996</v>
      </c>
      <c r="G18" s="4" t="n">
        <f aca="false">(G6-F6)*Assumptions!$B$51/100</f>
        <v>-288.672386783761</v>
      </c>
      <c r="H18" s="4" t="n">
        <f aca="false">(H6-G6)*Assumptions!$B$51/100</f>
        <v>-254.993941658989</v>
      </c>
      <c r="I18" s="4" t="n">
        <f aca="false">(I6-H6)*Assumptions!$B$51/100</f>
        <v>-240.969274867743</v>
      </c>
      <c r="J18" s="4" t="n">
        <f aca="false">(J6-I6)*Assumptions!$B$51/100</f>
        <v>-223.83368198826</v>
      </c>
      <c r="K18" s="4" t="n">
        <f aca="false">(K6-J6)*Assumptions!$B$51/100</f>
        <v>-203.688650609316</v>
      </c>
      <c r="L18" s="4" t="n">
        <f aca="false">(L6-K6)*Assumptions!$B$51/100</f>
        <v>-180.700931469122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1725.495942</v>
      </c>
      <c r="D19" s="0" t="n">
        <f aca="false">D15+D16+D17+D18</f>
        <v>1823.19387642</v>
      </c>
      <c r="E19" s="0" t="n">
        <f aca="false">E15+E16+E17+E18</f>
        <v>2006.534079543</v>
      </c>
      <c r="F19" s="0" t="n">
        <f aca="false">F15+F16+F17+F18</f>
        <v>2217.40712315218</v>
      </c>
      <c r="G19" s="0" t="n">
        <f aca="false">G15+G16+G17+G18</f>
        <v>2435.93787984253</v>
      </c>
      <c r="H19" s="0" t="n">
        <f aca="false">H15+H16+H17+H18</f>
        <v>2605.84683829861</v>
      </c>
      <c r="I19" s="0" t="n">
        <f aca="false">I15+I16+I17+I18</f>
        <v>2748.60934018795</v>
      </c>
      <c r="J19" s="0" t="n">
        <f aca="false">J15+J16+J17+J18</f>
        <v>2885.32807766966</v>
      </c>
      <c r="K19" s="0" t="n">
        <f aca="false">K15+K16+K17+K18</f>
        <v>3014.29377063663</v>
      </c>
      <c r="L19" s="0" t="n">
        <f aca="false">L15+L16+L17+L18</f>
        <v>3133.82096241421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1583.0238</v>
      </c>
      <c r="D21" s="0" t="n">
        <f aca="false">D19*D20</f>
        <v>1534.54580962882</v>
      </c>
      <c r="E21" s="0" t="n">
        <f aca="false">E19*E20</f>
        <v>1549.41246840264</v>
      </c>
      <c r="F21" s="0" t="n">
        <f aca="false">F19*F20</f>
        <v>1570.86710923655</v>
      </c>
      <c r="G21" s="0" t="n">
        <f aca="false">G19*G20</f>
        <v>1583.19248318271</v>
      </c>
      <c r="H21" s="0" t="n">
        <f aca="false">H19*H20</f>
        <v>1553.78132852897</v>
      </c>
      <c r="I21" s="0" t="n">
        <f aca="false">I19*I20</f>
        <v>1503.583434779</v>
      </c>
      <c r="J21" s="0" t="n">
        <f aca="false">J19*J20</f>
        <v>1448.04886797545</v>
      </c>
      <c r="K21" s="0" t="n">
        <f aca="false">K19*K20</f>
        <v>1387.86458762404</v>
      </c>
      <c r="L21" s="0" t="n">
        <f aca="false">L19*L20</f>
        <v>1323.75984140001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15038.0797307582</v>
      </c>
    </row>
    <row r="31" customFormat="false" ht="15" hidden="false" customHeight="false" outlineLevel="0" collapsed="false">
      <c r="A31" s="0" t="s">
        <v>125</v>
      </c>
      <c r="B31" s="0" t="n">
        <f aca="false">L19</f>
        <v>3133.82096241421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53797.2598547772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47007.3144362131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47007.3144362131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19856.3976210001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34894.4773517583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31585.4773517583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162.143107555228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-0.263119852957519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665.701825624754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937.251445236536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170.371820444659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26898.6299273886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75.7277886963332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104.701016565727</v>
      </c>
      <c r="C4" s="0" t="n">
        <f aca="false">B4/Assumptions!$B$2-1</f>
        <v>-0.524172802373535</v>
      </c>
      <c r="D4" s="4" t="n">
        <f aca="false">Assumptions!$B$24</f>
        <v>0.25</v>
      </c>
      <c r="E4" s="4" t="n">
        <f aca="false">DCF_Bear!$B$43</f>
        <v>110.622688609967</v>
      </c>
      <c r="F4" s="4" t="n">
        <f aca="false">DCF_Bear!$B$47</f>
        <v>48.5666360419118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138.671786043207</v>
      </c>
      <c r="C5" s="0" t="n">
        <f aca="false">B5/Assumptions!$B$2-1</f>
        <v>-0.369788283752015</v>
      </c>
      <c r="D5" s="4" t="n">
        <f aca="false">Assumptions!$B$38</f>
        <v>0.5</v>
      </c>
      <c r="E5" s="4" t="n">
        <f aca="false">DCF_Base!$B$43</f>
        <v>145.736426139755</v>
      </c>
      <c r="F5" s="4" t="n">
        <f aca="false">DCF_Base!$B$47</f>
        <v>63.9674166361826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162.143107555228</v>
      </c>
      <c r="C6" s="0" t="n">
        <f aca="false">B6/Assumptions!$B$2-1</f>
        <v>-0.263119852957519</v>
      </c>
      <c r="D6" s="4" t="n">
        <f aca="false">Assumptions!$B$52</f>
        <v>0.25</v>
      </c>
      <c r="E6" s="4" t="n">
        <f aca="false">DCF_Bull!$B$43</f>
        <v>170.371820444659</v>
      </c>
      <c r="F6" s="4" t="n">
        <f aca="false">DCF_Bull!$B$47</f>
        <v>75.7277886963332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136.046924051842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143.116840333534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-0.617383131103732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1188.03494414299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63.0573145026525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138.671786043207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121.010101321769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104.17371815705</v>
      </c>
      <c r="C17" s="3" t="n">
        <v>11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90.9100900586193</v>
      </c>
      <c r="C18" s="3" t="n">
        <v>12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63.9674166361826</v>
      </c>
      <c r="C19" s="3" t="n">
        <v>15</v>
      </c>
    </row>
    <row r="21" customFormat="false" ht="15" hidden="false" customHeight="false" outlineLevel="0" collapsed="false">
      <c r="A21" s="2" t="s">
        <v>161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163.28640491273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163.28640491273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163.28640491273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163.28640491273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163.28640491273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150.405568557106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150.405568557106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150.405568557106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150.405568557106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150.405568557106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130.283602309116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136.220693393635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138.671786043207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138.671786043207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138.671786043207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112.002956683849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116.225055732874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121.010101321769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126.478724851935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127.970167632889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97.6190282267572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100.714298471618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104.17371815705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108.065565303162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112.476325402089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2026-10-09T23:07:15Z</dcterms:created>
  <dc:creator>openpyxl</dc:creator>
  <dc:description/>
  <dc:language>en-NZ</dc:language>
  <cp:lastModifiedBy/>
  <dcterms:modified xsi:type="dcterms:W3CDTF">2026-10-09T23:07:15Z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