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Reconciliation" sheetId="2" state="visible" r:id="rId4"/>
    <sheet name="Actuals" sheetId="3" state="visible" r:id="rId5"/>
    <sheet name="Assumptions" sheetId="4" state="visible" r:id="rId6"/>
    <sheet name="DCF_Bear" sheetId="5" state="visible" r:id="rId7"/>
    <sheet name="DCF_Base" sheetId="6" state="visible" r:id="rId8"/>
    <sheet name="DCF_Bull" sheetId="7" state="visible" r:id="rId9"/>
    <sheet name="Valuatio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<sst xmlns="http://schemas.openxmlformats.org/spreadsheetml/2006/main" count="404" uniqueCount="205">
  <si>
    <t xml:space="preserve">Ticker</t>
  </si>
  <si>
    <t xml:space="preserve">CBK.DE</t>
  </si>
  <si>
    <t xml:space="preserve">Company</t>
  </si>
  <si>
    <t xml:space="preserve">Commerzbank AG</t>
  </si>
  <si>
    <t xml:space="preserve">Valuation date</t>
  </si>
  <si>
    <t xml:space="preserve">2026-10-25</t>
  </si>
  <si>
    <t xml:space="preserve">Current price</t>
  </si>
  <si>
    <t xml:space="preserve">Price as of</t>
  </si>
  <si>
    <t xml:space="preserve">2026-10-23T15:38:56Z (Xetra, Friday regular session close; Yahoo chart API regularMarketTime)</t>
  </si>
  <si>
    <t xml:space="preserve">Balance sheet date</t>
  </si>
  <si>
    <t xml:space="preserve">2025-09-30</t>
  </si>
  <si>
    <t xml:space="preserve">Model</t>
  </si>
  <si>
    <t xml:space="preserve">Bank FCFE distributable earnings at cost of equity with residual income on tangible book cross-check (engine route)</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</si>
  <si>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</si>
  <si>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</si>
  <si>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</si>
  <si>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</si>
  <si>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</si>
  <si>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</si>
  <si>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</si>
  <si>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</si>
  <si>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2026-10-24T17:38:12Z</t>
  </si>
  <si>
    <t xml:space="preserve">Drivers file</t>
  </si>
  <si>
    <t xml:space="preserve">CBK.DE_Drivers.json</t>
  </si>
  <si>
    <t xml:space="preserve">Convention</t>
  </si>
  <si>
    <t xml:space="preserve">Percents stored as percents; formulas divide by 100. Blue = input, green = link, black = formula.</t>
  </si>
  <si>
    <t xml:space="preserve">Methodology</t>
  </si>
  <si>
    <t xml:space="preserve">summary: Commerzbank is valued as a standalone bank on the flow it actually distributes: net income to ordinary shareholders after AT1 coupons and NCI, less the equity retained to fund RWA growth at a 13.5% CET1 target. That FCFE is discounted at a 10% EUR cost of equity, with no net debt deducted. Deposits and debt securities are bank funding, not leverage to subtract. The UniCredit situation is framed, not forecast. Base = standalone value, which a control buyer would also have to recognise. Bull = Momentum targets delivered, approximating the compensation a domination agreement, merger or squeeze-out would have to clear. Bear = creeping control without a premium plus a credit downturn. The model never adds a takeover premium on top of fundamental value: the last offer (June 2026) was struck below today's price.
key_risks_to_valuation: Stale anchors: the latest extracted filing is Q3-2025 (30 Sep 2025). FY2025, Q1/H1-2026 actuals and the Q3-2026 release (early Nov 2026) can move base-year earnings, share count and tangible book. Re-run once they are extracted.; Share count of 1,095m is estimated, not filed (1,125m at Sep-25 less the about EUR 1bn buyback to Feb-2026). Any further 2026 buyback or cancellation changes the divisor.; FY2026 guidance in Analysis.json (about EUR 4.2bn net profit, about 16% RoTE) is unverified and probably conflated with the 2028 target. If it is real, the base case is too low by roughly EUR 4-6/share.; ECB rate path: NII is about 60% of income. Faster cuts or a flatter curve compress margins faster than the structural hedge offsets.; German SME/export credit cycle and mBank CHF-mortgage litigation: the risk result can double in a downturn (FY2020: EUR 1.75bn).; UniCredit control outcomes cut both ways: a squeeze-out or domination agreement at a premium (upside), or control without a premium and a reduced payout (downside).; Valuation is terminal-heavy (about half of value): Gordon at CoE 10.75% and g 2.4% is about 12.3x terminal FCFE. A 1pt change in CoE moves the base case about 10-13%.
sanity_check_note: The 2026-10-25 multiples sanity check tripped on implied P/B 1.41x against a 10yr maximum of 0.72x (FY2024). One fix pass was applied: +0.75pt CoE premium for the UniCredit control overhang and residual cyclicality, and growth after FY2028 plus terminal growth capped at the 2.4% through-cycle CAGR. Weighted IV fell from EUR 36.25 to EUR 31.87, implied P/B about 1.18x. The check still trips, and the valuation is kept there on purpose rather than forced into the band, for three reasons. (1) The band cannot be cleared without valuing the bank below what its own earnings support. A pass needs an IV below about EUR 29 (1.08x book). At the fixed 10.75% CoE, that is only justified by RoTE below about 11%, close to the bear case, while Commerzbank earned about 10% underlying on TTM Sep-2025 and guides to 15% by 2028. (2) The FY2016-24 P/B band (0.23-0.72x) was set when RoTE was 0-8%: FY2020 was a loss. Justified P/TBV = (RoTE - g)/(CoE - g), so the band measured a sub-CoE bank. It is not a ceiling on a bank earning around its cost of equity. (3) The window ends at FY2024 because FY2025 and later filings are not extracted. The 2025 re-rating (stock about EUR 18.7 to EUR 30-43 on UniCredit's approach and the Momentum upgrade) is outside the data the check can see. The P/B gap is a structural re-rating plus takeover overhang, not a WACC or growth error. The investment conclusion is the same either way: the stock trades about 14% above the probability-weighted value and about 70% above the 15%-hurdle entry price. It is a hold-or-avoid, not a buy, unless a control premium crystallises.</t>
  </si>
  <si>
    <t xml:space="preserve">Data sources</t>
  </si>
  <si>
    <t xml:space="preserve">price: Yahoo Finance chart API (CBK.DE, EUR) at inputs.price_as_of; 52-week range 29.32-43.37.
financials: CBK.DE_Metrics.csv / core_metrics (FY2014-9M2025) and kpis (NetIncomeInclAT1, CET1Ratio, BookValuePerShare, CreditImpairmentCharge, NII, fees). Q3-2025 interim (CBK.DE_Quarterly_Q3-2025.txt): income statement, restructuring, intangible assets, buyback, share count. FY2024 annual: profit attributable 2,465 and AT1-coupon deduction basis.
qualitative: CBK.DE_Analysis.json (UniCredit takeover timeline, Momentum targets, 2026 guidance; the 2026 items are not verified against a filing).</t>
  </si>
  <si>
    <t xml:space="preserve">Scenario narrative: bear</t>
  </si>
  <si>
    <t xml:space="preserve">German credit cycle and rate cuts stall RoTE about 10% (below CoE). The worst minority outcome: UniCredit reaches control through market purchases without a premium bid, capital returns slow, and the stock de-rates below tangible book. Berlin's opposition (Finanzagentur about 12%) delays the deal without stopping it, so the overhang lasts.</t>
  </si>
  <si>
    <t xml:space="preserve">Scenario narrative: base</t>
  </si>
  <si>
    <t xml:space="preserve">Standalone value. Commerzbank keeps executing Momentum (3,900 roles cut by 2028, fee growth, cost-income towards 52%), reaches about 13% Net RoTE by FY2028 (2pt below target) and keeps a 100% payout. At a 10.75% CoE (including the control-overhang premium) that is worth about 1.3x tangible book, below the market's about 1.45x: today's price already discounts slightly more than a haircut Momentum.</t>
  </si>
  <si>
    <t xml:space="preserve">Scenario narrative: bull</t>
  </si>
  <si>
    <t xml:space="preserve">Momentum targets met (15% Net RoTE FY2028, about EUR 4.4bn net income ex-AT1). The value of that plan is what a control buyer has to pay. UniCredit (about 47.6% combined after the June-2026 exchange offer at 0.485 UCG per share, about EUR 30.8 implied then) would need a domination agreement, merger or squeeze-out at IDW S1 compensation on these plan figures, or a sweetened offer, to take out the rest. The ECB decision on UniCredit's &gt;30% application was expected around October 2026.</t>
  </si>
  <si>
    <t xml:space="preserve">Item</t>
  </si>
  <si>
    <t xml:space="preserve">Value</t>
  </si>
  <si>
    <t xml:space="preserve">Note</t>
  </si>
  <si>
    <t xml:space="preserve">Prior valuation_date</t>
  </si>
  <si>
    <t xml:space="preserve">Prior price_then</t>
  </si>
  <si>
    <t xml:space="preserve">Prior bear</t>
  </si>
  <si>
    <t xml:space="preserve">Prior base</t>
  </si>
  <si>
    <t xml:space="preserve">Prior bull</t>
  </si>
  <si>
    <t xml:space="preserve">Prior weighted</t>
  </si>
  <si>
    <t xml:space="preserve">Prior note</t>
  </si>
  <si>
    <t xml:space="preserve">Same-day build before the sanity-check fix pass. Anchors (price, balance sheet, shares, guidance) unchanged.</t>
  </si>
  <si>
    <t xml:space="preserve">New valuation_date</t>
  </si>
  <si>
    <t xml:space="preserve">New price_then</t>
  </si>
  <si>
    <t xml:space="preserve">New bear</t>
  </si>
  <si>
    <t xml:space="preserve">New base</t>
  </si>
  <si>
    <t xml:space="preserve">New bull</t>
  </si>
  <si>
    <t xml:space="preserve">New weighted</t>
  </si>
  <si>
    <t xml:space="preserve">Bridge</t>
  </si>
  <si>
    <t xml:space="preserve">Prior weighted IV</t>
  </si>
  <si>
    <t xml:space="preserve">Anchor refresh (price, net cash, shares, guidance)</t>
  </si>
  <si>
    <t xml:space="preserve">None: same-day rebuild</t>
  </si>
  <si>
    <t xml:space="preserve">Methodology: +0.75pt CoE premium (control overhang +0.5, cyclicality +0.25) in all scenarios</t>
  </si>
  <si>
    <t xml:space="preserve">Scenarios 36.65/48.07/23.62 -&gt; 33.42/44.45/22.13</t>
  </si>
  <si>
    <t xml:space="preserve">Driver change: years 4-10 and terminal growth capped at the 2.4% through-cycle CAGR</t>
  </si>
  <si>
    <t xml:space="preserve">Mostly bull (terminal g 3.0 -&gt; 2.4, years 4-7 at 3-5% -&gt; 2.4): 44.45 -&gt; 40.53. Base 33.42 -&gt; 32.42. Bear about unchanged.</t>
  </si>
  <si>
    <t xml:space="preserve">New weighted IV</t>
  </si>
  <si>
    <t xml:space="preserve">ties to probability_weighted.weighted_iv</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</si>
  <si>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</si>
  <si>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</si>
  <si>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</si>
  <si>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</si>
  <si>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</si>
  <si>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</si>
  <si>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</si>
  <si>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</si>
  <si>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</si>
  <si>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</si>
  <si>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</si>
  <si>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</si>
  <si>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</si>
  <si>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</si>
  <si>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</si>
  <si>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</si>
  <si>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</si>
  <si>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</si>
  <si>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</si>
  <si>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</si>
  <si>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</si>
  <si>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</si>
  <si>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</si>
  <si>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</si>
  <si>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</si>
  <si>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</si>
  <si>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</si>
  <si>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</si>
  <si>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CET1Ratio</t>
  </si>
  <si>
    <t xml:space="preserve">CostToIncomeRatio</t>
  </si>
  <si>
    <t xml:space="preserve">CreditImpairmentCharge</t>
  </si>
  <si>
    <t xml:space="preserve">NetFeeAndCommissionIncome</t>
  </si>
  <si>
    <t xml:space="preserve">NetInterestIncome</t>
  </si>
  <si>
    <t xml:space="preserve">OperatingExpenses</t>
  </si>
  <si>
    <t xml:space="preserve">OperatingProfit</t>
  </si>
  <si>
    <t xml:space="preserve">ROE</t>
  </si>
  <si>
    <t xml:space="preserve">RiskWeightedAssets</t>
  </si>
  <si>
    <t xml:space="preserve">Tier1Ratio</t>
  </si>
  <si>
    <t xml:space="preserve">TotalCapitalRatio</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</si>
  <si>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</si>
  <si>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</si>
  <si>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</si>
  <si>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</si>
  <si>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</si>
  <si>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</si>
  <si>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</si>
  <si>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</si>
  <si>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</si>
  <si>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</si>
  <si>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</si>
  <si>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Input</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</si>
  <si>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</si>
  <si>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</si>
  <si>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</si>
  <si>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</si>
  <si>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</si>
  <si>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</si>
  <si>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</si>
  <si>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FY2025</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</si>
  <si>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</si>
  <si>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</si>
  <si>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</si>
  <si>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</si>
  <si>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</si>
  <si>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</si>
  <si>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</si>
  <si>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</si>
  <si>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</si>
  <si>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</si>
  <si>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</si>
  <si>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</si>
  <si>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</si>
  <si>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</si>
  <si>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</si>
  <si>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</si>
  <si>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</si>
  <si>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</si>
  <si>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</si>
  <si>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</si>
  <si>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</si>
  <si>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</si>
  <si>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</si>
  <si>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</si>
  <si>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</si>
  <si>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</si>
  <si>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</si>
  <si>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</si>
  <si>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CBK.DE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</si>
  <si>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</si>
  <si>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</si>
  <si>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</si>
  <si>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</si>
  <si>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</si>
  <si>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</si>
  <si>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</si>
  <si>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</si>
  <si>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</si>
  <si>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</si>
  <si>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</si>
  <si>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</si>
  <si>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</si>
  <si>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</si>
  <si>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</si>
  <si>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</si>
  <si>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</si>
  <si>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</si>
  <si>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</si>
  <si>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</si>
  <si>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</si>
  <si>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</si>
  <si>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</si>
  <si>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</si>
  <si>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</si>
  <si>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</si>
  <si>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</si>
  <si>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</si>
  <si>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</si>
  <si>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</si>
  <si>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CBK.DE owner-FCF component DCF: base case (millions, EUR)</t>
  </si>
  <si>
    <t xml:space="preserve">CBK.DE owner-FCF component DCF: bull case (millions, EUR)</t>
  </si>
  <si>
    <t xml:space="preserve">CBK.DE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</si>
  <si>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</si>
  <si>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</si>
  <si>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</si>
  <si>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</si>
  <si>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</si>
  <si>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</si>
  <si>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</si>
  <si>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</si>
  <si>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</si>
  <si>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</si>
  <si>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</si>
  <si>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</si>
  <si>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</si>
  <si>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</si>
  <si>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</si>
  <si>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</si>
  <si>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10.75%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</si>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</sst>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36.27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35.0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8"/>
  </cols>
  <sheetData>
    <row r="1" customFormat="false" ht="15" hidden="false" customHeight="false" outlineLevel="0" collapsed="false">
      <c r="A1" s="2" t="s">
        <v>36</v>
      </c>
      <c r="B1" s="2" t="s">
        <v>37</v>
      </c>
      <c r="C1" s="2" t="s">
        <v>38</v>
      </c>
    </row>
    <row r="2" customFormat="false" ht="15" hidden="false" customHeight="false" outlineLevel="0" collapsed="false">
      <c r="A2" s="0" t="s">
        <v>39</v>
      </c>
      <c r="B2" s="0" t="s">
        <v>5</v>
      </c>
    </row>
    <row r="3" customFormat="false" ht="15" hidden="false" customHeight="false" outlineLevel="0" collapsed="false">
      <c r="A3" s="0" t="s">
        <v>40</v>
      </c>
      <c r="B3" s="0" t="n">
        <v>36.27</v>
      </c>
    </row>
    <row r="4" customFormat="false" ht="15" hidden="false" customHeight="false" outlineLevel="0" collapsed="false">
      <c r="A4" s="0" t="s">
        <v>41</v>
      </c>
      <c r="B4" s="0" t="n">
        <v>23.62</v>
      </c>
    </row>
    <row r="5" customFormat="false" ht="15" hidden="false" customHeight="false" outlineLevel="0" collapsed="false">
      <c r="A5" s="0" t="s">
        <v>42</v>
      </c>
      <c r="B5" s="0" t="n">
        <v>36.65</v>
      </c>
    </row>
    <row r="6" customFormat="false" ht="15" hidden="false" customHeight="false" outlineLevel="0" collapsed="false">
      <c r="A6" s="0" t="s">
        <v>43</v>
      </c>
      <c r="B6" s="0" t="n">
        <v>48.07</v>
      </c>
    </row>
    <row r="7" customFormat="false" ht="15" hidden="false" customHeight="false" outlineLevel="0" collapsed="false">
      <c r="A7" s="0" t="s">
        <v>44</v>
      </c>
      <c r="B7" s="0" t="n">
        <v>36.25</v>
      </c>
    </row>
    <row r="8" customFormat="false" ht="15" hidden="false" customHeight="false" outlineLevel="0" collapsed="false">
      <c r="A8" s="0" t="s">
        <v>45</v>
      </c>
      <c r="B8" s="0" t="s">
        <v>46</v>
      </c>
    </row>
    <row r="9" customFormat="false" ht="15" hidden="false" customHeight="false" outlineLevel="0" collapsed="false">
      <c r="A9" s="0" t="s">
        <v>47</v>
      </c>
      <c r="B9" s="0" t="s">
        <v>5</v>
      </c>
    </row>
    <row r="10" customFormat="false" ht="15" hidden="false" customHeight="false" outlineLevel="0" collapsed="false">
      <c r="A10" s="0" t="s">
        <v>48</v>
      </c>
      <c r="B10" s="0" t="n">
        <v>36.27</v>
      </c>
    </row>
    <row r="11" customFormat="false" ht="15" hidden="false" customHeight="false" outlineLevel="0" collapsed="false">
      <c r="A11" s="0" t="s">
        <v>49</v>
      </c>
      <c r="B11" s="0" t="n">
        <v>22.12</v>
      </c>
    </row>
    <row r="12" customFormat="false" ht="15" hidden="false" customHeight="false" outlineLevel="0" collapsed="false">
      <c r="A12" s="0" t="s">
        <v>50</v>
      </c>
      <c r="B12" s="0" t="n">
        <v>32.42</v>
      </c>
    </row>
    <row r="13" customFormat="false" ht="15" hidden="false" customHeight="false" outlineLevel="0" collapsed="false">
      <c r="A13" s="0" t="s">
        <v>51</v>
      </c>
      <c r="B13" s="0" t="n">
        <v>40.53</v>
      </c>
    </row>
    <row r="14" customFormat="false" ht="15" hidden="false" customHeight="false" outlineLevel="0" collapsed="false">
      <c r="A14" s="0" t="s">
        <v>52</v>
      </c>
      <c r="B14" s="0" t="n">
        <v>31.87</v>
      </c>
    </row>
    <row r="16" customFormat="false" ht="15" hidden="false" customHeight="false" outlineLevel="0" collapsed="false">
      <c r="A16" s="2" t="s">
        <v>53</v>
      </c>
    </row>
    <row r="17" customFormat="false" ht="15" hidden="false" customHeight="false" outlineLevel="0" collapsed="false">
      <c r="A17" s="0" t="s">
        <v>54</v>
      </c>
      <c r="B17" s="0" t="n">
        <v>36.25</v>
      </c>
    </row>
    <row r="18" customFormat="false" ht="15" hidden="false" customHeight="false" outlineLevel="0" collapsed="false">
      <c r="A18" s="0" t="s">
        <v>55</v>
      </c>
      <c r="B18" s="0" t="n">
        <v>0</v>
      </c>
      <c r="C18" s="0" t="s">
        <v>56</v>
      </c>
    </row>
    <row r="19" customFormat="false" ht="15" hidden="false" customHeight="false" outlineLevel="0" collapsed="false">
      <c r="A19" s="0" t="s">
        <v>57</v>
      </c>
      <c r="B19" s="0" t="n">
        <v>-2.89</v>
      </c>
      <c r="C19" s="0" t="s">
        <v>58</v>
      </c>
    </row>
    <row r="20" customFormat="false" ht="15" hidden="false" customHeight="false" outlineLevel="0" collapsed="false">
      <c r="A20" s="0" t="s">
        <v>59</v>
      </c>
      <c r="B20" s="0" t="n">
        <v>-1.49</v>
      </c>
      <c r="C20" s="0" t="s">
        <v>60</v>
      </c>
    </row>
    <row r="21" customFormat="false" ht="15" hidden="false" customHeight="false" outlineLevel="0" collapsed="false">
      <c r="A21" s="0" t="s">
        <v>61</v>
      </c>
      <c r="B21" s="0" t="n">
        <v>31.87</v>
      </c>
      <c r="C21" s="0"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63</v>
      </c>
      <c r="B1" s="2" t="s">
        <v>64</v>
      </c>
      <c r="C1" s="2" t="s">
        <v>65</v>
      </c>
      <c r="D1" s="2" t="s">
        <v>66</v>
      </c>
      <c r="E1" s="2" t="s">
        <v>67</v>
      </c>
      <c r="F1" s="2" t="s">
        <v>68</v>
      </c>
      <c r="G1" s="2" t="s">
        <v>69</v>
      </c>
      <c r="H1" s="2" t="s">
        <v>70</v>
      </c>
      <c r="I1" s="2" t="s">
        <v>71</v>
      </c>
      <c r="J1" s="2" t="s">
        <v>72</v>
      </c>
      <c r="K1" s="2" t="s">
        <v>73</v>
      </c>
      <c r="L1" s="2" t="s">
        <v>74</v>
      </c>
      <c r="M1" s="2" t="s">
        <v>75</v>
      </c>
      <c r="N1" s="2" t="s">
        <v>76</v>
      </c>
      <c r="O1" s="2" t="s">
        <v>77</v>
      </c>
      <c r="P1" s="2" t="s">
        <v>78</v>
      </c>
      <c r="Q1" s="2" t="s">
        <v>79</v>
      </c>
      <c r="R1" s="2" t="s">
        <v>80</v>
      </c>
      <c r="S1" s="2" t="s">
        <v>81</v>
      </c>
      <c r="T1" s="2" t="s">
        <v>82</v>
      </c>
      <c r="U1" s="2" t="s">
        <v>83</v>
      </c>
      <c r="V1" s="2" t="s">
        <v>84</v>
      </c>
      <c r="W1" s="2" t="s">
        <v>85</v>
      </c>
      <c r="X1" s="2" t="s">
        <v>86</v>
      </c>
      <c r="Y1" s="2" t="s">
        <v>87</v>
      </c>
      <c r="Z1" s="2" t="s">
        <v>88</v>
      </c>
      <c r="AA1" s="2" t="s">
        <v>16</v>
      </c>
      <c r="AB1" s="2" t="s">
        <v>89</v>
      </c>
      <c r="AC1" s="2" t="s">
        <v>90</v>
      </c>
      <c r="AD1" s="2" t="s">
        <v>91</v>
      </c>
      <c r="AE1" s="2" t="s">
        <v>92</v>
      </c>
      <c r="AF1" s="2" t="s">
        <v>93</v>
      </c>
      <c r="AG1" s="2" t="s">
        <v>94</v>
      </c>
      <c r="AH1" s="2" t="s">
        <v>95</v>
      </c>
      <c r="AI1" s="2" t="s">
        <v>96</v>
      </c>
      <c r="AJ1" s="2" t="s">
        <v>97</v>
      </c>
      <c r="AK1" s="2" t="s">
        <v>98</v>
      </c>
      <c r="AL1" s="2" t="s">
        <v>99</v>
      </c>
      <c r="AM1" s="2" t="s">
        <v>100</v>
      </c>
      <c r="AN1" s="2" t="s">
        <v>101</v>
      </c>
    </row>
    <row r="2" customFormat="false" ht="15" hidden="false" customHeight="false" outlineLevel="0" collapsed="false">
      <c r="A2" s="0" t="s">
        <v>102</v>
      </c>
      <c r="B2" s="0" t="n">
        <v>8754</v>
      </c>
      <c r="F2" s="0" t="n">
        <v>684</v>
      </c>
      <c r="G2" s="0" t="n">
        <v>7.8</v>
      </c>
      <c r="I2" s="0" t="n">
        <v>264</v>
      </c>
      <c r="J2" s="0" t="n">
        <v>3</v>
      </c>
      <c r="K2" s="0" t="n">
        <v>0.23</v>
      </c>
      <c r="O2" s="0" t="n">
        <v>26054</v>
      </c>
      <c r="P2" s="0" t="n">
        <v>557609</v>
      </c>
      <c r="Q2" s="0" t="n">
        <v>530649</v>
      </c>
      <c r="S2" s="0" t="n">
        <v>4897</v>
      </c>
      <c r="T2" s="0" t="n">
        <v>1138.5</v>
      </c>
      <c r="AA2" s="0" t="s">
        <v>17</v>
      </c>
      <c r="AB2" s="0" t="s">
        <v>14</v>
      </c>
      <c r="AC2" s="0" t="n">
        <v>22.88</v>
      </c>
      <c r="AD2" s="0" t="n">
        <v>11.7</v>
      </c>
      <c r="AE2" s="0" t="n">
        <v>79.1</v>
      </c>
      <c r="AF2" s="0" t="n">
        <v>1144</v>
      </c>
      <c r="AG2" s="0" t="n">
        <v>3205</v>
      </c>
      <c r="AH2" s="0" t="n">
        <v>5607</v>
      </c>
      <c r="AI2" s="0" t="n">
        <v>6926</v>
      </c>
      <c r="AJ2" s="0" t="n">
        <v>684</v>
      </c>
      <c r="AK2" s="0" t="n">
        <v>1</v>
      </c>
      <c r="AL2" s="0" t="n">
        <v>215200</v>
      </c>
      <c r="AM2" s="0" t="n">
        <v>11.7</v>
      </c>
      <c r="AN2" s="0" t="n">
        <v>14.6</v>
      </c>
    </row>
    <row r="3" customFormat="false" ht="15" hidden="false" customHeight="false" outlineLevel="0" collapsed="false">
      <c r="A3" s="0" t="s">
        <v>103</v>
      </c>
      <c r="B3" s="0" t="n">
        <v>9762</v>
      </c>
      <c r="F3" s="0" t="n">
        <v>1909</v>
      </c>
      <c r="G3" s="0" t="n">
        <v>19.6</v>
      </c>
      <c r="I3" s="0" t="n">
        <v>1062</v>
      </c>
      <c r="J3" s="0" t="n">
        <v>10.9</v>
      </c>
      <c r="K3" s="0" t="n">
        <v>0.88</v>
      </c>
      <c r="O3" s="0" t="n">
        <v>29403</v>
      </c>
      <c r="P3" s="0" t="n">
        <v>532641</v>
      </c>
      <c r="Q3" s="0" t="n">
        <v>502234</v>
      </c>
      <c r="S3" s="0" t="n">
        <v>28509</v>
      </c>
      <c r="T3" s="0" t="n">
        <v>1252.4</v>
      </c>
      <c r="AA3" s="0" t="s">
        <v>17</v>
      </c>
      <c r="AB3" s="0" t="s">
        <v>14</v>
      </c>
      <c r="AC3" s="0" t="n">
        <v>23.48</v>
      </c>
      <c r="AD3" s="0" t="n">
        <v>13.8</v>
      </c>
      <c r="AE3" s="0" t="n">
        <v>73.3</v>
      </c>
      <c r="AF3" s="0" t="n">
        <v>696</v>
      </c>
      <c r="AG3" s="0" t="n">
        <v>3424</v>
      </c>
      <c r="AH3" s="0" t="n">
        <v>5779</v>
      </c>
      <c r="AI3" s="0" t="n">
        <v>7157</v>
      </c>
      <c r="AJ3" s="0" t="n">
        <v>1909</v>
      </c>
      <c r="AK3" s="0" t="n">
        <v>3.8</v>
      </c>
      <c r="AL3" s="0" t="n">
        <v>198200</v>
      </c>
      <c r="AM3" s="0" t="n">
        <v>13.8</v>
      </c>
      <c r="AN3" s="0" t="n">
        <v>16.5</v>
      </c>
    </row>
    <row r="4" customFormat="false" ht="15" hidden="false" customHeight="false" outlineLevel="0" collapsed="false">
      <c r="A4" s="0" t="s">
        <v>104</v>
      </c>
      <c r="B4" s="0" t="n">
        <v>9399</v>
      </c>
      <c r="F4" s="0" t="n">
        <v>1399</v>
      </c>
      <c r="G4" s="0" t="n">
        <v>14.9</v>
      </c>
      <c r="I4" s="0" t="n">
        <v>279</v>
      </c>
      <c r="J4" s="0" t="n">
        <v>3</v>
      </c>
      <c r="K4" s="0" t="n">
        <v>0.22</v>
      </c>
      <c r="O4" s="0" t="n">
        <v>28560</v>
      </c>
      <c r="P4" s="0" t="n">
        <v>480450</v>
      </c>
      <c r="Q4" s="0" t="n">
        <v>450810</v>
      </c>
      <c r="S4" s="0" t="n">
        <v>34802</v>
      </c>
      <c r="T4" s="0" t="n">
        <v>1252.4</v>
      </c>
      <c r="AA4" s="0" t="s">
        <v>17</v>
      </c>
      <c r="AB4" s="0" t="s">
        <v>14</v>
      </c>
      <c r="AC4" s="0" t="n">
        <v>22.8</v>
      </c>
      <c r="AD4" s="0" t="n">
        <v>13.9</v>
      </c>
      <c r="AE4" s="0" t="n">
        <v>75.5</v>
      </c>
      <c r="AF4" s="0" t="n">
        <v>900</v>
      </c>
      <c r="AG4" s="0" t="n">
        <v>3212</v>
      </c>
      <c r="AH4" s="0" t="n">
        <v>5077</v>
      </c>
      <c r="AI4" s="0" t="n">
        <v>7100</v>
      </c>
      <c r="AJ4" s="0" t="n">
        <v>1399</v>
      </c>
      <c r="AK4" s="0" t="n">
        <v>1.2</v>
      </c>
      <c r="AL4" s="0" t="n">
        <v>190500</v>
      </c>
      <c r="AM4" s="0" t="n">
        <v>13.9</v>
      </c>
      <c r="AN4" s="0" t="n">
        <v>16.9</v>
      </c>
    </row>
    <row r="5" customFormat="false" ht="15" hidden="false" customHeight="false" outlineLevel="0" collapsed="false">
      <c r="A5" s="0" t="s">
        <v>105</v>
      </c>
      <c r="B5" s="0" t="n">
        <v>9163</v>
      </c>
      <c r="F5" s="0" t="n">
        <v>1303</v>
      </c>
      <c r="G5" s="0" t="n">
        <v>14.2</v>
      </c>
      <c r="I5" s="0" t="n">
        <v>156</v>
      </c>
      <c r="J5" s="0" t="n">
        <v>1.7</v>
      </c>
      <c r="K5" s="0" t="n">
        <v>0.12</v>
      </c>
      <c r="O5" s="0" t="n">
        <v>28877</v>
      </c>
      <c r="P5" s="0" t="n">
        <v>452493</v>
      </c>
      <c r="Q5" s="0" t="n">
        <v>422452</v>
      </c>
      <c r="S5" s="0" t="n">
        <v>55733</v>
      </c>
      <c r="T5" s="0" t="n">
        <v>1252.4</v>
      </c>
      <c r="AA5" s="0" t="s">
        <v>17</v>
      </c>
      <c r="AB5" s="0" t="s">
        <v>14</v>
      </c>
      <c r="AC5" s="0" t="n">
        <v>23.06</v>
      </c>
      <c r="AD5" s="0" t="n">
        <v>14.9</v>
      </c>
      <c r="AE5" s="0" t="n">
        <v>77.3</v>
      </c>
      <c r="AF5" s="0" t="n">
        <v>781</v>
      </c>
      <c r="AG5" s="0" t="n">
        <v>3178</v>
      </c>
      <c r="AH5" s="0" t="n">
        <v>4201</v>
      </c>
      <c r="AI5" s="0" t="n">
        <v>7079</v>
      </c>
      <c r="AJ5" s="0" t="n">
        <v>1303</v>
      </c>
      <c r="AK5" s="0" t="n">
        <v>0.6</v>
      </c>
      <c r="AL5" s="0" t="n">
        <v>171400</v>
      </c>
      <c r="AM5" s="0" t="n">
        <v>15.2</v>
      </c>
      <c r="AN5" s="0" t="n">
        <v>18.3</v>
      </c>
    </row>
    <row r="6" customFormat="false" ht="15" hidden="false" customHeight="false" outlineLevel="0" collapsed="false">
      <c r="A6" s="0" t="s">
        <v>106</v>
      </c>
      <c r="B6" s="0" t="n">
        <v>8570</v>
      </c>
      <c r="F6" s="0" t="n">
        <v>1245</v>
      </c>
      <c r="G6" s="0" t="n">
        <v>14.5</v>
      </c>
      <c r="I6" s="0" t="n">
        <v>865</v>
      </c>
      <c r="J6" s="0" t="n">
        <v>10.1</v>
      </c>
      <c r="K6" s="0" t="n">
        <v>0.69</v>
      </c>
      <c r="O6" s="0" t="n">
        <v>28211</v>
      </c>
      <c r="P6" s="0" t="n">
        <v>462369</v>
      </c>
      <c r="Q6" s="0" t="n">
        <v>432958</v>
      </c>
      <c r="S6" s="0" t="n">
        <v>53914</v>
      </c>
      <c r="T6" s="0" t="n">
        <v>1252.4</v>
      </c>
      <c r="AA6" s="0" t="s">
        <v>17</v>
      </c>
      <c r="AB6" s="0" t="s">
        <v>14</v>
      </c>
      <c r="AC6" s="0" t="n">
        <v>22.53</v>
      </c>
      <c r="AD6" s="0" t="n">
        <v>12.9</v>
      </c>
      <c r="AE6" s="0" t="n">
        <v>80.3</v>
      </c>
      <c r="AF6" s="0" t="n">
        <v>446</v>
      </c>
      <c r="AG6" s="0" t="n">
        <v>3089</v>
      </c>
      <c r="AH6" s="0" t="n">
        <v>4748</v>
      </c>
      <c r="AI6" s="0" t="n">
        <v>6879</v>
      </c>
      <c r="AJ6" s="0" t="n">
        <v>1245</v>
      </c>
      <c r="AK6" s="0" t="n">
        <v>3.4</v>
      </c>
      <c r="AL6" s="0" t="n">
        <v>180500</v>
      </c>
      <c r="AM6" s="0" t="n">
        <v>13.4</v>
      </c>
      <c r="AN6" s="0" t="n">
        <v>16.3</v>
      </c>
    </row>
    <row r="7" customFormat="false" ht="15" hidden="false" customHeight="false" outlineLevel="0" collapsed="false">
      <c r="A7" s="0" t="s">
        <v>107</v>
      </c>
      <c r="B7" s="0" t="n">
        <v>8644</v>
      </c>
      <c r="F7" s="0" t="n">
        <v>1258</v>
      </c>
      <c r="G7" s="0" t="n">
        <v>14.6</v>
      </c>
      <c r="I7" s="0" t="n">
        <v>644</v>
      </c>
      <c r="J7" s="0" t="n">
        <v>7.5</v>
      </c>
      <c r="K7" s="0" t="n">
        <v>0.51</v>
      </c>
      <c r="O7" s="0" t="n">
        <v>28487</v>
      </c>
      <c r="P7" s="0" t="n">
        <v>463636</v>
      </c>
      <c r="Q7" s="0" t="n">
        <v>432969</v>
      </c>
      <c r="S7" s="0" t="n">
        <v>41164</v>
      </c>
      <c r="T7" s="0" t="n">
        <v>1252.4</v>
      </c>
      <c r="AA7" s="0" t="s">
        <v>17</v>
      </c>
      <c r="AB7" s="0" t="s">
        <v>14</v>
      </c>
      <c r="AC7" s="0" t="n">
        <v>22.75</v>
      </c>
      <c r="AD7" s="0" t="n">
        <v>13.4</v>
      </c>
      <c r="AE7" s="0" t="n">
        <v>78.3</v>
      </c>
      <c r="AF7" s="0" t="n">
        <v>620</v>
      </c>
      <c r="AG7" s="0" t="n">
        <v>3056</v>
      </c>
      <c r="AH7" s="0" t="n">
        <v>5074</v>
      </c>
      <c r="AI7" s="0" t="n">
        <v>6313</v>
      </c>
      <c r="AJ7" s="0" t="n">
        <v>1258</v>
      </c>
      <c r="AK7" s="0" t="n">
        <v>2.3</v>
      </c>
      <c r="AL7" s="0" t="n">
        <v>181800</v>
      </c>
      <c r="AM7" s="0" t="n">
        <v>14.3</v>
      </c>
      <c r="AN7" s="0" t="n">
        <v>16.8</v>
      </c>
    </row>
    <row r="8" customFormat="false" ht="15" hidden="false" customHeight="false" outlineLevel="0" collapsed="false">
      <c r="A8" s="0" t="s">
        <v>108</v>
      </c>
      <c r="B8" s="0" t="n">
        <v>8187</v>
      </c>
      <c r="F8" s="0" t="n">
        <v>-233</v>
      </c>
      <c r="G8" s="0" t="n">
        <v>-2.8</v>
      </c>
      <c r="I8" s="0" t="n">
        <v>-2918</v>
      </c>
      <c r="J8" s="0" t="n">
        <v>-35.6</v>
      </c>
      <c r="K8" s="0" t="n">
        <v>-2.33</v>
      </c>
      <c r="O8" s="0" t="n">
        <v>24862</v>
      </c>
      <c r="P8" s="0" t="n">
        <v>506916</v>
      </c>
      <c r="Q8" s="0" t="n">
        <v>478316</v>
      </c>
      <c r="S8" s="0" t="n">
        <v>75603</v>
      </c>
      <c r="T8" s="0" t="n">
        <v>1252.4</v>
      </c>
      <c r="AA8" s="0" t="s">
        <v>17</v>
      </c>
      <c r="AB8" s="0" t="s">
        <v>14</v>
      </c>
      <c r="AC8" s="0" t="n">
        <v>19.85</v>
      </c>
      <c r="AD8" s="0" t="n">
        <v>13.2</v>
      </c>
      <c r="AE8" s="0" t="n">
        <v>81.5</v>
      </c>
      <c r="AF8" s="0" t="n">
        <v>1748</v>
      </c>
      <c r="AG8" s="0" t="n">
        <v>3317</v>
      </c>
      <c r="AH8" s="0" t="n">
        <v>4975</v>
      </c>
      <c r="AI8" s="0" t="n">
        <v>6160</v>
      </c>
      <c r="AJ8" s="0" t="n">
        <v>-233</v>
      </c>
      <c r="AK8" s="0" t="n">
        <v>-11.7</v>
      </c>
      <c r="AL8" s="0" t="n">
        <v>178600</v>
      </c>
      <c r="AM8" s="0" t="n">
        <v>15</v>
      </c>
      <c r="AN8" s="0" t="n">
        <v>17.7</v>
      </c>
    </row>
    <row r="9" customFormat="false" ht="15" hidden="false" customHeight="false" outlineLevel="0" collapsed="false">
      <c r="A9" s="0" t="s">
        <v>109</v>
      </c>
      <c r="B9" s="0" t="n">
        <v>8459</v>
      </c>
      <c r="F9" s="0" t="n">
        <v>1183</v>
      </c>
      <c r="G9" s="0" t="n">
        <v>14</v>
      </c>
      <c r="I9" s="0" t="n">
        <v>291</v>
      </c>
      <c r="J9" s="0" t="n">
        <v>3.4</v>
      </c>
      <c r="K9" s="0" t="n">
        <v>0.23</v>
      </c>
      <c r="O9" s="0" t="n">
        <v>25738</v>
      </c>
      <c r="P9" s="0" t="n">
        <v>473044</v>
      </c>
      <c r="Q9" s="0" t="n">
        <v>443217</v>
      </c>
      <c r="S9" s="0" t="n">
        <v>49507</v>
      </c>
      <c r="T9" s="0" t="n">
        <v>1252.4</v>
      </c>
      <c r="AA9" s="0" t="s">
        <v>17</v>
      </c>
      <c r="AB9" s="0" t="s">
        <v>14</v>
      </c>
      <c r="AC9" s="0" t="n">
        <v>20.55</v>
      </c>
      <c r="AD9" s="0" t="n">
        <v>13.6</v>
      </c>
      <c r="AE9" s="0" t="n">
        <v>79.3</v>
      </c>
      <c r="AF9" s="0" t="n">
        <v>570</v>
      </c>
      <c r="AG9" s="0" t="n">
        <v>3616</v>
      </c>
      <c r="AH9" s="0" t="n">
        <v>4849</v>
      </c>
      <c r="AI9" s="0" t="n">
        <v>6239</v>
      </c>
      <c r="AJ9" s="0" t="n">
        <v>1183</v>
      </c>
      <c r="AK9" s="0" t="n">
        <v>1</v>
      </c>
      <c r="AL9" s="0" t="n">
        <v>175200</v>
      </c>
      <c r="AM9" s="0" t="n">
        <v>15.5</v>
      </c>
      <c r="AN9" s="0" t="n">
        <v>18.4</v>
      </c>
    </row>
    <row r="10" customFormat="false" ht="15" hidden="false" customHeight="false" outlineLevel="0" collapsed="false">
      <c r="A10" s="0" t="s">
        <v>110</v>
      </c>
      <c r="B10" s="0" t="n">
        <v>9461</v>
      </c>
      <c r="F10" s="0" t="n">
        <v>2099</v>
      </c>
      <c r="G10" s="0" t="n">
        <v>22.2</v>
      </c>
      <c r="I10" s="0" t="n">
        <v>1245</v>
      </c>
      <c r="J10" s="0" t="n">
        <v>13.2</v>
      </c>
      <c r="K10" s="0" t="n">
        <v>0.99</v>
      </c>
      <c r="O10" s="0" t="n">
        <v>26903</v>
      </c>
      <c r="P10" s="0" t="n">
        <v>477438</v>
      </c>
      <c r="Q10" s="0" t="n">
        <v>446533</v>
      </c>
      <c r="S10" s="0" t="n">
        <v>75233</v>
      </c>
      <c r="T10" s="0" t="n">
        <v>1252.4</v>
      </c>
      <c r="AA10" s="0" t="s">
        <v>17</v>
      </c>
      <c r="AB10" s="0" t="s">
        <v>14</v>
      </c>
      <c r="AC10" s="0" t="n">
        <v>21.48</v>
      </c>
      <c r="AD10" s="0" t="n">
        <v>14.1</v>
      </c>
      <c r="AE10" s="0" t="n">
        <v>68.6</v>
      </c>
      <c r="AF10" s="0" t="n">
        <v>876</v>
      </c>
      <c r="AG10" s="0" t="n">
        <v>3519</v>
      </c>
      <c r="AH10" s="0" t="n">
        <v>6459</v>
      </c>
      <c r="AI10" s="0" t="n">
        <v>5844</v>
      </c>
      <c r="AJ10" s="0" t="n">
        <v>2099</v>
      </c>
      <c r="AK10" s="0" t="n">
        <v>4.9</v>
      </c>
      <c r="AL10" s="0" t="n">
        <v>168700</v>
      </c>
      <c r="AM10" s="0" t="n">
        <v>16</v>
      </c>
      <c r="AN10" s="0" t="n">
        <v>18.9</v>
      </c>
    </row>
    <row r="11" customFormat="false" ht="15" hidden="false" customHeight="false" outlineLevel="0" collapsed="false">
      <c r="A11" s="0" t="s">
        <v>111</v>
      </c>
      <c r="B11" s="0" t="n">
        <v>10460</v>
      </c>
      <c r="F11" s="0" t="n">
        <v>3421</v>
      </c>
      <c r="G11" s="0" t="n">
        <v>32.7</v>
      </c>
      <c r="I11" s="0" t="n">
        <v>2030</v>
      </c>
      <c r="J11" s="0" t="n">
        <v>19.4</v>
      </c>
      <c r="K11" s="0" t="n">
        <v>1.63</v>
      </c>
      <c r="O11" s="0" t="n">
        <v>28878</v>
      </c>
      <c r="P11" s="0" t="n">
        <v>517166</v>
      </c>
      <c r="Q11" s="0" t="n">
        <v>484157</v>
      </c>
      <c r="S11" s="0" t="n">
        <v>93126</v>
      </c>
      <c r="T11" s="0" t="n">
        <v>1240.2</v>
      </c>
      <c r="AA11" s="0" t="s">
        <v>17</v>
      </c>
      <c r="AB11" s="0" t="s">
        <v>14</v>
      </c>
      <c r="AC11" s="0" t="n">
        <v>23.28</v>
      </c>
      <c r="AD11" s="0" t="n">
        <v>14.7</v>
      </c>
      <c r="AE11" s="0" t="n">
        <v>61.4</v>
      </c>
      <c r="AF11" s="0" t="n">
        <v>618</v>
      </c>
      <c r="AG11" s="0" t="n">
        <v>3386</v>
      </c>
      <c r="AH11" s="0" t="n">
        <v>8368</v>
      </c>
      <c r="AI11" s="0" t="n">
        <v>6006</v>
      </c>
      <c r="AJ11" s="0" t="n">
        <v>3421</v>
      </c>
      <c r="AK11" s="0" t="n">
        <v>7.7</v>
      </c>
      <c r="AL11" s="0" t="n">
        <v>175100</v>
      </c>
      <c r="AM11" s="0" t="n">
        <v>16.5</v>
      </c>
      <c r="AN11" s="0" t="n">
        <v>19.3</v>
      </c>
    </row>
    <row r="12" customFormat="false" ht="15" hidden="false" customHeight="false" outlineLevel="0" collapsed="false">
      <c r="A12" s="0" t="s">
        <v>112</v>
      </c>
      <c r="B12" s="0" t="n">
        <v>11107</v>
      </c>
      <c r="F12" s="0" t="n">
        <v>3837</v>
      </c>
      <c r="G12" s="0" t="n">
        <v>34.5</v>
      </c>
      <c r="I12" s="0" t="n">
        <v>2465</v>
      </c>
      <c r="J12" s="0" t="n">
        <v>22.2</v>
      </c>
      <c r="K12" s="0" t="n">
        <v>2.08</v>
      </c>
      <c r="O12" s="0" t="n">
        <v>30043</v>
      </c>
      <c r="P12" s="0" t="n">
        <v>554646</v>
      </c>
      <c r="Q12" s="0" t="n">
        <v>518930</v>
      </c>
      <c r="S12" s="0" t="n">
        <v>73001</v>
      </c>
      <c r="T12" s="0" t="n">
        <v>1153.6</v>
      </c>
      <c r="AA12" s="0" t="s">
        <v>17</v>
      </c>
      <c r="AB12" s="0" t="s">
        <v>14</v>
      </c>
      <c r="AC12" s="0" t="n">
        <v>26.04</v>
      </c>
      <c r="AD12" s="0" t="n">
        <v>15.1</v>
      </c>
      <c r="AE12" s="0" t="n">
        <v>58.8</v>
      </c>
      <c r="AF12" s="0" t="n">
        <v>743</v>
      </c>
      <c r="AG12" s="0" t="n">
        <v>3638</v>
      </c>
      <c r="AH12" s="0" t="n">
        <v>8331</v>
      </c>
      <c r="AI12" s="0" t="n">
        <v>6244</v>
      </c>
      <c r="AJ12" s="0" t="n">
        <v>3837</v>
      </c>
      <c r="AK12" s="0" t="n">
        <v>9.2</v>
      </c>
      <c r="AL12" s="0" t="n">
        <v>173400</v>
      </c>
      <c r="AM12" s="0" t="n">
        <v>17.6</v>
      </c>
      <c r="AN12" s="0" t="n">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113</v>
      </c>
      <c r="B1" s="2" t="s">
        <v>37</v>
      </c>
    </row>
    <row r="2" customFormat="false" ht="15" hidden="false" customHeight="false" outlineLevel="0" collapsed="false">
      <c r="A2" s="0" t="s">
        <v>114</v>
      </c>
      <c r="B2" s="3" t="n">
        <v>36.27</v>
      </c>
    </row>
    <row r="3" customFormat="false" ht="15" hidden="false" customHeight="false" outlineLevel="0" collapsed="false">
      <c r="A3" s="0" t="s">
        <v>115</v>
      </c>
      <c r="B3" s="3" t="n">
        <v>1095</v>
      </c>
    </row>
    <row r="4" customFormat="false" ht="15" hidden="false" customHeight="false" outlineLevel="0" collapsed="false">
      <c r="A4" s="0" t="s">
        <v>116</v>
      </c>
      <c r="B4" s="3" t="n">
        <v>0</v>
      </c>
    </row>
    <row r="5" customFormat="false" ht="15" hidden="false" customHeight="false" outlineLevel="0" collapsed="false">
      <c r="A5" s="0" t="s">
        <v>117</v>
      </c>
      <c r="B5" s="3" t="n">
        <v>0</v>
      </c>
    </row>
    <row r="6" customFormat="false" ht="15" hidden="false" customHeight="false" outlineLevel="0" collapsed="false">
      <c r="A6" s="0" t="s">
        <v>118</v>
      </c>
      <c r="B6" s="3" t="n">
        <v>15</v>
      </c>
    </row>
    <row r="7" customFormat="false" ht="15" hidden="false" customHeight="false" outlineLevel="0" collapsed="false">
      <c r="A7" s="0" t="s">
        <v>119</v>
      </c>
      <c r="B7" s="3" t="n">
        <v>2780</v>
      </c>
    </row>
    <row r="8" customFormat="false" ht="15" hidden="false" customHeight="false" outlineLevel="0" collapsed="false">
      <c r="A8" s="0" t="s">
        <v>120</v>
      </c>
      <c r="B8" s="3" t="s">
        <v>121</v>
      </c>
    </row>
    <row r="9" customFormat="false" ht="15" hidden="false" customHeight="false" outlineLevel="0" collapsed="false">
      <c r="A9" s="0" t="s">
        <v>122</v>
      </c>
      <c r="B9" s="3" t="s">
        <v>123</v>
      </c>
    </row>
    <row r="10" customFormat="false" ht="15" hidden="false" customHeight="false" outlineLevel="0" collapsed="false">
      <c r="A10" s="0" t="s">
        <v>124</v>
      </c>
      <c r="B10" s="3" t="n">
        <v>1</v>
      </c>
    </row>
    <row r="12" customFormat="false" ht="15" hidden="false" customHeight="false" outlineLevel="0" collapsed="false">
      <c r="A12" s="2" t="s">
        <v>125</v>
      </c>
      <c r="C12" s="2" t="s">
        <v>126</v>
      </c>
      <c r="D12" s="2" t="s">
        <v>127</v>
      </c>
      <c r="E12" s="2" t="s">
        <v>128</v>
      </c>
      <c r="F12" s="2" t="s">
        <v>129</v>
      </c>
      <c r="G12" s="2" t="s">
        <v>130</v>
      </c>
      <c r="H12" s="2" t="s">
        <v>131</v>
      </c>
      <c r="I12" s="2" t="s">
        <v>132</v>
      </c>
      <c r="J12" s="2" t="s">
        <v>133</v>
      </c>
      <c r="K12" s="2" t="s">
        <v>134</v>
      </c>
      <c r="L12" s="2" t="s">
        <v>135</v>
      </c>
    </row>
    <row r="13" customFormat="false" ht="15" hidden="false" customHeight="false" outlineLevel="0" collapsed="false">
      <c r="A13" s="0" t="s">
        <v>136</v>
      </c>
      <c r="C13" s="3" t="n">
        <v>6.1</v>
      </c>
      <c r="D13" s="3" t="n">
        <v>-1.7</v>
      </c>
      <c r="E13" s="3" t="n">
        <v>1.7</v>
      </c>
      <c r="F13" s="3" t="n">
        <v>1.7</v>
      </c>
      <c r="G13" s="3" t="n">
        <v>2.4</v>
      </c>
      <c r="H13" s="3" t="n">
        <v>2</v>
      </c>
      <c r="I13" s="3" t="n">
        <v>2</v>
      </c>
      <c r="J13" s="3" t="n">
        <v>2</v>
      </c>
      <c r="K13" s="3" t="n">
        <v>2</v>
      </c>
      <c r="L13" s="3" t="n">
        <v>2</v>
      </c>
    </row>
    <row r="14" customFormat="false" ht="15" hidden="false" customHeight="false" outlineLevel="0" collapsed="false">
      <c r="A14" s="0" t="s">
        <v>137</v>
      </c>
      <c r="C14" s="3" t="n">
        <v>100</v>
      </c>
      <c r="D14" s="3" t="n">
        <v>100</v>
      </c>
      <c r="E14" s="3" t="n">
        <v>100</v>
      </c>
      <c r="F14" s="3" t="n">
        <v>100</v>
      </c>
      <c r="G14" s="3" t="n">
        <v>100</v>
      </c>
      <c r="H14" s="3" t="n">
        <v>100</v>
      </c>
      <c r="I14" s="3" t="n">
        <v>100</v>
      </c>
      <c r="J14" s="3" t="n">
        <v>100</v>
      </c>
      <c r="K14" s="3" t="n">
        <v>100</v>
      </c>
      <c r="L14" s="3" t="n">
        <v>100</v>
      </c>
    </row>
    <row r="15" customFormat="false" ht="15" hidden="false" customHeight="false" outlineLevel="0" collapsed="false">
      <c r="A15" s="0" t="s">
        <v>138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139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140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141</v>
      </c>
      <c r="C18" s="3" t="n">
        <v>0</v>
      </c>
      <c r="D18" s="3" t="n">
        <v>10</v>
      </c>
      <c r="E18" s="3" t="n">
        <v>15</v>
      </c>
      <c r="F18" s="3" t="n">
        <v>20</v>
      </c>
      <c r="G18" s="3" t="n">
        <v>20</v>
      </c>
      <c r="H18" s="3" t="n">
        <v>20</v>
      </c>
      <c r="I18" s="3" t="n">
        <v>20</v>
      </c>
      <c r="J18" s="3" t="n">
        <v>20</v>
      </c>
      <c r="K18" s="3" t="n">
        <v>20</v>
      </c>
      <c r="L18" s="3" t="n">
        <v>20</v>
      </c>
    </row>
    <row r="19" customFormat="false" ht="15" hidden="false" customHeight="false" outlineLevel="0" collapsed="false">
      <c r="A19" s="0" t="s">
        <v>142</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143</v>
      </c>
      <c r="B20" s="3" t="n">
        <v>11.75</v>
      </c>
    </row>
    <row r="21" customFormat="false" ht="15" hidden="false" customHeight="false" outlineLevel="0" collapsed="false">
      <c r="A21" s="0" t="s">
        <v>144</v>
      </c>
      <c r="B21" s="3" t="n">
        <v>2</v>
      </c>
    </row>
    <row r="22" customFormat="false" ht="15" hidden="false" customHeight="false" outlineLevel="0" collapsed="false">
      <c r="A22" s="0" t="s">
        <v>145</v>
      </c>
      <c r="B22" s="3" t="n">
        <v>11</v>
      </c>
    </row>
    <row r="23" customFormat="false" ht="15" hidden="false" customHeight="false" outlineLevel="0" collapsed="false">
      <c r="A23" s="0" t="s">
        <v>146</v>
      </c>
      <c r="B23" s="3" t="n">
        <v>0</v>
      </c>
    </row>
    <row r="24" customFormat="false" ht="15" hidden="false" customHeight="false" outlineLevel="0" collapsed="false">
      <c r="A24" s="0" t="s">
        <v>147</v>
      </c>
      <c r="B24" s="3" t="n">
        <v>0.25</v>
      </c>
    </row>
    <row r="26" customFormat="false" ht="15" hidden="false" customHeight="false" outlineLevel="0" collapsed="false">
      <c r="A26" s="2" t="s">
        <v>148</v>
      </c>
      <c r="C26" s="2" t="s">
        <v>126</v>
      </c>
      <c r="D26" s="2" t="s">
        <v>127</v>
      </c>
      <c r="E26" s="2" t="s">
        <v>128</v>
      </c>
      <c r="F26" s="2" t="s">
        <v>129</v>
      </c>
      <c r="G26" s="2" t="s">
        <v>130</v>
      </c>
      <c r="H26" s="2" t="s">
        <v>131</v>
      </c>
      <c r="I26" s="2" t="s">
        <v>132</v>
      </c>
      <c r="J26" s="2" t="s">
        <v>133</v>
      </c>
      <c r="K26" s="2" t="s">
        <v>134</v>
      </c>
      <c r="L26" s="2" t="s">
        <v>135</v>
      </c>
    </row>
    <row r="27" customFormat="false" ht="15" hidden="false" customHeight="false" outlineLevel="0" collapsed="false">
      <c r="A27" s="0" t="s">
        <v>136</v>
      </c>
      <c r="C27" s="3" t="n">
        <v>15.1</v>
      </c>
      <c r="D27" s="3" t="n">
        <v>7.8</v>
      </c>
      <c r="E27" s="3" t="n">
        <v>7.2</v>
      </c>
      <c r="F27" s="3" t="n">
        <v>2.4</v>
      </c>
      <c r="G27" s="3" t="n">
        <v>2.4</v>
      </c>
      <c r="H27" s="3" t="n">
        <v>2.4</v>
      </c>
      <c r="I27" s="3" t="n">
        <v>2.4</v>
      </c>
      <c r="J27" s="3" t="n">
        <v>2.4</v>
      </c>
      <c r="K27" s="3" t="n">
        <v>2.4</v>
      </c>
      <c r="L27" s="3" t="n">
        <v>2.4</v>
      </c>
    </row>
    <row r="28" customFormat="false" ht="15" hidden="false" customHeight="false" outlineLevel="0" collapsed="false">
      <c r="A28" s="0" t="s">
        <v>137</v>
      </c>
      <c r="C28" s="3" t="n">
        <v>100</v>
      </c>
      <c r="D28" s="3" t="n">
        <v>100</v>
      </c>
      <c r="E28" s="3" t="n">
        <v>100</v>
      </c>
      <c r="F28" s="3" t="n">
        <v>100</v>
      </c>
      <c r="G28" s="3" t="n">
        <v>100</v>
      </c>
      <c r="H28" s="3" t="n">
        <v>100</v>
      </c>
      <c r="I28" s="3" t="n">
        <v>100</v>
      </c>
      <c r="J28" s="3" t="n">
        <v>100</v>
      </c>
      <c r="K28" s="3" t="n">
        <v>100</v>
      </c>
      <c r="L28" s="3" t="n">
        <v>100</v>
      </c>
    </row>
    <row r="29" customFormat="false" ht="15" hidden="false" customHeight="false" outlineLevel="0" collapsed="false">
      <c r="A29" s="0" t="s">
        <v>138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139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140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141</v>
      </c>
      <c r="C32" s="3" t="n">
        <v>0</v>
      </c>
      <c r="D32" s="3" t="n">
        <v>0</v>
      </c>
      <c r="E32" s="3" t="n">
        <v>0</v>
      </c>
      <c r="F32" s="3" t="n">
        <v>10</v>
      </c>
      <c r="G32" s="3" t="n">
        <v>15</v>
      </c>
      <c r="H32" s="3" t="n">
        <v>20</v>
      </c>
      <c r="I32" s="3" t="n">
        <v>20</v>
      </c>
      <c r="J32" s="3" t="n">
        <v>20</v>
      </c>
      <c r="K32" s="3" t="n">
        <v>20</v>
      </c>
      <c r="L32" s="3" t="n">
        <v>20</v>
      </c>
    </row>
    <row r="33" customFormat="false" ht="15" hidden="false" customHeight="false" outlineLevel="0" collapsed="false">
      <c r="A33" s="0" t="s">
        <v>142</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143</v>
      </c>
      <c r="B34" s="3" t="n">
        <v>10.75</v>
      </c>
    </row>
    <row r="35" customFormat="false" ht="15" hidden="false" customHeight="false" outlineLevel="0" collapsed="false">
      <c r="A35" s="0" t="s">
        <v>144</v>
      </c>
      <c r="B35" s="3" t="n">
        <v>2.4</v>
      </c>
    </row>
    <row r="36" customFormat="false" ht="15" hidden="false" customHeight="false" outlineLevel="0" collapsed="false">
      <c r="A36" s="0" t="s">
        <v>145</v>
      </c>
      <c r="B36" s="3" t="n">
        <v>14</v>
      </c>
    </row>
    <row r="37" customFormat="false" ht="15" hidden="false" customHeight="false" outlineLevel="0" collapsed="false">
      <c r="A37" s="0" t="s">
        <v>146</v>
      </c>
      <c r="B37" s="3" t="n">
        <v>0</v>
      </c>
    </row>
    <row r="38" customFormat="false" ht="15" hidden="false" customHeight="false" outlineLevel="0" collapsed="false">
      <c r="A38" s="0" t="s">
        <v>147</v>
      </c>
      <c r="B38" s="3" t="n">
        <v>0.5</v>
      </c>
    </row>
    <row r="40" customFormat="false" ht="15" hidden="false" customHeight="false" outlineLevel="0" collapsed="false">
      <c r="A40" s="2" t="s">
        <v>149</v>
      </c>
      <c r="C40" s="2" t="s">
        <v>126</v>
      </c>
      <c r="D40" s="2" t="s">
        <v>127</v>
      </c>
      <c r="E40" s="2" t="s">
        <v>128</v>
      </c>
      <c r="F40" s="2" t="s">
        <v>129</v>
      </c>
      <c r="G40" s="2" t="s">
        <v>130</v>
      </c>
      <c r="H40" s="2" t="s">
        <v>131</v>
      </c>
      <c r="I40" s="2" t="s">
        <v>132</v>
      </c>
      <c r="J40" s="2" t="s">
        <v>133</v>
      </c>
      <c r="K40" s="2" t="s">
        <v>134</v>
      </c>
      <c r="L40" s="2" t="s">
        <v>135</v>
      </c>
    </row>
    <row r="41" customFormat="false" ht="15" hidden="false" customHeight="false" outlineLevel="0" collapsed="false">
      <c r="A41" s="0" t="s">
        <v>136</v>
      </c>
      <c r="C41" s="3" t="n">
        <v>24.1</v>
      </c>
      <c r="D41" s="3" t="n">
        <v>14.5</v>
      </c>
      <c r="E41" s="3" t="n">
        <v>11.4</v>
      </c>
      <c r="F41" s="3" t="n">
        <v>2.4</v>
      </c>
      <c r="G41" s="3" t="n">
        <v>2.4</v>
      </c>
      <c r="H41" s="3" t="n">
        <v>2.4</v>
      </c>
      <c r="I41" s="3" t="n">
        <v>2.4</v>
      </c>
      <c r="J41" s="3" t="n">
        <v>2.4</v>
      </c>
      <c r="K41" s="3" t="n">
        <v>2.4</v>
      </c>
      <c r="L41" s="3" t="n">
        <v>2.4</v>
      </c>
    </row>
    <row r="42" customFormat="false" ht="15" hidden="false" customHeight="false" outlineLevel="0" collapsed="false">
      <c r="A42" s="0" t="s">
        <v>137</v>
      </c>
      <c r="C42" s="3" t="n">
        <v>100</v>
      </c>
      <c r="D42" s="3" t="n">
        <v>100</v>
      </c>
      <c r="E42" s="3" t="n">
        <v>100</v>
      </c>
      <c r="F42" s="3" t="n">
        <v>100</v>
      </c>
      <c r="G42" s="3" t="n">
        <v>100</v>
      </c>
      <c r="H42" s="3" t="n">
        <v>100</v>
      </c>
      <c r="I42" s="3" t="n">
        <v>100</v>
      </c>
      <c r="J42" s="3" t="n">
        <v>100</v>
      </c>
      <c r="K42" s="3" t="n">
        <v>100</v>
      </c>
      <c r="L42" s="3" t="n">
        <v>100</v>
      </c>
    </row>
    <row r="43" customFormat="false" ht="15" hidden="false" customHeight="false" outlineLevel="0" collapsed="false">
      <c r="A43" s="0" t="s">
        <v>138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139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140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141</v>
      </c>
      <c r="C46" s="3" t="n">
        <v>0</v>
      </c>
      <c r="D46" s="3" t="n">
        <v>0</v>
      </c>
      <c r="E46" s="3" t="n">
        <v>0</v>
      </c>
      <c r="F46" s="3" t="n">
        <v>10</v>
      </c>
      <c r="G46" s="3" t="n">
        <v>15</v>
      </c>
      <c r="H46" s="3" t="n">
        <v>20</v>
      </c>
      <c r="I46" s="3" t="n">
        <v>20</v>
      </c>
      <c r="J46" s="3" t="n">
        <v>20</v>
      </c>
      <c r="K46" s="3" t="n">
        <v>20</v>
      </c>
      <c r="L46" s="3" t="n">
        <v>20</v>
      </c>
    </row>
    <row r="47" customFormat="false" ht="15" hidden="false" customHeight="false" outlineLevel="0" collapsed="false">
      <c r="A47" s="0" t="s">
        <v>142</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143</v>
      </c>
      <c r="B48" s="3" t="n">
        <v>10.25</v>
      </c>
    </row>
    <row r="49" customFormat="false" ht="15" hidden="false" customHeight="false" outlineLevel="0" collapsed="false">
      <c r="A49" s="0" t="s">
        <v>144</v>
      </c>
      <c r="B49" s="3" t="n">
        <v>2.4</v>
      </c>
    </row>
    <row r="50" customFormat="false" ht="15" hidden="false" customHeight="false" outlineLevel="0" collapsed="false">
      <c r="A50" s="0" t="s">
        <v>145</v>
      </c>
      <c r="B50" s="3" t="n">
        <v>15</v>
      </c>
    </row>
    <row r="51" customFormat="false" ht="15" hidden="false" customHeight="false" outlineLevel="0" collapsed="false">
      <c r="A51" s="0" t="s">
        <v>146</v>
      </c>
      <c r="B51" s="3" t="n">
        <v>0</v>
      </c>
    </row>
    <row r="52" customFormat="false" ht="15" hidden="false" customHeight="false" outlineLevel="0" collapsed="false">
      <c r="A52" s="0" t="s">
        <v>147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151</v>
      </c>
      <c r="B3" s="0" t="s">
        <v>121</v>
      </c>
      <c r="C3" s="2" t="s">
        <v>126</v>
      </c>
      <c r="D3" s="2" t="s">
        <v>127</v>
      </c>
      <c r="E3" s="2" t="s">
        <v>128</v>
      </c>
      <c r="F3" s="2" t="s">
        <v>129</v>
      </c>
      <c r="G3" s="2" t="s">
        <v>130</v>
      </c>
      <c r="H3" s="2" t="s">
        <v>131</v>
      </c>
      <c r="I3" s="2" t="s">
        <v>132</v>
      </c>
      <c r="J3" s="2" t="s">
        <v>133</v>
      </c>
      <c r="K3" s="2" t="s">
        <v>134</v>
      </c>
      <c r="L3" s="2" t="s">
        <v>135</v>
      </c>
    </row>
    <row r="4" customFormat="false" ht="15" hidden="false" customHeight="false" outlineLevel="0" collapsed="false">
      <c r="A4" s="0" t="s">
        <v>152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136</v>
      </c>
      <c r="C5" s="4" t="n">
        <f aca="false">Assumptions!C13</f>
        <v>6.1</v>
      </c>
      <c r="D5" s="4" t="n">
        <f aca="false">Assumptions!D13</f>
        <v>-1.7</v>
      </c>
      <c r="E5" s="4" t="n">
        <f aca="false">Assumptions!E13</f>
        <v>1.7</v>
      </c>
      <c r="F5" s="4" t="n">
        <f aca="false">Assumptions!F13</f>
        <v>1.7</v>
      </c>
      <c r="G5" s="4" t="n">
        <f aca="false">Assumptions!G13</f>
        <v>2.4</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64</v>
      </c>
      <c r="B6" s="3" t="n">
        <v>2780</v>
      </c>
      <c r="C6" s="0" t="n">
        <f aca="false">B6*(1+C5/100)</f>
        <v>2949.58</v>
      </c>
      <c r="D6" s="0" t="n">
        <f aca="false">C6*(1+D5/100)</f>
        <v>2899.43714</v>
      </c>
      <c r="E6" s="0" t="n">
        <f aca="false">D6*(1+E5/100)</f>
        <v>2948.72757138</v>
      </c>
      <c r="F6" s="0" t="n">
        <f aca="false">E6*(1+F5/100)</f>
        <v>2998.85594009346</v>
      </c>
      <c r="G6" s="0" t="n">
        <f aca="false">F6*(1+G5/100)</f>
        <v>3070.8284826557</v>
      </c>
      <c r="H6" s="0" t="n">
        <f aca="false">G6*(1+H5/100)</f>
        <v>3132.24505230882</v>
      </c>
      <c r="I6" s="0" t="n">
        <f aca="false">H6*(1+I5/100)</f>
        <v>3194.88995335499</v>
      </c>
      <c r="J6" s="0" t="n">
        <f aca="false">I6*(1+J5/100)</f>
        <v>3258.78775242209</v>
      </c>
      <c r="K6" s="0" t="n">
        <f aca="false">J6*(1+K5/100)</f>
        <v>3323.96350747053</v>
      </c>
      <c r="L6" s="0" t="n">
        <f aca="false">K6*(1+L5/100)</f>
        <v>3390.44277761995</v>
      </c>
    </row>
    <row r="7" customFormat="false" ht="15" hidden="false" customHeight="false" outlineLevel="0" collapsed="false">
      <c r="A7" s="0" t="s">
        <v>137</v>
      </c>
      <c r="C7" s="4" t="n">
        <f aca="false">Assumptions!C14</f>
        <v>100</v>
      </c>
      <c r="D7" s="4" t="n">
        <f aca="false">Assumptions!D14</f>
        <v>100</v>
      </c>
      <c r="E7" s="4" t="n">
        <f aca="false">Assumptions!E14</f>
        <v>100</v>
      </c>
      <c r="F7" s="4" t="n">
        <f aca="false">Assumptions!F14</f>
        <v>100</v>
      </c>
      <c r="G7" s="4" t="n">
        <f aca="false">Assumptions!G14</f>
        <v>100</v>
      </c>
      <c r="H7" s="4" t="n">
        <f aca="false">Assumptions!H14</f>
        <v>100</v>
      </c>
      <c r="I7" s="4" t="n">
        <f aca="false">Assumptions!I14</f>
        <v>100</v>
      </c>
      <c r="J7" s="4" t="n">
        <f aca="false">Assumptions!J14</f>
        <v>100</v>
      </c>
      <c r="K7" s="4" t="n">
        <f aca="false">Assumptions!K14</f>
        <v>100</v>
      </c>
      <c r="L7" s="4" t="n">
        <f aca="false">Assumptions!L14</f>
        <v>100</v>
      </c>
    </row>
    <row r="8" customFormat="false" ht="15" hidden="false" customHeight="false" outlineLevel="0" collapsed="false">
      <c r="A8" s="0" t="s">
        <v>70</v>
      </c>
      <c r="C8" s="0" t="n">
        <f aca="false">C6*C7/100</f>
        <v>2949.58</v>
      </c>
      <c r="D8" s="0" t="n">
        <f aca="false">D6*D7/100</f>
        <v>2899.43714</v>
      </c>
      <c r="E8" s="0" t="n">
        <f aca="false">E6*E7/100</f>
        <v>2948.72757138</v>
      </c>
      <c r="F8" s="0" t="n">
        <f aca="false">F6*F7/100</f>
        <v>2998.85594009346</v>
      </c>
      <c r="G8" s="0" t="n">
        <f aca="false">G6*G7/100</f>
        <v>3070.8284826557</v>
      </c>
      <c r="H8" s="0" t="n">
        <f aca="false">H6*H7/100</f>
        <v>3132.24505230882</v>
      </c>
      <c r="I8" s="0" t="n">
        <f aca="false">I6*I7/100</f>
        <v>3194.88995335499</v>
      </c>
      <c r="J8" s="0" t="n">
        <f aca="false">J6*J7/100</f>
        <v>3258.78775242209</v>
      </c>
      <c r="K8" s="0" t="n">
        <f aca="false">K6*K7/100</f>
        <v>3323.96350747053</v>
      </c>
      <c r="L8" s="0" t="n">
        <f aca="false">L6*L7/100</f>
        <v>3390.44277761995</v>
      </c>
    </row>
    <row r="9" customFormat="false" ht="15" hidden="false" customHeight="false" outlineLevel="0" collapsed="false">
      <c r="A9" s="0" t="s">
        <v>138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153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154</v>
      </c>
      <c r="C11" s="0" t="n">
        <f aca="false">C8+C10+C24</f>
        <v>2949.58</v>
      </c>
      <c r="D11" s="0" t="n">
        <f aca="false">D8+D10+D24</f>
        <v>2899.43714</v>
      </c>
      <c r="E11" s="0" t="n">
        <f aca="false">E8+E10+E24</f>
        <v>2948.72757138</v>
      </c>
      <c r="F11" s="0" t="n">
        <f aca="false">F8+F10+F24</f>
        <v>2998.85594009346</v>
      </c>
      <c r="G11" s="0" t="n">
        <f aca="false">G8+G10+G24</f>
        <v>3070.8284826557</v>
      </c>
      <c r="H11" s="0" t="n">
        <f aca="false">H8+H10+H24</f>
        <v>3132.24505230882</v>
      </c>
      <c r="I11" s="0" t="n">
        <f aca="false">I8+I10+I24</f>
        <v>3194.88995335499</v>
      </c>
      <c r="J11" s="0" t="n">
        <f aca="false">J8+J10+J24</f>
        <v>3258.78775242209</v>
      </c>
      <c r="K11" s="0" t="n">
        <f aca="false">K8+K10+K24</f>
        <v>3323.96350747053</v>
      </c>
      <c r="L11" s="0" t="n">
        <f aca="false">L8+L10+L24</f>
        <v>3390.44277761995</v>
      </c>
    </row>
    <row r="12" customFormat="false" ht="15" hidden="false" customHeight="false" outlineLevel="0" collapsed="false">
      <c r="A12" s="0" t="s">
        <v>155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156</v>
      </c>
      <c r="C13" s="0" t="n">
        <f aca="false">C11+C12</f>
        <v>2949.58</v>
      </c>
      <c r="D13" s="0" t="n">
        <f aca="false">D11+D12</f>
        <v>2899.43714</v>
      </c>
      <c r="E13" s="0" t="n">
        <f aca="false">E11+E12</f>
        <v>2948.72757138</v>
      </c>
      <c r="F13" s="0" t="n">
        <f aca="false">F11+F12</f>
        <v>2998.85594009346</v>
      </c>
      <c r="G13" s="0" t="n">
        <f aca="false">G11+G12</f>
        <v>3070.8284826557</v>
      </c>
      <c r="H13" s="0" t="n">
        <f aca="false">H11+H12</f>
        <v>3132.24505230882</v>
      </c>
      <c r="I13" s="0" t="n">
        <f aca="false">I11+I12</f>
        <v>3194.88995335499</v>
      </c>
      <c r="J13" s="0" t="n">
        <f aca="false">J11+J12</f>
        <v>3258.78775242209</v>
      </c>
      <c r="K13" s="0" t="n">
        <f aca="false">K11+K12</f>
        <v>3323.96350747053</v>
      </c>
      <c r="L13" s="0" t="n">
        <f aca="false">L11+L12</f>
        <v>3390.44277761995</v>
      </c>
    </row>
    <row r="14" customFormat="false" ht="15" hidden="false" customHeight="false" outlineLevel="0" collapsed="false">
      <c r="A14" s="0" t="s">
        <v>142</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157</v>
      </c>
      <c r="C15" s="0" t="n">
        <f aca="false">C13-MAX(0,C13)*C14/100</f>
        <v>2949.58</v>
      </c>
      <c r="D15" s="0" t="n">
        <f aca="false">D13-MAX(0,D13)*D14/100</f>
        <v>2899.43714</v>
      </c>
      <c r="E15" s="0" t="n">
        <f aca="false">E13-MAX(0,E13)*E14/100</f>
        <v>2948.72757138</v>
      </c>
      <c r="F15" s="0" t="n">
        <f aca="false">F13-MAX(0,F13)*F14/100</f>
        <v>2998.85594009346</v>
      </c>
      <c r="G15" s="0" t="n">
        <f aca="false">G13-MAX(0,G13)*G14/100</f>
        <v>3070.8284826557</v>
      </c>
      <c r="H15" s="0" t="n">
        <f aca="false">H13-MAX(0,H13)*H14/100</f>
        <v>3132.24505230882</v>
      </c>
      <c r="I15" s="0" t="n">
        <f aca="false">I13-MAX(0,I13)*I14/100</f>
        <v>3194.88995335499</v>
      </c>
      <c r="J15" s="0" t="n">
        <f aca="false">J13-MAX(0,J13)*J14/100</f>
        <v>3258.78775242209</v>
      </c>
      <c r="K15" s="0" t="n">
        <f aca="false">K13-MAX(0,K13)*K14/100</f>
        <v>3323.96350747053</v>
      </c>
      <c r="L15" s="0" t="n">
        <f aca="false">L13-MAX(0,L13)*L14/100</f>
        <v>3390.44277761995</v>
      </c>
    </row>
    <row r="16" customFormat="false" ht="15" hidden="false" customHeight="false" outlineLevel="0" collapsed="false">
      <c r="A16" s="0" t="s">
        <v>158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159</v>
      </c>
      <c r="C17" s="4" t="n">
        <f aca="false">-C6*Assumptions!C18/100</f>
        <v>-0</v>
      </c>
      <c r="D17" s="4" t="n">
        <f aca="false">-D6*Assumptions!D18/100</f>
        <v>-289.943714</v>
      </c>
      <c r="E17" s="4" t="n">
        <f aca="false">-E6*Assumptions!E18/100</f>
        <v>-442.309135707</v>
      </c>
      <c r="F17" s="4" t="n">
        <f aca="false">-F6*Assumptions!F18/100</f>
        <v>-599.771188018692</v>
      </c>
      <c r="G17" s="4" t="n">
        <f aca="false">-G6*Assumptions!G18/100</f>
        <v>-614.165696531141</v>
      </c>
      <c r="H17" s="4" t="n">
        <f aca="false">-H6*Assumptions!H18/100</f>
        <v>-626.449010461763</v>
      </c>
      <c r="I17" s="4" t="n">
        <f aca="false">-I6*Assumptions!I18/100</f>
        <v>-638.977990670999</v>
      </c>
      <c r="J17" s="4" t="n">
        <f aca="false">-J6*Assumptions!J18/100</f>
        <v>-651.757550484419</v>
      </c>
      <c r="K17" s="4" t="n">
        <f aca="false">-K6*Assumptions!K18/100</f>
        <v>-664.792701494107</v>
      </c>
      <c r="L17" s="4" t="n">
        <f aca="false">-L6*Assumptions!L18/100</f>
        <v>-678.088555523989</v>
      </c>
    </row>
    <row r="18" customFormat="false" ht="15" hidden="false" customHeight="false" outlineLevel="0" collapsed="false">
      <c r="A18" s="0" t="s">
        <v>160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161</v>
      </c>
      <c r="C19" s="0" t="n">
        <f aca="false">C15+C16+C17+C18</f>
        <v>2949.58</v>
      </c>
      <c r="D19" s="0" t="n">
        <f aca="false">D15+D16+D17+D18</f>
        <v>2609.493426</v>
      </c>
      <c r="E19" s="0" t="n">
        <f aca="false">E15+E16+E17+E18</f>
        <v>2506.418435673</v>
      </c>
      <c r="F19" s="0" t="n">
        <f aca="false">F15+F16+F17+F18</f>
        <v>2399.08475207477</v>
      </c>
      <c r="G19" s="0" t="n">
        <f aca="false">G15+G16+G17+G18</f>
        <v>2456.66278612456</v>
      </c>
      <c r="H19" s="0" t="n">
        <f aca="false">H15+H16+H17+H18</f>
        <v>2505.79604184705</v>
      </c>
      <c r="I19" s="0" t="n">
        <f aca="false">I15+I16+I17+I18</f>
        <v>2555.91196268399</v>
      </c>
      <c r="J19" s="0" t="n">
        <f aca="false">J15+J16+J17+J18</f>
        <v>2607.03020193767</v>
      </c>
      <c r="K19" s="0" t="n">
        <f aca="false">K15+K16+K17+K18</f>
        <v>2659.17080597643</v>
      </c>
      <c r="L19" s="0" t="n">
        <f aca="false">L15+L16+L17+L18</f>
        <v>2712.35422209596</v>
      </c>
    </row>
    <row r="20" customFormat="false" ht="15" hidden="false" customHeight="false" outlineLevel="0" collapsed="false">
      <c r="A20" s="0" t="s">
        <v>162</v>
      </c>
      <c r="C20" s="0" t="n">
        <f aca="false">1/(1+$B$27/100)^C4</f>
        <v>0.894854586129754</v>
      </c>
      <c r="D20" s="0" t="n">
        <f aca="false">1/(1+$B$27/100)^D4</f>
        <v>0.800764730317453</v>
      </c>
      <c r="E20" s="0" t="n">
        <f aca="false">1/(1+$B$27/100)^E4</f>
        <v>0.716567991335529</v>
      </c>
      <c r="F20" s="0" t="n">
        <f aca="false">1/(1+$B$27/100)^F4</f>
        <v>0.641224153320384</v>
      </c>
      <c r="G20" s="0" t="n">
        <f aca="false">1/(1+$B$27/100)^G4</f>
        <v>0.573802374335914</v>
      </c>
      <c r="H20" s="0" t="n">
        <f aca="false">1/(1+$B$27/100)^H4</f>
        <v>0.513469686206634</v>
      </c>
      <c r="I20" s="0" t="n">
        <f aca="false">1/(1+$B$27/100)^I4</f>
        <v>0.459480703540612</v>
      </c>
      <c r="J20" s="0" t="n">
        <f aca="false">1/(1+$B$27/100)^J4</f>
        <v>0.411168414801443</v>
      </c>
      <c r="K20" s="0" t="n">
        <f aca="false">1/(1+$B$27/100)^K4</f>
        <v>0.367935941656772</v>
      </c>
      <c r="L20" s="0" t="n">
        <f aca="false">1/(1+$B$27/100)^L4</f>
        <v>0.329249164793532</v>
      </c>
    </row>
    <row r="21" customFormat="false" ht="15" hidden="false" customHeight="false" outlineLevel="0" collapsed="false">
      <c r="A21" s="0" t="s">
        <v>163</v>
      </c>
      <c r="C21" s="0" t="n">
        <f aca="false">C19*C20</f>
        <v>2639.4451901566</v>
      </c>
      <c r="D21" s="0" t="n">
        <f aca="false">D19*D20</f>
        <v>2089.59029953606</v>
      </c>
      <c r="E21" s="0" t="n">
        <f aca="false">E19*E20</f>
        <v>1796.01922389654</v>
      </c>
      <c r="F21" s="0" t="n">
        <f aca="false">F19*F20</f>
        <v>1538.35108889299</v>
      </c>
      <c r="G21" s="0" t="n">
        <f aca="false">G19*G20</f>
        <v>1409.63893962096</v>
      </c>
      <c r="H21" s="0" t="n">
        <f aca="false">H19*H20</f>
        <v>1286.65030730503</v>
      </c>
      <c r="I21" s="0" t="n">
        <f aca="false">I19*I20</f>
        <v>1174.39222680191</v>
      </c>
      <c r="J21" s="0" t="n">
        <f aca="false">J19*J20</f>
        <v>1071.9284754702</v>
      </c>
      <c r="K21" s="0" t="n">
        <f aca="false">K19*K20</f>
        <v>978.404514523135</v>
      </c>
      <c r="L21" s="0" t="n">
        <f aca="false">L19*L20</f>
        <v>893.040362249305</v>
      </c>
    </row>
    <row r="23" customFormat="false" ht="15" hidden="false" customHeight="false" outlineLevel="0" collapsed="false">
      <c r="A23" s="0" t="s">
        <v>139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164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165</v>
      </c>
    </row>
    <row r="27" customFormat="false" ht="15" hidden="false" customHeight="false" outlineLevel="0" collapsed="false">
      <c r="A27" s="0" t="s">
        <v>143</v>
      </c>
      <c r="B27" s="4" t="n">
        <f aca="false">Assumptions!$B$20</f>
        <v>11.75</v>
      </c>
    </row>
    <row r="28" customFormat="false" ht="15" hidden="false" customHeight="false" outlineLevel="0" collapsed="false">
      <c r="A28" s="0" t="s">
        <v>144</v>
      </c>
      <c r="B28" s="4" t="n">
        <f aca="false">Assumptions!$B$21</f>
        <v>2</v>
      </c>
    </row>
    <row r="29" customFormat="false" ht="15" hidden="false" customHeight="false" outlineLevel="0" collapsed="false">
      <c r="A29" s="0" t="s">
        <v>145</v>
      </c>
      <c r="B29" s="4" t="n">
        <f aca="false">Assumptions!$B$22</f>
        <v>11</v>
      </c>
    </row>
    <row r="30" customFormat="false" ht="15" hidden="false" customHeight="false" outlineLevel="0" collapsed="false">
      <c r="A30" s="0" t="s">
        <v>166</v>
      </c>
      <c r="B30" s="0" t="n">
        <f aca="false">SUM(C21:L21)</f>
        <v>14877.4606284527</v>
      </c>
    </row>
    <row r="31" customFormat="false" ht="15" hidden="false" customHeight="false" outlineLevel="0" collapsed="false">
      <c r="A31" s="0" t="s">
        <v>167</v>
      </c>
      <c r="B31" s="0" t="n">
        <f aca="false">L19</f>
        <v>2712.35422209596</v>
      </c>
    </row>
    <row r="32" customFormat="false" ht="15" hidden="false" customHeight="false" outlineLevel="0" collapsed="false">
      <c r="A32" s="0" t="s">
        <v>168</v>
      </c>
      <c r="B32" s="0" t="n">
        <f aca="false">IF(B27&gt;B28,B31*(1+B28/100)/((B27-B28)/100),B31*B29)</f>
        <v>28375.3980157731</v>
      </c>
    </row>
    <row r="33" customFormat="false" ht="15" hidden="false" customHeight="false" outlineLevel="0" collapsed="false">
      <c r="A33" s="0" t="s">
        <v>169</v>
      </c>
      <c r="B33" s="0" t="n">
        <f aca="false">B31*B29</f>
        <v>29835.8964430555</v>
      </c>
    </row>
    <row r="34" customFormat="false" ht="15" hidden="false" customHeight="false" outlineLevel="0" collapsed="false">
      <c r="A34" s="0" t="s">
        <v>170</v>
      </c>
      <c r="B34" s="0" t="n">
        <f aca="false">MAX(0,MIN(B32,B33))</f>
        <v>28375.3980157731</v>
      </c>
    </row>
    <row r="35" customFormat="false" ht="15" hidden="false" customHeight="false" outlineLevel="0" collapsed="false">
      <c r="A35" s="0" t="s">
        <v>171</v>
      </c>
      <c r="B35" s="0" t="n">
        <f aca="false">B34/(1+B27/100)^L4</f>
        <v>9342.57609737734</v>
      </c>
    </row>
    <row r="36" customFormat="false" ht="15" hidden="false" customHeight="false" outlineLevel="0" collapsed="false">
      <c r="A36" s="0" t="s">
        <v>172</v>
      </c>
      <c r="B36" s="0" t="n">
        <f aca="false">B30+B35</f>
        <v>24220.0367258301</v>
      </c>
    </row>
    <row r="37" customFormat="false" ht="15" hidden="false" customHeight="false" outlineLevel="0" collapsed="false">
      <c r="A37" s="0" t="s">
        <v>173</v>
      </c>
      <c r="B37" s="0" t="n">
        <f aca="false">B36+Assumptions!$B$5-Assumptions!$B$4</f>
        <v>24220.0367258301</v>
      </c>
    </row>
    <row r="38" customFormat="false" ht="15" hidden="false" customHeight="false" outlineLevel="0" collapsed="false">
      <c r="A38" s="0" t="s">
        <v>174</v>
      </c>
      <c r="B38" s="0" t="n">
        <f aca="false">B37/Assumptions!$B$3*Assumptions!$B$10</f>
        <v>22.118755000758</v>
      </c>
    </row>
    <row r="39" customFormat="false" ht="15" hidden="false" customHeight="false" outlineLevel="0" collapsed="false">
      <c r="A39" s="0" t="s">
        <v>175</v>
      </c>
      <c r="B39" s="4" t="n">
        <f aca="false">B38/Assumptions!$B$2-1</f>
        <v>-0.390163909546236</v>
      </c>
    </row>
    <row r="41" customFormat="false" ht="15" hidden="false" customHeight="false" outlineLevel="0" collapsed="false">
      <c r="A41" s="0" t="s">
        <v>176</v>
      </c>
      <c r="B41" s="0" t="n">
        <f aca="false">SUMPRODUCT(-C10:L10/(1+$B$27/100)^C4:L4)</f>
        <v>0</v>
      </c>
    </row>
    <row r="42" customFormat="false" ht="15" hidden="false" customHeight="false" outlineLevel="0" collapsed="false">
      <c r="A42" s="0" t="s">
        <v>177</v>
      </c>
      <c r="B42" s="0" t="n">
        <f aca="false">IF(B27&gt;B28,-L10*(1+B28/100)/((B27-B28)/100),-L10*20)/(1+B27/100)^L4</f>
        <v>0</v>
      </c>
    </row>
    <row r="43" customFormat="false" ht="15" hidden="false" customHeight="false" outlineLevel="0" collapsed="false">
      <c r="A43" s="0" t="s">
        <v>178</v>
      </c>
      <c r="B43" s="0" t="n">
        <f aca="false">(B37+B41+B42)/Assumptions!$B$3*Assumptions!$B$10</f>
        <v>22.118755000758</v>
      </c>
    </row>
    <row r="45" customFormat="false" ht="15" hidden="false" customHeight="false" outlineLevel="0" collapsed="false">
      <c r="A45" s="0" t="s">
        <v>118</v>
      </c>
      <c r="B45" s="4" t="n">
        <f aca="false">Assumptions!$B$6</f>
        <v>15</v>
      </c>
    </row>
    <row r="46" customFormat="false" ht="15" hidden="false" customHeight="false" outlineLevel="0" collapsed="false">
      <c r="A46" s="0" t="s">
        <v>179</v>
      </c>
      <c r="B46" s="0" t="n">
        <f aca="false">MAX(0,MIN(IF(B45&gt;B28,B31*(1+B28/100)/((B45-B28)/100),B31*B29),B31*B29))</f>
        <v>21281.5485118298</v>
      </c>
    </row>
    <row r="47" customFormat="false" ht="15" hidden="false" customHeight="false" outlineLevel="0" collapsed="false">
      <c r="A47" s="0" t="s">
        <v>180</v>
      </c>
      <c r="B47" s="0" t="n">
        <f aca="false">(SUMPRODUCT(C19:L19/(1+B45/100)^C4:L4)+B46/(1+B45/100)^L4+Assumptions!$B$5-Assumptions!$B$4)/Assumptions!$B$3*Assumptions!$B$10</f>
        <v>16.7692718207621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181</v>
      </c>
    </row>
    <row r="3" customFormat="false" ht="15" hidden="false" customHeight="false" outlineLevel="0" collapsed="false">
      <c r="A3" s="0" t="s">
        <v>151</v>
      </c>
      <c r="B3" s="0" t="s">
        <v>121</v>
      </c>
      <c r="C3" s="2" t="s">
        <v>126</v>
      </c>
      <c r="D3" s="2" t="s">
        <v>127</v>
      </c>
      <c r="E3" s="2" t="s">
        <v>128</v>
      </c>
      <c r="F3" s="2" t="s">
        <v>129</v>
      </c>
      <c r="G3" s="2" t="s">
        <v>130</v>
      </c>
      <c r="H3" s="2" t="s">
        <v>131</v>
      </c>
      <c r="I3" s="2" t="s">
        <v>132</v>
      </c>
      <c r="J3" s="2" t="s">
        <v>133</v>
      </c>
      <c r="K3" s="2" t="s">
        <v>134</v>
      </c>
      <c r="L3" s="2" t="s">
        <v>135</v>
      </c>
    </row>
    <row r="4" customFormat="false" ht="15" hidden="false" customHeight="false" outlineLevel="0" collapsed="false">
      <c r="A4" s="0" t="s">
        <v>152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136</v>
      </c>
      <c r="C5" s="4" t="n">
        <f aca="false">Assumptions!C27</f>
        <v>15.1</v>
      </c>
      <c r="D5" s="4" t="n">
        <f aca="false">Assumptions!D27</f>
        <v>7.8</v>
      </c>
      <c r="E5" s="4" t="n">
        <f aca="false">Assumptions!E27</f>
        <v>7.2</v>
      </c>
      <c r="F5" s="4" t="n">
        <f aca="false">Assumptions!F27</f>
        <v>2.4</v>
      </c>
      <c r="G5" s="4" t="n">
        <f aca="false">Assumptions!G27</f>
        <v>2.4</v>
      </c>
      <c r="H5" s="4" t="n">
        <f aca="false">Assumptions!H27</f>
        <v>2.4</v>
      </c>
      <c r="I5" s="4" t="n">
        <f aca="false">Assumptions!I27</f>
        <v>2.4</v>
      </c>
      <c r="J5" s="4" t="n">
        <f aca="false">Assumptions!J27</f>
        <v>2.4</v>
      </c>
      <c r="K5" s="4" t="n">
        <f aca="false">Assumptions!K27</f>
        <v>2.4</v>
      </c>
      <c r="L5" s="4" t="n">
        <f aca="false">Assumptions!L27</f>
        <v>2.4</v>
      </c>
    </row>
    <row r="6" customFormat="false" ht="15" hidden="false" customHeight="false" outlineLevel="0" collapsed="false">
      <c r="A6" s="0" t="s">
        <v>64</v>
      </c>
      <c r="B6" s="3" t="n">
        <v>2780</v>
      </c>
      <c r="C6" s="0" t="n">
        <f aca="false">B6*(1+C5/100)</f>
        <v>3199.78</v>
      </c>
      <c r="D6" s="0" t="n">
        <f aca="false">C6*(1+D5/100)</f>
        <v>3449.36284</v>
      </c>
      <c r="E6" s="0" t="n">
        <f aca="false">D6*(1+E5/100)</f>
        <v>3697.71696448</v>
      </c>
      <c r="F6" s="0" t="n">
        <f aca="false">E6*(1+F5/100)</f>
        <v>3786.46217162752</v>
      </c>
      <c r="G6" s="0" t="n">
        <f aca="false">F6*(1+G5/100)</f>
        <v>3877.33726374658</v>
      </c>
      <c r="H6" s="0" t="n">
        <f aca="false">G6*(1+H5/100)</f>
        <v>3970.3933580765</v>
      </c>
      <c r="I6" s="0" t="n">
        <f aca="false">H6*(1+I5/100)</f>
        <v>4065.68279867033</v>
      </c>
      <c r="J6" s="0" t="n">
        <f aca="false">I6*(1+J5/100)</f>
        <v>4163.25918583842</v>
      </c>
      <c r="K6" s="0" t="n">
        <f aca="false">J6*(1+K5/100)</f>
        <v>4263.17740629855</v>
      </c>
      <c r="L6" s="0" t="n">
        <f aca="false">K6*(1+L5/100)</f>
        <v>4365.49366404971</v>
      </c>
    </row>
    <row r="7" customFormat="false" ht="15" hidden="false" customHeight="false" outlineLevel="0" collapsed="false">
      <c r="A7" s="0" t="s">
        <v>137</v>
      </c>
      <c r="C7" s="4" t="n">
        <f aca="false">Assumptions!C28</f>
        <v>100</v>
      </c>
      <c r="D7" s="4" t="n">
        <f aca="false">Assumptions!D28</f>
        <v>100</v>
      </c>
      <c r="E7" s="4" t="n">
        <f aca="false">Assumptions!E28</f>
        <v>100</v>
      </c>
      <c r="F7" s="4" t="n">
        <f aca="false">Assumptions!F28</f>
        <v>100</v>
      </c>
      <c r="G7" s="4" t="n">
        <f aca="false">Assumptions!G28</f>
        <v>100</v>
      </c>
      <c r="H7" s="4" t="n">
        <f aca="false">Assumptions!H28</f>
        <v>100</v>
      </c>
      <c r="I7" s="4" t="n">
        <f aca="false">Assumptions!I28</f>
        <v>100</v>
      </c>
      <c r="J7" s="4" t="n">
        <f aca="false">Assumptions!J28</f>
        <v>100</v>
      </c>
      <c r="K7" s="4" t="n">
        <f aca="false">Assumptions!K28</f>
        <v>100</v>
      </c>
      <c r="L7" s="4" t="n">
        <f aca="false">Assumptions!L28</f>
        <v>100</v>
      </c>
    </row>
    <row r="8" customFormat="false" ht="15" hidden="false" customHeight="false" outlineLevel="0" collapsed="false">
      <c r="A8" s="0" t="s">
        <v>70</v>
      </c>
      <c r="C8" s="0" t="n">
        <f aca="false">C6*C7/100</f>
        <v>3199.78</v>
      </c>
      <c r="D8" s="0" t="n">
        <f aca="false">D6*D7/100</f>
        <v>3449.36284</v>
      </c>
      <c r="E8" s="0" t="n">
        <f aca="false">E6*E7/100</f>
        <v>3697.71696448</v>
      </c>
      <c r="F8" s="0" t="n">
        <f aca="false">F6*F7/100</f>
        <v>3786.46217162752</v>
      </c>
      <c r="G8" s="0" t="n">
        <f aca="false">G6*G7/100</f>
        <v>3877.33726374658</v>
      </c>
      <c r="H8" s="0" t="n">
        <f aca="false">H6*H7/100</f>
        <v>3970.3933580765</v>
      </c>
      <c r="I8" s="0" t="n">
        <f aca="false">I6*I7/100</f>
        <v>4065.68279867033</v>
      </c>
      <c r="J8" s="0" t="n">
        <f aca="false">J6*J7/100</f>
        <v>4163.25918583842</v>
      </c>
      <c r="K8" s="0" t="n">
        <f aca="false">K6*K7/100</f>
        <v>4263.17740629855</v>
      </c>
      <c r="L8" s="0" t="n">
        <f aca="false">L6*L7/100</f>
        <v>4365.49366404971</v>
      </c>
    </row>
    <row r="9" customFormat="false" ht="15" hidden="false" customHeight="false" outlineLevel="0" collapsed="false">
      <c r="A9" s="0" t="s">
        <v>138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153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154</v>
      </c>
      <c r="C11" s="0" t="n">
        <f aca="false">C8+C10+C24</f>
        <v>3199.78</v>
      </c>
      <c r="D11" s="0" t="n">
        <f aca="false">D8+D10+D24</f>
        <v>3449.36284</v>
      </c>
      <c r="E11" s="0" t="n">
        <f aca="false">E8+E10+E24</f>
        <v>3697.71696448</v>
      </c>
      <c r="F11" s="0" t="n">
        <f aca="false">F8+F10+F24</f>
        <v>3786.46217162752</v>
      </c>
      <c r="G11" s="0" t="n">
        <f aca="false">G8+G10+G24</f>
        <v>3877.33726374658</v>
      </c>
      <c r="H11" s="0" t="n">
        <f aca="false">H8+H10+H24</f>
        <v>3970.3933580765</v>
      </c>
      <c r="I11" s="0" t="n">
        <f aca="false">I8+I10+I24</f>
        <v>4065.68279867033</v>
      </c>
      <c r="J11" s="0" t="n">
        <f aca="false">J8+J10+J24</f>
        <v>4163.25918583842</v>
      </c>
      <c r="K11" s="0" t="n">
        <f aca="false">K8+K10+K24</f>
        <v>4263.17740629855</v>
      </c>
      <c r="L11" s="0" t="n">
        <f aca="false">L8+L10+L24</f>
        <v>4365.49366404971</v>
      </c>
    </row>
    <row r="12" customFormat="false" ht="15" hidden="false" customHeight="false" outlineLevel="0" collapsed="false">
      <c r="A12" s="0" t="s">
        <v>155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156</v>
      </c>
      <c r="C13" s="0" t="n">
        <f aca="false">C11+C12</f>
        <v>3199.78</v>
      </c>
      <c r="D13" s="0" t="n">
        <f aca="false">D11+D12</f>
        <v>3449.36284</v>
      </c>
      <c r="E13" s="0" t="n">
        <f aca="false">E11+E12</f>
        <v>3697.71696448</v>
      </c>
      <c r="F13" s="0" t="n">
        <f aca="false">F11+F12</f>
        <v>3786.46217162752</v>
      </c>
      <c r="G13" s="0" t="n">
        <f aca="false">G11+G12</f>
        <v>3877.33726374658</v>
      </c>
      <c r="H13" s="0" t="n">
        <f aca="false">H11+H12</f>
        <v>3970.3933580765</v>
      </c>
      <c r="I13" s="0" t="n">
        <f aca="false">I11+I12</f>
        <v>4065.68279867033</v>
      </c>
      <c r="J13" s="0" t="n">
        <f aca="false">J11+J12</f>
        <v>4163.25918583842</v>
      </c>
      <c r="K13" s="0" t="n">
        <f aca="false">K11+K12</f>
        <v>4263.17740629855</v>
      </c>
      <c r="L13" s="0" t="n">
        <f aca="false">L11+L12</f>
        <v>4365.49366404971</v>
      </c>
    </row>
    <row r="14" customFormat="false" ht="15" hidden="false" customHeight="false" outlineLevel="0" collapsed="false">
      <c r="A14" s="0" t="s">
        <v>142</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157</v>
      </c>
      <c r="C15" s="0" t="n">
        <f aca="false">C13-MAX(0,C13)*C14/100</f>
        <v>3199.78</v>
      </c>
      <c r="D15" s="0" t="n">
        <f aca="false">D13-MAX(0,D13)*D14/100</f>
        <v>3449.36284</v>
      </c>
      <c r="E15" s="0" t="n">
        <f aca="false">E13-MAX(0,E13)*E14/100</f>
        <v>3697.71696448</v>
      </c>
      <c r="F15" s="0" t="n">
        <f aca="false">F13-MAX(0,F13)*F14/100</f>
        <v>3786.46217162752</v>
      </c>
      <c r="G15" s="0" t="n">
        <f aca="false">G13-MAX(0,G13)*G14/100</f>
        <v>3877.33726374658</v>
      </c>
      <c r="H15" s="0" t="n">
        <f aca="false">H13-MAX(0,H13)*H14/100</f>
        <v>3970.3933580765</v>
      </c>
      <c r="I15" s="0" t="n">
        <f aca="false">I13-MAX(0,I13)*I14/100</f>
        <v>4065.68279867033</v>
      </c>
      <c r="J15" s="0" t="n">
        <f aca="false">J13-MAX(0,J13)*J14/100</f>
        <v>4163.25918583842</v>
      </c>
      <c r="K15" s="0" t="n">
        <f aca="false">K13-MAX(0,K13)*K14/100</f>
        <v>4263.17740629855</v>
      </c>
      <c r="L15" s="0" t="n">
        <f aca="false">L13-MAX(0,L13)*L14/100</f>
        <v>4365.49366404971</v>
      </c>
    </row>
    <row r="16" customFormat="false" ht="15" hidden="false" customHeight="false" outlineLevel="0" collapsed="false">
      <c r="A16" s="0" t="s">
        <v>158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159</v>
      </c>
      <c r="C17" s="4" t="n">
        <f aca="false">-C6*Assumptions!C32/100</f>
        <v>-0</v>
      </c>
      <c r="D17" s="4" t="n">
        <f aca="false">-D6*Assumptions!D32/100</f>
        <v>-0</v>
      </c>
      <c r="E17" s="4" t="n">
        <f aca="false">-E6*Assumptions!E32/100</f>
        <v>-0</v>
      </c>
      <c r="F17" s="4" t="n">
        <f aca="false">-F6*Assumptions!F32/100</f>
        <v>-378.646217162752</v>
      </c>
      <c r="G17" s="4" t="n">
        <f aca="false">-G6*Assumptions!G32/100</f>
        <v>-581.600589561987</v>
      </c>
      <c r="H17" s="4" t="n">
        <f aca="false">-H6*Assumptions!H32/100</f>
        <v>-794.0786716153</v>
      </c>
      <c r="I17" s="4" t="n">
        <f aca="false">-I6*Assumptions!I32/100</f>
        <v>-813.136559734067</v>
      </c>
      <c r="J17" s="4" t="n">
        <f aca="false">-J6*Assumptions!J32/100</f>
        <v>-832.651837167685</v>
      </c>
      <c r="K17" s="4" t="n">
        <f aca="false">-K6*Assumptions!K32/100</f>
        <v>-852.635481259709</v>
      </c>
      <c r="L17" s="4" t="n">
        <f aca="false">-L6*Assumptions!L32/100</f>
        <v>-873.098732809942</v>
      </c>
    </row>
    <row r="18" customFormat="false" ht="15" hidden="false" customHeight="false" outlineLevel="0" collapsed="false">
      <c r="A18" s="0" t="s">
        <v>160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161</v>
      </c>
      <c r="C19" s="0" t="n">
        <f aca="false">C15+C16+C17+C18</f>
        <v>3199.78</v>
      </c>
      <c r="D19" s="0" t="n">
        <f aca="false">D15+D16+D17+D18</f>
        <v>3449.36284</v>
      </c>
      <c r="E19" s="0" t="n">
        <f aca="false">E15+E16+E17+E18</f>
        <v>3697.71696448</v>
      </c>
      <c r="F19" s="0" t="n">
        <f aca="false">F15+F16+F17+F18</f>
        <v>3407.81595446477</v>
      </c>
      <c r="G19" s="0" t="n">
        <f aca="false">G15+G16+G17+G18</f>
        <v>3295.73667418459</v>
      </c>
      <c r="H19" s="0" t="n">
        <f aca="false">H15+H16+H17+H18</f>
        <v>3176.3146864612</v>
      </c>
      <c r="I19" s="0" t="n">
        <f aca="false">I15+I16+I17+I18</f>
        <v>3252.54623893627</v>
      </c>
      <c r="J19" s="0" t="n">
        <f aca="false">J15+J16+J17+J18</f>
        <v>3330.60734867074</v>
      </c>
      <c r="K19" s="0" t="n">
        <f aca="false">K15+K16+K17+K18</f>
        <v>3410.54192503884</v>
      </c>
      <c r="L19" s="0" t="n">
        <f aca="false">L15+L16+L17+L18</f>
        <v>3492.39493123977</v>
      </c>
    </row>
    <row r="20" customFormat="false" ht="15" hidden="false" customHeight="false" outlineLevel="0" collapsed="false">
      <c r="A20" s="0" t="s">
        <v>162</v>
      </c>
      <c r="C20" s="0" t="n">
        <f aca="false">1/(1+$B$27/100)^C4</f>
        <v>0.90293453724605</v>
      </c>
      <c r="D20" s="0" t="n">
        <f aca="false">1/(1+$B$27/100)^D4</f>
        <v>0.815290778551738</v>
      </c>
      <c r="E20" s="0" t="n">
        <f aca="false">1/(1+$B$27/100)^E4</f>
        <v>0.736154201852585</v>
      </c>
      <c r="F20" s="0" t="n">
        <f aca="false">1/(1+$B$27/100)^F4</f>
        <v>0.664699053591499</v>
      </c>
      <c r="G20" s="0" t="n">
        <f aca="false">1/(1+$B$27/100)^G4</f>
        <v>0.600179732362527</v>
      </c>
      <c r="H20" s="0" t="n">
        <f aca="false">1/(1+$B$27/100)^H4</f>
        <v>0.541923008905217</v>
      </c>
      <c r="I20" s="0" t="n">
        <f aca="false">1/(1+$B$27/100)^I4</f>
        <v>0.489321001268819</v>
      </c>
      <c r="J20" s="0" t="n">
        <f aca="false">1/(1+$B$27/100)^J4</f>
        <v>0.441824831845435</v>
      </c>
      <c r="K20" s="0" t="n">
        <f aca="false">1/(1+$B$27/100)^K4</f>
        <v>0.398938900086171</v>
      </c>
      <c r="L20" s="0" t="n">
        <f aca="false">1/(1+$B$27/100)^L4</f>
        <v>0.360215711138755</v>
      </c>
    </row>
    <row r="21" customFormat="false" ht="15" hidden="false" customHeight="false" outlineLevel="0" collapsed="false">
      <c r="A21" s="0" t="s">
        <v>163</v>
      </c>
      <c r="C21" s="0" t="n">
        <f aca="false">C19*C20</f>
        <v>2889.19187358917</v>
      </c>
      <c r="D21" s="0" t="n">
        <f aca="false">D19*D20</f>
        <v>2812.23371533103</v>
      </c>
      <c r="E21" s="0" t="n">
        <f aca="false">E19*E20</f>
        <v>2722.08988066354</v>
      </c>
      <c r="F21" s="0" t="n">
        <f aca="false">F19*F20</f>
        <v>2265.17203974674</v>
      </c>
      <c r="G21" s="0" t="n">
        <f aca="false">G19*G20</f>
        <v>1978.03435504948</v>
      </c>
      <c r="H21" s="0" t="n">
        <f aca="false">H19*H20</f>
        <v>1721.31801211688</v>
      </c>
      <c r="I21" s="0" t="n">
        <f aca="false">I19*I20</f>
        <v>1591.53918230942</v>
      </c>
      <c r="J21" s="0" t="n">
        <f aca="false">J19*J20</f>
        <v>1471.54503176962</v>
      </c>
      <c r="K21" s="0" t="n">
        <f aca="false">K19*K20</f>
        <v>1360.59784427277</v>
      </c>
      <c r="L21" s="0" t="n">
        <f aca="false">L19*L20</f>
        <v>1258.01552373392</v>
      </c>
    </row>
    <row r="23" customFormat="false" ht="15" hidden="false" customHeight="false" outlineLevel="0" collapsed="false">
      <c r="A23" s="0" t="s">
        <v>139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164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165</v>
      </c>
    </row>
    <row r="27" customFormat="false" ht="15" hidden="false" customHeight="false" outlineLevel="0" collapsed="false">
      <c r="A27" s="0" t="s">
        <v>143</v>
      </c>
      <c r="B27" s="4" t="n">
        <f aca="false">Assumptions!$B$34</f>
        <v>10.75</v>
      </c>
    </row>
    <row r="28" customFormat="false" ht="15" hidden="false" customHeight="false" outlineLevel="0" collapsed="false">
      <c r="A28" s="0" t="s">
        <v>144</v>
      </c>
      <c r="B28" s="4" t="n">
        <f aca="false">Assumptions!$B$35</f>
        <v>2.4</v>
      </c>
    </row>
    <row r="29" customFormat="false" ht="15" hidden="false" customHeight="false" outlineLevel="0" collapsed="false">
      <c r="A29" s="0" t="s">
        <v>145</v>
      </c>
      <c r="B29" s="4" t="n">
        <f aca="false">Assumptions!$B$36</f>
        <v>14</v>
      </c>
    </row>
    <row r="30" customFormat="false" ht="15" hidden="false" customHeight="false" outlineLevel="0" collapsed="false">
      <c r="A30" s="0" t="s">
        <v>166</v>
      </c>
      <c r="B30" s="0" t="n">
        <f aca="false">SUM(C21:L21)</f>
        <v>20069.7374585826</v>
      </c>
    </row>
    <row r="31" customFormat="false" ht="15" hidden="false" customHeight="false" outlineLevel="0" collapsed="false">
      <c r="A31" s="0" t="s">
        <v>167</v>
      </c>
      <c r="B31" s="0" t="n">
        <f aca="false">L19</f>
        <v>3492.39493123977</v>
      </c>
    </row>
    <row r="32" customFormat="false" ht="15" hidden="false" customHeight="false" outlineLevel="0" collapsed="false">
      <c r="A32" s="0" t="s">
        <v>168</v>
      </c>
      <c r="B32" s="0" t="n">
        <f aca="false">IF(B27&gt;B28,B31*(1+B28/100)/((B27-B28)/100),B31*B29)</f>
        <v>42828.8911328087</v>
      </c>
    </row>
    <row r="33" customFormat="false" ht="15" hidden="false" customHeight="false" outlineLevel="0" collapsed="false">
      <c r="A33" s="0" t="s">
        <v>169</v>
      </c>
      <c r="B33" s="0" t="n">
        <f aca="false">B31*B29</f>
        <v>48893.5290373568</v>
      </c>
    </row>
    <row r="34" customFormat="false" ht="15" hidden="false" customHeight="false" outlineLevel="0" collapsed="false">
      <c r="A34" s="0" t="s">
        <v>170</v>
      </c>
      <c r="B34" s="0" t="n">
        <f aca="false">MAX(0,MIN(B32,B33))</f>
        <v>42828.8911328087</v>
      </c>
    </row>
    <row r="35" customFormat="false" ht="15" hidden="false" customHeight="false" outlineLevel="0" collapsed="false">
      <c r="A35" s="0" t="s">
        <v>171</v>
      </c>
      <c r="B35" s="0" t="n">
        <f aca="false">B34/(1+B27/100)^L4</f>
        <v>15427.639476689</v>
      </c>
    </row>
    <row r="36" customFormat="false" ht="15" hidden="false" customHeight="false" outlineLevel="0" collapsed="false">
      <c r="A36" s="0" t="s">
        <v>172</v>
      </c>
      <c r="B36" s="0" t="n">
        <f aca="false">B30+B35</f>
        <v>35497.3769352715</v>
      </c>
    </row>
    <row r="37" customFormat="false" ht="15" hidden="false" customHeight="false" outlineLevel="0" collapsed="false">
      <c r="A37" s="0" t="s">
        <v>173</v>
      </c>
      <c r="B37" s="0" t="n">
        <f aca="false">B36+Assumptions!$B$5-Assumptions!$B$4</f>
        <v>35497.3769352715</v>
      </c>
    </row>
    <row r="38" customFormat="false" ht="15" hidden="false" customHeight="false" outlineLevel="0" collapsed="false">
      <c r="A38" s="0" t="s">
        <v>174</v>
      </c>
      <c r="B38" s="0" t="n">
        <f aca="false">B37/Assumptions!$B$3*Assumptions!$B$10</f>
        <v>32.4176958312982</v>
      </c>
    </row>
    <row r="39" customFormat="false" ht="15" hidden="false" customHeight="false" outlineLevel="0" collapsed="false">
      <c r="A39" s="0" t="s">
        <v>175</v>
      </c>
      <c r="B39" s="4" t="n">
        <f aca="false">B38/Assumptions!$B$2-1</f>
        <v>-0.106211860179261</v>
      </c>
    </row>
    <row r="41" customFormat="false" ht="15" hidden="false" customHeight="false" outlineLevel="0" collapsed="false">
      <c r="A41" s="0" t="s">
        <v>176</v>
      </c>
      <c r="B41" s="0" t="n">
        <f aca="false">SUMPRODUCT(-C10:L10/(1+$B$27/100)^C4:L4)</f>
        <v>0</v>
      </c>
    </row>
    <row r="42" customFormat="false" ht="15" hidden="false" customHeight="false" outlineLevel="0" collapsed="false">
      <c r="A42" s="0" t="s">
        <v>177</v>
      </c>
      <c r="B42" s="0" t="n">
        <f aca="false">IF(B27&gt;B28,-L10*(1+B28/100)/((B27-B28)/100),-L10*20)/(1+B27/100)^L4</f>
        <v>0</v>
      </c>
    </row>
    <row r="43" customFormat="false" ht="15" hidden="false" customHeight="false" outlineLevel="0" collapsed="false">
      <c r="A43" s="0" t="s">
        <v>178</v>
      </c>
      <c r="B43" s="0" t="n">
        <f aca="false">(B37+B41+B42)/Assumptions!$B$3*Assumptions!$B$10</f>
        <v>32.4176958312982</v>
      </c>
    </row>
    <row r="45" customFormat="false" ht="15" hidden="false" customHeight="false" outlineLevel="0" collapsed="false">
      <c r="A45" s="0" t="s">
        <v>118</v>
      </c>
      <c r="B45" s="4" t="n">
        <f aca="false">Assumptions!$B$6</f>
        <v>15</v>
      </c>
    </row>
    <row r="46" customFormat="false" ht="15" hidden="false" customHeight="false" outlineLevel="0" collapsed="false">
      <c r="A46" s="0" t="s">
        <v>179</v>
      </c>
      <c r="B46" s="0" t="n">
        <f aca="false">MAX(0,MIN(IF(B45&gt;B28,B31*(1+B28/100)/((B45-B28)/100),B31*B29),B31*B29))</f>
        <v>28382.6381713454</v>
      </c>
    </row>
    <row r="47" customFormat="false" ht="15" hidden="false" customHeight="false" outlineLevel="0" collapsed="false">
      <c r="A47" s="0" t="s">
        <v>180</v>
      </c>
      <c r="B47" s="0" t="n">
        <f aca="false">(SUMPRODUCT(C19:L19/(1+B45/100)^C4:L4)+B46/(1+B45/100)^L4+Assumptions!$B$5-Assumptions!$B$4)/Assumptions!$B$3*Assumptions!$B$10</f>
        <v>21.8650097994066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182</v>
      </c>
    </row>
    <row r="3" customFormat="false" ht="15" hidden="false" customHeight="false" outlineLevel="0" collapsed="false">
      <c r="A3" s="0" t="s">
        <v>151</v>
      </c>
      <c r="B3" s="0" t="s">
        <v>121</v>
      </c>
      <c r="C3" s="2" t="s">
        <v>126</v>
      </c>
      <c r="D3" s="2" t="s">
        <v>127</v>
      </c>
      <c r="E3" s="2" t="s">
        <v>128</v>
      </c>
      <c r="F3" s="2" t="s">
        <v>129</v>
      </c>
      <c r="G3" s="2" t="s">
        <v>130</v>
      </c>
      <c r="H3" s="2" t="s">
        <v>131</v>
      </c>
      <c r="I3" s="2" t="s">
        <v>132</v>
      </c>
      <c r="J3" s="2" t="s">
        <v>133</v>
      </c>
      <c r="K3" s="2" t="s">
        <v>134</v>
      </c>
      <c r="L3" s="2" t="s">
        <v>135</v>
      </c>
    </row>
    <row r="4" customFormat="false" ht="15" hidden="false" customHeight="false" outlineLevel="0" collapsed="false">
      <c r="A4" s="0" t="s">
        <v>152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136</v>
      </c>
      <c r="C5" s="4" t="n">
        <f aca="false">Assumptions!C41</f>
        <v>24.1</v>
      </c>
      <c r="D5" s="4" t="n">
        <f aca="false">Assumptions!D41</f>
        <v>14.5</v>
      </c>
      <c r="E5" s="4" t="n">
        <f aca="false">Assumptions!E41</f>
        <v>11.4</v>
      </c>
      <c r="F5" s="4" t="n">
        <f aca="false">Assumptions!F41</f>
        <v>2.4</v>
      </c>
      <c r="G5" s="4" t="n">
        <f aca="false">Assumptions!G41</f>
        <v>2.4</v>
      </c>
      <c r="H5" s="4" t="n">
        <f aca="false">Assumptions!H41</f>
        <v>2.4</v>
      </c>
      <c r="I5" s="4" t="n">
        <f aca="false">Assumptions!I41</f>
        <v>2.4</v>
      </c>
      <c r="J5" s="4" t="n">
        <f aca="false">Assumptions!J41</f>
        <v>2.4</v>
      </c>
      <c r="K5" s="4" t="n">
        <f aca="false">Assumptions!K41</f>
        <v>2.4</v>
      </c>
      <c r="L5" s="4" t="n">
        <f aca="false">Assumptions!L41</f>
        <v>2.4</v>
      </c>
    </row>
    <row r="6" customFormat="false" ht="15" hidden="false" customHeight="false" outlineLevel="0" collapsed="false">
      <c r="A6" s="0" t="s">
        <v>64</v>
      </c>
      <c r="B6" s="3" t="n">
        <v>2780</v>
      </c>
      <c r="C6" s="0" t="n">
        <f aca="false">B6*(1+C5/100)</f>
        <v>3449.98</v>
      </c>
      <c r="D6" s="0" t="n">
        <f aca="false">C6*(1+D5/100)</f>
        <v>3950.2271</v>
      </c>
      <c r="E6" s="0" t="n">
        <f aca="false">D6*(1+E5/100)</f>
        <v>4400.5529894</v>
      </c>
      <c r="F6" s="0" t="n">
        <f aca="false">E6*(1+F5/100)</f>
        <v>4506.1662611456</v>
      </c>
      <c r="G6" s="0" t="n">
        <f aca="false">F6*(1+G5/100)</f>
        <v>4614.3142514131</v>
      </c>
      <c r="H6" s="0" t="n">
        <f aca="false">G6*(1+H5/100)</f>
        <v>4725.05779344701</v>
      </c>
      <c r="I6" s="0" t="n">
        <f aca="false">H6*(1+I5/100)</f>
        <v>4838.45918048974</v>
      </c>
      <c r="J6" s="0" t="n">
        <f aca="false">I6*(1+J5/100)</f>
        <v>4954.58220082149</v>
      </c>
      <c r="K6" s="0" t="n">
        <f aca="false">J6*(1+K5/100)</f>
        <v>5073.49217364121</v>
      </c>
      <c r="L6" s="0" t="n">
        <f aca="false">K6*(1+L5/100)</f>
        <v>5195.2559858086</v>
      </c>
    </row>
    <row r="7" customFormat="false" ht="15" hidden="false" customHeight="false" outlineLevel="0" collapsed="false">
      <c r="A7" s="0" t="s">
        <v>137</v>
      </c>
      <c r="C7" s="4" t="n">
        <f aca="false">Assumptions!C42</f>
        <v>100</v>
      </c>
      <c r="D7" s="4" t="n">
        <f aca="false">Assumptions!D42</f>
        <v>100</v>
      </c>
      <c r="E7" s="4" t="n">
        <f aca="false">Assumptions!E42</f>
        <v>100</v>
      </c>
      <c r="F7" s="4" t="n">
        <f aca="false">Assumptions!F42</f>
        <v>100</v>
      </c>
      <c r="G7" s="4" t="n">
        <f aca="false">Assumptions!G42</f>
        <v>100</v>
      </c>
      <c r="H7" s="4" t="n">
        <f aca="false">Assumptions!H42</f>
        <v>100</v>
      </c>
      <c r="I7" s="4" t="n">
        <f aca="false">Assumptions!I42</f>
        <v>100</v>
      </c>
      <c r="J7" s="4" t="n">
        <f aca="false">Assumptions!J42</f>
        <v>100</v>
      </c>
      <c r="K7" s="4" t="n">
        <f aca="false">Assumptions!K42</f>
        <v>100</v>
      </c>
      <c r="L7" s="4" t="n">
        <f aca="false">Assumptions!L42</f>
        <v>100</v>
      </c>
    </row>
    <row r="8" customFormat="false" ht="15" hidden="false" customHeight="false" outlineLevel="0" collapsed="false">
      <c r="A8" s="0" t="s">
        <v>70</v>
      </c>
      <c r="C8" s="0" t="n">
        <f aca="false">C6*C7/100</f>
        <v>3449.98</v>
      </c>
      <c r="D8" s="0" t="n">
        <f aca="false">D6*D7/100</f>
        <v>3950.2271</v>
      </c>
      <c r="E8" s="0" t="n">
        <f aca="false">E6*E7/100</f>
        <v>4400.5529894</v>
      </c>
      <c r="F8" s="0" t="n">
        <f aca="false">F6*F7/100</f>
        <v>4506.1662611456</v>
      </c>
      <c r="G8" s="0" t="n">
        <f aca="false">G6*G7/100</f>
        <v>4614.3142514131</v>
      </c>
      <c r="H8" s="0" t="n">
        <f aca="false">H6*H7/100</f>
        <v>4725.05779344701</v>
      </c>
      <c r="I8" s="0" t="n">
        <f aca="false">I6*I7/100</f>
        <v>4838.45918048974</v>
      </c>
      <c r="J8" s="0" t="n">
        <f aca="false">J6*J7/100</f>
        <v>4954.58220082149</v>
      </c>
      <c r="K8" s="0" t="n">
        <f aca="false">K6*K7/100</f>
        <v>5073.49217364121</v>
      </c>
      <c r="L8" s="0" t="n">
        <f aca="false">L6*L7/100</f>
        <v>5195.2559858086</v>
      </c>
    </row>
    <row r="9" customFormat="false" ht="15" hidden="false" customHeight="false" outlineLevel="0" collapsed="false">
      <c r="A9" s="0" t="s">
        <v>138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153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154</v>
      </c>
      <c r="C11" s="0" t="n">
        <f aca="false">C8+C10+C24</f>
        <v>3449.98</v>
      </c>
      <c r="D11" s="0" t="n">
        <f aca="false">D8+D10+D24</f>
        <v>3950.2271</v>
      </c>
      <c r="E11" s="0" t="n">
        <f aca="false">E8+E10+E24</f>
        <v>4400.5529894</v>
      </c>
      <c r="F11" s="0" t="n">
        <f aca="false">F8+F10+F24</f>
        <v>4506.1662611456</v>
      </c>
      <c r="G11" s="0" t="n">
        <f aca="false">G8+G10+G24</f>
        <v>4614.3142514131</v>
      </c>
      <c r="H11" s="0" t="n">
        <f aca="false">H8+H10+H24</f>
        <v>4725.05779344701</v>
      </c>
      <c r="I11" s="0" t="n">
        <f aca="false">I8+I10+I24</f>
        <v>4838.45918048974</v>
      </c>
      <c r="J11" s="0" t="n">
        <f aca="false">J8+J10+J24</f>
        <v>4954.58220082149</v>
      </c>
      <c r="K11" s="0" t="n">
        <f aca="false">K8+K10+K24</f>
        <v>5073.49217364121</v>
      </c>
      <c r="L11" s="0" t="n">
        <f aca="false">L8+L10+L24</f>
        <v>5195.2559858086</v>
      </c>
    </row>
    <row r="12" customFormat="false" ht="15" hidden="false" customHeight="false" outlineLevel="0" collapsed="false">
      <c r="A12" s="0" t="s">
        <v>155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156</v>
      </c>
      <c r="C13" s="0" t="n">
        <f aca="false">C11+C12</f>
        <v>3449.98</v>
      </c>
      <c r="D13" s="0" t="n">
        <f aca="false">D11+D12</f>
        <v>3950.2271</v>
      </c>
      <c r="E13" s="0" t="n">
        <f aca="false">E11+E12</f>
        <v>4400.5529894</v>
      </c>
      <c r="F13" s="0" t="n">
        <f aca="false">F11+F12</f>
        <v>4506.1662611456</v>
      </c>
      <c r="G13" s="0" t="n">
        <f aca="false">G11+G12</f>
        <v>4614.3142514131</v>
      </c>
      <c r="H13" s="0" t="n">
        <f aca="false">H11+H12</f>
        <v>4725.05779344701</v>
      </c>
      <c r="I13" s="0" t="n">
        <f aca="false">I11+I12</f>
        <v>4838.45918048974</v>
      </c>
      <c r="J13" s="0" t="n">
        <f aca="false">J11+J12</f>
        <v>4954.58220082149</v>
      </c>
      <c r="K13" s="0" t="n">
        <f aca="false">K11+K12</f>
        <v>5073.49217364121</v>
      </c>
      <c r="L13" s="0" t="n">
        <f aca="false">L11+L12</f>
        <v>5195.2559858086</v>
      </c>
    </row>
    <row r="14" customFormat="false" ht="15" hidden="false" customHeight="false" outlineLevel="0" collapsed="false">
      <c r="A14" s="0" t="s">
        <v>142</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157</v>
      </c>
      <c r="C15" s="0" t="n">
        <f aca="false">C13-MAX(0,C13)*C14/100</f>
        <v>3449.98</v>
      </c>
      <c r="D15" s="0" t="n">
        <f aca="false">D13-MAX(0,D13)*D14/100</f>
        <v>3950.2271</v>
      </c>
      <c r="E15" s="0" t="n">
        <f aca="false">E13-MAX(0,E13)*E14/100</f>
        <v>4400.5529894</v>
      </c>
      <c r="F15" s="0" t="n">
        <f aca="false">F13-MAX(0,F13)*F14/100</f>
        <v>4506.1662611456</v>
      </c>
      <c r="G15" s="0" t="n">
        <f aca="false">G13-MAX(0,G13)*G14/100</f>
        <v>4614.3142514131</v>
      </c>
      <c r="H15" s="0" t="n">
        <f aca="false">H13-MAX(0,H13)*H14/100</f>
        <v>4725.05779344701</v>
      </c>
      <c r="I15" s="0" t="n">
        <f aca="false">I13-MAX(0,I13)*I14/100</f>
        <v>4838.45918048974</v>
      </c>
      <c r="J15" s="0" t="n">
        <f aca="false">J13-MAX(0,J13)*J14/100</f>
        <v>4954.58220082149</v>
      </c>
      <c r="K15" s="0" t="n">
        <f aca="false">K13-MAX(0,K13)*K14/100</f>
        <v>5073.49217364121</v>
      </c>
      <c r="L15" s="0" t="n">
        <f aca="false">L13-MAX(0,L13)*L14/100</f>
        <v>5195.2559858086</v>
      </c>
    </row>
    <row r="16" customFormat="false" ht="15" hidden="false" customHeight="false" outlineLevel="0" collapsed="false">
      <c r="A16" s="0" t="s">
        <v>158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159</v>
      </c>
      <c r="C17" s="4" t="n">
        <f aca="false">-C6*Assumptions!C46/100</f>
        <v>-0</v>
      </c>
      <c r="D17" s="4" t="n">
        <f aca="false">-D6*Assumptions!D46/100</f>
        <v>-0</v>
      </c>
      <c r="E17" s="4" t="n">
        <f aca="false">-E6*Assumptions!E46/100</f>
        <v>-0</v>
      </c>
      <c r="F17" s="4" t="n">
        <f aca="false">-F6*Assumptions!F46/100</f>
        <v>-450.61662611456</v>
      </c>
      <c r="G17" s="4" t="n">
        <f aca="false">-G6*Assumptions!G46/100</f>
        <v>-692.147137711964</v>
      </c>
      <c r="H17" s="4" t="n">
        <f aca="false">-H6*Assumptions!H46/100</f>
        <v>-945.011558689402</v>
      </c>
      <c r="I17" s="4" t="n">
        <f aca="false">-I6*Assumptions!I46/100</f>
        <v>-967.691836097948</v>
      </c>
      <c r="J17" s="4" t="n">
        <f aca="false">-J6*Assumptions!J46/100</f>
        <v>-990.916440164298</v>
      </c>
      <c r="K17" s="4" t="n">
        <f aca="false">-K6*Assumptions!K46/100</f>
        <v>-1014.69843472824</v>
      </c>
      <c r="L17" s="4" t="n">
        <f aca="false">-L6*Assumptions!L46/100</f>
        <v>-1039.05119716172</v>
      </c>
    </row>
    <row r="18" customFormat="false" ht="15" hidden="false" customHeight="false" outlineLevel="0" collapsed="false">
      <c r="A18" s="0" t="s">
        <v>160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161</v>
      </c>
      <c r="C19" s="0" t="n">
        <f aca="false">C15+C16+C17+C18</f>
        <v>3449.98</v>
      </c>
      <c r="D19" s="0" t="n">
        <f aca="false">D15+D16+D17+D18</f>
        <v>3950.2271</v>
      </c>
      <c r="E19" s="0" t="n">
        <f aca="false">E15+E16+E17+E18</f>
        <v>4400.5529894</v>
      </c>
      <c r="F19" s="0" t="n">
        <f aca="false">F15+F16+F17+F18</f>
        <v>4055.54963503104</v>
      </c>
      <c r="G19" s="0" t="n">
        <f aca="false">G15+G16+G17+G18</f>
        <v>3922.16711370113</v>
      </c>
      <c r="H19" s="0" t="n">
        <f aca="false">H15+H16+H17+H18</f>
        <v>3780.04623475761</v>
      </c>
      <c r="I19" s="0" t="n">
        <f aca="false">I15+I16+I17+I18</f>
        <v>3870.76734439179</v>
      </c>
      <c r="J19" s="0" t="n">
        <f aca="false">J15+J16+J17+J18</f>
        <v>3963.66576065719</v>
      </c>
      <c r="K19" s="0" t="n">
        <f aca="false">K15+K16+K17+K18</f>
        <v>4058.79373891297</v>
      </c>
      <c r="L19" s="0" t="n">
        <f aca="false">L15+L16+L17+L18</f>
        <v>4156.20478864688</v>
      </c>
    </row>
    <row r="20" customFormat="false" ht="15" hidden="false" customHeight="false" outlineLevel="0" collapsed="false">
      <c r="A20" s="0" t="s">
        <v>162</v>
      </c>
      <c r="C20" s="0" t="n">
        <f aca="false">1/(1+$B$27/100)^C4</f>
        <v>0.90702947845805</v>
      </c>
      <c r="D20" s="0" t="n">
        <f aca="false">1/(1+$B$27/100)^D4</f>
        <v>0.822702474791882</v>
      </c>
      <c r="E20" s="0" t="n">
        <f aca="false">1/(1+$B$27/100)^E4</f>
        <v>0.746215396636628</v>
      </c>
      <c r="F20" s="0" t="n">
        <f aca="false">1/(1+$B$27/100)^F4</f>
        <v>0.676839362028687</v>
      </c>
      <c r="G20" s="0" t="n">
        <f aca="false">1/(1+$B$27/100)^G4</f>
        <v>0.613913253540759</v>
      </c>
      <c r="H20" s="0" t="n">
        <f aca="false">1/(1+$B$27/100)^H4</f>
        <v>0.55683741817756</v>
      </c>
      <c r="I20" s="0" t="n">
        <f aca="false">1/(1+$B$27/100)^I4</f>
        <v>0.505067952995519</v>
      </c>
      <c r="J20" s="0" t="n">
        <f aca="false">1/(1+$B$27/100)^J4</f>
        <v>0.4581115219914</v>
      </c>
      <c r="K20" s="0" t="n">
        <f aca="false">1/(1+$B$27/100)^K4</f>
        <v>0.415520654867483</v>
      </c>
      <c r="L20" s="0" t="n">
        <f aca="false">1/(1+$B$27/100)^L4</f>
        <v>0.376889482873001</v>
      </c>
    </row>
    <row r="21" customFormat="false" ht="15" hidden="false" customHeight="false" outlineLevel="0" collapsed="false">
      <c r="A21" s="0" t="s">
        <v>163</v>
      </c>
      <c r="C21" s="0" t="n">
        <f aca="false">C19*C20</f>
        <v>3129.2335600907</v>
      </c>
      <c r="D21" s="0" t="n">
        <f aca="false">D19*D20</f>
        <v>3249.86161115996</v>
      </c>
      <c r="E21" s="0" t="n">
        <f aca="false">E19*E20</f>
        <v>3283.76039440562</v>
      </c>
      <c r="F21" s="0" t="n">
        <f aca="false">F19*F20</f>
        <v>2744.95562765009</v>
      </c>
      <c r="G21" s="0" t="n">
        <f aca="false">G19*G20</f>
        <v>2407.87037370283</v>
      </c>
      <c r="H21" s="0" t="n">
        <f aca="false">H19*H20</f>
        <v>2104.87118595423</v>
      </c>
      <c r="I21" s="0" t="n">
        <f aca="false">I19*I20</f>
        <v>1955.00053915386</v>
      </c>
      <c r="J21" s="0" t="n">
        <f aca="false">J19*J20</f>
        <v>1815.80095427987</v>
      </c>
      <c r="K21" s="0" t="n">
        <f aca="false">K19*K20</f>
        <v>1686.51263236516</v>
      </c>
      <c r="L21" s="0" t="n">
        <f aca="false">L19*L20</f>
        <v>1566.42987350741</v>
      </c>
    </row>
    <row r="23" customFormat="false" ht="15" hidden="false" customHeight="false" outlineLevel="0" collapsed="false">
      <c r="A23" s="0" t="s">
        <v>139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164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165</v>
      </c>
    </row>
    <row r="27" customFormat="false" ht="15" hidden="false" customHeight="false" outlineLevel="0" collapsed="false">
      <c r="A27" s="0" t="s">
        <v>143</v>
      </c>
      <c r="B27" s="4" t="n">
        <f aca="false">Assumptions!$B$48</f>
        <v>10.25</v>
      </c>
    </row>
    <row r="28" customFormat="false" ht="15" hidden="false" customHeight="false" outlineLevel="0" collapsed="false">
      <c r="A28" s="0" t="s">
        <v>144</v>
      </c>
      <c r="B28" s="4" t="n">
        <f aca="false">Assumptions!$B$49</f>
        <v>2.4</v>
      </c>
    </row>
    <row r="29" customFormat="false" ht="15" hidden="false" customHeight="false" outlineLevel="0" collapsed="false">
      <c r="A29" s="0" t="s">
        <v>145</v>
      </c>
      <c r="B29" s="4" t="n">
        <f aca="false">Assumptions!$B$50</f>
        <v>15</v>
      </c>
    </row>
    <row r="30" customFormat="false" ht="15" hidden="false" customHeight="false" outlineLevel="0" collapsed="false">
      <c r="A30" s="0" t="s">
        <v>166</v>
      </c>
      <c r="B30" s="0" t="n">
        <f aca="false">SUM(C21:L21)</f>
        <v>23944.2967522697</v>
      </c>
    </row>
    <row r="31" customFormat="false" ht="15" hidden="false" customHeight="false" outlineLevel="0" collapsed="false">
      <c r="A31" s="0" t="s">
        <v>167</v>
      </c>
      <c r="B31" s="0" t="n">
        <f aca="false">L19</f>
        <v>4156.20478864688</v>
      </c>
    </row>
    <row r="32" customFormat="false" ht="15" hidden="false" customHeight="false" outlineLevel="0" collapsed="false">
      <c r="A32" s="0" t="s">
        <v>168</v>
      </c>
      <c r="B32" s="0" t="n">
        <f aca="false">IF(B27&gt;B28,B31*(1+B28/100)/((B27-B28)/100),B31*B29)</f>
        <v>54215.9707461707</v>
      </c>
    </row>
    <row r="33" customFormat="false" ht="15" hidden="false" customHeight="false" outlineLevel="0" collapsed="false">
      <c r="A33" s="0" t="s">
        <v>169</v>
      </c>
      <c r="B33" s="0" t="n">
        <f aca="false">B31*B29</f>
        <v>62343.0718297032</v>
      </c>
    </row>
    <row r="34" customFormat="false" ht="15" hidden="false" customHeight="false" outlineLevel="0" collapsed="false">
      <c r="A34" s="0" t="s">
        <v>170</v>
      </c>
      <c r="B34" s="0" t="n">
        <f aca="false">MAX(0,MIN(B32,B33))</f>
        <v>54215.9707461707</v>
      </c>
    </row>
    <row r="35" customFormat="false" ht="15" hidden="false" customHeight="false" outlineLevel="0" collapsed="false">
      <c r="A35" s="0" t="s">
        <v>171</v>
      </c>
      <c r="B35" s="0" t="n">
        <f aca="false">B34/(1+B27/100)^L4</f>
        <v>20433.429177982</v>
      </c>
    </row>
    <row r="36" customFormat="false" ht="15" hidden="false" customHeight="false" outlineLevel="0" collapsed="false">
      <c r="A36" s="0" t="s">
        <v>172</v>
      </c>
      <c r="B36" s="0" t="n">
        <f aca="false">B30+B35</f>
        <v>44377.7259302517</v>
      </c>
    </row>
    <row r="37" customFormat="false" ht="15" hidden="false" customHeight="false" outlineLevel="0" collapsed="false">
      <c r="A37" s="0" t="s">
        <v>173</v>
      </c>
      <c r="B37" s="0" t="n">
        <f aca="false">B36+Assumptions!$B$5-Assumptions!$B$4</f>
        <v>44377.7259302517</v>
      </c>
    </row>
    <row r="38" customFormat="false" ht="15" hidden="false" customHeight="false" outlineLevel="0" collapsed="false">
      <c r="A38" s="0" t="s">
        <v>174</v>
      </c>
      <c r="B38" s="0" t="n">
        <f aca="false">B37/Assumptions!$B$3*Assumptions!$B$10</f>
        <v>40.527603589271</v>
      </c>
    </row>
    <row r="39" customFormat="false" ht="15" hidden="false" customHeight="false" outlineLevel="0" collapsed="false">
      <c r="A39" s="0" t="s">
        <v>175</v>
      </c>
      <c r="B39" s="4" t="n">
        <f aca="false">B38/Assumptions!$B$2-1</f>
        <v>0.117386368604108</v>
      </c>
    </row>
    <row r="41" customFormat="false" ht="15" hidden="false" customHeight="false" outlineLevel="0" collapsed="false">
      <c r="A41" s="0" t="s">
        <v>176</v>
      </c>
      <c r="B41" s="0" t="n">
        <f aca="false">SUMPRODUCT(-C10:L10/(1+$B$27/100)^C4:L4)</f>
        <v>0</v>
      </c>
    </row>
    <row r="42" customFormat="false" ht="15" hidden="false" customHeight="false" outlineLevel="0" collapsed="false">
      <c r="A42" s="0" t="s">
        <v>177</v>
      </c>
      <c r="B42" s="0" t="n">
        <f aca="false">IF(B27&gt;B28,-L10*(1+B28/100)/((B27-B28)/100),-L10*20)/(1+B27/100)^L4</f>
        <v>0</v>
      </c>
    </row>
    <row r="43" customFormat="false" ht="15" hidden="false" customHeight="false" outlineLevel="0" collapsed="false">
      <c r="A43" s="0" t="s">
        <v>178</v>
      </c>
      <c r="B43" s="0" t="n">
        <f aca="false">(B37+B41+B42)/Assumptions!$B$3*Assumptions!$B$10</f>
        <v>40.527603589271</v>
      </c>
    </row>
    <row r="45" customFormat="false" ht="15" hidden="false" customHeight="false" outlineLevel="0" collapsed="false">
      <c r="A45" s="0" t="s">
        <v>118</v>
      </c>
      <c r="B45" s="4" t="n">
        <f aca="false">Assumptions!$B$6</f>
        <v>15</v>
      </c>
    </row>
    <row r="46" customFormat="false" ht="15" hidden="false" customHeight="false" outlineLevel="0" collapsed="false">
      <c r="A46" s="0" t="s">
        <v>179</v>
      </c>
      <c r="B46" s="0" t="n">
        <f aca="false">MAX(0,MIN(IF(B45&gt;B28,B31*(1+B28/100)/((B45-B28)/100),B31*B29),B31*B29))</f>
        <v>33777.4103458286</v>
      </c>
    </row>
    <row r="47" customFormat="false" ht="15" hidden="false" customHeight="false" outlineLevel="0" collapsed="false">
      <c r="A47" s="0" t="s">
        <v>180</v>
      </c>
      <c r="B47" s="0" t="n">
        <f aca="false">(SUMPRODUCT(C19:L19/(1+B45/100)^C4:L4)+B46/(1+B45/100)^L4+Assumptions!$B$5-Assumptions!$B$4)/Assumptions!$B$3*Assumptions!$B$10</f>
        <v>25.6297947384132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183</v>
      </c>
    </row>
    <row r="3" customFormat="false" ht="15" hidden="false" customHeight="false" outlineLevel="0" collapsed="false">
      <c r="A3" s="2" t="s">
        <v>184</v>
      </c>
      <c r="B3" s="2" t="s">
        <v>185</v>
      </c>
      <c r="C3" s="2" t="s">
        <v>175</v>
      </c>
      <c r="D3" s="2" t="s">
        <v>186</v>
      </c>
      <c r="E3" s="2" t="s">
        <v>178</v>
      </c>
      <c r="F3" s="2" t="s">
        <v>187</v>
      </c>
    </row>
    <row r="4" customFormat="false" ht="15" hidden="false" customHeight="false" outlineLevel="0" collapsed="false">
      <c r="A4" s="0" t="s">
        <v>188</v>
      </c>
      <c r="B4" s="4" t="n">
        <f aca="false">DCF_Bear!$B$38</f>
        <v>22.118755000758</v>
      </c>
      <c r="C4" s="0" t="n">
        <f aca="false">B4/Assumptions!$B$2-1</f>
        <v>-0.390163909546236</v>
      </c>
      <c r="D4" s="4" t="n">
        <f aca="false">Assumptions!$B$24</f>
        <v>0.25</v>
      </c>
      <c r="E4" s="4" t="n">
        <f aca="false">DCF_Bear!$B$43</f>
        <v>22.118755000758</v>
      </c>
      <c r="F4" s="4" t="n">
        <f aca="false">DCF_Bear!$B$47</f>
        <v>16.7692718207621</v>
      </c>
    </row>
    <row r="5" customFormat="false" ht="15" hidden="false" customHeight="false" outlineLevel="0" collapsed="false">
      <c r="A5" s="0" t="s">
        <v>189</v>
      </c>
      <c r="B5" s="4" t="n">
        <f aca="false">DCF_Base!$B$38</f>
        <v>32.4176958312982</v>
      </c>
      <c r="C5" s="0" t="n">
        <f aca="false">B5/Assumptions!$B$2-1</f>
        <v>-0.106211860179261</v>
      </c>
      <c r="D5" s="4" t="n">
        <f aca="false">Assumptions!$B$38</f>
        <v>0.5</v>
      </c>
      <c r="E5" s="4" t="n">
        <f aca="false">DCF_Base!$B$43</f>
        <v>32.4176958312982</v>
      </c>
      <c r="F5" s="4" t="n">
        <f aca="false">DCF_Base!$B$47</f>
        <v>21.8650097994066</v>
      </c>
    </row>
    <row r="6" customFormat="false" ht="15" hidden="false" customHeight="false" outlineLevel="0" collapsed="false">
      <c r="A6" s="0" t="s">
        <v>190</v>
      </c>
      <c r="B6" s="4" t="n">
        <f aca="false">DCF_Bull!$B$38</f>
        <v>40.527603589271</v>
      </c>
      <c r="C6" s="0" t="n">
        <f aca="false">B6/Assumptions!$B$2-1</f>
        <v>0.117386368604108</v>
      </c>
      <c r="D6" s="4" t="n">
        <f aca="false">Assumptions!$B$52</f>
        <v>0.25</v>
      </c>
      <c r="E6" s="4" t="n">
        <f aca="false">DCF_Bull!$B$43</f>
        <v>40.527603589271</v>
      </c>
      <c r="F6" s="4" t="n">
        <f aca="false">DCF_Bull!$B$47</f>
        <v>25.6297947384132</v>
      </c>
    </row>
    <row r="8" customFormat="false" ht="15" hidden="false" customHeight="false" outlineLevel="0" collapsed="false">
      <c r="A8" s="0" t="s">
        <v>191</v>
      </c>
      <c r="B8" s="0" t="n">
        <f aca="false">SUMPRODUCT(B4:B6,D4:D6)</f>
        <v>31.8704375631564</v>
      </c>
    </row>
    <row r="9" customFormat="false" ht="15" hidden="false" customHeight="false" outlineLevel="0" collapsed="false">
      <c r="A9" s="0" t="s">
        <v>192</v>
      </c>
      <c r="B9" s="0" t="n">
        <f aca="false">SUMPRODUCT(E4:E6,D4:D6)</f>
        <v>31.8704375631564</v>
      </c>
    </row>
    <row r="10" customFormat="false" ht="15" hidden="false" customHeight="false" outlineLevel="0" collapsed="false">
      <c r="A10" s="0" t="s">
        <v>193</v>
      </c>
      <c r="B10" s="0" t="n">
        <f aca="false">1-Assumptions!$B$2/B8</f>
        <v>-0.138045247358942</v>
      </c>
    </row>
    <row r="11" customFormat="false" ht="15" hidden="false" customHeight="false" outlineLevel="0" collapsed="false">
      <c r="A11" s="0" t="s">
        <v>194</v>
      </c>
      <c r="B11" s="0" t="str">
        <f aca="false">IF(ABS(B9-B8)&gt;0.01*ABS(B8),(Assumptions!$B$2-B8)/(B9-B8)*100,"n/a")</f>
        <v>n/a</v>
      </c>
    </row>
    <row r="12" customFormat="false" ht="15" hidden="false" customHeight="false" outlineLevel="0" collapsed="false">
      <c r="A12" s="0" t="s">
        <v>195</v>
      </c>
      <c r="B12" s="0" t="n">
        <f aca="false">SUMPRODUCT(F4:F6,D4:D6)</f>
        <v>21.5322715394972</v>
      </c>
    </row>
    <row r="14" customFormat="false" ht="15" hidden="false" customHeight="false" outlineLevel="0" collapsed="false">
      <c r="A14" s="2" t="s">
        <v>196</v>
      </c>
      <c r="C14" s="0" t="s">
        <v>197</v>
      </c>
    </row>
    <row r="15" customFormat="false" ht="15" hidden="false" customHeight="false" outlineLevel="0" collapsed="false">
      <c r="A15" s="0" t="s">
        <v>198</v>
      </c>
      <c r="B15" s="0" t="n">
        <f aca="false">(SUMPRODUCT(DCF_Base!$C$19:$L$19/(1+$C$15/100)^DCF_Base!$C$4:$L$4)+MAX(0,MIN(IF($C$15&gt;DCF_Base!$B$28,DCF_Base!$L$19*(1+DCF_Base!$B$28/100)/(($C$15-DCF_Base!$B$28)/100),DCF_Base!$L$19*DCF_Base!$B$29),DCF_Base!$L$19*DCF_Base!$B$29))/(1+$C$15/100)^DCF_Base!$L$4+Assumptions!$B$5-Assumptions!$B$4)/Assumptions!$B$3*Assumptions!$B$10</f>
        <v>38.6244146950499</v>
      </c>
      <c r="C15" s="3" t="n">
        <v>9</v>
      </c>
    </row>
    <row r="16" customFormat="false" ht="15" hidden="false" customHeight="false" outlineLevel="0" collapsed="false">
      <c r="A16" s="0" t="s">
        <v>199</v>
      </c>
      <c r="B16" s="0" t="n">
        <f aca="false">(SUMPRODUCT(DCF_Base!$C$19:$L$19/(1+$C$16/100)^DCF_Base!$C$4:$L$4)+MAX(0,MIN(IF($C$16&gt;DCF_Base!$B$28,DCF_Base!$L$19*(1+DCF_Base!$B$28/100)/(($C$16-DCF_Base!$B$28)/100),DCF_Base!$L$19*DCF_Base!$B$29),DCF_Base!$L$19*DCF_Base!$B$29))/(1+$C$16/100)^DCF_Base!$L$4+Assumptions!$B$5-Assumptions!$B$4)/Assumptions!$B$3*Assumptions!$B$10</f>
        <v>35.4906640139426</v>
      </c>
      <c r="C16" s="3" t="n">
        <v>10</v>
      </c>
    </row>
    <row r="17" customFormat="false" ht="15" hidden="false" customHeight="false" outlineLevel="0" collapsed="false">
      <c r="A17" s="0" t="s">
        <v>200</v>
      </c>
      <c r="B17" s="0" t="n">
        <f aca="false">(SUMPRODUCT(DCF_Base!$C$19:$L$19/(1+$C$17/100)^DCF_Base!$C$4:$L$4)+MAX(0,MIN(IF($C$17&gt;DCF_Base!$B$28,DCF_Base!$L$19*(1+DCF_Base!$B$28/100)/(($C$17-DCF_Base!$B$28)/100),DCF_Base!$L$19*DCF_Base!$B$29),DCF_Base!$L$19*DCF_Base!$B$29))/(1+$C$17/100)^DCF_Base!$L$4+Assumptions!$B$5-Assumptions!$B$4)/Assumptions!$B$3*Assumptions!$B$10</f>
        <v>32.4176958312982</v>
      </c>
      <c r="C17" s="3" t="n">
        <v>10.75</v>
      </c>
    </row>
    <row r="18" customFormat="false" ht="15" hidden="false" customHeight="false" outlineLevel="0" collapsed="false">
      <c r="A18" s="0" t="s">
        <v>201</v>
      </c>
      <c r="B18" s="0" t="n">
        <f aca="false">(SUMPRODUCT(DCF_Base!$C$19:$L$19/(1+$C$18/100)^DCF_Base!$C$4:$L$4)+MAX(0,MIN(IF($C$18&gt;DCF_Base!$B$28,DCF_Base!$L$19*(1+DCF_Base!$B$28/100)/(($C$18-DCF_Base!$B$28)/100),DCF_Base!$L$19*DCF_Base!$B$29),DCF_Base!$L$19*DCF_Base!$B$29))/(1+$C$18/100)^DCF_Base!$L$4+Assumptions!$B$5-Assumptions!$B$4)/Assumptions!$B$3*Assumptions!$B$10</f>
        <v>31.5115653261198</v>
      </c>
      <c r="C18" s="3" t="n">
        <v>11</v>
      </c>
    </row>
    <row r="19" customFormat="false" ht="15" hidden="false" customHeight="false" outlineLevel="0" collapsed="false">
      <c r="A19" s="0" t="s">
        <v>202</v>
      </c>
      <c r="B19" s="0" t="n">
        <f aca="false">(SUMPRODUCT(DCF_Base!$C$19:$L$19/(1+$C$19/100)^DCF_Base!$C$4:$L$4)+MAX(0,MIN(IF($C$19&gt;DCF_Base!$B$28,DCF_Base!$L$19*(1+DCF_Base!$B$28/100)/(($C$19-DCF_Base!$B$28)/100),DCF_Base!$L$19*DCF_Base!$B$29),DCF_Base!$L$19*DCF_Base!$B$29))/(1+$C$19/100)^DCF_Base!$L$4+Assumptions!$B$5-Assumptions!$B$4)/Assumptions!$B$3*Assumptions!$B$10</f>
        <v>28.3550403970794</v>
      </c>
      <c r="C19" s="3" t="n">
        <v>12</v>
      </c>
    </row>
    <row r="20" customFormat="false" ht="15" hidden="false" customHeight="false" outlineLevel="0" collapsed="false">
      <c r="A20" s="0" t="s">
        <v>203</v>
      </c>
      <c r="B20" s="0" t="n">
        <f aca="false">(SUMPRODUCT(DCF_Base!$C$19:$L$19/(1+$C$20/100)^DCF_Base!$C$4:$L$4)+MAX(0,MIN(IF($C$20&gt;DCF_Base!$B$28,DCF_Base!$L$19*(1+DCF_Base!$B$28/100)/(($C$20-DCF_Base!$B$28)/100),DCF_Base!$L$19*DCF_Base!$B$29),DCF_Base!$L$19*DCF_Base!$B$29))/(1+$C$20/100)^DCF_Base!$L$4+Assumptions!$B$5-Assumptions!$B$4)/Assumptions!$B$3*Assumptions!$B$10</f>
        <v>21.8650097994066</v>
      </c>
      <c r="C20" s="3" t="n">
        <v>15</v>
      </c>
    </row>
    <row r="22" customFormat="false" ht="15" hidden="false" customHeight="false" outlineLevel="0" collapsed="false">
      <c r="A22" s="2" t="s">
        <v>204</v>
      </c>
    </row>
    <row r="23" customFormat="false" ht="15" hidden="false" customHeight="false" outlineLevel="0" collapsed="false">
      <c r="B23" s="3" t="n">
        <v>1.4</v>
      </c>
      <c r="C23" s="3" t="n">
        <v>1.9</v>
      </c>
      <c r="D23" s="3" t="n">
        <v>2.4</v>
      </c>
      <c r="E23" s="3" t="n">
        <v>2.9</v>
      </c>
      <c r="F23" s="3" t="n">
        <v>3.4</v>
      </c>
    </row>
    <row r="24" customFormat="false" ht="15" hidden="false" customHeight="false" outlineLevel="0" collapsed="false">
      <c r="A24" s="3" t="n">
        <v>8.75</v>
      </c>
      <c r="B24" s="0" t="n">
        <f aca="false">(SUMPRODUCT(DCF_Base!$C$19:$L$19/(1+$A$24/100)^DCF_Base!$C$4:$L$4)+MAX(0,MIN(IF($A$24&gt;$B$23,DCF_Base!$L$19*(1+$B$23/100)/(($A$24-$B$23)/100),DCF_Base!$L$19*DCF_Base!$B$29),DCF_Base!$L$19*DCF_Base!$B$29))/(1+$A$24/100)^DCF_Base!$L$4+Assumptions!$B$5-Assumptions!$B$4)/Assumptions!$B$3*Assumptions!$B$10</f>
        <v>39.0003739895423</v>
      </c>
      <c r="C24" s="0" t="n">
        <f aca="false">(SUMPRODUCT(DCF_Base!$C$19:$L$19/(1+$A$24/100)^DCF_Base!$C$4:$L$4)+MAX(0,MIN(IF($A$24&gt;$C$23,DCF_Base!$L$19*(1+$C$23/100)/(($A$24-$C$23)/100),DCF_Base!$L$19*DCF_Base!$B$29),DCF_Base!$L$19*DCF_Base!$B$29))/(1+$A$24/100)^DCF_Base!$L$4+Assumptions!$B$5-Assumptions!$B$4)/Assumptions!$B$3*Assumptions!$B$10</f>
        <v>39.2817068706177</v>
      </c>
      <c r="D24" s="0" t="n">
        <f aca="false">(SUMPRODUCT(DCF_Base!$C$19:$L$19/(1+$A$24/100)^DCF_Base!$C$4:$L$4)+MAX(0,MIN(IF($A$24&gt;$D$23,DCF_Base!$L$19*(1+$D$23/100)/(($A$24-$D$23)/100),DCF_Base!$L$19*DCF_Base!$B$29),DCF_Base!$L$19*DCF_Base!$B$29))/(1+$A$24/100)^DCF_Base!$L$4+Assumptions!$B$5-Assumptions!$B$4)/Assumptions!$B$3*Assumptions!$B$10</f>
        <v>39.2817068706177</v>
      </c>
      <c r="E24" s="0" t="n">
        <f aca="false">(SUMPRODUCT(DCF_Base!$C$19:$L$19/(1+$A$24/100)^DCF_Base!$C$4:$L$4)+MAX(0,MIN(IF($A$24&gt;$E$23,DCF_Base!$L$19*(1+$E$23/100)/(($A$24-$E$23)/100),DCF_Base!$L$19*DCF_Base!$B$29),DCF_Base!$L$19*DCF_Base!$B$29))/(1+$A$24/100)^DCF_Base!$L$4+Assumptions!$B$5-Assumptions!$B$4)/Assumptions!$B$3*Assumptions!$B$10</f>
        <v>39.2817068706177</v>
      </c>
      <c r="F24" s="0" t="n">
        <f aca="false">(SUMPRODUCT(DCF_Base!$C$19:$L$19/(1+$A$24/100)^DCF_Base!$C$4:$L$4)+MAX(0,MIN(IF($A$24&gt;$F$23,DCF_Base!$L$19*(1+$F$23/100)/(($A$24-$F$23)/100),DCF_Base!$L$19*DCF_Base!$B$29),DCF_Base!$L$19*DCF_Base!$B$29))/(1+$A$24/100)^DCF_Base!$L$4+Assumptions!$B$5-Assumptions!$B$4)/Assumptions!$B$3*Assumptions!$B$10</f>
        <v>39.2817068706177</v>
      </c>
    </row>
    <row r="25" customFormat="false" ht="15" hidden="false" customHeight="false" outlineLevel="0" collapsed="false">
      <c r="A25" s="3" t="n">
        <v>9.75</v>
      </c>
      <c r="B25" s="0" t="n">
        <f aca="false">(SUMPRODUCT(DCF_Base!$C$19:$L$19/(1+$A$25/100)^DCF_Base!$C$4:$L$4)+MAX(0,MIN(IF($A$25&gt;$B$23,DCF_Base!$L$19*(1+$B$23/100)/(($A$25-$B$23)/100),DCF_Base!$L$19*DCF_Base!$B$29),DCF_Base!$L$19*DCF_Base!$B$29))/(1+$A$25/100)^DCF_Base!$L$4+Assumptions!$B$5-Assumptions!$B$4)/Assumptions!$B$3*Assumptions!$B$10</f>
        <v>34.4037089328807</v>
      </c>
      <c r="C25" s="0" t="n">
        <f aca="false">(SUMPRODUCT(DCF_Base!$C$19:$L$19/(1+$A$25/100)^DCF_Base!$C$4:$L$4)+MAX(0,MIN(IF($A$25&gt;$C$23,DCF_Base!$L$19*(1+$C$23/100)/(($A$25-$C$23)/100),DCF_Base!$L$19*DCF_Base!$B$29),DCF_Base!$L$19*DCF_Base!$B$29))/(1+$A$25/100)^DCF_Base!$L$4+Assumptions!$B$5-Assumptions!$B$4)/Assumptions!$B$3*Assumptions!$B$10</f>
        <v>35.456839799671</v>
      </c>
      <c r="D25" s="0" t="n">
        <f aca="false">(SUMPRODUCT(DCF_Base!$C$19:$L$19/(1+$A$25/100)^DCF_Base!$C$4:$L$4)+MAX(0,MIN(IF($A$25&gt;$D$23,DCF_Base!$L$19*(1+$D$23/100)/(($A$25-$D$23)/100),DCF_Base!$L$19*DCF_Base!$B$29),DCF_Base!$L$19*DCF_Base!$B$29))/(1+$A$25/100)^DCF_Base!$L$4+Assumptions!$B$5-Assumptions!$B$4)/Assumptions!$B$3*Assumptions!$B$10</f>
        <v>36.6532537775894</v>
      </c>
      <c r="E25" s="0" t="n">
        <f aca="false">(SUMPRODUCT(DCF_Base!$C$19:$L$19/(1+$A$25/100)^DCF_Base!$C$4:$L$4)+MAX(0,MIN(IF($A$25&gt;$E$23,DCF_Base!$L$19*(1+$E$23/100)/(($A$25-$E$23)/100),DCF_Base!$L$19*DCF_Base!$B$29),DCF_Base!$L$19*DCF_Base!$B$29))/(1+$A$25/100)^DCF_Base!$L$4+Assumptions!$B$5-Assumptions!$B$4)/Assumptions!$B$3*Assumptions!$B$10</f>
        <v>36.7388287181512</v>
      </c>
      <c r="F25" s="0" t="n">
        <f aca="false">(SUMPRODUCT(DCF_Base!$C$19:$L$19/(1+$A$25/100)^DCF_Base!$C$4:$L$4)+MAX(0,MIN(IF($A$25&gt;$F$23,DCF_Base!$L$19*(1+$F$23/100)/(($A$25-$F$23)/100),DCF_Base!$L$19*DCF_Base!$B$29),DCF_Base!$L$19*DCF_Base!$B$29))/(1+$A$25/100)^DCF_Base!$L$4+Assumptions!$B$5-Assumptions!$B$4)/Assumptions!$B$3*Assumptions!$B$10</f>
        <v>36.7388287181512</v>
      </c>
    </row>
    <row r="26" customFormat="false" ht="15" hidden="false" customHeight="false" outlineLevel="0" collapsed="false">
      <c r="A26" s="3" t="n">
        <v>10.75</v>
      </c>
      <c r="B26" s="0" t="n">
        <f aca="false">(SUMPRODUCT(DCF_Base!$C$19:$L$19/(1+$A$26/100)^DCF_Base!$C$4:$L$4)+MAX(0,MIN(IF($A$26&gt;$B$23,DCF_Base!$L$19*(1+$B$23/100)/(($A$26-$B$23)/100),DCF_Base!$L$19*DCF_Base!$B$29),DCF_Base!$L$19*DCF_Base!$B$29))/(1+$A$26/100)^DCF_Base!$L$4+Assumptions!$B$5-Assumptions!$B$4)/Assumptions!$B$3*Assumptions!$B$10</f>
        <v>30.7879588156537</v>
      </c>
      <c r="C26" s="0" t="n">
        <f aca="false">(SUMPRODUCT(DCF_Base!$C$19:$L$19/(1+$A$26/100)^DCF_Base!$C$4:$L$4)+MAX(0,MIN(IF($A$26&gt;$C$23,DCF_Base!$L$19*(1+$C$23/100)/(($A$26-$C$23)/100),DCF_Base!$L$19*DCF_Base!$B$29),DCF_Base!$L$19*DCF_Base!$B$29))/(1+$A$26/100)^DCF_Base!$L$4+Assumptions!$B$5-Assumptions!$B$4)/Assumptions!$B$3*Assumptions!$B$10</f>
        <v>31.5567895546724</v>
      </c>
      <c r="D26" s="0" t="n">
        <f aca="false">(SUMPRODUCT(DCF_Base!$C$19:$L$19/(1+$A$26/100)^DCF_Base!$C$4:$L$4)+MAX(0,MIN(IF($A$26&gt;$D$23,DCF_Base!$L$19*(1+$D$23/100)/(($A$26-$D$23)/100),DCF_Base!$L$19*DCF_Base!$B$29),DCF_Base!$L$19*DCF_Base!$B$29))/(1+$A$26/100)^DCF_Base!$L$4+Assumptions!$B$5-Assumptions!$B$4)/Assumptions!$B$3*Assumptions!$B$10</f>
        <v>32.4176958312982</v>
      </c>
      <c r="E26" s="0" t="n">
        <f aca="false">(SUMPRODUCT(DCF_Base!$C$19:$L$19/(1+$A$26/100)^DCF_Base!$C$4:$L$4)+MAX(0,MIN(IF($A$26&gt;$E$23,DCF_Base!$L$19*(1+$E$23/100)/(($A$26-$E$23)/100),DCF_Base!$L$19*DCF_Base!$B$29),DCF_Base!$L$19*DCF_Base!$B$29))/(1+$A$26/100)^DCF_Base!$L$4+Assumptions!$B$5-Assumptions!$B$4)/Assumptions!$B$3*Assumptions!$B$10</f>
        <v>33.3882716973031</v>
      </c>
      <c r="F26" s="0" t="n">
        <f aca="false">(SUMPRODUCT(DCF_Base!$C$19:$L$19/(1+$A$26/100)^DCF_Base!$C$4:$L$4)+MAX(0,MIN(IF($A$26&gt;$F$23,DCF_Base!$L$19*(1+$F$23/100)/(($A$26-$F$23)/100),DCF_Base!$L$19*DCF_Base!$B$29),DCF_Base!$L$19*DCF_Base!$B$29))/(1+$A$26/100)^DCF_Base!$L$4+Assumptions!$B$5-Assumptions!$B$4)/Assumptions!$B$3*Assumptions!$B$10</f>
        <v>34.4127441012396</v>
      </c>
    </row>
    <row r="27" customFormat="false" ht="15" hidden="false" customHeight="false" outlineLevel="0" collapsed="false">
      <c r="A27" s="3" t="n">
        <v>11.75</v>
      </c>
      <c r="B27" s="0" t="n">
        <f aca="false">(SUMPRODUCT(DCF_Base!$C$19:$L$19/(1+$A$27/100)^DCF_Base!$C$4:$L$4)+MAX(0,MIN(IF($A$27&gt;$B$23,DCF_Base!$L$19*(1+$B$23/100)/(($A$27-$B$23)/100),DCF_Base!$L$19*DCF_Base!$B$29),DCF_Base!$L$19*DCF_Base!$B$29))/(1+$A$27/100)^DCF_Base!$L$4+Assumptions!$B$5-Assumptions!$B$4)/Assumptions!$B$3*Assumptions!$B$10</f>
        <v>27.8688353237401</v>
      </c>
      <c r="C27" s="0" t="n">
        <f aca="false">(SUMPRODUCT(DCF_Base!$C$19:$L$19/(1+$A$27/100)^DCF_Base!$C$4:$L$4)+MAX(0,MIN(IF($A$27&gt;$C$23,DCF_Base!$L$19*(1+$C$23/100)/(($A$27-$C$23)/100),DCF_Base!$L$19*DCF_Base!$B$29),DCF_Base!$L$19*DCF_Base!$B$29))/(1+$A$27/100)^DCF_Base!$L$4+Assumptions!$B$5-Assumptions!$B$4)/Assumptions!$B$3*Assumptions!$B$10</f>
        <v>28.4443744694988</v>
      </c>
      <c r="D27" s="0" t="n">
        <f aca="false">(SUMPRODUCT(DCF_Base!$C$19:$L$19/(1+$A$27/100)^DCF_Base!$C$4:$L$4)+MAX(0,MIN(IF($A$27&gt;$D$23,DCF_Base!$L$19*(1+$D$23/100)/(($A$27-$D$23)/100),DCF_Base!$L$19*DCF_Base!$B$29),DCF_Base!$L$19*DCF_Base!$B$29))/(1+$A$27/100)^DCF_Base!$L$4+Assumptions!$B$5-Assumptions!$B$4)/Assumptions!$B$3*Assumptions!$B$10</f>
        <v>29.0814686041088</v>
      </c>
      <c r="E27" s="0" t="n">
        <f aca="false">(SUMPRODUCT(DCF_Base!$C$19:$L$19/(1+$A$27/100)^DCF_Base!$C$4:$L$4)+MAX(0,MIN(IF($A$27&gt;$E$23,DCF_Base!$L$19*(1+$E$23/100)/(($A$27-$E$23)/100),DCF_Base!$L$19*DCF_Base!$B$29),DCF_Base!$L$19*DCF_Base!$B$29))/(1+$A$27/100)^DCF_Base!$L$4+Assumptions!$B$5-Assumptions!$B$4)/Assumptions!$B$3*Assumptions!$B$10</f>
        <v>29.7905507765278</v>
      </c>
      <c r="F27" s="0" t="n">
        <f aca="false">(SUMPRODUCT(DCF_Base!$C$19:$L$19/(1+$A$27/100)^DCF_Base!$C$4:$L$4)+MAX(0,MIN(IF($A$27&gt;$F$23,DCF_Base!$L$19*(1+$F$23/100)/(($A$27-$F$23)/100),DCF_Base!$L$19*DCF_Base!$B$29),DCF_Base!$L$19*DCF_Base!$B$29))/(1+$A$27/100)^DCF_Base!$L$4+Assumptions!$B$5-Assumptions!$B$4)/Assumptions!$B$3*Assumptions!$B$10</f>
        <v>30.5845529695957</v>
      </c>
    </row>
    <row r="28" customFormat="false" ht="15" hidden="false" customHeight="false" outlineLevel="0" collapsed="false">
      <c r="A28" s="3" t="n">
        <v>12.75</v>
      </c>
      <c r="B28" s="0" t="n">
        <f aca="false">(SUMPRODUCT(DCF_Base!$C$19:$L$19/(1+$A$28/100)^DCF_Base!$C$4:$L$4)+MAX(0,MIN(IF($A$28&gt;$B$23,DCF_Base!$L$19*(1+$B$23/100)/(($A$28-$B$23)/100),DCF_Base!$L$19*DCF_Base!$B$29),DCF_Base!$L$19*DCF_Base!$B$29))/(1+$A$28/100)^DCF_Base!$L$4+Assumptions!$B$5-Assumptions!$B$4)/Assumptions!$B$3*Assumptions!$B$10</f>
        <v>25.462244578857</v>
      </c>
      <c r="C28" s="0" t="n">
        <f aca="false">(SUMPRODUCT(DCF_Base!$C$19:$L$19/(1+$A$28/100)^DCF_Base!$C$4:$L$4)+MAX(0,MIN(IF($A$28&gt;$C$23,DCF_Base!$L$19*(1+$C$23/100)/(($A$28-$C$23)/100),DCF_Base!$L$19*DCF_Base!$B$29),DCF_Base!$L$19*DCF_Base!$B$29))/(1+$A$28/100)^DCF_Base!$L$4+Assumptions!$B$5-Assumptions!$B$4)/Assumptions!$B$3*Assumptions!$B$10</f>
        <v>25.901993395774</v>
      </c>
      <c r="D28" s="0" t="n">
        <f aca="false">(SUMPRODUCT(DCF_Base!$C$19:$L$19/(1+$A$28/100)^DCF_Base!$C$4:$L$4)+MAX(0,MIN(IF($A$28&gt;$D$23,DCF_Base!$L$19*(1+$D$23/100)/(($A$28-$D$23)/100),DCF_Base!$L$19*DCF_Base!$B$29),DCF_Base!$L$19*DCF_Base!$B$29))/(1+$A$28/100)^DCF_Base!$L$4+Assumptions!$B$5-Assumptions!$B$4)/Assumptions!$B$3*Assumptions!$B$10</f>
        <v>26.3842300210888</v>
      </c>
      <c r="E28" s="0" t="n">
        <f aca="false">(SUMPRODUCT(DCF_Base!$C$19:$L$19/(1+$A$28/100)^DCF_Base!$C$4:$L$4)+MAX(0,MIN(IF($A$28&gt;$E$23,DCF_Base!$L$19*(1+$E$23/100)/(($A$28-$E$23)/100),DCF_Base!$L$19*DCF_Base!$B$29),DCF_Base!$L$19*DCF_Base!$B$29))/(1+$A$28/100)^DCF_Base!$L$4+Assumptions!$B$5-Assumptions!$B$4)/Assumptions!$B$3*Assumptions!$B$10</f>
        <v>26.9154246794304</v>
      </c>
      <c r="F28" s="0" t="n">
        <f aca="false">(SUMPRODUCT(DCF_Base!$C$19:$L$19/(1+$A$28/100)^DCF_Base!$C$4:$L$4)+MAX(0,MIN(IF($A$28&gt;$F$23,DCF_Base!$L$19*(1+$F$23/100)/(($A$28-$F$23)/100),DCF_Base!$L$19*DCF_Base!$B$29),DCF_Base!$L$19*DCF_Base!$B$29))/(1+$A$28/100)^DCF_Base!$L$4+Assumptions!$B$5-Assumptions!$B$4)/Assumptions!$B$3*Assumptions!$B$10</f>
        <v>27.5034316006963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2026-10-24T17:38:12Z</dcterms:created>
  <dc:creator>openpyxl</dc:creator>
  <dc:description/>
  <dc:language>en-NZ</dc:language>
  <cp:lastModifiedBy/>
  <dcterms:modified xsi:type="dcterms:W3CDTF">2026-10-24T17:38:12Z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