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F Model" sheetId="1" state="visible" r:id="rId1"/>
    <sheet xmlns:r="http://schemas.openxmlformats.org/officeDocument/2006/relationships" name="Sensitivity" sheetId="2" state="visible" r:id="rId2"/>
    <sheet xmlns:r="http://schemas.openxmlformats.org/officeDocument/2006/relationships" name="FCF Quality" sheetId="3" state="visible" r:id="rId3"/>
    <sheet xmlns:r="http://schemas.openxmlformats.org/officeDocument/2006/relationships" name="Historical" sheetId="4" state="visible" r:id="rId4"/>
    <sheet xmlns:r="http://schemas.openxmlformats.org/officeDocument/2006/relationships" name="Model_Info"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quot;$&quot;#,##0.00"/>
  </numFmts>
  <fonts count="6">
    <font>
      <name val="Calibri"/>
      <family val="2"/>
      <color theme="1"/>
      <sz val="11"/>
      <scheme val="minor"/>
    </font>
    <font>
      <b val="1"/>
      <sz val="16"/>
    </font>
    <font>
      <i val="1"/>
      <color rgb="00808080"/>
    </font>
    <font>
      <b val="1"/>
      <sz val="12"/>
    </font>
    <font>
      <b val="1"/>
      <color rgb="00FFFFFF"/>
    </font>
    <font>
      <b val="1"/>
    </font>
  </fonts>
  <fills count="5">
    <fill>
      <patternFill/>
    </fill>
    <fill>
      <patternFill patternType="gray125"/>
    </fill>
    <fill>
      <patternFill patternType="solid">
        <fgColor rgb="00DFE6E9"/>
        <bgColor rgb="00DFE6E9"/>
      </patternFill>
    </fill>
    <fill>
      <patternFill patternType="solid">
        <fgColor rgb="002D3436"/>
        <bgColor rgb="002D3436"/>
      </patternFill>
    </fill>
    <fill>
      <patternFill patternType="solid">
        <fgColor rgb="0000B894"/>
        <bgColor rgb="0000B894"/>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4" fontId="0" fillId="2" borderId="1" pivotButton="0" quotePrefix="0" xfId="0"/>
    <xf numFmtId="4" fontId="0" fillId="0" borderId="1" pivotButton="0" quotePrefix="0" xfId="0"/>
    <xf numFmtId="164" fontId="0" fillId="2" borderId="1" pivotButton="0" quotePrefix="0" xfId="0"/>
    <xf numFmtId="165" fontId="0" fillId="2" borderId="1" pivotButton="0" quotePrefix="0" xfId="0"/>
    <xf numFmtId="0" fontId="0" fillId="3" borderId="0" pivotButton="0" quotePrefix="0" xfId="0"/>
    <xf numFmtId="0" fontId="4" fillId="3" borderId="1" pivotButton="0" quotePrefix="0" xfId="0"/>
    <xf numFmtId="0" fontId="5" fillId="0" borderId="0" pivotButton="0" quotePrefix="0" xfId="0"/>
    <xf numFmtId="4" fontId="5" fillId="0" borderId="1" pivotButton="0" quotePrefix="0" xfId="0"/>
    <xf numFmtId="164" fontId="0" fillId="0" borderId="1" pivotButton="0" quotePrefix="0" xfId="0"/>
    <xf numFmtId="166" fontId="0" fillId="0" borderId="1" pivotButton="0" quotePrefix="0" xfId="0"/>
    <xf numFmtId="167" fontId="4" fillId="4" borderId="1" pivotButton="0" quotePrefix="0" xfId="0"/>
    <xf numFmtId="164" fontId="4" fillId="3" borderId="1" pivotButton="0" quotePrefix="0" xfId="0"/>
    <xf numFmtId="167" fontId="0" fillId="0" borderId="1"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BGP.NZ DCF Valuation Model - Briscoe Group Limited</t>
        </is>
      </c>
    </row>
    <row r="2">
      <c r="A2" s="2" t="inlineStr">
        <is>
          <t>Gray cells are INPUTS - adjust to see valuation change. IFRS-16: lease principal deducted from FCF; net debt is CASH-ONLY (zero bank debt).</t>
        </is>
      </c>
    </row>
    <row r="4">
      <c r="A4" s="3" t="inlineStr">
        <is>
          <t>KEY INPUTS</t>
        </is>
      </c>
    </row>
    <row r="5">
      <c r="A5" t="inlineStr">
        <is>
          <t>Current Stock Price (NZ$)</t>
        </is>
      </c>
      <c r="B5" s="4" t="n">
        <v>4.6</v>
      </c>
    </row>
    <row r="6">
      <c r="A6" t="inlineStr">
        <is>
          <t>Shares Outstanding (M)</t>
        </is>
      </c>
      <c r="B6" s="4" t="n">
        <v>222.79</v>
      </c>
    </row>
    <row r="7">
      <c r="A7" t="inlineStr">
        <is>
          <t>Cash &amp; Equivalents (M)</t>
        </is>
      </c>
      <c r="B7" s="4" t="n">
        <v>130.325</v>
      </c>
    </row>
    <row r="8">
      <c r="A8" t="inlineStr">
        <is>
          <t>Bank Debt (M)</t>
        </is>
      </c>
      <c r="B8" s="4" t="n">
        <v>0</v>
      </c>
    </row>
    <row r="9">
      <c r="A9" t="inlineStr">
        <is>
          <t>Net Debt (cash-only basis, M)</t>
        </is>
      </c>
      <c r="B9" s="5">
        <f>B8-B7</f>
        <v/>
      </c>
    </row>
    <row r="10">
      <c r="A10" t="inlineStr">
        <is>
          <t>Reported FCF FY2026 (M)</t>
        </is>
      </c>
      <c r="B10" s="4" t="n">
        <v>51.965</v>
      </c>
    </row>
    <row r="11">
      <c r="A11" t="inlineStr">
        <is>
          <t>Less: Lease Principal Repayments (M)</t>
        </is>
      </c>
      <c r="B11" s="4" t="n">
        <v>19.447</v>
      </c>
    </row>
    <row r="12">
      <c r="A12" t="inlineStr">
        <is>
          <t>Less: Interest Income (M)</t>
        </is>
      </c>
      <c r="B12" s="4" t="n">
        <v>2.971</v>
      </c>
    </row>
    <row r="13">
      <c r="A13" t="inlineStr">
        <is>
          <t>Owner FCF FY2026 (M, DC-capex depressed)</t>
        </is>
      </c>
      <c r="B13" s="5">
        <f>B10-B11-B12</f>
        <v/>
      </c>
    </row>
    <row r="14">
      <c r="A14" t="inlineStr">
        <is>
          <t>Annual Share Growth (dilution)</t>
        </is>
      </c>
      <c r="B14" s="6" t="n">
        <v>0</v>
      </c>
    </row>
    <row r="16">
      <c r="A16" t="inlineStr">
        <is>
          <t>WACC</t>
        </is>
      </c>
      <c r="B16" s="6" t="n">
        <v>0.105</v>
      </c>
    </row>
    <row r="17">
      <c r="A17" t="inlineStr">
        <is>
          <t>Terminal Growth Rate</t>
        </is>
      </c>
      <c r="B17" s="6" t="n">
        <v>0.025</v>
      </c>
    </row>
    <row r="18">
      <c r="A18" t="inlineStr">
        <is>
          <t>Terminal Cap Multiple (x)</t>
        </is>
      </c>
      <c r="B18" s="7" t="n">
        <v>14</v>
      </c>
    </row>
    <row r="20">
      <c r="A20" s="3" t="inlineStr">
        <is>
          <t>COMPONENT ASSUMPTIONS (BASE CASE)</t>
        </is>
      </c>
    </row>
    <row r="21">
      <c r="A21" s="8" t="inlineStr"/>
      <c r="B21" s="9" t="inlineStr">
        <is>
          <t>FY2027</t>
        </is>
      </c>
      <c r="C21" s="9" t="inlineStr">
        <is>
          <t>FY2028</t>
        </is>
      </c>
      <c r="D21" s="9" t="inlineStr">
        <is>
          <t>FY2029</t>
        </is>
      </c>
      <c r="E21" s="9" t="inlineStr">
        <is>
          <t>FY2030</t>
        </is>
      </c>
      <c r="F21" s="9" t="inlineStr">
        <is>
          <t>FY2031</t>
        </is>
      </c>
    </row>
    <row r="22">
      <c r="A22" t="inlineStr">
        <is>
          <t>Revenue Growth %</t>
        </is>
      </c>
      <c r="B22" s="6" t="n">
        <v>0.01</v>
      </c>
      <c r="C22" s="6" t="n">
        <v>0.015</v>
      </c>
      <c r="D22" s="6" t="n">
        <v>0.02</v>
      </c>
      <c r="E22" s="6" t="n">
        <v>0.025</v>
      </c>
      <c r="F22" s="6" t="n">
        <v>0.025</v>
      </c>
    </row>
    <row r="23">
      <c r="A23" t="inlineStr">
        <is>
          <t>EBITDA Margin %</t>
        </is>
      </c>
      <c r="B23" s="6" t="n">
        <v>0.168</v>
      </c>
      <c r="C23" s="6" t="n">
        <v>0.173</v>
      </c>
      <c r="D23" s="6" t="n">
        <v>0.179</v>
      </c>
      <c r="E23" s="6" t="n">
        <v>0.184</v>
      </c>
      <c r="F23" s="6" t="n">
        <v>0.19</v>
      </c>
    </row>
    <row r="24">
      <c r="A24" t="inlineStr">
        <is>
          <t>SBC % of Revenue</t>
        </is>
      </c>
      <c r="B24" s="6" t="n">
        <v>0.0007000000000000001</v>
      </c>
      <c r="C24" s="6" t="n">
        <v>0.0007000000000000001</v>
      </c>
      <c r="D24" s="6" t="n">
        <v>0.0007000000000000001</v>
      </c>
      <c r="E24" s="6" t="n">
        <v>0.0007000000000000001</v>
      </c>
      <c r="F24" s="6" t="n">
        <v>0.0007000000000000001</v>
      </c>
    </row>
    <row r="25">
      <c r="A25" t="inlineStr">
        <is>
          <t>D&amp;A % of Revenue</t>
        </is>
      </c>
      <c r="B25" s="6" t="n">
        <v>0.046</v>
      </c>
      <c r="C25" s="6" t="n">
        <v>0.047</v>
      </c>
      <c r="D25" s="6" t="n">
        <v>0.047</v>
      </c>
      <c r="E25" s="6" t="n">
        <v>0.046</v>
      </c>
      <c r="F25" s="6" t="n">
        <v>0.046</v>
      </c>
    </row>
    <row r="26">
      <c r="A26" t="inlineStr">
        <is>
          <t>Cash Tax Rate %</t>
        </is>
      </c>
      <c r="B26" s="6" t="n">
        <v>0.28</v>
      </c>
      <c r="C26" s="6" t="n">
        <v>0.28</v>
      </c>
      <c r="D26" s="6" t="n">
        <v>0.28</v>
      </c>
      <c r="E26" s="6" t="n">
        <v>0.28</v>
      </c>
      <c r="F26" s="6" t="n">
        <v>0.28</v>
      </c>
    </row>
    <row r="27">
      <c r="A27" t="inlineStr">
        <is>
          <t>Capex (M)</t>
        </is>
      </c>
      <c r="B27" s="4" t="n">
        <v>57</v>
      </c>
      <c r="C27" s="4" t="n">
        <v>32</v>
      </c>
      <c r="D27" s="4" t="n">
        <v>20</v>
      </c>
      <c r="E27" s="4" t="n">
        <v>18</v>
      </c>
      <c r="F27" s="4" t="n">
        <v>18</v>
      </c>
    </row>
    <row r="28">
      <c r="A28" t="inlineStr">
        <is>
          <t>Lease Principal Repayments (M)</t>
        </is>
      </c>
      <c r="B28" s="4" t="n">
        <v>20</v>
      </c>
      <c r="C28" s="4" t="n">
        <v>20.5</v>
      </c>
      <c r="D28" s="4" t="n">
        <v>21</v>
      </c>
      <c r="E28" s="4" t="n">
        <v>21.5</v>
      </c>
      <c r="F28" s="4" t="n">
        <v>22</v>
      </c>
    </row>
    <row r="29">
      <c r="A29" t="inlineStr">
        <is>
          <t>WC Capture % of Revenue Change</t>
        </is>
      </c>
      <c r="B29" s="6" t="n">
        <v>-0.1</v>
      </c>
    </row>
    <row r="31">
      <c r="A31" s="3" t="inlineStr">
        <is>
          <t>PROJECTIONS (FORMULAS)</t>
        </is>
      </c>
    </row>
    <row r="32">
      <c r="A32" t="inlineStr"/>
      <c r="B32" s="9" t="inlineStr">
        <is>
          <t>FY2027</t>
        </is>
      </c>
      <c r="C32" s="9" t="inlineStr">
        <is>
          <t>FY2028</t>
        </is>
      </c>
      <c r="D32" s="9" t="inlineStr">
        <is>
          <t>FY2029</t>
        </is>
      </c>
      <c r="E32" s="9" t="inlineStr">
        <is>
          <t>FY2030</t>
        </is>
      </c>
      <c r="F32" s="9" t="inlineStr">
        <is>
          <t>FY2031</t>
        </is>
      </c>
    </row>
    <row r="33">
      <c r="A33" t="inlineStr">
        <is>
          <t>Revenue</t>
        </is>
      </c>
      <c r="B33" s="5">
        <f>798.831*(1+B22)</f>
        <v/>
      </c>
      <c r="C33" s="5">
        <f>B33*(1+C22)</f>
        <v/>
      </c>
      <c r="D33" s="5">
        <f>C33*(1+D22)</f>
        <v/>
      </c>
      <c r="E33" s="5">
        <f>D33*(1+E22)</f>
        <v/>
      </c>
      <c r="F33" s="5">
        <f>E33*(1+F22)</f>
        <v/>
      </c>
    </row>
    <row r="34">
      <c r="A34" t="inlineStr">
        <is>
          <t>EBITDA</t>
        </is>
      </c>
      <c r="B34" s="5">
        <f>B33*B23</f>
        <v/>
      </c>
      <c r="C34" s="5">
        <f>C33*C23</f>
        <v/>
      </c>
      <c r="D34" s="5">
        <f>D33*D23</f>
        <v/>
      </c>
      <c r="E34" s="5">
        <f>E33*E23</f>
        <v/>
      </c>
      <c r="F34" s="5">
        <f>F33*F23</f>
        <v/>
      </c>
    </row>
    <row r="35">
      <c r="A35" t="inlineStr">
        <is>
          <t>SBC</t>
        </is>
      </c>
      <c r="B35" s="5">
        <f>B33*B24</f>
        <v/>
      </c>
      <c r="C35" s="5">
        <f>C33*C24</f>
        <v/>
      </c>
      <c r="D35" s="5">
        <f>D33*D24</f>
        <v/>
      </c>
      <c r="E35" s="5">
        <f>E33*E24</f>
        <v/>
      </c>
      <c r="F35" s="5">
        <f>F33*F24</f>
        <v/>
      </c>
    </row>
    <row r="36">
      <c r="A36" t="inlineStr">
        <is>
          <t>Owner EBITDA</t>
        </is>
      </c>
      <c r="B36" s="5">
        <f>B34-B35</f>
        <v/>
      </c>
      <c r="C36" s="5">
        <f>C34-C35</f>
        <v/>
      </c>
      <c r="D36" s="5">
        <f>D34-D35</f>
        <v/>
      </c>
      <c r="E36" s="5">
        <f>E34-E35</f>
        <v/>
      </c>
      <c r="F36" s="5">
        <f>F34-F35</f>
        <v/>
      </c>
    </row>
    <row r="37">
      <c r="A37" t="inlineStr">
        <is>
          <t>D&amp;A</t>
        </is>
      </c>
      <c r="B37" s="5">
        <f>B33*B25</f>
        <v/>
      </c>
      <c r="C37" s="5">
        <f>C33*C25</f>
        <v/>
      </c>
      <c r="D37" s="5">
        <f>D33*D25</f>
        <v/>
      </c>
      <c r="E37" s="5">
        <f>E33*E25</f>
        <v/>
      </c>
      <c r="F37" s="5">
        <f>F33*F25</f>
        <v/>
      </c>
    </row>
    <row r="38">
      <c r="A38" t="inlineStr">
        <is>
          <t>EBIT</t>
        </is>
      </c>
      <c r="B38" s="5">
        <f>B36-B37</f>
        <v/>
      </c>
      <c r="C38" s="5">
        <f>C36-C37</f>
        <v/>
      </c>
      <c r="D38" s="5">
        <f>D36-D37</f>
        <v/>
      </c>
      <c r="E38" s="5">
        <f>E36-E37</f>
        <v/>
      </c>
      <c r="F38" s="5">
        <f>F36-F37</f>
        <v/>
      </c>
    </row>
    <row r="39">
      <c r="A39" t="inlineStr">
        <is>
          <t>NOPAT</t>
        </is>
      </c>
      <c r="B39" s="5">
        <f>B38*(1-B26)</f>
        <v/>
      </c>
      <c r="C39" s="5">
        <f>C38*(1-C26)</f>
        <v/>
      </c>
      <c r="D39" s="5">
        <f>D38*(1-D26)</f>
        <v/>
      </c>
      <c r="E39" s="5">
        <f>E38*(1-E26)</f>
        <v/>
      </c>
      <c r="F39" s="5">
        <f>F38*(1-F26)</f>
        <v/>
      </c>
    </row>
    <row r="40">
      <c r="A40" t="inlineStr">
        <is>
          <t>Capex</t>
        </is>
      </c>
      <c r="B40" s="5">
        <f>B27</f>
        <v/>
      </c>
      <c r="C40" s="5">
        <f>C27</f>
        <v/>
      </c>
      <c r="D40" s="5">
        <f>D27</f>
        <v/>
      </c>
      <c r="E40" s="5">
        <f>E27</f>
        <v/>
      </c>
      <c r="F40" s="5">
        <f>F27</f>
        <v/>
      </c>
    </row>
    <row r="41">
      <c r="A41" t="inlineStr">
        <is>
          <t>Lease Principal Repayments</t>
        </is>
      </c>
      <c r="B41" s="5">
        <f>B28</f>
        <v/>
      </c>
      <c r="C41" s="5">
        <f>C28</f>
        <v/>
      </c>
      <c r="D41" s="5">
        <f>D28</f>
        <v/>
      </c>
      <c r="E41" s="5">
        <f>E28</f>
        <v/>
      </c>
      <c r="F41" s="5">
        <f>F28</f>
        <v/>
      </c>
    </row>
    <row r="42">
      <c r="A42" t="inlineStr">
        <is>
          <t>Working Capital (change in revenue x capture)</t>
        </is>
      </c>
      <c r="B42" s="5">
        <f>(B33-798.831)*$B$29</f>
        <v/>
      </c>
      <c r="C42" s="5">
        <f>(C33-B33)*$B$29</f>
        <v/>
      </c>
      <c r="D42" s="5">
        <f>(D33-C33)*$B$29</f>
        <v/>
      </c>
      <c r="E42" s="5">
        <f>(E33-D33)*$B$29</f>
        <v/>
      </c>
      <c r="F42" s="5">
        <f>(F33-E33)*$B$29</f>
        <v/>
      </c>
    </row>
    <row r="43">
      <c r="A43" s="10" t="inlineStr">
        <is>
          <t>Owner FCF</t>
        </is>
      </c>
      <c r="B43" s="11">
        <f>B39+B37-B40-B41+B42</f>
        <v/>
      </c>
      <c r="C43" s="11">
        <f>C39+C37-C40-C41+C42</f>
        <v/>
      </c>
      <c r="D43" s="11">
        <f>D39+D37-D40-D41+D42</f>
        <v/>
      </c>
      <c r="E43" s="11">
        <f>E39+E37-E40-E41+E42</f>
        <v/>
      </c>
      <c r="F43" s="11">
        <f>F39+F37-F40-F41+F42</f>
        <v/>
      </c>
    </row>
    <row r="44">
      <c r="A44" t="inlineStr">
        <is>
          <t>Owner FCF Margin %</t>
        </is>
      </c>
      <c r="B44" s="12">
        <f>B43/B33</f>
        <v/>
      </c>
      <c r="C44" s="12">
        <f>C43/C33</f>
        <v/>
      </c>
      <c r="D44" s="12">
        <f>D43/D33</f>
        <v/>
      </c>
      <c r="E44" s="12">
        <f>E43/E33</f>
        <v/>
      </c>
      <c r="F44" s="12">
        <f>F43/F33</f>
        <v/>
      </c>
    </row>
    <row r="45">
      <c r="A45" t="inlineStr">
        <is>
          <t>Discount Factor</t>
        </is>
      </c>
      <c r="B45" s="13">
        <f>1/(1+$B$16)^1</f>
        <v/>
      </c>
      <c r="C45" s="13">
        <f>1/(1+$B$16)^2</f>
        <v/>
      </c>
      <c r="D45" s="13">
        <f>1/(1+$B$16)^3</f>
        <v/>
      </c>
      <c r="E45" s="13">
        <f>1/(1+$B$16)^4</f>
        <v/>
      </c>
      <c r="F45" s="13">
        <f>1/(1+$B$16)^5</f>
        <v/>
      </c>
    </row>
    <row r="46">
      <c r="A46" t="inlineStr">
        <is>
          <t>PV of FCF</t>
        </is>
      </c>
      <c r="B46" s="5">
        <f>B43*B45</f>
        <v/>
      </c>
      <c r="C46" s="5">
        <f>C43*C45</f>
        <v/>
      </c>
      <c r="D46" s="5">
        <f>D43*D45</f>
        <v/>
      </c>
      <c r="E46" s="5">
        <f>E43*E45</f>
        <v/>
      </c>
      <c r="F46" s="5">
        <f>F43*F45</f>
        <v/>
      </c>
    </row>
    <row r="48">
      <c r="A48" s="3" t="inlineStr">
        <is>
          <t>VALUATION</t>
        </is>
      </c>
    </row>
    <row r="49">
      <c r="A49" t="inlineStr">
        <is>
          <t>Sum of PV of FCF</t>
        </is>
      </c>
      <c r="B49" s="5">
        <f>SUM(B46:F46)</f>
        <v/>
      </c>
    </row>
    <row r="50">
      <c r="A50" t="inlineStr">
        <is>
          <t>Terminal FCF (Year5 x (1+g))</t>
        </is>
      </c>
      <c r="B50" s="5">
        <f>F43*(1+$B$17)</f>
        <v/>
      </c>
    </row>
    <row r="51">
      <c r="A51" t="inlineStr">
        <is>
          <t>Gordon Terminal Value</t>
        </is>
      </c>
      <c r="B51" s="5">
        <f>B50/($B$16-$B$17)</f>
        <v/>
      </c>
    </row>
    <row r="52">
      <c r="A52" t="inlineStr">
        <is>
          <t>Cap Terminal Value (multiple x Year5 FCF)</t>
        </is>
      </c>
      <c r="B52" s="5">
        <f>$B$18*F43</f>
        <v/>
      </c>
    </row>
    <row r="53">
      <c r="A53" t="inlineStr">
        <is>
          <t>Terminal Value (lower of Gordon/Cap)</t>
        </is>
      </c>
      <c r="B53" s="5">
        <f>MIN(B51,B52)</f>
        <v/>
      </c>
    </row>
    <row r="54">
      <c r="A54" t="inlineStr">
        <is>
          <t>PV of Terminal Value</t>
        </is>
      </c>
      <c r="B54" s="5">
        <f>B53*F45</f>
        <v/>
      </c>
    </row>
    <row r="55">
      <c r="A55" t="inlineStr">
        <is>
          <t>Enterprise Value</t>
        </is>
      </c>
      <c r="B55" s="5">
        <f>B49+B54</f>
        <v/>
      </c>
    </row>
    <row r="56">
      <c r="A56" t="inlineStr">
        <is>
          <t>Less: Net Debt (cash-only)</t>
        </is>
      </c>
      <c r="B56" s="5">
        <f>B9</f>
        <v/>
      </c>
    </row>
    <row r="57">
      <c r="A57" t="inlineStr">
        <is>
          <t>Equity Value</t>
        </is>
      </c>
      <c r="B57" s="5">
        <f>B55-B56</f>
        <v/>
      </c>
    </row>
    <row r="58">
      <c r="A58" t="inlineStr">
        <is>
          <t>Year-5 Shares Outstanding (M)</t>
        </is>
      </c>
      <c r="B58" s="5">
        <f>$B$6*(1+$B$14)^5</f>
        <v/>
      </c>
    </row>
    <row r="59">
      <c r="A59" s="10" t="inlineStr">
        <is>
          <t>INTRINSIC VALUE/SHARE</t>
        </is>
      </c>
      <c r="B59" s="14">
        <f>B57/B58</f>
        <v/>
      </c>
    </row>
    <row r="61">
      <c r="A61" s="3" t="inlineStr">
        <is>
          <t>ENTRY PRICE (15% IRR Target)</t>
        </is>
      </c>
    </row>
    <row r="62">
      <c r="A62" t="inlineStr">
        <is>
          <t>PV of Yrs 1-5 FCF @15%</t>
        </is>
      </c>
      <c r="B62" s="5">
        <f>NPV(0.15,B43:F43)</f>
        <v/>
      </c>
    </row>
    <row r="63">
      <c r="A63" t="inlineStr">
        <is>
          <t>PV of Terminal Value @15%</t>
        </is>
      </c>
      <c r="B63" s="5">
        <f>B53/(1.15^5)</f>
        <v/>
      </c>
    </row>
    <row r="64">
      <c r="A64" t="inlineStr">
        <is>
          <t>Less: Net Debt</t>
        </is>
      </c>
      <c r="B64" s="5">
        <f>B9</f>
        <v/>
      </c>
    </row>
    <row r="65">
      <c r="A65" t="inlineStr">
        <is>
          <t>Entry Price (15% IRR)</t>
        </is>
      </c>
      <c r="B65" s="14">
        <f>(B62+B63-B64)/B58</f>
        <v/>
      </c>
    </row>
    <row r="67">
      <c r="A67" t="inlineStr">
        <is>
          <t>Upside to Intrinsic Value</t>
        </is>
      </c>
      <c r="B67" s="12">
        <f>(B59-B5)/B5</f>
        <v/>
      </c>
    </row>
    <row r="68">
      <c r="A68" t="inlineStr">
        <is>
          <t>Discount of Entry Price to Current</t>
        </is>
      </c>
      <c r="B68" s="12">
        <f>(B5-B65)/B5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Sensitivity Analysis</t>
        </is>
      </c>
    </row>
    <row r="2">
      <c r="A2" t="inlineStr">
        <is>
          <t>Intrinsic Value by WACC &amp; Terminal Growth (Base Case FCF path)</t>
        </is>
      </c>
    </row>
    <row r="4">
      <c r="A4" s="9" t="inlineStr">
        <is>
          <t>WACC \ Term G</t>
        </is>
      </c>
      <c r="B4" s="15" t="n">
        <v>0.015</v>
      </c>
      <c r="C4" s="15" t="n">
        <v>0.02</v>
      </c>
      <c r="D4" s="15" t="n">
        <v>0.025</v>
      </c>
      <c r="E4" s="15" t="n">
        <v>0.03</v>
      </c>
      <c r="F4" s="15" t="n">
        <v>0.035</v>
      </c>
    </row>
    <row r="5">
      <c r="A5" s="15" t="n">
        <v>0.08500000000000001</v>
      </c>
      <c r="B5" s="16">
        <f>(SUMPRODUCT('DCF Model'!$B$43:$F$43,(1/(1+0.085)^{1;2;3;4;5}))+MIN('DCF Model'!$F$43*(1+0.015)/(0.085-0.015),14*'DCF Model'!$F$43)/(1+0.085)^5-'DCF Model'!$B$9)/'DCF Model'!$B$58</f>
        <v/>
      </c>
      <c r="C5" s="16">
        <f>(SUMPRODUCT('DCF Model'!$B$43:$F$43,(1/(1+0.085)^{1;2;3;4;5}))+MIN('DCF Model'!$F$43*(1+0.02)/(0.085-0.02),14*'DCF Model'!$F$43)/(1+0.085)^5-'DCF Model'!$B$9)/'DCF Model'!$B$58</f>
        <v/>
      </c>
      <c r="D5" s="16">
        <f>(SUMPRODUCT('DCF Model'!$B$43:$F$43,(1/(1+0.085)^{1;2;3;4;5}))+MIN('DCF Model'!$F$43*(1+0.025)/(0.085-0.025),14*'DCF Model'!$F$43)/(1+0.085)^5-'DCF Model'!$B$9)/'DCF Model'!$B$58</f>
        <v/>
      </c>
      <c r="E5" s="16">
        <f>(SUMPRODUCT('DCF Model'!$B$43:$F$43,(1/(1+0.085)^{1;2;3;4;5}))+MIN('DCF Model'!$F$43*(1+0.03)/(0.085-0.03),14*'DCF Model'!$F$43)/(1+0.085)^5-'DCF Model'!$B$9)/'DCF Model'!$B$58</f>
        <v/>
      </c>
      <c r="F5" s="16">
        <f>(SUMPRODUCT('DCF Model'!$B$43:$F$43,(1/(1+0.085)^{1;2;3;4;5}))+MIN('DCF Model'!$F$43*(1+0.035)/(0.085-0.035),14*'DCF Model'!$F$43)/(1+0.085)^5-'DCF Model'!$B$9)/'DCF Model'!$B$58</f>
        <v/>
      </c>
    </row>
    <row r="6">
      <c r="A6" s="15" t="n">
        <v>0.095</v>
      </c>
      <c r="B6" s="16">
        <f>(SUMPRODUCT('DCF Model'!$B$43:$F$43,(1/(1+0.095)^{1;2;3;4;5}))+MIN('DCF Model'!$F$43*(1+0.015)/(0.095-0.015),14*'DCF Model'!$F$43)/(1+0.095)^5-'DCF Model'!$B$9)/'DCF Model'!$B$58</f>
        <v/>
      </c>
      <c r="C6" s="16">
        <f>(SUMPRODUCT('DCF Model'!$B$43:$F$43,(1/(1+0.095)^{1;2;3;4;5}))+MIN('DCF Model'!$F$43*(1+0.02)/(0.095-0.02),14*'DCF Model'!$F$43)/(1+0.095)^5-'DCF Model'!$B$9)/'DCF Model'!$B$58</f>
        <v/>
      </c>
      <c r="D6" s="16">
        <f>(SUMPRODUCT('DCF Model'!$B$43:$F$43,(1/(1+0.095)^{1;2;3;4;5}))+MIN('DCF Model'!$F$43*(1+0.025)/(0.095-0.025),14*'DCF Model'!$F$43)/(1+0.095)^5-'DCF Model'!$B$9)/'DCF Model'!$B$58</f>
        <v/>
      </c>
      <c r="E6" s="16">
        <f>(SUMPRODUCT('DCF Model'!$B$43:$F$43,(1/(1+0.095)^{1;2;3;4;5}))+MIN('DCF Model'!$F$43*(1+0.03)/(0.095-0.03),14*'DCF Model'!$F$43)/(1+0.095)^5-'DCF Model'!$B$9)/'DCF Model'!$B$58</f>
        <v/>
      </c>
      <c r="F6" s="16">
        <f>(SUMPRODUCT('DCF Model'!$B$43:$F$43,(1/(1+0.095)^{1;2;3;4;5}))+MIN('DCF Model'!$F$43*(1+0.035)/(0.095-0.035),14*'DCF Model'!$F$43)/(1+0.095)^5-'DCF Model'!$B$9)/'DCF Model'!$B$58</f>
        <v/>
      </c>
    </row>
    <row r="7">
      <c r="A7" s="15" t="n">
        <v>0.105</v>
      </c>
      <c r="B7" s="16">
        <f>(SUMPRODUCT('DCF Model'!$B$43:$F$43,(1/(1+0.105)^{1;2;3;4;5}))+MIN('DCF Model'!$F$43*(1+0.015)/(0.105-0.015),14*'DCF Model'!$F$43)/(1+0.105)^5-'DCF Model'!$B$9)/'DCF Model'!$B$58</f>
        <v/>
      </c>
      <c r="C7" s="16">
        <f>(SUMPRODUCT('DCF Model'!$B$43:$F$43,(1/(1+0.105)^{1;2;3;4;5}))+MIN('DCF Model'!$F$43*(1+0.02)/(0.105-0.02),14*'DCF Model'!$F$43)/(1+0.105)^5-'DCF Model'!$B$9)/'DCF Model'!$B$58</f>
        <v/>
      </c>
      <c r="D7" s="16">
        <f>(SUMPRODUCT('DCF Model'!$B$43:$F$43,(1/(1+0.105)^{1;2;3;4;5}))+MIN('DCF Model'!$F$43*(1+0.025)/(0.105-0.025),14*'DCF Model'!$F$43)/(1+0.105)^5-'DCF Model'!$B$9)/'DCF Model'!$B$58</f>
        <v/>
      </c>
      <c r="E7" s="16">
        <f>(SUMPRODUCT('DCF Model'!$B$43:$F$43,(1/(1+0.105)^{1;2;3;4;5}))+MIN('DCF Model'!$F$43*(1+0.03)/(0.105-0.03),14*'DCF Model'!$F$43)/(1+0.105)^5-'DCF Model'!$B$9)/'DCF Model'!$B$58</f>
        <v/>
      </c>
      <c r="F7" s="16">
        <f>(SUMPRODUCT('DCF Model'!$B$43:$F$43,(1/(1+0.105)^{1;2;3;4;5}))+MIN('DCF Model'!$F$43*(1+0.035)/(0.105-0.035),14*'DCF Model'!$F$43)/(1+0.105)^5-'DCF Model'!$B$9)/'DCF Model'!$B$58</f>
        <v/>
      </c>
    </row>
    <row r="8">
      <c r="A8" s="15" t="n">
        <v>0.115</v>
      </c>
      <c r="B8" s="16">
        <f>(SUMPRODUCT('DCF Model'!$B$43:$F$43,(1/(1+0.115)^{1;2;3;4;5}))+MIN('DCF Model'!$F$43*(1+0.015)/(0.115-0.015),14*'DCF Model'!$F$43)/(1+0.115)^5-'DCF Model'!$B$9)/'DCF Model'!$B$58</f>
        <v/>
      </c>
      <c r="C8" s="16">
        <f>(SUMPRODUCT('DCF Model'!$B$43:$F$43,(1/(1+0.115)^{1;2;3;4;5}))+MIN('DCF Model'!$F$43*(1+0.02)/(0.115-0.02),14*'DCF Model'!$F$43)/(1+0.115)^5-'DCF Model'!$B$9)/'DCF Model'!$B$58</f>
        <v/>
      </c>
      <c r="D8" s="16">
        <f>(SUMPRODUCT('DCF Model'!$B$43:$F$43,(1/(1+0.115)^{1;2;3;4;5}))+MIN('DCF Model'!$F$43*(1+0.025)/(0.115-0.025),14*'DCF Model'!$F$43)/(1+0.115)^5-'DCF Model'!$B$9)/'DCF Model'!$B$58</f>
        <v/>
      </c>
      <c r="E8" s="16">
        <f>(SUMPRODUCT('DCF Model'!$B$43:$F$43,(1/(1+0.115)^{1;2;3;4;5}))+MIN('DCF Model'!$F$43*(1+0.03)/(0.115-0.03),14*'DCF Model'!$F$43)/(1+0.115)^5-'DCF Model'!$B$9)/'DCF Model'!$B$58</f>
        <v/>
      </c>
      <c r="F8" s="16">
        <f>(SUMPRODUCT('DCF Model'!$B$43:$F$43,(1/(1+0.115)^{1;2;3;4;5}))+MIN('DCF Model'!$F$43*(1+0.035)/(0.115-0.035),14*'DCF Model'!$F$43)/(1+0.115)^5-'DCF Model'!$B$9)/'DCF Model'!$B$58</f>
        <v/>
      </c>
    </row>
    <row r="9">
      <c r="A9" s="15" t="n">
        <v>0.125</v>
      </c>
      <c r="B9" s="16">
        <f>(SUMPRODUCT('DCF Model'!$B$43:$F$43,(1/(1+0.125)^{1;2;3;4;5}))+MIN('DCF Model'!$F$43*(1+0.015)/(0.125-0.015),14*'DCF Model'!$F$43)/(1+0.125)^5-'DCF Model'!$B$9)/'DCF Model'!$B$58</f>
        <v/>
      </c>
      <c r="C9" s="16">
        <f>(SUMPRODUCT('DCF Model'!$B$43:$F$43,(1/(1+0.125)^{1;2;3;4;5}))+MIN('DCF Model'!$F$43*(1+0.02)/(0.125-0.02),14*'DCF Model'!$F$43)/(1+0.125)^5-'DCF Model'!$B$9)/'DCF Model'!$B$58</f>
        <v/>
      </c>
      <c r="D9" s="16">
        <f>(SUMPRODUCT('DCF Model'!$B$43:$F$43,(1/(1+0.125)^{1;2;3;4;5}))+MIN('DCF Model'!$F$43*(1+0.025)/(0.125-0.025),14*'DCF Model'!$F$43)/(1+0.125)^5-'DCF Model'!$B$9)/'DCF Model'!$B$58</f>
        <v/>
      </c>
      <c r="E9" s="16">
        <f>(SUMPRODUCT('DCF Model'!$B$43:$F$43,(1/(1+0.125)^{1;2;3;4;5}))+MIN('DCF Model'!$F$43*(1+0.03)/(0.125-0.03),14*'DCF Model'!$F$43)/(1+0.125)^5-'DCF Model'!$B$9)/'DCF Model'!$B$58</f>
        <v/>
      </c>
      <c r="F9" s="16">
        <f>(SUMPRODUCT('DCF Model'!$B$43:$F$43,(1/(1+0.125)^{1;2;3;4;5}))+MIN('DCF Model'!$F$43*(1+0.035)/(0.125-0.035),14*'DCF Model'!$F$43)/(1+0.125)^5-'DCF Model'!$B$9)/'DCF Model'!$B$58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FCF Quality Reconciliation</t>
        </is>
      </c>
    </row>
    <row r="2">
      <c r="A2" t="inlineStr">
        <is>
          <t>Reported FCF -&gt; Owner FCF, historical (IFRS-16 lease principal + interest income deducted)</t>
        </is>
      </c>
    </row>
    <row r="4">
      <c r="A4" t="inlineStr"/>
      <c r="B4" s="9" t="inlineStr">
        <is>
          <t>FY2020</t>
        </is>
      </c>
      <c r="C4" s="9" t="inlineStr">
        <is>
          <t>FY2021</t>
        </is>
      </c>
      <c r="D4" s="9" t="inlineStr">
        <is>
          <t>FY2022</t>
        </is>
      </c>
      <c r="E4" s="9" t="inlineStr">
        <is>
          <t>FY2023</t>
        </is>
      </c>
      <c r="F4" s="9" t="inlineStr">
        <is>
          <t>FY2024</t>
        </is>
      </c>
      <c r="G4" s="9" t="inlineStr">
        <is>
          <t>FY2025</t>
        </is>
      </c>
      <c r="H4" s="9" t="inlineStr">
        <is>
          <t>FY2026</t>
        </is>
      </c>
    </row>
    <row r="5">
      <c r="A5" t="inlineStr">
        <is>
          <t>Reported FCF (OCF - capex)</t>
        </is>
      </c>
      <c r="B5" s="5" t="n">
        <v>60.33</v>
      </c>
      <c r="C5" s="5" t="n">
        <v>79.137</v>
      </c>
      <c r="D5" s="5" t="n">
        <v>76.599</v>
      </c>
      <c r="E5" s="5" t="n">
        <v>127.961</v>
      </c>
      <c r="F5" s="5" t="n">
        <v>108.247</v>
      </c>
      <c r="G5" s="5" t="n">
        <v>51.541</v>
      </c>
      <c r="H5" s="5" t="n">
        <v>51.965</v>
      </c>
    </row>
    <row r="6">
      <c r="A6" t="inlineStr">
        <is>
          <t>Less: Lease Principal Repayments</t>
        </is>
      </c>
      <c r="B6" s="5" t="n">
        <v>16.264</v>
      </c>
      <c r="C6" s="5" t="n">
        <v>15.588</v>
      </c>
      <c r="D6" s="5" t="n">
        <v>19.159</v>
      </c>
      <c r="E6" s="5" t="n">
        <v>19.065</v>
      </c>
      <c r="F6" s="5" t="n">
        <v>19.389</v>
      </c>
      <c r="G6" s="5" t="n">
        <v>20.064</v>
      </c>
      <c r="H6" s="5" t="n">
        <v>19.447</v>
      </c>
    </row>
    <row r="7">
      <c r="A7" t="inlineStr">
        <is>
          <t>Less: Interest Income</t>
        </is>
      </c>
      <c r="B7" s="5" t="n">
        <v>0.724</v>
      </c>
      <c r="C7" s="5" t="n">
        <v>0.421</v>
      </c>
      <c r="D7" s="5" t="n">
        <v>0.399</v>
      </c>
      <c r="E7" s="5" t="n">
        <v>2.495</v>
      </c>
      <c r="F7" s="5" t="n">
        <v>6.209</v>
      </c>
      <c r="G7" s="5" t="n">
        <v>6.127</v>
      </c>
      <c r="H7" s="5" t="n">
        <v>2.971</v>
      </c>
    </row>
    <row r="8">
      <c r="A8" s="10" t="inlineStr">
        <is>
          <t>Owner FCF</t>
        </is>
      </c>
      <c r="B8" s="11">
        <f>B5-B6-B7</f>
        <v/>
      </c>
      <c r="C8" s="11">
        <f>C5-C6-C7</f>
        <v/>
      </c>
      <c r="D8" s="11">
        <f>D5-D6-D7</f>
        <v/>
      </c>
      <c r="E8" s="11">
        <f>E5-E6-E7</f>
        <v/>
      </c>
      <c r="F8" s="11">
        <f>F5-F6-F7</f>
        <v/>
      </c>
      <c r="G8" s="11">
        <f>G5-G6-G7</f>
        <v/>
      </c>
      <c r="H8" s="11">
        <f>H5-H6-H7</f>
        <v/>
      </c>
    </row>
    <row r="9">
      <c r="A9" t="inlineStr">
        <is>
          <t>Revenue</t>
        </is>
      </c>
      <c r="B9" s="5" t="n">
        <v>653.0170000000001</v>
      </c>
      <c r="C9" s="5" t="n">
        <v>701.797</v>
      </c>
      <c r="D9" s="5" t="n">
        <v>744.45</v>
      </c>
      <c r="E9" s="5" t="n">
        <v>785.854</v>
      </c>
      <c r="F9" s="5" t="n">
        <v>791.953</v>
      </c>
      <c r="G9" s="5" t="n">
        <v>791.4690000000001</v>
      </c>
      <c r="H9" s="5" t="n">
        <v>798.831</v>
      </c>
    </row>
    <row r="10">
      <c r="A10" t="inlineStr">
        <is>
          <t>Reported FCF Margin %</t>
        </is>
      </c>
      <c r="B10" s="12">
        <f>B5/B9</f>
        <v/>
      </c>
      <c r="C10" s="12">
        <f>C5/C9</f>
        <v/>
      </c>
      <c r="D10" s="12">
        <f>D5/D9</f>
        <v/>
      </c>
      <c r="E10" s="12">
        <f>E5/E9</f>
        <v/>
      </c>
      <c r="F10" s="12">
        <f>F5/F9</f>
        <v/>
      </c>
      <c r="G10" s="12">
        <f>G5/G9</f>
        <v/>
      </c>
      <c r="H10" s="12">
        <f>H5/H9</f>
        <v/>
      </c>
    </row>
    <row r="11">
      <c r="A11" t="inlineStr">
        <is>
          <t>Owner FCF Margin %</t>
        </is>
      </c>
      <c r="B11" s="12">
        <f>B8/B9</f>
        <v/>
      </c>
      <c r="C11" s="12">
        <f>C8/C9</f>
        <v/>
      </c>
      <c r="D11" s="12">
        <f>D8/D9</f>
        <v/>
      </c>
      <c r="E11" s="12">
        <f>E8/E9</f>
        <v/>
      </c>
      <c r="F11" s="12">
        <f>F8/F9</f>
        <v/>
      </c>
      <c r="G11" s="12">
        <f>G8/G9</f>
        <v/>
      </c>
      <c r="H11" s="12">
        <f>H8/H9</f>
        <v/>
      </c>
    </row>
    <row r="13">
      <c r="A13" t="inlineStr">
        <is>
          <t>Memo: Capex (M)</t>
        </is>
      </c>
      <c r="B13" s="5" t="n">
        <v>19.178</v>
      </c>
      <c r="C13" s="5" t="n">
        <v>27.429</v>
      </c>
      <c r="D13" s="5" t="n">
        <v>19.897</v>
      </c>
      <c r="E13" s="5" t="n">
        <v>16.455</v>
      </c>
      <c r="F13" s="5" t="n">
        <v>15.059</v>
      </c>
      <c r="G13" s="5" t="n">
        <v>58.161</v>
      </c>
      <c r="H13" s="5" t="n">
        <v>50.436</v>
      </c>
    </row>
    <row r="14">
      <c r="A14" t="inlineStr">
        <is>
          <t>Memo: Cash Tax Rate (stable, ~28% NZ statutory)</t>
        </is>
      </c>
      <c r="B14" t="inlineStr">
        <is>
          <t>No abnormal-tax-rate ramp needed; FY2026 effective rate = 23.694/82.911 = 28.6%</t>
        </is>
      </c>
    </row>
    <row r="16">
      <c r="A16" s="2" t="inlineStr">
        <is>
          <t>Note: FY2025-26 capex spiked ~3-4x historical maintenance level ($15-20m) due to the</t>
        </is>
      </c>
    </row>
    <row r="17">
      <c r="A17" s="2" t="inlineStr">
        <is>
          <t>Drury distribution centre build; this mechanically crushes reported and owner FCF in</t>
        </is>
      </c>
    </row>
    <row r="18">
      <c r="A18" s="2" t="inlineStr">
        <is>
          <t>those two years and is NOT extrapolated forward in the DCF projections (capex glides</t>
        </is>
      </c>
    </row>
    <row r="19">
      <c r="A19" s="2" t="inlineStr">
        <is>
          <t>back to ~$18m/yr by Year 4-5 as the DC build completes, per FY2027 guidance of ~$57m).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min="1" max="1"/>
    <col width="15" customWidth="1" min="2" max="2"/>
    <col width="15" customWidth="1" min="3" max="3"/>
  </cols>
  <sheetData>
    <row r="1">
      <c r="A1" s="1" t="inlineStr">
        <is>
          <t>Historical Growth Rates</t>
        </is>
      </c>
    </row>
    <row r="3">
      <c r="A3" s="9" t="inlineStr">
        <is>
          <t>Metric</t>
        </is>
      </c>
      <c r="B3" s="9" t="inlineStr">
        <is>
          <t>3-Year CAGR</t>
        </is>
      </c>
      <c r="C3" s="9" t="inlineStr">
        <is>
          <t>5-Year CAGR</t>
        </is>
      </c>
    </row>
    <row r="4">
      <c r="A4" t="inlineStr">
        <is>
          <t>Revenue</t>
        </is>
      </c>
      <c r="B4" s="12" t="n">
        <v>0.005500000000000001</v>
      </c>
      <c r="C4" s="12" t="n">
        <v>0.0262</v>
      </c>
    </row>
    <row r="5">
      <c r="A5" t="inlineStr">
        <is>
          <t>EPS</t>
        </is>
      </c>
      <c r="B5" s="12" t="n">
        <v>-0.125</v>
      </c>
      <c r="C5" s="12" t="n">
        <v>-0.0416</v>
      </c>
    </row>
    <row r="6">
      <c r="A6" t="inlineStr">
        <is>
          <t>Equity (Book Value)</t>
        </is>
      </c>
      <c r="B6" s="12" t="n">
        <v>-0.003</v>
      </c>
      <c r="C6" s="12" t="n">
        <v>0.0337</v>
      </c>
    </row>
    <row r="7">
      <c r="A7" t="inlineStr">
        <is>
          <t>FCF (reported)</t>
        </is>
      </c>
      <c r="B7" s="12" t="n">
        <v>-0.2595</v>
      </c>
      <c r="C7" s="12" t="n">
        <v>-0.08070000000000001</v>
      </c>
    </row>
    <row r="8">
      <c r="A8" t="inlineStr">
        <is>
          <t>FCF (owner, post-lease/interest)</t>
        </is>
      </c>
      <c r="B8" s="12" t="n">
        <v>-0.3479</v>
      </c>
      <c r="C8" s="12" t="n">
        <v>-0.1411</v>
      </c>
    </row>
    <row r="10">
      <c r="A10" s="10" t="inlineStr">
        <is>
          <t>Note:</t>
        </is>
      </c>
    </row>
    <row r="11" ht="90" customHeight="1">
      <c r="A11" s="17" t="inlineStr">
        <is>
          <t>EPS 3yr CAGR (-12.5%) and reported/owner FCF 3yr CAGR (-26% / -35%) diverge sharply from flat revenue (+0.55%) and roughly flat equity (-0.3%). This is NOT a business-model breakdown -- it reflects (a) gross margin compression from 44.0% (FY2023) to 39.2% (FY2026) amid promotional competition, and (b) FY2025-26 capex more than tripling for the Drury DC build, mechanically crushing reported and owner FCF even as revenue and book equity held roughly flat. The DCF therefore does NOT extrapolate any of these trailing FCF/EPS CAGRs -- it builds forward FCF from EBITDA-margin recovery assumptions and a capex normalization glide path back to ~$18-20m/yr maintenance levels once the DC completes (~FY2027-28).</t>
        </is>
      </c>
    </row>
  </sheetData>
  <mergeCells count="1">
    <mergeCell ref="A11:F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00" customWidth="1" min="1" max="1"/>
  </cols>
  <sheetData>
    <row r="1">
      <c r="A1" s="1" t="inlineStr">
        <is>
          <t>BGP.NZ DCF Model - Provenance and Methodology</t>
        </is>
      </c>
    </row>
    <row r="2">
      <c r="A2" t="inlineStr"/>
    </row>
    <row r="3">
      <c r="A3" t="inlineStr">
        <is>
          <t>Built by: Claude (dcf-analyst agent), Stocks Research project</t>
        </is>
      </c>
    </row>
    <row r="4">
      <c r="A4" t="inlineStr">
        <is>
          <t>Valuation date: 2026-08-08</t>
        </is>
      </c>
    </row>
    <row r="5">
      <c r="A5" t="inlineStr">
        <is>
          <t>Share price as of: 2026-08-08 (Yahoo Finance BGP.NZ, NZ$4.6)</t>
        </is>
      </c>
    </row>
    <row r="6">
      <c r="A6" t="inlineStr">
        <is>
          <t>Data vintage: FY2026 annual report (52 weeks to 25 Jan 2026) + Q2 FY2027 trading update (Aug-2026)</t>
        </is>
      </c>
    </row>
    <row r="7">
      <c r="A7" t="inlineStr"/>
    </row>
    <row r="8">
      <c r="A8" s="3" t="inlineStr">
        <is>
          <t>METHODOLOGY CHOICES</t>
        </is>
      </c>
    </row>
    <row r="9">
      <c r="A9" t="inlineStr">
        <is>
          <t>1. IFRS-16 lease adjustment: Briscoe carries ZERO bank debt; TotalDebt on the balance sheet from</t>
        </is>
      </c>
    </row>
    <row r="10">
      <c r="A10" t="inlineStr">
        <is>
          <t xml:space="preserve">   FY2020 onward is entirely lease liabilities (~$276m FY2026). Reported OCF is post-IFRS16 (lease</t>
        </is>
      </c>
    </row>
    <row r="11">
      <c r="A11" t="inlineStr">
        <is>
          <t xml:space="preserve">   interest already in P&amp;L) but LEASE PRINCIPAL repayments sit in financing activities, so reported</t>
        </is>
      </c>
    </row>
    <row r="12">
      <c r="A12" t="inlineStr">
        <is>
          <t xml:space="preserve">   FCF (OCF - capex) overstates owner FCF. Owner FCF = reported FCF - lease principal repayments -</t>
        </is>
      </c>
    </row>
    <row r="13">
      <c r="A13" t="inlineStr">
        <is>
          <t xml:space="preserve">   interest income (net cash &gt; 1x FCF base, so interest income is stripped per standard rule).</t>
        </is>
      </c>
    </row>
    <row r="14">
      <c r="A14" t="inlineStr">
        <is>
          <t>2. Net debt basis: CASH-ONLY (no bank debt subtracted, no lease liabilities added back), because</t>
        </is>
      </c>
    </row>
    <row r="15">
      <c r="A15" t="inlineStr">
        <is>
          <t xml:space="preserve">   lease principal is already deducted from the FCF projection every year -- adding leases to net debt</t>
        </is>
      </c>
    </row>
    <row r="16">
      <c r="A16" t="inlineStr">
        <is>
          <t xml:space="preserve">   as well would double-count the same obligation.</t>
        </is>
      </c>
    </row>
    <row r="17">
      <c r="A17" t="inlineStr">
        <is>
          <t>3. Capex normalization: FY2025/26 capex ($58m/$50m) is a DC-build spike, not a run-rate. The base case</t>
        </is>
      </c>
    </row>
    <row r="18">
      <c r="A18" t="inlineStr">
        <is>
          <t xml:space="preserve">   glides capex from the FY2027 guided ~$57m down to an ~$18m/yr maintenance level by Year 4-5,</t>
        </is>
      </c>
    </row>
    <row r="19">
      <c r="A19" t="inlineStr">
        <is>
          <t xml:space="preserve">   consistent with pre-DC actuals of $15-16m (FY2023/24) plus an allowance for ongoing refurbishment.</t>
        </is>
      </c>
    </row>
    <row r="20">
      <c r="A20" t="inlineStr">
        <is>
          <t>4. EBITDA margin: built from a genuine multi-year decline (FY2020 19.1% -&gt; FY2022 22.75% COVID peak</t>
        </is>
      </c>
    </row>
    <row r="21">
      <c r="A21" t="inlineStr">
        <is>
          <t xml:space="preserve">   -&gt; FY2026 16.5% trough) recovering toward a 19.0% Year-5 mid-cycle target -- below the COVID peak,</t>
        </is>
      </c>
    </row>
    <row r="22">
      <c r="A22" t="inlineStr">
        <is>
          <t xml:space="preserve">   reflecting a structurally more competitive NZ retail market, but assuming DC automation delivers</t>
        </is>
      </c>
    </row>
    <row r="23">
      <c r="A23" t="inlineStr">
        <is>
          <t xml:space="preserve">   the margin/availability benefits management is guiding toward.</t>
        </is>
      </c>
    </row>
    <row r="24">
      <c r="A24" t="inlineStr">
        <is>
          <t>5. Tax rate: held flat at 28% (NZ statutory rate); FY2026 effective rate was 28.6%, no valuation-</t>
        </is>
      </c>
    </row>
    <row r="25">
      <c r="A25" t="inlineStr">
        <is>
          <t xml:space="preserve">   allowance or one-off distortion identified, so no ramp was needed (unlike some other tickers in</t>
        </is>
      </c>
    </row>
    <row r="26">
      <c r="A26" t="inlineStr">
        <is>
          <t xml:space="preserve">   this project).</t>
        </is>
      </c>
    </row>
    <row r="27">
      <c r="A27" t="inlineStr">
        <is>
          <t>6. Working capital: modelled as -10% capture of the YEAR-OVER-YEAR REVENUE CHANGE (a retailer needs</t>
        </is>
      </c>
    </row>
    <row r="28">
      <c r="A28" t="inlineStr">
        <is>
          <t xml:space="preserve">   incremental inventory investment to fund growth -- a cash outflow, the opposite sign convention</t>
        </is>
      </c>
    </row>
    <row r="29">
      <c r="A29" t="inlineStr">
        <is>
          <t xml:space="preserve">   from subscription businesses with deferred-revenue tailwinds).</t>
        </is>
      </c>
    </row>
    <row r="30">
      <c r="A30" t="inlineStr">
        <is>
          <t>7. Horizon: 5 years. Year-5 owner FCF margin (10.1%) has largely stabilised (Year-6 sensitivity check</t>
        </is>
      </c>
    </row>
    <row r="31">
      <c r="A31" t="inlineStr">
        <is>
          <t xml:space="preserve">   showed only 10.1% -&gt; 10.5%), so a 10-year build was not required.</t>
        </is>
      </c>
    </row>
    <row r="32">
      <c r="A32" t="inlineStr">
        <is>
          <t>8. Terminal value: lower of Gordon Growth and a 12-15x cap (cyclical NZ retailer; lower than the</t>
        </is>
      </c>
    </row>
    <row r="33">
      <c r="A33" t="inlineStr">
        <is>
          <t xml:space="preserve">   default 20x used for higher-quality compounders).</t>
        </is>
      </c>
    </row>
    <row r="34">
      <c r="A34" t="inlineStr">
        <is>
          <t>9. SBC: immaterial (&lt;$0.6m/yr, ~0.07% of revenue) -- no material dilution or owner-FCF adjustment</t>
        </is>
      </c>
    </row>
    <row r="35">
      <c r="A35" t="inlineStr">
        <is>
          <t xml:space="preserve">   beyond the standard treatment; no buybacks either, but dilution is negligible either way.</t>
        </is>
      </c>
    </row>
    <row r="36">
      <c r="A36" t="inlineStr">
        <is>
          <t>10. KMD Brands stake (6.75%, $13.2m fair value at FY2026 year-end) is left embedded in book equity/</t>
        </is>
      </c>
    </row>
    <row r="37">
      <c r="A37" t="inlineStr">
        <is>
          <t xml:space="preserve">    total assets on the balance sheet and NOT added separately to the DCF equity bridge -- it is</t>
        </is>
      </c>
    </row>
    <row r="38">
      <c r="A38" t="inlineStr">
        <is>
          <t xml:space="preserve">    immaterial (~1.3% of market cap) and already captured in reported net assets.</t>
        </is>
      </c>
    </row>
    <row r="39">
      <c r="A39" t="inlineStr"/>
    </row>
    <row r="40">
      <c r="A40" s="3" t="inlineStr">
        <is>
          <t>WHAT TO REFRESH AFTER THE NEXT EARNINGS PRINT (H1 FY2027, expected ~March 2027)</t>
        </is>
      </c>
    </row>
    <row r="41">
      <c r="A41" t="inlineStr">
        <is>
          <t>- Actual H1 FY2027 NPAT vs the 'not less than $27m' guide</t>
        </is>
      </c>
    </row>
    <row r="42">
      <c r="A42" t="inlineStr">
        <is>
          <t>- Actual gross margin change vs the guided ~57bps further decline</t>
        </is>
      </c>
    </row>
    <row r="43">
      <c r="A43" t="inlineStr">
        <is>
          <t>- Drury DC completion status (handover, automation ramp) and any capex guidance revision</t>
        </is>
      </c>
    </row>
    <row r="44">
      <c r="A44" t="inlineStr">
        <is>
          <t>- FY2027 dividend declaration vs the 60%-of-NPAT policy</t>
        </is>
      </c>
    </row>
    <row r="45">
      <c r="A45" t="inlineStr">
        <is>
          <t>- Updated share price and re-run entry price / sensitivity</t>
        </is>
      </c>
    </row>
    <row r="46">
      <c r="A46" t="inlineStr"/>
    </row>
    <row r="47">
      <c r="A47" s="3" t="inlineStr">
        <is>
          <t>CELL COLOUR CONVENTIONS</t>
        </is>
      </c>
    </row>
    <row r="48">
      <c r="A48" t="inlineStr">
        <is>
          <t>- Gray fill = INPUT cell (safe to overwrite with your own assumption)</t>
        </is>
      </c>
    </row>
    <row r="49">
      <c r="A49" t="inlineStr">
        <is>
          <t>- Green fill = KEY OUTPUT (intrinsic value, entry price)</t>
        </is>
      </c>
    </row>
    <row r="50">
      <c r="A50" t="inlineStr">
        <is>
          <t>- White/unfilled = FORMULA (do not overwrite; will break downstream calculations)</t>
        </is>
      </c>
    </row>
    <row r="51">
      <c r="A51" t="inlineStr"/>
    </row>
    <row r="52">
      <c r="A52" t="inlineStr">
        <is>
          <t>STALENESS WARNING: all figures in this model are current as of the valuation_date above. Stock prices,</t>
        </is>
      </c>
    </row>
    <row r="53">
      <c r="A53" t="inlineStr">
        <is>
          <t>guidance and consensus estimates move continuously -- re-check before relying on this model for a live</t>
        </is>
      </c>
    </row>
    <row r="54">
      <c r="A54" s="2" t="inlineStr">
        <is>
          <t>investment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2026-08-08T10:29:42Z</dcterms:created>
  <dcterms:modified xsi:type="dcterms:W3CDTF">2026-08-08T10:29:42Z</dcterms:modified>
</cp:coreProperties>
</file>