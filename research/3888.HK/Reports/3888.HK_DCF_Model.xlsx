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<sst xmlns="http://schemas.openxmlformats.org/spreadsheetml/2006/main" count="361" uniqueCount="172">
  <si>
    <t xml:space="preserve">Ticker</t>
  </si>
  <si>
    <t xml:space="preserve">3888.HK</t>
  </si>
  <si>
    <t xml:space="preserve">Company</t>
  </si>
  <si>
    <t xml:space="preserve">Kingsoft Corporation Limited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</si>
  <si>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</si>
  <si>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</si>
  <si>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</si>
  <si>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</si>
  <si>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2026-10-22T08:08:34Z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</si>
  <si>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</si>
  <si>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</si>
  <si>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</si>
  <si>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</si>
  <si>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</si>
  <si>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</si>
  <si>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</si>
  <si>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</si>
  <si>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</si>
  <si>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</si>
  <si>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</si>
  <si>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</si>
  <si>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</si>
  <si>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2026-10-22T14:13:04Z</t>
  </si>
  <si>
    <t xml:space="preserve">Drivers file</t>
  </si>
  <si>
    <t xml:space="preserve">3888.HK_Drivers.json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</si>
  <si>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</si>
  <si>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</si>
  <si>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</si>
  <si>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Kingsoft is valued as an operating software company on attributable owner FCF (SBC expensed, interest income stripped, the 48% Kingsoft Office minority's share of profit folded into the tax/leakage driver), plus a bridge that adds management-defined cash resources, deducts the minority's claim on that cash at NCI book, and adds the Kingsoft Cloud stake and other investees at marked value. The one-off gains that dominate reported net income (FY2020 RMB8.4bn, FY2025 RMB1.25bn, H1 FY2026 RMB2.36bn) never enter the flows. Most of the intrinsic value is balance sheet, not operations; the operating business is priced by the market at a low single-digit multiple of attributable adjusted earnings because of the holdco discount to the separately listed Kingsoft Office. The DCF measures look-through intrinsic value and says nothing about when, or whether, that discount closes; the hurdle entry price is the price at which the investor is paid 15% to wait.
key_risks_to_valuation: Holdco discount persists: the look-through value of the 52% Kingsoft Office stake (~RMB57bn at market) already exceeds 3888.HK's market cap; nothing in the DCF forces convergence, and the cash is largely inside Kingsoft Office, reachable only via its dividends.; NCI leakage judgment: the combined 50% tax+leakage rate rests on the office segment staying ~80-85% of EBIT; if games never recovers, leakage is ~48% on all profit (bear 56% combined), and if Kingsoft Office keeps outgrowing the group the base rate drifts up over the horizon.; Games single-IP decay: FY2025 games revenue -28%, H1 FY2026 -19% and a segment loss; Goose Goose Duck's durability and NPPA approvals for the Angry Birds titles are unproven.; AI monetisation: R&amp;D +16% in FY2025 with WPS AI MAU +307% but no disclosed AI revenue; base margins assume this investment is recovered through pricing by year 5-7.; FX and marks: the fx_rate (CNY-&gt;HKD 1.1739) and the Kingsoft Cloud market value (RMB5.4bn, down from 7.4bn at FY2025 year-end) are dated 2026-10-22 and move daily; refresh_price.py updates the price but not the fx_rate.; Bridge haircut on other JVs/associates (50% of RMB4.8bn carrying) and NCI-at-book as the proxy for the minority's share of cash are stated judgments worth roughly +/- HKD2-3/share between them.</t>
  </si>
  <si>
    <t xml:space="preserve">Data sources</t>
  </si>
  <si>
    <t xml:space="preserve">price: Yahoo Finance chart API at inputs.price_as_of; 52-week range HKD20.5-34.8. FX: Yahoo CNYHKD=X and HKDCNY=X, 2026-10-22. Kingsoft Cloud and Kingsoft Office marks: Yahoo 3896.HK and 688111.SS closes, 2026-10-22.
financials: 3888.HK_Metrics.csv / core_metrics (FY2018-FY2025 annual, H1 FY2023-H1 FY2026 interim) from HKEX annual and interim reports; H1 FY2026 interim report (balance sheet 30 June 2026, EPS note 8, segment note 3, non-IFRS reconciliation, Liquidity section) for the anchors; FY2025 annual report for the income statement, segment results and the Kingsoft Office 52% subsidiaries note.
qualitative: 3888.HK_Analysis.json (qualitative-analyst, 2026-10-23) for segment trends, guidance (qualitative only), bull/bear axes and recent developments.</t>
  </si>
  <si>
    <t xml:space="preserve">Scenario narrative: bear</t>
  </si>
  <si>
    <t xml:space="preserve">Xinchuang procurement saturates and DingTalk/Feishu/Tencent Docs take enterprise collaboration budgets, so office growth fades to low teens then single digits while AI R&amp;D spend is not recovered through pricing; Microsoft Copilot sets a price-performance bar WPS cannot match overseas. The JX franchise keeps decaying, Goose Goose Duck fades as a fad, Angry Birds approvals slip, and games stays at or below breakeven (as in H1 FY2026), so effectively all operating profit sits inside 52%-owned Kingsoft Office (leakage 48%). Margins stay near 22-24%. The cash pile is largely trapped inside Kingsoft Office and only reaches 3888.HK shareholders through Kingsoft Office dividends (RMB516m paid to NCI in FY2025 implies ~RMB560m up to the parent), and the RMB3.8bn unhedged non-RMB position adds FX noise.</t>
  </si>
  <si>
    <t xml:space="preserve">Scenario narrative: base</t>
  </si>
  <si>
    <t xml:space="preserve">WPS keeps compounding on the Xinchuang government/SOE substitution base and WPS 365 enterprise seats (+61% in Q2 FY2026), with overseas subscribers (2.85m, +64%) and AI features (WPS AI MAU 80m+) adding ARPU slowly rather than suddenly: office revenue +22% in FY2026 decelerating to mid-single digits by year 10. Games bottoms in FY2026 (-15%) as JX-franchise decay is partly offset by Goose Goose Duck, then grows ~3%/yr off a smaller base and returns to a modest profit. Group pre-SBC EBITDA margin recovers from 23% to 30% by year 7 as the R&amp;D/AI investment phase matures. About half of operating profit leaks to Kingsoft Office's 48% minority. Net cash of RMB26.9bn (less the minority's RMB8.0bn share) and the Kingsoft Cloud stake are the larger part of value; the holdco discount to the look-through Kingsoft Office stake is the gap the market is pricing.</t>
  </si>
  <si>
    <t xml:space="preserve">Scenario narrative: bull</t>
  </si>
  <si>
    <t xml:space="preserve">AI monetisation lands: WPS Lingxi/Comate 'subscription + AI usage' pricing lifts individual and enterprise ARPU, WPS 365 keeps growing 40%+ as it moves beyond central SOEs into private and local-government accounts, and overseas WPS compounds from a small base, so office grows 25% then high-teens for several years. Goose Goose Duck sustains top-tier China MAU and the two Angry Birds titles clear NPPA approval and launch in 2026-27, returning the 100%-owned games segment to a 25-30% share of EBIT and cutting NCI leakage to ~35%. Margins reach 34% pre-SBC. Kingsoft Cloud re-rates on AI compute demand (its stake is carried at today's market price, so that upside is not in the number).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</si>
  <si>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</si>
  <si>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</si>
  <si>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</si>
  <si>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</si>
  <si>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</si>
  <si>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</si>
  <si>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</si>
  <si>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</si>
  <si>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</si>
  <si>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</si>
  <si>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</si>
  <si>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</si>
  <si>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</si>
  <si>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</si>
  <si>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</si>
  <si>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</si>
  <si>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</si>
  <si>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</si>
  <si>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</si>
  <si>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</si>
  <si>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</si>
  <si>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</si>
  <si>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</si>
  <si>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</si>
  <si>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</si>
  <si>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</si>
  <si>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</si>
  <si>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CashEquivalentsOnly</t>
  </si>
  <si>
    <t xml:space="preserve">CashGeneratedFromOperations</t>
  </si>
  <si>
    <t xml:space="preserve">DividendsPaidToNCI</t>
  </si>
  <si>
    <t xml:space="preserve">EPSBasic</t>
  </si>
  <si>
    <t xml:space="preserve">MAU</t>
  </si>
  <si>
    <t xml:space="preserve">SegmentRevenueGames</t>
  </si>
  <si>
    <t xml:space="preserve">Subscribers</t>
  </si>
  <si>
    <t xml:space="preserve">FY2018</t>
  </si>
  <si>
    <t xml:space="preserve">thousands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</si>
  <si>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</si>
  <si>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</si>
  <si>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</si>
  <si>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</si>
  <si>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</si>
  <si>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</si>
  <si>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</si>
  <si>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</si>
  <si>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</si>
  <si>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</si>
  <si>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</si>
  <si>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</si>
  <si>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</si>
  <si>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</si>
  <si>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</si>
  <si>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</si>
  <si>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</si>
  <si>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</si>
  <si>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</si>
  <si>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</si>
  <si>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</si>
  <si>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</si>
  <si>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</si>
  <si>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</si>
  <si>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</si>
  <si>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</si>
  <si>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</si>
  <si>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</si>
  <si>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</si>
  <si>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</si>
  <si>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</si>
  <si>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</si>
  <si>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</si>
  <si>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</si>
  <si>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</si>
  <si>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</si>
  <si>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</si>
  <si>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</si>
  <si>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</si>
  <si>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</si>
  <si>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</si>
  <si>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</si>
  <si>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</si>
  <si>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</si>
  <si>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3888.HK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</si>
  <si>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</si>
  <si>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</si>
  <si>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</si>
  <si>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</si>
  <si>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</si>
  <si>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</si>
  <si>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</si>
  <si>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</si>
  <si>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</si>
  <si>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</si>
  <si>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</si>
  <si>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</si>
  <si>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</si>
  <si>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</si>
  <si>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</si>
  <si>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</si>
  <si>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</si>
  <si>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</si>
  <si>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</si>
  <si>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</si>
  <si>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</si>
  <si>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</si>
  <si>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</si>
  <si>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</si>
  <si>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</si>
  <si>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</si>
  <si>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</si>
  <si>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</si>
  <si>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</si>
  <si>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</si>
  <si>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3888.HK owner-FCF component DCF: base case (millions, CNY)</t>
  </si>
  <si>
    <t xml:space="preserve">3888.HK owner-FCF component DCF: bull case (millions, CNY)</t>
  </si>
  <si>
    <t xml:space="preserve">3888.HK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</si>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</sst>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24.26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</row>
    <row r="2" customFormat="false" ht="15" hidden="false" customHeight="false" outlineLevel="0" collapsed="false">
      <c r="A2" s="0" t="s">
        <v>71</v>
      </c>
      <c r="B2" s="0" t="n">
        <v>5906187</v>
      </c>
      <c r="C2" s="0" t="n">
        <v>3169429</v>
      </c>
      <c r="D2" s="0" t="n">
        <v>2736758</v>
      </c>
      <c r="E2" s="0" t="n">
        <v>46.3</v>
      </c>
      <c r="F2" s="0" t="n">
        <v>-302320</v>
      </c>
      <c r="G2" s="0" t="n">
        <v>-5.1</v>
      </c>
      <c r="H2" s="0" t="n">
        <v>211773</v>
      </c>
      <c r="I2" s="0" t="n">
        <v>389214</v>
      </c>
      <c r="J2" s="0" t="n">
        <v>6.6</v>
      </c>
      <c r="K2" s="0" t="n">
        <v>0.27</v>
      </c>
      <c r="L2" s="0" t="n">
        <v>769509</v>
      </c>
      <c r="M2" s="0" t="n">
        <v>1420682</v>
      </c>
      <c r="N2" s="0" t="n">
        <v>-651173</v>
      </c>
      <c r="O2" s="0" t="n">
        <v>13037839</v>
      </c>
      <c r="P2" s="0" t="n">
        <v>20049812</v>
      </c>
      <c r="Q2" s="0" t="n">
        <v>7128213</v>
      </c>
      <c r="R2" s="0" t="n">
        <v>1324788</v>
      </c>
      <c r="S2" s="0" t="n">
        <v>9868809</v>
      </c>
      <c r="T2" s="0" t="n">
        <v>1368078.457</v>
      </c>
      <c r="U2" s="0" t="n">
        <v>211936</v>
      </c>
      <c r="AA2" s="0" t="s">
        <v>72</v>
      </c>
      <c r="AB2" s="0" t="s">
        <v>14</v>
      </c>
      <c r="AC2" s="0" t="n">
        <v>4544784</v>
      </c>
      <c r="AD2" s="0" t="n">
        <v>906381</v>
      </c>
      <c r="AE2" s="0" t="n">
        <v>186946</v>
      </c>
      <c r="AF2" s="0" t="n">
        <v>0.29</v>
      </c>
      <c r="AH2" s="0" t="n">
        <v>2551715</v>
      </c>
    </row>
    <row r="3" customFormat="false" ht="15" hidden="false" customHeight="false" outlineLevel="0" collapsed="false">
      <c r="A3" s="0" t="s">
        <v>73</v>
      </c>
      <c r="B3" s="0" t="n">
        <v>8218263</v>
      </c>
      <c r="C3" s="0" t="n">
        <v>4741390</v>
      </c>
      <c r="D3" s="0" t="n">
        <v>3476873</v>
      </c>
      <c r="E3" s="0" t="n">
        <v>42.3</v>
      </c>
      <c r="F3" s="0" t="n">
        <v>-193490</v>
      </c>
      <c r="G3" s="0" t="n">
        <v>-2.4</v>
      </c>
      <c r="H3" s="0" t="n">
        <v>544436</v>
      </c>
      <c r="I3" s="0" t="n">
        <v>-1546385</v>
      </c>
      <c r="J3" s="0" t="n">
        <v>-18.8</v>
      </c>
      <c r="K3" s="0" t="n">
        <v>-1.15</v>
      </c>
      <c r="L3" s="0" t="n">
        <v>824968</v>
      </c>
      <c r="M3" s="0" t="n">
        <v>1376796</v>
      </c>
      <c r="N3" s="0" t="n">
        <v>-551828</v>
      </c>
      <c r="O3" s="0" t="n">
        <v>13797148</v>
      </c>
      <c r="P3" s="0" t="n">
        <v>24401623</v>
      </c>
      <c r="Q3" s="0" t="n">
        <v>8792242</v>
      </c>
      <c r="R3" s="0" t="n">
        <v>697566</v>
      </c>
      <c r="S3" s="0" t="n">
        <v>13792117</v>
      </c>
      <c r="T3" s="0" t="n">
        <v>1365661.224</v>
      </c>
      <c r="U3" s="0" t="n">
        <v>244820</v>
      </c>
      <c r="AA3" s="0" t="s">
        <v>72</v>
      </c>
      <c r="AB3" s="0" t="s">
        <v>14</v>
      </c>
      <c r="AC3" s="0" t="n">
        <v>7329845</v>
      </c>
      <c r="AD3" s="0" t="n">
        <v>842860</v>
      </c>
      <c r="AE3" s="0" t="n">
        <v>14561</v>
      </c>
      <c r="AF3" s="0" t="n">
        <v>-1.13</v>
      </c>
      <c r="AH3" s="0" t="n">
        <v>2748738</v>
      </c>
    </row>
    <row r="4" customFormat="false" ht="15" hidden="false" customHeight="false" outlineLevel="0" collapsed="false">
      <c r="A4" s="0" t="s">
        <v>74</v>
      </c>
      <c r="B4" s="0" t="n">
        <v>5594243</v>
      </c>
      <c r="C4" s="0" t="n">
        <v>917281</v>
      </c>
      <c r="D4" s="0" t="n">
        <v>4676962</v>
      </c>
      <c r="E4" s="0" t="n">
        <v>83.6</v>
      </c>
      <c r="F4" s="0" t="n">
        <v>1855134</v>
      </c>
      <c r="G4" s="0" t="n">
        <v>33.2</v>
      </c>
      <c r="I4" s="0" t="n">
        <v>10045043</v>
      </c>
      <c r="J4" s="0" t="n">
        <v>179.6</v>
      </c>
      <c r="K4" s="0" t="n">
        <v>7.32</v>
      </c>
      <c r="L4" s="0" t="n">
        <v>2991073</v>
      </c>
      <c r="M4" s="0" t="n">
        <v>533692</v>
      </c>
      <c r="N4" s="0" t="n">
        <v>2457381</v>
      </c>
      <c r="O4" s="0" t="n">
        <v>24664559</v>
      </c>
      <c r="P4" s="0" t="n">
        <v>35044195</v>
      </c>
      <c r="Q4" s="0" t="n">
        <v>6816285</v>
      </c>
      <c r="R4" s="0" t="n">
        <v>2196595</v>
      </c>
      <c r="S4" s="0" t="n">
        <v>14049069</v>
      </c>
      <c r="T4" s="0" t="n">
        <v>1370872.929</v>
      </c>
      <c r="U4" s="0" t="n">
        <v>179372</v>
      </c>
      <c r="AA4" s="0" t="s">
        <v>72</v>
      </c>
      <c r="AB4" s="0" t="s">
        <v>14</v>
      </c>
      <c r="AC4" s="0" t="n">
        <v>4455271</v>
      </c>
      <c r="AD4" s="0" t="n">
        <v>3066596</v>
      </c>
      <c r="AE4" s="0" t="n">
        <v>160716</v>
      </c>
      <c r="AF4" s="0" t="n">
        <v>7.35</v>
      </c>
      <c r="AH4" s="0" t="n">
        <v>3337066</v>
      </c>
      <c r="AI4" s="0" t="n">
        <v>19.62</v>
      </c>
    </row>
    <row r="5" customFormat="false" ht="15" hidden="false" customHeight="false" outlineLevel="0" collapsed="false">
      <c r="A5" s="0" t="s">
        <v>75</v>
      </c>
      <c r="B5" s="0" t="n">
        <v>6371406</v>
      </c>
      <c r="C5" s="0" t="n">
        <v>1157117</v>
      </c>
      <c r="D5" s="0" t="n">
        <v>5214289</v>
      </c>
      <c r="E5" s="0" t="n">
        <v>81.8</v>
      </c>
      <c r="F5" s="0" t="n">
        <v>1360583</v>
      </c>
      <c r="G5" s="0" t="n">
        <v>21.4</v>
      </c>
      <c r="H5" s="0" t="n">
        <v>1573018</v>
      </c>
      <c r="I5" s="0" t="n">
        <v>395332</v>
      </c>
      <c r="J5" s="0" t="n">
        <v>6.2</v>
      </c>
      <c r="K5" s="0" t="n">
        <v>0.28</v>
      </c>
      <c r="L5" s="0" t="n">
        <v>2220098</v>
      </c>
      <c r="M5" s="0" t="n">
        <v>303761</v>
      </c>
      <c r="N5" s="0" t="n">
        <v>1916337</v>
      </c>
      <c r="O5" s="0" t="n">
        <v>24784069</v>
      </c>
      <c r="P5" s="0" t="n">
        <v>36535112</v>
      </c>
      <c r="Q5" s="0" t="n">
        <v>7742922</v>
      </c>
      <c r="R5" s="0" t="n">
        <v>2248587</v>
      </c>
      <c r="S5" s="0" t="n">
        <v>16190138</v>
      </c>
      <c r="T5" s="0" t="n">
        <v>1374376.261</v>
      </c>
      <c r="U5" s="0" t="n">
        <v>219151</v>
      </c>
      <c r="AA5" s="0" t="s">
        <v>72</v>
      </c>
      <c r="AB5" s="0" t="s">
        <v>14</v>
      </c>
      <c r="AC5" s="0" t="n">
        <v>4553428</v>
      </c>
      <c r="AD5" s="0" t="n">
        <v>2439406</v>
      </c>
      <c r="AE5" s="0" t="n">
        <v>172643</v>
      </c>
      <c r="AF5" s="0" t="n">
        <v>0.29</v>
      </c>
      <c r="AH5" s="0" t="n">
        <v>3106612</v>
      </c>
      <c r="AI5" s="0" t="n">
        <v>25.37</v>
      </c>
    </row>
    <row r="6" customFormat="false" ht="15" hidden="false" customHeight="false" outlineLevel="0" collapsed="false">
      <c r="A6" s="0" t="s">
        <v>76</v>
      </c>
      <c r="B6" s="0" t="n">
        <v>7636743</v>
      </c>
      <c r="C6" s="0" t="n">
        <v>1459742</v>
      </c>
      <c r="D6" s="0" t="n">
        <v>6177001</v>
      </c>
      <c r="E6" s="0" t="n">
        <v>80.9</v>
      </c>
      <c r="F6" s="0" t="n">
        <v>1868682</v>
      </c>
      <c r="G6" s="0" t="n">
        <v>24.5</v>
      </c>
      <c r="H6" s="0" t="n">
        <v>2141476</v>
      </c>
      <c r="I6" s="0" t="n">
        <v>-6048194</v>
      </c>
      <c r="J6" s="0" t="n">
        <v>-79.2</v>
      </c>
      <c r="K6" s="0" t="n">
        <v>-4.45</v>
      </c>
      <c r="L6" s="0" t="n">
        <v>2573519</v>
      </c>
      <c r="M6" s="0" t="n">
        <v>508658</v>
      </c>
      <c r="N6" s="0" t="n">
        <v>2064861</v>
      </c>
      <c r="O6" s="0" t="n">
        <v>19501266</v>
      </c>
      <c r="P6" s="0" t="n">
        <v>31888049</v>
      </c>
      <c r="Q6" s="0" t="n">
        <v>7733059</v>
      </c>
      <c r="R6" s="0" t="n">
        <v>2589698</v>
      </c>
      <c r="S6" s="0" t="n">
        <v>18201410</v>
      </c>
      <c r="T6" s="0" t="n">
        <v>1364079.868</v>
      </c>
      <c r="U6" s="0" t="n">
        <v>260794</v>
      </c>
      <c r="AA6" s="0" t="s">
        <v>72</v>
      </c>
      <c r="AB6" s="0" t="s">
        <v>14</v>
      </c>
      <c r="AC6" s="0" t="n">
        <v>11018882</v>
      </c>
      <c r="AD6" s="0" t="n">
        <v>2740567</v>
      </c>
      <c r="AE6" s="0" t="n">
        <v>295156</v>
      </c>
      <c r="AF6" s="0" t="n">
        <v>-4.43</v>
      </c>
      <c r="AH6" s="0" t="n">
        <v>3746155</v>
      </c>
      <c r="AI6" s="0" t="n">
        <v>29.97</v>
      </c>
    </row>
    <row r="7" customFormat="false" ht="15" hidden="false" customHeight="false" outlineLevel="0" collapsed="false">
      <c r="A7" s="0" t="s">
        <v>77</v>
      </c>
      <c r="B7" s="0" t="n">
        <v>8533611</v>
      </c>
      <c r="C7" s="0" t="n">
        <v>1503268</v>
      </c>
      <c r="D7" s="0" t="n">
        <v>7030343</v>
      </c>
      <c r="E7" s="0" t="n">
        <v>82.4</v>
      </c>
      <c r="F7" s="0" t="n">
        <v>2226882</v>
      </c>
      <c r="G7" s="0" t="n">
        <v>26.1</v>
      </c>
      <c r="H7" s="0" t="n">
        <v>2466454</v>
      </c>
      <c r="I7" s="0" t="n">
        <v>483457</v>
      </c>
      <c r="J7" s="0" t="n">
        <v>5.7</v>
      </c>
      <c r="K7" s="0" t="n">
        <v>0.34</v>
      </c>
      <c r="L7" s="0" t="n">
        <v>3488746</v>
      </c>
      <c r="M7" s="0" t="n">
        <v>473972</v>
      </c>
      <c r="N7" s="0" t="n">
        <v>3014774</v>
      </c>
      <c r="O7" s="0" t="n">
        <v>21289033</v>
      </c>
      <c r="P7" s="0" t="n">
        <v>35194712</v>
      </c>
      <c r="Q7" s="0" t="n">
        <v>8621455</v>
      </c>
      <c r="R7" s="0" t="n">
        <v>2770192</v>
      </c>
      <c r="S7" s="0" t="n">
        <v>20271193</v>
      </c>
      <c r="T7" s="0" t="n">
        <v>1362183.56</v>
      </c>
      <c r="U7" s="0" t="n">
        <v>313874</v>
      </c>
      <c r="AA7" s="0" t="s">
        <v>72</v>
      </c>
      <c r="AB7" s="0" t="s">
        <v>14</v>
      </c>
      <c r="AC7" s="0" t="n">
        <v>8707372</v>
      </c>
      <c r="AD7" s="0" t="n">
        <v>3466324</v>
      </c>
      <c r="AE7" s="0" t="n">
        <v>362683</v>
      </c>
      <c r="AF7" s="0" t="n">
        <v>0.36</v>
      </c>
      <c r="AG7" s="0" t="n">
        <v>595</v>
      </c>
      <c r="AH7" s="0" t="n">
        <v>3977098</v>
      </c>
      <c r="AI7" s="0" t="n">
        <v>35.49</v>
      </c>
    </row>
    <row r="8" customFormat="false" ht="15" hidden="false" customHeight="false" outlineLevel="0" collapsed="false">
      <c r="A8" s="0" t="s">
        <v>78</v>
      </c>
      <c r="B8" s="0" t="n">
        <v>10317904</v>
      </c>
      <c r="C8" s="0" t="n">
        <v>1737428</v>
      </c>
      <c r="D8" s="0" t="n">
        <v>8580476</v>
      </c>
      <c r="E8" s="0" t="n">
        <v>83.2</v>
      </c>
      <c r="F8" s="0" t="n">
        <v>3646623</v>
      </c>
      <c r="G8" s="0" t="n">
        <v>35.3</v>
      </c>
      <c r="H8" s="0" t="n">
        <v>3873460</v>
      </c>
      <c r="I8" s="0" t="n">
        <v>1551613</v>
      </c>
      <c r="J8" s="0" t="n">
        <v>15</v>
      </c>
      <c r="K8" s="0" t="n">
        <v>1.11</v>
      </c>
      <c r="L8" s="0" t="n">
        <v>4587160</v>
      </c>
      <c r="M8" s="0" t="n">
        <v>426174</v>
      </c>
      <c r="N8" s="0" t="n">
        <v>4160986</v>
      </c>
      <c r="O8" s="0" t="n">
        <v>22456276</v>
      </c>
      <c r="P8" s="0" t="n">
        <v>38284475</v>
      </c>
      <c r="Q8" s="0" t="n">
        <v>9872073</v>
      </c>
      <c r="R8" s="0" t="n">
        <v>2985899</v>
      </c>
      <c r="S8" s="0" t="n">
        <v>23815022</v>
      </c>
      <c r="T8" s="0" t="n">
        <v>1335207.845</v>
      </c>
      <c r="U8" s="0" t="n">
        <v>275867</v>
      </c>
      <c r="AA8" s="0" t="s">
        <v>72</v>
      </c>
      <c r="AB8" s="0" t="s">
        <v>14</v>
      </c>
      <c r="AC8" s="0" t="n">
        <v>3703586</v>
      </c>
      <c r="AD8" s="0" t="n">
        <v>4816632</v>
      </c>
      <c r="AE8" s="0" t="n">
        <v>430330</v>
      </c>
      <c r="AF8" s="0" t="n">
        <v>1.16</v>
      </c>
      <c r="AG8" s="0" t="n">
        <v>632</v>
      </c>
      <c r="AH8" s="0" t="n">
        <v>5196829</v>
      </c>
      <c r="AI8" s="0" t="n">
        <v>41.7</v>
      </c>
    </row>
    <row r="9" customFormat="false" ht="15" hidden="false" customHeight="false" outlineLevel="0" collapsed="false">
      <c r="A9" s="0" t="s">
        <v>79</v>
      </c>
      <c r="B9" s="0" t="n">
        <v>9682881</v>
      </c>
      <c r="C9" s="0" t="n">
        <v>1819046</v>
      </c>
      <c r="D9" s="0" t="n">
        <v>7863835</v>
      </c>
      <c r="E9" s="0" t="n">
        <v>81.2</v>
      </c>
      <c r="F9" s="0" t="n">
        <v>1775097</v>
      </c>
      <c r="G9" s="0" t="n">
        <v>18.3</v>
      </c>
      <c r="H9" s="0" t="n">
        <v>2025239</v>
      </c>
      <c r="I9" s="0" t="n">
        <v>2004388</v>
      </c>
      <c r="J9" s="0" t="n">
        <v>20.7</v>
      </c>
      <c r="K9" s="0" t="n">
        <v>1.45</v>
      </c>
      <c r="L9" s="0" t="n">
        <v>2291620</v>
      </c>
      <c r="M9" s="0" t="n">
        <v>342071</v>
      </c>
      <c r="N9" s="0" t="n">
        <v>1949549</v>
      </c>
      <c r="O9" s="0" t="n">
        <v>26034346</v>
      </c>
      <c r="P9" s="0" t="n">
        <v>39533193</v>
      </c>
      <c r="Q9" s="0" t="n">
        <v>6906511</v>
      </c>
      <c r="R9" s="0" t="n">
        <v>10000</v>
      </c>
      <c r="S9" s="0" t="n">
        <v>22587238</v>
      </c>
      <c r="T9" s="0" t="n">
        <v>1378549.288</v>
      </c>
      <c r="U9" s="0" t="n">
        <v>296474</v>
      </c>
      <c r="AA9" s="0" t="s">
        <v>72</v>
      </c>
      <c r="AB9" s="0" t="s">
        <v>14</v>
      </c>
      <c r="AC9" s="0" t="n">
        <v>3121180</v>
      </c>
      <c r="AD9" s="0" t="n">
        <v>2575633</v>
      </c>
      <c r="AE9" s="0" t="n">
        <v>516035</v>
      </c>
      <c r="AF9" s="0" t="n">
        <v>1.46</v>
      </c>
      <c r="AG9" s="0" t="n">
        <v>678</v>
      </c>
      <c r="AH9" s="0" t="n">
        <v>3754136</v>
      </c>
      <c r="AI9" s="0" t="n">
        <v>46.15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24.26</v>
      </c>
    </row>
    <row r="3" customFormat="false" ht="15" hidden="false" customHeight="false" outlineLevel="0" collapsed="false">
      <c r="A3" s="0" t="s">
        <v>83</v>
      </c>
      <c r="B3" s="3" t="n">
        <v>1376.564</v>
      </c>
    </row>
    <row r="4" customFormat="false" ht="15" hidden="false" customHeight="false" outlineLevel="0" collapsed="false">
      <c r="A4" s="0" t="s">
        <v>84</v>
      </c>
      <c r="B4" s="3" t="n">
        <v>-26888.233</v>
      </c>
    </row>
    <row r="5" customFormat="false" ht="15" hidden="false" customHeight="false" outlineLevel="0" collapsed="false">
      <c r="A5" s="0" t="s">
        <v>85</v>
      </c>
      <c r="B5" s="3" t="n">
        <v>-184.206000000001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9682.881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1.1739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4</v>
      </c>
      <c r="D13" s="3" t="n">
        <v>5</v>
      </c>
      <c r="E13" s="3" t="n">
        <v>4.5</v>
      </c>
      <c r="F13" s="3" t="n">
        <v>4</v>
      </c>
      <c r="G13" s="3" t="n">
        <v>3.5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21.5</v>
      </c>
      <c r="D14" s="3" t="n">
        <v>22</v>
      </c>
      <c r="E14" s="3" t="n">
        <v>22.5</v>
      </c>
      <c r="F14" s="3" t="n">
        <v>23</v>
      </c>
      <c r="G14" s="3" t="n">
        <v>23.5</v>
      </c>
      <c r="H14" s="3" t="n">
        <v>24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105</v>
      </c>
      <c r="C15" s="3" t="n">
        <v>3.7</v>
      </c>
      <c r="D15" s="3" t="n">
        <v>3.6</v>
      </c>
      <c r="E15" s="3" t="n">
        <v>3.5</v>
      </c>
      <c r="F15" s="3" t="n">
        <v>3.4</v>
      </c>
      <c r="G15" s="3" t="n">
        <v>3.3</v>
      </c>
      <c r="H15" s="3" t="n">
        <v>3.2</v>
      </c>
      <c r="I15" s="3" t="n">
        <v>3.1</v>
      </c>
      <c r="J15" s="3" t="n">
        <v>3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2.8</v>
      </c>
      <c r="D17" s="3" t="n">
        <v>2.8</v>
      </c>
      <c r="E17" s="3" t="n">
        <v>2.8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108</v>
      </c>
      <c r="C18" s="3" t="n">
        <v>3.3</v>
      </c>
      <c r="D18" s="3" t="n">
        <v>3.3</v>
      </c>
      <c r="E18" s="3" t="n">
        <v>3.3</v>
      </c>
      <c r="F18" s="3" t="n">
        <v>3.3</v>
      </c>
      <c r="G18" s="3" t="n">
        <v>3.3</v>
      </c>
      <c r="H18" s="3" t="n">
        <v>3.3</v>
      </c>
      <c r="I18" s="3" t="n">
        <v>3.3</v>
      </c>
      <c r="J18" s="3" t="n">
        <v>3.3</v>
      </c>
      <c r="K18" s="3" t="n">
        <v>3.3</v>
      </c>
      <c r="L18" s="3" t="n">
        <v>3.3</v>
      </c>
    </row>
    <row r="19" customFormat="false" ht="15" hidden="false" customHeight="false" outlineLevel="0" collapsed="false">
      <c r="A19" s="0" t="s">
        <v>109</v>
      </c>
      <c r="C19" s="3" t="n">
        <v>56</v>
      </c>
      <c r="D19" s="3" t="n">
        <v>56</v>
      </c>
      <c r="E19" s="3" t="n">
        <v>56</v>
      </c>
      <c r="F19" s="3" t="n">
        <v>56</v>
      </c>
      <c r="G19" s="3" t="n">
        <v>56</v>
      </c>
      <c r="H19" s="3" t="n">
        <v>56</v>
      </c>
      <c r="I19" s="3" t="n">
        <v>56</v>
      </c>
      <c r="J19" s="3" t="n">
        <v>56</v>
      </c>
      <c r="K19" s="3" t="n">
        <v>56</v>
      </c>
      <c r="L19" s="3" t="n">
        <v>56</v>
      </c>
    </row>
    <row r="20" customFormat="false" ht="15" hidden="false" customHeight="false" outlineLevel="0" collapsed="false">
      <c r="A20" s="0" t="s">
        <v>110</v>
      </c>
      <c r="B20" s="3" t="n">
        <v>9.5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15</v>
      </c>
    </row>
    <row r="23" customFormat="false" ht="15" hidden="false" customHeight="false" outlineLevel="0" collapsed="false">
      <c r="A23" s="0" t="s">
        <v>113</v>
      </c>
      <c r="B23" s="3" t="n">
        <v>15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7</v>
      </c>
      <c r="D27" s="3" t="n">
        <v>9.5</v>
      </c>
      <c r="E27" s="3" t="n">
        <v>9</v>
      </c>
      <c r="F27" s="3" t="n">
        <v>8.5</v>
      </c>
      <c r="G27" s="3" t="n">
        <v>7.5</v>
      </c>
      <c r="H27" s="3" t="n">
        <v>6.5</v>
      </c>
      <c r="I27" s="3" t="n">
        <v>6</v>
      </c>
      <c r="J27" s="3" t="n">
        <v>5.5</v>
      </c>
      <c r="K27" s="3" t="n">
        <v>5</v>
      </c>
      <c r="L27" s="3" t="n">
        <v>4.5</v>
      </c>
    </row>
    <row r="28" customFormat="false" ht="15" hidden="false" customHeight="false" outlineLevel="0" collapsed="false">
      <c r="A28" s="0" t="s">
        <v>104</v>
      </c>
      <c r="C28" s="3" t="n">
        <v>23</v>
      </c>
      <c r="D28" s="3" t="n">
        <v>24.5</v>
      </c>
      <c r="E28" s="3" t="n">
        <v>26</v>
      </c>
      <c r="F28" s="3" t="n">
        <v>27.5</v>
      </c>
      <c r="G28" s="3" t="n">
        <v>28.5</v>
      </c>
      <c r="H28" s="3" t="n">
        <v>29.5</v>
      </c>
      <c r="I28" s="3" t="n">
        <v>30</v>
      </c>
      <c r="J28" s="3" t="n">
        <v>30</v>
      </c>
      <c r="K28" s="3" t="n">
        <v>30</v>
      </c>
      <c r="L28" s="3" t="n">
        <v>30</v>
      </c>
    </row>
    <row r="29" customFormat="false" ht="15" hidden="false" customHeight="false" outlineLevel="0" collapsed="false">
      <c r="A29" s="0" t="s">
        <v>105</v>
      </c>
      <c r="C29" s="3" t="n">
        <v>3.5</v>
      </c>
      <c r="D29" s="3" t="n">
        <v>3.4</v>
      </c>
      <c r="E29" s="3" t="n">
        <v>3.3</v>
      </c>
      <c r="F29" s="3" t="n">
        <v>3.2</v>
      </c>
      <c r="G29" s="3" t="n">
        <v>3.1</v>
      </c>
      <c r="H29" s="3" t="n">
        <v>3</v>
      </c>
      <c r="I29" s="3" t="n">
        <v>2.9</v>
      </c>
      <c r="J29" s="3" t="n">
        <v>2.8</v>
      </c>
      <c r="K29" s="3" t="n">
        <v>2.7</v>
      </c>
      <c r="L29" s="3" t="n">
        <v>2.6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2.8</v>
      </c>
      <c r="D31" s="3" t="n">
        <v>2.8</v>
      </c>
      <c r="E31" s="3" t="n">
        <v>2.8</v>
      </c>
      <c r="F31" s="3" t="n">
        <v>2.8</v>
      </c>
      <c r="G31" s="3" t="n">
        <v>2.8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108</v>
      </c>
      <c r="C32" s="3" t="n">
        <v>3.3</v>
      </c>
      <c r="D32" s="3" t="n">
        <v>3.3</v>
      </c>
      <c r="E32" s="3" t="n">
        <v>3.3</v>
      </c>
      <c r="F32" s="3" t="n">
        <v>3.3</v>
      </c>
      <c r="G32" s="3" t="n">
        <v>3.3</v>
      </c>
      <c r="H32" s="3" t="n">
        <v>3.3</v>
      </c>
      <c r="I32" s="3" t="n">
        <v>3.3</v>
      </c>
      <c r="J32" s="3" t="n">
        <v>3.3</v>
      </c>
      <c r="K32" s="3" t="n">
        <v>3.3</v>
      </c>
      <c r="L32" s="3" t="n">
        <v>3.3</v>
      </c>
    </row>
    <row r="33" customFormat="false" ht="15" hidden="false" customHeight="false" outlineLevel="0" collapsed="false">
      <c r="A33" s="0" t="s">
        <v>109</v>
      </c>
      <c r="C33" s="3" t="n">
        <v>50</v>
      </c>
      <c r="D33" s="3" t="n">
        <v>50</v>
      </c>
      <c r="E33" s="3" t="n">
        <v>50</v>
      </c>
      <c r="F33" s="3" t="n">
        <v>50</v>
      </c>
      <c r="G33" s="3" t="n">
        <v>50</v>
      </c>
      <c r="H33" s="3" t="n">
        <v>50</v>
      </c>
      <c r="I33" s="3" t="n">
        <v>50</v>
      </c>
      <c r="J33" s="3" t="n">
        <v>50</v>
      </c>
      <c r="K33" s="3" t="n">
        <v>50</v>
      </c>
      <c r="L33" s="3" t="n">
        <v>50</v>
      </c>
    </row>
    <row r="34" customFormat="false" ht="15" hidden="false" customHeight="false" outlineLevel="0" collapsed="false">
      <c r="A34" s="0" t="s">
        <v>110</v>
      </c>
      <c r="B34" s="3" t="n">
        <v>9.5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18</v>
      </c>
    </row>
    <row r="37" customFormat="false" ht="15" hidden="false" customHeight="false" outlineLevel="0" collapsed="false">
      <c r="A37" s="0" t="s">
        <v>113</v>
      </c>
      <c r="B37" s="3" t="n">
        <v>20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10</v>
      </c>
      <c r="D41" s="3" t="n">
        <v>14</v>
      </c>
      <c r="E41" s="3" t="n">
        <v>13</v>
      </c>
      <c r="F41" s="3" t="n">
        <v>12</v>
      </c>
      <c r="G41" s="3" t="n">
        <v>10</v>
      </c>
      <c r="H41" s="3" t="n">
        <v>8.5</v>
      </c>
      <c r="I41" s="3" t="n">
        <v>7.5</v>
      </c>
      <c r="J41" s="3" t="n">
        <v>6.5</v>
      </c>
      <c r="K41" s="3" t="n">
        <v>5.5</v>
      </c>
      <c r="L41" s="3" t="n">
        <v>5</v>
      </c>
    </row>
    <row r="42" customFormat="false" ht="15" hidden="false" customHeight="false" outlineLevel="0" collapsed="false">
      <c r="A42" s="0" t="s">
        <v>104</v>
      </c>
      <c r="C42" s="3" t="n">
        <v>24</v>
      </c>
      <c r="D42" s="3" t="n">
        <v>26.5</v>
      </c>
      <c r="E42" s="3" t="n">
        <v>29</v>
      </c>
      <c r="F42" s="3" t="n">
        <v>31</v>
      </c>
      <c r="G42" s="3" t="n">
        <v>32.5</v>
      </c>
      <c r="H42" s="3" t="n">
        <v>33.5</v>
      </c>
      <c r="I42" s="3" t="n">
        <v>34</v>
      </c>
      <c r="J42" s="3" t="n">
        <v>34</v>
      </c>
      <c r="K42" s="3" t="n">
        <v>34</v>
      </c>
      <c r="L42" s="3" t="n">
        <v>34</v>
      </c>
    </row>
    <row r="43" customFormat="false" ht="15" hidden="false" customHeight="false" outlineLevel="0" collapsed="false">
      <c r="A43" s="0" t="s">
        <v>105</v>
      </c>
      <c r="C43" s="3" t="n">
        <v>3.5</v>
      </c>
      <c r="D43" s="3" t="n">
        <v>3.4</v>
      </c>
      <c r="E43" s="3" t="n">
        <v>3.3</v>
      </c>
      <c r="F43" s="3" t="n">
        <v>3.2</v>
      </c>
      <c r="G43" s="3" t="n">
        <v>3.1</v>
      </c>
      <c r="H43" s="3" t="n">
        <v>3</v>
      </c>
      <c r="I43" s="3" t="n">
        <v>2.9</v>
      </c>
      <c r="J43" s="3" t="n">
        <v>2.8</v>
      </c>
      <c r="K43" s="3" t="n">
        <v>2.7</v>
      </c>
      <c r="L43" s="3" t="n">
        <v>2.6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2.8</v>
      </c>
      <c r="D45" s="3" t="n">
        <v>2.8</v>
      </c>
      <c r="E45" s="3" t="n">
        <v>2.8</v>
      </c>
      <c r="F45" s="3" t="n">
        <v>2.8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108</v>
      </c>
      <c r="C46" s="3" t="n">
        <v>3.3</v>
      </c>
      <c r="D46" s="3" t="n">
        <v>3.3</v>
      </c>
      <c r="E46" s="3" t="n">
        <v>3.3</v>
      </c>
      <c r="F46" s="3" t="n">
        <v>3.3</v>
      </c>
      <c r="G46" s="3" t="n">
        <v>3.3</v>
      </c>
      <c r="H46" s="3" t="n">
        <v>3.3</v>
      </c>
      <c r="I46" s="3" t="n">
        <v>3.3</v>
      </c>
      <c r="J46" s="3" t="n">
        <v>3.3</v>
      </c>
      <c r="K46" s="3" t="n">
        <v>3.3</v>
      </c>
      <c r="L46" s="3" t="n">
        <v>3.3</v>
      </c>
    </row>
    <row r="47" customFormat="false" ht="15" hidden="false" customHeight="false" outlineLevel="0" collapsed="false">
      <c r="A47" s="0" t="s">
        <v>109</v>
      </c>
      <c r="C47" s="3" t="n">
        <v>48</v>
      </c>
      <c r="D47" s="3" t="n">
        <v>47</v>
      </c>
      <c r="E47" s="3" t="n">
        <v>46</v>
      </c>
      <c r="F47" s="3" t="n">
        <v>46</v>
      </c>
      <c r="G47" s="3" t="n">
        <v>46</v>
      </c>
      <c r="H47" s="3" t="n">
        <v>46</v>
      </c>
      <c r="I47" s="3" t="n">
        <v>46</v>
      </c>
      <c r="J47" s="3" t="n">
        <v>46</v>
      </c>
      <c r="K47" s="3" t="n">
        <v>46</v>
      </c>
      <c r="L47" s="3" t="n">
        <v>46</v>
      </c>
    </row>
    <row r="48" customFormat="false" ht="15" hidden="false" customHeight="false" outlineLevel="0" collapsed="false">
      <c r="A48" s="0" t="s">
        <v>110</v>
      </c>
      <c r="B48" s="3" t="n">
        <v>9.5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18</v>
      </c>
    </row>
    <row r="51" customFormat="false" ht="15" hidden="false" customHeight="false" outlineLevel="0" collapsed="false">
      <c r="A51" s="0" t="s">
        <v>113</v>
      </c>
      <c r="B51" s="3" t="n">
        <v>22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4</v>
      </c>
      <c r="D5" s="4" t="n">
        <f aca="false">Assumptions!D13</f>
        <v>5</v>
      </c>
      <c r="E5" s="4" t="n">
        <f aca="false">Assumptions!E13</f>
        <v>4.5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9682.881</v>
      </c>
      <c r="C6" s="0" t="n">
        <f aca="false">B6*(1+C5/100)</f>
        <v>10070.19624</v>
      </c>
      <c r="D6" s="0" t="n">
        <f aca="false">C6*(1+D5/100)</f>
        <v>10573.706052</v>
      </c>
      <c r="E6" s="0" t="n">
        <f aca="false">D6*(1+E5/100)</f>
        <v>11049.52282434</v>
      </c>
      <c r="F6" s="0" t="n">
        <f aca="false">E6*(1+F5/100)</f>
        <v>11491.5037373136</v>
      </c>
      <c r="G6" s="0" t="n">
        <f aca="false">F6*(1+G5/100)</f>
        <v>11893.7063681196</v>
      </c>
      <c r="H6" s="0" t="n">
        <f aca="false">G6*(1+H5/100)</f>
        <v>12250.5175591632</v>
      </c>
      <c r="I6" s="0" t="n">
        <f aca="false">H6*(1+I5/100)</f>
        <v>12618.0330859381</v>
      </c>
      <c r="J6" s="0" t="n">
        <f aca="false">I6*(1+J5/100)</f>
        <v>12933.4839130865</v>
      </c>
      <c r="K6" s="0" t="n">
        <f aca="false">J6*(1+K5/100)</f>
        <v>13256.8210109137</v>
      </c>
      <c r="L6" s="0" t="n">
        <f aca="false">K6*(1+L5/100)</f>
        <v>13521.9574311319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21.5</v>
      </c>
      <c r="D7" s="4" t="n">
        <f aca="false">Assumptions!D14</f>
        <v>22</v>
      </c>
      <c r="E7" s="4" t="n">
        <f aca="false">Assumptions!E14</f>
        <v>22.5</v>
      </c>
      <c r="F7" s="4" t="n">
        <f aca="false">Assumptions!F14</f>
        <v>23</v>
      </c>
      <c r="G7" s="4" t="n">
        <f aca="false">Assumptions!G14</f>
        <v>23.5</v>
      </c>
      <c r="H7" s="4" t="n">
        <f aca="false">Assumptions!H14</f>
        <v>24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2165.0921916</v>
      </c>
      <c r="D8" s="0" t="n">
        <f aca="false">D6*D7/100</f>
        <v>2326.21533144</v>
      </c>
      <c r="E8" s="0" t="n">
        <f aca="false">E6*E7/100</f>
        <v>2486.1426354765</v>
      </c>
      <c r="F8" s="0" t="n">
        <f aca="false">F6*F7/100</f>
        <v>2643.04585958213</v>
      </c>
      <c r="G8" s="0" t="n">
        <f aca="false">G6*G7/100</f>
        <v>2795.0209965081</v>
      </c>
      <c r="H8" s="0" t="n">
        <f aca="false">H6*H7/100</f>
        <v>2940.12421419916</v>
      </c>
      <c r="I8" s="0" t="n">
        <f aca="false">I6*I7/100</f>
        <v>3028.32794062513</v>
      </c>
      <c r="J8" s="0" t="n">
        <f aca="false">J6*J7/100</f>
        <v>3104.03613914076</v>
      </c>
      <c r="K8" s="0" t="n">
        <f aca="false">K6*K7/100</f>
        <v>3181.63704261928</v>
      </c>
      <c r="L8" s="0" t="n">
        <f aca="false">L6*L7/100</f>
        <v>3245.26978347167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3.7</v>
      </c>
      <c r="D9" s="4" t="n">
        <f aca="false">Assumptions!D15</f>
        <v>3.6</v>
      </c>
      <c r="E9" s="4" t="n">
        <f aca="false">Assumptions!E15</f>
        <v>3.5</v>
      </c>
      <c r="F9" s="4" t="n">
        <f aca="false">Assumptions!F15</f>
        <v>3.4</v>
      </c>
      <c r="G9" s="4" t="n">
        <f aca="false">Assumptions!G15</f>
        <v>3.3</v>
      </c>
      <c r="H9" s="4" t="n">
        <f aca="false">Assumptions!H15</f>
        <v>3.2</v>
      </c>
      <c r="I9" s="4" t="n">
        <f aca="false">Assumptions!I15</f>
        <v>3.1</v>
      </c>
      <c r="J9" s="4" t="n">
        <f aca="false">Assumptions!J15</f>
        <v>3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-372.59726088</v>
      </c>
      <c r="D10" s="0" t="n">
        <f aca="false">-D6*D9/100</f>
        <v>-380.653417872</v>
      </c>
      <c r="E10" s="0" t="n">
        <f aca="false">-E6*E9/100</f>
        <v>-386.7332988519</v>
      </c>
      <c r="F10" s="0" t="n">
        <f aca="false">-F6*F9/100</f>
        <v>-390.711127068662</v>
      </c>
      <c r="G10" s="0" t="n">
        <f aca="false">-G6*G9/100</f>
        <v>-392.492310147946</v>
      </c>
      <c r="H10" s="0" t="n">
        <f aca="false">-H6*H9/100</f>
        <v>-392.016561893221</v>
      </c>
      <c r="I10" s="0" t="n">
        <f aca="false">-I6*I9/100</f>
        <v>-391.15902566408</v>
      </c>
      <c r="J10" s="0" t="n">
        <f aca="false">-J6*J9/100</f>
        <v>-388.004517392595</v>
      </c>
      <c r="K10" s="0" t="n">
        <f aca="false">-K6*K9/100</f>
        <v>-397.70463032741</v>
      </c>
      <c r="L10" s="0" t="n">
        <f aca="false">-L6*L9/100</f>
        <v>-405.658722933958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1792.49493072</v>
      </c>
      <c r="D11" s="0" t="n">
        <f aca="false">D8+D10+D24</f>
        <v>1945.561913568</v>
      </c>
      <c r="E11" s="0" t="n">
        <f aca="false">E8+E10+E24</f>
        <v>2099.4093366246</v>
      </c>
      <c r="F11" s="0" t="n">
        <f aca="false">F8+F10+F24</f>
        <v>2252.33473251347</v>
      </c>
      <c r="G11" s="0" t="n">
        <f aca="false">G8+G10+G24</f>
        <v>2402.52868636015</v>
      </c>
      <c r="H11" s="0" t="n">
        <f aca="false">H8+H10+H24</f>
        <v>2548.10765230594</v>
      </c>
      <c r="I11" s="0" t="n">
        <f aca="false">I8+I10+I24</f>
        <v>2637.16891496105</v>
      </c>
      <c r="J11" s="0" t="n">
        <f aca="false">J8+J10+J24</f>
        <v>2716.03162174817</v>
      </c>
      <c r="K11" s="0" t="n">
        <f aca="false">K8+K10+K24</f>
        <v>2783.93241229187</v>
      </c>
      <c r="L11" s="0" t="n">
        <f aca="false">L8+L10+L24</f>
        <v>2839.61106053771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-281.96549472</v>
      </c>
      <c r="D12" s="4" t="n">
        <f aca="false">-D6*Assumptions!D17/100</f>
        <v>-296.063769456</v>
      </c>
      <c r="E12" s="4" t="n">
        <f aca="false">-E6*Assumptions!E17/100</f>
        <v>-309.38663908152</v>
      </c>
      <c r="F12" s="4" t="n">
        <f aca="false">-F6*Assumptions!F17/100</f>
        <v>-321.762104644781</v>
      </c>
      <c r="G12" s="4" t="n">
        <f aca="false">-G6*Assumptions!G17/100</f>
        <v>-333.023778307348</v>
      </c>
      <c r="H12" s="4" t="n">
        <f aca="false">-H6*Assumptions!H17/100</f>
        <v>-343.014491656569</v>
      </c>
      <c r="I12" s="4" t="n">
        <f aca="false">-I6*Assumptions!I17/100</f>
        <v>-353.304926406266</v>
      </c>
      <c r="J12" s="4" t="n">
        <f aca="false">-J6*Assumptions!J17/100</f>
        <v>-362.137549566422</v>
      </c>
      <c r="K12" s="4" t="n">
        <f aca="false">-K6*Assumptions!K17/100</f>
        <v>-371.190988305583</v>
      </c>
      <c r="L12" s="4" t="n">
        <f aca="false">-L6*Assumptions!L17/100</f>
        <v>-378.614808071694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1510.529436</v>
      </c>
      <c r="D13" s="0" t="n">
        <f aca="false">D11+D12</f>
        <v>1649.498144112</v>
      </c>
      <c r="E13" s="0" t="n">
        <f aca="false">E11+E12</f>
        <v>1790.02269754308</v>
      </c>
      <c r="F13" s="0" t="n">
        <f aca="false">F11+F12</f>
        <v>1930.57262786868</v>
      </c>
      <c r="G13" s="0" t="n">
        <f aca="false">G11+G12</f>
        <v>2069.50490805281</v>
      </c>
      <c r="H13" s="0" t="n">
        <f aca="false">H11+H12</f>
        <v>2205.09316064937</v>
      </c>
      <c r="I13" s="0" t="n">
        <f aca="false">I11+I12</f>
        <v>2283.86398855479</v>
      </c>
      <c r="J13" s="0" t="n">
        <f aca="false">J11+J12</f>
        <v>2353.89407218174</v>
      </c>
      <c r="K13" s="0" t="n">
        <f aca="false">K11+K12</f>
        <v>2412.74142398629</v>
      </c>
      <c r="L13" s="0" t="n">
        <f aca="false">L11+L12</f>
        <v>2460.99625246601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56</v>
      </c>
      <c r="D14" s="4" t="n">
        <f aca="false">Assumptions!D19</f>
        <v>56</v>
      </c>
      <c r="E14" s="4" t="n">
        <f aca="false">Assumptions!E19</f>
        <v>56</v>
      </c>
      <c r="F14" s="4" t="n">
        <f aca="false">Assumptions!F19</f>
        <v>56</v>
      </c>
      <c r="G14" s="4" t="n">
        <f aca="false">Assumptions!G19</f>
        <v>56</v>
      </c>
      <c r="H14" s="4" t="n">
        <f aca="false">Assumptions!H19</f>
        <v>56</v>
      </c>
      <c r="I14" s="4" t="n">
        <f aca="false">Assumptions!I19</f>
        <v>56</v>
      </c>
      <c r="J14" s="4" t="n">
        <f aca="false">Assumptions!J19</f>
        <v>56</v>
      </c>
      <c r="K14" s="4" t="n">
        <f aca="false">Assumptions!K19</f>
        <v>56</v>
      </c>
      <c r="L14" s="4" t="n">
        <f aca="false">Assumptions!L19</f>
        <v>56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664.63295184</v>
      </c>
      <c r="D15" s="0" t="n">
        <f aca="false">D13-MAX(0,D13)*D14/100</f>
        <v>725.77918340928</v>
      </c>
      <c r="E15" s="0" t="n">
        <f aca="false">E13-MAX(0,E13)*E14/100</f>
        <v>787.609986918955</v>
      </c>
      <c r="F15" s="0" t="n">
        <f aca="false">F13-MAX(0,F13)*F14/100</f>
        <v>849.451956262221</v>
      </c>
      <c r="G15" s="0" t="n">
        <f aca="false">G13-MAX(0,G13)*G14/100</f>
        <v>910.582159543235</v>
      </c>
      <c r="H15" s="0" t="n">
        <f aca="false">H13-MAX(0,H13)*H14/100</f>
        <v>970.240990685722</v>
      </c>
      <c r="I15" s="0" t="n">
        <f aca="false">I13-MAX(0,I13)*I14/100</f>
        <v>1004.90015496411</v>
      </c>
      <c r="J15" s="0" t="n">
        <f aca="false">J13-MAX(0,J13)*J14/100</f>
        <v>1035.71339175997</v>
      </c>
      <c r="K15" s="0" t="n">
        <f aca="false">K13-MAX(0,K13)*K14/100</f>
        <v>1061.60622655397</v>
      </c>
      <c r="L15" s="0" t="n">
        <f aca="false">L13-MAX(0,L13)*L14/100</f>
        <v>1082.83835108505</v>
      </c>
    </row>
    <row r="16" customFormat="false" ht="15" hidden="false" customHeight="false" outlineLevel="0" collapsed="false">
      <c r="A16" s="0" t="s">
        <v>125</v>
      </c>
      <c r="C16" s="0" t="n">
        <f aca="false">-C12</f>
        <v>281.96549472</v>
      </c>
      <c r="D16" s="0" t="n">
        <f aca="false">-D12</f>
        <v>296.063769456</v>
      </c>
      <c r="E16" s="0" t="n">
        <f aca="false">-E12</f>
        <v>309.38663908152</v>
      </c>
      <c r="F16" s="0" t="n">
        <f aca="false">-F12</f>
        <v>321.762104644781</v>
      </c>
      <c r="G16" s="0" t="n">
        <f aca="false">-G12</f>
        <v>333.023778307348</v>
      </c>
      <c r="H16" s="0" t="n">
        <f aca="false">-H12</f>
        <v>343.014491656569</v>
      </c>
      <c r="I16" s="0" t="n">
        <f aca="false">-I12</f>
        <v>353.304926406266</v>
      </c>
      <c r="J16" s="0" t="n">
        <f aca="false">-J12</f>
        <v>362.137549566422</v>
      </c>
      <c r="K16" s="0" t="n">
        <f aca="false">-K12</f>
        <v>371.190988305583</v>
      </c>
      <c r="L16" s="0" t="n">
        <f aca="false">-L12</f>
        <v>378.614808071694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-332.31647592</v>
      </c>
      <c r="D17" s="4" t="n">
        <f aca="false">-D6*Assumptions!D18/100</f>
        <v>-348.932299716</v>
      </c>
      <c r="E17" s="4" t="n">
        <f aca="false">-E6*Assumptions!E18/100</f>
        <v>-364.63425320322</v>
      </c>
      <c r="F17" s="4" t="n">
        <f aca="false">-F6*Assumptions!F18/100</f>
        <v>-379.219623331349</v>
      </c>
      <c r="G17" s="4" t="n">
        <f aca="false">-G6*Assumptions!G18/100</f>
        <v>-392.492310147946</v>
      </c>
      <c r="H17" s="4" t="n">
        <f aca="false">-H6*Assumptions!H18/100</f>
        <v>-404.267079452384</v>
      </c>
      <c r="I17" s="4" t="n">
        <f aca="false">-I6*Assumptions!I18/100</f>
        <v>-416.395091835956</v>
      </c>
      <c r="J17" s="4" t="n">
        <f aca="false">-J6*Assumptions!J18/100</f>
        <v>-426.804969131855</v>
      </c>
      <c r="K17" s="4" t="n">
        <f aca="false">-K6*Assumptions!K18/100</f>
        <v>-437.475093360151</v>
      </c>
      <c r="L17" s="4" t="n">
        <f aca="false">-L6*Assumptions!L18/100</f>
        <v>-446.224595227354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58.097286</v>
      </c>
      <c r="D18" s="4" t="n">
        <f aca="false">(D6-C6)*Assumptions!$B$23/100</f>
        <v>75.5264718</v>
      </c>
      <c r="E18" s="4" t="n">
        <f aca="false">(E6-D6)*Assumptions!$B$23/100</f>
        <v>71.3725158509998</v>
      </c>
      <c r="F18" s="4" t="n">
        <f aca="false">(F6-E6)*Assumptions!$B$23/100</f>
        <v>66.2971369460401</v>
      </c>
      <c r="G18" s="4" t="n">
        <f aca="false">(G6-F6)*Assumptions!$B$23/100</f>
        <v>60.3303946208964</v>
      </c>
      <c r="H18" s="4" t="n">
        <f aca="false">(H6-G6)*Assumptions!$B$23/100</f>
        <v>53.5216786565381</v>
      </c>
      <c r="I18" s="4" t="n">
        <f aca="false">(I6-H6)*Assumptions!$B$23/100</f>
        <v>55.1273290162344</v>
      </c>
      <c r="J18" s="4" t="n">
        <f aca="false">(J6-I6)*Assumptions!$B$23/100</f>
        <v>47.3176240722675</v>
      </c>
      <c r="K18" s="4" t="n">
        <f aca="false">(K6-J6)*Assumptions!$B$23/100</f>
        <v>48.5005646740742</v>
      </c>
      <c r="L18" s="4" t="n">
        <f aca="false">(L6-K6)*Assumptions!$B$23/100</f>
        <v>39.7704630327411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672.37925664</v>
      </c>
      <c r="D19" s="0" t="n">
        <f aca="false">D15+D16+D17+D18</f>
        <v>748.43712494928</v>
      </c>
      <c r="E19" s="0" t="n">
        <f aca="false">E15+E16+E17+E18</f>
        <v>803.734888648255</v>
      </c>
      <c r="F19" s="0" t="n">
        <f aca="false">F15+F16+F17+F18</f>
        <v>858.291574521693</v>
      </c>
      <c r="G19" s="0" t="n">
        <f aca="false">G15+G16+G17+G18</f>
        <v>911.444022323533</v>
      </c>
      <c r="H19" s="0" t="n">
        <f aca="false">H15+H16+H17+H18</f>
        <v>962.510081546445</v>
      </c>
      <c r="I19" s="0" t="n">
        <f aca="false">I15+I16+I17+I18</f>
        <v>996.937318550651</v>
      </c>
      <c r="J19" s="0" t="n">
        <f aca="false">J15+J16+J17+J18</f>
        <v>1018.3635962668</v>
      </c>
      <c r="K19" s="0" t="n">
        <f aca="false">K15+K16+K17+K18</f>
        <v>1043.82268617347</v>
      </c>
      <c r="L19" s="0" t="n">
        <f aca="false">L15+L16+L17+L18</f>
        <v>1054.99902696213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614.044983232877</v>
      </c>
      <c r="D21" s="0" t="n">
        <f aca="false">D19*D20</f>
        <v>624.204770500432</v>
      </c>
      <c r="E21" s="0" t="n">
        <f aca="false">E19*E20</f>
        <v>612.167773415028</v>
      </c>
      <c r="F21" s="0" t="n">
        <f aca="false">F19*F20</f>
        <v>597.005555550886</v>
      </c>
      <c r="G21" s="0" t="n">
        <f aca="false">G19*G20</f>
        <v>578.974458335687</v>
      </c>
      <c r="H21" s="0" t="n">
        <f aca="false">H19*H20</f>
        <v>558.368065672148</v>
      </c>
      <c r="I21" s="0" t="n">
        <f aca="false">I19*I20</f>
        <v>528.164271216438</v>
      </c>
      <c r="J21" s="0" t="n">
        <f aca="false">J19*J20</f>
        <v>492.708338968792</v>
      </c>
      <c r="K21" s="0" t="n">
        <f aca="false">K19*K20</f>
        <v>461.211002231061</v>
      </c>
      <c r="L21" s="0" t="n">
        <f aca="false">L19*L20</f>
        <v>425.707074375528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5492.55629349888</v>
      </c>
    </row>
    <row r="31" customFormat="false" ht="15" hidden="false" customHeight="false" outlineLevel="0" collapsed="false">
      <c r="A31" s="0" t="s">
        <v>134</v>
      </c>
      <c r="B31" s="0" t="n">
        <f aca="false">L19</f>
        <v>1054.99902696213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14347.9867666849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15824.9854044319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14347.9867666849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5789.61621150719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11282.1725050061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37986.1995050061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32.3936988029083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0.335272003417488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2435.17410809356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2226.17107562703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36.3687795918651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8277.68467308746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28.1879859228902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7</v>
      </c>
      <c r="D5" s="4" t="n">
        <f aca="false">Assumptions!D27</f>
        <v>9.5</v>
      </c>
      <c r="E5" s="4" t="n">
        <f aca="false">Assumptions!E27</f>
        <v>9</v>
      </c>
      <c r="F5" s="4" t="n">
        <f aca="false">Assumptions!F27</f>
        <v>8.5</v>
      </c>
      <c r="G5" s="4" t="n">
        <f aca="false">Assumptions!G27</f>
        <v>7.5</v>
      </c>
      <c r="H5" s="4" t="n">
        <f aca="false">Assumptions!H27</f>
        <v>6.5</v>
      </c>
      <c r="I5" s="4" t="n">
        <f aca="false">Assumptions!I27</f>
        <v>6</v>
      </c>
      <c r="J5" s="4" t="n">
        <f aca="false">Assumptions!J27</f>
        <v>5.5</v>
      </c>
      <c r="K5" s="4" t="n">
        <f aca="false">Assumptions!K27</f>
        <v>5</v>
      </c>
      <c r="L5" s="4" t="n">
        <f aca="false">Assumptions!L27</f>
        <v>4.5</v>
      </c>
    </row>
    <row r="6" customFormat="false" ht="15" hidden="false" customHeight="false" outlineLevel="0" collapsed="false">
      <c r="A6" s="0" t="s">
        <v>38</v>
      </c>
      <c r="B6" s="3" t="n">
        <v>9682.881</v>
      </c>
      <c r="C6" s="0" t="n">
        <f aca="false">B6*(1+C5/100)</f>
        <v>10360.68267</v>
      </c>
      <c r="D6" s="0" t="n">
        <f aca="false">C6*(1+D5/100)</f>
        <v>11344.94752365</v>
      </c>
      <c r="E6" s="0" t="n">
        <f aca="false">D6*(1+E5/100)</f>
        <v>12365.9928007785</v>
      </c>
      <c r="F6" s="0" t="n">
        <f aca="false">E6*(1+F5/100)</f>
        <v>13417.1021888447</v>
      </c>
      <c r="G6" s="0" t="n">
        <f aca="false">F6*(1+G5/100)</f>
        <v>14423.384853008</v>
      </c>
      <c r="H6" s="0" t="n">
        <f aca="false">G6*(1+H5/100)</f>
        <v>15360.9048684535</v>
      </c>
      <c r="I6" s="0" t="n">
        <f aca="false">H6*(1+I5/100)</f>
        <v>16282.5591605608</v>
      </c>
      <c r="J6" s="0" t="n">
        <f aca="false">I6*(1+J5/100)</f>
        <v>17178.0999143916</v>
      </c>
      <c r="K6" s="0" t="n">
        <f aca="false">J6*(1+K5/100)</f>
        <v>18037.0049101112</v>
      </c>
      <c r="L6" s="0" t="n">
        <f aca="false">K6*(1+L5/100)</f>
        <v>18848.6701310662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23</v>
      </c>
      <c r="D7" s="4" t="n">
        <f aca="false">Assumptions!D28</f>
        <v>24.5</v>
      </c>
      <c r="E7" s="4" t="n">
        <f aca="false">Assumptions!E28</f>
        <v>26</v>
      </c>
      <c r="F7" s="4" t="n">
        <f aca="false">Assumptions!F28</f>
        <v>27.5</v>
      </c>
      <c r="G7" s="4" t="n">
        <f aca="false">Assumptions!G28</f>
        <v>28.5</v>
      </c>
      <c r="H7" s="4" t="n">
        <f aca="false">Assumptions!H28</f>
        <v>29.5</v>
      </c>
      <c r="I7" s="4" t="n">
        <f aca="false">Assumptions!I28</f>
        <v>30</v>
      </c>
      <c r="J7" s="4" t="n">
        <f aca="false">Assumptions!J28</f>
        <v>30</v>
      </c>
      <c r="K7" s="4" t="n">
        <f aca="false">Assumptions!K28</f>
        <v>30</v>
      </c>
      <c r="L7" s="4" t="n">
        <f aca="false">Assumptions!L28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2382.9570141</v>
      </c>
      <c r="D8" s="0" t="n">
        <f aca="false">D6*D7/100</f>
        <v>2779.51214329425</v>
      </c>
      <c r="E8" s="0" t="n">
        <f aca="false">E6*E7/100</f>
        <v>3215.15812820241</v>
      </c>
      <c r="F8" s="0" t="n">
        <f aca="false">F6*F7/100</f>
        <v>3689.70310193229</v>
      </c>
      <c r="G8" s="0" t="n">
        <f aca="false">G6*G7/100</f>
        <v>4110.66468310729</v>
      </c>
      <c r="H8" s="0" t="n">
        <f aca="false">H6*H7/100</f>
        <v>4531.4669361938</v>
      </c>
      <c r="I8" s="0" t="n">
        <f aca="false">I6*I7/100</f>
        <v>4884.76774816823</v>
      </c>
      <c r="J8" s="0" t="n">
        <f aca="false">J6*J7/100</f>
        <v>5153.42997431748</v>
      </c>
      <c r="K8" s="0" t="n">
        <f aca="false">K6*K7/100</f>
        <v>5411.10147303335</v>
      </c>
      <c r="L8" s="0" t="n">
        <f aca="false">L6*L7/100</f>
        <v>5654.60103931986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3.5</v>
      </c>
      <c r="D9" s="4" t="n">
        <f aca="false">Assumptions!D29</f>
        <v>3.4</v>
      </c>
      <c r="E9" s="4" t="n">
        <f aca="false">Assumptions!E29</f>
        <v>3.3</v>
      </c>
      <c r="F9" s="4" t="n">
        <f aca="false">Assumptions!F29</f>
        <v>3.2</v>
      </c>
      <c r="G9" s="4" t="n">
        <f aca="false">Assumptions!G29</f>
        <v>3.1</v>
      </c>
      <c r="H9" s="4" t="n">
        <f aca="false">Assumptions!H29</f>
        <v>3</v>
      </c>
      <c r="I9" s="4" t="n">
        <f aca="false">Assumptions!I29</f>
        <v>2.9</v>
      </c>
      <c r="J9" s="4" t="n">
        <f aca="false">Assumptions!J29</f>
        <v>2.8</v>
      </c>
      <c r="K9" s="4" t="n">
        <f aca="false">Assumptions!K29</f>
        <v>2.7</v>
      </c>
      <c r="L9" s="4" t="n">
        <f aca="false">Assumptions!L29</f>
        <v>2.6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-362.62389345</v>
      </c>
      <c r="D10" s="0" t="n">
        <f aca="false">-D6*D9/100</f>
        <v>-385.7282158041</v>
      </c>
      <c r="E10" s="0" t="n">
        <f aca="false">-E6*E9/100</f>
        <v>-408.077762425691</v>
      </c>
      <c r="F10" s="0" t="n">
        <f aca="false">-F6*F9/100</f>
        <v>-429.34727004303</v>
      </c>
      <c r="G10" s="0" t="n">
        <f aca="false">-G6*G9/100</f>
        <v>-447.124930443249</v>
      </c>
      <c r="H10" s="0" t="n">
        <f aca="false">-H6*H9/100</f>
        <v>-460.827146053606</v>
      </c>
      <c r="I10" s="0" t="n">
        <f aca="false">-I6*I9/100</f>
        <v>-472.194215656262</v>
      </c>
      <c r="J10" s="0" t="n">
        <f aca="false">-J6*J9/100</f>
        <v>-480.986797602965</v>
      </c>
      <c r="K10" s="0" t="n">
        <f aca="false">-K6*K9/100</f>
        <v>-486.999132573002</v>
      </c>
      <c r="L10" s="0" t="n">
        <f aca="false">-L6*L9/100</f>
        <v>-490.065423407721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2020.33312065</v>
      </c>
      <c r="D11" s="0" t="n">
        <f aca="false">D8+D10+D24</f>
        <v>2393.78392749015</v>
      </c>
      <c r="E11" s="0" t="n">
        <f aca="false">E8+E10+E24</f>
        <v>2807.08036577672</v>
      </c>
      <c r="F11" s="0" t="n">
        <f aca="false">F8+F10+F24</f>
        <v>3260.35583188926</v>
      </c>
      <c r="G11" s="0" t="n">
        <f aca="false">G8+G10+G24</f>
        <v>3663.53975266404</v>
      </c>
      <c r="H11" s="0" t="n">
        <f aca="false">H8+H10+H24</f>
        <v>4070.63979014019</v>
      </c>
      <c r="I11" s="0" t="n">
        <f aca="false">I8+I10+I24</f>
        <v>4412.57353251197</v>
      </c>
      <c r="J11" s="0" t="n">
        <f aca="false">J8+J10+J24</f>
        <v>4672.44317671452</v>
      </c>
      <c r="K11" s="0" t="n">
        <f aca="false">K8+K10+K24</f>
        <v>4924.10234046035</v>
      </c>
      <c r="L11" s="0" t="n">
        <f aca="false">L8+L10+L24</f>
        <v>5164.53561591213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-290.09911476</v>
      </c>
      <c r="D12" s="4" t="n">
        <f aca="false">-D6*Assumptions!D31/100</f>
        <v>-317.6585306622</v>
      </c>
      <c r="E12" s="4" t="n">
        <f aca="false">-E6*Assumptions!E31/100</f>
        <v>-346.247798421798</v>
      </c>
      <c r="F12" s="4" t="n">
        <f aca="false">-F6*Assumptions!F31/100</f>
        <v>-375.678861287651</v>
      </c>
      <c r="G12" s="4" t="n">
        <f aca="false">-G6*Assumptions!G31/100</f>
        <v>-403.854775884225</v>
      </c>
      <c r="H12" s="4" t="n">
        <f aca="false">-H6*Assumptions!H31/100</f>
        <v>-430.105336316699</v>
      </c>
      <c r="I12" s="4" t="n">
        <f aca="false">-I6*Assumptions!I31/100</f>
        <v>-455.911656495701</v>
      </c>
      <c r="J12" s="4" t="n">
        <f aca="false">-J6*Assumptions!J31/100</f>
        <v>-480.986797602965</v>
      </c>
      <c r="K12" s="4" t="n">
        <f aca="false">-K6*Assumptions!K31/100</f>
        <v>-505.036137483113</v>
      </c>
      <c r="L12" s="4" t="n">
        <f aca="false">-L6*Assumptions!L31/100</f>
        <v>-527.762763669853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1730.23400589</v>
      </c>
      <c r="D13" s="0" t="n">
        <f aca="false">D11+D12</f>
        <v>2076.12539682795</v>
      </c>
      <c r="E13" s="0" t="n">
        <f aca="false">E11+E12</f>
        <v>2460.83256735492</v>
      </c>
      <c r="F13" s="0" t="n">
        <f aca="false">F11+F12</f>
        <v>2884.67697060161</v>
      </c>
      <c r="G13" s="0" t="n">
        <f aca="false">G11+G12</f>
        <v>3259.68497677981</v>
      </c>
      <c r="H13" s="0" t="n">
        <f aca="false">H11+H12</f>
        <v>3640.53445382349</v>
      </c>
      <c r="I13" s="0" t="n">
        <f aca="false">I11+I12</f>
        <v>3956.66187601626</v>
      </c>
      <c r="J13" s="0" t="n">
        <f aca="false">J11+J12</f>
        <v>4191.45637911155</v>
      </c>
      <c r="K13" s="0" t="n">
        <f aca="false">K11+K12</f>
        <v>4419.06620297724</v>
      </c>
      <c r="L13" s="0" t="n">
        <f aca="false">L11+L12</f>
        <v>4636.77285224228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50</v>
      </c>
      <c r="D14" s="4" t="n">
        <f aca="false">Assumptions!D33</f>
        <v>50</v>
      </c>
      <c r="E14" s="4" t="n">
        <f aca="false">Assumptions!E33</f>
        <v>50</v>
      </c>
      <c r="F14" s="4" t="n">
        <f aca="false">Assumptions!F33</f>
        <v>50</v>
      </c>
      <c r="G14" s="4" t="n">
        <f aca="false">Assumptions!G33</f>
        <v>50</v>
      </c>
      <c r="H14" s="4" t="n">
        <f aca="false">Assumptions!H33</f>
        <v>50</v>
      </c>
      <c r="I14" s="4" t="n">
        <f aca="false">Assumptions!I33</f>
        <v>50</v>
      </c>
      <c r="J14" s="4" t="n">
        <f aca="false">Assumptions!J33</f>
        <v>50</v>
      </c>
      <c r="K14" s="4" t="n">
        <f aca="false">Assumptions!K33</f>
        <v>50</v>
      </c>
      <c r="L14" s="4" t="n">
        <f aca="false">Assumptions!L33</f>
        <v>50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865.117002945</v>
      </c>
      <c r="D15" s="0" t="n">
        <f aca="false">D13-MAX(0,D13)*D14/100</f>
        <v>1038.06269841398</v>
      </c>
      <c r="E15" s="0" t="n">
        <f aca="false">E13-MAX(0,E13)*E14/100</f>
        <v>1230.41628367746</v>
      </c>
      <c r="F15" s="0" t="n">
        <f aca="false">F13-MAX(0,F13)*F14/100</f>
        <v>1442.3384853008</v>
      </c>
      <c r="G15" s="0" t="n">
        <f aca="false">G13-MAX(0,G13)*G14/100</f>
        <v>1629.84248838991</v>
      </c>
      <c r="H15" s="0" t="n">
        <f aca="false">H13-MAX(0,H13)*H14/100</f>
        <v>1820.26722691175</v>
      </c>
      <c r="I15" s="0" t="n">
        <f aca="false">I13-MAX(0,I13)*I14/100</f>
        <v>1978.33093800813</v>
      </c>
      <c r="J15" s="0" t="n">
        <f aca="false">J13-MAX(0,J13)*J14/100</f>
        <v>2095.72818955578</v>
      </c>
      <c r="K15" s="0" t="n">
        <f aca="false">K13-MAX(0,K13)*K14/100</f>
        <v>2209.53310148862</v>
      </c>
      <c r="L15" s="0" t="n">
        <f aca="false">L13-MAX(0,L13)*L14/100</f>
        <v>2318.38642612114</v>
      </c>
    </row>
    <row r="16" customFormat="false" ht="15" hidden="false" customHeight="false" outlineLevel="0" collapsed="false">
      <c r="A16" s="0" t="s">
        <v>125</v>
      </c>
      <c r="C16" s="0" t="n">
        <f aca="false">-C12</f>
        <v>290.09911476</v>
      </c>
      <c r="D16" s="0" t="n">
        <f aca="false">-D12</f>
        <v>317.6585306622</v>
      </c>
      <c r="E16" s="0" t="n">
        <f aca="false">-E12</f>
        <v>346.247798421798</v>
      </c>
      <c r="F16" s="0" t="n">
        <f aca="false">-F12</f>
        <v>375.678861287651</v>
      </c>
      <c r="G16" s="0" t="n">
        <f aca="false">-G12</f>
        <v>403.854775884225</v>
      </c>
      <c r="H16" s="0" t="n">
        <f aca="false">-H12</f>
        <v>430.105336316699</v>
      </c>
      <c r="I16" s="0" t="n">
        <f aca="false">-I12</f>
        <v>455.911656495701</v>
      </c>
      <c r="J16" s="0" t="n">
        <f aca="false">-J12</f>
        <v>480.986797602965</v>
      </c>
      <c r="K16" s="0" t="n">
        <f aca="false">-K12</f>
        <v>505.036137483113</v>
      </c>
      <c r="L16" s="0" t="n">
        <f aca="false">-L12</f>
        <v>527.762763669853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-341.90252811</v>
      </c>
      <c r="D17" s="4" t="n">
        <f aca="false">-D6*Assumptions!D32/100</f>
        <v>-374.38326828045</v>
      </c>
      <c r="E17" s="4" t="n">
        <f aca="false">-E6*Assumptions!E32/100</f>
        <v>-408.077762425691</v>
      </c>
      <c r="F17" s="4" t="n">
        <f aca="false">-F6*Assumptions!F32/100</f>
        <v>-442.764372231874</v>
      </c>
      <c r="G17" s="4" t="n">
        <f aca="false">-G6*Assumptions!G32/100</f>
        <v>-475.971700149265</v>
      </c>
      <c r="H17" s="4" t="n">
        <f aca="false">-H6*Assumptions!H32/100</f>
        <v>-506.909860658967</v>
      </c>
      <c r="I17" s="4" t="n">
        <f aca="false">-I6*Assumptions!I32/100</f>
        <v>-537.324452298505</v>
      </c>
      <c r="J17" s="4" t="n">
        <f aca="false">-J6*Assumptions!J32/100</f>
        <v>-566.877297174923</v>
      </c>
      <c r="K17" s="4" t="n">
        <f aca="false">-K6*Assumptions!K32/100</f>
        <v>-595.221162033669</v>
      </c>
      <c r="L17" s="4" t="n">
        <f aca="false">-L6*Assumptions!L32/100</f>
        <v>-622.006114325184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135.560334</v>
      </c>
      <c r="D18" s="4" t="n">
        <f aca="false">(D6-C6)*Assumptions!$B$37/100</f>
        <v>196.85297073</v>
      </c>
      <c r="E18" s="4" t="n">
        <f aca="false">(E6-D6)*Assumptions!$B$37/100</f>
        <v>204.2090554257</v>
      </c>
      <c r="F18" s="4" t="n">
        <f aca="false">(F6-E6)*Assumptions!$B$37/100</f>
        <v>210.221877613234</v>
      </c>
      <c r="G18" s="4" t="n">
        <f aca="false">(G6-F6)*Assumptions!$B$37/100</f>
        <v>201.25653283267</v>
      </c>
      <c r="H18" s="4" t="n">
        <f aca="false">(H6-G6)*Assumptions!$B$37/100</f>
        <v>187.504003089104</v>
      </c>
      <c r="I18" s="4" t="n">
        <f aca="false">(I6-H6)*Assumptions!$B$37/100</f>
        <v>184.330858421443</v>
      </c>
      <c r="J18" s="4" t="n">
        <f aca="false">(J6-I6)*Assumptions!$B$37/100</f>
        <v>179.108150766168</v>
      </c>
      <c r="K18" s="4" t="n">
        <f aca="false">(K6-J6)*Assumptions!$B$37/100</f>
        <v>171.780999143916</v>
      </c>
      <c r="L18" s="4" t="n">
        <f aca="false">(L6-K6)*Assumptions!$B$37/100</f>
        <v>162.333044191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948.873923595</v>
      </c>
      <c r="D19" s="0" t="n">
        <f aca="false">D15+D16+D17+D18</f>
        <v>1178.19093152573</v>
      </c>
      <c r="E19" s="0" t="n">
        <f aca="false">E15+E16+E17+E18</f>
        <v>1372.79537509927</v>
      </c>
      <c r="F19" s="0" t="n">
        <f aca="false">F15+F16+F17+F18</f>
        <v>1585.47485196981</v>
      </c>
      <c r="G19" s="0" t="n">
        <f aca="false">G15+G16+G17+G18</f>
        <v>1758.98209695754</v>
      </c>
      <c r="H19" s="0" t="n">
        <f aca="false">H15+H16+H17+H18</f>
        <v>1930.96670565858</v>
      </c>
      <c r="I19" s="0" t="n">
        <f aca="false">I15+I16+I17+I18</f>
        <v>2081.24900062677</v>
      </c>
      <c r="J19" s="0" t="n">
        <f aca="false">J15+J16+J17+J18</f>
        <v>2188.94584074999</v>
      </c>
      <c r="K19" s="0" t="n">
        <f aca="false">K15+K16+K17+K18</f>
        <v>2291.12907608198</v>
      </c>
      <c r="L19" s="0" t="n">
        <f aca="false">L15+L16+L17+L18</f>
        <v>2386.47611965681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866.55152839726</v>
      </c>
      <c r="D21" s="0" t="n">
        <f aca="false">D19*D20</f>
        <v>982.624158400138</v>
      </c>
      <c r="E21" s="0" t="n">
        <f aca="false">E19*E20</f>
        <v>1045.59488457985</v>
      </c>
      <c r="F21" s="0" t="n">
        <f aca="false">F19*F20</f>
        <v>1102.81554999498</v>
      </c>
      <c r="G21" s="0" t="n">
        <f aca="false">G19*G20</f>
        <v>1117.35409072293</v>
      </c>
      <c r="H21" s="0" t="n">
        <f aca="false">H19*H20</f>
        <v>1120.18581933562</v>
      </c>
      <c r="I21" s="0" t="n">
        <f aca="false">I19*I20</f>
        <v>1102.61833034203</v>
      </c>
      <c r="J21" s="0" t="n">
        <f aca="false">J19*J20</f>
        <v>1059.06365196308</v>
      </c>
      <c r="K21" s="0" t="n">
        <f aca="false">K19*K20</f>
        <v>1012.3308790061</v>
      </c>
      <c r="L21" s="0" t="n">
        <f aca="false">L19*L20</f>
        <v>962.976970596423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10372.1158633384</v>
      </c>
    </row>
    <row r="31" customFormat="false" ht="15" hidden="false" customHeight="false" outlineLevel="0" collapsed="false">
      <c r="A31" s="0" t="s">
        <v>134</v>
      </c>
      <c r="B31" s="0" t="n">
        <f aca="false">L19</f>
        <v>2386.47611965681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34944.8288949747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42956.5701538226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34944.8288949747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14100.7342123048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24472.8500756432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51176.8770756432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43.6423849520237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0.798944144766021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2709.48446102429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2895.60085064107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48.4222641638612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19569.1041811858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33.697287258137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10</v>
      </c>
      <c r="D5" s="4" t="n">
        <f aca="false">Assumptions!D41</f>
        <v>14</v>
      </c>
      <c r="E5" s="4" t="n">
        <f aca="false">Assumptions!E41</f>
        <v>13</v>
      </c>
      <c r="F5" s="4" t="n">
        <f aca="false">Assumptions!F41</f>
        <v>12</v>
      </c>
      <c r="G5" s="4" t="n">
        <f aca="false">Assumptions!G41</f>
        <v>10</v>
      </c>
      <c r="H5" s="4" t="n">
        <f aca="false">Assumptions!H41</f>
        <v>8.5</v>
      </c>
      <c r="I5" s="4" t="n">
        <f aca="false">Assumptions!I41</f>
        <v>7.5</v>
      </c>
      <c r="J5" s="4" t="n">
        <f aca="false">Assumptions!J41</f>
        <v>6.5</v>
      </c>
      <c r="K5" s="4" t="n">
        <f aca="false">Assumptions!K41</f>
        <v>5.5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9682.881</v>
      </c>
      <c r="C6" s="0" t="n">
        <f aca="false">B6*(1+C5/100)</f>
        <v>10651.1691</v>
      </c>
      <c r="D6" s="0" t="n">
        <f aca="false">C6*(1+D5/100)</f>
        <v>12142.332774</v>
      </c>
      <c r="E6" s="0" t="n">
        <f aca="false">D6*(1+E5/100)</f>
        <v>13720.83603462</v>
      </c>
      <c r="F6" s="0" t="n">
        <f aca="false">E6*(1+F5/100)</f>
        <v>15367.3363587744</v>
      </c>
      <c r="G6" s="0" t="n">
        <f aca="false">F6*(1+G5/100)</f>
        <v>16904.0699946518</v>
      </c>
      <c r="H6" s="0" t="n">
        <f aca="false">G6*(1+H5/100)</f>
        <v>18340.9159441972</v>
      </c>
      <c r="I6" s="0" t="n">
        <f aca="false">H6*(1+I5/100)</f>
        <v>19716.484640012</v>
      </c>
      <c r="J6" s="0" t="n">
        <f aca="false">I6*(1+J5/100)</f>
        <v>20998.0561416128</v>
      </c>
      <c r="K6" s="0" t="n">
        <f aca="false">J6*(1+K5/100)</f>
        <v>22152.9492294015</v>
      </c>
      <c r="L6" s="0" t="n">
        <f aca="false">K6*(1+L5/100)</f>
        <v>23260.5966908716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24</v>
      </c>
      <c r="D7" s="4" t="n">
        <f aca="false">Assumptions!D42</f>
        <v>26.5</v>
      </c>
      <c r="E7" s="4" t="n">
        <f aca="false">Assumptions!E42</f>
        <v>29</v>
      </c>
      <c r="F7" s="4" t="n">
        <f aca="false">Assumptions!F42</f>
        <v>31</v>
      </c>
      <c r="G7" s="4" t="n">
        <f aca="false">Assumptions!G42</f>
        <v>32.5</v>
      </c>
      <c r="H7" s="4" t="n">
        <f aca="false">Assumptions!H42</f>
        <v>33.5</v>
      </c>
      <c r="I7" s="4" t="n">
        <f aca="false">Assumptions!I42</f>
        <v>34</v>
      </c>
      <c r="J7" s="4" t="n">
        <f aca="false">Assumptions!J42</f>
        <v>34</v>
      </c>
      <c r="K7" s="4" t="n">
        <f aca="false">Assumptions!K42</f>
        <v>34</v>
      </c>
      <c r="L7" s="4" t="n">
        <f aca="false">Assumptions!L42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2556.280584</v>
      </c>
      <c r="D8" s="0" t="n">
        <f aca="false">D6*D7/100</f>
        <v>3217.71818511</v>
      </c>
      <c r="E8" s="0" t="n">
        <f aca="false">E6*E7/100</f>
        <v>3979.0424500398</v>
      </c>
      <c r="F8" s="0" t="n">
        <f aca="false">F6*F7/100</f>
        <v>4763.87427122007</v>
      </c>
      <c r="G8" s="0" t="n">
        <f aca="false">G6*G7/100</f>
        <v>5493.82274826185</v>
      </c>
      <c r="H8" s="0" t="n">
        <f aca="false">H6*H7/100</f>
        <v>6144.20684130608</v>
      </c>
      <c r="I8" s="0" t="n">
        <f aca="false">I6*I7/100</f>
        <v>6703.60477760409</v>
      </c>
      <c r="J8" s="0" t="n">
        <f aca="false">J6*J7/100</f>
        <v>7139.33908814836</v>
      </c>
      <c r="K8" s="0" t="n">
        <f aca="false">K6*K7/100</f>
        <v>7532.00273799652</v>
      </c>
      <c r="L8" s="0" t="n">
        <f aca="false">L6*L7/100</f>
        <v>7908.60287489634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3.5</v>
      </c>
      <c r="D9" s="4" t="n">
        <f aca="false">Assumptions!D43</f>
        <v>3.4</v>
      </c>
      <c r="E9" s="4" t="n">
        <f aca="false">Assumptions!E43</f>
        <v>3.3</v>
      </c>
      <c r="F9" s="4" t="n">
        <f aca="false">Assumptions!F43</f>
        <v>3.2</v>
      </c>
      <c r="G9" s="4" t="n">
        <f aca="false">Assumptions!G43</f>
        <v>3.1</v>
      </c>
      <c r="H9" s="4" t="n">
        <f aca="false">Assumptions!H43</f>
        <v>3</v>
      </c>
      <c r="I9" s="4" t="n">
        <f aca="false">Assumptions!I43</f>
        <v>2.9</v>
      </c>
      <c r="J9" s="4" t="n">
        <f aca="false">Assumptions!J43</f>
        <v>2.8</v>
      </c>
      <c r="K9" s="4" t="n">
        <f aca="false">Assumptions!K43</f>
        <v>2.7</v>
      </c>
      <c r="L9" s="4" t="n">
        <f aca="false">Assumptions!L43</f>
        <v>2.6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-372.7909185</v>
      </c>
      <c r="D10" s="0" t="n">
        <f aca="false">-D6*D9/100</f>
        <v>-412.839314316</v>
      </c>
      <c r="E10" s="0" t="n">
        <f aca="false">-E6*E9/100</f>
        <v>-452.78758914246</v>
      </c>
      <c r="F10" s="0" t="n">
        <f aca="false">-F6*F9/100</f>
        <v>-491.754763480781</v>
      </c>
      <c r="G10" s="0" t="n">
        <f aca="false">-G6*G9/100</f>
        <v>-524.026169834207</v>
      </c>
      <c r="H10" s="0" t="n">
        <f aca="false">-H6*H9/100</f>
        <v>-550.227478325917</v>
      </c>
      <c r="I10" s="0" t="n">
        <f aca="false">-I6*I9/100</f>
        <v>-571.778054560349</v>
      </c>
      <c r="J10" s="0" t="n">
        <f aca="false">-J6*J9/100</f>
        <v>-587.945571965159</v>
      </c>
      <c r="K10" s="0" t="n">
        <f aca="false">-K6*K9/100</f>
        <v>-598.129629193841</v>
      </c>
      <c r="L10" s="0" t="n">
        <f aca="false">-L6*L9/100</f>
        <v>-604.775513962662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2183.4896655</v>
      </c>
      <c r="D11" s="0" t="n">
        <f aca="false">D8+D10+D24</f>
        <v>2804.878870794</v>
      </c>
      <c r="E11" s="0" t="n">
        <f aca="false">E8+E10+E24</f>
        <v>3526.25486089734</v>
      </c>
      <c r="F11" s="0" t="n">
        <f aca="false">F8+F10+F24</f>
        <v>4272.11950773928</v>
      </c>
      <c r="G11" s="0" t="n">
        <f aca="false">G8+G10+G24</f>
        <v>4969.79657842764</v>
      </c>
      <c r="H11" s="0" t="n">
        <f aca="false">H8+H10+H24</f>
        <v>5593.97936298016</v>
      </c>
      <c r="I11" s="0" t="n">
        <f aca="false">I8+I10+I24</f>
        <v>6131.82672304374</v>
      </c>
      <c r="J11" s="0" t="n">
        <f aca="false">J8+J10+J24</f>
        <v>6551.3935161832</v>
      </c>
      <c r="K11" s="0" t="n">
        <f aca="false">K8+K10+K24</f>
        <v>6933.87310880268</v>
      </c>
      <c r="L11" s="0" t="n">
        <f aca="false">L8+L10+L24</f>
        <v>7303.82736093368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-298.2327348</v>
      </c>
      <c r="D12" s="4" t="n">
        <f aca="false">-D6*Assumptions!D45/100</f>
        <v>-339.985317672</v>
      </c>
      <c r="E12" s="4" t="n">
        <f aca="false">-E6*Assumptions!E45/100</f>
        <v>-384.18340896936</v>
      </c>
      <c r="F12" s="4" t="n">
        <f aca="false">-F6*Assumptions!F45/100</f>
        <v>-430.285418045683</v>
      </c>
      <c r="G12" s="4" t="n">
        <f aca="false">-G6*Assumptions!G45/100</f>
        <v>-473.313959850252</v>
      </c>
      <c r="H12" s="4" t="n">
        <f aca="false">-H6*Assumptions!H45/100</f>
        <v>-513.545646437523</v>
      </c>
      <c r="I12" s="4" t="n">
        <f aca="false">-I6*Assumptions!I45/100</f>
        <v>-552.061569920337</v>
      </c>
      <c r="J12" s="4" t="n">
        <f aca="false">-J6*Assumptions!J45/100</f>
        <v>-587.945571965159</v>
      </c>
      <c r="K12" s="4" t="n">
        <f aca="false">-K6*Assumptions!K45/100</f>
        <v>-620.282578423243</v>
      </c>
      <c r="L12" s="4" t="n">
        <f aca="false">-L6*Assumptions!L45/100</f>
        <v>-651.296707344405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1885.2569307</v>
      </c>
      <c r="D13" s="0" t="n">
        <f aca="false">D11+D12</f>
        <v>2464.893553122</v>
      </c>
      <c r="E13" s="0" t="n">
        <f aca="false">E11+E12</f>
        <v>3142.07145192798</v>
      </c>
      <c r="F13" s="0" t="n">
        <f aca="false">F11+F12</f>
        <v>3841.8340896936</v>
      </c>
      <c r="G13" s="0" t="n">
        <f aca="false">G11+G12</f>
        <v>4496.48261857739</v>
      </c>
      <c r="H13" s="0" t="n">
        <f aca="false">H11+H12</f>
        <v>5080.43371654264</v>
      </c>
      <c r="I13" s="0" t="n">
        <f aca="false">I11+I12</f>
        <v>5579.76515312341</v>
      </c>
      <c r="J13" s="0" t="n">
        <f aca="false">J11+J12</f>
        <v>5963.44794421804</v>
      </c>
      <c r="K13" s="0" t="n">
        <f aca="false">K11+K12</f>
        <v>6313.59053037943</v>
      </c>
      <c r="L13" s="0" t="n">
        <f aca="false">L11+L12</f>
        <v>6652.53065358928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48</v>
      </c>
      <c r="D14" s="4" t="n">
        <f aca="false">Assumptions!D47</f>
        <v>47</v>
      </c>
      <c r="E14" s="4" t="n">
        <f aca="false">Assumptions!E47</f>
        <v>46</v>
      </c>
      <c r="F14" s="4" t="n">
        <f aca="false">Assumptions!F47</f>
        <v>46</v>
      </c>
      <c r="G14" s="4" t="n">
        <f aca="false">Assumptions!G47</f>
        <v>46</v>
      </c>
      <c r="H14" s="4" t="n">
        <f aca="false">Assumptions!H47</f>
        <v>46</v>
      </c>
      <c r="I14" s="4" t="n">
        <f aca="false">Assumptions!I47</f>
        <v>46</v>
      </c>
      <c r="J14" s="4" t="n">
        <f aca="false">Assumptions!J47</f>
        <v>46</v>
      </c>
      <c r="K14" s="4" t="n">
        <f aca="false">Assumptions!K47</f>
        <v>46</v>
      </c>
      <c r="L14" s="4" t="n">
        <f aca="false">Assumptions!L47</f>
        <v>46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980.333603964001</v>
      </c>
      <c r="D15" s="0" t="n">
        <f aca="false">D13-MAX(0,D13)*D14/100</f>
        <v>1306.39358315466</v>
      </c>
      <c r="E15" s="0" t="n">
        <f aca="false">E13-MAX(0,E13)*E14/100</f>
        <v>1696.71858404111</v>
      </c>
      <c r="F15" s="0" t="n">
        <f aca="false">F13-MAX(0,F13)*F14/100</f>
        <v>2074.59040843454</v>
      </c>
      <c r="G15" s="0" t="n">
        <f aca="false">G13-MAX(0,G13)*G14/100</f>
        <v>2428.10061403179</v>
      </c>
      <c r="H15" s="0" t="n">
        <f aca="false">H13-MAX(0,H13)*H14/100</f>
        <v>2743.43420693302</v>
      </c>
      <c r="I15" s="0" t="n">
        <f aca="false">I13-MAX(0,I13)*I14/100</f>
        <v>3013.07318268664</v>
      </c>
      <c r="J15" s="0" t="n">
        <f aca="false">J13-MAX(0,J13)*J14/100</f>
        <v>3220.26188987774</v>
      </c>
      <c r="K15" s="0" t="n">
        <f aca="false">K13-MAX(0,K13)*K14/100</f>
        <v>3409.33888640489</v>
      </c>
      <c r="L15" s="0" t="n">
        <f aca="false">L13-MAX(0,L13)*L14/100</f>
        <v>3592.36655293821</v>
      </c>
    </row>
    <row r="16" customFormat="false" ht="15" hidden="false" customHeight="false" outlineLevel="0" collapsed="false">
      <c r="A16" s="0" t="s">
        <v>125</v>
      </c>
      <c r="C16" s="0" t="n">
        <f aca="false">-C12</f>
        <v>298.2327348</v>
      </c>
      <c r="D16" s="0" t="n">
        <f aca="false">-D12</f>
        <v>339.985317672</v>
      </c>
      <c r="E16" s="0" t="n">
        <f aca="false">-E12</f>
        <v>384.18340896936</v>
      </c>
      <c r="F16" s="0" t="n">
        <f aca="false">-F12</f>
        <v>430.285418045683</v>
      </c>
      <c r="G16" s="0" t="n">
        <f aca="false">-G12</f>
        <v>473.313959850252</v>
      </c>
      <c r="H16" s="0" t="n">
        <f aca="false">-H12</f>
        <v>513.545646437523</v>
      </c>
      <c r="I16" s="0" t="n">
        <f aca="false">-I12</f>
        <v>552.061569920337</v>
      </c>
      <c r="J16" s="0" t="n">
        <f aca="false">-J12</f>
        <v>587.945571965159</v>
      </c>
      <c r="K16" s="0" t="n">
        <f aca="false">-K12</f>
        <v>620.282578423243</v>
      </c>
      <c r="L16" s="0" t="n">
        <f aca="false">-L12</f>
        <v>651.296707344405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-351.4885803</v>
      </c>
      <c r="D17" s="4" t="n">
        <f aca="false">-D6*Assumptions!D46/100</f>
        <v>-400.696981542</v>
      </c>
      <c r="E17" s="4" t="n">
        <f aca="false">-E6*Assumptions!E46/100</f>
        <v>-452.78758914246</v>
      </c>
      <c r="F17" s="4" t="n">
        <f aca="false">-F6*Assumptions!F46/100</f>
        <v>-507.122099839555</v>
      </c>
      <c r="G17" s="4" t="n">
        <f aca="false">-G6*Assumptions!G46/100</f>
        <v>-557.834309823511</v>
      </c>
      <c r="H17" s="4" t="n">
        <f aca="false">-H6*Assumptions!H46/100</f>
        <v>-605.250226158509</v>
      </c>
      <c r="I17" s="4" t="n">
        <f aca="false">-I6*Assumptions!I46/100</f>
        <v>-650.643993120397</v>
      </c>
      <c r="J17" s="4" t="n">
        <f aca="false">-J6*Assumptions!J46/100</f>
        <v>-692.935852673223</v>
      </c>
      <c r="K17" s="4" t="n">
        <f aca="false">-K6*Assumptions!K46/100</f>
        <v>-731.04732457025</v>
      </c>
      <c r="L17" s="4" t="n">
        <f aca="false">-L6*Assumptions!L46/100</f>
        <v>-767.599690798763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213.023382</v>
      </c>
      <c r="D18" s="4" t="n">
        <f aca="false">(D6-C6)*Assumptions!$B$51/100</f>
        <v>328.05600828</v>
      </c>
      <c r="E18" s="4" t="n">
        <f aca="false">(E6-D6)*Assumptions!$B$51/100</f>
        <v>347.2707173364</v>
      </c>
      <c r="F18" s="4" t="n">
        <f aca="false">(F6-E6)*Assumptions!$B$51/100</f>
        <v>362.230071313968</v>
      </c>
      <c r="G18" s="4" t="n">
        <f aca="false">(G6-F6)*Assumptions!$B$51/100</f>
        <v>338.081399893037</v>
      </c>
      <c r="H18" s="4" t="n">
        <f aca="false">(H6-G6)*Assumptions!$B$51/100</f>
        <v>316.106108899989</v>
      </c>
      <c r="I18" s="4" t="n">
        <f aca="false">(I6-H6)*Assumptions!$B$51/100</f>
        <v>302.625113079254</v>
      </c>
      <c r="J18" s="4" t="n">
        <f aca="false">(J6-I6)*Assumptions!$B$51/100</f>
        <v>281.945730352172</v>
      </c>
      <c r="K18" s="4" t="n">
        <f aca="false">(K6-J6)*Assumptions!$B$51/100</f>
        <v>254.076479313515</v>
      </c>
      <c r="L18" s="4" t="n">
        <f aca="false">(L6-K6)*Assumptions!$B$51/100</f>
        <v>243.682441523417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1140.101140464</v>
      </c>
      <c r="D19" s="0" t="n">
        <f aca="false">D15+D16+D17+D18</f>
        <v>1573.73792756466</v>
      </c>
      <c r="E19" s="0" t="n">
        <f aca="false">E15+E16+E17+E18</f>
        <v>1975.38512120441</v>
      </c>
      <c r="F19" s="0" t="n">
        <f aca="false">F15+F16+F17+F18</f>
        <v>2359.98379795464</v>
      </c>
      <c r="G19" s="0" t="n">
        <f aca="false">G15+G16+G17+G18</f>
        <v>2681.66166395157</v>
      </c>
      <c r="H19" s="0" t="n">
        <f aca="false">H15+H16+H17+H18</f>
        <v>2967.83573611203</v>
      </c>
      <c r="I19" s="0" t="n">
        <f aca="false">I15+I16+I17+I18</f>
        <v>3217.11587256583</v>
      </c>
      <c r="J19" s="0" t="n">
        <f aca="false">J15+J16+J17+J18</f>
        <v>3397.21733952185</v>
      </c>
      <c r="K19" s="0" t="n">
        <f aca="false">K15+K16+K17+K18</f>
        <v>3552.6506195714</v>
      </c>
      <c r="L19" s="0" t="n">
        <f aca="false">L15+L16+L17+L18</f>
        <v>3719.74601100727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1041.18825613151</v>
      </c>
      <c r="D21" s="0" t="n">
        <f aca="false">D19*D20</f>
        <v>1312.51469115712</v>
      </c>
      <c r="E21" s="0" t="n">
        <f aca="false">E19*E20</f>
        <v>1504.55968549363</v>
      </c>
      <c r="F21" s="0" t="n">
        <f aca="false">F19*F20</f>
        <v>1641.54406289513</v>
      </c>
      <c r="G21" s="0" t="n">
        <f aca="false">G19*G20</f>
        <v>1703.46567786783</v>
      </c>
      <c r="H21" s="0" t="n">
        <f aca="false">H19*H20</f>
        <v>1721.69074483152</v>
      </c>
      <c r="I21" s="0" t="n">
        <f aca="false">I19*I20</f>
        <v>1704.3856505671</v>
      </c>
      <c r="J21" s="0" t="n">
        <f aca="false">J19*J20</f>
        <v>1643.65391556402</v>
      </c>
      <c r="K21" s="0" t="n">
        <f aca="false">K19*K20</f>
        <v>1569.73169345068</v>
      </c>
      <c r="L21" s="0" t="n">
        <f aca="false">L19*L20</f>
        <v>1500.97028650889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15343.7046644674</v>
      </c>
    </row>
    <row r="31" customFormat="false" ht="15" hidden="false" customHeight="false" outlineLevel="0" collapsed="false">
      <c r="A31" s="0" t="s">
        <v>134</v>
      </c>
      <c r="B31" s="0" t="n">
        <f aca="false">L19</f>
        <v>3719.74601100727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58943.6675590383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66955.4281981308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58943.6675590383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23784.6060785255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39128.3107429929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65832.3377429929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56.1402021820267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1.31410561343886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3119.45256607472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3867.024071798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62.0980980191972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31927.8199278124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39.4760949925346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32.3936988029083</v>
      </c>
      <c r="C4" s="0" t="n">
        <f aca="false">B4/Assumptions!$B$2-1</f>
        <v>0.335272003417488</v>
      </c>
      <c r="D4" s="4" t="n">
        <f aca="false">Assumptions!$B$24</f>
        <v>0.25</v>
      </c>
      <c r="E4" s="4" t="n">
        <f aca="false">DCF_Bear!$B$43</f>
        <v>36.3687795918651</v>
      </c>
      <c r="F4" s="4" t="n">
        <f aca="false">DCF_Bear!$B$47</f>
        <v>28.1879859228902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43.6423849520237</v>
      </c>
      <c r="C5" s="0" t="n">
        <f aca="false">B5/Assumptions!$B$2-1</f>
        <v>0.798944144766021</v>
      </c>
      <c r="D5" s="4" t="n">
        <f aca="false">Assumptions!$B$38</f>
        <v>0.5</v>
      </c>
      <c r="E5" s="4" t="n">
        <f aca="false">DCF_Base!$B$43</f>
        <v>48.4222641638612</v>
      </c>
      <c r="F5" s="4" t="n">
        <f aca="false">DCF_Base!$B$47</f>
        <v>33.697287258137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56.1402021820267</v>
      </c>
      <c r="C6" s="0" t="n">
        <f aca="false">B6/Assumptions!$B$2-1</f>
        <v>1.31410561343886</v>
      </c>
      <c r="D6" s="4" t="n">
        <f aca="false">Assumptions!$B$52</f>
        <v>0.25</v>
      </c>
      <c r="E6" s="4" t="n">
        <f aca="false">DCF_Bull!$B$43</f>
        <v>62.0980980191972</v>
      </c>
      <c r="F6" s="4" t="n">
        <f aca="false">DCF_Bull!$B$47</f>
        <v>39.4760949925346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43.9546677222456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48.8278514846962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0.448067719376208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-404.143752468336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33.7646638579247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45.4023023572198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43.6423849520237</v>
      </c>
      <c r="C16" s="3" t="n">
        <v>9.5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42.1205464832794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39.6226476739369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37.6603869842242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33.697287258137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49.2883104013327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50.3580282731541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50.3580282731541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50.3580282731541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50.3580282731541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45.1346909114171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46.2078960709505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47.4599687570727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48.2850673474667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48.2850673474667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42.0366395455617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42.7859874019106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43.6423849520237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44.6305359713849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45.7833788273063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39.6412418351169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40.1827934495896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40.7920390158716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41.4825173243244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42.2716353911276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37.736827589407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38.1389556510681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38.5857646084694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39.0851393255649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39.6469358822974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2026-10-22T14:13:04Z</dcterms:created>
  <dc:creator>openpyxl</dc:creator>
  <dc:description/>
  <dc:language>en-NZ</dc:language>
  <cp:lastModifiedBy/>
  <dcterms:modified xsi:type="dcterms:W3CDTF">2026-10-22T14:13:04Z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