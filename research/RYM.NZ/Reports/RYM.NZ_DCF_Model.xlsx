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ull" sheetId="3" state="visible" r:id="rId3"/>
    <sheet xmlns:r="http://schemas.openxmlformats.org/officeDocument/2006/relationships" name="Bear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Ryman Healthcare (RYM.NZ) - NTA/BVPS path x exit P/B model</t>
        </is>
      </c>
    </row>
    <row r="2">
      <c r="A2" s="2" t="inlineStr">
        <is>
          <t>Valuation date</t>
        </is>
      </c>
      <c r="B2" t="inlineStr">
        <is>
          <t>2026-08-27</t>
        </is>
      </c>
    </row>
    <row r="3">
      <c r="A3" s="2" t="inlineStr">
        <is>
          <t>Current price (NZD)</t>
        </is>
      </c>
      <c r="B3" t="n">
        <v>2.13</v>
      </c>
    </row>
    <row r="4">
      <c r="A4" s="2" t="inlineStr">
        <is>
          <t>Shares outstanding (m)</t>
        </is>
      </c>
      <c r="B4" t="n">
        <v>1015.722</v>
      </c>
    </row>
    <row r="5">
      <c r="A5" s="2" t="inlineStr">
        <is>
          <t>Book equity FY2026 (NZ$m)</t>
        </is>
      </c>
      <c r="B5" t="n">
        <v>4077.664</v>
      </c>
    </row>
    <row r="6">
      <c r="A6" s="2" t="inlineStr">
        <is>
          <t>BVPS FY2026 (NZD)</t>
        </is>
      </c>
      <c r="B6">
        <f>B5/B4</f>
        <v/>
      </c>
    </row>
    <row r="7">
      <c r="A7" s="2" t="inlineStr">
        <is>
          <t>Total debt FY2026 (NZ$m)</t>
        </is>
      </c>
      <c r="B7" t="n">
        <v>1581.036</v>
      </c>
    </row>
    <row r="8">
      <c r="A8" s="2" t="inlineStr">
        <is>
          <t>Cash FY2026 (NZ$m)</t>
        </is>
      </c>
      <c r="B8" t="n">
        <v>9.696999999999999</v>
      </c>
    </row>
    <row r="9">
      <c r="A9" s="2" t="inlineStr">
        <is>
          <t>Net debt (reference only - NOT subtracted)</t>
        </is>
      </c>
      <c r="B9">
        <f>B7-B8</f>
        <v/>
      </c>
    </row>
    <row r="10">
      <c r="A10" s="2" t="inlineStr">
        <is>
          <t>Statutory NPAT FY2026 (NZ$m)</t>
        </is>
      </c>
      <c r="B10" t="n">
        <v>-171.345</v>
      </c>
    </row>
    <row r="11">
      <c r="A11" s="2" t="inlineStr">
        <is>
          <t>PBTF FY2026 (NZ$m)</t>
        </is>
      </c>
      <c r="B11" t="n">
        <v>-73.309</v>
      </c>
    </row>
    <row r="12">
      <c r="A12" s="2" t="inlineStr">
        <is>
          <t>Operating EBITDAF FY2026 (NZ$m)</t>
        </is>
      </c>
      <c r="B12" t="n">
        <v>88.3</v>
      </c>
    </row>
    <row r="13">
      <c r="A13" s="2" t="inlineStr">
        <is>
          <t>Hurdle rate (entry price)</t>
        </is>
      </c>
      <c r="B13" t="n">
        <v>0.15</v>
      </c>
    </row>
    <row r="14">
      <c r="A14" s="2" t="inlineStr">
        <is>
          <t>Note</t>
        </is>
      </c>
      <c r="B14" t="inlineStr">
        <is>
          <t>Equity-level model: dividends + terminal (BVPS_Y5 x exit P/B) discounted at cost of equity. OCF is NOT FCF for an ORA/DMF operator; statutory NPAT is IAS-40 fair-value noise.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Base scenario</t>
        </is>
      </c>
    </row>
    <row r="2">
      <c r="A2" t="inlineStr">
        <is>
          <t>Cost of equity</t>
        </is>
      </c>
      <c r="B2" t="n">
        <v>0.125</v>
      </c>
    </row>
    <row r="3">
      <c r="A3" t="inlineStr">
        <is>
          <t>Exit P/B</t>
        </is>
      </c>
      <c r="B3" t="n">
        <v>0.75</v>
      </c>
    </row>
    <row r="4">
      <c r="A4" t="inlineStr">
        <is>
          <t>Probability weight</t>
        </is>
      </c>
      <c r="B4" t="n">
        <v>0.5</v>
      </c>
    </row>
    <row r="6">
      <c r="A6" s="3" t="inlineStr">
        <is>
          <t>Year</t>
        </is>
      </c>
      <c r="B6" s="1" t="inlineStr">
        <is>
          <t>FY2027</t>
        </is>
      </c>
      <c r="C6" s="1" t="inlineStr">
        <is>
          <t>FY2028</t>
        </is>
      </c>
      <c r="D6" s="1" t="inlineStr">
        <is>
          <t>FY2029</t>
        </is>
      </c>
      <c r="E6" s="1" t="inlineStr">
        <is>
          <t>FY2030</t>
        </is>
      </c>
      <c r="F6" s="1" t="inlineStr">
        <is>
          <t>FY2031</t>
        </is>
      </c>
    </row>
    <row r="7">
      <c r="A7" s="3" t="inlineStr">
        <is>
          <t>Statutory NPAT (NZ$m)</t>
        </is>
      </c>
      <c r="B7" t="n">
        <v>30</v>
      </c>
      <c r="C7" t="n">
        <v>120</v>
      </c>
      <c r="D7" t="n">
        <v>200</v>
      </c>
      <c r="E7" t="n">
        <v>250</v>
      </c>
      <c r="F7" t="n">
        <v>290</v>
      </c>
    </row>
    <row r="8">
      <c r="A8" s="3" t="inlineStr">
        <is>
          <t>Dividends paid (NZ$m)</t>
        </is>
      </c>
      <c r="B8" t="n">
        <v>0</v>
      </c>
      <c r="C8" t="n">
        <v>30</v>
      </c>
      <c r="D8" t="n">
        <v>50</v>
      </c>
      <c r="E8" t="n">
        <v>70</v>
      </c>
      <c r="F8" t="n">
        <v>90</v>
      </c>
    </row>
    <row r="9">
      <c r="A9" s="3" t="inlineStr">
        <is>
          <t>Book equity (NZ$m)</t>
        </is>
      </c>
      <c r="B9">
        <f>Inputs!B5+B7-B8</f>
        <v/>
      </c>
      <c r="C9">
        <f>B9+C7-C8</f>
        <v/>
      </c>
      <c r="D9">
        <f>C9+D7-D8</f>
        <v/>
      </c>
      <c r="E9">
        <f>D9+E7-E8</f>
        <v/>
      </c>
      <c r="F9">
        <f>E9+F7-F8</f>
        <v/>
      </c>
    </row>
    <row r="10">
      <c r="A10" s="3" t="inlineStr">
        <is>
          <t>BVPS (NZD)</t>
        </is>
      </c>
      <c r="B10">
        <f>B9/Inputs!B4</f>
        <v/>
      </c>
      <c r="C10">
        <f>C9/Inputs!B4</f>
        <v/>
      </c>
      <c r="D10">
        <f>D9/Inputs!B4</f>
        <v/>
      </c>
      <c r="E10">
        <f>E9/Inputs!B4</f>
        <v/>
      </c>
      <c r="F10">
        <f>F9/Inputs!B4</f>
        <v/>
      </c>
    </row>
    <row r="11">
      <c r="A11" s="3" t="inlineStr">
        <is>
          <t>DPS (NZD)</t>
        </is>
      </c>
      <c r="B11">
        <f>B8/Inputs!B4</f>
        <v/>
      </c>
      <c r="C11">
        <f>C8/Inputs!B4</f>
        <v/>
      </c>
      <c r="D11">
        <f>D8/Inputs!B4</f>
        <v/>
      </c>
      <c r="E11">
        <f>E8/Inputs!B4</f>
        <v/>
      </c>
      <c r="F11">
        <f>F8/Inputs!B4</f>
        <v/>
      </c>
    </row>
    <row r="12">
      <c r="A12" s="3" t="inlineStr">
        <is>
          <t>Discount factor</t>
        </is>
      </c>
      <c r="B12">
        <f>1/(1+$B$2)^1</f>
        <v/>
      </c>
      <c r="C12">
        <f>1/(1+$B$2)^2</f>
        <v/>
      </c>
      <c r="D12">
        <f>1/(1+$B$2)^3</f>
        <v/>
      </c>
      <c r="E12">
        <f>1/(1+$B$2)^4</f>
        <v/>
      </c>
      <c r="F12">
        <f>1/(1+$B$2)^5</f>
        <v/>
      </c>
    </row>
    <row r="13">
      <c r="A13" s="3" t="inlineStr">
        <is>
          <t>PV of DPS (NZD)</t>
        </is>
      </c>
      <c r="B13">
        <f>B11*B12</f>
        <v/>
      </c>
      <c r="C13">
        <f>C11*C12</f>
        <v/>
      </c>
      <c r="D13">
        <f>D11*D12</f>
        <v/>
      </c>
      <c r="E13">
        <f>E11*E12</f>
        <v/>
      </c>
      <c r="F13">
        <f>F11*F12</f>
        <v/>
      </c>
    </row>
    <row r="15">
      <c r="A15" s="1" t="inlineStr">
        <is>
          <t>PV of dividends / share</t>
        </is>
      </c>
      <c r="B15">
        <f>SUM(B13:F13)</f>
        <v/>
      </c>
    </row>
    <row r="16">
      <c r="A16" t="inlineStr">
        <is>
          <t>Terminal BVPS (Y5)</t>
        </is>
      </c>
      <c r="B16">
        <f>F10</f>
        <v/>
      </c>
    </row>
    <row r="17">
      <c r="A17" t="inlineStr">
        <is>
          <t>Terminal value / share (BVPS x exit P/B)</t>
        </is>
      </c>
      <c r="B17">
        <f>B16*$B$3</f>
        <v/>
      </c>
    </row>
    <row r="18">
      <c r="A18" t="inlineStr">
        <is>
          <t>PV of terminal / share</t>
        </is>
      </c>
      <c r="B18">
        <f>B17*F12</f>
        <v/>
      </c>
    </row>
    <row r="19">
      <c r="A19" t="inlineStr">
        <is>
          <t>Intrinsic value / share (NZD)</t>
        </is>
      </c>
      <c r="B19">
        <f>B15+B18</f>
        <v/>
      </c>
    </row>
    <row r="20">
      <c r="A20" t="inlineStr">
        <is>
          <t>Upside vs current price</t>
        </is>
      </c>
      <c r="B20">
        <f>B19/Inputs!B3-1</f>
        <v/>
      </c>
    </row>
    <row r="21">
      <c r="A21" t="inlineStr">
        <is>
          <t>Entry price @ 15% hurdle</t>
        </is>
      </c>
      <c r="B21">
        <f>B11/(1+Inputs!$B$13)^1+C11/(1+Inputs!$B$13)^2+D11/(1+Inputs!$B$13)^3+E11/(1+Inputs!$B$13)^4+F11/(1+Inputs!$B$13)^5+B17/(1+Inputs!$B$13)^5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Bull scenario</t>
        </is>
      </c>
    </row>
    <row r="2">
      <c r="A2" t="inlineStr">
        <is>
          <t>Cost of equity</t>
        </is>
      </c>
      <c r="B2" t="n">
        <v>0.11</v>
      </c>
    </row>
    <row r="3">
      <c r="A3" t="inlineStr">
        <is>
          <t>Exit P/B</t>
        </is>
      </c>
      <c r="B3" t="n">
        <v>1</v>
      </c>
    </row>
    <row r="4">
      <c r="A4" t="inlineStr">
        <is>
          <t>Probability weight</t>
        </is>
      </c>
      <c r="B4" t="n">
        <v>0.25</v>
      </c>
    </row>
    <row r="6">
      <c r="A6" s="3" t="inlineStr">
        <is>
          <t>Year</t>
        </is>
      </c>
      <c r="B6" s="1" t="inlineStr">
        <is>
          <t>FY2027</t>
        </is>
      </c>
      <c r="C6" s="1" t="inlineStr">
        <is>
          <t>FY2028</t>
        </is>
      </c>
      <c r="D6" s="1" t="inlineStr">
        <is>
          <t>FY2029</t>
        </is>
      </c>
      <c r="E6" s="1" t="inlineStr">
        <is>
          <t>FY2030</t>
        </is>
      </c>
      <c r="F6" s="1" t="inlineStr">
        <is>
          <t>FY2031</t>
        </is>
      </c>
    </row>
    <row r="7">
      <c r="A7" s="3" t="inlineStr">
        <is>
          <t>Statutory NPAT (NZ$m)</t>
        </is>
      </c>
      <c r="B7" t="n">
        <v>100</v>
      </c>
      <c r="C7" t="n">
        <v>220</v>
      </c>
      <c r="D7" t="n">
        <v>320</v>
      </c>
      <c r="E7" t="n">
        <v>380</v>
      </c>
      <c r="F7" t="n">
        <v>430</v>
      </c>
    </row>
    <row r="8">
      <c r="A8" s="3" t="inlineStr">
        <is>
          <t>Dividends paid (NZ$m)</t>
        </is>
      </c>
      <c r="B8" t="n">
        <v>0</v>
      </c>
      <c r="C8" t="n">
        <v>60</v>
      </c>
      <c r="D8" t="n">
        <v>100</v>
      </c>
      <c r="E8" t="n">
        <v>140</v>
      </c>
      <c r="F8" t="n">
        <v>170</v>
      </c>
    </row>
    <row r="9">
      <c r="A9" s="3" t="inlineStr">
        <is>
          <t>Book equity (NZ$m)</t>
        </is>
      </c>
      <c r="B9">
        <f>Inputs!B5+B7-B8</f>
        <v/>
      </c>
      <c r="C9">
        <f>B9+C7-C8</f>
        <v/>
      </c>
      <c r="D9">
        <f>C9+D7-D8</f>
        <v/>
      </c>
      <c r="E9">
        <f>D9+E7-E8</f>
        <v/>
      </c>
      <c r="F9">
        <f>E9+F7-F8</f>
        <v/>
      </c>
    </row>
    <row r="10">
      <c r="A10" s="3" t="inlineStr">
        <is>
          <t>BVPS (NZD)</t>
        </is>
      </c>
      <c r="B10">
        <f>B9/Inputs!B4</f>
        <v/>
      </c>
      <c r="C10">
        <f>C9/Inputs!B4</f>
        <v/>
      </c>
      <c r="D10">
        <f>D9/Inputs!B4</f>
        <v/>
      </c>
      <c r="E10">
        <f>E9/Inputs!B4</f>
        <v/>
      </c>
      <c r="F10">
        <f>F9/Inputs!B4</f>
        <v/>
      </c>
    </row>
    <row r="11">
      <c r="A11" s="3" t="inlineStr">
        <is>
          <t>DPS (NZD)</t>
        </is>
      </c>
      <c r="B11">
        <f>B8/Inputs!B4</f>
        <v/>
      </c>
      <c r="C11">
        <f>C8/Inputs!B4</f>
        <v/>
      </c>
      <c r="D11">
        <f>D8/Inputs!B4</f>
        <v/>
      </c>
      <c r="E11">
        <f>E8/Inputs!B4</f>
        <v/>
      </c>
      <c r="F11">
        <f>F8/Inputs!B4</f>
        <v/>
      </c>
    </row>
    <row r="12">
      <c r="A12" s="3" t="inlineStr">
        <is>
          <t>Discount factor</t>
        </is>
      </c>
      <c r="B12">
        <f>1/(1+$B$2)^1</f>
        <v/>
      </c>
      <c r="C12">
        <f>1/(1+$B$2)^2</f>
        <v/>
      </c>
      <c r="D12">
        <f>1/(1+$B$2)^3</f>
        <v/>
      </c>
      <c r="E12">
        <f>1/(1+$B$2)^4</f>
        <v/>
      </c>
      <c r="F12">
        <f>1/(1+$B$2)^5</f>
        <v/>
      </c>
    </row>
    <row r="13">
      <c r="A13" s="3" t="inlineStr">
        <is>
          <t>PV of DPS (NZD)</t>
        </is>
      </c>
      <c r="B13">
        <f>B11*B12</f>
        <v/>
      </c>
      <c r="C13">
        <f>C11*C12</f>
        <v/>
      </c>
      <c r="D13">
        <f>D11*D12</f>
        <v/>
      </c>
      <c r="E13">
        <f>E11*E12</f>
        <v/>
      </c>
      <c r="F13">
        <f>F11*F12</f>
        <v/>
      </c>
    </row>
    <row r="15">
      <c r="A15" s="1" t="inlineStr">
        <is>
          <t>PV of dividends / share</t>
        </is>
      </c>
      <c r="B15">
        <f>SUM(B13:F13)</f>
        <v/>
      </c>
    </row>
    <row r="16">
      <c r="A16" t="inlineStr">
        <is>
          <t>Terminal BVPS (Y5)</t>
        </is>
      </c>
      <c r="B16">
        <f>F10</f>
        <v/>
      </c>
    </row>
    <row r="17">
      <c r="A17" t="inlineStr">
        <is>
          <t>Terminal value / share (BVPS x exit P/B)</t>
        </is>
      </c>
      <c r="B17">
        <f>B16*$B$3</f>
        <v/>
      </c>
    </row>
    <row r="18">
      <c r="A18" t="inlineStr">
        <is>
          <t>PV of terminal / share</t>
        </is>
      </c>
      <c r="B18">
        <f>B17*F12</f>
        <v/>
      </c>
    </row>
    <row r="19">
      <c r="A19" t="inlineStr">
        <is>
          <t>Intrinsic value / share (NZD)</t>
        </is>
      </c>
      <c r="B19">
        <f>B15+B18</f>
        <v/>
      </c>
    </row>
    <row r="20">
      <c r="A20" t="inlineStr">
        <is>
          <t>Upside vs current price</t>
        </is>
      </c>
      <c r="B20">
        <f>B19/Inputs!B3-1</f>
        <v/>
      </c>
    </row>
    <row r="21">
      <c r="A21" t="inlineStr">
        <is>
          <t>Entry price @ 15% hurdle</t>
        </is>
      </c>
      <c r="B21">
        <f>B11/(1+Inputs!$B$13)^1+C11/(1+Inputs!$B$13)^2+D11/(1+Inputs!$B$13)^3+E11/(1+Inputs!$B$13)^4+F11/(1+Inputs!$B$13)^5+B17/(1+Inputs!$B$13)^5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Bear scenario</t>
        </is>
      </c>
    </row>
    <row r="2">
      <c r="A2" t="inlineStr">
        <is>
          <t>Cost of equity</t>
        </is>
      </c>
      <c r="B2" t="n">
        <v>0.14</v>
      </c>
    </row>
    <row r="3">
      <c r="A3" t="inlineStr">
        <is>
          <t>Exit P/B</t>
        </is>
      </c>
      <c r="B3" t="n">
        <v>0.45</v>
      </c>
    </row>
    <row r="4">
      <c r="A4" t="inlineStr">
        <is>
          <t>Probability weight</t>
        </is>
      </c>
      <c r="B4" t="n">
        <v>0.25</v>
      </c>
    </row>
    <row r="6">
      <c r="A6" s="3" t="inlineStr">
        <is>
          <t>Year</t>
        </is>
      </c>
      <c r="B6" s="1" t="inlineStr">
        <is>
          <t>FY2027</t>
        </is>
      </c>
      <c r="C6" s="1" t="inlineStr">
        <is>
          <t>FY2028</t>
        </is>
      </c>
      <c r="D6" s="1" t="inlineStr">
        <is>
          <t>FY2029</t>
        </is>
      </c>
      <c r="E6" s="1" t="inlineStr">
        <is>
          <t>FY2030</t>
        </is>
      </c>
      <c r="F6" s="1" t="inlineStr">
        <is>
          <t>FY2031</t>
        </is>
      </c>
    </row>
    <row r="7">
      <c r="A7" s="3" t="inlineStr">
        <is>
          <t>Statutory NPAT (NZ$m)</t>
        </is>
      </c>
      <c r="B7" t="n">
        <v>-250</v>
      </c>
      <c r="C7" t="n">
        <v>-120</v>
      </c>
      <c r="D7" t="n">
        <v>-30</v>
      </c>
      <c r="E7" t="n">
        <v>20</v>
      </c>
      <c r="F7" t="n">
        <v>50</v>
      </c>
    </row>
    <row r="8">
      <c r="A8" s="3" t="inlineStr">
        <is>
          <t>Dividends paid (NZ$m)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3" t="inlineStr">
        <is>
          <t>Book equity (NZ$m)</t>
        </is>
      </c>
      <c r="B9">
        <f>Inputs!B5+B7-B8</f>
        <v/>
      </c>
      <c r="C9">
        <f>B9+C7-C8</f>
        <v/>
      </c>
      <c r="D9">
        <f>C9+D7-D8</f>
        <v/>
      </c>
      <c r="E9">
        <f>D9+E7-E8</f>
        <v/>
      </c>
      <c r="F9">
        <f>E9+F7-F8</f>
        <v/>
      </c>
    </row>
    <row r="10">
      <c r="A10" s="3" t="inlineStr">
        <is>
          <t>BVPS (NZD)</t>
        </is>
      </c>
      <c r="B10">
        <f>B9/Inputs!B4</f>
        <v/>
      </c>
      <c r="C10">
        <f>C9/Inputs!B4</f>
        <v/>
      </c>
      <c r="D10">
        <f>D9/Inputs!B4</f>
        <v/>
      </c>
      <c r="E10">
        <f>E9/Inputs!B4</f>
        <v/>
      </c>
      <c r="F10">
        <f>F9/Inputs!B4</f>
        <v/>
      </c>
    </row>
    <row r="11">
      <c r="A11" s="3" t="inlineStr">
        <is>
          <t>DPS (NZD)</t>
        </is>
      </c>
      <c r="B11">
        <f>B8/Inputs!B4</f>
        <v/>
      </c>
      <c r="C11">
        <f>C8/Inputs!B4</f>
        <v/>
      </c>
      <c r="D11">
        <f>D8/Inputs!B4</f>
        <v/>
      </c>
      <c r="E11">
        <f>E8/Inputs!B4</f>
        <v/>
      </c>
      <c r="F11">
        <f>F8/Inputs!B4</f>
        <v/>
      </c>
    </row>
    <row r="12">
      <c r="A12" s="3" t="inlineStr">
        <is>
          <t>Discount factor</t>
        </is>
      </c>
      <c r="B12">
        <f>1/(1+$B$2)^1</f>
        <v/>
      </c>
      <c r="C12">
        <f>1/(1+$B$2)^2</f>
        <v/>
      </c>
      <c r="D12">
        <f>1/(1+$B$2)^3</f>
        <v/>
      </c>
      <c r="E12">
        <f>1/(1+$B$2)^4</f>
        <v/>
      </c>
      <c r="F12">
        <f>1/(1+$B$2)^5</f>
        <v/>
      </c>
    </row>
    <row r="13">
      <c r="A13" s="3" t="inlineStr">
        <is>
          <t>PV of DPS (NZD)</t>
        </is>
      </c>
      <c r="B13">
        <f>B11*B12</f>
        <v/>
      </c>
      <c r="C13">
        <f>C11*C12</f>
        <v/>
      </c>
      <c r="D13">
        <f>D11*D12</f>
        <v/>
      </c>
      <c r="E13">
        <f>E11*E12</f>
        <v/>
      </c>
      <c r="F13">
        <f>F11*F12</f>
        <v/>
      </c>
    </row>
    <row r="15">
      <c r="A15" s="1" t="inlineStr">
        <is>
          <t>PV of dividends / share</t>
        </is>
      </c>
      <c r="B15">
        <f>SUM(B13:F13)</f>
        <v/>
      </c>
    </row>
    <row r="16">
      <c r="A16" t="inlineStr">
        <is>
          <t>Terminal BVPS (Y5)</t>
        </is>
      </c>
      <c r="B16">
        <f>F10</f>
        <v/>
      </c>
    </row>
    <row r="17">
      <c r="A17" t="inlineStr">
        <is>
          <t>Terminal value / share (BVPS x exit P/B)</t>
        </is>
      </c>
      <c r="B17">
        <f>B16*$B$3</f>
        <v/>
      </c>
    </row>
    <row r="18">
      <c r="A18" t="inlineStr">
        <is>
          <t>PV of terminal / share</t>
        </is>
      </c>
      <c r="B18">
        <f>B17*F12</f>
        <v/>
      </c>
    </row>
    <row r="19">
      <c r="A19" t="inlineStr">
        <is>
          <t>Intrinsic value / share (NZD)</t>
        </is>
      </c>
      <c r="B19">
        <f>B15+B18</f>
        <v/>
      </c>
    </row>
    <row r="20">
      <c r="A20" t="inlineStr">
        <is>
          <t>Upside vs current price</t>
        </is>
      </c>
      <c r="B20">
        <f>B19/Inputs!B3-1</f>
        <v/>
      </c>
    </row>
    <row r="21">
      <c r="A21" t="inlineStr">
        <is>
          <t>Entry price @ 15% hurdle</t>
        </is>
      </c>
      <c r="B21">
        <f>B11/(1+Inputs!$B$13)^1+C11/(1+Inputs!$B$13)^2+D11/(1+Inputs!$B$13)^3+E11/(1+Inputs!$B$13)^4+F11/(1+Inputs!$B$13)^5+B17/(1+Inputs!$B$13)^5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Probability-weighted valuation</t>
        </is>
      </c>
    </row>
    <row r="3">
      <c r="A3" s="3" t="inlineStr">
        <is>
          <t>Scenario</t>
        </is>
      </c>
      <c r="B3" s="3" t="inlineStr">
        <is>
          <t>Weight</t>
        </is>
      </c>
      <c r="C3" s="3" t="inlineStr">
        <is>
          <t>IV (NZD)</t>
        </is>
      </c>
      <c r="D3" s="3" t="inlineStr">
        <is>
          <t>Entry @15%</t>
        </is>
      </c>
      <c r="E3" s="3" t="inlineStr">
        <is>
          <t>Upside</t>
        </is>
      </c>
    </row>
    <row r="4">
      <c r="A4" t="inlineStr">
        <is>
          <t>Bear</t>
        </is>
      </c>
      <c r="B4">
        <f>Bear!B4</f>
        <v/>
      </c>
      <c r="C4">
        <f>Bear!B19</f>
        <v/>
      </c>
      <c r="D4">
        <f>Bear!B21</f>
        <v/>
      </c>
      <c r="E4">
        <f>Bear!B20</f>
        <v/>
      </c>
    </row>
    <row r="5">
      <c r="A5" t="inlineStr">
        <is>
          <t>Base</t>
        </is>
      </c>
      <c r="B5">
        <f>Base!B4</f>
        <v/>
      </c>
      <c r="C5">
        <f>Base!B19</f>
        <v/>
      </c>
      <c r="D5">
        <f>Base!B21</f>
        <v/>
      </c>
      <c r="E5">
        <f>Base!B20</f>
        <v/>
      </c>
    </row>
    <row r="6">
      <c r="A6" t="inlineStr">
        <is>
          <t>Bull</t>
        </is>
      </c>
      <c r="B6">
        <f>Bull!B4</f>
        <v/>
      </c>
      <c r="C6">
        <f>Bull!B19</f>
        <v/>
      </c>
      <c r="D6">
        <f>Bull!B21</f>
        <v/>
      </c>
      <c r="E6">
        <f>Bull!B20</f>
        <v/>
      </c>
    </row>
    <row r="8">
      <c r="A8" s="1" t="inlineStr">
        <is>
          <t>Weighted IV</t>
        </is>
      </c>
      <c r="C8">
        <f>SUMPRODUCT(B4:B6,C4:C6)</f>
        <v/>
      </c>
    </row>
    <row r="9">
      <c r="A9" s="1" t="inlineStr">
        <is>
          <t>Weighted entry price</t>
        </is>
      </c>
      <c r="C9">
        <f>SUMPRODUCT(B4:B6,D4:D6)</f>
        <v/>
      </c>
    </row>
    <row r="10">
      <c r="A10" s="1" t="inlineStr">
        <is>
          <t>Current price</t>
        </is>
      </c>
      <c r="C10">
        <f>Inputs!B3</f>
        <v/>
      </c>
    </row>
    <row r="11">
      <c r="A11" s="1" t="inlineStr">
        <is>
          <t>Weighted upside</t>
        </is>
      </c>
      <c r="C11">
        <f>C8/C10-1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Base-case IV/share: cost of equity (rows) x exit P/B (cols)</t>
        </is>
      </c>
    </row>
    <row r="3">
      <c r="B3" s="3" t="n">
        <v>0.55</v>
      </c>
      <c r="C3" s="3" t="n">
        <v>0.65</v>
      </c>
      <c r="D3" s="3" t="n">
        <v>0.75</v>
      </c>
      <c r="E3" s="3" t="n">
        <v>0.85</v>
      </c>
      <c r="F3" s="3" t="n">
        <v>0.95</v>
      </c>
    </row>
    <row r="4">
      <c r="A4" s="3" t="n">
        <v>0.105</v>
      </c>
      <c r="B4">
        <f>Base!B11/(1+$A4)^1+Base!C11/(1+$A4)^2+Base!D11/(1+$A4)^3+Base!E11/(1+$A4)^4+Base!F11/(1+$A4)^5+Base!F10*B$3/(1+$A4)^5</f>
        <v/>
      </c>
      <c r="C4">
        <f>Base!B11/(1+$A4)^1+Base!C11/(1+$A4)^2+Base!D11/(1+$A4)^3+Base!E11/(1+$A4)^4+Base!F11/(1+$A4)^5+Base!F10*C$3/(1+$A4)^5</f>
        <v/>
      </c>
      <c r="D4">
        <f>Base!B11/(1+$A4)^1+Base!C11/(1+$A4)^2+Base!D11/(1+$A4)^3+Base!E11/(1+$A4)^4+Base!F11/(1+$A4)^5+Base!F10*D$3/(1+$A4)^5</f>
        <v/>
      </c>
      <c r="E4">
        <f>Base!B11/(1+$A4)^1+Base!C11/(1+$A4)^2+Base!D11/(1+$A4)^3+Base!E11/(1+$A4)^4+Base!F11/(1+$A4)^5+Base!F10*E$3/(1+$A4)^5</f>
        <v/>
      </c>
      <c r="F4">
        <f>Base!B11/(1+$A4)^1+Base!C11/(1+$A4)^2+Base!D11/(1+$A4)^3+Base!E11/(1+$A4)^4+Base!F11/(1+$A4)^5+Base!F10*F$3/(1+$A4)^5</f>
        <v/>
      </c>
    </row>
    <row r="5">
      <c r="A5" s="3" t="n">
        <v>0.115</v>
      </c>
      <c r="B5">
        <f>Base!B11/(1+$A5)^1+Base!C11/(1+$A5)^2+Base!D11/(1+$A5)^3+Base!E11/(1+$A5)^4+Base!F11/(1+$A5)^5+Base!F10*B$3/(1+$A5)^5</f>
        <v/>
      </c>
      <c r="C5">
        <f>Base!B11/(1+$A5)^1+Base!C11/(1+$A5)^2+Base!D11/(1+$A5)^3+Base!E11/(1+$A5)^4+Base!F11/(1+$A5)^5+Base!F10*C$3/(1+$A5)^5</f>
        <v/>
      </c>
      <c r="D5">
        <f>Base!B11/(1+$A5)^1+Base!C11/(1+$A5)^2+Base!D11/(1+$A5)^3+Base!E11/(1+$A5)^4+Base!F11/(1+$A5)^5+Base!F10*D$3/(1+$A5)^5</f>
        <v/>
      </c>
      <c r="E5">
        <f>Base!B11/(1+$A5)^1+Base!C11/(1+$A5)^2+Base!D11/(1+$A5)^3+Base!E11/(1+$A5)^4+Base!F11/(1+$A5)^5+Base!F10*E$3/(1+$A5)^5</f>
        <v/>
      </c>
      <c r="F5">
        <f>Base!B11/(1+$A5)^1+Base!C11/(1+$A5)^2+Base!D11/(1+$A5)^3+Base!E11/(1+$A5)^4+Base!F11/(1+$A5)^5+Base!F10*F$3/(1+$A5)^5</f>
        <v/>
      </c>
    </row>
    <row r="6">
      <c r="A6" s="3" t="n">
        <v>0.125</v>
      </c>
      <c r="B6">
        <f>Base!B11/(1+$A6)^1+Base!C11/(1+$A6)^2+Base!D11/(1+$A6)^3+Base!E11/(1+$A6)^4+Base!F11/(1+$A6)^5+Base!F10*B$3/(1+$A6)^5</f>
        <v/>
      </c>
      <c r="C6">
        <f>Base!B11/(1+$A6)^1+Base!C11/(1+$A6)^2+Base!D11/(1+$A6)^3+Base!E11/(1+$A6)^4+Base!F11/(1+$A6)^5+Base!F10*C$3/(1+$A6)^5</f>
        <v/>
      </c>
      <c r="D6">
        <f>Base!B11/(1+$A6)^1+Base!C11/(1+$A6)^2+Base!D11/(1+$A6)^3+Base!E11/(1+$A6)^4+Base!F11/(1+$A6)^5+Base!F10*D$3/(1+$A6)^5</f>
        <v/>
      </c>
      <c r="E6">
        <f>Base!B11/(1+$A6)^1+Base!C11/(1+$A6)^2+Base!D11/(1+$A6)^3+Base!E11/(1+$A6)^4+Base!F11/(1+$A6)^5+Base!F10*E$3/(1+$A6)^5</f>
        <v/>
      </c>
      <c r="F6">
        <f>Base!B11/(1+$A6)^1+Base!C11/(1+$A6)^2+Base!D11/(1+$A6)^3+Base!E11/(1+$A6)^4+Base!F11/(1+$A6)^5+Base!F10*F$3/(1+$A6)^5</f>
        <v/>
      </c>
    </row>
    <row r="7">
      <c r="A7" s="3" t="n">
        <v>0.135</v>
      </c>
      <c r="B7">
        <f>Base!B11/(1+$A7)^1+Base!C11/(1+$A7)^2+Base!D11/(1+$A7)^3+Base!E11/(1+$A7)^4+Base!F11/(1+$A7)^5+Base!F10*B$3/(1+$A7)^5</f>
        <v/>
      </c>
      <c r="C7">
        <f>Base!B11/(1+$A7)^1+Base!C11/(1+$A7)^2+Base!D11/(1+$A7)^3+Base!E11/(1+$A7)^4+Base!F11/(1+$A7)^5+Base!F10*C$3/(1+$A7)^5</f>
        <v/>
      </c>
      <c r="D7">
        <f>Base!B11/(1+$A7)^1+Base!C11/(1+$A7)^2+Base!D11/(1+$A7)^3+Base!E11/(1+$A7)^4+Base!F11/(1+$A7)^5+Base!F10*D$3/(1+$A7)^5</f>
        <v/>
      </c>
      <c r="E7">
        <f>Base!B11/(1+$A7)^1+Base!C11/(1+$A7)^2+Base!D11/(1+$A7)^3+Base!E11/(1+$A7)^4+Base!F11/(1+$A7)^5+Base!F10*E$3/(1+$A7)^5</f>
        <v/>
      </c>
      <c r="F7">
        <f>Base!B11/(1+$A7)^1+Base!C11/(1+$A7)^2+Base!D11/(1+$A7)^3+Base!E11/(1+$A7)^4+Base!F11/(1+$A7)^5+Base!F10*F$3/(1+$A7)^5</f>
        <v/>
      </c>
    </row>
    <row r="8">
      <c r="A8" s="3" t="n">
        <v>0.145</v>
      </c>
      <c r="B8">
        <f>Base!B11/(1+$A8)^1+Base!C11/(1+$A8)^2+Base!D11/(1+$A8)^3+Base!E11/(1+$A8)^4+Base!F11/(1+$A8)^5+Base!F10*B$3/(1+$A8)^5</f>
        <v/>
      </c>
      <c r="C8">
        <f>Base!B11/(1+$A8)^1+Base!C11/(1+$A8)^2+Base!D11/(1+$A8)^3+Base!E11/(1+$A8)^4+Base!F11/(1+$A8)^5+Base!F10*C$3/(1+$A8)^5</f>
        <v/>
      </c>
      <c r="D8">
        <f>Base!B11/(1+$A8)^1+Base!C11/(1+$A8)^2+Base!D11/(1+$A8)^3+Base!E11/(1+$A8)^4+Base!F11/(1+$A8)^5+Base!F10*D$3/(1+$A8)^5</f>
        <v/>
      </c>
      <c r="E8">
        <f>Base!B11/(1+$A8)^1+Base!C11/(1+$A8)^2+Base!D11/(1+$A8)^3+Base!E11/(1+$A8)^4+Base!F11/(1+$A8)^5+Base!F10*E$3/(1+$A8)^5</f>
        <v/>
      </c>
      <c r="F8">
        <f>Base!B11/(1+$A8)^1+Base!C11/(1+$A8)^2+Base!D11/(1+$A8)^3+Base!E11/(1+$A8)^4+Base!F11/(1+$A8)^5+Base!F10*F$3/(1+$A8)^5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2026-08-27T10:34:38Z</dcterms:created>
  <dcterms:modified xsi:type="dcterms:W3CDTF">2026-08-27T10:34:38Z</dcterms:modified>
</cp:coreProperties>
</file>