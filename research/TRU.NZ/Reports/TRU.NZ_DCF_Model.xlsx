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cen_Bear" sheetId="4" state="visible" r:id="rId4"/>
    <sheet xmlns:r="http://schemas.openxmlformats.org/officeDocument/2006/relationships" name="Scen_Base" sheetId="5" state="visible" r:id="rId5"/>
    <sheet xmlns:r="http://schemas.openxmlformats.org/officeDocument/2006/relationships" name="Scen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164" fontId="2" fillId="3" borderId="0" pivotButton="0" quotePrefix="0" xfId="0"/>
    <xf numFmtId="0" fontId="3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1" fillId="3" borderId="0" pivotButton="0" quotePrefix="0" xfId="0"/>
    <xf numFmtId="0" fontId="1" fillId="3" borderId="0" pivotButton="0" quotePrefix="0" xfId="0"/>
    <xf numFmtId="9" fontId="0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30" customWidth="1" min="2" max="2"/>
  </cols>
  <sheetData>
    <row r="1">
      <c r="A1" s="1" t="inlineStr">
        <is>
          <t>TRU.NZ - TruScreen Group Limited - valuation workbook</t>
        </is>
      </c>
      <c r="B1" s="2" t="inlineStr"/>
    </row>
    <row r="2">
      <c r="A2" s="1" t="inlineStr">
        <is>
          <t>Version</t>
        </is>
      </c>
      <c r="B2" s="2" t="inlineStr">
        <is>
          <t>v1 (fresh build, 2026-09-13). Supersedes nothing - first valuation of this ticker.</t>
        </is>
      </c>
    </row>
    <row r="3">
      <c r="A3" s="1" t="inlineStr">
        <is>
          <t>Built by</t>
        </is>
      </c>
      <c r="B3" s="2" t="inlineStr">
        <is>
          <t>dcf-analyst agent (Claude Fable 5.1), 2026-09-13, unattended batch run at the user's request.</t>
        </is>
      </c>
    </row>
    <row r="4">
      <c r="A4" s="1" t="inlineStr">
        <is>
          <t>Model</t>
        </is>
      </c>
      <c r="B4" s="2" t="inlineStr">
        <is>
          <t>Probability-weighted scenario model on a forward (FY2029E) EV/Sales exit with explicit per-scenario dilution, discounted 2.5 years at a 25% NZD cost of equity. NOT an owner-FCF DCF: owner FCF is negative in all ten years on record, so there is no positive flow to capitalise. NOT a book model: intangibles are fully impaired. NOT a receivership waterfall: going concern with growing revenue. Wind-down is a 50% branch inside the bear scenario, so survival risk is charged once (in the weights), not again in the discount rate.</t>
        </is>
      </c>
    </row>
    <row r="5">
      <c r="A5" s="1" t="inlineStr">
        <is>
          <t>Price</t>
        </is>
      </c>
      <c r="B5" s="2" t="inlineStr">
        <is>
          <t>NZ$0.015, last trade 2026-09-11T02:31:36Z (NZX regular session; thin liquidity, 52w 0.014-0.025). Yahoo Finance TRU.NZ.</t>
        </is>
      </c>
    </row>
    <row r="6">
      <c r="A6" s="1" t="inlineStr">
        <is>
          <t>Share count</t>
        </is>
      </c>
      <c r="B6" s="2" t="inlineStr">
        <is>
          <t>1,047,718,877 per the 4-Aug-2026 Capital Change Notice (NZX ann. 477288), confirmed by the 24-Aug-2026 ASM deck. Post May-Aug-2026 placement/rights/shortfall.</t>
        </is>
      </c>
    </row>
    <row r="7">
      <c r="A7" s="1" t="inlineStr">
        <is>
          <t>Balance sheet</t>
        </is>
      </c>
      <c r="B7" s="2" t="inlineStr">
        <is>
          <t>Audited 31-Mar-2026 (FY2026 Annual Report). Cash NZ$1.463m, lease liabilities NZ$0.201m, no borrowings. Cash rolled forward by ESTIMATE to ~mid-Sep-2026 (see Assumptions).</t>
        </is>
      </c>
    </row>
    <row r="8">
      <c r="A8" s="1" t="inlineStr">
        <is>
          <t>Raise</t>
        </is>
      </c>
      <c r="B8" s="2" t="inlineStr">
        <is>
          <t>May-Aug 2026: placement 128.74m sh @ NZ$0.014, rights 149.46m sh @ NZ$0.013, oversubscriptions 22.19m sh @ NZ$0.013 = NZ$4.034m gross (NZX ann. 473006 / 475060 / 477288).</t>
        </is>
      </c>
    </row>
    <row r="9">
      <c r="A9" s="1" t="inlineStr">
        <is>
          <t>Options</t>
        </is>
      </c>
      <c r="B9" s="2" t="inlineStr">
        <is>
          <t>TRUOD 204.69m @0.022 exp 17-Jul-2027; TRUOE 89.05m @0.014 exp 4-Aug-2028; TRUOF 22.5m @0.019 exp 4-Aug-2028. Exercise-or-lapse flags per scenario.</t>
        </is>
      </c>
    </row>
    <row r="10">
      <c r="A10" s="1" t="inlineStr">
        <is>
          <t>Guidance</t>
        </is>
      </c>
      <c r="B10" s="2" t="inlineStr">
        <is>
          <t>No FY2027 quantitative guidance. FY2026 guidance cut 26-Feb-2026 (NZ$2.8m -&gt; NZ$2.4m product sales) then met. UNITAID decision expected ~Nov-2026.</t>
        </is>
      </c>
    </row>
    <row r="11">
      <c r="A11" s="1" t="inlineStr">
        <is>
          <t>Lease treatment</t>
        </is>
      </c>
      <c r="B11" s="2" t="inlineStr">
        <is>
          <t>(B): lease payments inside cash overheads; lease liabilities excluded from net debt. Historical owner FCF deducts lease principal.</t>
        </is>
      </c>
    </row>
    <row r="12">
      <c r="A12" s="1" t="inlineStr">
        <is>
          <t>Currency</t>
        </is>
      </c>
      <c r="B12" s="2" t="inlineStr">
        <is>
          <t>Statements and quote both NZD. Filings in whole dollars; workbook in NZ$ millions; shares in millions.</t>
        </is>
      </c>
    </row>
    <row r="13">
      <c r="A13" s="1" t="inlineStr">
        <is>
          <t>Scenario drivers</t>
        </is>
      </c>
      <c r="B13" s="2" t="inlineStr">
        <is>
          <t>Agent judgment, set 2026-09-13. Blue cells on the Scen_* tabs (rows 5,7,9,10,11,15-19,26) and Assumptions are the only inputs; everything else is formula.</t>
        </is>
      </c>
    </row>
    <row r="14">
      <c r="A14" s="1" t="inlineStr">
        <is>
          <t>Refresh after</t>
        </is>
      </c>
      <c r="B14" s="2" t="inlineStr">
        <is>
          <t>H1 FY2027 interim (~Nov/Dec 2026): cash balance, receivable collection, revenue run-rate. UNITAID decision (~Nov 2026): re-weight scenarios. Any raise below NZ$0.010 replaces the base dilution assumption.</t>
        </is>
      </c>
    </row>
    <row r="15">
      <c r="A15" s="1" t="inlineStr">
        <is>
          <t>Cell colours</t>
        </is>
      </c>
      <c r="B15" s="2" t="inlineStr">
        <is>
          <t>Blue = hardcoded input; yellow fill = key lever; black = formula; green = cross-sheet link.</t>
        </is>
      </c>
    </row>
    <row r="16">
      <c r="A16" s="1" t="inlineStr">
        <is>
          <t>Staleness</t>
        </is>
      </c>
      <c r="B16" s="2" t="inlineStr">
        <is>
          <t>Figures go stale: the price moves daily and the cash estimate is a roll-forward, not a reported number.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Reported history, NZ$ millions (source: TRU.NZ_Metrics.csv / core_metrics; COGS FY2023 from ASM deck, FY2024-26 from the P&amp;L). Filings are in whole NZD.</t>
        </is>
      </c>
    </row>
    <row r="2">
      <c r="A2" s="3" t="inlineStr">
        <is>
          <t>Period</t>
        </is>
      </c>
      <c r="B2" s="3" t="inlineStr">
        <is>
          <t>Revenue</t>
        </is>
      </c>
      <c r="C2" s="3" t="inlineStr">
        <is>
          <t>COGS</t>
        </is>
      </c>
      <c r="D2" s="3" t="inlineStr">
        <is>
          <t>Other income (R&amp;D offset)</t>
        </is>
      </c>
      <c r="E2" s="3" t="inlineStr">
        <is>
          <t>Net income</t>
        </is>
      </c>
      <c r="F2" s="3" t="inlineStr">
        <is>
          <t>OCF</t>
        </is>
      </c>
      <c r="G2" s="3" t="inlineStr">
        <is>
          <t>Capex</t>
        </is>
      </c>
      <c r="H2" s="3" t="inlineStr">
        <is>
          <t>Reported FCF</t>
        </is>
      </c>
      <c r="I2" s="3" t="inlineStr">
        <is>
          <t>SBC</t>
        </is>
      </c>
      <c r="J2" s="3" t="inlineStr">
        <is>
          <t>Interest income</t>
        </is>
      </c>
      <c r="K2" s="3" t="inlineStr">
        <is>
          <t>Lease principal</t>
        </is>
      </c>
      <c r="L2" s="3" t="inlineStr">
        <is>
          <t>Equity</t>
        </is>
      </c>
      <c r="M2" s="3" t="inlineStr">
        <is>
          <t>Cash</t>
        </is>
      </c>
      <c r="N2" s="3" t="inlineStr">
        <is>
          <t>Lease liabilities</t>
        </is>
      </c>
      <c r="O2" s="3" t="inlineStr">
        <is>
          <t>Wtd shares (m)</t>
        </is>
      </c>
    </row>
    <row r="3">
      <c r="A3" t="inlineStr">
        <is>
          <t>FY2017</t>
        </is>
      </c>
      <c r="B3" s="4" t="n">
        <v>0.585388</v>
      </c>
      <c r="C3" s="4" t="n"/>
      <c r="D3" s="4" t="n">
        <v>0.810202</v>
      </c>
      <c r="E3" s="4" t="n">
        <v>-3.54061</v>
      </c>
      <c r="F3" s="4" t="n">
        <v>-2.57558</v>
      </c>
      <c r="G3" s="4" t="n">
        <v>0.006355</v>
      </c>
      <c r="H3" s="4" t="n">
        <v>-2.581935</v>
      </c>
      <c r="I3" s="4" t="n">
        <v>0</v>
      </c>
      <c r="J3" s="4" t="n">
        <v>0.020506</v>
      </c>
      <c r="K3" s="4" t="n">
        <v>0</v>
      </c>
      <c r="L3" s="4" t="n">
        <v>14.324288</v>
      </c>
      <c r="M3" s="4" t="n">
        <v>3.671571</v>
      </c>
      <c r="N3" s="4" t="n">
        <v>0</v>
      </c>
      <c r="O3" s="4" t="n">
        <v>165.256906</v>
      </c>
    </row>
    <row r="4">
      <c r="A4" t="inlineStr">
        <is>
          <t>FY2018</t>
        </is>
      </c>
      <c r="B4" s="4" t="n">
        <v>0.8040620000000001</v>
      </c>
      <c r="C4" s="4" t="n"/>
      <c r="D4" s="4" t="n">
        <v>1.37458</v>
      </c>
      <c r="E4" s="4" t="n">
        <v>-4.168792</v>
      </c>
      <c r="F4" s="4" t="n">
        <v>-3.729191</v>
      </c>
      <c r="G4" s="4" t="n">
        <v>0.00311</v>
      </c>
      <c r="H4" s="4" t="n">
        <v>-3.732301</v>
      </c>
      <c r="I4" s="4" t="n">
        <v>0</v>
      </c>
      <c r="J4" s="4" t="n">
        <v>0.020506</v>
      </c>
      <c r="K4" s="4" t="n">
        <v>0</v>
      </c>
      <c r="L4" s="4" t="n">
        <v>11.615882</v>
      </c>
      <c r="M4" s="4" t="n">
        <v>1.212454</v>
      </c>
      <c r="N4" s="4" t="n">
        <v>0</v>
      </c>
      <c r="O4" s="4" t="n">
        <v>195.565005</v>
      </c>
    </row>
    <row r="5">
      <c r="A5" t="inlineStr">
        <is>
          <t>FY2019</t>
        </is>
      </c>
      <c r="B5" s="4" t="n">
        <v>1.862949</v>
      </c>
      <c r="C5" s="4" t="n"/>
      <c r="D5" s="4" t="n">
        <v>1.2412</v>
      </c>
      <c r="E5" s="4" t="n">
        <v>-3.380454</v>
      </c>
      <c r="F5" s="4" t="n">
        <v>-2.678321</v>
      </c>
      <c r="G5" s="4" t="n">
        <v>0.410031</v>
      </c>
      <c r="H5" s="4" t="n">
        <v>-3.088352</v>
      </c>
      <c r="I5" s="4" t="n">
        <v>0</v>
      </c>
      <c r="J5" s="4" t="n">
        <v>0.011647</v>
      </c>
      <c r="K5" s="4" t="n">
        <v>0</v>
      </c>
      <c r="L5" s="4" t="n">
        <v>11.320809</v>
      </c>
      <c r="M5" s="4" t="n">
        <v>1.737775</v>
      </c>
      <c r="N5" s="4" t="n">
        <v>0.626501</v>
      </c>
      <c r="O5" s="4" t="n">
        <v>209.777687</v>
      </c>
    </row>
    <row r="6">
      <c r="A6" t="inlineStr">
        <is>
          <t>FY2020</t>
        </is>
      </c>
      <c r="B6" s="4" t="n">
        <v>1.288242</v>
      </c>
      <c r="C6" s="4" t="n"/>
      <c r="D6" s="4" t="n">
        <v>1.26604</v>
      </c>
      <c r="E6" s="4" t="n">
        <v>-5.196721</v>
      </c>
      <c r="F6" s="4" t="n">
        <v>-1.634499</v>
      </c>
      <c r="G6" s="4" t="n">
        <v>0</v>
      </c>
      <c r="H6" s="4" t="n">
        <v>-1.634499</v>
      </c>
      <c r="I6" s="4" t="n">
        <v>0.306</v>
      </c>
      <c r="J6" s="4" t="n">
        <v>0.008867</v>
      </c>
      <c r="K6" s="4" t="n">
        <v>0</v>
      </c>
      <c r="L6" s="4" t="n">
        <v>7.241067</v>
      </c>
      <c r="M6" s="4" t="n">
        <v>1.024153</v>
      </c>
      <c r="N6" s="4" t="n">
        <v>0.41028</v>
      </c>
      <c r="O6" s="4" t="n">
        <v>224.416746</v>
      </c>
    </row>
    <row r="7">
      <c r="A7" t="inlineStr">
        <is>
          <t>FY2021</t>
        </is>
      </c>
      <c r="B7" s="4" t="n">
        <v>1.132641</v>
      </c>
      <c r="C7" s="4" t="n"/>
      <c r="D7" s="4" t="n">
        <v>0.843274</v>
      </c>
      <c r="E7" s="4" t="n">
        <v>-3.49001</v>
      </c>
      <c r="F7" s="4" t="n">
        <v>-2.189331</v>
      </c>
      <c r="G7" s="4" t="n">
        <v>0.097524</v>
      </c>
      <c r="H7" s="4" t="n">
        <v>-2.286855</v>
      </c>
      <c r="I7" s="4" t="n">
        <v>0</v>
      </c>
      <c r="J7" s="4" t="n">
        <v>0.00182</v>
      </c>
      <c r="K7" s="4" t="n">
        <v>0</v>
      </c>
      <c r="L7" s="4" t="n">
        <v>11.309191</v>
      </c>
      <c r="M7" s="4" t="n">
        <v>5.255074</v>
      </c>
      <c r="N7" s="4" t="n">
        <v>0</v>
      </c>
      <c r="O7" s="4" t="n">
        <v>323.761703</v>
      </c>
    </row>
    <row r="8">
      <c r="A8" t="inlineStr">
        <is>
          <t>FY2022</t>
        </is>
      </c>
      <c r="B8" s="4" t="n">
        <v>1.678465</v>
      </c>
      <c r="C8" s="4" t="n"/>
      <c r="D8" s="4" t="n">
        <v>0.9739139999999999</v>
      </c>
      <c r="E8" s="4" t="n">
        <v>-7.892672</v>
      </c>
      <c r="F8" s="4" t="n">
        <v>-2.531697</v>
      </c>
      <c r="G8" s="4" t="n">
        <v>0.002662</v>
      </c>
      <c r="H8" s="4" t="n">
        <v>-2.534359</v>
      </c>
      <c r="I8" s="4" t="n">
        <v>0.144813</v>
      </c>
      <c r="J8" s="4" t="n">
        <v>0.000323</v>
      </c>
      <c r="K8" s="4" t="n">
        <v>0</v>
      </c>
      <c r="L8" s="4" t="n">
        <v>3.395051</v>
      </c>
      <c r="M8" s="4" t="n">
        <v>2.797004</v>
      </c>
      <c r="N8" s="4" t="n">
        <v>0</v>
      </c>
      <c r="O8" s="4" t="n">
        <v>362.866253</v>
      </c>
    </row>
    <row r="9">
      <c r="A9" t="inlineStr">
        <is>
          <t>FY2023</t>
        </is>
      </c>
      <c r="B9" s="4" t="n">
        <v>1.662619</v>
      </c>
      <c r="C9" s="4" t="n">
        <v>1.3</v>
      </c>
      <c r="D9" s="4" t="n">
        <v>0.5400160000000001</v>
      </c>
      <c r="E9" s="4" t="n">
        <v>-2.40184</v>
      </c>
      <c r="F9" s="4" t="n">
        <v>-2.193786</v>
      </c>
      <c r="G9" s="4" t="n">
        <v>0.0497</v>
      </c>
      <c r="H9" s="4" t="n">
        <v>-2.243486</v>
      </c>
      <c r="I9" s="4" t="n">
        <v>0.054873</v>
      </c>
      <c r="J9" s="4" t="n">
        <v>0.002854</v>
      </c>
      <c r="K9" s="4" t="n">
        <v>0</v>
      </c>
      <c r="L9" s="4" t="n">
        <v>2.542024</v>
      </c>
      <c r="M9" s="4" t="n">
        <v>2.160468</v>
      </c>
      <c r="N9" s="4" t="n">
        <v>0</v>
      </c>
      <c r="O9" s="4" t="n">
        <v>364.191703</v>
      </c>
    </row>
    <row r="10">
      <c r="A10" t="inlineStr">
        <is>
          <t>FY2024</t>
        </is>
      </c>
      <c r="B10" s="4" t="n">
        <v>2.107839</v>
      </c>
      <c r="C10" s="4" t="n">
        <v>1.41607</v>
      </c>
      <c r="D10" s="4" t="n">
        <v>0.497045</v>
      </c>
      <c r="E10" s="4" t="n">
        <v>-2.050533</v>
      </c>
      <c r="F10" s="4" t="n">
        <v>-2.033174</v>
      </c>
      <c r="G10" s="4" t="n">
        <v>0</v>
      </c>
      <c r="H10" s="4" t="n">
        <v>-2.033174</v>
      </c>
      <c r="I10" s="4" t="n">
        <v>0.089643</v>
      </c>
      <c r="J10" s="4" t="n">
        <v>0.004099</v>
      </c>
      <c r="K10" s="4" t="n">
        <v>0</v>
      </c>
      <c r="L10" s="4" t="n">
        <v>3.231934</v>
      </c>
      <c r="M10" s="4" t="n">
        <v>2.728036</v>
      </c>
      <c r="N10" s="4" t="n">
        <v>0</v>
      </c>
      <c r="O10" s="4" t="n">
        <v>422.175861</v>
      </c>
    </row>
    <row r="11">
      <c r="A11" t="inlineStr">
        <is>
          <t>FY2025</t>
        </is>
      </c>
      <c r="B11" s="4" t="n">
        <v>1.712052</v>
      </c>
      <c r="C11" s="4" t="n">
        <v>1.196832</v>
      </c>
      <c r="D11" s="4" t="n">
        <v>0.393203</v>
      </c>
      <c r="E11" s="4" t="n">
        <v>-2.243476</v>
      </c>
      <c r="F11" s="4" t="n">
        <v>-2.289306</v>
      </c>
      <c r="G11" s="4" t="n">
        <v>0</v>
      </c>
      <c r="H11" s="4" t="n">
        <v>-2.289306</v>
      </c>
      <c r="I11" s="4" t="n">
        <v>0</v>
      </c>
      <c r="J11" s="4" t="n">
        <v>0.004842</v>
      </c>
      <c r="K11" s="4" t="n">
        <v>0.084398</v>
      </c>
      <c r="L11" s="4" t="n">
        <v>1.008382</v>
      </c>
      <c r="M11" s="4" t="n">
        <v>0.365473</v>
      </c>
      <c r="N11" s="4" t="n">
        <v>0.317372</v>
      </c>
      <c r="O11" s="4" t="n">
        <v>552.743441</v>
      </c>
    </row>
    <row r="12">
      <c r="A12" t="inlineStr">
        <is>
          <t>FY2026</t>
        </is>
      </c>
      <c r="B12" s="4" t="n">
        <v>2.434476</v>
      </c>
      <c r="C12" s="4" t="n">
        <v>1.666675</v>
      </c>
      <c r="D12" s="4" t="n">
        <v>0.394534</v>
      </c>
      <c r="E12" s="4" t="n">
        <v>-2.252742</v>
      </c>
      <c r="F12" s="4" t="n">
        <v>-2.470767</v>
      </c>
      <c r="G12" s="4" t="n">
        <v>0</v>
      </c>
      <c r="H12" s="4" t="n">
        <v>-2.470767</v>
      </c>
      <c r="I12" s="4" t="n">
        <v>0.036829</v>
      </c>
      <c r="J12" s="4" t="n">
        <v>0.006213</v>
      </c>
      <c r="K12" s="4" t="n">
        <v>0.121057</v>
      </c>
      <c r="L12" s="4" t="n">
        <v>2.585462</v>
      </c>
      <c r="M12" s="4" t="n">
        <v>1.462603</v>
      </c>
      <c r="N12" s="4" t="n">
        <v>0.200695</v>
      </c>
      <c r="O12" s="4" t="n">
        <v>700.894546</v>
      </c>
    </row>
    <row r="14">
      <c r="A14" s="1" t="inlineStr">
        <is>
          <t>FY2026 cost base (NZ$m)</t>
        </is>
      </c>
    </row>
    <row r="15">
      <c r="A15" t="inlineStr">
        <is>
          <t>P&amp;L overheads ex COGS</t>
        </is>
      </c>
      <c r="B15" s="4" t="n">
        <v>3.416077</v>
      </c>
    </row>
    <row r="16">
      <c r="A16" t="inlineStr">
        <is>
          <t>less SBC (non-cash)</t>
        </is>
      </c>
      <c r="B16" s="4" t="n">
        <v>-0.036829</v>
      </c>
    </row>
    <row r="17">
      <c r="A17" t="inlineStr">
        <is>
          <t>less ROU depreciation (non-cash)</t>
        </is>
      </c>
      <c r="B17" s="4" t="n">
        <v>-0.140065</v>
      </c>
    </row>
    <row r="18">
      <c r="A18" t="inlineStr">
        <is>
          <t>add lease cash (principal + interest)</t>
        </is>
      </c>
      <c r="B18" s="4" t="n">
        <v>0.123066</v>
      </c>
    </row>
    <row r="19">
      <c r="A19" t="inlineStr">
        <is>
          <t>Cash overheads incl. leases</t>
        </is>
      </c>
      <c r="B19" s="4" t="n">
        <v>3.362249</v>
      </c>
    </row>
    <row r="20">
      <c r="A20" t="inlineStr">
        <is>
          <t>Gross margin FY2026</t>
        </is>
      </c>
      <c r="B20" s="4" t="n">
        <v>0.3154</v>
      </c>
    </row>
    <row r="21">
      <c r="A21" t="inlineStr">
        <is>
          <t>Cash received from customers FY2026 (vs revenue 2.434)</t>
        </is>
      </c>
      <c r="B21" s="4" t="n">
        <v>1.472115</v>
      </c>
    </row>
    <row r="22">
      <c r="A22" t="inlineStr">
        <is>
          <t>Trade receivables 31-Mar-2026 (vs 0.023 prior)</t>
        </is>
      </c>
      <c r="B22" s="4" t="n">
        <v>1.026962</v>
      </c>
    </row>
    <row r="24">
      <c r="A24" s="1" t="inlineStr">
        <is>
          <t>Share count bridge (m)</t>
        </is>
      </c>
    </row>
    <row r="25">
      <c r="A25" t="inlineStr">
        <is>
          <t>31-Mar-2026</t>
        </is>
      </c>
      <c r="B25" s="4" t="n">
        <v>747.325326</v>
      </c>
    </row>
    <row r="26">
      <c r="A26" t="inlineStr">
        <is>
          <t>+ placement (Jun-2026, @0.014)</t>
        </is>
      </c>
      <c r="B26" s="4" t="n">
        <v>109.999995</v>
      </c>
    </row>
    <row r="27">
      <c r="A27" t="inlineStr">
        <is>
          <t>Total 12-Jun-2026 (Annual Report)</t>
        </is>
      </c>
      <c r="B27" s="4" t="n">
        <v>857.325321</v>
      </c>
    </row>
    <row r="28">
      <c r="A28" t="inlineStr">
        <is>
          <t>+ rights 80.617 + shortfall 68.848 (30-Jun-2026, @0.013)</t>
        </is>
      </c>
      <c r="B28" s="4" t="n">
        <v>149.464986</v>
      </c>
    </row>
    <row r="29">
      <c r="A29" t="inlineStr">
        <is>
          <t>+ oversubs 22.188 (@0.013) + placement top-up 18.740 (@0.014) (4-Aug-2026)</t>
        </is>
      </c>
      <c r="B29" s="4" t="n">
        <v>40.92857</v>
      </c>
    </row>
    <row r="30">
      <c r="A30" t="inlineStr">
        <is>
          <t>Total 4-Aug-2026 Capital Change Notice</t>
        </is>
      </c>
      <c r="B30" s="4" t="n">
        <v>1047.718877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  <col width="60" customWidth="1" min="3" max="3"/>
  </cols>
  <sheetData>
    <row r="1">
      <c r="A1" s="1" t="inlineStr">
        <is>
          <t>Global inputs (blue) - NZ$ millions, shares in millions</t>
        </is>
      </c>
    </row>
    <row r="3">
      <c r="A3" t="inlineStr">
        <is>
          <t>Current price (NZ$)</t>
        </is>
      </c>
      <c r="B3" s="4" t="n">
        <v>0.015</v>
      </c>
      <c r="C3" t="inlineStr">
        <is>
          <t>Yahoo TRU.NZ last trade 2026-09-11T02:31:36Z</t>
        </is>
      </c>
    </row>
    <row r="4">
      <c r="A4" t="inlineStr">
        <is>
          <t>Shares on issue today (m)</t>
        </is>
      </c>
      <c r="B4" s="4" t="n">
        <v>1047.718877</v>
      </c>
      <c r="C4" t="inlineStr">
        <is>
          <t>4-Aug-2026 Capital Change Notice</t>
        </is>
      </c>
    </row>
    <row r="5">
      <c r="A5" t="inlineStr">
        <is>
          <t>Cash 31-Mar-2026</t>
        </is>
      </c>
      <c r="B5" s="4" t="n">
        <v>1.462603</v>
      </c>
      <c r="C5" t="inlineStr">
        <is>
          <t>FY2026 audited balance sheet</t>
        </is>
      </c>
    </row>
    <row r="6">
      <c r="A6" t="inlineStr">
        <is>
          <t>Gross raise May-Aug 2026</t>
        </is>
      </c>
      <c r="B6" s="4" t="n">
        <v>4.033902</v>
      </c>
      <c r="C6" t="inlineStr">
        <is>
          <t>128.74m@0.014 + 149.46m@0.013 + 22.19m@0.013</t>
        </is>
      </c>
    </row>
    <row r="7">
      <c r="A7" t="inlineStr">
        <is>
          <t>Raise cost %</t>
        </is>
      </c>
      <c r="B7" s="4" t="n">
        <v>0.09</v>
      </c>
      <c r="C7" t="inlineStr">
        <is>
          <t>FY2026 precedent 9.4% cash costs</t>
        </is>
      </c>
    </row>
    <row r="8">
      <c r="A8" t="inlineStr">
        <is>
          <t>Net raise</t>
        </is>
      </c>
      <c r="B8">
        <f>B6*(1-B7)</f>
        <v/>
      </c>
      <c r="C8" t="inlineStr">
        <is>
          <t>formula</t>
        </is>
      </c>
    </row>
    <row r="9">
      <c r="A9" t="inlineStr">
        <is>
          <t>Pro-forma cash, start FY2027</t>
        </is>
      </c>
      <c r="B9">
        <f>B5+B8</f>
        <v/>
      </c>
      <c r="C9" t="inlineStr">
        <is>
          <t>formula - the cash roll on each Scen_ tab starts here</t>
        </is>
      </c>
    </row>
    <row r="10">
      <c r="A10" t="inlineStr">
        <is>
          <t>Cost of equity</t>
        </is>
      </c>
      <c r="B10" s="5" t="n">
        <v>0.25</v>
      </c>
      <c r="C10" t="inlineStr">
        <is>
          <t>NZD; rf 4.3% + 5.5% ERP x 1.5 beta + ~12.5pp nano-cap/illiquidity premium. Same for all scenarios.</t>
        </is>
      </c>
    </row>
    <row r="11">
      <c r="A11" t="inlineStr">
        <is>
          <t>Horizon (years to 31-Mar-2029 exit)</t>
        </is>
      </c>
      <c r="B11" s="5" t="n">
        <v>2.5</v>
      </c>
      <c r="C11" t="inlineStr">
        <is>
          <t>from 13-Sep-2026</t>
        </is>
      </c>
    </row>
    <row r="12">
      <c r="A12" t="inlineStr">
        <is>
          <t>Hurdle rate (entry price)</t>
        </is>
      </c>
      <c r="B12" s="4" t="n">
        <v>0.15</v>
      </c>
      <c r="C12" t="inlineStr">
        <is>
          <t>house standard</t>
        </is>
      </c>
    </row>
    <row r="13">
      <c r="A13" t="inlineStr">
        <is>
          <t>FY2026 revenue</t>
        </is>
      </c>
      <c r="B13" s="4" t="n">
        <v>2.434476</v>
      </c>
      <c r="C13" t="inlineStr">
        <is>
          <t>FY2026 P&amp;L</t>
        </is>
      </c>
    </row>
    <row r="14">
      <c r="A14" t="inlineStr">
        <is>
          <t>Discount factor at CoE</t>
        </is>
      </c>
      <c r="B14">
        <f>1/(1+B10)^B11</f>
        <v/>
      </c>
      <c r="C14" t="inlineStr">
        <is>
          <t>formula</t>
        </is>
      </c>
    </row>
    <row r="15">
      <c r="A15" t="inlineStr">
        <is>
          <t>Monthly burn (FY2026 run-rate)</t>
        </is>
      </c>
      <c r="B15" s="4" t="n">
        <v>0.215985</v>
      </c>
      <c r="C15" t="inlineStr">
        <is>
          <t>(OCF -2.471 + lease -0.121)/12</t>
        </is>
      </c>
    </row>
    <row r="16">
      <c r="A16" t="inlineStr">
        <is>
          <t>Est. cash today (~mid-Sep-2026)</t>
        </is>
      </c>
      <c r="B16">
        <f>B5+B8-B15*5.5</f>
        <v/>
      </c>
      <c r="C16" t="inlineStr">
        <is>
          <t>ESTIMATE: 5.5 months of burn since 31-Mar; +/- NZ$0.5m</t>
        </is>
      </c>
    </row>
    <row r="18">
      <c r="A18" s="1" t="inlineStr">
        <is>
          <t>Options (Capital Change Notice 4-Aug-2026)</t>
        </is>
      </c>
      <c r="B18" t="inlineStr">
        <is>
          <t>Number (m)</t>
        </is>
      </c>
      <c r="C18" t="inlineStr">
        <is>
          <t>Strike</t>
        </is>
      </c>
      <c r="D18" t="inlineStr">
        <is>
          <t>Expiry</t>
        </is>
      </c>
      <c r="E18" t="inlineStr">
        <is>
          <t>Proceeds if exercised</t>
        </is>
      </c>
    </row>
    <row r="19">
      <c r="A19" t="inlineStr">
        <is>
          <t>TRUOD</t>
        </is>
      </c>
      <c r="B19" s="4" t="n">
        <v>204.691031</v>
      </c>
      <c r="C19" s="4" t="n">
        <v>0.022</v>
      </c>
      <c r="D19" s="4" t="inlineStr">
        <is>
          <t>17-Jul-2027</t>
        </is>
      </c>
      <c r="E19">
        <f>B19*C19</f>
        <v/>
      </c>
    </row>
    <row r="20">
      <c r="A20" t="inlineStr">
        <is>
          <t>TRUOE</t>
        </is>
      </c>
      <c r="B20" s="4" t="n">
        <v>89.04522900000001</v>
      </c>
      <c r="C20" s="4" t="n">
        <v>0.014</v>
      </c>
      <c r="D20" s="4" t="inlineStr">
        <is>
          <t>4-Aug-2028</t>
        </is>
      </c>
      <c r="E20">
        <f>B20*C20</f>
        <v/>
      </c>
    </row>
    <row r="21">
      <c r="A21" t="inlineStr">
        <is>
          <t>TRUOF</t>
        </is>
      </c>
      <c r="B21" s="4" t="n">
        <v>22.5</v>
      </c>
      <c r="C21" s="4" t="n">
        <v>0.019</v>
      </c>
      <c r="D21" s="4" t="inlineStr">
        <is>
          <t>4-Aug-2028</t>
        </is>
      </c>
      <c r="E21">
        <f>B21*C21</f>
        <v/>
      </c>
    </row>
    <row r="23">
      <c r="A23" s="1" t="inlineStr">
        <is>
          <t>Scenario weights</t>
        </is>
      </c>
    </row>
    <row r="24">
      <c r="A24" t="inlineStr">
        <is>
          <t>bear</t>
        </is>
      </c>
      <c r="B24" s="5" t="n">
        <v>0.35</v>
      </c>
    </row>
    <row r="25">
      <c r="A25" t="inlineStr">
        <is>
          <t>base</t>
        </is>
      </c>
      <c r="B25" s="5" t="n">
        <v>0.4</v>
      </c>
    </row>
    <row r="26">
      <c r="A26" t="inlineStr">
        <is>
          <t>bull</t>
        </is>
      </c>
      <c r="B26" s="5" t="n">
        <v>0.25</v>
      </c>
    </row>
    <row r="27">
      <c r="A27" t="inlineStr">
        <is>
          <t>Sum (must be 1.0)</t>
        </is>
      </c>
      <c r="B27">
        <f>SUM(B24:B26)</f>
        <v/>
      </c>
    </row>
    <row r="29">
      <c r="A29" t="inlineStr">
        <is>
          <t>Bear wind-down branch weight</t>
        </is>
      </c>
      <c r="B29" s="5" t="n">
        <v>0.5</v>
      </c>
    </row>
    <row r="30">
      <c r="A30" t="inlineStr">
        <is>
          <t>Bear wind-down recovery to equity (NZ$m)</t>
        </is>
      </c>
      <c r="B30" s="4" t="n">
        <v>0.9</v>
      </c>
      <c r="C30" t="inlineStr">
        <is>
          <t>~1.2m cash entering FY2029 less ~0.8m wind-down costs plus ~0.5m IP/registrations sale</t>
        </is>
      </c>
    </row>
    <row r="32">
      <c r="A32" s="1" t="inlineStr">
        <is>
          <t>Scenario narratives</t>
        </is>
      </c>
    </row>
    <row r="33" ht="150" customHeight="1">
      <c r="A33" t="inlineStr">
        <is>
          <t>BEAR</t>
        </is>
      </c>
      <c r="B33" s="2" t="inlineStr">
        <is>
          <t>China (61% of sales) softens - the NZ$1.03m year-end trade receivable from a distributor on extended terms signals channel stuffing or a struggling partner - and the new markets repeat FY2026's pattern of orders slipping (Uzbekistan awaiting payment, Zimbabwe deferred): revenue FY2027E NZ$2.2m, flat thereafter, gross margin stuck at 31%. Overheads are cut to NZ$2.8m but the business still burns ~NZ$1.8m/yr, so cash (NZ$5.1m pro forma) runs out during FY2029 with no growth story to raise against; all options lapse. Two branches, 50/50: (i) wind-down / failed raise - ~NZ$1.2m cash entering FY2029 less ~NZ$0.8m of wind-down costs plus ~NZ$0.5m for the IP and registrations sold to a distributor = ~NZ$0.9m to 1,047.7m shares = NZ$0.0009 (PV NZ$0.0005); (ii) punitive recap - NZ$2.5m gross at NZ$0.005 (+500m shares -&gt; 1,547.7m), exit at 1.0x FY2029E sales of NZ$2.4m plus ~NZ$1.8m cash = NZ$0.0027/share (PV NZ$0.0016). Blended bear IV NZ$0.0010 - a ~93% loss from NZ$0.015.</t>
        </is>
      </c>
    </row>
    <row r="34" ht="150" customHeight="1">
      <c r="A34" t="inlineStr">
        <is>
          <t>BASE</t>
        </is>
      </c>
      <c r="B34" s="2" t="inlineStr">
        <is>
          <t>Revenue grows ~25%/yr off the FY2026 base: the deferred Zimbabwe 10,000-SUS order and the Uzbekistan pilot land in FY2027, India registration (guided 3-6 months from Jun-2026) opens a first commercial year in FY2028, the Vietnam HCMC 260,000-women programme ramps slowly, and China consumables grow modestly (SUS +1% in FY2026). No UNITAID win, or a win too small/late to matter inside the horizon. Gross margin improves 31.5% -&gt; 37% as management guides ('expected to further improve in FY2027'). Cash overheads rise 4%/yr from the FY2026 NZ$3.36m because management is explicit that market development requires investment. Receivables absorb 20% of each year's revenue increase (FY2026 saw a NZ$1.0m receivable build on NZ$0.7m of growth). Cumulative FY2027-29 burn ~NZ$6.1m against NZ$5.1m pro-forma cash, so ONE further raise is modelled in FY2028: NZ$3.0m gross at NZ$0.010 (+300m shares), consistent with the annual raise cadence and each raise printing below the last (0.022 -&gt; 0.014 -&gt; 0.010). The NZ$0.022 TRUOD options lapse Jul-2027 and the 0.014/0.019 tranches lapse Aug-2028. Exit at 2.5x FY2029E sales - a multiple for a sub-scale, still-loss-making, distributor-led device company facing another raise, NOT the 4-5x the market has paid TRU on the story. Net cash at exit ~NZ$1.8m.</t>
        </is>
      </c>
    </row>
    <row r="35" ht="150" customHeight="1">
      <c r="A35" t="inlineStr">
        <is>
          <t>BULL</t>
        </is>
      </c>
      <c r="B35" s="2" t="inlineStr">
        <is>
          <t>The Nov-2026 UNITAID decision delivers at least one of the five applications TruScreen is technology partner in (company: 'may add NZ$4m to annual revenue from FY2028 to FY2030'), the CSCCP Expert Consensus in China opens public-programme procurement so consumables finally compound, and the Vietnam/Zimbabwe/India programmes convert: FY2027E NZ$3.6m -&gt; FY2028E NZ$6.5m -&gt; FY2029E NZ$10.0m, gross margin 35% -&gt; 44% on programme SUS volume. Overheads scale to NZ$4.9m. The share price re-rates above NZ$0.022 on the UNITAID news, so all 316.2m options exercise (NZ$6.18m: TRUOD in FY2028, TRUOE/TRUOF in FY2029) and NO discounted raise is needed; dilution stops at 1,364.0m. Approaching operating breakeven in FY2029 with ~NZ$6.4m net cash. Exit at 4.5x FY2029E sales - a growing, near-breakeven medtech with public-screening contracts, about the multiple the market pays TRU today. This is the scenario the current price needs to be ~two-thirds likely.</t>
        </is>
      </c>
    </row>
    <row r="37" ht="120" customHeight="1">
      <c r="A37" t="inlineStr">
        <is>
          <t>Weights rationale</t>
        </is>
      </c>
      <c r="B37" s="2" t="inlineStr">
        <is>
          <t>Bear 35% (vs 15% house default): the FY2026 audit report carries a Material Uncertainty Related to Going Concern paragraph, the directors' twelve-month forecast explicitly 'assumes revenue growth from a number of markets' that the auditor could not corroborate, China is 61% of sales with a NZ$1.03m receivable on extended terms, the recurring consumable line grew 1% in a +42% year, FY2026 guidance was cut once already, and the company has been 'about to scale' since listing (revenue NZ$0.6m FY2017 -&gt; NZ$2.4m FY2026, with a placement at a lower price nearly every year). Bull 25% (vs 35% default): there IS a dated, real catalyst - the UNITAID decision ~Nov-2026 on five applications TruScreen is technology partner in, plus the CSCCP Expert Consensus in China and Vietnam/Zimbabwe/India programmes - which is why bull is not cut further; but the bull needs three independent things (a programme win, China consumables compounding, and a share price above NZ$0.022 by Jul-2027 so the options fund the growth) and the company's ten-year record is of announced programmes converting slowly. Base 40% carries the remainder. Weights sum to 1.0.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Scen_Bear: revenue -&gt; gross profit -&gt; cash burn -&gt; funding -&gt; exit at EV/Sales. Blue = driver. NZ$m.</t>
        </is>
      </c>
    </row>
    <row r="3">
      <c r="A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</row>
    <row r="5">
      <c r="A5" t="inlineStr">
        <is>
          <t>Revenue growth YoY</t>
        </is>
      </c>
      <c r="B5" s="6" t="n"/>
      <c r="C5" s="7" t="n">
        <v>-0.096</v>
      </c>
      <c r="D5" s="7" t="n">
        <v>0.045</v>
      </c>
      <c r="E5" s="7" t="n">
        <v>0.043</v>
      </c>
    </row>
    <row r="6">
      <c r="A6" t="inlineStr">
        <is>
          <t>Revenue</t>
        </is>
      </c>
      <c r="B6" s="8">
        <f>Assumptions!B13</f>
        <v/>
      </c>
      <c r="C6">
        <f>B6*(1+C5)</f>
        <v/>
      </c>
      <c r="D6">
        <f>C6*(1+D5)</f>
        <v/>
      </c>
      <c r="E6">
        <f>D6*(1+E5)</f>
        <v/>
      </c>
    </row>
    <row r="7">
      <c r="A7" t="inlineStr">
        <is>
          <t>Gross margin</t>
        </is>
      </c>
      <c r="B7" s="9" t="n">
        <v>0.3154</v>
      </c>
      <c r="C7" s="7" t="n">
        <v>0.31</v>
      </c>
      <c r="D7" s="7" t="n">
        <v>0.31</v>
      </c>
      <c r="E7" s="7" t="n">
        <v>0.31</v>
      </c>
    </row>
    <row r="8">
      <c r="A8" t="inlineStr">
        <is>
          <t>Gross profit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</row>
    <row r="9">
      <c r="A9" t="inlineStr">
        <is>
          <t>Other income (R&amp;D tax offset)</t>
        </is>
      </c>
      <c r="B9" s="4" t="n">
        <v>0.394534</v>
      </c>
      <c r="C9" s="4" t="n">
        <v>0.35</v>
      </c>
      <c r="D9" s="4" t="n">
        <v>0.35</v>
      </c>
      <c r="E9" s="4" t="n">
        <v>0.35</v>
      </c>
    </row>
    <row r="10">
      <c r="A10" t="inlineStr">
        <is>
          <t>Cash overheads incl. leases</t>
        </is>
      </c>
      <c r="B10" s="4" t="n">
        <v>3.362249</v>
      </c>
      <c r="C10" s="5" t="n">
        <v>3.1</v>
      </c>
      <c r="D10" s="5" t="n">
        <v>2.9</v>
      </c>
      <c r="E10" s="5" t="n">
        <v>2.8</v>
      </c>
    </row>
    <row r="11">
      <c r="A11" t="inlineStr">
        <is>
          <t>WC capture on revenue change (negative = outflow)</t>
        </is>
      </c>
      <c r="B11" s="6" t="n"/>
      <c r="C11" s="9" t="n">
        <v>0</v>
      </c>
      <c r="D11" s="9" t="n">
        <v>0</v>
      </c>
      <c r="E11" s="9" t="n">
        <v>0</v>
      </c>
    </row>
    <row r="12">
      <c r="A12" t="inlineStr">
        <is>
          <t>Working capital change</t>
        </is>
      </c>
      <c r="B12" s="4" t="n">
        <v>-0.41</v>
      </c>
      <c r="C12">
        <f>C11*(C6-B6)</f>
        <v/>
      </c>
      <c r="D12">
        <f>D11*(D6-C6)</f>
        <v/>
      </c>
      <c r="E12">
        <f>E11*(E6-D6)</f>
        <v/>
      </c>
    </row>
    <row r="13">
      <c r="A13" t="inlineStr">
        <is>
          <t>Operating cash flow (burn)</t>
        </is>
      </c>
      <c r="B13">
        <f>B8+B9-B10+B12</f>
        <v/>
      </c>
      <c r="C13">
        <f>C8+C9-C10+C12</f>
        <v/>
      </c>
      <c r="D13">
        <f>D8+D9-D10+D12</f>
        <v/>
      </c>
      <c r="E13">
        <f>E8+E9-E10+E12</f>
        <v/>
      </c>
    </row>
    <row r="14">
      <c r="A14" t="inlineStr">
        <is>
          <t>Option exercise proceeds</t>
        </is>
      </c>
      <c r="C14" s="8">
        <f>C15*Assumptions!$E$19+C16*Assumptions!$E$20+C17*Assumptions!$E$21</f>
        <v/>
      </c>
      <c r="D14" s="8">
        <f>D15*Assumptions!$E$19+D16*Assumptions!$E$20+D17*Assumptions!$E$21</f>
        <v/>
      </c>
      <c r="E14" s="8">
        <f>E15*Assumptions!$E$19+E16*Assumptions!$E$20+E17*Assumptions!$E$21</f>
        <v/>
      </c>
    </row>
    <row r="15">
      <c r="A15" t="inlineStr">
        <is>
          <t>TRUOD exercised (1/0)</t>
        </is>
      </c>
      <c r="C15" s="4" t="n">
        <v>0</v>
      </c>
      <c r="D15" s="4" t="n">
        <v>0</v>
      </c>
      <c r="E15" s="4" t="n">
        <v>0</v>
      </c>
    </row>
    <row r="16">
      <c r="A16" t="inlineStr">
        <is>
          <t>TRUOE exercised (1/0)</t>
        </is>
      </c>
      <c r="C16" s="4" t="n">
        <v>0</v>
      </c>
      <c r="D16" s="4" t="n">
        <v>0</v>
      </c>
      <c r="E16" s="4" t="n">
        <v>0</v>
      </c>
    </row>
    <row r="17">
      <c r="A17" t="inlineStr">
        <is>
          <t>TRUOF exercised (1/0)</t>
        </is>
      </c>
      <c r="C17" s="4" t="n">
        <v>0</v>
      </c>
      <c r="D17" s="4" t="n">
        <v>0</v>
      </c>
      <c r="E17" s="4" t="n">
        <v>0</v>
      </c>
    </row>
    <row r="18">
      <c r="A18" t="inlineStr">
        <is>
          <t>Discounted raise - gross</t>
        </is>
      </c>
      <c r="C18" s="4" t="n">
        <v>0</v>
      </c>
      <c r="D18" s="4" t="n">
        <v>0</v>
      </c>
      <c r="E18" s="4" t="n">
        <v>2.5</v>
      </c>
    </row>
    <row r="19">
      <c r="A19" t="inlineStr">
        <is>
          <t>Raise price (NZ$)</t>
        </is>
      </c>
      <c r="B19" s="10" t="n"/>
      <c r="C19" s="11" t="n">
        <v>0</v>
      </c>
      <c r="D19" s="11" t="n">
        <v>0</v>
      </c>
      <c r="E19" s="11" t="n">
        <v>0.005</v>
      </c>
    </row>
    <row r="20">
      <c r="A20" t="inlineStr">
        <is>
          <t>Raise net of costs</t>
        </is>
      </c>
      <c r="C20" s="8">
        <f>C18*(1-Assumptions!$B$7)</f>
        <v/>
      </c>
      <c r="D20" s="8">
        <f>D18*(1-Assumptions!$B$7)</f>
        <v/>
      </c>
      <c r="E20" s="8">
        <f>E18*(1-Assumptions!$B$7)</f>
        <v/>
      </c>
    </row>
    <row r="21">
      <c r="A21" t="inlineStr">
        <is>
          <t>New shares from raise (m)</t>
        </is>
      </c>
      <c r="C21">
        <f>IF(C19&gt;0,C18/C19,0)</f>
        <v/>
      </c>
      <c r="D21">
        <f>IF(D19&gt;0,D18/D19,0)</f>
        <v/>
      </c>
      <c r="E21">
        <f>IF(E19&gt;0,E18/E19,0)</f>
        <v/>
      </c>
    </row>
    <row r="22">
      <c r="A22" t="inlineStr">
        <is>
          <t>Cash at year end</t>
        </is>
      </c>
      <c r="C22">
        <f>Assumptions!$B$9+C13+C14+C20</f>
        <v/>
      </c>
      <c r="D22">
        <f>C22+D13+D14+D20</f>
        <v/>
      </c>
      <c r="E22">
        <f>D22+E13+E14+E20</f>
        <v/>
      </c>
    </row>
    <row r="23">
      <c r="A23" t="inlineStr">
        <is>
          <t>Diluted shares at year end (m)</t>
        </is>
      </c>
      <c r="C23">
        <f>Assumptions!$B$4+C15*Assumptions!$B$19+C16*Assumptions!$B$20+C17*Assumptions!$B$21+C21</f>
        <v/>
      </c>
      <c r="D23">
        <f>C23+D15*Assumptions!$B$19+D16*Assumptions!$B$20+D17*Assumptions!$B$21+D21</f>
        <v/>
      </c>
      <c r="E23">
        <f>D23+E15*Assumptions!$B$19+E16*Assumptions!$B$20+E17*Assumptions!$B$21+E21</f>
        <v/>
      </c>
    </row>
    <row r="24">
      <c r="A24" t="inlineStr">
        <is>
          <t>Memo: OCF margin</t>
        </is>
      </c>
      <c r="B24" s="6">
        <f>B13/B6</f>
        <v/>
      </c>
      <c r="C24" s="6">
        <f>C13/C6</f>
        <v/>
      </c>
      <c r="D24" s="6">
        <f>D13/D6</f>
        <v/>
      </c>
      <c r="E24" s="6">
        <f>E13/E6</f>
        <v/>
      </c>
    </row>
    <row r="26">
      <c r="A26" t="inlineStr">
        <is>
          <t>Exit EV/Sales multiple</t>
        </is>
      </c>
      <c r="B26" s="5" t="n">
        <v>1</v>
      </c>
    </row>
    <row r="27">
      <c r="A27" t="inlineStr">
        <is>
          <t>Exit EV</t>
        </is>
      </c>
      <c r="B27">
        <f>E6*B26</f>
        <v/>
      </c>
    </row>
    <row r="28">
      <c r="A28" t="inlineStr">
        <is>
          <t>Exit net cash</t>
        </is>
      </c>
      <c r="B28">
        <f>E22</f>
        <v/>
      </c>
    </row>
    <row r="29">
      <c r="A29" t="inlineStr">
        <is>
          <t>Exit equity value</t>
        </is>
      </c>
      <c r="B29">
        <f>B27+B28</f>
        <v/>
      </c>
    </row>
    <row r="30">
      <c r="A30" t="inlineStr">
        <is>
          <t>Diluted shares at exit (m)</t>
        </is>
      </c>
      <c r="B30">
        <f>E23</f>
        <v/>
      </c>
    </row>
    <row r="31">
      <c r="A31" t="inlineStr">
        <is>
          <t>Exit value per share (NZ$)</t>
        </is>
      </c>
      <c r="B31" s="10">
        <f>B29/B30</f>
        <v/>
      </c>
      <c r="C31" s="10" t="n"/>
      <c r="D31" s="10" t="n"/>
      <c r="E31" s="10" t="n"/>
    </row>
    <row r="32">
      <c r="A32" t="inlineStr">
        <is>
          <t>Discount factor at CoE</t>
        </is>
      </c>
      <c r="B32" s="8">
        <f>Assumptions!B14</f>
        <v/>
      </c>
    </row>
    <row r="33">
      <c r="A33" t="inlineStr">
        <is>
          <t>VALUE PER SHARE (NZ$)</t>
        </is>
      </c>
      <c r="B33" s="12">
        <f>B31*B32</f>
        <v/>
      </c>
      <c r="C33" s="10" t="n"/>
      <c r="D33" s="10" t="n"/>
      <c r="E33" s="10" t="n"/>
    </row>
    <row r="34">
      <c r="A34" t="inlineStr">
        <is>
          <t>Upside vs price</t>
        </is>
      </c>
      <c r="B34" s="6">
        <f>B33/Assumptions!B3-1</f>
        <v/>
      </c>
      <c r="C34" s="6" t="n"/>
      <c r="D34" s="6" t="n"/>
      <c r="E34" s="6" t="n"/>
    </row>
    <row r="35">
      <c r="A35" t="inlineStr">
        <is>
          <t>Entry price at hurdle (NZ$)</t>
        </is>
      </c>
      <c r="B35" s="10">
        <f>B31/(1+Assumptions!B12)^Assumptions!B11</f>
        <v/>
      </c>
      <c r="C35" s="10" t="n"/>
      <c r="D35" s="10" t="n"/>
      <c r="E35" s="10" t="n"/>
    </row>
    <row r="37">
      <c r="A37" s="1" t="inlineStr">
        <is>
          <t>Wind-down branch (blended into the bear value)</t>
        </is>
      </c>
    </row>
    <row r="38">
      <c r="A38" t="inlineStr">
        <is>
          <t>Wind-down branch weight</t>
        </is>
      </c>
      <c r="B38" s="8">
        <f>Assumptions!B29</f>
        <v/>
      </c>
    </row>
    <row r="39">
      <c r="A39" t="inlineStr">
        <is>
          <t>Recovery to equity (NZ$m)</t>
        </is>
      </c>
      <c r="B39" s="8">
        <f>Assumptions!B30</f>
        <v/>
      </c>
    </row>
    <row r="40">
      <c r="A40" t="inlineStr">
        <is>
          <t>Recovery per share (today's count)</t>
        </is>
      </c>
      <c r="B40">
        <f>B39/Assumptions!B4</f>
        <v/>
      </c>
    </row>
    <row r="41">
      <c r="A41" t="inlineStr">
        <is>
          <t>PV of recovery per share</t>
        </is>
      </c>
      <c r="B41">
        <f>B40*B32</f>
        <v/>
      </c>
    </row>
    <row r="42">
      <c r="A42" t="inlineStr">
        <is>
          <t>BLENDED BEAR VALUE PER SHARE</t>
        </is>
      </c>
      <c r="B42" s="13">
        <f>B38*B41+(1-B38)*B33</f>
        <v/>
      </c>
    </row>
    <row r="43">
      <c r="A43" t="inlineStr">
        <is>
          <t>Blended bear entry price at hurdle</t>
        </is>
      </c>
      <c r="B43">
        <f>B38*B40/(1+Assumptions!B12)^Assumptions!B11+(1-B38)*B35</f>
        <v/>
      </c>
    </row>
    <row r="44">
      <c r="A44" t="inlineStr">
        <is>
          <t>Rows 5-35 above are the RECAP branch (NZ$2.5m at NZ$0.005 in FY2029, exit 1.0x sales).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Scen_Base: revenue -&gt; gross profit -&gt; cash burn -&gt; funding -&gt; exit at EV/Sales. Blue = driver. NZ$m.</t>
        </is>
      </c>
    </row>
    <row r="3">
      <c r="A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</row>
    <row r="5">
      <c r="A5" t="inlineStr">
        <is>
          <t>Revenue growth YoY</t>
        </is>
      </c>
      <c r="B5" s="6" t="n"/>
      <c r="C5" s="7" t="n">
        <v>0.273</v>
      </c>
      <c r="D5" s="7" t="n">
        <v>0.258</v>
      </c>
      <c r="E5" s="7" t="n">
        <v>0.231</v>
      </c>
    </row>
    <row r="6">
      <c r="A6" t="inlineStr">
        <is>
          <t>Revenue</t>
        </is>
      </c>
      <c r="B6" s="8">
        <f>Assumptions!B13</f>
        <v/>
      </c>
      <c r="C6">
        <f>B6*(1+C5)</f>
        <v/>
      </c>
      <c r="D6">
        <f>C6*(1+D5)</f>
        <v/>
      </c>
      <c r="E6">
        <f>D6*(1+E5)</f>
        <v/>
      </c>
    </row>
    <row r="7">
      <c r="A7" t="inlineStr">
        <is>
          <t>Gross margin</t>
        </is>
      </c>
      <c r="B7" s="9" t="n">
        <v>0.3154</v>
      </c>
      <c r="C7" s="7" t="n">
        <v>0.33</v>
      </c>
      <c r="D7" s="7" t="n">
        <v>0.35</v>
      </c>
      <c r="E7" s="7" t="n">
        <v>0.37</v>
      </c>
    </row>
    <row r="8">
      <c r="A8" t="inlineStr">
        <is>
          <t>Gross profit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</row>
    <row r="9">
      <c r="A9" t="inlineStr">
        <is>
          <t>Other income (R&amp;D tax offset)</t>
        </is>
      </c>
      <c r="B9" s="4" t="n">
        <v>0.394534</v>
      </c>
      <c r="C9" s="4" t="n">
        <v>0.4</v>
      </c>
      <c r="D9" s="4" t="n">
        <v>0.4</v>
      </c>
      <c r="E9" s="4" t="n">
        <v>0.4</v>
      </c>
    </row>
    <row r="10">
      <c r="A10" t="inlineStr">
        <is>
          <t>Cash overheads incl. leases</t>
        </is>
      </c>
      <c r="B10" s="4" t="n">
        <v>3.362249</v>
      </c>
      <c r="C10" s="5" t="n">
        <v>3.5</v>
      </c>
      <c r="D10" s="5" t="n">
        <v>3.65</v>
      </c>
      <c r="E10" s="5" t="n">
        <v>3.8</v>
      </c>
    </row>
    <row r="11">
      <c r="A11" t="inlineStr">
        <is>
          <t>WC capture on revenue change (negative = outflow)</t>
        </is>
      </c>
      <c r="B11" s="6" t="n"/>
      <c r="C11" s="9" t="n">
        <v>-0.2</v>
      </c>
      <c r="D11" s="9" t="n">
        <v>-0.2</v>
      </c>
      <c r="E11" s="9" t="n">
        <v>-0.2</v>
      </c>
    </row>
    <row r="12">
      <c r="A12" t="inlineStr">
        <is>
          <t>Working capital change</t>
        </is>
      </c>
      <c r="B12" s="4" t="n">
        <v>-0.41</v>
      </c>
      <c r="C12">
        <f>C11*(C6-B6)</f>
        <v/>
      </c>
      <c r="D12">
        <f>D11*(D6-C6)</f>
        <v/>
      </c>
      <c r="E12">
        <f>E11*(E6-D6)</f>
        <v/>
      </c>
    </row>
    <row r="13">
      <c r="A13" t="inlineStr">
        <is>
          <t>Operating cash flow (burn)</t>
        </is>
      </c>
      <c r="B13">
        <f>B8+B9-B10+B12</f>
        <v/>
      </c>
      <c r="C13">
        <f>C8+C9-C10+C12</f>
        <v/>
      </c>
      <c r="D13">
        <f>D8+D9-D10+D12</f>
        <v/>
      </c>
      <c r="E13">
        <f>E8+E9-E10+E12</f>
        <v/>
      </c>
    </row>
    <row r="14">
      <c r="A14" t="inlineStr">
        <is>
          <t>Option exercise proceeds</t>
        </is>
      </c>
      <c r="C14" s="8">
        <f>C15*Assumptions!$E$19+C16*Assumptions!$E$20+C17*Assumptions!$E$21</f>
        <v/>
      </c>
      <c r="D14" s="8">
        <f>D15*Assumptions!$E$19+D16*Assumptions!$E$20+D17*Assumptions!$E$21</f>
        <v/>
      </c>
      <c r="E14" s="8">
        <f>E15*Assumptions!$E$19+E16*Assumptions!$E$20+E17*Assumptions!$E$21</f>
        <v/>
      </c>
    </row>
    <row r="15">
      <c r="A15" t="inlineStr">
        <is>
          <t>TRUOD exercised (1/0)</t>
        </is>
      </c>
      <c r="C15" s="4" t="n">
        <v>0</v>
      </c>
      <c r="D15" s="4" t="n">
        <v>0</v>
      </c>
      <c r="E15" s="4" t="n">
        <v>0</v>
      </c>
    </row>
    <row r="16">
      <c r="A16" t="inlineStr">
        <is>
          <t>TRUOE exercised (1/0)</t>
        </is>
      </c>
      <c r="C16" s="4" t="n">
        <v>0</v>
      </c>
      <c r="D16" s="4" t="n">
        <v>0</v>
      </c>
      <c r="E16" s="4" t="n">
        <v>0</v>
      </c>
    </row>
    <row r="17">
      <c r="A17" t="inlineStr">
        <is>
          <t>TRUOF exercised (1/0)</t>
        </is>
      </c>
      <c r="C17" s="4" t="n">
        <v>0</v>
      </c>
      <c r="D17" s="4" t="n">
        <v>0</v>
      </c>
      <c r="E17" s="4" t="n">
        <v>0</v>
      </c>
    </row>
    <row r="18">
      <c r="A18" t="inlineStr">
        <is>
          <t>Discounted raise - gross</t>
        </is>
      </c>
      <c r="C18" s="4" t="n">
        <v>0</v>
      </c>
      <c r="D18" s="4" t="n">
        <v>3</v>
      </c>
      <c r="E18" s="4" t="n">
        <v>0</v>
      </c>
    </row>
    <row r="19">
      <c r="A19" t="inlineStr">
        <is>
          <t>Raise price (NZ$)</t>
        </is>
      </c>
      <c r="B19" s="10" t="n"/>
      <c r="C19" s="11" t="n">
        <v>0</v>
      </c>
      <c r="D19" s="11" t="n">
        <v>0.01</v>
      </c>
      <c r="E19" s="11" t="n">
        <v>0</v>
      </c>
    </row>
    <row r="20">
      <c r="A20" t="inlineStr">
        <is>
          <t>Raise net of costs</t>
        </is>
      </c>
      <c r="C20" s="8">
        <f>C18*(1-Assumptions!$B$7)</f>
        <v/>
      </c>
      <c r="D20" s="8">
        <f>D18*(1-Assumptions!$B$7)</f>
        <v/>
      </c>
      <c r="E20" s="8">
        <f>E18*(1-Assumptions!$B$7)</f>
        <v/>
      </c>
    </row>
    <row r="21">
      <c r="A21" t="inlineStr">
        <is>
          <t>New shares from raise (m)</t>
        </is>
      </c>
      <c r="C21">
        <f>IF(C19&gt;0,C18/C19,0)</f>
        <v/>
      </c>
      <c r="D21">
        <f>IF(D19&gt;0,D18/D19,0)</f>
        <v/>
      </c>
      <c r="E21">
        <f>IF(E19&gt;0,E18/E19,0)</f>
        <v/>
      </c>
    </row>
    <row r="22">
      <c r="A22" t="inlineStr">
        <is>
          <t>Cash at year end</t>
        </is>
      </c>
      <c r="C22">
        <f>Assumptions!$B$9+C13+C14+C20</f>
        <v/>
      </c>
      <c r="D22">
        <f>C22+D13+D14+D20</f>
        <v/>
      </c>
      <c r="E22">
        <f>D22+E13+E14+E20</f>
        <v/>
      </c>
    </row>
    <row r="23">
      <c r="A23" t="inlineStr">
        <is>
          <t>Diluted shares at year end (m)</t>
        </is>
      </c>
      <c r="C23">
        <f>Assumptions!$B$4+C15*Assumptions!$B$19+C16*Assumptions!$B$20+C17*Assumptions!$B$21+C21</f>
        <v/>
      </c>
      <c r="D23">
        <f>C23+D15*Assumptions!$B$19+D16*Assumptions!$B$20+D17*Assumptions!$B$21+D21</f>
        <v/>
      </c>
      <c r="E23">
        <f>D23+E15*Assumptions!$B$19+E16*Assumptions!$B$20+E17*Assumptions!$B$21+E21</f>
        <v/>
      </c>
    </row>
    <row r="24">
      <c r="A24" t="inlineStr">
        <is>
          <t>Memo: OCF margin</t>
        </is>
      </c>
      <c r="B24" s="6">
        <f>B13/B6</f>
        <v/>
      </c>
      <c r="C24" s="6">
        <f>C13/C6</f>
        <v/>
      </c>
      <c r="D24" s="6">
        <f>D13/D6</f>
        <v/>
      </c>
      <c r="E24" s="6">
        <f>E13/E6</f>
        <v/>
      </c>
    </row>
    <row r="26">
      <c r="A26" t="inlineStr">
        <is>
          <t>Exit EV/Sales multiple</t>
        </is>
      </c>
      <c r="B26" s="5" t="n">
        <v>2.5</v>
      </c>
    </row>
    <row r="27">
      <c r="A27" t="inlineStr">
        <is>
          <t>Exit EV</t>
        </is>
      </c>
      <c r="B27">
        <f>E6*B26</f>
        <v/>
      </c>
    </row>
    <row r="28">
      <c r="A28" t="inlineStr">
        <is>
          <t>Exit net cash</t>
        </is>
      </c>
      <c r="B28">
        <f>E22</f>
        <v/>
      </c>
    </row>
    <row r="29">
      <c r="A29" t="inlineStr">
        <is>
          <t>Exit equity value</t>
        </is>
      </c>
      <c r="B29">
        <f>B27+B28</f>
        <v/>
      </c>
    </row>
    <row r="30">
      <c r="A30" t="inlineStr">
        <is>
          <t>Diluted shares at exit (m)</t>
        </is>
      </c>
      <c r="B30">
        <f>E23</f>
        <v/>
      </c>
    </row>
    <row r="31">
      <c r="A31" t="inlineStr">
        <is>
          <t>Exit value per share (NZ$)</t>
        </is>
      </c>
      <c r="B31" s="10">
        <f>B29/B30</f>
        <v/>
      </c>
      <c r="C31" s="10" t="n"/>
      <c r="D31" s="10" t="n"/>
      <c r="E31" s="10" t="n"/>
    </row>
    <row r="32">
      <c r="A32" t="inlineStr">
        <is>
          <t>Discount factor at CoE</t>
        </is>
      </c>
      <c r="B32" s="8">
        <f>Assumptions!B14</f>
        <v/>
      </c>
    </row>
    <row r="33">
      <c r="A33" t="inlineStr">
        <is>
          <t>VALUE PER SHARE (NZ$)</t>
        </is>
      </c>
      <c r="B33" s="12">
        <f>B31*B32</f>
        <v/>
      </c>
      <c r="C33" s="10" t="n"/>
      <c r="D33" s="10" t="n"/>
      <c r="E33" s="10" t="n"/>
    </row>
    <row r="34">
      <c r="A34" t="inlineStr">
        <is>
          <t>Upside vs price</t>
        </is>
      </c>
      <c r="B34" s="6">
        <f>B33/Assumptions!B3-1</f>
        <v/>
      </c>
      <c r="C34" s="6" t="n"/>
      <c r="D34" s="6" t="n"/>
      <c r="E34" s="6" t="n"/>
    </row>
    <row r="35">
      <c r="A35" t="inlineStr">
        <is>
          <t>Entry price at hurdle (NZ$)</t>
        </is>
      </c>
      <c r="B35" s="10">
        <f>B31/(1+Assumptions!B12)^Assumptions!B11</f>
        <v/>
      </c>
      <c r="C35" s="10" t="n"/>
      <c r="D35" s="10" t="n"/>
      <c r="E35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Scen_Bull: revenue -&gt; gross profit -&gt; cash burn -&gt; funding -&gt; exit at EV/Sales. Blue = driver. NZ$m.</t>
        </is>
      </c>
    </row>
    <row r="3">
      <c r="A3" t="inlineStr">
        <is>
          <t>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</row>
    <row r="5">
      <c r="A5" t="inlineStr">
        <is>
          <t>Revenue growth YoY</t>
        </is>
      </c>
      <c r="B5" s="6" t="n"/>
      <c r="C5" s="7" t="n">
        <v>0.479</v>
      </c>
      <c r="D5" s="7" t="n">
        <v>0.8059999999999999</v>
      </c>
      <c r="E5" s="7" t="n">
        <v>0.5379999999999999</v>
      </c>
    </row>
    <row r="6">
      <c r="A6" t="inlineStr">
        <is>
          <t>Revenue</t>
        </is>
      </c>
      <c r="B6" s="8">
        <f>Assumptions!B13</f>
        <v/>
      </c>
      <c r="C6">
        <f>B6*(1+C5)</f>
        <v/>
      </c>
      <c r="D6">
        <f>C6*(1+D5)</f>
        <v/>
      </c>
      <c r="E6">
        <f>D6*(1+E5)</f>
        <v/>
      </c>
    </row>
    <row r="7">
      <c r="A7" t="inlineStr">
        <is>
          <t>Gross margin</t>
        </is>
      </c>
      <c r="B7" s="9" t="n">
        <v>0.3154</v>
      </c>
      <c r="C7" s="7" t="n">
        <v>0.35</v>
      </c>
      <c r="D7" s="7" t="n">
        <v>0.4</v>
      </c>
      <c r="E7" s="7" t="n">
        <v>0.44</v>
      </c>
    </row>
    <row r="8">
      <c r="A8" t="inlineStr">
        <is>
          <t>Gross profit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</row>
    <row r="9">
      <c r="A9" t="inlineStr">
        <is>
          <t>Other income (R&amp;D tax offset)</t>
        </is>
      </c>
      <c r="B9" s="4" t="n">
        <v>0.394534</v>
      </c>
      <c r="C9" s="4" t="n">
        <v>0.4</v>
      </c>
      <c r="D9" s="4" t="n">
        <v>0.4</v>
      </c>
      <c r="E9" s="4" t="n">
        <v>0.4</v>
      </c>
    </row>
    <row r="10">
      <c r="A10" t="inlineStr">
        <is>
          <t>Cash overheads incl. leases</t>
        </is>
      </c>
      <c r="B10" s="4" t="n">
        <v>3.362249</v>
      </c>
      <c r="C10" s="5" t="n">
        <v>3.7</v>
      </c>
      <c r="D10" s="5" t="n">
        <v>4.3</v>
      </c>
      <c r="E10" s="5" t="n">
        <v>4.9</v>
      </c>
    </row>
    <row r="11">
      <c r="A11" t="inlineStr">
        <is>
          <t>WC capture on revenue change (negative = outflow)</t>
        </is>
      </c>
      <c r="B11" s="6" t="n"/>
      <c r="C11" s="9" t="n">
        <v>-0.2</v>
      </c>
      <c r="D11" s="9" t="n">
        <v>-0.2</v>
      </c>
      <c r="E11" s="9" t="n">
        <v>-0.2</v>
      </c>
    </row>
    <row r="12">
      <c r="A12" t="inlineStr">
        <is>
          <t>Working capital change</t>
        </is>
      </c>
      <c r="B12" s="4" t="n">
        <v>-0.41</v>
      </c>
      <c r="C12">
        <f>C11*(C6-B6)</f>
        <v/>
      </c>
      <c r="D12">
        <f>D11*(D6-C6)</f>
        <v/>
      </c>
      <c r="E12">
        <f>E11*(E6-D6)</f>
        <v/>
      </c>
    </row>
    <row r="13">
      <c r="A13" t="inlineStr">
        <is>
          <t>Operating cash flow (burn)</t>
        </is>
      </c>
      <c r="B13">
        <f>B8+B9-B10+B12</f>
        <v/>
      </c>
      <c r="C13">
        <f>C8+C9-C10+C12</f>
        <v/>
      </c>
      <c r="D13">
        <f>D8+D9-D10+D12</f>
        <v/>
      </c>
      <c r="E13">
        <f>E8+E9-E10+E12</f>
        <v/>
      </c>
    </row>
    <row r="14">
      <c r="A14" t="inlineStr">
        <is>
          <t>Option exercise proceeds</t>
        </is>
      </c>
      <c r="C14" s="8">
        <f>C15*Assumptions!$E$19+C16*Assumptions!$E$20+C17*Assumptions!$E$21</f>
        <v/>
      </c>
      <c r="D14" s="8">
        <f>D15*Assumptions!$E$19+D16*Assumptions!$E$20+D17*Assumptions!$E$21</f>
        <v/>
      </c>
      <c r="E14" s="8">
        <f>E15*Assumptions!$E$19+E16*Assumptions!$E$20+E17*Assumptions!$E$21</f>
        <v/>
      </c>
    </row>
    <row r="15">
      <c r="A15" t="inlineStr">
        <is>
          <t>TRUOD exercised (1/0)</t>
        </is>
      </c>
      <c r="C15" s="4" t="n">
        <v>0</v>
      </c>
      <c r="D15" s="4" t="n">
        <v>1</v>
      </c>
      <c r="E15" s="4" t="n">
        <v>0</v>
      </c>
    </row>
    <row r="16">
      <c r="A16" t="inlineStr">
        <is>
          <t>TRUOE exercised (1/0)</t>
        </is>
      </c>
      <c r="C16" s="4" t="n">
        <v>0</v>
      </c>
      <c r="D16" s="4" t="n">
        <v>0</v>
      </c>
      <c r="E16" s="4" t="n">
        <v>1</v>
      </c>
    </row>
    <row r="17">
      <c r="A17" t="inlineStr">
        <is>
          <t>TRUOF exercised (1/0)</t>
        </is>
      </c>
      <c r="C17" s="4" t="n">
        <v>0</v>
      </c>
      <c r="D17" s="4" t="n">
        <v>0</v>
      </c>
      <c r="E17" s="4" t="n">
        <v>1</v>
      </c>
    </row>
    <row r="18">
      <c r="A18" t="inlineStr">
        <is>
          <t>Discounted raise - gross</t>
        </is>
      </c>
      <c r="C18" s="4" t="n">
        <v>0</v>
      </c>
      <c r="D18" s="4" t="n">
        <v>0</v>
      </c>
      <c r="E18" s="4" t="n">
        <v>0</v>
      </c>
    </row>
    <row r="19">
      <c r="A19" t="inlineStr">
        <is>
          <t>Raise price (NZ$)</t>
        </is>
      </c>
      <c r="B19" s="10" t="n"/>
      <c r="C19" s="11" t="n">
        <v>0</v>
      </c>
      <c r="D19" s="11" t="n">
        <v>0</v>
      </c>
      <c r="E19" s="11" t="n">
        <v>0</v>
      </c>
    </row>
    <row r="20">
      <c r="A20" t="inlineStr">
        <is>
          <t>Raise net of costs</t>
        </is>
      </c>
      <c r="C20" s="8">
        <f>C18*(1-Assumptions!$B$7)</f>
        <v/>
      </c>
      <c r="D20" s="8">
        <f>D18*(1-Assumptions!$B$7)</f>
        <v/>
      </c>
      <c r="E20" s="8">
        <f>E18*(1-Assumptions!$B$7)</f>
        <v/>
      </c>
    </row>
    <row r="21">
      <c r="A21" t="inlineStr">
        <is>
          <t>New shares from raise (m)</t>
        </is>
      </c>
      <c r="C21">
        <f>IF(C19&gt;0,C18/C19,0)</f>
        <v/>
      </c>
      <c r="D21">
        <f>IF(D19&gt;0,D18/D19,0)</f>
        <v/>
      </c>
      <c r="E21">
        <f>IF(E19&gt;0,E18/E19,0)</f>
        <v/>
      </c>
    </row>
    <row r="22">
      <c r="A22" t="inlineStr">
        <is>
          <t>Cash at year end</t>
        </is>
      </c>
      <c r="C22">
        <f>Assumptions!$B$9+C13+C14+C20</f>
        <v/>
      </c>
      <c r="D22">
        <f>C22+D13+D14+D20</f>
        <v/>
      </c>
      <c r="E22">
        <f>D22+E13+E14+E20</f>
        <v/>
      </c>
    </row>
    <row r="23">
      <c r="A23" t="inlineStr">
        <is>
          <t>Diluted shares at year end (m)</t>
        </is>
      </c>
      <c r="C23">
        <f>Assumptions!$B$4+C15*Assumptions!$B$19+C16*Assumptions!$B$20+C17*Assumptions!$B$21+C21</f>
        <v/>
      </c>
      <c r="D23">
        <f>C23+D15*Assumptions!$B$19+D16*Assumptions!$B$20+D17*Assumptions!$B$21+D21</f>
        <v/>
      </c>
      <c r="E23">
        <f>D23+E15*Assumptions!$B$19+E16*Assumptions!$B$20+E17*Assumptions!$B$21+E21</f>
        <v/>
      </c>
    </row>
    <row r="24">
      <c r="A24" t="inlineStr">
        <is>
          <t>Memo: OCF margin</t>
        </is>
      </c>
      <c r="B24" s="6">
        <f>B13/B6</f>
        <v/>
      </c>
      <c r="C24" s="6">
        <f>C13/C6</f>
        <v/>
      </c>
      <c r="D24" s="6">
        <f>D13/D6</f>
        <v/>
      </c>
      <c r="E24" s="6">
        <f>E13/E6</f>
        <v/>
      </c>
    </row>
    <row r="26">
      <c r="A26" t="inlineStr">
        <is>
          <t>Exit EV/Sales multiple</t>
        </is>
      </c>
      <c r="B26" s="5" t="n">
        <v>4.5</v>
      </c>
    </row>
    <row r="27">
      <c r="A27" t="inlineStr">
        <is>
          <t>Exit EV</t>
        </is>
      </c>
      <c r="B27">
        <f>E6*B26</f>
        <v/>
      </c>
    </row>
    <row r="28">
      <c r="A28" t="inlineStr">
        <is>
          <t>Exit net cash</t>
        </is>
      </c>
      <c r="B28">
        <f>E22</f>
        <v/>
      </c>
    </row>
    <row r="29">
      <c r="A29" t="inlineStr">
        <is>
          <t>Exit equity value</t>
        </is>
      </c>
      <c r="B29">
        <f>B27+B28</f>
        <v/>
      </c>
    </row>
    <row r="30">
      <c r="A30" t="inlineStr">
        <is>
          <t>Diluted shares at exit (m)</t>
        </is>
      </c>
      <c r="B30">
        <f>E23</f>
        <v/>
      </c>
    </row>
    <row r="31">
      <c r="A31" t="inlineStr">
        <is>
          <t>Exit value per share (NZ$)</t>
        </is>
      </c>
      <c r="B31" s="10">
        <f>B29/B30</f>
        <v/>
      </c>
      <c r="C31" s="10" t="n"/>
      <c r="D31" s="10" t="n"/>
      <c r="E31" s="10" t="n"/>
    </row>
    <row r="32">
      <c r="A32" t="inlineStr">
        <is>
          <t>Discount factor at CoE</t>
        </is>
      </c>
      <c r="B32" s="8">
        <f>Assumptions!B14</f>
        <v/>
      </c>
    </row>
    <row r="33">
      <c r="A33" t="inlineStr">
        <is>
          <t>VALUE PER SHARE (NZ$)</t>
        </is>
      </c>
      <c r="B33" s="12">
        <f>B31*B32</f>
        <v/>
      </c>
      <c r="C33" s="10" t="n"/>
      <c r="D33" s="10" t="n"/>
      <c r="E33" s="10" t="n"/>
    </row>
    <row r="34">
      <c r="A34" t="inlineStr">
        <is>
          <t>Upside vs price</t>
        </is>
      </c>
      <c r="B34" s="6">
        <f>B33/Assumptions!B3-1</f>
        <v/>
      </c>
      <c r="C34" s="6" t="n"/>
      <c r="D34" s="6" t="n"/>
      <c r="E34" s="6" t="n"/>
    </row>
    <row r="35">
      <c r="A35" t="inlineStr">
        <is>
          <t>Entry price at hurdle (NZ$)</t>
        </is>
      </c>
      <c r="B35" s="10">
        <f>B31/(1+Assumptions!B12)^Assumptions!B11</f>
        <v/>
      </c>
      <c r="C35" s="10" t="n"/>
      <c r="D35" s="10" t="n"/>
      <c r="E35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Reported FCF reconciled to owner FCF (NZ$m). Owner FCF = reported FCF - SBC - interest income - IFRS-16 lease principal. Negative in every year.</t>
        </is>
      </c>
    </row>
    <row r="2">
      <c r="A2" s="3" t="inlineStr">
        <is>
          <t>Period</t>
        </is>
      </c>
      <c r="B2" s="3" t="inlineStr">
        <is>
          <t>Reported FCF</t>
        </is>
      </c>
      <c r="C2" s="3" t="inlineStr">
        <is>
          <t>less SBC</t>
        </is>
      </c>
      <c r="D2" s="3" t="inlineStr">
        <is>
          <t>less interest income</t>
        </is>
      </c>
      <c r="E2" s="3" t="inlineStr">
        <is>
          <t>less lease principal</t>
        </is>
      </c>
      <c r="F2" s="3" t="inlineStr">
        <is>
          <t>Owner FCF</t>
        </is>
      </c>
      <c r="G2" s="3" t="inlineStr">
        <is>
          <t>Revenue</t>
        </is>
      </c>
      <c r="H2" s="3" t="inlineStr">
        <is>
          <t>Reported FCF margin</t>
        </is>
      </c>
      <c r="I2" s="3" t="inlineStr">
        <is>
          <t>Owner FCF margin</t>
        </is>
      </c>
    </row>
    <row r="3">
      <c r="A3" t="inlineStr">
        <is>
          <t>FY2017</t>
        </is>
      </c>
      <c r="B3" s="4" t="n">
        <v>-2.581935</v>
      </c>
      <c r="C3" s="4" t="n">
        <v>0</v>
      </c>
      <c r="D3" s="4" t="n">
        <v>0.020506</v>
      </c>
      <c r="E3" s="4" t="n">
        <v>0</v>
      </c>
      <c r="F3">
        <f>B3-C3-D3-E3</f>
        <v/>
      </c>
      <c r="G3" s="4" t="n">
        <v>0.585388</v>
      </c>
      <c r="H3" s="14">
        <f>B3/G3</f>
        <v/>
      </c>
      <c r="I3" s="14">
        <f>F3/G3</f>
        <v/>
      </c>
    </row>
    <row r="4">
      <c r="A4" t="inlineStr">
        <is>
          <t>FY2018</t>
        </is>
      </c>
      <c r="B4" s="4" t="n">
        <v>-3.732301</v>
      </c>
      <c r="C4" s="4" t="n">
        <v>0</v>
      </c>
      <c r="D4" s="4" t="n">
        <v>0.020506</v>
      </c>
      <c r="E4" s="4" t="n">
        <v>0</v>
      </c>
      <c r="F4">
        <f>B4-C4-D4-E4</f>
        <v/>
      </c>
      <c r="G4" s="4" t="n">
        <v>0.8040620000000001</v>
      </c>
      <c r="H4" s="14">
        <f>B4/G4</f>
        <v/>
      </c>
      <c r="I4" s="14">
        <f>F4/G4</f>
        <v/>
      </c>
    </row>
    <row r="5">
      <c r="A5" t="inlineStr">
        <is>
          <t>FY2019</t>
        </is>
      </c>
      <c r="B5" s="4" t="n">
        <v>-3.088352</v>
      </c>
      <c r="C5" s="4" t="n">
        <v>0</v>
      </c>
      <c r="D5" s="4" t="n">
        <v>0.011647</v>
      </c>
      <c r="E5" s="4" t="n">
        <v>0</v>
      </c>
      <c r="F5">
        <f>B5-C5-D5-E5</f>
        <v/>
      </c>
      <c r="G5" s="4" t="n">
        <v>1.862949</v>
      </c>
      <c r="H5" s="14">
        <f>B5/G5</f>
        <v/>
      </c>
      <c r="I5" s="14">
        <f>F5/G5</f>
        <v/>
      </c>
    </row>
    <row r="6">
      <c r="A6" t="inlineStr">
        <is>
          <t>FY2020</t>
        </is>
      </c>
      <c r="B6" s="4" t="n">
        <v>-1.634499</v>
      </c>
      <c r="C6" s="4" t="n">
        <v>0.306</v>
      </c>
      <c r="D6" s="4" t="n">
        <v>0.008867</v>
      </c>
      <c r="E6" s="4" t="n">
        <v>0</v>
      </c>
      <c r="F6">
        <f>B6-C6-D6-E6</f>
        <v/>
      </c>
      <c r="G6" s="4" t="n">
        <v>1.288242</v>
      </c>
      <c r="H6" s="14">
        <f>B6/G6</f>
        <v/>
      </c>
      <c r="I6" s="14">
        <f>F6/G6</f>
        <v/>
      </c>
    </row>
    <row r="7">
      <c r="A7" t="inlineStr">
        <is>
          <t>FY2021</t>
        </is>
      </c>
      <c r="B7" s="4" t="n">
        <v>-2.286855</v>
      </c>
      <c r="C7" s="4" t="n">
        <v>0</v>
      </c>
      <c r="D7" s="4" t="n">
        <v>0.00182</v>
      </c>
      <c r="E7" s="4" t="n">
        <v>0</v>
      </c>
      <c r="F7">
        <f>B7-C7-D7-E7</f>
        <v/>
      </c>
      <c r="G7" s="4" t="n">
        <v>1.132641</v>
      </c>
      <c r="H7" s="14">
        <f>B7/G7</f>
        <v/>
      </c>
      <c r="I7" s="14">
        <f>F7/G7</f>
        <v/>
      </c>
    </row>
    <row r="8">
      <c r="A8" t="inlineStr">
        <is>
          <t>FY2022</t>
        </is>
      </c>
      <c r="B8" s="4" t="n">
        <v>-2.534359</v>
      </c>
      <c r="C8" s="4" t="n">
        <v>0.144813</v>
      </c>
      <c r="D8" s="4" t="n">
        <v>0.000323</v>
      </c>
      <c r="E8" s="4" t="n">
        <v>0</v>
      </c>
      <c r="F8">
        <f>B8-C8-D8-E8</f>
        <v/>
      </c>
      <c r="G8" s="4" t="n">
        <v>1.678465</v>
      </c>
      <c r="H8" s="14">
        <f>B8/G8</f>
        <v/>
      </c>
      <c r="I8" s="14">
        <f>F8/G8</f>
        <v/>
      </c>
    </row>
    <row r="9">
      <c r="A9" t="inlineStr">
        <is>
          <t>FY2023</t>
        </is>
      </c>
      <c r="B9" s="4" t="n">
        <v>-2.243486</v>
      </c>
      <c r="C9" s="4" t="n">
        <v>0.054873</v>
      </c>
      <c r="D9" s="4" t="n">
        <v>0.002854</v>
      </c>
      <c r="E9" s="4" t="n">
        <v>0</v>
      </c>
      <c r="F9">
        <f>B9-C9-D9-E9</f>
        <v/>
      </c>
      <c r="G9" s="4" t="n">
        <v>1.662619</v>
      </c>
      <c r="H9" s="14">
        <f>B9/G9</f>
        <v/>
      </c>
      <c r="I9" s="14">
        <f>F9/G9</f>
        <v/>
      </c>
    </row>
    <row r="10">
      <c r="A10" t="inlineStr">
        <is>
          <t>FY2024</t>
        </is>
      </c>
      <c r="B10" s="4" t="n">
        <v>-2.033174</v>
      </c>
      <c r="C10" s="4" t="n">
        <v>0.089643</v>
      </c>
      <c r="D10" s="4" t="n">
        <v>0.004099</v>
      </c>
      <c r="E10" s="4" t="n">
        <v>0</v>
      </c>
      <c r="F10">
        <f>B10-C10-D10-E10</f>
        <v/>
      </c>
      <c r="G10" s="4" t="n">
        <v>2.107839</v>
      </c>
      <c r="H10" s="14">
        <f>B10/G10</f>
        <v/>
      </c>
      <c r="I10" s="14">
        <f>F10/G10</f>
        <v/>
      </c>
    </row>
    <row r="11">
      <c r="A11" t="inlineStr">
        <is>
          <t>FY2025</t>
        </is>
      </c>
      <c r="B11" s="4" t="n">
        <v>-2.289306</v>
      </c>
      <c r="C11" s="4" t="n">
        <v>0</v>
      </c>
      <c r="D11" s="4" t="n">
        <v>0.004842</v>
      </c>
      <c r="E11" s="4" t="n">
        <v>0.084398</v>
      </c>
      <c r="F11">
        <f>B11-C11-D11-E11</f>
        <v/>
      </c>
      <c r="G11" s="4" t="n">
        <v>1.712052</v>
      </c>
      <c r="H11" s="14">
        <f>B11/G11</f>
        <v/>
      </c>
      <c r="I11" s="14">
        <f>F11/G11</f>
        <v/>
      </c>
    </row>
    <row r="12">
      <c r="A12" t="inlineStr">
        <is>
          <t>FY2026</t>
        </is>
      </c>
      <c r="B12" s="4" t="n">
        <v>-2.470767</v>
      </c>
      <c r="C12" s="4" t="n">
        <v>0.036829</v>
      </c>
      <c r="D12" s="4" t="n">
        <v>0.006213</v>
      </c>
      <c r="E12" s="4" t="n">
        <v>0.121057</v>
      </c>
      <c r="F12">
        <f>B12-C12-D12-E12</f>
        <v/>
      </c>
      <c r="G12" s="4" t="n">
        <v>2.434476</v>
      </c>
      <c r="H12" s="14">
        <f>B12/G12</f>
        <v/>
      </c>
      <c r="I12" s="14">
        <f>F12/G12</f>
        <v/>
      </c>
    </row>
    <row r="14">
      <c r="A14" t="inlineStr">
        <is>
          <t>Memo: FY2026 cash received from customers was NZ$1.472m against NZ$2.434m revenue - trade receivables rose NZ$1.0m (one distributor on extended terms). Cash tax: nil in every year (accumulated losses NZ$39.7m); the Australian R&amp;D tax offset (NZ$0.48m cash FY2026) is the only tax flow and is a receipt.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Valuation summary (NZ$ per share)</t>
        </is>
      </c>
    </row>
    <row r="3">
      <c r="A3" s="3" t="inlineStr">
        <is>
          <t>Scenario</t>
        </is>
      </c>
      <c r="B3" s="3" t="inlineStr">
        <is>
          <t>Value per share</t>
        </is>
      </c>
      <c r="C3" s="3" t="inlineStr">
        <is>
          <t>Upside vs price</t>
        </is>
      </c>
      <c r="D3" s="3" t="inlineStr">
        <is>
          <t>Weight</t>
        </is>
      </c>
      <c r="E3" s="3" t="inlineStr">
        <is>
          <t>Entry price @ hurdle</t>
        </is>
      </c>
      <c r="F3" s="3" t="inlineStr">
        <is>
          <t>Street value (= house)</t>
        </is>
      </c>
    </row>
    <row r="4">
      <c r="A4" t="inlineStr">
        <is>
          <t>Bear</t>
        </is>
      </c>
      <c r="B4" s="15">
        <f>Scen_Bear!B42</f>
        <v/>
      </c>
      <c r="C4" s="6">
        <f>B4/Assumptions!B3-1</f>
        <v/>
      </c>
      <c r="D4" s="14">
        <f>Assumptions!B24</f>
        <v/>
      </c>
      <c r="E4" s="15">
        <f>Scen_Bear!B43</f>
        <v/>
      </c>
      <c r="F4" s="15">
        <f>B4</f>
        <v/>
      </c>
    </row>
    <row r="5">
      <c r="A5" t="inlineStr">
        <is>
          <t>Base</t>
        </is>
      </c>
      <c r="B5" s="15">
        <f>Scen_Base!B33</f>
        <v/>
      </c>
      <c r="C5" s="6">
        <f>B5/Assumptions!B3-1</f>
        <v/>
      </c>
      <c r="D5" s="14">
        <f>Assumptions!B25</f>
        <v/>
      </c>
      <c r="E5" s="15">
        <f>Scen_Base!B35</f>
        <v/>
      </c>
      <c r="F5" s="15">
        <f>B5</f>
        <v/>
      </c>
    </row>
    <row r="6">
      <c r="A6" t="inlineStr">
        <is>
          <t>Bull</t>
        </is>
      </c>
      <c r="B6" s="15">
        <f>Scen_Bull!B33</f>
        <v/>
      </c>
      <c r="C6" s="6">
        <f>B6/Assumptions!B3-1</f>
        <v/>
      </c>
      <c r="D6" s="14">
        <f>Assumptions!B26</f>
        <v/>
      </c>
      <c r="E6" s="15">
        <f>Scen_Bull!B35</f>
        <v/>
      </c>
      <c r="F6" s="15">
        <f>B6</f>
        <v/>
      </c>
    </row>
    <row r="8">
      <c r="A8" t="inlineStr">
        <is>
          <t>Probability-weighted value per share</t>
        </is>
      </c>
      <c r="B8" s="12">
        <f>SUMPRODUCT(B4:B6,D4:D6)</f>
        <v/>
      </c>
    </row>
    <row r="9">
      <c r="A9" t="inlineStr">
        <is>
          <t>Current price</t>
        </is>
      </c>
      <c r="B9" s="15">
        <f>Assumptions!B3</f>
        <v/>
      </c>
    </row>
    <row r="10">
      <c r="A10" t="inlineStr">
        <is>
          <t>Margin of safety (negative = overvalued)</t>
        </is>
      </c>
      <c r="B10" s="6">
        <f>1-B9/B8</f>
        <v/>
      </c>
    </row>
    <row r="11">
      <c r="A11" t="inlineStr">
        <is>
          <t>Weighted entry price at 15% hurdle</t>
        </is>
      </c>
      <c r="B11" s="10">
        <f>SUMPRODUCT(E4:E6,D4:D6)</f>
        <v/>
      </c>
    </row>
    <row r="12">
      <c r="A12" t="inlineStr">
        <is>
          <t>Street weighted value (= house; multiple-based model)</t>
        </is>
      </c>
      <c r="B12" s="10">
        <f>B8</f>
        <v/>
      </c>
    </row>
    <row r="13">
      <c r="A13" t="inlineStr">
        <is>
          <t>Band position</t>
        </is>
      </c>
      <c r="B13" t="inlineStr">
        <is>
          <t>n/a - house and street coincide (SBC band does not operate in a multiple-exit model)</t>
        </is>
      </c>
    </row>
    <row r="14">
      <c r="A14" t="inlineStr">
        <is>
          <t>Weights sum check</t>
        </is>
      </c>
      <c r="B14">
        <f>Assumptions!B27</f>
        <v/>
      </c>
    </row>
    <row r="16">
      <c r="A16" s="1" t="inlineStr">
        <is>
          <t>Required-return table (base case): exit value per share discounted at r over the horizon</t>
        </is>
      </c>
    </row>
    <row r="17">
      <c r="A17" t="inlineStr">
        <is>
          <t>Required return</t>
        </is>
      </c>
      <c r="B17" t="inlineStr">
        <is>
          <t>Value per share</t>
        </is>
      </c>
    </row>
    <row r="18">
      <c r="A18" s="9" t="n">
        <v>0.09</v>
      </c>
      <c r="B18" s="10">
        <f>Scen_Base!$B$31/(1+A18)^Assumptions!$B$11</f>
        <v/>
      </c>
    </row>
    <row r="19">
      <c r="A19" s="9" t="n">
        <v>0.1</v>
      </c>
      <c r="B19" s="10">
        <f>Scen_Base!$B$31/(1+A19)^Assumptions!$B$11</f>
        <v/>
      </c>
    </row>
    <row r="20">
      <c r="A20" s="9" t="n">
        <v>0.11</v>
      </c>
      <c r="B20" s="10">
        <f>Scen_Base!$B$31/(1+A20)^Assumptions!$B$11</f>
        <v/>
      </c>
    </row>
    <row r="21">
      <c r="A21" s="9" t="n">
        <v>0.12</v>
      </c>
      <c r="B21" s="10">
        <f>Scen_Base!$B$31/(1+A21)^Assumptions!$B$11</f>
        <v/>
      </c>
    </row>
    <row r="22">
      <c r="A22" s="9" t="n">
        <v>0.15</v>
      </c>
      <c r="B22" s="10">
        <f>Scen_Base!$B$31/(1+A22)^Assumptions!$B$11</f>
        <v/>
      </c>
    </row>
    <row r="23">
      <c r="A23" s="16">
        <f>Assumptions!B10</f>
        <v/>
      </c>
      <c r="B23" s="10">
        <f>Scen_Base!$B$31/(1+A23)^Assumptions!$B$11</f>
        <v/>
      </c>
      <c r="C23" t="inlineStr">
        <is>
          <t>model CoE row - must equal Scen_Base!B33</t>
        </is>
      </c>
    </row>
    <row r="25">
      <c r="A25" s="1" t="inlineStr">
        <is>
          <t>Sensitivity (base case): rows = cost of equity, columns = exit EV/Sales multiple on FY2029E revenue</t>
        </is>
      </c>
    </row>
    <row r="26">
      <c r="B26" s="4" t="n">
        <v>1.5</v>
      </c>
      <c r="C26" s="4" t="n">
        <v>2.5</v>
      </c>
      <c r="D26" s="4" t="n">
        <v>3.5</v>
      </c>
      <c r="E26" s="4" t="n">
        <v>4.5</v>
      </c>
      <c r="F26" s="4" t="n">
        <v>5.5</v>
      </c>
    </row>
    <row r="27">
      <c r="A27" s="9" t="n">
        <v>0.2</v>
      </c>
      <c r="B27" s="10">
        <f>(B$26*Scen_Base!$E$6+Scen_Base!$E$22)/Scen_Base!$E$23/(1+$A27)^Assumptions!$B$11</f>
        <v/>
      </c>
      <c r="C27" s="10">
        <f>(C$26*Scen_Base!$E$6+Scen_Base!$E$22)/Scen_Base!$E$23/(1+$A27)^Assumptions!$B$11</f>
        <v/>
      </c>
      <c r="D27" s="10">
        <f>(D$26*Scen_Base!$E$6+Scen_Base!$E$22)/Scen_Base!$E$23/(1+$A27)^Assumptions!$B$11</f>
        <v/>
      </c>
      <c r="E27" s="10">
        <f>(E$26*Scen_Base!$E$6+Scen_Base!$E$22)/Scen_Base!$E$23/(1+$A27)^Assumptions!$B$11</f>
        <v/>
      </c>
      <c r="F27" s="10">
        <f>(F$26*Scen_Base!$E$6+Scen_Base!$E$22)/Scen_Base!$E$23/(1+$A27)^Assumptions!$B$11</f>
        <v/>
      </c>
    </row>
    <row r="28">
      <c r="A28" s="9" t="n">
        <v>0.225</v>
      </c>
      <c r="B28" s="10">
        <f>(B$26*Scen_Base!$E$6+Scen_Base!$E$22)/Scen_Base!$E$23/(1+$A28)^Assumptions!$B$11</f>
        <v/>
      </c>
      <c r="C28" s="10">
        <f>(C$26*Scen_Base!$E$6+Scen_Base!$E$22)/Scen_Base!$E$23/(1+$A28)^Assumptions!$B$11</f>
        <v/>
      </c>
      <c r="D28" s="10">
        <f>(D$26*Scen_Base!$E$6+Scen_Base!$E$22)/Scen_Base!$E$23/(1+$A28)^Assumptions!$B$11</f>
        <v/>
      </c>
      <c r="E28" s="10">
        <f>(E$26*Scen_Base!$E$6+Scen_Base!$E$22)/Scen_Base!$E$23/(1+$A28)^Assumptions!$B$11</f>
        <v/>
      </c>
      <c r="F28" s="10">
        <f>(F$26*Scen_Base!$E$6+Scen_Base!$E$22)/Scen_Base!$E$23/(1+$A28)^Assumptions!$B$11</f>
        <v/>
      </c>
    </row>
    <row r="29">
      <c r="A29" s="9" t="n">
        <v>0.25</v>
      </c>
      <c r="B29" s="10">
        <f>(B$26*Scen_Base!$E$6+Scen_Base!$E$22)/Scen_Base!$E$23/(1+$A29)^Assumptions!$B$11</f>
        <v/>
      </c>
      <c r="C29" s="17">
        <f>(C$26*Scen_Base!$E$6+Scen_Base!$E$22)/Scen_Base!$E$23/(1+$A29)^Assumptions!$B$11</f>
        <v/>
      </c>
      <c r="D29" s="10">
        <f>(D$26*Scen_Base!$E$6+Scen_Base!$E$22)/Scen_Base!$E$23/(1+$A29)^Assumptions!$B$11</f>
        <v/>
      </c>
      <c r="E29" s="10">
        <f>(E$26*Scen_Base!$E$6+Scen_Base!$E$22)/Scen_Base!$E$23/(1+$A29)^Assumptions!$B$11</f>
        <v/>
      </c>
      <c r="F29" s="10">
        <f>(F$26*Scen_Base!$E$6+Scen_Base!$E$22)/Scen_Base!$E$23/(1+$A29)^Assumptions!$B$11</f>
        <v/>
      </c>
    </row>
    <row r="30">
      <c r="A30" s="9" t="n">
        <v>0.275</v>
      </c>
      <c r="B30" s="10">
        <f>(B$26*Scen_Base!$E$6+Scen_Base!$E$22)/Scen_Base!$E$23/(1+$A30)^Assumptions!$B$11</f>
        <v/>
      </c>
      <c r="C30" s="10">
        <f>(C$26*Scen_Base!$E$6+Scen_Base!$E$22)/Scen_Base!$E$23/(1+$A30)^Assumptions!$B$11</f>
        <v/>
      </c>
      <c r="D30" s="10">
        <f>(D$26*Scen_Base!$E$6+Scen_Base!$E$22)/Scen_Base!$E$23/(1+$A30)^Assumptions!$B$11</f>
        <v/>
      </c>
      <c r="E30" s="10">
        <f>(E$26*Scen_Base!$E$6+Scen_Base!$E$22)/Scen_Base!$E$23/(1+$A30)^Assumptions!$B$11</f>
        <v/>
      </c>
      <c r="F30" s="10">
        <f>(F$26*Scen_Base!$E$6+Scen_Base!$E$22)/Scen_Base!$E$23/(1+$A30)^Assumptions!$B$11</f>
        <v/>
      </c>
    </row>
    <row r="31">
      <c r="A31" s="9" t="n">
        <v>0.3</v>
      </c>
      <c r="B31" s="10">
        <f>(B$26*Scen_Base!$E$6+Scen_Base!$E$22)/Scen_Base!$E$23/(1+$A31)^Assumptions!$B$11</f>
        <v/>
      </c>
      <c r="C31" s="10">
        <f>(C$26*Scen_Base!$E$6+Scen_Base!$E$22)/Scen_Base!$E$23/(1+$A31)^Assumptions!$B$11</f>
        <v/>
      </c>
      <c r="D31" s="10">
        <f>(D$26*Scen_Base!$E$6+Scen_Base!$E$22)/Scen_Base!$E$23/(1+$A31)^Assumptions!$B$11</f>
        <v/>
      </c>
      <c r="E31" s="10">
        <f>(E$26*Scen_Base!$E$6+Scen_Base!$E$22)/Scen_Base!$E$23/(1+$A31)^Assumptions!$B$11</f>
        <v/>
      </c>
      <c r="F31" s="10">
        <f>(F$26*Scen_Base!$E$6+Scen_Base!$E$22)/Scen_Base!$E$23/(1+$A31)^Assumptions!$B$11</f>
        <v/>
      </c>
    </row>
    <row r="33">
      <c r="A33" s="1" t="inlineStr">
        <is>
          <t>Memo: base case at TODAY'S EV/trailing-sales multiple (no re-rating)</t>
        </is>
      </c>
    </row>
    <row r="34">
      <c r="A34" t="inlineStr">
        <is>
          <t>Market cap</t>
        </is>
      </c>
      <c r="B34">
        <f>Assumptions!B4*Assumptions!B3</f>
        <v/>
      </c>
    </row>
    <row r="35">
      <c r="A35" t="inlineStr">
        <is>
          <t>EV (mkt cap - est. cash)</t>
        </is>
      </c>
      <c r="B35">
        <f>B34-Assumptions!B16</f>
        <v/>
      </c>
    </row>
    <row r="36">
      <c r="A36" t="inlineStr">
        <is>
          <t>EV / FY2026 sales</t>
        </is>
      </c>
      <c r="B36">
        <f>B35/Assumptions!B13</f>
        <v/>
      </c>
    </row>
    <row r="37">
      <c r="A37" t="inlineStr">
        <is>
          <t>Base value per share at that multiple</t>
        </is>
      </c>
      <c r="B37" s="10">
        <f>(B36*Scen_Base!E6+Scen_Base!E22)/Scen_Base!E23*Assumptions!B14</f>
        <v/>
      </c>
    </row>
    <row r="39" ht="90" customHeight="1">
      <c r="A39" t="inlineStr">
        <is>
          <t>Verdict</t>
        </is>
      </c>
      <c r="B39" s="2" t="inlineStr">
        <is>
          <t>Weighted IV NZ$0.0081 is ~46% BELOW the current NZ$0.015 price. Stated plainly: at these weights the stock is materially overvalued. The current price is approximately the probability-weighted value at weights of roughly bear 15% / base 22% / bull 63% - i.e. the market is treating a UNITAID/NGO programme win and option-funded growth as close to the median outcome. That is a legitimate bet on a Nov-2026 binary, but it is not what the filings support, and the downside if it fails is another sub-NZ$0.01 raise. No buy signal has been reverse-engineered: the honest answer is below the price at every discount rate in the required-return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2026-09-13T04:25:04Z</dcterms:created>
  <dcterms:modified xmlns:dcterms="http://purl.org/dc/terms/" xmlns:xsi="http://www.w3.org/2001/XMLSchema-instance" xsi:type="dcterms:W3CDTF">2026-09-13T04:25:04Z</dcterms:modified>
</cp:coreProperties>
</file>