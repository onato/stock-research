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<sst xmlns="http://schemas.openxmlformats.org/spreadsheetml/2006/main" count="367" uniqueCount="170">
  <si>
    <t xml:space="preserve">Ticker</t>
  </si>
  <si>
    <t xml:space="preserve">5703.T</t>
  </si>
  <si>
    <t xml:space="preserve">Company</t>
  </si>
  <si>
    <t xml:space="preserve">Nippon Light Metal Holdings Company, Ltd.</t>
  </si>
  <si>
    <t xml:space="preserve">Valuation date</t>
  </si>
  <si>
    <t xml:space="preserve">2026-10-31</t>
  </si>
  <si>
    <t xml:space="preserve">Current price</t>
  </si>
  <si>
    <t xml:space="preserve">Price as of</t>
  </si>
  <si>
    <t xml:space="preserve">2026-10-30T06:30:00Z (TSE regular close 15:30 JST)</t>
  </si>
  <si>
    <t xml:space="preserve">Balance sheet date</t>
  </si>
  <si>
    <t xml:space="preserve">2026-06-30</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</si>
  <si>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</si>
  <si>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</si>
  <si>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</si>
  <si>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</si>
  <si>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</si>
  <si>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</si>
  <si>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</si>
  <si>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</si>
  <si>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</si>
  <si>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</si>
  <si>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2026-10-31T09:53:16Z</t>
  </si>
  <si>
    <t xml:space="preserve">Drivers file</t>
  </si>
  <si>
    <t xml:space="preserve">5703.T_Drivers.json</t>
  </si>
  <si>
    <t xml:space="preserve">Convention</t>
  </si>
  <si>
    <t xml:space="preserve">Percents stored as percents; formulas divide by 100. Blue = input, green = link, black = formula.</t>
  </si>
  <si>
    <t xml:space="preserve">Methodology</t>
  </si>
  <si>
    <t xml:space="preserve">summary: Value a vertically integrated aluminium processor on mid-cycle owner FCF, not on a cycle-high guided profit. The FY2027 guidance is taken at face value for year 1 but the record profit is metal-price-inflated revenue at an ordinary margin, so the terminal year is anchored on the 8.0% EBITDA margin the Group has averaged since FY2019 and on a 12x FCF terminal cap in line with where the stock has historically traded. Working capital is modelled explicitly as a drag on revenue growth because 35% of revenue sits in receivables and inventory and owner FCF has averaged ~2bn/yr over eight years against ~41bn of EBITDA. Net debt, NCI and the unfunded pension are deducted; investment securities are added at after-tax fair value because their income is outside the operating flows. Risk is charged once, through 25/50/25 scenario weights at a uniform 8.5% JPY WACC.
key_risks_to_valuation: Working-capital capture (-20% of revenue change) is the single most consequential driver; FY2022-25 history supports -30% to -80% in metal-inflation years, so a sustained ingot up-cycle is worse for owner FCF than the model shows, and a down-cycle releases more cash than it shows.; Terminal margin 8.0% vs the 26MTP's implied ~9%+: each 1pp of terminal EBITDA margin is roughly ¥5bn of terminal FCF, ~¥60bn of terminal EV at 12x, ~¥430/share after discounting.; The Kobe Steel extrusion JV will add consolidated revenue and NCI from FY2028; the definitive agreement (targeted Nov-2026) and JFTC outcome will move the year-2 growth and the NCI bridge item.; Investment securities (37.6bn after tax, ~¥610/share) are a quarter of the price; cross-shareholdings are being sold down (4.75bn in FY2026) which is value-realising but also removes the matching income that was never in the flows.; JPY WACC 8.5% is a judgment above the mechanical CAPM/WACC (~4.5%); each 1pp of WACC is worth roughly ¥250-300/share.; A new quality/inspection finding after the March-2026 remediation close-out would re-rate the name down regardless of the cycle.</t>
  </si>
  <si>
    <t xml:space="preserve">Data sources</t>
  </si>
  <si>
    <t xml:space="preserve">price: Yahoo Finance chart API at inputs.price_as_of (TSE regular close); 52-week range 2,090-3,330.
financials: 5703.T_Metrics.csv / core_metrics (Kessan Tanshin FY2016-FY2026 annuals, half-years and quarters through Q1 FY2027); FY2026 annual tanshin for investment securities, retirement benefit asset/liability, share-count and dilution notes; Q1 FY2027 tanshin (30-Jun-2026) for borrowings, cash, NCI and issued/treasury shares.
qualitative: 5703.T_Analysis.json (26MTP targets, Kobe Steel extrusion JV, FY2027 guidance raise of 3-Aug-2026, quality-remediation close-out, segment commentary).</t>
  </si>
  <si>
    <t xml:space="preserve">Scenario narrative: bear</t>
  </si>
  <si>
    <t xml:space="preserve">Japanese auto production falls a third year under US trade policy, ingot prices reverse ahead of the next price revision (a replay of FY2023, when the EBITDA margin hit 5.3% and OCF went to 0.7bn), the JFTC blocks or delays the Kobe JV, and semiconductor-equipment demand stays weak. Revenue retraces 10% in FY2028 and the margin recovers only to 7.0%; a new quality finding at any plant would re-open the JIS compliance overhang. With 136bn of net debt and 20bn of NCI ahead of equity, the bear value is dominated by the bridge rather than the flows. Terminal at the uniform 12x FCF cap and 0.5% growth; the bear equity value is close to zero because 136bn of net debt and 20bn of NCI absorb nearly the whole enterprise value of a 7%-margin business, which is the leverage finding this scenario exists to show.</t>
  </si>
  <si>
    <t xml:space="preserve">Scenario narrative: base</t>
  </si>
  <si>
    <t xml:space="preserve">NLM delivers the raised FY2027 guidance (sales 690bn, OP 33bn) on secondary-alloy, chemicals and truck-body strength plus ingot pass-through, then revenue drifts back ~2% in FY2028 as metal prices normalise while the Kobe Steel extrusion JV consolidates from April 2027. The EBITDA margin settles at the 8.0% mid-cycle level the Group has averaged since FY2019: no credit is given for the 26MTP's ROIC 8%+ target beyond that, because the 2022 Toyo Aluminium/UACJ Foil plan was never completed as structured and extrusion has been loss-making for years. Working capital stays the swing factor: 35% of revenue is tied up in receivables and inventory, so every yen of metal-price-driven revenue growth costs ~20 sen of cash, and the owner-FCF yield is structurally below the P/E suggests. Terminal at 12x FCF (~4.3x EBITDA).</t>
  </si>
  <si>
    <t xml:space="preserve">Scenario narrative: bull</t>
  </si>
  <si>
    <t xml:space="preserve">The 26MTP works: the Kobe JV closes on schedule, consolidates ~58kt/yr of extrusion capacity and turns the segment profitable; sales-price revisions and processing-fee increases stick through the ingot cycle; semiconductor-equipment plate and clean-room panel demand recovers from FY2028; India recycled aluminium scales. Margins return to the FY2019-21 band (9.3-10.0%), ROIC reaches 8%+ by FY2029, the ~40% payout plus securities monetisation keeps the count flat-to-falling. Terminal at the uniform 12x FCF cap and 1.5% growth.</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</si>
  <si>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</si>
  <si>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</si>
  <si>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</si>
  <si>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</si>
  <si>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</si>
  <si>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</si>
  <si>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</si>
  <si>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</si>
  <si>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</si>
  <si>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</si>
  <si>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</si>
  <si>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</si>
  <si>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</si>
  <si>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</si>
  <si>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</si>
  <si>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</si>
  <si>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</si>
  <si>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</si>
  <si>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</si>
  <si>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</si>
  <si>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</si>
  <si>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</si>
  <si>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</si>
  <si>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</si>
  <si>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</si>
  <si>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</si>
  <si>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</si>
  <si>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BookValuePerShare</t>
  </si>
  <si>
    <t xml:space="preserve">CapexIntangibles</t>
  </si>
  <si>
    <t xml:space="preserve">OrdinaryProfit</t>
  </si>
  <si>
    <t xml:space="preserve">TotalEquity</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</si>
  <si>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</si>
  <si>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</si>
  <si>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</si>
  <si>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</si>
  <si>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</si>
  <si>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</si>
  <si>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</si>
  <si>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</si>
  <si>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</si>
  <si>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</si>
  <si>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</si>
  <si>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</si>
  <si>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</si>
  <si>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</si>
  <si>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</si>
  <si>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</si>
  <si>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</si>
  <si>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</si>
  <si>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</si>
  <si>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</si>
  <si>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</si>
  <si>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</si>
  <si>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</si>
  <si>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</si>
  <si>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</si>
  <si>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</si>
  <si>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</si>
  <si>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</si>
  <si>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</si>
  <si>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</si>
  <si>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</si>
  <si>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</si>
  <si>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</si>
  <si>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</si>
  <si>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</si>
  <si>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</si>
  <si>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</si>
  <si>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</si>
  <si>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</si>
  <si>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</si>
  <si>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</si>
  <si>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</si>
  <si>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</si>
  <si>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</si>
  <si>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</si>
  <si>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</si>
  <si>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</si>
  <si>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</si>
  <si>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5703.T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</si>
  <si>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</si>
  <si>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</si>
  <si>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</si>
  <si>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</si>
  <si>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</si>
  <si>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</si>
  <si>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</si>
  <si>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</si>
  <si>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</si>
  <si>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</si>
  <si>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</si>
  <si>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</si>
  <si>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</si>
  <si>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</si>
  <si>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</si>
  <si>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</si>
  <si>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</si>
  <si>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</si>
  <si>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</si>
  <si>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</si>
  <si>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</si>
  <si>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</si>
  <si>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</si>
  <si>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</si>
  <si>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</si>
  <si>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</si>
  <si>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</si>
  <si>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</si>
  <si>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</si>
  <si>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</si>
  <si>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5703.T owner-FCF component DCF: base case (millions, JPY)</t>
  </si>
  <si>
    <t xml:space="preserve">5703.T owner-FCF component DCF: bull case (millions, JPY)</t>
  </si>
  <si>
    <t xml:space="preserve">5703.T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</si>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</sst>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2602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row>
    <row r="2" customFormat="false" ht="15" hidden="false" customHeight="false" outlineLevel="0" collapsed="false">
      <c r="A2" s="0" t="s">
        <v>67</v>
      </c>
      <c r="B2" s="0" t="n">
        <v>464405</v>
      </c>
      <c r="F2" s="0" t="n">
        <v>26821</v>
      </c>
      <c r="G2" s="0" t="n">
        <v>5.7753</v>
      </c>
      <c r="I2" s="0" t="n">
        <v>15533</v>
      </c>
      <c r="J2" s="0" t="n">
        <v>3.3447</v>
      </c>
      <c r="K2" s="0" t="n">
        <v>285.6</v>
      </c>
      <c r="L2" s="0" t="n">
        <v>37770</v>
      </c>
      <c r="O2" s="0" t="n">
        <v>130184</v>
      </c>
      <c r="P2" s="0" t="n">
        <v>452194</v>
      </c>
      <c r="Q2" s="0" t="n">
        <v>307775</v>
      </c>
      <c r="S2" s="0" t="n">
        <v>36485</v>
      </c>
      <c r="T2" s="0" t="n">
        <v>54.3823</v>
      </c>
      <c r="AA2" s="0" t="s">
        <v>17</v>
      </c>
      <c r="AB2" s="0" t="s">
        <v>14</v>
      </c>
      <c r="AC2" s="0" t="n">
        <v>2393.9</v>
      </c>
      <c r="AE2" s="0" t="n">
        <v>24526</v>
      </c>
      <c r="AF2" s="0" t="n">
        <v>144419</v>
      </c>
    </row>
    <row r="3" customFormat="false" ht="15" hidden="false" customHeight="false" outlineLevel="0" collapsed="false">
      <c r="A3" s="0" t="s">
        <v>68</v>
      </c>
      <c r="B3" s="0" t="n">
        <v>448381</v>
      </c>
      <c r="F3" s="0" t="n">
        <v>30225</v>
      </c>
      <c r="G3" s="0" t="n">
        <v>6.7409</v>
      </c>
      <c r="I3" s="0" t="n">
        <v>19520</v>
      </c>
      <c r="J3" s="0" t="n">
        <v>4.3534</v>
      </c>
      <c r="K3" s="0" t="n">
        <v>345.8</v>
      </c>
      <c r="L3" s="0" t="n">
        <v>36488</v>
      </c>
      <c r="O3" s="0" t="n">
        <v>159653</v>
      </c>
      <c r="P3" s="0" t="n">
        <v>448623</v>
      </c>
      <c r="Q3" s="0" t="n">
        <v>274999</v>
      </c>
      <c r="S3" s="0" t="n">
        <v>36286</v>
      </c>
      <c r="T3" s="0" t="n">
        <v>61.9231</v>
      </c>
      <c r="AA3" s="0" t="s">
        <v>17</v>
      </c>
      <c r="AB3" s="0" t="s">
        <v>14</v>
      </c>
      <c r="AC3" s="0" t="n">
        <v>2578.2</v>
      </c>
      <c r="AE3" s="0" t="n">
        <v>26252</v>
      </c>
      <c r="AF3" s="0" t="n">
        <v>173624</v>
      </c>
    </row>
    <row r="4" customFormat="false" ht="15" hidden="false" customHeight="false" outlineLevel="0" collapsed="false">
      <c r="A4" s="0" t="s">
        <v>69</v>
      </c>
      <c r="B4" s="0" t="n">
        <v>481439</v>
      </c>
      <c r="F4" s="0" t="n">
        <v>29893</v>
      </c>
      <c r="G4" s="0" t="n">
        <v>6.2091</v>
      </c>
      <c r="I4" s="0" t="n">
        <v>18012</v>
      </c>
      <c r="J4" s="0" t="n">
        <v>3.7413</v>
      </c>
      <c r="K4" s="0" t="n">
        <v>290.9</v>
      </c>
      <c r="L4" s="0" t="n">
        <v>25868</v>
      </c>
      <c r="O4" s="0" t="n">
        <v>173957</v>
      </c>
      <c r="P4" s="0" t="n">
        <v>467300</v>
      </c>
      <c r="Q4" s="0" t="n">
        <v>277978</v>
      </c>
      <c r="S4" s="0" t="n">
        <v>30517</v>
      </c>
      <c r="T4" s="0" t="n">
        <v>61.9223</v>
      </c>
      <c r="AA4" s="0" t="s">
        <v>17</v>
      </c>
      <c r="AB4" s="0" t="s">
        <v>14</v>
      </c>
      <c r="AC4" s="0" t="n">
        <v>2809.3</v>
      </c>
      <c r="AE4" s="0" t="n">
        <v>29533</v>
      </c>
      <c r="AF4" s="0" t="n">
        <v>189322</v>
      </c>
    </row>
    <row r="5" customFormat="false" ht="15" hidden="false" customHeight="false" outlineLevel="0" collapsed="false">
      <c r="A5" s="0" t="s">
        <v>70</v>
      </c>
      <c r="B5" s="0" t="n">
        <v>500451</v>
      </c>
      <c r="C5" s="0" t="n">
        <v>403194</v>
      </c>
      <c r="D5" s="0" t="n">
        <v>97257</v>
      </c>
      <c r="E5" s="0" t="n">
        <v>19.4339</v>
      </c>
      <c r="F5" s="0" t="n">
        <v>30052</v>
      </c>
      <c r="G5" s="0" t="n">
        <v>6.005</v>
      </c>
      <c r="H5" s="0" t="n">
        <v>47346</v>
      </c>
      <c r="I5" s="0" t="n">
        <v>20560</v>
      </c>
      <c r="J5" s="0" t="n">
        <v>4.1083</v>
      </c>
      <c r="K5" s="0" t="n">
        <v>332</v>
      </c>
      <c r="L5" s="0" t="n">
        <v>34644</v>
      </c>
      <c r="M5" s="0" t="n">
        <v>23635</v>
      </c>
      <c r="N5" s="0" t="n">
        <v>11009</v>
      </c>
      <c r="O5" s="0" t="n">
        <v>187854</v>
      </c>
      <c r="P5" s="0" t="n">
        <v>481303</v>
      </c>
      <c r="Q5" s="0" t="n">
        <v>278568</v>
      </c>
      <c r="R5" s="0" t="n">
        <v>139570</v>
      </c>
      <c r="S5" s="0" t="n">
        <v>33545</v>
      </c>
      <c r="T5" s="0" t="n">
        <v>61.9217</v>
      </c>
      <c r="AA5" s="0" t="s">
        <v>17</v>
      </c>
      <c r="AB5" s="0" t="s">
        <v>14</v>
      </c>
      <c r="AC5" s="0" t="n">
        <v>3033.7</v>
      </c>
      <c r="AD5" s="0" t="n">
        <v>1373</v>
      </c>
      <c r="AE5" s="0" t="n">
        <v>31084</v>
      </c>
      <c r="AF5" s="0" t="n">
        <v>202735</v>
      </c>
    </row>
    <row r="6" customFormat="false" ht="15" hidden="false" customHeight="false" outlineLevel="0" collapsed="false">
      <c r="A6" s="0" t="s">
        <v>71</v>
      </c>
      <c r="B6" s="0" t="n">
        <v>465946</v>
      </c>
      <c r="C6" s="0" t="n">
        <v>372337</v>
      </c>
      <c r="D6" s="0" t="n">
        <v>93609</v>
      </c>
      <c r="E6" s="0" t="n">
        <v>20.0901</v>
      </c>
      <c r="F6" s="0" t="n">
        <v>24607</v>
      </c>
      <c r="G6" s="0" t="n">
        <v>5.2811</v>
      </c>
      <c r="H6" s="0" t="n">
        <v>43301</v>
      </c>
      <c r="I6" s="0" t="n">
        <v>7476</v>
      </c>
      <c r="J6" s="0" t="n">
        <v>1.6045</v>
      </c>
      <c r="K6" s="0" t="n">
        <v>120.7</v>
      </c>
      <c r="L6" s="0" t="n">
        <v>48676</v>
      </c>
      <c r="M6" s="0" t="n">
        <v>29756</v>
      </c>
      <c r="N6" s="0" t="n">
        <v>18920</v>
      </c>
      <c r="O6" s="0" t="n">
        <v>186275</v>
      </c>
      <c r="P6" s="0" t="n">
        <v>470004</v>
      </c>
      <c r="Q6" s="0" t="n">
        <v>268806</v>
      </c>
      <c r="R6" s="0" t="n">
        <v>132622</v>
      </c>
      <c r="S6" s="0" t="n">
        <v>36296</v>
      </c>
      <c r="T6" s="0" t="n">
        <v>61.9212</v>
      </c>
      <c r="AA6" s="0" t="s">
        <v>17</v>
      </c>
      <c r="AB6" s="0" t="s">
        <v>14</v>
      </c>
      <c r="AC6" s="0" t="n">
        <v>3008.3</v>
      </c>
      <c r="AD6" s="0" t="n">
        <v>1487</v>
      </c>
      <c r="AE6" s="0" t="n">
        <v>23475</v>
      </c>
      <c r="AF6" s="0" t="n">
        <v>201198</v>
      </c>
    </row>
    <row r="7" customFormat="false" ht="15" hidden="false" customHeight="false" outlineLevel="0" collapsed="false">
      <c r="A7" s="0" t="s">
        <v>72</v>
      </c>
      <c r="B7" s="0" t="n">
        <v>432568</v>
      </c>
      <c r="C7" s="0" t="n">
        <v>342499</v>
      </c>
      <c r="D7" s="0" t="n">
        <v>90069</v>
      </c>
      <c r="E7" s="0" t="n">
        <v>20.8219</v>
      </c>
      <c r="F7" s="0" t="n">
        <v>24194</v>
      </c>
      <c r="G7" s="0" t="n">
        <v>5.5931</v>
      </c>
      <c r="H7" s="0" t="n">
        <v>43351</v>
      </c>
      <c r="I7" s="0" t="n">
        <v>3366</v>
      </c>
      <c r="J7" s="0" t="n">
        <v>0.7781</v>
      </c>
      <c r="K7" s="0" t="n">
        <v>54.37</v>
      </c>
      <c r="L7" s="0" t="n">
        <v>41942</v>
      </c>
      <c r="M7" s="0" t="n">
        <v>26684</v>
      </c>
      <c r="N7" s="0" t="n">
        <v>15258</v>
      </c>
      <c r="O7" s="0" t="n">
        <v>190712</v>
      </c>
      <c r="P7" s="0" t="n">
        <v>506955</v>
      </c>
      <c r="Q7" s="0" t="n">
        <v>299851</v>
      </c>
      <c r="R7" s="0" t="n">
        <v>146229</v>
      </c>
      <c r="S7" s="0" t="n">
        <v>61176</v>
      </c>
      <c r="T7" s="0" t="n">
        <v>61.8886</v>
      </c>
      <c r="AA7" s="0" t="s">
        <v>17</v>
      </c>
      <c r="AB7" s="0" t="s">
        <v>14</v>
      </c>
      <c r="AC7" s="0" t="n">
        <v>3081.54</v>
      </c>
      <c r="AD7" s="0" t="n">
        <v>2438</v>
      </c>
      <c r="AE7" s="0" t="n">
        <v>24030</v>
      </c>
      <c r="AF7" s="0" t="n">
        <v>207104</v>
      </c>
    </row>
    <row r="8" customFormat="false" ht="15" hidden="false" customHeight="false" outlineLevel="0" collapsed="false">
      <c r="A8" s="0" t="s">
        <v>73</v>
      </c>
      <c r="B8" s="0" t="n">
        <v>486579</v>
      </c>
      <c r="C8" s="0" t="n">
        <v>395229</v>
      </c>
      <c r="D8" s="0" t="n">
        <v>91350</v>
      </c>
      <c r="E8" s="0" t="n">
        <v>18.7739</v>
      </c>
      <c r="F8" s="0" t="n">
        <v>22198</v>
      </c>
      <c r="G8" s="0" t="n">
        <v>4.5621</v>
      </c>
      <c r="H8" s="0" t="n">
        <v>42261</v>
      </c>
      <c r="I8" s="0" t="n">
        <v>16759</v>
      </c>
      <c r="J8" s="0" t="n">
        <v>3.4443</v>
      </c>
      <c r="K8" s="0" t="n">
        <v>270.77</v>
      </c>
      <c r="L8" s="0" t="n">
        <v>1487</v>
      </c>
      <c r="M8" s="0" t="n">
        <v>20850</v>
      </c>
      <c r="N8" s="0" t="n">
        <v>-19363</v>
      </c>
      <c r="O8" s="0" t="n">
        <v>203089</v>
      </c>
      <c r="P8" s="0" t="n">
        <v>532601</v>
      </c>
      <c r="Q8" s="0" t="n">
        <v>311694</v>
      </c>
      <c r="R8" s="0" t="n">
        <v>155406</v>
      </c>
      <c r="S8" s="0" t="n">
        <v>45145</v>
      </c>
      <c r="T8" s="0" t="n">
        <v>61.8953</v>
      </c>
      <c r="AA8" s="0" t="s">
        <v>17</v>
      </c>
      <c r="AB8" s="0" t="s">
        <v>14</v>
      </c>
      <c r="AC8" s="0" t="n">
        <v>3281.17</v>
      </c>
      <c r="AD8" s="0" t="n">
        <v>2202</v>
      </c>
      <c r="AE8" s="0" t="n">
        <v>22928</v>
      </c>
      <c r="AF8" s="0" t="n">
        <v>220907</v>
      </c>
    </row>
    <row r="9" customFormat="false" ht="15" hidden="false" customHeight="false" outlineLevel="0" collapsed="false">
      <c r="A9" s="0" t="s">
        <v>74</v>
      </c>
      <c r="B9" s="0" t="n">
        <v>516954</v>
      </c>
      <c r="C9" s="0" t="n">
        <v>440024</v>
      </c>
      <c r="D9" s="0" t="n">
        <v>76930</v>
      </c>
      <c r="E9" s="0" t="n">
        <v>14.8814</v>
      </c>
      <c r="F9" s="0" t="n">
        <v>7539</v>
      </c>
      <c r="G9" s="0" t="n">
        <v>1.4584</v>
      </c>
      <c r="H9" s="0" t="n">
        <v>27271</v>
      </c>
      <c r="I9" s="0" t="n">
        <v>7203</v>
      </c>
      <c r="J9" s="0" t="n">
        <v>1.3934</v>
      </c>
      <c r="K9" s="0" t="n">
        <v>116.33</v>
      </c>
      <c r="L9" s="0" t="n">
        <v>695</v>
      </c>
      <c r="M9" s="0" t="n">
        <v>18408</v>
      </c>
      <c r="N9" s="0" t="n">
        <v>-17713</v>
      </c>
      <c r="O9" s="0" t="n">
        <v>205475</v>
      </c>
      <c r="P9" s="0" t="n">
        <v>526201</v>
      </c>
      <c r="Q9" s="0" t="n">
        <v>305443</v>
      </c>
      <c r="R9" s="0" t="n">
        <v>163570</v>
      </c>
      <c r="S9" s="0" t="n">
        <v>31263</v>
      </c>
      <c r="T9" s="0" t="n">
        <v>61.9241</v>
      </c>
      <c r="AA9" s="0" t="s">
        <v>17</v>
      </c>
      <c r="AB9" s="0" t="s">
        <v>14</v>
      </c>
      <c r="AC9" s="0" t="n">
        <v>3318.17</v>
      </c>
      <c r="AD9" s="0" t="n">
        <v>1893</v>
      </c>
      <c r="AE9" s="0" t="n">
        <v>8859</v>
      </c>
      <c r="AF9" s="0" t="n">
        <v>220758</v>
      </c>
    </row>
    <row r="10" customFormat="false" ht="15" hidden="false" customHeight="false" outlineLevel="0" collapsed="false">
      <c r="A10" s="0" t="s">
        <v>75</v>
      </c>
      <c r="B10" s="0" t="n">
        <v>523715</v>
      </c>
      <c r="C10" s="0" t="n">
        <v>435107</v>
      </c>
      <c r="D10" s="0" t="n">
        <v>88608</v>
      </c>
      <c r="E10" s="0" t="n">
        <v>16.9191</v>
      </c>
      <c r="F10" s="0" t="n">
        <v>18189</v>
      </c>
      <c r="G10" s="0" t="n">
        <v>3.4731</v>
      </c>
      <c r="H10" s="0" t="n">
        <v>38714</v>
      </c>
      <c r="I10" s="0" t="n">
        <v>9037</v>
      </c>
      <c r="J10" s="0" t="n">
        <v>1.7256</v>
      </c>
      <c r="K10" s="0" t="n">
        <v>145.91</v>
      </c>
      <c r="L10" s="0" t="n">
        <v>38041</v>
      </c>
      <c r="M10" s="0" t="n">
        <v>23929</v>
      </c>
      <c r="N10" s="0" t="n">
        <v>14112</v>
      </c>
      <c r="O10" s="0" t="n">
        <v>221258</v>
      </c>
      <c r="P10" s="0" t="n">
        <v>543193</v>
      </c>
      <c r="Q10" s="0" t="n">
        <v>305098</v>
      </c>
      <c r="R10" s="0" t="n">
        <v>156091</v>
      </c>
      <c r="S10" s="0" t="n">
        <v>35087</v>
      </c>
      <c r="T10" s="0" t="n">
        <v>61.9413</v>
      </c>
      <c r="AA10" s="0" t="s">
        <v>17</v>
      </c>
      <c r="AB10" s="0" t="s">
        <v>14</v>
      </c>
      <c r="AC10" s="0" t="n">
        <v>3572.06</v>
      </c>
      <c r="AD10" s="0" t="n">
        <v>1889</v>
      </c>
      <c r="AE10" s="0" t="n">
        <v>19033</v>
      </c>
      <c r="AF10" s="0" t="n">
        <v>238095</v>
      </c>
    </row>
    <row r="11" customFormat="false" ht="15" hidden="false" customHeight="false" outlineLevel="0" collapsed="false">
      <c r="A11" s="0" t="s">
        <v>76</v>
      </c>
      <c r="B11" s="0" t="n">
        <v>550180</v>
      </c>
      <c r="C11" s="0" t="n">
        <v>454917</v>
      </c>
      <c r="D11" s="0" t="n">
        <v>95263</v>
      </c>
      <c r="E11" s="0" t="n">
        <v>17.3149</v>
      </c>
      <c r="F11" s="0" t="n">
        <v>21744</v>
      </c>
      <c r="G11" s="0" t="n">
        <v>3.9522</v>
      </c>
      <c r="H11" s="0" t="n">
        <v>42643</v>
      </c>
      <c r="I11" s="0" t="n">
        <v>12375</v>
      </c>
      <c r="J11" s="0" t="n">
        <v>2.2493</v>
      </c>
      <c r="K11" s="0" t="n">
        <v>200.01</v>
      </c>
      <c r="L11" s="0" t="n">
        <v>12059</v>
      </c>
      <c r="M11" s="0" t="n">
        <v>21667</v>
      </c>
      <c r="N11" s="0" t="n">
        <v>-9608</v>
      </c>
      <c r="O11" s="0" t="n">
        <v>233131</v>
      </c>
      <c r="P11" s="0" t="n">
        <v>544307</v>
      </c>
      <c r="Q11" s="0" t="n">
        <v>293826</v>
      </c>
      <c r="R11" s="0" t="n">
        <v>168828</v>
      </c>
      <c r="S11" s="0" t="n">
        <v>34690</v>
      </c>
      <c r="T11" s="0" t="n">
        <v>61.5101</v>
      </c>
      <c r="AA11" s="0" t="s">
        <v>17</v>
      </c>
      <c r="AB11" s="0" t="s">
        <v>14</v>
      </c>
      <c r="AC11" s="0" t="n">
        <v>3790.12</v>
      </c>
      <c r="AD11" s="0" t="n">
        <v>1625</v>
      </c>
      <c r="AE11" s="0" t="n">
        <v>19785</v>
      </c>
      <c r="AF11" s="0" t="n">
        <v>250481</v>
      </c>
    </row>
    <row r="12" customFormat="false" ht="15" hidden="false" customHeight="false" outlineLevel="0" collapsed="false">
      <c r="A12" s="0" t="s">
        <v>77</v>
      </c>
      <c r="B12" s="0" t="n">
        <v>585473</v>
      </c>
      <c r="C12" s="0" t="n">
        <v>483942</v>
      </c>
      <c r="D12" s="0" t="n">
        <v>101531</v>
      </c>
      <c r="E12" s="0" t="n">
        <v>17.3417</v>
      </c>
      <c r="F12" s="0" t="n">
        <v>25626</v>
      </c>
      <c r="G12" s="0" t="n">
        <v>4.377</v>
      </c>
      <c r="H12" s="0" t="n">
        <v>46574</v>
      </c>
      <c r="I12" s="0" t="n">
        <v>15590</v>
      </c>
      <c r="J12" s="0" t="n">
        <v>2.6628</v>
      </c>
      <c r="K12" s="0" t="n">
        <v>253.24</v>
      </c>
      <c r="L12" s="0" t="n">
        <v>25623</v>
      </c>
      <c r="M12" s="0" t="n">
        <v>21973</v>
      </c>
      <c r="N12" s="0" t="n">
        <v>3650</v>
      </c>
      <c r="O12" s="0" t="n">
        <v>248686</v>
      </c>
      <c r="P12" s="0" t="n">
        <v>556315</v>
      </c>
      <c r="Q12" s="0" t="n">
        <v>288381</v>
      </c>
      <c r="R12" s="0" t="n">
        <v>166046</v>
      </c>
      <c r="S12" s="0" t="n">
        <v>33119</v>
      </c>
      <c r="T12" s="0" t="n">
        <v>61.5911</v>
      </c>
      <c r="AA12" s="0" t="s">
        <v>17</v>
      </c>
      <c r="AB12" s="0" t="s">
        <v>14</v>
      </c>
      <c r="AC12" s="0" t="n">
        <v>4037.69</v>
      </c>
      <c r="AD12" s="0" t="n">
        <v>1820</v>
      </c>
      <c r="AE12" s="0" t="n">
        <v>23646</v>
      </c>
      <c r="AF12" s="0" t="n">
        <v>267934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78</v>
      </c>
      <c r="B1" s="2" t="s">
        <v>79</v>
      </c>
    </row>
    <row r="2" customFormat="false" ht="15" hidden="false" customHeight="false" outlineLevel="0" collapsed="false">
      <c r="A2" s="0" t="s">
        <v>80</v>
      </c>
      <c r="B2" s="3" t="n">
        <v>2602</v>
      </c>
    </row>
    <row r="3" customFormat="false" ht="15" hidden="false" customHeight="false" outlineLevel="0" collapsed="false">
      <c r="A3" s="0" t="s">
        <v>81</v>
      </c>
      <c r="B3" s="3" t="n">
        <v>61.93</v>
      </c>
    </row>
    <row r="4" customFormat="false" ht="15" hidden="false" customHeight="false" outlineLevel="0" collapsed="false">
      <c r="A4" s="0" t="s">
        <v>82</v>
      </c>
      <c r="B4" s="3" t="n">
        <v>135866</v>
      </c>
    </row>
    <row r="5" customFormat="false" ht="15" hidden="false" customHeight="false" outlineLevel="0" collapsed="false">
      <c r="A5" s="0" t="s">
        <v>83</v>
      </c>
      <c r="B5" s="3" t="n">
        <v>11363</v>
      </c>
    </row>
    <row r="6" customFormat="false" ht="15" hidden="false" customHeight="false" outlineLevel="0" collapsed="false">
      <c r="A6" s="0" t="s">
        <v>84</v>
      </c>
      <c r="B6" s="3" t="n">
        <v>15</v>
      </c>
    </row>
    <row r="7" customFormat="false" ht="15" hidden="false" customHeight="false" outlineLevel="0" collapsed="false">
      <c r="A7" s="0" t="s">
        <v>85</v>
      </c>
      <c r="B7" s="3" t="n">
        <v>585473</v>
      </c>
    </row>
    <row r="8" customFormat="false" ht="15" hidden="false" customHeight="false" outlineLevel="0" collapsed="false">
      <c r="A8" s="0" t="s">
        <v>86</v>
      </c>
      <c r="B8" s="3" t="s">
        <v>77</v>
      </c>
    </row>
    <row r="9" customFormat="false" ht="15" hidden="false" customHeight="false" outlineLevel="0" collapsed="false">
      <c r="A9" s="0" t="s">
        <v>87</v>
      </c>
      <c r="B9" s="3" t="s">
        <v>88</v>
      </c>
    </row>
    <row r="10" customFormat="false" ht="15" hidden="false" customHeight="false" outlineLevel="0" collapsed="false">
      <c r="A10" s="0" t="s">
        <v>89</v>
      </c>
      <c r="B10" s="3" t="n">
        <v>1</v>
      </c>
    </row>
    <row r="12" customFormat="false" ht="15" hidden="false" customHeight="false" outlineLevel="0" collapsed="false">
      <c r="A12" s="2" t="s">
        <v>90</v>
      </c>
      <c r="C12" s="2" t="s">
        <v>91</v>
      </c>
      <c r="D12" s="2" t="s">
        <v>92</v>
      </c>
      <c r="E12" s="2" t="s">
        <v>93</v>
      </c>
      <c r="F12" s="2" t="s">
        <v>94</v>
      </c>
      <c r="G12" s="2" t="s">
        <v>95</v>
      </c>
      <c r="H12" s="2" t="s">
        <v>96</v>
      </c>
      <c r="I12" s="2" t="s">
        <v>97</v>
      </c>
      <c r="J12" s="2" t="s">
        <v>98</v>
      </c>
      <c r="K12" s="2" t="s">
        <v>99</v>
      </c>
      <c r="L12" s="2" t="s">
        <v>100</v>
      </c>
    </row>
    <row r="13" customFormat="false" ht="15" hidden="false" customHeight="false" outlineLevel="0" collapsed="false">
      <c r="A13" s="0" t="s">
        <v>101</v>
      </c>
      <c r="C13" s="3" t="n">
        <v>12</v>
      </c>
      <c r="D13" s="3" t="n">
        <v>-10</v>
      </c>
      <c r="E13" s="3" t="n">
        <v>-2</v>
      </c>
      <c r="F13" s="3" t="n">
        <v>1</v>
      </c>
      <c r="G13" s="3" t="n">
        <v>1.5</v>
      </c>
      <c r="H13" s="3" t="n">
        <v>1.5</v>
      </c>
      <c r="I13" s="3" t="n">
        <v>1.5</v>
      </c>
      <c r="J13" s="3" t="n">
        <v>1.5</v>
      </c>
      <c r="K13" s="3" t="n">
        <v>1.5</v>
      </c>
      <c r="L13" s="3" t="n">
        <v>1.5</v>
      </c>
    </row>
    <row r="14" customFormat="false" ht="15" hidden="false" customHeight="false" outlineLevel="0" collapsed="false">
      <c r="A14" s="0" t="s">
        <v>102</v>
      </c>
      <c r="C14" s="3" t="n">
        <v>7.2</v>
      </c>
      <c r="D14" s="3" t="n">
        <v>5.8</v>
      </c>
      <c r="E14" s="3" t="n">
        <v>6</v>
      </c>
      <c r="F14" s="3" t="n">
        <v>6.5</v>
      </c>
      <c r="G14" s="3" t="n">
        <v>6.8</v>
      </c>
      <c r="H14" s="3" t="n">
        <v>7</v>
      </c>
      <c r="I14" s="3" t="n">
        <v>7</v>
      </c>
      <c r="J14" s="3" t="n">
        <v>7</v>
      </c>
      <c r="K14" s="3" t="n">
        <v>7</v>
      </c>
      <c r="L14" s="3" t="n">
        <v>7</v>
      </c>
    </row>
    <row r="15" customFormat="false" ht="15" hidden="false" customHeight="false" outlineLevel="0" collapsed="false">
      <c r="A15" s="0" t="s">
        <v>103</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104</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105</v>
      </c>
      <c r="C17" s="3" t="n">
        <v>3.3</v>
      </c>
      <c r="D17" s="3" t="n">
        <v>3.7</v>
      </c>
      <c r="E17" s="3" t="n">
        <v>3.8</v>
      </c>
      <c r="F17" s="3" t="n">
        <v>3.8</v>
      </c>
      <c r="G17" s="3" t="n">
        <v>3.8</v>
      </c>
      <c r="H17" s="3" t="n">
        <v>3.8</v>
      </c>
      <c r="I17" s="3" t="n">
        <v>3.8</v>
      </c>
      <c r="J17" s="3" t="n">
        <v>3.8</v>
      </c>
      <c r="K17" s="3" t="n">
        <v>3.8</v>
      </c>
      <c r="L17" s="3" t="n">
        <v>3.8</v>
      </c>
    </row>
    <row r="18" customFormat="false" ht="15" hidden="false" customHeight="false" outlineLevel="0" collapsed="false">
      <c r="A18" s="0" t="s">
        <v>106</v>
      </c>
      <c r="C18" s="3" t="n">
        <v>3.6</v>
      </c>
      <c r="D18" s="3" t="n">
        <v>3.8</v>
      </c>
      <c r="E18" s="3" t="n">
        <v>3.8</v>
      </c>
      <c r="F18" s="3" t="n">
        <v>3.8</v>
      </c>
      <c r="G18" s="3" t="n">
        <v>3.8</v>
      </c>
      <c r="H18" s="3" t="n">
        <v>3.8</v>
      </c>
      <c r="I18" s="3" t="n">
        <v>3.8</v>
      </c>
      <c r="J18" s="3" t="n">
        <v>3.8</v>
      </c>
      <c r="K18" s="3" t="n">
        <v>3.8</v>
      </c>
      <c r="L18" s="3" t="n">
        <v>3.8</v>
      </c>
    </row>
    <row r="19" customFormat="false" ht="15" hidden="false" customHeight="false" outlineLevel="0" collapsed="false">
      <c r="A19" s="0" t="s">
        <v>107</v>
      </c>
      <c r="C19" s="3" t="n">
        <v>30.6</v>
      </c>
      <c r="D19" s="3" t="n">
        <v>30.6</v>
      </c>
      <c r="E19" s="3" t="n">
        <v>30.6</v>
      </c>
      <c r="F19" s="3" t="n">
        <v>30.6</v>
      </c>
      <c r="G19" s="3" t="n">
        <v>30.6</v>
      </c>
      <c r="H19" s="3" t="n">
        <v>30.6</v>
      </c>
      <c r="I19" s="3" t="n">
        <v>30.6</v>
      </c>
      <c r="J19" s="3" t="n">
        <v>30.6</v>
      </c>
      <c r="K19" s="3" t="n">
        <v>30.6</v>
      </c>
      <c r="L19" s="3" t="n">
        <v>30.6</v>
      </c>
    </row>
    <row r="20" customFormat="false" ht="15" hidden="false" customHeight="false" outlineLevel="0" collapsed="false">
      <c r="A20" s="0" t="s">
        <v>108</v>
      </c>
      <c r="B20" s="3" t="n">
        <v>8.5</v>
      </c>
    </row>
    <row r="21" customFormat="false" ht="15" hidden="false" customHeight="false" outlineLevel="0" collapsed="false">
      <c r="A21" s="0" t="s">
        <v>109</v>
      </c>
      <c r="B21" s="3" t="n">
        <v>0.5</v>
      </c>
    </row>
    <row r="22" customFormat="false" ht="15" hidden="false" customHeight="false" outlineLevel="0" collapsed="false">
      <c r="A22" s="0" t="s">
        <v>110</v>
      </c>
      <c r="B22" s="3" t="n">
        <v>12</v>
      </c>
    </row>
    <row r="23" customFormat="false" ht="15" hidden="false" customHeight="false" outlineLevel="0" collapsed="false">
      <c r="A23" s="0" t="s">
        <v>111</v>
      </c>
      <c r="B23" s="3" t="n">
        <v>-25</v>
      </c>
    </row>
    <row r="24" customFormat="false" ht="15" hidden="false" customHeight="false" outlineLevel="0" collapsed="false">
      <c r="A24" s="0" t="s">
        <v>112</v>
      </c>
      <c r="B24" s="3" t="n">
        <v>0.25</v>
      </c>
    </row>
    <row r="26" customFormat="false" ht="15" hidden="false" customHeight="false" outlineLevel="0" collapsed="false">
      <c r="A26" s="2" t="s">
        <v>113</v>
      </c>
      <c r="C26" s="2" t="s">
        <v>91</v>
      </c>
      <c r="D26" s="2" t="s">
        <v>92</v>
      </c>
      <c r="E26" s="2" t="s">
        <v>93</v>
      </c>
      <c r="F26" s="2" t="s">
        <v>94</v>
      </c>
      <c r="G26" s="2" t="s">
        <v>95</v>
      </c>
      <c r="H26" s="2" t="s">
        <v>96</v>
      </c>
      <c r="I26" s="2" t="s">
        <v>97</v>
      </c>
      <c r="J26" s="2" t="s">
        <v>98</v>
      </c>
      <c r="K26" s="2" t="s">
        <v>99</v>
      </c>
      <c r="L26" s="2" t="s">
        <v>100</v>
      </c>
    </row>
    <row r="27" customFormat="false" ht="15" hidden="false" customHeight="false" outlineLevel="0" collapsed="false">
      <c r="A27" s="0" t="s">
        <v>101</v>
      </c>
      <c r="C27" s="3" t="n">
        <v>17.85</v>
      </c>
      <c r="D27" s="3" t="n">
        <v>-2</v>
      </c>
      <c r="E27" s="3" t="n">
        <v>1.5</v>
      </c>
      <c r="F27" s="3" t="n">
        <v>2</v>
      </c>
      <c r="G27" s="3" t="n">
        <v>2</v>
      </c>
      <c r="H27" s="3" t="n">
        <v>2</v>
      </c>
      <c r="I27" s="3" t="n">
        <v>1.5</v>
      </c>
      <c r="J27" s="3" t="n">
        <v>1.5</v>
      </c>
      <c r="K27" s="3" t="n">
        <v>1.5</v>
      </c>
      <c r="L27" s="3" t="n">
        <v>1.5</v>
      </c>
    </row>
    <row r="28" customFormat="false" ht="15" hidden="false" customHeight="false" outlineLevel="0" collapsed="false">
      <c r="A28" s="0" t="s">
        <v>102</v>
      </c>
      <c r="C28" s="3" t="n">
        <v>7.9</v>
      </c>
      <c r="D28" s="3" t="n">
        <v>7.4</v>
      </c>
      <c r="E28" s="3" t="n">
        <v>7.6</v>
      </c>
      <c r="F28" s="3" t="n">
        <v>7.8</v>
      </c>
      <c r="G28" s="3" t="n">
        <v>8</v>
      </c>
      <c r="H28" s="3" t="n">
        <v>8</v>
      </c>
      <c r="I28" s="3" t="n">
        <v>8</v>
      </c>
      <c r="J28" s="3" t="n">
        <v>8</v>
      </c>
      <c r="K28" s="3" t="n">
        <v>8</v>
      </c>
      <c r="L28" s="3" t="n">
        <v>8</v>
      </c>
    </row>
    <row r="29" customFormat="false" ht="15" hidden="false" customHeight="false" outlineLevel="0" collapsed="false">
      <c r="A29" s="0" t="s">
        <v>103</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104</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105</v>
      </c>
      <c r="C31" s="3" t="n">
        <v>3.15</v>
      </c>
      <c r="D31" s="3" t="n">
        <v>3.3</v>
      </c>
      <c r="E31" s="3" t="n">
        <v>3.4</v>
      </c>
      <c r="F31" s="3" t="n">
        <v>3.5</v>
      </c>
      <c r="G31" s="3" t="n">
        <v>3.5</v>
      </c>
      <c r="H31" s="3" t="n">
        <v>3.5</v>
      </c>
      <c r="I31" s="3" t="n">
        <v>3.5</v>
      </c>
      <c r="J31" s="3" t="n">
        <v>3.5</v>
      </c>
      <c r="K31" s="3" t="n">
        <v>3.5</v>
      </c>
      <c r="L31" s="3" t="n">
        <v>3.5</v>
      </c>
    </row>
    <row r="32" customFormat="false" ht="15" hidden="false" customHeight="false" outlineLevel="0" collapsed="false">
      <c r="A32" s="0" t="s">
        <v>106</v>
      </c>
      <c r="C32" s="3" t="n">
        <v>3.4</v>
      </c>
      <c r="D32" s="3" t="n">
        <v>3.6</v>
      </c>
      <c r="E32" s="3" t="n">
        <v>3.6</v>
      </c>
      <c r="F32" s="3" t="n">
        <v>3.6</v>
      </c>
      <c r="G32" s="3" t="n">
        <v>3.6</v>
      </c>
      <c r="H32" s="3" t="n">
        <v>3.6</v>
      </c>
      <c r="I32" s="3" t="n">
        <v>3.6</v>
      </c>
      <c r="J32" s="3" t="n">
        <v>3.6</v>
      </c>
      <c r="K32" s="3" t="n">
        <v>3.6</v>
      </c>
      <c r="L32" s="3" t="n">
        <v>3.6</v>
      </c>
    </row>
    <row r="33" customFormat="false" ht="15" hidden="false" customHeight="false" outlineLevel="0" collapsed="false">
      <c r="A33" s="0" t="s">
        <v>107</v>
      </c>
      <c r="C33" s="3" t="n">
        <v>30.6</v>
      </c>
      <c r="D33" s="3" t="n">
        <v>30.6</v>
      </c>
      <c r="E33" s="3" t="n">
        <v>30.6</v>
      </c>
      <c r="F33" s="3" t="n">
        <v>30.6</v>
      </c>
      <c r="G33" s="3" t="n">
        <v>30.6</v>
      </c>
      <c r="H33" s="3" t="n">
        <v>30.6</v>
      </c>
      <c r="I33" s="3" t="n">
        <v>30.6</v>
      </c>
      <c r="J33" s="3" t="n">
        <v>30.6</v>
      </c>
      <c r="K33" s="3" t="n">
        <v>30.6</v>
      </c>
      <c r="L33" s="3" t="n">
        <v>30.6</v>
      </c>
    </row>
    <row r="34" customFormat="false" ht="15" hidden="false" customHeight="false" outlineLevel="0" collapsed="false">
      <c r="A34" s="0" t="s">
        <v>108</v>
      </c>
      <c r="B34" s="3" t="n">
        <v>8.5</v>
      </c>
    </row>
    <row r="35" customFormat="false" ht="15" hidden="false" customHeight="false" outlineLevel="0" collapsed="false">
      <c r="A35" s="0" t="s">
        <v>109</v>
      </c>
      <c r="B35" s="3" t="n">
        <v>1</v>
      </c>
    </row>
    <row r="36" customFormat="false" ht="15" hidden="false" customHeight="false" outlineLevel="0" collapsed="false">
      <c r="A36" s="0" t="s">
        <v>110</v>
      </c>
      <c r="B36" s="3" t="n">
        <v>12</v>
      </c>
    </row>
    <row r="37" customFormat="false" ht="15" hidden="false" customHeight="false" outlineLevel="0" collapsed="false">
      <c r="A37" s="0" t="s">
        <v>111</v>
      </c>
      <c r="B37" s="3" t="n">
        <v>-20</v>
      </c>
    </row>
    <row r="38" customFormat="false" ht="15" hidden="false" customHeight="false" outlineLevel="0" collapsed="false">
      <c r="A38" s="0" t="s">
        <v>112</v>
      </c>
      <c r="B38" s="3" t="n">
        <v>0.5</v>
      </c>
    </row>
    <row r="40" customFormat="false" ht="15" hidden="false" customHeight="false" outlineLevel="0" collapsed="false">
      <c r="A40" s="2" t="s">
        <v>114</v>
      </c>
      <c r="C40" s="2" t="s">
        <v>91</v>
      </c>
      <c r="D40" s="2" t="s">
        <v>92</v>
      </c>
      <c r="E40" s="2" t="s">
        <v>93</v>
      </c>
      <c r="F40" s="2" t="s">
        <v>94</v>
      </c>
      <c r="G40" s="2" t="s">
        <v>95</v>
      </c>
      <c r="H40" s="2" t="s">
        <v>96</v>
      </c>
      <c r="I40" s="2" t="s">
        <v>97</v>
      </c>
      <c r="J40" s="2" t="s">
        <v>98</v>
      </c>
      <c r="K40" s="2" t="s">
        <v>99</v>
      </c>
      <c r="L40" s="2" t="s">
        <v>100</v>
      </c>
    </row>
    <row r="41" customFormat="false" ht="15" hidden="false" customHeight="false" outlineLevel="0" collapsed="false">
      <c r="A41" s="0" t="s">
        <v>101</v>
      </c>
      <c r="C41" s="3" t="n">
        <v>17.85</v>
      </c>
      <c r="D41" s="3" t="n">
        <v>2</v>
      </c>
      <c r="E41" s="3" t="n">
        <v>3</v>
      </c>
      <c r="F41" s="3" t="n">
        <v>3</v>
      </c>
      <c r="G41" s="3" t="n">
        <v>3</v>
      </c>
      <c r="H41" s="3" t="n">
        <v>2.5</v>
      </c>
      <c r="I41" s="3" t="n">
        <v>2.5</v>
      </c>
      <c r="J41" s="3" t="n">
        <v>2</v>
      </c>
      <c r="K41" s="3" t="n">
        <v>2</v>
      </c>
      <c r="L41" s="3" t="n">
        <v>2</v>
      </c>
    </row>
    <row r="42" customFormat="false" ht="15" hidden="false" customHeight="false" outlineLevel="0" collapsed="false">
      <c r="A42" s="0" t="s">
        <v>102</v>
      </c>
      <c r="C42" s="3" t="n">
        <v>8</v>
      </c>
      <c r="D42" s="3" t="n">
        <v>8.2</v>
      </c>
      <c r="E42" s="3" t="n">
        <v>8.6</v>
      </c>
      <c r="F42" s="3" t="n">
        <v>9</v>
      </c>
      <c r="G42" s="3" t="n">
        <v>9.3</v>
      </c>
      <c r="H42" s="3" t="n">
        <v>9.5</v>
      </c>
      <c r="I42" s="3" t="n">
        <v>9.5</v>
      </c>
      <c r="J42" s="3" t="n">
        <v>9.5</v>
      </c>
      <c r="K42" s="3" t="n">
        <v>9.5</v>
      </c>
      <c r="L42" s="3" t="n">
        <v>9.5</v>
      </c>
    </row>
    <row r="43" customFormat="false" ht="15" hidden="false" customHeight="false" outlineLevel="0" collapsed="false">
      <c r="A43" s="0" t="s">
        <v>103</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104</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105</v>
      </c>
      <c r="C45" s="3" t="n">
        <v>3.15</v>
      </c>
      <c r="D45" s="3" t="n">
        <v>3.3</v>
      </c>
      <c r="E45" s="3" t="n">
        <v>3.4</v>
      </c>
      <c r="F45" s="3" t="n">
        <v>3.5</v>
      </c>
      <c r="G45" s="3" t="n">
        <v>3.5</v>
      </c>
      <c r="H45" s="3" t="n">
        <v>3.5</v>
      </c>
      <c r="I45" s="3" t="n">
        <v>3.5</v>
      </c>
      <c r="J45" s="3" t="n">
        <v>3.5</v>
      </c>
      <c r="K45" s="3" t="n">
        <v>3.5</v>
      </c>
      <c r="L45" s="3" t="n">
        <v>3.5</v>
      </c>
    </row>
    <row r="46" customFormat="false" ht="15" hidden="false" customHeight="false" outlineLevel="0" collapsed="false">
      <c r="A46" s="0" t="s">
        <v>106</v>
      </c>
      <c r="C46" s="3" t="n">
        <v>3.4</v>
      </c>
      <c r="D46" s="3" t="n">
        <v>3.5</v>
      </c>
      <c r="E46" s="3" t="n">
        <v>3.5</v>
      </c>
      <c r="F46" s="3" t="n">
        <v>3.5</v>
      </c>
      <c r="G46" s="3" t="n">
        <v>3.5</v>
      </c>
      <c r="H46" s="3" t="n">
        <v>3.5</v>
      </c>
      <c r="I46" s="3" t="n">
        <v>3.5</v>
      </c>
      <c r="J46" s="3" t="n">
        <v>3.5</v>
      </c>
      <c r="K46" s="3" t="n">
        <v>3.5</v>
      </c>
      <c r="L46" s="3" t="n">
        <v>3.5</v>
      </c>
    </row>
    <row r="47" customFormat="false" ht="15" hidden="false" customHeight="false" outlineLevel="0" collapsed="false">
      <c r="A47" s="0" t="s">
        <v>107</v>
      </c>
      <c r="C47" s="3" t="n">
        <v>30.6</v>
      </c>
      <c r="D47" s="3" t="n">
        <v>30.6</v>
      </c>
      <c r="E47" s="3" t="n">
        <v>30.6</v>
      </c>
      <c r="F47" s="3" t="n">
        <v>30.6</v>
      </c>
      <c r="G47" s="3" t="n">
        <v>30.6</v>
      </c>
      <c r="H47" s="3" t="n">
        <v>30.6</v>
      </c>
      <c r="I47" s="3" t="n">
        <v>30.6</v>
      </c>
      <c r="J47" s="3" t="n">
        <v>30.6</v>
      </c>
      <c r="K47" s="3" t="n">
        <v>30.6</v>
      </c>
      <c r="L47" s="3" t="n">
        <v>30.6</v>
      </c>
    </row>
    <row r="48" customFormat="false" ht="15" hidden="false" customHeight="false" outlineLevel="0" collapsed="false">
      <c r="A48" s="0" t="s">
        <v>108</v>
      </c>
      <c r="B48" s="3" t="n">
        <v>8.5</v>
      </c>
    </row>
    <row r="49" customFormat="false" ht="15" hidden="false" customHeight="false" outlineLevel="0" collapsed="false">
      <c r="A49" s="0" t="s">
        <v>109</v>
      </c>
      <c r="B49" s="3" t="n">
        <v>1.5</v>
      </c>
    </row>
    <row r="50" customFormat="false" ht="15" hidden="false" customHeight="false" outlineLevel="0" collapsed="false">
      <c r="A50" s="0" t="s">
        <v>110</v>
      </c>
      <c r="B50" s="3" t="n">
        <v>12</v>
      </c>
    </row>
    <row r="51" customFormat="false" ht="15" hidden="false" customHeight="false" outlineLevel="0" collapsed="false">
      <c r="A51" s="0" t="s">
        <v>111</v>
      </c>
      <c r="B51" s="3" t="n">
        <v>-15</v>
      </c>
    </row>
    <row r="52" customFormat="false" ht="15" hidden="false" customHeight="false" outlineLevel="0" collapsed="false">
      <c r="A52" s="0" t="s">
        <v>112</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115</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Assumptions!C13</f>
        <v>12</v>
      </c>
      <c r="D5" s="4" t="n">
        <f aca="false">Assumptions!D13</f>
        <v>-10</v>
      </c>
      <c r="E5" s="4" t="n">
        <f aca="false">Assumptions!E13</f>
        <v>-2</v>
      </c>
      <c r="F5" s="4" t="n">
        <f aca="false">Assumptions!F13</f>
        <v>1</v>
      </c>
      <c r="G5" s="4" t="n">
        <f aca="false">Assumptions!G13</f>
        <v>1.5</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37</v>
      </c>
      <c r="B6" s="3" t="n">
        <v>585473</v>
      </c>
      <c r="C6" s="0" t="n">
        <f aca="false">B6*(1+C5/100)</f>
        <v>655729.76</v>
      </c>
      <c r="D6" s="0" t="n">
        <f aca="false">C6*(1+D5/100)</f>
        <v>590156.784</v>
      </c>
      <c r="E6" s="0" t="n">
        <f aca="false">D6*(1+E5/100)</f>
        <v>578353.64832</v>
      </c>
      <c r="F6" s="0" t="n">
        <f aca="false">E6*(1+F5/100)</f>
        <v>584137.1848032</v>
      </c>
      <c r="G6" s="0" t="n">
        <f aca="false">F6*(1+G5/100)</f>
        <v>592899.242575248</v>
      </c>
      <c r="H6" s="0" t="n">
        <f aca="false">G6*(1+H5/100)</f>
        <v>601792.731213877</v>
      </c>
      <c r="I6" s="0" t="n">
        <f aca="false">H6*(1+I5/100)</f>
        <v>610819.622182085</v>
      </c>
      <c r="J6" s="0" t="n">
        <f aca="false">I6*(1+J5/100)</f>
        <v>619981.916514816</v>
      </c>
      <c r="K6" s="0" t="n">
        <f aca="false">J6*(1+K5/100)</f>
        <v>629281.645262538</v>
      </c>
      <c r="L6" s="0" t="n">
        <f aca="false">K6*(1+L5/100)</f>
        <v>638720.869941476</v>
      </c>
    </row>
    <row r="7" customFormat="false" ht="15" hidden="false" customHeight="false" outlineLevel="0" collapsed="false">
      <c r="A7" s="0" t="s">
        <v>102</v>
      </c>
      <c r="C7" s="4" t="n">
        <f aca="false">Assumptions!C14</f>
        <v>7.2</v>
      </c>
      <c r="D7" s="4" t="n">
        <f aca="false">Assumptions!D14</f>
        <v>5.8</v>
      </c>
      <c r="E7" s="4" t="n">
        <f aca="false">Assumptions!E14</f>
        <v>6</v>
      </c>
      <c r="F7" s="4" t="n">
        <f aca="false">Assumptions!F14</f>
        <v>6.5</v>
      </c>
      <c r="G7" s="4" t="n">
        <f aca="false">Assumptions!G14</f>
        <v>6.8</v>
      </c>
      <c r="H7" s="4" t="n">
        <f aca="false">Assumptions!H14</f>
        <v>7</v>
      </c>
      <c r="I7" s="4" t="n">
        <f aca="false">Assumptions!I14</f>
        <v>7</v>
      </c>
      <c r="J7" s="4" t="n">
        <f aca="false">Assumptions!J14</f>
        <v>7</v>
      </c>
      <c r="K7" s="4" t="n">
        <f aca="false">Assumptions!K14</f>
        <v>7</v>
      </c>
      <c r="L7" s="4" t="n">
        <f aca="false">Assumptions!L14</f>
        <v>7</v>
      </c>
    </row>
    <row r="8" customFormat="false" ht="15" hidden="false" customHeight="false" outlineLevel="0" collapsed="false">
      <c r="A8" s="0" t="s">
        <v>43</v>
      </c>
      <c r="C8" s="0" t="n">
        <f aca="false">C6*C7/100</f>
        <v>47212.54272</v>
      </c>
      <c r="D8" s="0" t="n">
        <f aca="false">D6*D7/100</f>
        <v>34229.093472</v>
      </c>
      <c r="E8" s="0" t="n">
        <f aca="false">E6*E7/100</f>
        <v>34701.2188992</v>
      </c>
      <c r="F8" s="0" t="n">
        <f aca="false">F6*F7/100</f>
        <v>37968.917012208</v>
      </c>
      <c r="G8" s="0" t="n">
        <f aca="false">G6*G7/100</f>
        <v>40317.1484951169</v>
      </c>
      <c r="H8" s="0" t="n">
        <f aca="false">H6*H7/100</f>
        <v>42125.4911849714</v>
      </c>
      <c r="I8" s="0" t="n">
        <f aca="false">I6*I7/100</f>
        <v>42757.3735527459</v>
      </c>
      <c r="J8" s="0" t="n">
        <f aca="false">J6*J7/100</f>
        <v>43398.7341560371</v>
      </c>
      <c r="K8" s="0" t="n">
        <f aca="false">K6*K7/100</f>
        <v>44049.7151683777</v>
      </c>
      <c r="L8" s="0" t="n">
        <f aca="false">L6*L7/100</f>
        <v>44710.4608959033</v>
      </c>
    </row>
    <row r="9" customFormat="false" ht="15" hidden="false" customHeight="false" outlineLevel="0" collapsed="false">
      <c r="A9" s="0" t="s">
        <v>103</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119</v>
      </c>
      <c r="C11" s="0" t="n">
        <f aca="false">C8+C10+C24</f>
        <v>47212.54272</v>
      </c>
      <c r="D11" s="0" t="n">
        <f aca="false">D8+D10+D24</f>
        <v>34229.093472</v>
      </c>
      <c r="E11" s="0" t="n">
        <f aca="false">E8+E10+E24</f>
        <v>34701.2188992</v>
      </c>
      <c r="F11" s="0" t="n">
        <f aca="false">F8+F10+F24</f>
        <v>37968.917012208</v>
      </c>
      <c r="G11" s="0" t="n">
        <f aca="false">G8+G10+G24</f>
        <v>40317.1484951169</v>
      </c>
      <c r="H11" s="0" t="n">
        <f aca="false">H8+H10+H24</f>
        <v>42125.4911849714</v>
      </c>
      <c r="I11" s="0" t="n">
        <f aca="false">I8+I10+I24</f>
        <v>42757.3735527459</v>
      </c>
      <c r="J11" s="0" t="n">
        <f aca="false">J8+J10+J24</f>
        <v>43398.7341560371</v>
      </c>
      <c r="K11" s="0" t="n">
        <f aca="false">K8+K10+K24</f>
        <v>44049.7151683777</v>
      </c>
      <c r="L11" s="0" t="n">
        <f aca="false">L8+L10+L24</f>
        <v>44710.4608959033</v>
      </c>
    </row>
    <row r="12" customFormat="false" ht="15" hidden="false" customHeight="false" outlineLevel="0" collapsed="false">
      <c r="A12" s="0" t="s">
        <v>120</v>
      </c>
      <c r="C12" s="4" t="n">
        <f aca="false">-C6*Assumptions!C17/100</f>
        <v>-21639.08208</v>
      </c>
      <c r="D12" s="4" t="n">
        <f aca="false">-D6*Assumptions!D17/100</f>
        <v>-21835.801008</v>
      </c>
      <c r="E12" s="4" t="n">
        <f aca="false">-E6*Assumptions!E17/100</f>
        <v>-21977.43863616</v>
      </c>
      <c r="F12" s="4" t="n">
        <f aca="false">-F6*Assumptions!F17/100</f>
        <v>-22197.2130225216</v>
      </c>
      <c r="G12" s="4" t="n">
        <f aca="false">-G6*Assumptions!G17/100</f>
        <v>-22530.1712178594</v>
      </c>
      <c r="H12" s="4" t="n">
        <f aca="false">-H6*Assumptions!H17/100</f>
        <v>-22868.1237861273</v>
      </c>
      <c r="I12" s="4" t="n">
        <f aca="false">-I6*Assumptions!I17/100</f>
        <v>-23211.1456429192</v>
      </c>
      <c r="J12" s="4" t="n">
        <f aca="false">-J6*Assumptions!J17/100</f>
        <v>-23559.312827563</v>
      </c>
      <c r="K12" s="4" t="n">
        <f aca="false">-K6*Assumptions!K17/100</f>
        <v>-23912.7025199764</v>
      </c>
      <c r="L12" s="4" t="n">
        <f aca="false">-L6*Assumptions!L17/100</f>
        <v>-24271.3930577761</v>
      </c>
    </row>
    <row r="13" customFormat="false" ht="15" hidden="false" customHeight="false" outlineLevel="0" collapsed="false">
      <c r="A13" s="0" t="s">
        <v>121</v>
      </c>
      <c r="C13" s="0" t="n">
        <f aca="false">C11+C12</f>
        <v>25573.46064</v>
      </c>
      <c r="D13" s="0" t="n">
        <f aca="false">D11+D12</f>
        <v>12393.292464</v>
      </c>
      <c r="E13" s="0" t="n">
        <f aca="false">E11+E12</f>
        <v>12723.78026304</v>
      </c>
      <c r="F13" s="0" t="n">
        <f aca="false">F11+F12</f>
        <v>15771.7039896864</v>
      </c>
      <c r="G13" s="0" t="n">
        <f aca="false">G11+G12</f>
        <v>17786.9772772574</v>
      </c>
      <c r="H13" s="0" t="n">
        <f aca="false">H11+H12</f>
        <v>19257.367398844</v>
      </c>
      <c r="I13" s="0" t="n">
        <f aca="false">I11+I12</f>
        <v>19546.2279098267</v>
      </c>
      <c r="J13" s="0" t="n">
        <f aca="false">J11+J12</f>
        <v>19839.4213284741</v>
      </c>
      <c r="K13" s="0" t="n">
        <f aca="false">K11+K12</f>
        <v>20137.0126484012</v>
      </c>
      <c r="L13" s="0" t="n">
        <f aca="false">L11+L12</f>
        <v>20439.0678381272</v>
      </c>
    </row>
    <row r="14" customFormat="false" ht="15" hidden="false" customHeight="false" outlineLevel="0" collapsed="false">
      <c r="A14" s="0" t="s">
        <v>107</v>
      </c>
      <c r="C14" s="4" t="n">
        <f aca="false">Assumptions!C19</f>
        <v>30.6</v>
      </c>
      <c r="D14" s="4" t="n">
        <f aca="false">Assumptions!D19</f>
        <v>30.6</v>
      </c>
      <c r="E14" s="4" t="n">
        <f aca="false">Assumptions!E19</f>
        <v>30.6</v>
      </c>
      <c r="F14" s="4" t="n">
        <f aca="false">Assumptions!F19</f>
        <v>30.6</v>
      </c>
      <c r="G14" s="4" t="n">
        <f aca="false">Assumptions!G19</f>
        <v>30.6</v>
      </c>
      <c r="H14" s="4" t="n">
        <f aca="false">Assumptions!H19</f>
        <v>30.6</v>
      </c>
      <c r="I14" s="4" t="n">
        <f aca="false">Assumptions!I19</f>
        <v>30.6</v>
      </c>
      <c r="J14" s="4" t="n">
        <f aca="false">Assumptions!J19</f>
        <v>30.6</v>
      </c>
      <c r="K14" s="4" t="n">
        <f aca="false">Assumptions!K19</f>
        <v>30.6</v>
      </c>
      <c r="L14" s="4" t="n">
        <f aca="false">Assumptions!L19</f>
        <v>30.6</v>
      </c>
    </row>
    <row r="15" customFormat="false" ht="15" hidden="false" customHeight="false" outlineLevel="0" collapsed="false">
      <c r="A15" s="0" t="s">
        <v>122</v>
      </c>
      <c r="C15" s="0" t="n">
        <f aca="false">C13-MAX(0,C13)*C14/100</f>
        <v>17747.98168416</v>
      </c>
      <c r="D15" s="0" t="n">
        <f aca="false">D13-MAX(0,D13)*D14/100</f>
        <v>8600.944970016</v>
      </c>
      <c r="E15" s="0" t="n">
        <f aca="false">E13-MAX(0,E13)*E14/100</f>
        <v>8830.30350254976</v>
      </c>
      <c r="F15" s="0" t="n">
        <f aca="false">F13-MAX(0,F13)*F14/100</f>
        <v>10945.5625688424</v>
      </c>
      <c r="G15" s="0" t="n">
        <f aca="false">G13-MAX(0,G13)*G14/100</f>
        <v>12344.1622304167</v>
      </c>
      <c r="H15" s="0" t="n">
        <f aca="false">H13-MAX(0,H13)*H14/100</f>
        <v>13364.6129747978</v>
      </c>
      <c r="I15" s="0" t="n">
        <f aca="false">I13-MAX(0,I13)*I14/100</f>
        <v>13565.0821694197</v>
      </c>
      <c r="J15" s="0" t="n">
        <f aca="false">J13-MAX(0,J13)*J14/100</f>
        <v>13768.558401961</v>
      </c>
      <c r="K15" s="0" t="n">
        <f aca="false">K13-MAX(0,K13)*K14/100</f>
        <v>13975.0867779904</v>
      </c>
      <c r="L15" s="0" t="n">
        <f aca="false">L13-MAX(0,L13)*L14/100</f>
        <v>14184.7130796603</v>
      </c>
    </row>
    <row r="16" customFormat="false" ht="15" hidden="false" customHeight="false" outlineLevel="0" collapsed="false">
      <c r="A16" s="0" t="s">
        <v>123</v>
      </c>
      <c r="C16" s="0" t="n">
        <f aca="false">-C12</f>
        <v>21639.08208</v>
      </c>
      <c r="D16" s="0" t="n">
        <f aca="false">-D12</f>
        <v>21835.801008</v>
      </c>
      <c r="E16" s="0" t="n">
        <f aca="false">-E12</f>
        <v>21977.43863616</v>
      </c>
      <c r="F16" s="0" t="n">
        <f aca="false">-F12</f>
        <v>22197.2130225216</v>
      </c>
      <c r="G16" s="0" t="n">
        <f aca="false">-G12</f>
        <v>22530.1712178594</v>
      </c>
      <c r="H16" s="0" t="n">
        <f aca="false">-H12</f>
        <v>22868.1237861273</v>
      </c>
      <c r="I16" s="0" t="n">
        <f aca="false">-I12</f>
        <v>23211.1456429192</v>
      </c>
      <c r="J16" s="0" t="n">
        <f aca="false">-J12</f>
        <v>23559.312827563</v>
      </c>
      <c r="K16" s="0" t="n">
        <f aca="false">-K12</f>
        <v>23912.7025199764</v>
      </c>
      <c r="L16" s="0" t="n">
        <f aca="false">-L12</f>
        <v>24271.3930577761</v>
      </c>
    </row>
    <row r="17" customFormat="false" ht="15" hidden="false" customHeight="false" outlineLevel="0" collapsed="false">
      <c r="A17" s="0" t="s">
        <v>124</v>
      </c>
      <c r="C17" s="4" t="n">
        <f aca="false">-C6*Assumptions!C18/100</f>
        <v>-23606.27136</v>
      </c>
      <c r="D17" s="4" t="n">
        <f aca="false">-D6*Assumptions!D18/100</f>
        <v>-22425.957792</v>
      </c>
      <c r="E17" s="4" t="n">
        <f aca="false">-E6*Assumptions!E18/100</f>
        <v>-21977.43863616</v>
      </c>
      <c r="F17" s="4" t="n">
        <f aca="false">-F6*Assumptions!F18/100</f>
        <v>-22197.2130225216</v>
      </c>
      <c r="G17" s="4" t="n">
        <f aca="false">-G6*Assumptions!G18/100</f>
        <v>-22530.1712178594</v>
      </c>
      <c r="H17" s="4" t="n">
        <f aca="false">-H6*Assumptions!H18/100</f>
        <v>-22868.1237861273</v>
      </c>
      <c r="I17" s="4" t="n">
        <f aca="false">-I6*Assumptions!I18/100</f>
        <v>-23211.1456429192</v>
      </c>
      <c r="J17" s="4" t="n">
        <f aca="false">-J6*Assumptions!J18/100</f>
        <v>-23559.312827563</v>
      </c>
      <c r="K17" s="4" t="n">
        <f aca="false">-K6*Assumptions!K18/100</f>
        <v>-23912.7025199764</v>
      </c>
      <c r="L17" s="4" t="n">
        <f aca="false">-L6*Assumptions!L18/100</f>
        <v>-24271.3930577761</v>
      </c>
    </row>
    <row r="18" customFormat="false" ht="15" hidden="false" customHeight="false" outlineLevel="0" collapsed="false">
      <c r="A18" s="0" t="s">
        <v>125</v>
      </c>
      <c r="C18" s="4" t="n">
        <f aca="false">(C6-B6)*Assumptions!$B$23/100</f>
        <v>-17564.19</v>
      </c>
      <c r="D18" s="4" t="n">
        <f aca="false">(D6-C6)*Assumptions!$B$23/100</f>
        <v>16393.244</v>
      </c>
      <c r="E18" s="4" t="n">
        <f aca="false">(E6-D6)*Assumptions!$B$23/100</f>
        <v>2950.78392000002</v>
      </c>
      <c r="F18" s="4" t="n">
        <f aca="false">(F6-E6)*Assumptions!$B$23/100</f>
        <v>-1445.88412080001</v>
      </c>
      <c r="G18" s="4" t="n">
        <f aca="false">(G6-F6)*Assumptions!$B$23/100</f>
        <v>-2190.51444301198</v>
      </c>
      <c r="H18" s="4" t="n">
        <f aca="false">(H6-G6)*Assumptions!$B$23/100</f>
        <v>-2223.37215965716</v>
      </c>
      <c r="I18" s="4" t="n">
        <f aca="false">(I6-H6)*Assumptions!$B$23/100</f>
        <v>-2256.72274205202</v>
      </c>
      <c r="J18" s="4" t="n">
        <f aca="false">(J6-I6)*Assumptions!$B$23/100</f>
        <v>-2290.57358318279</v>
      </c>
      <c r="K18" s="4" t="n">
        <f aca="false">(K6-J6)*Assumptions!$B$23/100</f>
        <v>-2324.93218693056</v>
      </c>
      <c r="L18" s="4" t="n">
        <f aca="false">(L6-K6)*Assumptions!$B$23/100</f>
        <v>-2359.80616973451</v>
      </c>
    </row>
    <row r="19" customFormat="false" ht="15" hidden="false" customHeight="false" outlineLevel="0" collapsed="false">
      <c r="A19" s="0" t="s">
        <v>126</v>
      </c>
      <c r="C19" s="0" t="n">
        <f aca="false">C15+C16+C17+C18</f>
        <v>-1783.39759584</v>
      </c>
      <c r="D19" s="0" t="n">
        <f aca="false">D15+D16+D17+D18</f>
        <v>24404.032186016</v>
      </c>
      <c r="E19" s="0" t="n">
        <f aca="false">E15+E16+E17+E18</f>
        <v>11781.0874225498</v>
      </c>
      <c r="F19" s="0" t="n">
        <f aca="false">F15+F16+F17+F18</f>
        <v>9499.67844804235</v>
      </c>
      <c r="G19" s="0" t="n">
        <f aca="false">G15+G16+G17+G18</f>
        <v>10153.6477874047</v>
      </c>
      <c r="H19" s="0" t="n">
        <f aca="false">H15+H16+H17+H18</f>
        <v>11141.2408151406</v>
      </c>
      <c r="I19" s="0" t="n">
        <f aca="false">I15+I16+I17+I18</f>
        <v>11308.3594273677</v>
      </c>
      <c r="J19" s="0" t="n">
        <f aca="false">J15+J16+J17+J18</f>
        <v>11477.9848187782</v>
      </c>
      <c r="K19" s="0" t="n">
        <f aca="false">K15+K16+K17+K18</f>
        <v>11650.1545910599</v>
      </c>
      <c r="L19" s="0" t="n">
        <f aca="false">L15+L16+L17+L18</f>
        <v>11824.9069099258</v>
      </c>
    </row>
    <row r="20" customFormat="false" ht="15" hidden="false" customHeight="false" outlineLevel="0" collapsed="false">
      <c r="A20" s="0" t="s">
        <v>127</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128</v>
      </c>
      <c r="C21" s="0" t="n">
        <f aca="false">C19*C20</f>
        <v>-1643.68442012904</v>
      </c>
      <c r="D21" s="0" t="n">
        <f aca="false">D19*D20</f>
        <v>20730.1341595838</v>
      </c>
      <c r="E21" s="0" t="n">
        <f aca="false">E19*E20</f>
        <v>9223.50875143463</v>
      </c>
      <c r="F21" s="0" t="n">
        <f aca="false">F19*F20</f>
        <v>6854.72367692186</v>
      </c>
      <c r="G21" s="0" t="n">
        <f aca="false">G19*G20</f>
        <v>6752.63699069623</v>
      </c>
      <c r="H21" s="0" t="n">
        <f aca="false">H19*H20</f>
        <v>6828.96886070377</v>
      </c>
      <c r="I21" s="0" t="n">
        <f aca="false">I19*I20</f>
        <v>6388.39022452933</v>
      </c>
      <c r="J21" s="0" t="n">
        <f aca="false">J19*J20</f>
        <v>5976.23601649518</v>
      </c>
      <c r="K21" s="0" t="n">
        <f aca="false">K19*K20</f>
        <v>5590.67240252774</v>
      </c>
      <c r="L21" s="0" t="n">
        <f aca="false">L19*L20</f>
        <v>5229.98386042918</v>
      </c>
    </row>
    <row r="23" customFormat="false" ht="15" hidden="false" customHeight="false" outlineLevel="0" collapsed="false">
      <c r="A23" s="0" t="s">
        <v>104</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130</v>
      </c>
    </row>
    <row r="27" customFormat="false" ht="15" hidden="false" customHeight="false" outlineLevel="0" collapsed="false">
      <c r="A27" s="0" t="s">
        <v>108</v>
      </c>
      <c r="B27" s="4" t="n">
        <f aca="false">Assumptions!$B$20</f>
        <v>8.5</v>
      </c>
    </row>
    <row r="28" customFormat="false" ht="15" hidden="false" customHeight="false" outlineLevel="0" collapsed="false">
      <c r="A28" s="0" t="s">
        <v>109</v>
      </c>
      <c r="B28" s="4" t="n">
        <f aca="false">Assumptions!$B$21</f>
        <v>0.5</v>
      </c>
    </row>
    <row r="29" customFormat="false" ht="15" hidden="false" customHeight="false" outlineLevel="0" collapsed="false">
      <c r="A29" s="0" t="s">
        <v>110</v>
      </c>
      <c r="B29" s="4" t="n">
        <f aca="false">Assumptions!$B$22</f>
        <v>12</v>
      </c>
    </row>
    <row r="30" customFormat="false" ht="15" hidden="false" customHeight="false" outlineLevel="0" collapsed="false">
      <c r="A30" s="0" t="s">
        <v>131</v>
      </c>
      <c r="B30" s="0" t="n">
        <f aca="false">SUM(C21:L21)</f>
        <v>71931.5705231927</v>
      </c>
    </row>
    <row r="31" customFormat="false" ht="15" hidden="false" customHeight="false" outlineLevel="0" collapsed="false">
      <c r="A31" s="0" t="s">
        <v>132</v>
      </c>
      <c r="B31" s="0" t="n">
        <f aca="false">L19</f>
        <v>11824.9069099258</v>
      </c>
    </row>
    <row r="32" customFormat="false" ht="15" hidden="false" customHeight="false" outlineLevel="0" collapsed="false">
      <c r="A32" s="0" t="s">
        <v>133</v>
      </c>
      <c r="B32" s="0" t="n">
        <f aca="false">IF(B27&gt;B28,B31*(1+B28/100)/((B27-B28)/100),B31*B29)</f>
        <v>148550.393055943</v>
      </c>
    </row>
    <row r="33" customFormat="false" ht="15" hidden="false" customHeight="false" outlineLevel="0" collapsed="false">
      <c r="A33" s="0" t="s">
        <v>134</v>
      </c>
      <c r="B33" s="0" t="n">
        <f aca="false">B31*B29</f>
        <v>141898.882919109</v>
      </c>
    </row>
    <row r="34" customFormat="false" ht="15" hidden="false" customHeight="false" outlineLevel="0" collapsed="false">
      <c r="A34" s="0" t="s">
        <v>135</v>
      </c>
      <c r="B34" s="0" t="n">
        <f aca="false">MAX(0,MIN(B32,B33))</f>
        <v>141898.882919109</v>
      </c>
    </row>
    <row r="35" customFormat="false" ht="15" hidden="false" customHeight="false" outlineLevel="0" collapsed="false">
      <c r="A35" s="0" t="s">
        <v>136</v>
      </c>
      <c r="B35" s="0" t="n">
        <f aca="false">B34/(1+B27/100)^L4</f>
        <v>62759.8063251501</v>
      </c>
    </row>
    <row r="36" customFormat="false" ht="15" hidden="false" customHeight="false" outlineLevel="0" collapsed="false">
      <c r="A36" s="0" t="s">
        <v>137</v>
      </c>
      <c r="B36" s="0" t="n">
        <f aca="false">B30+B35</f>
        <v>134691.376848343</v>
      </c>
    </row>
    <row r="37" customFormat="false" ht="15" hidden="false" customHeight="false" outlineLevel="0" collapsed="false">
      <c r="A37" s="0" t="s">
        <v>138</v>
      </c>
      <c r="B37" s="0" t="n">
        <f aca="false">B36+Assumptions!$B$5-Assumptions!$B$4</f>
        <v>10188.3768483428</v>
      </c>
    </row>
    <row r="38" customFormat="false" ht="15" hidden="false" customHeight="false" outlineLevel="0" collapsed="false">
      <c r="A38" s="0" t="s">
        <v>139</v>
      </c>
      <c r="B38" s="0" t="n">
        <f aca="false">B37/Assumptions!$B$3*Assumptions!$B$10</f>
        <v>164.514400909782</v>
      </c>
    </row>
    <row r="39" customFormat="false" ht="15" hidden="false" customHeight="false" outlineLevel="0" collapsed="false">
      <c r="A39" s="0" t="s">
        <v>140</v>
      </c>
      <c r="B39" s="4" t="n">
        <f aca="false">B38/Assumptions!$B$2-1</f>
        <v>-0.936773865907078</v>
      </c>
    </row>
    <row r="41" customFormat="false" ht="15" hidden="false" customHeight="false" outlineLevel="0" collapsed="false">
      <c r="A41" s="0" t="s">
        <v>141</v>
      </c>
      <c r="B41" s="0" t="n">
        <f aca="false">SUMPRODUCT(-C10:L10/(1+$B$27/100)^C4:L4)</f>
        <v>0</v>
      </c>
    </row>
    <row r="42" customFormat="false" ht="15" hidden="false" customHeight="false" outlineLevel="0" collapsed="false">
      <c r="A42" s="0" t="s">
        <v>142</v>
      </c>
      <c r="B42" s="0" t="n">
        <f aca="false">IF(B27&gt;B28,-L10*(1+B28/100)/((B27-B28)/100),-L10*20)/(1+B27/100)^L4</f>
        <v>0</v>
      </c>
    </row>
    <row r="43" customFormat="false" ht="15" hidden="false" customHeight="false" outlineLevel="0" collapsed="false">
      <c r="A43" s="0" t="s">
        <v>143</v>
      </c>
      <c r="B43" s="0" t="n">
        <f aca="false">(B37+B41+B42)/Assumptions!$B$3*Assumptions!$B$10</f>
        <v>164.514400909782</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81958.8375481063</v>
      </c>
    </row>
    <row r="47" customFormat="false" ht="15" hidden="false" customHeight="false" outlineLevel="0" collapsed="false">
      <c r="A47" s="0" t="s">
        <v>145</v>
      </c>
      <c r="B47" s="0" t="n">
        <f aca="false">(SUMPRODUCT(C19:L19/(1+B45/100)^C4:L4)+B46/(1+B45/100)^L4+Assumptions!$B$5-Assumptions!$B$4)/Assumptions!$B$3*Assumptions!$B$10</f>
        <v>-808.352357233497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Assumptions!C27</f>
        <v>17.85</v>
      </c>
      <c r="D5" s="4" t="n">
        <f aca="false">Assumptions!D27</f>
        <v>-2</v>
      </c>
      <c r="E5" s="4" t="n">
        <f aca="false">Assumptions!E27</f>
        <v>1.5</v>
      </c>
      <c r="F5" s="4" t="n">
        <f aca="false">Assumptions!F27</f>
        <v>2</v>
      </c>
      <c r="G5" s="4" t="n">
        <f aca="false">Assumptions!G27</f>
        <v>2</v>
      </c>
      <c r="H5" s="4" t="n">
        <f aca="false">Assumptions!H27</f>
        <v>2</v>
      </c>
      <c r="I5" s="4" t="n">
        <f aca="false">Assumptions!I27</f>
        <v>1.5</v>
      </c>
      <c r="J5" s="4" t="n">
        <f aca="false">Assumptions!J27</f>
        <v>1.5</v>
      </c>
      <c r="K5" s="4" t="n">
        <f aca="false">Assumptions!K27</f>
        <v>1.5</v>
      </c>
      <c r="L5" s="4" t="n">
        <f aca="false">Assumptions!L27</f>
        <v>1.5</v>
      </c>
    </row>
    <row r="6" customFormat="false" ht="15" hidden="false" customHeight="false" outlineLevel="0" collapsed="false">
      <c r="A6" s="0" t="s">
        <v>37</v>
      </c>
      <c r="B6" s="3" t="n">
        <v>585473</v>
      </c>
      <c r="C6" s="0" t="n">
        <f aca="false">B6*(1+C5/100)</f>
        <v>689979.9305</v>
      </c>
      <c r="D6" s="0" t="n">
        <f aca="false">C6*(1+D5/100)</f>
        <v>676180.33189</v>
      </c>
      <c r="E6" s="0" t="n">
        <f aca="false">D6*(1+E5/100)</f>
        <v>686323.03686835</v>
      </c>
      <c r="F6" s="0" t="n">
        <f aca="false">E6*(1+F5/100)</f>
        <v>700049.497605717</v>
      </c>
      <c r="G6" s="0" t="n">
        <f aca="false">F6*(1+G5/100)</f>
        <v>714050.487557832</v>
      </c>
      <c r="H6" s="0" t="n">
        <f aca="false">G6*(1+H5/100)</f>
        <v>728331.497308988</v>
      </c>
      <c r="I6" s="0" t="n">
        <f aca="false">H6*(1+I5/100)</f>
        <v>739256.469768623</v>
      </c>
      <c r="J6" s="0" t="n">
        <f aca="false">I6*(1+J5/100)</f>
        <v>750345.316815152</v>
      </c>
      <c r="K6" s="0" t="n">
        <f aca="false">J6*(1+K5/100)</f>
        <v>761600.496567379</v>
      </c>
      <c r="L6" s="0" t="n">
        <f aca="false">K6*(1+L5/100)</f>
        <v>773024.50401589</v>
      </c>
    </row>
    <row r="7" customFormat="false" ht="15" hidden="false" customHeight="false" outlineLevel="0" collapsed="false">
      <c r="A7" s="0" t="s">
        <v>102</v>
      </c>
      <c r="C7" s="4" t="n">
        <f aca="false">Assumptions!C28</f>
        <v>7.9</v>
      </c>
      <c r="D7" s="4" t="n">
        <f aca="false">Assumptions!D28</f>
        <v>7.4</v>
      </c>
      <c r="E7" s="4" t="n">
        <f aca="false">Assumptions!E28</f>
        <v>7.6</v>
      </c>
      <c r="F7" s="4" t="n">
        <f aca="false">Assumptions!F28</f>
        <v>7.8</v>
      </c>
      <c r="G7" s="4" t="n">
        <f aca="false">Assumptions!G28</f>
        <v>8</v>
      </c>
      <c r="H7" s="4" t="n">
        <f aca="false">Assumptions!H28</f>
        <v>8</v>
      </c>
      <c r="I7" s="4" t="n">
        <f aca="false">Assumptions!I28</f>
        <v>8</v>
      </c>
      <c r="J7" s="4" t="n">
        <f aca="false">Assumptions!J28</f>
        <v>8</v>
      </c>
      <c r="K7" s="4" t="n">
        <f aca="false">Assumptions!K28</f>
        <v>8</v>
      </c>
      <c r="L7" s="4" t="n">
        <f aca="false">Assumptions!L28</f>
        <v>8</v>
      </c>
    </row>
    <row r="8" customFormat="false" ht="15" hidden="false" customHeight="false" outlineLevel="0" collapsed="false">
      <c r="A8" s="0" t="s">
        <v>43</v>
      </c>
      <c r="C8" s="0" t="n">
        <f aca="false">C6*C7/100</f>
        <v>54508.4145095</v>
      </c>
      <c r="D8" s="0" t="n">
        <f aca="false">D6*D7/100</f>
        <v>50037.34455986</v>
      </c>
      <c r="E8" s="0" t="n">
        <f aca="false">E6*E7/100</f>
        <v>52160.5508019946</v>
      </c>
      <c r="F8" s="0" t="n">
        <f aca="false">F6*F7/100</f>
        <v>54603.8608132459</v>
      </c>
      <c r="G8" s="0" t="n">
        <f aca="false">G6*G7/100</f>
        <v>57124.0390046265</v>
      </c>
      <c r="H8" s="0" t="n">
        <f aca="false">H6*H7/100</f>
        <v>58266.5197847191</v>
      </c>
      <c r="I8" s="0" t="n">
        <f aca="false">I6*I7/100</f>
        <v>59140.5175814898</v>
      </c>
      <c r="J8" s="0" t="n">
        <f aca="false">J6*J7/100</f>
        <v>60027.6253452122</v>
      </c>
      <c r="K8" s="0" t="n">
        <f aca="false">K6*K7/100</f>
        <v>60928.0397253904</v>
      </c>
      <c r="L8" s="0" t="n">
        <f aca="false">L6*L7/100</f>
        <v>61841.9603212712</v>
      </c>
    </row>
    <row r="9" customFormat="false" ht="15" hidden="false" customHeight="false" outlineLevel="0" collapsed="false">
      <c r="A9" s="0" t="s">
        <v>103</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119</v>
      </c>
      <c r="C11" s="0" t="n">
        <f aca="false">C8+C10+C24</f>
        <v>54508.4145095</v>
      </c>
      <c r="D11" s="0" t="n">
        <f aca="false">D8+D10+D24</f>
        <v>50037.34455986</v>
      </c>
      <c r="E11" s="0" t="n">
        <f aca="false">E8+E10+E24</f>
        <v>52160.5508019946</v>
      </c>
      <c r="F11" s="0" t="n">
        <f aca="false">F8+F10+F24</f>
        <v>54603.8608132459</v>
      </c>
      <c r="G11" s="0" t="n">
        <f aca="false">G8+G10+G24</f>
        <v>57124.0390046265</v>
      </c>
      <c r="H11" s="0" t="n">
        <f aca="false">H8+H10+H24</f>
        <v>58266.5197847191</v>
      </c>
      <c r="I11" s="0" t="n">
        <f aca="false">I8+I10+I24</f>
        <v>59140.5175814898</v>
      </c>
      <c r="J11" s="0" t="n">
        <f aca="false">J8+J10+J24</f>
        <v>60027.6253452122</v>
      </c>
      <c r="K11" s="0" t="n">
        <f aca="false">K8+K10+K24</f>
        <v>60928.0397253904</v>
      </c>
      <c r="L11" s="0" t="n">
        <f aca="false">L8+L10+L24</f>
        <v>61841.9603212712</v>
      </c>
    </row>
    <row r="12" customFormat="false" ht="15" hidden="false" customHeight="false" outlineLevel="0" collapsed="false">
      <c r="A12" s="0" t="s">
        <v>120</v>
      </c>
      <c r="C12" s="4" t="n">
        <f aca="false">-C6*Assumptions!C31/100</f>
        <v>-21734.36781075</v>
      </c>
      <c r="D12" s="4" t="n">
        <f aca="false">-D6*Assumptions!D31/100</f>
        <v>-22313.95095237</v>
      </c>
      <c r="E12" s="4" t="n">
        <f aca="false">-E6*Assumptions!E31/100</f>
        <v>-23334.9832535239</v>
      </c>
      <c r="F12" s="4" t="n">
        <f aca="false">-F6*Assumptions!F31/100</f>
        <v>-24501.7324162001</v>
      </c>
      <c r="G12" s="4" t="n">
        <f aca="false">-G6*Assumptions!G31/100</f>
        <v>-24991.7670645241</v>
      </c>
      <c r="H12" s="4" t="n">
        <f aca="false">-H6*Assumptions!H31/100</f>
        <v>-25491.6024058146</v>
      </c>
      <c r="I12" s="4" t="n">
        <f aca="false">-I6*Assumptions!I31/100</f>
        <v>-25873.9764419018</v>
      </c>
      <c r="J12" s="4" t="n">
        <f aca="false">-J6*Assumptions!J31/100</f>
        <v>-26262.0860885303</v>
      </c>
      <c r="K12" s="4" t="n">
        <f aca="false">-K6*Assumptions!K31/100</f>
        <v>-26656.0173798583</v>
      </c>
      <c r="L12" s="4" t="n">
        <f aca="false">-L6*Assumptions!L31/100</f>
        <v>-27055.8576405561</v>
      </c>
    </row>
    <row r="13" customFormat="false" ht="15" hidden="false" customHeight="false" outlineLevel="0" collapsed="false">
      <c r="A13" s="0" t="s">
        <v>121</v>
      </c>
      <c r="C13" s="0" t="n">
        <f aca="false">C11+C12</f>
        <v>32774.04669875</v>
      </c>
      <c r="D13" s="0" t="n">
        <f aca="false">D11+D12</f>
        <v>27723.39360749</v>
      </c>
      <c r="E13" s="0" t="n">
        <f aca="false">E11+E12</f>
        <v>28825.5675484707</v>
      </c>
      <c r="F13" s="0" t="n">
        <f aca="false">F11+F12</f>
        <v>30102.1283970458</v>
      </c>
      <c r="G13" s="0" t="n">
        <f aca="false">G11+G12</f>
        <v>32132.2719401024</v>
      </c>
      <c r="H13" s="0" t="n">
        <f aca="false">H11+H12</f>
        <v>32774.9173789045</v>
      </c>
      <c r="I13" s="0" t="n">
        <f aca="false">I11+I12</f>
        <v>33266.541139588</v>
      </c>
      <c r="J13" s="0" t="n">
        <f aca="false">J11+J12</f>
        <v>33765.5392566819</v>
      </c>
      <c r="K13" s="0" t="n">
        <f aca="false">K11+K12</f>
        <v>34272.0223455321</v>
      </c>
      <c r="L13" s="0" t="n">
        <f aca="false">L11+L12</f>
        <v>34786.1026807151</v>
      </c>
    </row>
    <row r="14" customFormat="false" ht="15" hidden="false" customHeight="false" outlineLevel="0" collapsed="false">
      <c r="A14" s="0" t="s">
        <v>107</v>
      </c>
      <c r="C14" s="4" t="n">
        <f aca="false">Assumptions!C33</f>
        <v>30.6</v>
      </c>
      <c r="D14" s="4" t="n">
        <f aca="false">Assumptions!D33</f>
        <v>30.6</v>
      </c>
      <c r="E14" s="4" t="n">
        <f aca="false">Assumptions!E33</f>
        <v>30.6</v>
      </c>
      <c r="F14" s="4" t="n">
        <f aca="false">Assumptions!F33</f>
        <v>30.6</v>
      </c>
      <c r="G14" s="4" t="n">
        <f aca="false">Assumptions!G33</f>
        <v>30.6</v>
      </c>
      <c r="H14" s="4" t="n">
        <f aca="false">Assumptions!H33</f>
        <v>30.6</v>
      </c>
      <c r="I14" s="4" t="n">
        <f aca="false">Assumptions!I33</f>
        <v>30.6</v>
      </c>
      <c r="J14" s="4" t="n">
        <f aca="false">Assumptions!J33</f>
        <v>30.6</v>
      </c>
      <c r="K14" s="4" t="n">
        <f aca="false">Assumptions!K33</f>
        <v>30.6</v>
      </c>
      <c r="L14" s="4" t="n">
        <f aca="false">Assumptions!L33</f>
        <v>30.6</v>
      </c>
    </row>
    <row r="15" customFormat="false" ht="15" hidden="false" customHeight="false" outlineLevel="0" collapsed="false">
      <c r="A15" s="0" t="s">
        <v>122</v>
      </c>
      <c r="C15" s="0" t="n">
        <f aca="false">C13-MAX(0,C13)*C14/100</f>
        <v>22745.1884089325</v>
      </c>
      <c r="D15" s="0" t="n">
        <f aca="false">D13-MAX(0,D13)*D14/100</f>
        <v>19240.0351635981</v>
      </c>
      <c r="E15" s="0" t="n">
        <f aca="false">E13-MAX(0,E13)*E14/100</f>
        <v>20004.9438786387</v>
      </c>
      <c r="F15" s="0" t="n">
        <f aca="false">F13-MAX(0,F13)*F14/100</f>
        <v>20890.8771075498</v>
      </c>
      <c r="G15" s="0" t="n">
        <f aca="false">G13-MAX(0,G13)*G14/100</f>
        <v>22299.7967264311</v>
      </c>
      <c r="H15" s="0" t="n">
        <f aca="false">H13-MAX(0,H13)*H14/100</f>
        <v>22745.7926609597</v>
      </c>
      <c r="I15" s="0" t="n">
        <f aca="false">I13-MAX(0,I13)*I14/100</f>
        <v>23086.9795508741</v>
      </c>
      <c r="J15" s="0" t="n">
        <f aca="false">J13-MAX(0,J13)*J14/100</f>
        <v>23433.2842441372</v>
      </c>
      <c r="K15" s="0" t="n">
        <f aca="false">K13-MAX(0,K13)*K14/100</f>
        <v>23784.7835077993</v>
      </c>
      <c r="L15" s="0" t="n">
        <f aca="false">L13-MAX(0,L13)*L14/100</f>
        <v>24141.5552604162</v>
      </c>
    </row>
    <row r="16" customFormat="false" ht="15" hidden="false" customHeight="false" outlineLevel="0" collapsed="false">
      <c r="A16" s="0" t="s">
        <v>123</v>
      </c>
      <c r="C16" s="0" t="n">
        <f aca="false">-C12</f>
        <v>21734.36781075</v>
      </c>
      <c r="D16" s="0" t="n">
        <f aca="false">-D12</f>
        <v>22313.95095237</v>
      </c>
      <c r="E16" s="0" t="n">
        <f aca="false">-E12</f>
        <v>23334.9832535239</v>
      </c>
      <c r="F16" s="0" t="n">
        <f aca="false">-F12</f>
        <v>24501.7324162001</v>
      </c>
      <c r="G16" s="0" t="n">
        <f aca="false">-G12</f>
        <v>24991.7670645241</v>
      </c>
      <c r="H16" s="0" t="n">
        <f aca="false">-H12</f>
        <v>25491.6024058146</v>
      </c>
      <c r="I16" s="0" t="n">
        <f aca="false">-I12</f>
        <v>25873.9764419018</v>
      </c>
      <c r="J16" s="0" t="n">
        <f aca="false">-J12</f>
        <v>26262.0860885303</v>
      </c>
      <c r="K16" s="0" t="n">
        <f aca="false">-K12</f>
        <v>26656.0173798583</v>
      </c>
      <c r="L16" s="0" t="n">
        <f aca="false">-L12</f>
        <v>27055.8576405561</v>
      </c>
    </row>
    <row r="17" customFormat="false" ht="15" hidden="false" customHeight="false" outlineLevel="0" collapsed="false">
      <c r="A17" s="0" t="s">
        <v>124</v>
      </c>
      <c r="C17" s="4" t="n">
        <f aca="false">-C6*Assumptions!C32/100</f>
        <v>-23459.317637</v>
      </c>
      <c r="D17" s="4" t="n">
        <f aca="false">-D6*Assumptions!D32/100</f>
        <v>-24342.49194804</v>
      </c>
      <c r="E17" s="4" t="n">
        <f aca="false">-E6*Assumptions!E32/100</f>
        <v>-24707.6293272606</v>
      </c>
      <c r="F17" s="4" t="n">
        <f aca="false">-F6*Assumptions!F32/100</f>
        <v>-25201.7819138058</v>
      </c>
      <c r="G17" s="4" t="n">
        <f aca="false">-G6*Assumptions!G32/100</f>
        <v>-25705.8175520819</v>
      </c>
      <c r="H17" s="4" t="n">
        <f aca="false">-H6*Assumptions!H32/100</f>
        <v>-26219.9339031236</v>
      </c>
      <c r="I17" s="4" t="n">
        <f aca="false">-I6*Assumptions!I32/100</f>
        <v>-26613.2329116704</v>
      </c>
      <c r="J17" s="4" t="n">
        <f aca="false">-J6*Assumptions!J32/100</f>
        <v>-27012.4314053455</v>
      </c>
      <c r="K17" s="4" t="n">
        <f aca="false">-K6*Assumptions!K32/100</f>
        <v>-27417.6178764257</v>
      </c>
      <c r="L17" s="4" t="n">
        <f aca="false">-L6*Assumptions!L32/100</f>
        <v>-27828.882144572</v>
      </c>
    </row>
    <row r="18" customFormat="false" ht="15" hidden="false" customHeight="false" outlineLevel="0" collapsed="false">
      <c r="A18" s="0" t="s">
        <v>125</v>
      </c>
      <c r="C18" s="4" t="n">
        <f aca="false">(C6-B6)*Assumptions!$B$37/100</f>
        <v>-20901.3861</v>
      </c>
      <c r="D18" s="4" t="n">
        <f aca="false">(D6-C6)*Assumptions!$B$37/100</f>
        <v>2759.919722</v>
      </c>
      <c r="E18" s="4" t="n">
        <f aca="false">(E6-D6)*Assumptions!$B$37/100</f>
        <v>-2028.54099566999</v>
      </c>
      <c r="F18" s="4" t="n">
        <f aca="false">(F6-E6)*Assumptions!$B$37/100</f>
        <v>-2745.29214747341</v>
      </c>
      <c r="G18" s="4" t="n">
        <f aca="false">(G6-F6)*Assumptions!$B$37/100</f>
        <v>-2800.19799042288</v>
      </c>
      <c r="H18" s="4" t="n">
        <f aca="false">(H6-G6)*Assumptions!$B$37/100</f>
        <v>-2856.20195023133</v>
      </c>
      <c r="I18" s="4" t="n">
        <f aca="false">(I6-H6)*Assumptions!$B$37/100</f>
        <v>-2184.99449192695</v>
      </c>
      <c r="J18" s="4" t="n">
        <f aca="false">(J6-I6)*Assumptions!$B$37/100</f>
        <v>-2217.76940930586</v>
      </c>
      <c r="K18" s="4" t="n">
        <f aca="false">(K6-J6)*Assumptions!$B$37/100</f>
        <v>-2251.03595044543</v>
      </c>
      <c r="L18" s="4" t="n">
        <f aca="false">(L6-K6)*Assumptions!$B$37/100</f>
        <v>-2284.80148970212</v>
      </c>
    </row>
    <row r="19" customFormat="false" ht="15" hidden="false" customHeight="false" outlineLevel="0" collapsed="false">
      <c r="A19" s="0" t="s">
        <v>126</v>
      </c>
      <c r="C19" s="0" t="n">
        <f aca="false">C15+C16+C17+C18</f>
        <v>118.852482682501</v>
      </c>
      <c r="D19" s="0" t="n">
        <f aca="false">D15+D16+D17+D18</f>
        <v>19971.4138899281</v>
      </c>
      <c r="E19" s="0" t="n">
        <f aca="false">E15+E16+E17+E18</f>
        <v>16603.756809232</v>
      </c>
      <c r="F19" s="0" t="n">
        <f aca="false">F15+F16+F17+F18</f>
        <v>17445.5354624707</v>
      </c>
      <c r="G19" s="0" t="n">
        <f aca="false">G15+G16+G17+G18</f>
        <v>18785.5482484504</v>
      </c>
      <c r="H19" s="0" t="n">
        <f aca="false">H15+H16+H17+H18</f>
        <v>19161.2592134194</v>
      </c>
      <c r="I19" s="0" t="n">
        <f aca="false">I15+I16+I17+I18</f>
        <v>20162.7285891785</v>
      </c>
      <c r="J19" s="0" t="n">
        <f aca="false">J15+J16+J17+J18</f>
        <v>20465.1695180162</v>
      </c>
      <c r="K19" s="0" t="n">
        <f aca="false">K15+K16+K17+K18</f>
        <v>20772.1470607864</v>
      </c>
      <c r="L19" s="0" t="n">
        <f aca="false">L15+L16+L17+L18</f>
        <v>21083.7292666982</v>
      </c>
    </row>
    <row r="20" customFormat="false" ht="15" hidden="false" customHeight="false" outlineLevel="0" collapsed="false">
      <c r="A20" s="0" t="s">
        <v>127</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128</v>
      </c>
      <c r="C21" s="0" t="n">
        <f aca="false">C19*C20</f>
        <v>109.54145869355</v>
      </c>
      <c r="D21" s="0" t="n">
        <f aca="false">D19*D20</f>
        <v>16964.8231136172</v>
      </c>
      <c r="E21" s="0" t="n">
        <f aca="false">E19*E20</f>
        <v>12999.2156703221</v>
      </c>
      <c r="F21" s="0" t="n">
        <f aca="false">F19*F20</f>
        <v>12588.2497650035</v>
      </c>
      <c r="G21" s="0" t="n">
        <f aca="false">G19*G20</f>
        <v>12493.242886596</v>
      </c>
      <c r="H21" s="0" t="n">
        <f aca="false">H19*H20</f>
        <v>11744.7997643575</v>
      </c>
      <c r="I21" s="0" t="n">
        <f aca="false">I19*I20</f>
        <v>11390.4566835058</v>
      </c>
      <c r="J21" s="0" t="n">
        <f aca="false">J19*J20</f>
        <v>10655.5885103764</v>
      </c>
      <c r="K21" s="0" t="n">
        <f aca="false">K19*K20</f>
        <v>9968.13118712628</v>
      </c>
      <c r="L21" s="0" t="n">
        <f aca="false">L19*L20</f>
        <v>9325.02594924716</v>
      </c>
    </row>
    <row r="23" customFormat="false" ht="15" hidden="false" customHeight="false" outlineLevel="0" collapsed="false">
      <c r="A23" s="0" t="s">
        <v>104</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130</v>
      </c>
    </row>
    <row r="27" customFormat="false" ht="15" hidden="false" customHeight="false" outlineLevel="0" collapsed="false">
      <c r="A27" s="0" t="s">
        <v>108</v>
      </c>
      <c r="B27" s="4" t="n">
        <f aca="false">Assumptions!$B$34</f>
        <v>8.5</v>
      </c>
    </row>
    <row r="28" customFormat="false" ht="15" hidden="false" customHeight="false" outlineLevel="0" collapsed="false">
      <c r="A28" s="0" t="s">
        <v>109</v>
      </c>
      <c r="B28" s="4" t="n">
        <f aca="false">Assumptions!$B$35</f>
        <v>1</v>
      </c>
    </row>
    <row r="29" customFormat="false" ht="15" hidden="false" customHeight="false" outlineLevel="0" collapsed="false">
      <c r="A29" s="0" t="s">
        <v>110</v>
      </c>
      <c r="B29" s="4" t="n">
        <f aca="false">Assumptions!$B$36</f>
        <v>12</v>
      </c>
    </row>
    <row r="30" customFormat="false" ht="15" hidden="false" customHeight="false" outlineLevel="0" collapsed="false">
      <c r="A30" s="0" t="s">
        <v>131</v>
      </c>
      <c r="B30" s="0" t="n">
        <f aca="false">SUM(C21:L21)</f>
        <v>108239.074988845</v>
      </c>
    </row>
    <row r="31" customFormat="false" ht="15" hidden="false" customHeight="false" outlineLevel="0" collapsed="false">
      <c r="A31" s="0" t="s">
        <v>132</v>
      </c>
      <c r="B31" s="0" t="n">
        <f aca="false">L19</f>
        <v>21083.7292666982</v>
      </c>
    </row>
    <row r="32" customFormat="false" ht="15" hidden="false" customHeight="false" outlineLevel="0" collapsed="false">
      <c r="A32" s="0" t="s">
        <v>133</v>
      </c>
      <c r="B32" s="0" t="n">
        <f aca="false">IF(B27&gt;B28,B31*(1+B28/100)/((B27-B28)/100),B31*B29)</f>
        <v>283927.554124869</v>
      </c>
    </row>
    <row r="33" customFormat="false" ht="15" hidden="false" customHeight="false" outlineLevel="0" collapsed="false">
      <c r="A33" s="0" t="s">
        <v>134</v>
      </c>
      <c r="B33" s="0" t="n">
        <f aca="false">B31*B29</f>
        <v>253004.751200379</v>
      </c>
    </row>
    <row r="34" customFormat="false" ht="15" hidden="false" customHeight="false" outlineLevel="0" collapsed="false">
      <c r="A34" s="0" t="s">
        <v>135</v>
      </c>
      <c r="B34" s="0" t="n">
        <f aca="false">MAX(0,MIN(B32,B33))</f>
        <v>253004.751200379</v>
      </c>
    </row>
    <row r="35" customFormat="false" ht="15" hidden="false" customHeight="false" outlineLevel="0" collapsed="false">
      <c r="A35" s="0" t="s">
        <v>136</v>
      </c>
      <c r="B35" s="0" t="n">
        <f aca="false">B34/(1+B27/100)^L4</f>
        <v>111900.311390966</v>
      </c>
    </row>
    <row r="36" customFormat="false" ht="15" hidden="false" customHeight="false" outlineLevel="0" collapsed="false">
      <c r="A36" s="0" t="s">
        <v>137</v>
      </c>
      <c r="B36" s="0" t="n">
        <f aca="false">B30+B35</f>
        <v>220139.386379811</v>
      </c>
    </row>
    <row r="37" customFormat="false" ht="15" hidden="false" customHeight="false" outlineLevel="0" collapsed="false">
      <c r="A37" s="0" t="s">
        <v>138</v>
      </c>
      <c r="B37" s="0" t="n">
        <f aca="false">B36+Assumptions!$B$5-Assumptions!$B$4</f>
        <v>95636.3863798115</v>
      </c>
    </row>
    <row r="38" customFormat="false" ht="15" hidden="false" customHeight="false" outlineLevel="0" collapsed="false">
      <c r="A38" s="0" t="s">
        <v>139</v>
      </c>
      <c r="B38" s="0" t="n">
        <f aca="false">B37/Assumptions!$B$3*Assumptions!$B$10</f>
        <v>1544.26588696611</v>
      </c>
    </row>
    <row r="39" customFormat="false" ht="15" hidden="false" customHeight="false" outlineLevel="0" collapsed="false">
      <c r="A39" s="0" t="s">
        <v>140</v>
      </c>
      <c r="B39" s="4" t="n">
        <f aca="false">B38/Assumptions!$B$2-1</f>
        <v>-0.40650811415599</v>
      </c>
    </row>
    <row r="41" customFormat="false" ht="15" hidden="false" customHeight="false" outlineLevel="0" collapsed="false">
      <c r="A41" s="0" t="s">
        <v>141</v>
      </c>
      <c r="B41" s="0" t="n">
        <f aca="false">SUMPRODUCT(-C10:L10/(1+$B$27/100)^C4:L4)</f>
        <v>0</v>
      </c>
    </row>
    <row r="42" customFormat="false" ht="15" hidden="false" customHeight="false" outlineLevel="0" collapsed="false">
      <c r="A42" s="0" t="s">
        <v>142</v>
      </c>
      <c r="B42" s="0" t="n">
        <f aca="false">IF(B27&gt;B28,-L10*(1+B28/100)/((B27-B28)/100),-L10*20)/(1+B27/100)^L4</f>
        <v>0</v>
      </c>
    </row>
    <row r="43" customFormat="false" ht="15" hidden="false" customHeight="false" outlineLevel="0" collapsed="false">
      <c r="A43" s="0" t="s">
        <v>143</v>
      </c>
      <c r="B43" s="0" t="n">
        <f aca="false">(B37+B41+B42)/Assumptions!$B$3*Assumptions!$B$10</f>
        <v>1544.26588696611</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152104.046852609</v>
      </c>
    </row>
    <row r="47" customFormat="false" ht="15" hidden="false" customHeight="false" outlineLevel="0" collapsed="false">
      <c r="A47" s="0" t="s">
        <v>145</v>
      </c>
      <c r="B47" s="0" t="n">
        <f aca="false">(SUMPRODUCT(C19:L19/(1+B45/100)^C4:L4)+B46/(1+B45/100)^L4+Assumptions!$B$5-Assumptions!$B$4)/Assumptions!$B$3*Assumptions!$B$10</f>
        <v>-125.929358338542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Assumptions!C41</f>
        <v>17.85</v>
      </c>
      <c r="D5" s="4" t="n">
        <f aca="false">Assumptions!D41</f>
        <v>2</v>
      </c>
      <c r="E5" s="4" t="n">
        <f aca="false">Assumptions!E41</f>
        <v>3</v>
      </c>
      <c r="F5" s="4" t="n">
        <f aca="false">Assumptions!F41</f>
        <v>3</v>
      </c>
      <c r="G5" s="4" t="n">
        <f aca="false">Assumptions!G41</f>
        <v>3</v>
      </c>
      <c r="H5" s="4" t="n">
        <f aca="false">Assumptions!H41</f>
        <v>2.5</v>
      </c>
      <c r="I5" s="4" t="n">
        <f aca="false">Assumptions!I41</f>
        <v>2.5</v>
      </c>
      <c r="J5" s="4" t="n">
        <f aca="false">Assumptions!J41</f>
        <v>2</v>
      </c>
      <c r="K5" s="4" t="n">
        <f aca="false">Assumptions!K41</f>
        <v>2</v>
      </c>
      <c r="L5" s="4" t="n">
        <f aca="false">Assumptions!L41</f>
        <v>2</v>
      </c>
    </row>
    <row r="6" customFormat="false" ht="15" hidden="false" customHeight="false" outlineLevel="0" collapsed="false">
      <c r="A6" s="0" t="s">
        <v>37</v>
      </c>
      <c r="B6" s="3" t="n">
        <v>585473</v>
      </c>
      <c r="C6" s="0" t="n">
        <f aca="false">B6*(1+C5/100)</f>
        <v>689979.9305</v>
      </c>
      <c r="D6" s="0" t="n">
        <f aca="false">C6*(1+D5/100)</f>
        <v>703779.52911</v>
      </c>
      <c r="E6" s="0" t="n">
        <f aca="false">D6*(1+E5/100)</f>
        <v>724892.9149833</v>
      </c>
      <c r="F6" s="0" t="n">
        <f aca="false">E6*(1+F5/100)</f>
        <v>746639.702432799</v>
      </c>
      <c r="G6" s="0" t="n">
        <f aca="false">F6*(1+G5/100)</f>
        <v>769038.893505783</v>
      </c>
      <c r="H6" s="0" t="n">
        <f aca="false">G6*(1+H5/100)</f>
        <v>788264.865843428</v>
      </c>
      <c r="I6" s="0" t="n">
        <f aca="false">H6*(1+I5/100)</f>
        <v>807971.487489513</v>
      </c>
      <c r="J6" s="0" t="n">
        <f aca="false">I6*(1+J5/100)</f>
        <v>824130.917239304</v>
      </c>
      <c r="K6" s="0" t="n">
        <f aca="false">J6*(1+K5/100)</f>
        <v>840613.53558409</v>
      </c>
      <c r="L6" s="0" t="n">
        <f aca="false">K6*(1+L5/100)</f>
        <v>857425.806295771</v>
      </c>
    </row>
    <row r="7" customFormat="false" ht="15" hidden="false" customHeight="false" outlineLevel="0" collapsed="false">
      <c r="A7" s="0" t="s">
        <v>102</v>
      </c>
      <c r="C7" s="4" t="n">
        <f aca="false">Assumptions!C42</f>
        <v>8</v>
      </c>
      <c r="D7" s="4" t="n">
        <f aca="false">Assumptions!D42</f>
        <v>8.2</v>
      </c>
      <c r="E7" s="4" t="n">
        <f aca="false">Assumptions!E42</f>
        <v>8.6</v>
      </c>
      <c r="F7" s="4" t="n">
        <f aca="false">Assumptions!F42</f>
        <v>9</v>
      </c>
      <c r="G7" s="4" t="n">
        <f aca="false">Assumptions!G42</f>
        <v>9.3</v>
      </c>
      <c r="H7" s="4" t="n">
        <f aca="false">Assumptions!H42</f>
        <v>9.5</v>
      </c>
      <c r="I7" s="4" t="n">
        <f aca="false">Assumptions!I42</f>
        <v>9.5</v>
      </c>
      <c r="J7" s="4" t="n">
        <f aca="false">Assumptions!J42</f>
        <v>9.5</v>
      </c>
      <c r="K7" s="4" t="n">
        <f aca="false">Assumptions!K42</f>
        <v>9.5</v>
      </c>
      <c r="L7" s="4" t="n">
        <f aca="false">Assumptions!L42</f>
        <v>9.5</v>
      </c>
    </row>
    <row r="8" customFormat="false" ht="15" hidden="false" customHeight="false" outlineLevel="0" collapsed="false">
      <c r="A8" s="0" t="s">
        <v>43</v>
      </c>
      <c r="C8" s="0" t="n">
        <f aca="false">C6*C7/100</f>
        <v>55198.39444</v>
      </c>
      <c r="D8" s="0" t="n">
        <f aca="false">D6*D7/100</f>
        <v>57709.92138702</v>
      </c>
      <c r="E8" s="0" t="n">
        <f aca="false">E6*E7/100</f>
        <v>62340.7906885638</v>
      </c>
      <c r="F8" s="0" t="n">
        <f aca="false">F6*F7/100</f>
        <v>67197.5732189519</v>
      </c>
      <c r="G8" s="0" t="n">
        <f aca="false">G6*G7/100</f>
        <v>71520.6170960378</v>
      </c>
      <c r="H8" s="0" t="n">
        <f aca="false">H6*H7/100</f>
        <v>74885.1622551256</v>
      </c>
      <c r="I8" s="0" t="n">
        <f aca="false">I6*I7/100</f>
        <v>76757.2913115038</v>
      </c>
      <c r="J8" s="0" t="n">
        <f aca="false">J6*J7/100</f>
        <v>78292.4371377338</v>
      </c>
      <c r="K8" s="0" t="n">
        <f aca="false">K6*K7/100</f>
        <v>79858.2858804885</v>
      </c>
      <c r="L8" s="0" t="n">
        <f aca="false">L6*L7/100</f>
        <v>81455.4515980983</v>
      </c>
    </row>
    <row r="9" customFormat="false" ht="15" hidden="false" customHeight="false" outlineLevel="0" collapsed="false">
      <c r="A9" s="0" t="s">
        <v>103</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119</v>
      </c>
      <c r="C11" s="0" t="n">
        <f aca="false">C8+C10+C24</f>
        <v>55198.39444</v>
      </c>
      <c r="D11" s="0" t="n">
        <f aca="false">D8+D10+D24</f>
        <v>57709.92138702</v>
      </c>
      <c r="E11" s="0" t="n">
        <f aca="false">E8+E10+E24</f>
        <v>62340.7906885638</v>
      </c>
      <c r="F11" s="0" t="n">
        <f aca="false">F8+F10+F24</f>
        <v>67197.5732189519</v>
      </c>
      <c r="G11" s="0" t="n">
        <f aca="false">G8+G10+G24</f>
        <v>71520.6170960378</v>
      </c>
      <c r="H11" s="0" t="n">
        <f aca="false">H8+H10+H24</f>
        <v>74885.1622551256</v>
      </c>
      <c r="I11" s="0" t="n">
        <f aca="false">I8+I10+I24</f>
        <v>76757.2913115038</v>
      </c>
      <c r="J11" s="0" t="n">
        <f aca="false">J8+J10+J24</f>
        <v>78292.4371377338</v>
      </c>
      <c r="K11" s="0" t="n">
        <f aca="false">K8+K10+K24</f>
        <v>79858.2858804885</v>
      </c>
      <c r="L11" s="0" t="n">
        <f aca="false">L8+L10+L24</f>
        <v>81455.4515980983</v>
      </c>
    </row>
    <row r="12" customFormat="false" ht="15" hidden="false" customHeight="false" outlineLevel="0" collapsed="false">
      <c r="A12" s="0" t="s">
        <v>120</v>
      </c>
      <c r="C12" s="4" t="n">
        <f aca="false">-C6*Assumptions!C45/100</f>
        <v>-21734.36781075</v>
      </c>
      <c r="D12" s="4" t="n">
        <f aca="false">-D6*Assumptions!D45/100</f>
        <v>-23224.72446063</v>
      </c>
      <c r="E12" s="4" t="n">
        <f aca="false">-E6*Assumptions!E45/100</f>
        <v>-24646.3591094322</v>
      </c>
      <c r="F12" s="4" t="n">
        <f aca="false">-F6*Assumptions!F45/100</f>
        <v>-26132.389585148</v>
      </c>
      <c r="G12" s="4" t="n">
        <f aca="false">-G6*Assumptions!G45/100</f>
        <v>-26916.3612727024</v>
      </c>
      <c r="H12" s="4" t="n">
        <f aca="false">-H6*Assumptions!H45/100</f>
        <v>-27589.27030452</v>
      </c>
      <c r="I12" s="4" t="n">
        <f aca="false">-I6*Assumptions!I45/100</f>
        <v>-28279.002062133</v>
      </c>
      <c r="J12" s="4" t="n">
        <f aca="false">-J6*Assumptions!J45/100</f>
        <v>-28844.5821033756</v>
      </c>
      <c r="K12" s="4" t="n">
        <f aca="false">-K6*Assumptions!K45/100</f>
        <v>-29421.4737454431</v>
      </c>
      <c r="L12" s="4" t="n">
        <f aca="false">-L6*Assumptions!L45/100</f>
        <v>-30009.903220352</v>
      </c>
    </row>
    <row r="13" customFormat="false" ht="15" hidden="false" customHeight="false" outlineLevel="0" collapsed="false">
      <c r="A13" s="0" t="s">
        <v>121</v>
      </c>
      <c r="C13" s="0" t="n">
        <f aca="false">C11+C12</f>
        <v>33464.02662925</v>
      </c>
      <c r="D13" s="0" t="n">
        <f aca="false">D11+D12</f>
        <v>34485.19692639</v>
      </c>
      <c r="E13" s="0" t="n">
        <f aca="false">E11+E12</f>
        <v>37694.4315791316</v>
      </c>
      <c r="F13" s="0" t="n">
        <f aca="false">F11+F12</f>
        <v>41065.183633804</v>
      </c>
      <c r="G13" s="0" t="n">
        <f aca="false">G11+G12</f>
        <v>44604.2558233354</v>
      </c>
      <c r="H13" s="0" t="n">
        <f aca="false">H11+H12</f>
        <v>47295.8919506057</v>
      </c>
      <c r="I13" s="0" t="n">
        <f aca="false">I11+I12</f>
        <v>48478.2892493708</v>
      </c>
      <c r="J13" s="0" t="n">
        <f aca="false">J11+J12</f>
        <v>49447.8550343582</v>
      </c>
      <c r="K13" s="0" t="n">
        <f aca="false">K11+K12</f>
        <v>50436.8121350454</v>
      </c>
      <c r="L13" s="0" t="n">
        <f aca="false">L11+L12</f>
        <v>51445.5483777463</v>
      </c>
    </row>
    <row r="14" customFormat="false" ht="15" hidden="false" customHeight="false" outlineLevel="0" collapsed="false">
      <c r="A14" s="0" t="s">
        <v>107</v>
      </c>
      <c r="C14" s="4" t="n">
        <f aca="false">Assumptions!C47</f>
        <v>30.6</v>
      </c>
      <c r="D14" s="4" t="n">
        <f aca="false">Assumptions!D47</f>
        <v>30.6</v>
      </c>
      <c r="E14" s="4" t="n">
        <f aca="false">Assumptions!E47</f>
        <v>30.6</v>
      </c>
      <c r="F14" s="4" t="n">
        <f aca="false">Assumptions!F47</f>
        <v>30.6</v>
      </c>
      <c r="G14" s="4" t="n">
        <f aca="false">Assumptions!G47</f>
        <v>30.6</v>
      </c>
      <c r="H14" s="4" t="n">
        <f aca="false">Assumptions!H47</f>
        <v>30.6</v>
      </c>
      <c r="I14" s="4" t="n">
        <f aca="false">Assumptions!I47</f>
        <v>30.6</v>
      </c>
      <c r="J14" s="4" t="n">
        <f aca="false">Assumptions!J47</f>
        <v>30.6</v>
      </c>
      <c r="K14" s="4" t="n">
        <f aca="false">Assumptions!K47</f>
        <v>30.6</v>
      </c>
      <c r="L14" s="4" t="n">
        <f aca="false">Assumptions!L47</f>
        <v>30.6</v>
      </c>
    </row>
    <row r="15" customFormat="false" ht="15" hidden="false" customHeight="false" outlineLevel="0" collapsed="false">
      <c r="A15" s="0" t="s">
        <v>122</v>
      </c>
      <c r="C15" s="0" t="n">
        <f aca="false">C13-MAX(0,C13)*C14/100</f>
        <v>23224.0344806995</v>
      </c>
      <c r="D15" s="0" t="n">
        <f aca="false">D13-MAX(0,D13)*D14/100</f>
        <v>23932.7266669147</v>
      </c>
      <c r="E15" s="0" t="n">
        <f aca="false">E13-MAX(0,E13)*E14/100</f>
        <v>26159.9355159173</v>
      </c>
      <c r="F15" s="0" t="n">
        <f aca="false">F13-MAX(0,F13)*F14/100</f>
        <v>28499.2374418599</v>
      </c>
      <c r="G15" s="0" t="n">
        <f aca="false">G13-MAX(0,G13)*G14/100</f>
        <v>30955.3535413948</v>
      </c>
      <c r="H15" s="0" t="n">
        <f aca="false">H13-MAX(0,H13)*H14/100</f>
        <v>32823.3490137203</v>
      </c>
      <c r="I15" s="0" t="n">
        <f aca="false">I13-MAX(0,I13)*I14/100</f>
        <v>33643.9327390633</v>
      </c>
      <c r="J15" s="0" t="n">
        <f aca="false">J13-MAX(0,J13)*J14/100</f>
        <v>34316.8113938446</v>
      </c>
      <c r="K15" s="0" t="n">
        <f aca="false">K13-MAX(0,K13)*K14/100</f>
        <v>35003.1476217215</v>
      </c>
      <c r="L15" s="0" t="n">
        <f aca="false">L13-MAX(0,L13)*L14/100</f>
        <v>35703.2105741559</v>
      </c>
    </row>
    <row r="16" customFormat="false" ht="15" hidden="false" customHeight="false" outlineLevel="0" collapsed="false">
      <c r="A16" s="0" t="s">
        <v>123</v>
      </c>
      <c r="C16" s="0" t="n">
        <f aca="false">-C12</f>
        <v>21734.36781075</v>
      </c>
      <c r="D16" s="0" t="n">
        <f aca="false">-D12</f>
        <v>23224.72446063</v>
      </c>
      <c r="E16" s="0" t="n">
        <f aca="false">-E12</f>
        <v>24646.3591094322</v>
      </c>
      <c r="F16" s="0" t="n">
        <f aca="false">-F12</f>
        <v>26132.389585148</v>
      </c>
      <c r="G16" s="0" t="n">
        <f aca="false">-G12</f>
        <v>26916.3612727024</v>
      </c>
      <c r="H16" s="0" t="n">
        <f aca="false">-H12</f>
        <v>27589.27030452</v>
      </c>
      <c r="I16" s="0" t="n">
        <f aca="false">-I12</f>
        <v>28279.002062133</v>
      </c>
      <c r="J16" s="0" t="n">
        <f aca="false">-J12</f>
        <v>28844.5821033756</v>
      </c>
      <c r="K16" s="0" t="n">
        <f aca="false">-K12</f>
        <v>29421.4737454431</v>
      </c>
      <c r="L16" s="0" t="n">
        <f aca="false">-L12</f>
        <v>30009.903220352</v>
      </c>
    </row>
    <row r="17" customFormat="false" ht="15" hidden="false" customHeight="false" outlineLevel="0" collapsed="false">
      <c r="A17" s="0" t="s">
        <v>124</v>
      </c>
      <c r="C17" s="4" t="n">
        <f aca="false">-C6*Assumptions!C46/100</f>
        <v>-23459.317637</v>
      </c>
      <c r="D17" s="4" t="n">
        <f aca="false">-D6*Assumptions!D46/100</f>
        <v>-24632.28351885</v>
      </c>
      <c r="E17" s="4" t="n">
        <f aca="false">-E6*Assumptions!E46/100</f>
        <v>-25371.2520244155</v>
      </c>
      <c r="F17" s="4" t="n">
        <f aca="false">-F6*Assumptions!F46/100</f>
        <v>-26132.389585148</v>
      </c>
      <c r="G17" s="4" t="n">
        <f aca="false">-G6*Assumptions!G46/100</f>
        <v>-26916.3612727024</v>
      </c>
      <c r="H17" s="4" t="n">
        <f aca="false">-H6*Assumptions!H46/100</f>
        <v>-27589.27030452</v>
      </c>
      <c r="I17" s="4" t="n">
        <f aca="false">-I6*Assumptions!I46/100</f>
        <v>-28279.002062133</v>
      </c>
      <c r="J17" s="4" t="n">
        <f aca="false">-J6*Assumptions!J46/100</f>
        <v>-28844.5821033756</v>
      </c>
      <c r="K17" s="4" t="n">
        <f aca="false">-K6*Assumptions!K46/100</f>
        <v>-29421.4737454431</v>
      </c>
      <c r="L17" s="4" t="n">
        <f aca="false">-L6*Assumptions!L46/100</f>
        <v>-30009.903220352</v>
      </c>
    </row>
    <row r="18" customFormat="false" ht="15" hidden="false" customHeight="false" outlineLevel="0" collapsed="false">
      <c r="A18" s="0" t="s">
        <v>125</v>
      </c>
      <c r="C18" s="4" t="n">
        <f aca="false">(C6-B6)*Assumptions!$B$51/100</f>
        <v>-15676.039575</v>
      </c>
      <c r="D18" s="4" t="n">
        <f aca="false">(D6-C6)*Assumptions!$B$51/100</f>
        <v>-2069.9397915</v>
      </c>
      <c r="E18" s="4" t="n">
        <f aca="false">(E6-D6)*Assumptions!$B$51/100</f>
        <v>-3167.007880995</v>
      </c>
      <c r="F18" s="4" t="n">
        <f aca="false">(F6-E6)*Assumptions!$B$51/100</f>
        <v>-3262.01811742485</v>
      </c>
      <c r="G18" s="4" t="n">
        <f aca="false">(G6-F6)*Assumptions!$B$51/100</f>
        <v>-3359.8786609476</v>
      </c>
      <c r="H18" s="4" t="n">
        <f aca="false">(H6-G6)*Assumptions!$B$51/100</f>
        <v>-2883.89585064668</v>
      </c>
      <c r="I18" s="4" t="n">
        <f aca="false">(I6-H6)*Assumptions!$B$51/100</f>
        <v>-2955.99324691285</v>
      </c>
      <c r="J18" s="4" t="n">
        <f aca="false">(J6-I6)*Assumptions!$B$51/100</f>
        <v>-2423.91446246853</v>
      </c>
      <c r="K18" s="4" t="n">
        <f aca="false">(K6-J6)*Assumptions!$B$51/100</f>
        <v>-2472.39275171792</v>
      </c>
      <c r="L18" s="4" t="n">
        <f aca="false">(L6-K6)*Assumptions!$B$51/100</f>
        <v>-2521.84060675227</v>
      </c>
    </row>
    <row r="19" customFormat="false" ht="15" hidden="false" customHeight="false" outlineLevel="0" collapsed="false">
      <c r="A19" s="0" t="s">
        <v>126</v>
      </c>
      <c r="C19" s="0" t="n">
        <f aca="false">C15+C16+C17+C18</f>
        <v>5823.0450794495</v>
      </c>
      <c r="D19" s="0" t="n">
        <f aca="false">D15+D16+D17+D18</f>
        <v>20455.2278171947</v>
      </c>
      <c r="E19" s="0" t="n">
        <f aca="false">E15+E16+E17+E18</f>
        <v>22268.034719939</v>
      </c>
      <c r="F19" s="0" t="n">
        <f aca="false">F15+F16+F17+F18</f>
        <v>25237.2193244351</v>
      </c>
      <c r="G19" s="0" t="n">
        <f aca="false">G15+G16+G17+G18</f>
        <v>27595.4748804472</v>
      </c>
      <c r="H19" s="0" t="n">
        <f aca="false">H15+H16+H17+H18</f>
        <v>29939.4531630737</v>
      </c>
      <c r="I19" s="0" t="n">
        <f aca="false">I15+I16+I17+I18</f>
        <v>30687.9394921505</v>
      </c>
      <c r="J19" s="0" t="n">
        <f aca="false">J15+J16+J17+J18</f>
        <v>31892.8969313761</v>
      </c>
      <c r="K19" s="0" t="n">
        <f aca="false">K15+K16+K17+K18</f>
        <v>32530.7548700036</v>
      </c>
      <c r="L19" s="0" t="n">
        <f aca="false">L15+L16+L17+L18</f>
        <v>33181.3699674037</v>
      </c>
    </row>
    <row r="20" customFormat="false" ht="15" hidden="false" customHeight="false" outlineLevel="0" collapsed="false">
      <c r="A20" s="0" t="s">
        <v>127</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128</v>
      </c>
      <c r="C21" s="0" t="n">
        <f aca="false">C19*C20</f>
        <v>5366.86182437742</v>
      </c>
      <c r="D21" s="0" t="n">
        <f aca="false">D19*D20</f>
        <v>17375.80141196</v>
      </c>
      <c r="E21" s="0" t="n">
        <f aca="false">E19*E20</f>
        <v>17433.8247183769</v>
      </c>
      <c r="F21" s="0" t="n">
        <f aca="false">F19*F20</f>
        <v>18210.5284709426</v>
      </c>
      <c r="G21" s="0" t="n">
        <f aca="false">G19*G20</f>
        <v>18352.2442727124</v>
      </c>
      <c r="H21" s="0" t="n">
        <f aca="false">H19*H20</f>
        <v>18351.240831208</v>
      </c>
      <c r="I21" s="0" t="n">
        <f aca="false">I19*I20</f>
        <v>17336.4256700352</v>
      </c>
      <c r="J21" s="0" t="n">
        <f aca="false">J19*J20</f>
        <v>16605.6570313487</v>
      </c>
      <c r="K21" s="0" t="n">
        <f aca="false">K19*K20</f>
        <v>15610.8480847702</v>
      </c>
      <c r="L21" s="0" t="n">
        <f aca="false">L19*L20</f>
        <v>14675.6359875259</v>
      </c>
    </row>
    <row r="23" customFormat="false" ht="15" hidden="false" customHeight="false" outlineLevel="0" collapsed="false">
      <c r="A23" s="0" t="s">
        <v>104</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130</v>
      </c>
    </row>
    <row r="27" customFormat="false" ht="15" hidden="false" customHeight="false" outlineLevel="0" collapsed="false">
      <c r="A27" s="0" t="s">
        <v>108</v>
      </c>
      <c r="B27" s="4" t="n">
        <f aca="false">Assumptions!$B$48</f>
        <v>8.5</v>
      </c>
    </row>
    <row r="28" customFormat="false" ht="15" hidden="false" customHeight="false" outlineLevel="0" collapsed="false">
      <c r="A28" s="0" t="s">
        <v>109</v>
      </c>
      <c r="B28" s="4" t="n">
        <f aca="false">Assumptions!$B$49</f>
        <v>1.5</v>
      </c>
    </row>
    <row r="29" customFormat="false" ht="15" hidden="false" customHeight="false" outlineLevel="0" collapsed="false">
      <c r="A29" s="0" t="s">
        <v>110</v>
      </c>
      <c r="B29" s="4" t="n">
        <f aca="false">Assumptions!$B$50</f>
        <v>12</v>
      </c>
    </row>
    <row r="30" customFormat="false" ht="15" hidden="false" customHeight="false" outlineLevel="0" collapsed="false">
      <c r="A30" s="0" t="s">
        <v>131</v>
      </c>
      <c r="B30" s="0" t="n">
        <f aca="false">SUM(C21:L21)</f>
        <v>159319.068303257</v>
      </c>
    </row>
    <row r="31" customFormat="false" ht="15" hidden="false" customHeight="false" outlineLevel="0" collapsed="false">
      <c r="A31" s="0" t="s">
        <v>132</v>
      </c>
      <c r="B31" s="0" t="n">
        <f aca="false">L19</f>
        <v>33181.3699674037</v>
      </c>
    </row>
    <row r="32" customFormat="false" ht="15" hidden="false" customHeight="false" outlineLevel="0" collapsed="false">
      <c r="A32" s="0" t="s">
        <v>133</v>
      </c>
      <c r="B32" s="0" t="n">
        <f aca="false">IF(B27&gt;B28,B31*(1+B28/100)/((B27-B28)/100),B31*B29)</f>
        <v>481129.864527353</v>
      </c>
    </row>
    <row r="33" customFormat="false" ht="15" hidden="false" customHeight="false" outlineLevel="0" collapsed="false">
      <c r="A33" s="0" t="s">
        <v>134</v>
      </c>
      <c r="B33" s="0" t="n">
        <f aca="false">B31*B29</f>
        <v>398176.439608844</v>
      </c>
    </row>
    <row r="34" customFormat="false" ht="15" hidden="false" customHeight="false" outlineLevel="0" collapsed="false">
      <c r="A34" s="0" t="s">
        <v>135</v>
      </c>
      <c r="B34" s="0" t="n">
        <f aca="false">MAX(0,MIN(B32,B33))</f>
        <v>398176.439608844</v>
      </c>
    </row>
    <row r="35" customFormat="false" ht="15" hidden="false" customHeight="false" outlineLevel="0" collapsed="false">
      <c r="A35" s="0" t="s">
        <v>136</v>
      </c>
      <c r="B35" s="0" t="n">
        <f aca="false">B34/(1+B27/100)^L4</f>
        <v>176107.631850311</v>
      </c>
    </row>
    <row r="36" customFormat="false" ht="15" hidden="false" customHeight="false" outlineLevel="0" collapsed="false">
      <c r="A36" s="0" t="s">
        <v>137</v>
      </c>
      <c r="B36" s="0" t="n">
        <f aca="false">B30+B35</f>
        <v>335426.700153568</v>
      </c>
    </row>
    <row r="37" customFormat="false" ht="15" hidden="false" customHeight="false" outlineLevel="0" collapsed="false">
      <c r="A37" s="0" t="s">
        <v>138</v>
      </c>
      <c r="B37" s="0" t="n">
        <f aca="false">B36+Assumptions!$B$5-Assumptions!$B$4</f>
        <v>210923.700153568</v>
      </c>
    </row>
    <row r="38" customFormat="false" ht="15" hidden="false" customHeight="false" outlineLevel="0" collapsed="false">
      <c r="A38" s="0" t="s">
        <v>139</v>
      </c>
      <c r="B38" s="0" t="n">
        <f aca="false">B37/Assumptions!$B$3*Assumptions!$B$10</f>
        <v>3405.84046752088</v>
      </c>
    </row>
    <row r="39" customFormat="false" ht="15" hidden="false" customHeight="false" outlineLevel="0" collapsed="false">
      <c r="A39" s="0" t="s">
        <v>140</v>
      </c>
      <c r="B39" s="4" t="n">
        <f aca="false">B38/Assumptions!$B$2-1</f>
        <v>0.308931770761291</v>
      </c>
    </row>
    <row r="41" customFormat="false" ht="15" hidden="false" customHeight="false" outlineLevel="0" collapsed="false">
      <c r="A41" s="0" t="s">
        <v>141</v>
      </c>
      <c r="B41" s="0" t="n">
        <f aca="false">SUMPRODUCT(-C10:L10/(1+$B$27/100)^C4:L4)</f>
        <v>0</v>
      </c>
    </row>
    <row r="42" customFormat="false" ht="15" hidden="false" customHeight="false" outlineLevel="0" collapsed="false">
      <c r="A42" s="0" t="s">
        <v>142</v>
      </c>
      <c r="B42" s="0" t="n">
        <f aca="false">IF(B27&gt;B28,-L10*(1+B28/100)/((B27-B28)/100),-L10*20)/(1+B27/100)^L4</f>
        <v>0</v>
      </c>
    </row>
    <row r="43" customFormat="false" ht="15" hidden="false" customHeight="false" outlineLevel="0" collapsed="false">
      <c r="A43" s="0" t="s">
        <v>143</v>
      </c>
      <c r="B43" s="0" t="n">
        <f aca="false">(B37+B41+B42)/Assumptions!$B$3*Assumptions!$B$10</f>
        <v>3405.84046752088</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249474.744569739</v>
      </c>
    </row>
    <row r="47" customFormat="false" ht="15" hidden="false" customHeight="false" outlineLevel="0" collapsed="false">
      <c r="A47" s="0" t="s">
        <v>145</v>
      </c>
      <c r="B47" s="0" t="n">
        <f aca="false">(SUMPRODUCT(C19:L19/(1+B45/100)^C4:L4)+B46/(1+B45/100)^L4+Assumptions!$B$5-Assumptions!$B$4)/Assumptions!$B$3*Assumptions!$B$10</f>
        <v>853.225607490269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148</v>
      </c>
    </row>
    <row r="3" customFormat="false" ht="15" hidden="false" customHeight="false" outlineLevel="0" collapsed="false">
      <c r="A3" s="2" t="s">
        <v>149</v>
      </c>
      <c r="B3" s="2" t="s">
        <v>150</v>
      </c>
      <c r="C3" s="2" t="s">
        <v>140</v>
      </c>
      <c r="D3" s="2" t="s">
        <v>151</v>
      </c>
      <c r="E3" s="2" t="s">
        <v>143</v>
      </c>
      <c r="F3" s="2" t="s">
        <v>152</v>
      </c>
    </row>
    <row r="4" customFormat="false" ht="15" hidden="false" customHeight="false" outlineLevel="0" collapsed="false">
      <c r="A4" s="0" t="s">
        <v>153</v>
      </c>
      <c r="B4" s="4" t="n">
        <f aca="false">DCF_Bear!$B$38</f>
        <v>164.514400909782</v>
      </c>
      <c r="C4" s="0" t="n">
        <f aca="false">B4/Assumptions!$B$2-1</f>
        <v>-0.936773865907078</v>
      </c>
      <c r="D4" s="4" t="n">
        <f aca="false">Assumptions!$B$24</f>
        <v>0.25</v>
      </c>
      <c r="E4" s="4" t="n">
        <f aca="false">DCF_Bear!$B$43</f>
        <v>164.514400909782</v>
      </c>
      <c r="F4" s="4" t="n">
        <f aca="false">DCF_Bear!$B$47</f>
        <v>-808.352357233497</v>
      </c>
    </row>
    <row r="5" customFormat="false" ht="15" hidden="false" customHeight="false" outlineLevel="0" collapsed="false">
      <c r="A5" s="0" t="s">
        <v>154</v>
      </c>
      <c r="B5" s="4" t="n">
        <f aca="false">DCF_Base!$B$38</f>
        <v>1544.26588696611</v>
      </c>
      <c r="C5" s="0" t="n">
        <f aca="false">B5/Assumptions!$B$2-1</f>
        <v>-0.40650811415599</v>
      </c>
      <c r="D5" s="4" t="n">
        <f aca="false">Assumptions!$B$38</f>
        <v>0.5</v>
      </c>
      <c r="E5" s="4" t="n">
        <f aca="false">DCF_Base!$B$43</f>
        <v>1544.26588696611</v>
      </c>
      <c r="F5" s="4" t="n">
        <f aca="false">DCF_Base!$B$47</f>
        <v>-125.929358338542</v>
      </c>
    </row>
    <row r="6" customFormat="false" ht="15" hidden="false" customHeight="false" outlineLevel="0" collapsed="false">
      <c r="A6" s="0" t="s">
        <v>155</v>
      </c>
      <c r="B6" s="4" t="n">
        <f aca="false">DCF_Bull!$B$38</f>
        <v>3405.84046752088</v>
      </c>
      <c r="C6" s="0" t="n">
        <f aca="false">B6/Assumptions!$B$2-1</f>
        <v>0.308931770761291</v>
      </c>
      <c r="D6" s="4" t="n">
        <f aca="false">Assumptions!$B$52</f>
        <v>0.25</v>
      </c>
      <c r="E6" s="4" t="n">
        <f aca="false">DCF_Bull!$B$43</f>
        <v>3405.84046752088</v>
      </c>
      <c r="F6" s="4" t="n">
        <f aca="false">DCF_Bull!$B$47</f>
        <v>853.225607490269</v>
      </c>
    </row>
    <row r="8" customFormat="false" ht="15" hidden="false" customHeight="false" outlineLevel="0" collapsed="false">
      <c r="A8" s="0" t="s">
        <v>156</v>
      </c>
      <c r="B8" s="0" t="n">
        <f aca="false">SUMPRODUCT(B4:B6,D4:D6)</f>
        <v>1664.72166059072</v>
      </c>
    </row>
    <row r="9" customFormat="false" ht="15" hidden="false" customHeight="false" outlineLevel="0" collapsed="false">
      <c r="A9" s="0" t="s">
        <v>157</v>
      </c>
      <c r="B9" s="0" t="n">
        <f aca="false">SUMPRODUCT(E4:E6,D4:D6)</f>
        <v>1664.72166059072</v>
      </c>
    </row>
    <row r="10" customFormat="false" ht="15" hidden="false" customHeight="false" outlineLevel="0" collapsed="false">
      <c r="A10" s="0" t="s">
        <v>158</v>
      </c>
      <c r="B10" s="0" t="n">
        <f aca="false">1-Assumptions!$B$2/B8</f>
        <v>-0.563024054770025</v>
      </c>
    </row>
    <row r="11" customFormat="false" ht="15" hidden="false" customHeight="false" outlineLevel="0" collapsed="false">
      <c r="A11" s="0" t="s">
        <v>159</v>
      </c>
      <c r="B11" s="0" t="str">
        <f aca="false">IF(ABS(B9-B8)&gt;0.01*ABS(B8),(Assumptions!$B$2-B8)/(B9-B8)*100,"n/a")</f>
        <v>n/a</v>
      </c>
    </row>
    <row r="12" customFormat="false" ht="15" hidden="false" customHeight="false" outlineLevel="0" collapsed="false">
      <c r="A12" s="0" t="s">
        <v>160</v>
      </c>
      <c r="B12" s="0" t="n">
        <f aca="false">SUMPRODUCT(F4:F6,D4:D6)</f>
        <v>-51.7463666050779</v>
      </c>
    </row>
    <row r="14" customFormat="false" ht="15" hidden="false" customHeight="false" outlineLevel="0" collapsed="false">
      <c r="A14" s="2" t="s">
        <v>161</v>
      </c>
      <c r="C14" s="0" t="s">
        <v>162</v>
      </c>
    </row>
    <row r="15" customFormat="false" ht="15" hidden="false" customHeight="false" outlineLevel="0" collapsed="false">
      <c r="A15" s="0" t="s">
        <v>163</v>
      </c>
      <c r="B15" s="0" t="n">
        <f aca="false">(SUMPRODUCT(DCF_Base!$C$19:$L$19/(1+$C$15/100)^DCF_Base!$C$4:$L$4)+MAX(0,MIN(IF($C$15&gt;DCF_Base!$B$28,DCF_Base!$L$19*(1+DCF_Base!$B$28/100)/(($C$15-DCF_Base!$B$28)/100),DCF_Base!$L$19*DCF_Base!$B$29),DCF_Base!$L$19*DCF_Base!$B$29))/(1+$C$15/100)^DCF_Base!$L$4+Assumptions!$B$5-Assumptions!$B$4)/Assumptions!$B$3*Assumptions!$B$10</f>
        <v>1544.26588696611</v>
      </c>
      <c r="C15" s="3" t="n">
        <v>8.5</v>
      </c>
    </row>
    <row r="16" customFormat="false" ht="15" hidden="false" customHeight="false" outlineLevel="0" collapsed="false">
      <c r="A16" s="0" t="s">
        <v>164</v>
      </c>
      <c r="B16" s="0" t="n">
        <f aca="false">(SUMPRODUCT(DCF_Base!$C$19:$L$19/(1+$C$16/100)^DCF_Base!$C$4:$L$4)+MAX(0,MIN(IF($C$16&gt;DCF_Base!$B$28,DCF_Base!$L$19*(1+DCF_Base!$B$28/100)/(($C$16-DCF_Base!$B$28)/100),DCF_Base!$L$19*DCF_Base!$B$29),DCF_Base!$L$19*DCF_Base!$B$29))/(1+$C$16/100)^DCF_Base!$L$4+Assumptions!$B$5-Assumptions!$B$4)/Assumptions!$B$3*Assumptions!$B$10</f>
        <v>1418.902370505</v>
      </c>
      <c r="C16" s="3" t="n">
        <v>9</v>
      </c>
    </row>
    <row r="17" customFormat="false" ht="15" hidden="false" customHeight="false" outlineLevel="0" collapsed="false">
      <c r="A17" s="0" t="s">
        <v>165</v>
      </c>
      <c r="B17" s="0" t="n">
        <f aca="false">(SUMPRODUCT(DCF_Base!$C$19:$L$19/(1+$C$17/100)^DCF_Base!$C$4:$L$4)+MAX(0,MIN(IF($C$17&gt;DCF_Base!$B$28,DCF_Base!$L$19*(1+DCF_Base!$B$28/100)/(($C$17-DCF_Base!$B$28)/100),DCF_Base!$L$19*DCF_Base!$B$29),DCF_Base!$L$19*DCF_Base!$B$29))/(1+$C$17/100)^DCF_Base!$L$4+Assumptions!$B$5-Assumptions!$B$4)/Assumptions!$B$3*Assumptions!$B$10</f>
        <v>1082.42869587799</v>
      </c>
      <c r="C17" s="3" t="n">
        <v>10</v>
      </c>
    </row>
    <row r="18" customFormat="false" ht="15" hidden="false" customHeight="false" outlineLevel="0" collapsed="false">
      <c r="A18" s="0" t="s">
        <v>166</v>
      </c>
      <c r="B18" s="0" t="n">
        <f aca="false">(SUMPRODUCT(DCF_Base!$C$19:$L$19/(1+$C$18/100)^DCF_Base!$C$4:$L$4)+MAX(0,MIN(IF($C$18&gt;DCF_Base!$B$28,DCF_Base!$L$19*(1+DCF_Base!$B$28/100)/(($C$18-DCF_Base!$B$28)/100),DCF_Base!$L$19*DCF_Base!$B$29),DCF_Base!$L$19*DCF_Base!$B$29))/(1+$C$18/100)^DCF_Base!$L$4+Assumptions!$B$5-Assumptions!$B$4)/Assumptions!$B$3*Assumptions!$B$10</f>
        <v>742.326092351838</v>
      </c>
      <c r="C18" s="3" t="n">
        <v>11</v>
      </c>
    </row>
    <row r="19" customFormat="false" ht="15" hidden="false" customHeight="false" outlineLevel="0" collapsed="false">
      <c r="A19" s="0" t="s">
        <v>167</v>
      </c>
      <c r="B19" s="0" t="n">
        <f aca="false">(SUMPRODUCT(DCF_Base!$C$19:$L$19/(1+$C$19/100)^DCF_Base!$C$4:$L$4)+MAX(0,MIN(IF($C$19&gt;DCF_Base!$B$28,DCF_Base!$L$19*(1+DCF_Base!$B$28/100)/(($C$19-DCF_Base!$B$28)/100),DCF_Base!$L$19*DCF_Base!$B$29),DCF_Base!$L$19*DCF_Base!$B$29))/(1+$C$19/100)^DCF_Base!$L$4+Assumptions!$B$5-Assumptions!$B$4)/Assumptions!$B$3*Assumptions!$B$10</f>
        <v>464.903897574582</v>
      </c>
      <c r="C19" s="3" t="n">
        <v>12</v>
      </c>
    </row>
    <row r="20" customFormat="false" ht="15" hidden="false" customHeight="false" outlineLevel="0" collapsed="false">
      <c r="A20" s="0" t="s">
        <v>168</v>
      </c>
      <c r="B20" s="0" t="n">
        <f aca="false">(SUMPRODUCT(DCF_Base!$C$19:$L$19/(1+$C$20/100)^DCF_Base!$C$4:$L$4)+MAX(0,MIN(IF($C$20&gt;DCF_Base!$B$28,DCF_Base!$L$19*(1+DCF_Base!$B$28/100)/(($C$20-DCF_Base!$B$28)/100),DCF_Base!$L$19*DCF_Base!$B$29),DCF_Base!$L$19*DCF_Base!$B$29))/(1+$C$20/100)^DCF_Base!$L$4+Assumptions!$B$5-Assumptions!$B$4)/Assumptions!$B$3*Assumptions!$B$10</f>
        <v>-125.929358338542</v>
      </c>
      <c r="C20" s="3" t="n">
        <v>15</v>
      </c>
    </row>
    <row r="22" customFormat="false" ht="15" hidden="false" customHeight="false" outlineLevel="0" collapsed="false">
      <c r="A22" s="2" t="s">
        <v>169</v>
      </c>
    </row>
    <row r="23" customFormat="false" ht="15" hidden="false" customHeight="false" outlineLevel="0" collapsed="false">
      <c r="B23" s="3" t="n">
        <v>0</v>
      </c>
      <c r="C23" s="3" t="n">
        <v>0.5</v>
      </c>
      <c r="D23" s="3" t="n">
        <v>1</v>
      </c>
      <c r="E23" s="3" t="n">
        <v>1.5</v>
      </c>
      <c r="F23" s="3" t="n">
        <v>2</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2107.30872010062</v>
      </c>
      <c r="C24" s="0" t="n">
        <f aca="false">(SUMPRODUCT(DCF_Base!$C$19:$L$19/(1+$A$24/100)^DCF_Base!$C$4:$L$4)+MAX(0,MIN(IF($A$24&gt;$C$23,DCF_Base!$L$19*(1+$C$23/100)/(($A$24-$C$23)/100),DCF_Base!$L$19*DCF_Base!$B$29),DCF_Base!$L$19*DCF_Base!$B$29))/(1+$A$24/100)^DCF_Base!$L$4+Assumptions!$B$5-Assumptions!$B$4)/Assumptions!$B$3*Assumptions!$B$10</f>
        <v>2107.30872010062</v>
      </c>
      <c r="D24" s="0" t="n">
        <f aca="false">(SUMPRODUCT(DCF_Base!$C$19:$L$19/(1+$A$24/100)^DCF_Base!$C$4:$L$4)+MAX(0,MIN(IF($A$24&gt;$D$23,DCF_Base!$L$19*(1+$D$23/100)/(($A$24-$D$23)/100),DCF_Base!$L$19*DCF_Base!$B$29),DCF_Base!$L$19*DCF_Base!$B$29))/(1+$A$24/100)^DCF_Base!$L$4+Assumptions!$B$5-Assumptions!$B$4)/Assumptions!$B$3*Assumptions!$B$10</f>
        <v>2107.30872010062</v>
      </c>
      <c r="E24" s="0" t="n">
        <f aca="false">(SUMPRODUCT(DCF_Base!$C$19:$L$19/(1+$A$24/100)^DCF_Base!$C$4:$L$4)+MAX(0,MIN(IF($A$24&gt;$E$23,DCF_Base!$L$19*(1+$E$23/100)/(($A$24-$E$23)/100),DCF_Base!$L$19*DCF_Base!$B$29),DCF_Base!$L$19*DCF_Base!$B$29))/(1+$A$24/100)^DCF_Base!$L$4+Assumptions!$B$5-Assumptions!$B$4)/Assumptions!$B$3*Assumptions!$B$10</f>
        <v>2107.30872010062</v>
      </c>
      <c r="F24" s="0" t="n">
        <f aca="false">(SUMPRODUCT(DCF_Base!$C$19:$L$19/(1+$A$24/100)^DCF_Base!$C$4:$L$4)+MAX(0,MIN(IF($A$24&gt;$F$23,DCF_Base!$L$19*(1+$F$23/100)/(($A$24-$F$23)/100),DCF_Base!$L$19*DCF_Base!$B$29),DCF_Base!$L$19*DCF_Base!$B$29))/(1+$A$24/100)^DCF_Base!$L$4+Assumptions!$B$5-Assumptions!$B$4)/Assumptions!$B$3*Assumptions!$B$10</f>
        <v>2107.30872010062</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1812.8143261352</v>
      </c>
      <c r="C25" s="0" t="n">
        <f aca="false">(SUMPRODUCT(DCF_Base!$C$19:$L$19/(1+$A$25/100)^DCF_Base!$C$4:$L$4)+MAX(0,MIN(IF($A$25&gt;$C$23,DCF_Base!$L$19*(1+$C$23/100)/(($A$25-$C$23)/100),DCF_Base!$L$19*DCF_Base!$B$29),DCF_Base!$L$19*DCF_Base!$B$29))/(1+$A$25/100)^DCF_Base!$L$4+Assumptions!$B$5-Assumptions!$B$4)/Assumptions!$B$3*Assumptions!$B$10</f>
        <v>1812.8143261352</v>
      </c>
      <c r="D25" s="0" t="n">
        <f aca="false">(SUMPRODUCT(DCF_Base!$C$19:$L$19/(1+$A$25/100)^DCF_Base!$C$4:$L$4)+MAX(0,MIN(IF($A$25&gt;$D$23,DCF_Base!$L$19*(1+$D$23/100)/(($A$25-$D$23)/100),DCF_Base!$L$19*DCF_Base!$B$29),DCF_Base!$L$19*DCF_Base!$B$29))/(1+$A$25/100)^DCF_Base!$L$4+Assumptions!$B$5-Assumptions!$B$4)/Assumptions!$B$3*Assumptions!$B$10</f>
        <v>1812.8143261352</v>
      </c>
      <c r="E25" s="0" t="n">
        <f aca="false">(SUMPRODUCT(DCF_Base!$C$19:$L$19/(1+$A$25/100)^DCF_Base!$C$4:$L$4)+MAX(0,MIN(IF($A$25&gt;$E$23,DCF_Base!$L$19*(1+$E$23/100)/(($A$25-$E$23)/100),DCF_Base!$L$19*DCF_Base!$B$29),DCF_Base!$L$19*DCF_Base!$B$29))/(1+$A$25/100)^DCF_Base!$L$4+Assumptions!$B$5-Assumptions!$B$4)/Assumptions!$B$3*Assumptions!$B$10</f>
        <v>1812.8143261352</v>
      </c>
      <c r="F25" s="0" t="n">
        <f aca="false">(SUMPRODUCT(DCF_Base!$C$19:$L$19/(1+$A$25/100)^DCF_Base!$C$4:$L$4)+MAX(0,MIN(IF($A$25&gt;$F$23,DCF_Base!$L$19*(1+$F$23/100)/(($A$25-$F$23)/100),DCF_Base!$L$19*DCF_Base!$B$29),DCF_Base!$L$19*DCF_Base!$B$29))/(1+$A$25/100)^DCF_Base!$L$4+Assumptions!$B$5-Assumptions!$B$4)/Assumptions!$B$3*Assumptions!$B$10</f>
        <v>1812.8143261352</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1508.8367935903</v>
      </c>
      <c r="C26" s="0" t="n">
        <f aca="false">(SUMPRODUCT(DCF_Base!$C$19:$L$19/(1+$A$26/100)^DCF_Base!$C$4:$L$4)+MAX(0,MIN(IF($A$26&gt;$C$23,DCF_Base!$L$19*(1+$C$23/100)/(($A$26-$C$23)/100),DCF_Base!$L$19*DCF_Base!$B$29),DCF_Base!$L$19*DCF_Base!$B$29))/(1+$A$26/100)^DCF_Base!$L$4+Assumptions!$B$5-Assumptions!$B$4)/Assumptions!$B$3*Assumptions!$B$10</f>
        <v>1544.26588696611</v>
      </c>
      <c r="D26" s="0" t="n">
        <f aca="false">(SUMPRODUCT(DCF_Base!$C$19:$L$19/(1+$A$26/100)^DCF_Base!$C$4:$L$4)+MAX(0,MIN(IF($A$26&gt;$D$23,DCF_Base!$L$19*(1+$D$23/100)/(($A$26-$D$23)/100),DCF_Base!$L$19*DCF_Base!$B$29),DCF_Base!$L$19*DCF_Base!$B$29))/(1+$A$26/100)^DCF_Base!$L$4+Assumptions!$B$5-Assumptions!$B$4)/Assumptions!$B$3*Assumptions!$B$10</f>
        <v>1544.26588696611</v>
      </c>
      <c r="E26" s="0" t="n">
        <f aca="false">(SUMPRODUCT(DCF_Base!$C$19:$L$19/(1+$A$26/100)^DCF_Base!$C$4:$L$4)+MAX(0,MIN(IF($A$26&gt;$E$23,DCF_Base!$L$19*(1+$E$23/100)/(($A$26-$E$23)/100),DCF_Base!$L$19*DCF_Base!$B$29),DCF_Base!$L$19*DCF_Base!$B$29))/(1+$A$26/100)^DCF_Base!$L$4+Assumptions!$B$5-Assumptions!$B$4)/Assumptions!$B$3*Assumptions!$B$10</f>
        <v>1544.26588696611</v>
      </c>
      <c r="F26" s="0" t="n">
        <f aca="false">(SUMPRODUCT(DCF_Base!$C$19:$L$19/(1+$A$26/100)^DCF_Base!$C$4:$L$4)+MAX(0,MIN(IF($A$26&gt;$F$23,DCF_Base!$L$19*(1+$F$23/100)/(($A$26-$F$23)/100),DCF_Base!$L$19*DCF_Base!$B$29),DCF_Base!$L$19*DCF_Base!$B$29))/(1+$A$26/100)^DCF_Base!$L$4+Assumptions!$B$5-Assumptions!$B$4)/Assumptions!$B$3*Assumptions!$B$10</f>
        <v>1544.26588696611</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1096.63290395203</v>
      </c>
      <c r="C27" s="0" t="n">
        <f aca="false">(SUMPRODUCT(DCF_Base!$C$19:$L$19/(1+$A$27/100)^DCF_Base!$C$4:$L$4)+MAX(0,MIN(IF($A$27&gt;$C$23,DCF_Base!$L$19*(1+$C$23/100)/(($A$27-$C$23)/100),DCF_Base!$L$19*DCF_Base!$B$29),DCF_Base!$L$19*DCF_Base!$B$29))/(1+$A$27/100)^DCF_Base!$L$4+Assumptions!$B$5-Assumptions!$B$4)/Assumptions!$B$3*Assumptions!$B$10</f>
        <v>1184.60058993585</v>
      </c>
      <c r="D27" s="0" t="n">
        <f aca="false">(SUMPRODUCT(DCF_Base!$C$19:$L$19/(1+$A$27/100)^DCF_Base!$C$4:$L$4)+MAX(0,MIN(IF($A$27&gt;$D$23,DCF_Base!$L$19*(1+$D$23/100)/(($A$27-$D$23)/100),DCF_Base!$L$19*DCF_Base!$B$29),DCF_Base!$L$19*DCF_Base!$B$29))/(1+$A$27/100)^DCF_Base!$L$4+Assumptions!$B$5-Assumptions!$B$4)/Assumptions!$B$3*Assumptions!$B$10</f>
        <v>1282.91741544718</v>
      </c>
      <c r="E27" s="0" t="n">
        <f aca="false">(SUMPRODUCT(DCF_Base!$C$19:$L$19/(1+$A$27/100)^DCF_Base!$C$4:$L$4)+MAX(0,MIN(IF($A$27&gt;$E$23,DCF_Base!$L$19*(1+$E$23/100)/(($A$27-$E$23)/100),DCF_Base!$L$19*DCF_Base!$B$29),DCF_Base!$L$19*DCF_Base!$B$29))/(1+$A$27/100)^DCF_Base!$L$4+Assumptions!$B$5-Assumptions!$B$4)/Assumptions!$B$3*Assumptions!$B$10</f>
        <v>1299.07908539425</v>
      </c>
      <c r="F27" s="0" t="n">
        <f aca="false">(SUMPRODUCT(DCF_Base!$C$19:$L$19/(1+$A$27/100)^DCF_Base!$C$4:$L$4)+MAX(0,MIN(IF($A$27&gt;$F$23,DCF_Base!$L$19*(1+$F$23/100)/(($A$27-$F$23)/100),DCF_Base!$L$19*DCF_Base!$B$29),DCF_Base!$L$19*DCF_Base!$B$29))/(1+$A$27/100)^DCF_Base!$L$4+Assumptions!$B$5-Assumptions!$B$4)/Assumptions!$B$3*Assumptions!$B$10</f>
        <v>1299.07908539425</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764.347290564926</v>
      </c>
      <c r="C28" s="0" t="n">
        <f aca="false">(SUMPRODUCT(DCF_Base!$C$19:$L$19/(1+$A$28/100)^DCF_Base!$C$4:$L$4)+MAX(0,MIN(IF($A$28&gt;$C$23,DCF_Base!$L$19*(1+$C$23/100)/(($A$28-$C$23)/100),DCF_Base!$L$19*DCF_Base!$B$29),DCF_Base!$L$19*DCF_Base!$B$29))/(1+$A$28/100)^DCF_Base!$L$4+Assumptions!$B$5-Assumptions!$B$4)/Assumptions!$B$3*Assumptions!$B$10</f>
        <v>830.350727984612</v>
      </c>
      <c r="D28" s="0" t="n">
        <f aca="false">(SUMPRODUCT(DCF_Base!$C$19:$L$19/(1+$A$28/100)^DCF_Base!$C$4:$L$4)+MAX(0,MIN(IF($A$28&gt;$D$23,DCF_Base!$L$19*(1+$D$23/100)/(($A$28-$D$23)/100),DCF_Base!$L$19*DCF_Base!$B$29),DCF_Base!$L$19*DCF_Base!$B$29))/(1+$A$28/100)^DCF_Base!$L$4+Assumptions!$B$5-Assumptions!$B$4)/Assumptions!$B$3*Assumptions!$B$10</f>
        <v>903.301895659004</v>
      </c>
      <c r="E28" s="0" t="n">
        <f aca="false">(SUMPRODUCT(DCF_Base!$C$19:$L$19/(1+$A$28/100)^DCF_Base!$C$4:$L$4)+MAX(0,MIN(IF($A$28&gt;$E$23,DCF_Base!$L$19*(1+$E$23/100)/(($A$28-$E$23)/100),DCF_Base!$L$19*DCF_Base!$B$29),DCF_Base!$L$19*DCF_Base!$B$29))/(1+$A$28/100)^DCF_Base!$L$4+Assumptions!$B$5-Assumptions!$B$4)/Assumptions!$B$3*Assumptions!$B$10</f>
        <v>984.358748630549</v>
      </c>
      <c r="F28" s="0" t="n">
        <f aca="false">(SUMPRODUCT(DCF_Base!$C$19:$L$19/(1+$A$28/100)^DCF_Base!$C$4:$L$4)+MAX(0,MIN(IF($A$28&gt;$F$23,DCF_Base!$L$19*(1+$F$23/100)/(($A$28-$F$23)/100),DCF_Base!$L$19*DCF_Base!$B$29),DCF_Base!$L$19*DCF_Base!$B$29))/(1+$A$28/100)^DCF_Base!$L$4+Assumptions!$B$5-Assumptions!$B$4)/Assumptions!$B$3*Assumptions!$B$10</f>
        <v>1074.95170195169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2026-10-31T09:53:16Z</dcterms:created>
  <dc:creator>openpyxl</dc:creator>
  <dc:description/>
  <dc:language>en-NZ</dc:language>
  <cp:lastModifiedBy/>
  <dcterms:modified xsi:type="dcterms:W3CDTF">2026-10-31T09:53:16Z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