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<sst xmlns="http://schemas.openxmlformats.org/spreadsheetml/2006/main" count="362" uniqueCount="169">
  <si>
    <t xml:space="preserve">Ticker</t>
  </si>
  <si>
    <t xml:space="preserve">0010.HK</t>
  </si>
  <si>
    <t xml:space="preserve">Company</t>
  </si>
  <si>
    <t xml:space="preserve">Hang Lung Group Limited</t>
  </si>
  <si>
    <t xml:space="preserve">Valuation date</t>
  </si>
  <si>
    <t xml:space="preserve">2026-10-11</t>
  </si>
  <si>
    <t xml:space="preserve">Current price</t>
  </si>
  <si>
    <t xml:space="preserve">Price as of</t>
  </si>
  <si>
    <t xml:space="preserve">2026-10-09T08:08:05Z regular close (Yahoo chart API)</t>
  </si>
  <si>
    <t xml:space="preserve">Balance sheet date</t>
  </si>
  <si>
    <t xml:space="preserve">2026-06-30</t>
  </si>
  <si>
    <t xml:space="preserve">Model</t>
  </si>
  <si>
    <t xml:space="preserve">Attributable underlying-profit AFFO-style FCFE capitalisation at cost of equity (engine route)</t>
  </si>
  <si>
    <t xml:space="preserve">Currency (model)</t>
  </si>
  <si>
    <t xml:space="preserve">HKD</t>
  </si>
  <si>
    <t xml:space="preserve">Currency (quote)</t>
  </si>
  <si>
    <t xml:space="preserve">Units</t>
  </si>
  <si>
    <t xml:space="preserve">millions</t>
  </si>
  <si>
    <t xml:space="preserve">Engine</t>
  </si>
  <si>
    <t xml:space="preserve">dcf_engine v1</t>
  </si>
  <si>
    <t xml:space="preserve">Built at</t>
  </si>
  <si>
    <t xml:space="preserve">2026-10-10T11:24:35Z</t>
  </si>
  <si>
    <t xml:space="preserve">Drivers file</t>
  </si>
  <si>
    <t xml:space="preserve">0010.HK_Drivers.json</t>
  </si>
  <si>
    <t xml:space="preserve">Convention</t>
  </si>
  <si>
    <t xml:space="preserve">Percents stored as percents; formulas divide by 100. Blue = input, green = link, black = formula.</t>
  </si>
  <si>
    <t xml:space="preserve">Methodology</t>
  </si>
  <si>
    <t xml:space="preserve">summary: Value what HLG's shareholders actually own: their 64% share of the group's recurring rental profit after interest (including capitalised interest), tax and minorities, less the capital needed to maintain and grow it, discounted at an HKD cost of equity with no further debt deduction, plus attributable residential inventory at a realisation haircut. Book NAV (HK$75.1/share) is a memo only: it has never been a price anchor for this name because the assets earn ~2.4% on book.
nav_memo: nav_per_share_hkd: 75.1
nav_date: 2026-06-30
price_to_nav: 0.16
underlying_eps_fy2025: 1.77
dps: 0.86
key_risks_to_valuation: Mainland China luxury retail demand (most of leasing operating profit) and mainland office oversupply; RMB/HKD translation: ~69% of net assets and ~68% of revenue are RMB; Interest rates: HK$55.6bn gross debt at 3.7% average cost; each 100bp ~HK$0.36bn attributable pre-tax; Capital allocation: continued low-return development spend by the controlling family instead of distributions; Holdco discount on the HLP stake may persist regardless of underlying value; Residential inventory realisation (provisions taken H1-2026)
holdco_lookthrough_memo: Cross-check 2026-10-09: HLG's 65.1% of Hang Lung Properties (0101.HK, ~4.5bn shares) was worth ~HK$19.4bn at HLP's own market price against an HLG market cap of ~HK$16.7bn, so HLG trades at a &gt;15% discount to its listed HLP stake alone, before its directly held HK property. The market is capitalising the attributable stream at roughly 12-13% with little growth; this model uses a 10.5% CoE and explicit capex. Even the bear case sits above the price, so the gap is a discount-rate / capital-allocation-trust gap, not a cash-flow gap.</t>
  </si>
  <si>
    <t xml:space="preserve">Data sources</t>
  </si>
  <si>
    <t xml:space="preserve">price: Yahoo Finance chart API at inputs.price_as_of; 52-week range 11.90-17.54
financials: HLG annual reports FY2017-FY2025 and interim reports H1-2024 to H1-2026 (0010.HK/Extracted); Metrics.csv and kpis via make dcf-context
qualitative: H1-2026 interim report Review of Operations and Outlook; FY2025 annual report financial highlights (underlying profit by segment, payout ratio after capitalised interest)</t>
  </si>
  <si>
    <t xml:space="preserve">Scenario narrative: bear</t>
  </si>
  <si>
    <t xml:space="preserve">Mainland luxury spending relapses (consumer deleveraging, policy shift, or tariff/geopolitical shock from the Middle East conflict flagged in the H1-26 outlook), mainland office oversupply keeps rents falling, HK office reversions stay negative, and the RMB weakens against the HKD peg. Westlake 66 leases slowly while its interest is already expensed, so margins drift to 28.5%. Management keeps committing capital to new mainland projects at low returns (the pattern that took underlying ROE to ~2.4%), holding capex at 6% of revenue. Inventory realises well below book.</t>
  </si>
  <si>
    <t xml:space="preserve">Scenario narrative: base</t>
  </si>
  <si>
    <t xml:space="preserve">Mainland luxury retail keeps its gradual, selective recovery (H1-26 mall rent +6% RMB, tenant sales +17%, occupancy 96%) while mainland offices (81% occupied, revenue -11%) stabilise rather than recover. Westlake 66 ramps over 2026-28 and is the main source of the ~6%/yr leasing growth in FY2026-27; HK retail and office are flat-to-slightly-up. Development spend falls to maintenance plus modest AEI once the HK$4.4bn commitment tail is paid, so attributable FCFE rises from ~HK$0.9bn in FY2026 to ~HK$2.3bn by the end of the decade. Dividend held at HK$0.86. Property inventory is sold down over ~3 years near book.</t>
  </si>
  <si>
    <t xml:space="preserve">Scenario narrative: bull</t>
  </si>
  <si>
    <t xml:space="preserve">A stronger mainland consumption cycle and RMB appreciation (69% of net assets are RMB) lift mall rents faster, Westlake 66 and Wuxi lease up ahead of plan, mainland office vacancy turns, and HK retail benefits from rising visitor arrivals. Rates fall, cutting the 3.7% average cost of debt. Margin reaches 36.5% and growth runs 3-8%; HLP's stated shift to asset-light management lets capex stay at maintenance levels.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</si>
  <si>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</si>
  <si>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</si>
  <si>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</si>
  <si>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</si>
  <si>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</si>
  <si>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</si>
  <si>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</si>
  <si>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</si>
  <si>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</si>
  <si>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</si>
  <si>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</si>
  <si>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</si>
  <si>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</si>
  <si>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</si>
  <si>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</si>
  <si>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</si>
  <si>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</si>
  <si>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</si>
  <si>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</si>
  <si>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</si>
  <si>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</si>
  <si>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</si>
  <si>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</si>
  <si>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</si>
  <si>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</si>
  <si>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</si>
  <si>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</si>
  <si>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InterestPaid</t>
  </si>
  <si>
    <t xml:space="preserve">NetAssets</t>
  </si>
  <si>
    <t xml:space="preserve">NetChangeInFairValue</t>
  </si>
  <si>
    <t xml:space="preserve">NonControllingInterestProfit</t>
  </si>
  <si>
    <t xml:space="preserve">ProfitAfterTaxTotal</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</si>
  <si>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</si>
  <si>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</si>
  <si>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</si>
  <si>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</si>
  <si>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</si>
  <si>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</si>
  <si>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</si>
  <si>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</si>
  <si>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</si>
  <si>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</si>
  <si>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</si>
  <si>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</si>
  <si>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</si>
  <si>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</si>
  <si>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</si>
  <si>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</si>
  <si>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</si>
  <si>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</si>
  <si>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</si>
  <si>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HKD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</si>
  <si>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</si>
  <si>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</si>
  <si>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</si>
  <si>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</si>
  <si>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</si>
  <si>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</si>
  <si>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</si>
  <si>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</si>
  <si>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</si>
  <si>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</si>
  <si>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</si>
  <si>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</si>
  <si>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</si>
  <si>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</si>
  <si>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</si>
  <si>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</si>
  <si>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</si>
  <si>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</si>
  <si>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</si>
  <si>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</si>
  <si>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</si>
  <si>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</si>
  <si>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</si>
  <si>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</si>
  <si>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</si>
  <si>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</si>
  <si>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0010.HK owner-FCF component DCF: bear case (millions, HKD)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</si>
  <si>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</si>
  <si>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</si>
  <si>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</si>
  <si>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</si>
  <si>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</si>
  <si>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</si>
  <si>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</si>
  <si>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</si>
  <si>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</si>
  <si>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</si>
  <si>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</si>
  <si>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</si>
  <si>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</si>
  <si>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</si>
  <si>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</si>
  <si>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</si>
  <si>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</si>
  <si>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</si>
  <si>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</si>
  <si>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</si>
  <si>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</si>
  <si>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</si>
  <si>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</si>
  <si>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</si>
  <si>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</si>
  <si>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</si>
  <si>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</si>
  <si>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</si>
  <si>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</si>
  <si>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</si>
  <si>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0010.HK owner-FCF component DCF: base case (millions, HKD)</t>
  </si>
  <si>
    <t xml:space="preserve">0010.HK owner-FCF component DCF: bull case (millions, HKD)</t>
  </si>
  <si>
    <t xml:space="preserve">0010.HK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</si>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</sst>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12.29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91"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row>
    <row r="2" customFormat="false" ht="15" hidden="false" customHeight="false" outlineLevel="0" collapsed="false">
      <c r="A2" s="0" t="s">
        <v>68</v>
      </c>
      <c r="B2" s="0" t="n">
        <v>11774</v>
      </c>
      <c r="C2" s="0" t="n">
        <v>3462</v>
      </c>
      <c r="D2" s="0" t="n">
        <v>8312</v>
      </c>
      <c r="E2" s="0" t="n">
        <v>70.6</v>
      </c>
      <c r="F2" s="0" t="n">
        <v>8206</v>
      </c>
      <c r="G2" s="0" t="n">
        <v>69.7</v>
      </c>
      <c r="I2" s="0" t="n">
        <v>5314</v>
      </c>
      <c r="J2" s="0" t="n">
        <v>45.1</v>
      </c>
      <c r="K2" s="0" t="n">
        <v>3.9</v>
      </c>
      <c r="L2" s="0" t="n">
        <v>8837</v>
      </c>
      <c r="M2" s="0" t="n">
        <v>4251</v>
      </c>
      <c r="N2" s="0" t="n">
        <v>4586</v>
      </c>
      <c r="O2" s="0" t="n">
        <v>83137</v>
      </c>
      <c r="P2" s="0" t="n">
        <v>195788</v>
      </c>
      <c r="Q2" s="0" t="n">
        <v>46232</v>
      </c>
      <c r="R2" s="0" t="n">
        <v>28039</v>
      </c>
      <c r="S2" s="0" t="n">
        <v>18518</v>
      </c>
      <c r="T2" s="0" t="n">
        <v>1361.62</v>
      </c>
      <c r="AA2" s="0" t="s">
        <v>17</v>
      </c>
      <c r="AB2" s="0" t="s">
        <v>14</v>
      </c>
      <c r="AD2" s="0" t="n">
        <v>149556</v>
      </c>
      <c r="AE2" s="0" t="n">
        <v>3085</v>
      </c>
      <c r="AF2" s="0" t="n">
        <v>4024</v>
      </c>
      <c r="AG2" s="0" t="n">
        <v>9338</v>
      </c>
    </row>
    <row r="3" customFormat="false" ht="15" hidden="false" customHeight="false" outlineLevel="0" collapsed="false">
      <c r="A3" s="0" t="s">
        <v>69</v>
      </c>
      <c r="B3" s="0" t="n">
        <v>10015</v>
      </c>
      <c r="C3" s="0" t="n">
        <v>2766</v>
      </c>
      <c r="D3" s="0" t="n">
        <v>7249</v>
      </c>
      <c r="E3" s="0" t="n">
        <v>72.4</v>
      </c>
      <c r="F3" s="0" t="n">
        <v>6642</v>
      </c>
      <c r="G3" s="0" t="n">
        <v>66.3</v>
      </c>
      <c r="H3" s="0" t="n">
        <v>6686</v>
      </c>
      <c r="I3" s="0" t="n">
        <v>5285</v>
      </c>
      <c r="J3" s="0" t="n">
        <v>52.8</v>
      </c>
      <c r="K3" s="0" t="n">
        <v>3.88</v>
      </c>
      <c r="L3" s="0" t="n">
        <v>6104</v>
      </c>
      <c r="M3" s="0" t="n">
        <v>13014</v>
      </c>
      <c r="N3" s="0" t="n">
        <v>-6910</v>
      </c>
      <c r="O3" s="0" t="n">
        <v>86447</v>
      </c>
      <c r="P3" s="0" t="n">
        <v>198597</v>
      </c>
      <c r="Q3" s="0" t="n">
        <v>47861</v>
      </c>
      <c r="R3" s="0" t="n">
        <v>30651</v>
      </c>
      <c r="S3" s="0" t="n">
        <v>10656</v>
      </c>
      <c r="T3" s="0" t="n">
        <v>1361.62</v>
      </c>
      <c r="AA3" s="0" t="s">
        <v>17</v>
      </c>
      <c r="AB3" s="0" t="s">
        <v>14</v>
      </c>
      <c r="AD3" s="0" t="n">
        <v>150736</v>
      </c>
      <c r="AE3" s="0" t="n">
        <v>4298</v>
      </c>
      <c r="AF3" s="0" t="n">
        <v>4011</v>
      </c>
      <c r="AG3" s="0" t="n">
        <v>9296</v>
      </c>
    </row>
    <row r="4" customFormat="false" ht="15" hidden="false" customHeight="false" outlineLevel="0" collapsed="false">
      <c r="A4" s="0" t="s">
        <v>70</v>
      </c>
      <c r="B4" s="0" t="n">
        <v>9435</v>
      </c>
      <c r="C4" s="0" t="n">
        <v>2537</v>
      </c>
      <c r="D4" s="0" t="n">
        <v>6898</v>
      </c>
      <c r="E4" s="0" t="n">
        <v>73.1</v>
      </c>
      <c r="F4" s="0" t="n">
        <v>7159</v>
      </c>
      <c r="G4" s="0" t="n">
        <v>75.9</v>
      </c>
      <c r="I4" s="0" t="n">
        <v>6816</v>
      </c>
      <c r="J4" s="0" t="n">
        <v>72.2</v>
      </c>
      <c r="K4" s="0" t="n">
        <v>5.01</v>
      </c>
      <c r="L4" s="0" t="n">
        <v>5698</v>
      </c>
      <c r="M4" s="0" t="n">
        <v>12316</v>
      </c>
      <c r="N4" s="0" t="n">
        <v>-6618</v>
      </c>
      <c r="O4" s="0" t="n">
        <v>91294</v>
      </c>
      <c r="P4" s="0" t="n">
        <v>213239</v>
      </c>
      <c r="Q4" s="0" t="n">
        <v>54912</v>
      </c>
      <c r="R4" s="0" t="n">
        <v>31113</v>
      </c>
      <c r="S4" s="0" t="n">
        <v>3660</v>
      </c>
      <c r="T4" s="0" t="n">
        <v>1361.62</v>
      </c>
      <c r="AA4" s="0" t="s">
        <v>17</v>
      </c>
      <c r="AB4" s="0" t="s">
        <v>14</v>
      </c>
      <c r="AD4" s="0" t="n">
        <v>158327</v>
      </c>
      <c r="AE4" s="0" t="n">
        <v>10620</v>
      </c>
      <c r="AF4" s="0" t="n">
        <v>5759</v>
      </c>
      <c r="AG4" s="0" t="n">
        <v>12575</v>
      </c>
    </row>
    <row r="5" customFormat="false" ht="15" hidden="false" customHeight="false" outlineLevel="0" collapsed="false">
      <c r="A5" s="0" t="s">
        <v>71</v>
      </c>
      <c r="B5" s="0" t="n">
        <v>9526</v>
      </c>
      <c r="C5" s="0" t="n">
        <v>2646</v>
      </c>
      <c r="D5" s="0" t="n">
        <v>6880</v>
      </c>
      <c r="E5" s="0" t="n">
        <v>72.2</v>
      </c>
      <c r="F5" s="0" t="n">
        <v>6375</v>
      </c>
      <c r="G5" s="0" t="n">
        <v>66.9</v>
      </c>
      <c r="H5" s="0" t="n">
        <v>6425</v>
      </c>
      <c r="I5" s="0" t="n">
        <v>-1541</v>
      </c>
      <c r="J5" s="0" t="n">
        <v>-16.2</v>
      </c>
      <c r="K5" s="0" t="n">
        <v>-1.13</v>
      </c>
      <c r="L5" s="0" t="n">
        <v>3761</v>
      </c>
      <c r="M5" s="0" t="n">
        <v>3125</v>
      </c>
      <c r="N5" s="0" t="n">
        <v>636</v>
      </c>
      <c r="O5" s="0" t="n">
        <v>92105</v>
      </c>
      <c r="P5" s="0" t="n">
        <v>224739</v>
      </c>
      <c r="Q5" s="0" t="n">
        <v>65400</v>
      </c>
      <c r="R5" s="0" t="n">
        <v>38770</v>
      </c>
      <c r="S5" s="0" t="n">
        <v>6793</v>
      </c>
      <c r="T5" s="0" t="n">
        <v>1361.62</v>
      </c>
      <c r="AA5" s="0" t="s">
        <v>17</v>
      </c>
      <c r="AB5" s="0" t="s">
        <v>14</v>
      </c>
      <c r="AC5" s="0" t="n">
        <v>1377</v>
      </c>
      <c r="AD5" s="0" t="n">
        <v>159339</v>
      </c>
      <c r="AE5" s="0" t="n">
        <v>-6856</v>
      </c>
      <c r="AF5" s="0" t="n">
        <v>-644</v>
      </c>
      <c r="AG5" s="0" t="n">
        <v>-2185</v>
      </c>
    </row>
    <row r="6" customFormat="false" ht="15" hidden="false" customHeight="false" outlineLevel="0" collapsed="false">
      <c r="A6" s="0" t="s">
        <v>72</v>
      </c>
      <c r="B6" s="0" t="n">
        <v>10919</v>
      </c>
      <c r="C6" s="0" t="n">
        <v>3112</v>
      </c>
      <c r="D6" s="0" t="n">
        <v>7807</v>
      </c>
      <c r="E6" s="0" t="n">
        <v>71.5</v>
      </c>
      <c r="F6" s="0" t="n">
        <v>7249</v>
      </c>
      <c r="G6" s="0" t="n">
        <v>66.4</v>
      </c>
      <c r="H6" s="0" t="n">
        <v>7297</v>
      </c>
      <c r="I6" s="0" t="n">
        <v>2589</v>
      </c>
      <c r="J6" s="0" t="n">
        <v>23.7</v>
      </c>
      <c r="K6" s="0" t="n">
        <v>1.9</v>
      </c>
      <c r="L6" s="0" t="n">
        <v>3043</v>
      </c>
      <c r="M6" s="0" t="n">
        <v>2878</v>
      </c>
      <c r="N6" s="0" t="n">
        <v>165</v>
      </c>
      <c r="O6" s="0" t="n">
        <v>95842</v>
      </c>
      <c r="P6" s="0" t="n">
        <v>238021</v>
      </c>
      <c r="Q6" s="0" t="n">
        <v>73534</v>
      </c>
      <c r="R6" s="0" t="n">
        <v>45883</v>
      </c>
      <c r="S6" s="0" t="n">
        <v>9140</v>
      </c>
      <c r="T6" s="0" t="n">
        <v>1361.62</v>
      </c>
      <c r="AA6" s="0" t="s">
        <v>17</v>
      </c>
      <c r="AB6" s="0" t="s">
        <v>14</v>
      </c>
      <c r="AC6" s="0" t="n">
        <v>1424</v>
      </c>
      <c r="AD6" s="0" t="n">
        <v>164487</v>
      </c>
      <c r="AE6" s="0" t="n">
        <v>458</v>
      </c>
      <c r="AF6" s="0" t="n">
        <v>2486</v>
      </c>
      <c r="AG6" s="0" t="n">
        <v>5075</v>
      </c>
    </row>
    <row r="7" customFormat="false" ht="15" hidden="false" customHeight="false" outlineLevel="0" collapsed="false">
      <c r="A7" s="0" t="s">
        <v>73</v>
      </c>
      <c r="B7" s="0" t="n">
        <v>10941</v>
      </c>
      <c r="C7" s="0" t="n">
        <v>3258</v>
      </c>
      <c r="D7" s="0" t="n">
        <v>7683</v>
      </c>
      <c r="E7" s="0" t="n">
        <v>70.2</v>
      </c>
      <c r="F7" s="0" t="n">
        <v>7015</v>
      </c>
      <c r="G7" s="0" t="n">
        <v>64.1</v>
      </c>
      <c r="H7" s="0" t="n">
        <v>7077</v>
      </c>
      <c r="I7" s="0" t="n">
        <v>2718</v>
      </c>
      <c r="J7" s="0" t="n">
        <v>24.8</v>
      </c>
      <c r="K7" s="0" t="n">
        <v>2</v>
      </c>
      <c r="L7" s="0" t="n">
        <v>4443</v>
      </c>
      <c r="M7" s="0" t="n">
        <v>2721</v>
      </c>
      <c r="N7" s="0" t="n">
        <v>1722</v>
      </c>
      <c r="O7" s="0" t="n">
        <v>92819</v>
      </c>
      <c r="P7" s="0" t="n">
        <v>226534</v>
      </c>
      <c r="Q7" s="0" t="n">
        <v>71321</v>
      </c>
      <c r="R7" s="0" t="n">
        <v>45953</v>
      </c>
      <c r="S7" s="0" t="n">
        <v>5785</v>
      </c>
      <c r="T7" s="0" t="n">
        <v>1361.62</v>
      </c>
      <c r="AA7" s="0" t="s">
        <v>17</v>
      </c>
      <c r="AB7" s="0" t="s">
        <v>14</v>
      </c>
      <c r="AC7" s="0" t="n">
        <v>1444</v>
      </c>
      <c r="AD7" s="0" t="n">
        <v>155213</v>
      </c>
      <c r="AE7" s="0" t="n">
        <v>-352</v>
      </c>
      <c r="AF7" s="0" t="n">
        <v>2077</v>
      </c>
      <c r="AG7" s="0" t="n">
        <v>4795</v>
      </c>
    </row>
    <row r="8" customFormat="false" ht="15" hidden="false" customHeight="false" outlineLevel="0" collapsed="false">
      <c r="A8" s="0" t="s">
        <v>74</v>
      </c>
      <c r="B8" s="0" t="n">
        <v>10881</v>
      </c>
      <c r="C8" s="0" t="n">
        <v>3087</v>
      </c>
      <c r="D8" s="0" t="n">
        <v>7794</v>
      </c>
      <c r="E8" s="0" t="n">
        <v>71.6</v>
      </c>
      <c r="F8" s="0" t="n">
        <v>7127</v>
      </c>
      <c r="G8" s="0" t="n">
        <v>65.5</v>
      </c>
      <c r="H8" s="0" t="n">
        <v>7205</v>
      </c>
      <c r="I8" s="0" t="n">
        <v>2811</v>
      </c>
      <c r="J8" s="0" t="n">
        <v>25.8</v>
      </c>
      <c r="K8" s="0" t="n">
        <v>2.06</v>
      </c>
      <c r="L8" s="0" t="n">
        <v>4022</v>
      </c>
      <c r="M8" s="0" t="n">
        <v>3132</v>
      </c>
      <c r="N8" s="0" t="n">
        <v>890</v>
      </c>
      <c r="O8" s="0" t="n">
        <v>94360</v>
      </c>
      <c r="P8" s="0" t="n">
        <v>231452</v>
      </c>
      <c r="Q8" s="0" t="n">
        <v>76536</v>
      </c>
      <c r="R8" s="0" t="n">
        <v>50693</v>
      </c>
      <c r="S8" s="0" t="n">
        <v>6343</v>
      </c>
      <c r="T8" s="0" t="n">
        <v>1361.62</v>
      </c>
      <c r="AA8" s="0" t="s">
        <v>17</v>
      </c>
      <c r="AB8" s="0" t="s">
        <v>14</v>
      </c>
      <c r="AC8" s="0" t="n">
        <v>1879</v>
      </c>
      <c r="AD8" s="0" t="n">
        <v>154916</v>
      </c>
      <c r="AE8" s="0" t="n">
        <v>-62</v>
      </c>
      <c r="AF8" s="0" t="n">
        <v>2104</v>
      </c>
      <c r="AG8" s="0" t="n">
        <v>4915</v>
      </c>
    </row>
    <row r="9" customFormat="false" ht="15" hidden="false" customHeight="false" outlineLevel="0" collapsed="false">
      <c r="A9" s="0" t="s">
        <v>75</v>
      </c>
      <c r="B9" s="0" t="n">
        <v>11760</v>
      </c>
      <c r="C9" s="0" t="n">
        <v>4934</v>
      </c>
      <c r="D9" s="0" t="n">
        <v>6826</v>
      </c>
      <c r="E9" s="0" t="n">
        <v>58</v>
      </c>
      <c r="F9" s="0" t="n">
        <v>6179</v>
      </c>
      <c r="G9" s="0" t="n">
        <v>52.5</v>
      </c>
      <c r="H9" s="0" t="n">
        <v>6296</v>
      </c>
      <c r="I9" s="0" t="n">
        <v>1613</v>
      </c>
      <c r="J9" s="0" t="n">
        <v>13.7</v>
      </c>
      <c r="K9" s="0" t="n">
        <v>1.18</v>
      </c>
      <c r="L9" s="0" t="n">
        <v>5215</v>
      </c>
      <c r="M9" s="0" t="n">
        <v>3284</v>
      </c>
      <c r="N9" s="0" t="n">
        <v>1931</v>
      </c>
      <c r="O9" s="0" t="n">
        <v>95776</v>
      </c>
      <c r="P9" s="0" t="n">
        <v>234968</v>
      </c>
      <c r="Q9" s="0" t="n">
        <v>82280</v>
      </c>
      <c r="R9" s="0" t="n">
        <v>57794</v>
      </c>
      <c r="S9" s="0" t="n">
        <v>10817</v>
      </c>
      <c r="T9" s="0" t="n">
        <v>1361.62</v>
      </c>
      <c r="AA9" s="0" t="s">
        <v>17</v>
      </c>
      <c r="AB9" s="0" t="s">
        <v>14</v>
      </c>
      <c r="AC9" s="0" t="n">
        <v>2032</v>
      </c>
      <c r="AD9" s="0" t="n">
        <v>152688</v>
      </c>
      <c r="AE9" s="0" t="n">
        <v>-1197</v>
      </c>
      <c r="AF9" s="0" t="n">
        <v>1223</v>
      </c>
      <c r="AG9" s="0" t="n">
        <v>2836</v>
      </c>
    </row>
    <row r="10" customFormat="false" ht="15" hidden="false" customHeight="false" outlineLevel="0" collapsed="false">
      <c r="A10" s="0" t="s">
        <v>76</v>
      </c>
      <c r="B10" s="0" t="n">
        <v>10414</v>
      </c>
      <c r="C10" s="0" t="n">
        <v>3578</v>
      </c>
      <c r="D10" s="0" t="n">
        <v>6836</v>
      </c>
      <c r="E10" s="0" t="n">
        <v>65.6</v>
      </c>
      <c r="F10" s="0" t="n">
        <v>6205</v>
      </c>
      <c r="G10" s="0" t="n">
        <v>59.6</v>
      </c>
      <c r="H10" s="0" t="n">
        <v>6355</v>
      </c>
      <c r="I10" s="0" t="n">
        <v>1370</v>
      </c>
      <c r="J10" s="0" t="n">
        <v>13.2</v>
      </c>
      <c r="K10" s="0" t="n">
        <v>1.01</v>
      </c>
      <c r="L10" s="0" t="n">
        <v>6062</v>
      </c>
      <c r="M10" s="0" t="n">
        <v>2428</v>
      </c>
      <c r="N10" s="0" t="n">
        <v>3634</v>
      </c>
      <c r="O10" s="0" t="n">
        <v>98881</v>
      </c>
      <c r="P10" s="0" t="n">
        <v>236232</v>
      </c>
      <c r="Q10" s="0" t="n">
        <v>80965</v>
      </c>
      <c r="R10" s="0" t="n">
        <v>54837</v>
      </c>
      <c r="S10" s="0" t="n">
        <v>6792</v>
      </c>
      <c r="T10" s="0" t="n">
        <v>1361.62</v>
      </c>
      <c r="AA10" s="0" t="s">
        <v>17</v>
      </c>
      <c r="AB10" s="0" t="s">
        <v>14</v>
      </c>
      <c r="AC10" s="0" t="n">
        <v>1908</v>
      </c>
      <c r="AD10" s="0" t="n">
        <v>155267</v>
      </c>
      <c r="AE10" s="0" t="n">
        <v>-1166</v>
      </c>
      <c r="AF10" s="0" t="n">
        <v>1084</v>
      </c>
      <c r="AG10" s="0" t="n">
        <v>2454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12.29</v>
      </c>
    </row>
    <row r="3" customFormat="false" ht="15" hidden="false" customHeight="false" outlineLevel="0" collapsed="false">
      <c r="A3" s="0" t="s">
        <v>80</v>
      </c>
      <c r="B3" s="3" t="n">
        <v>1361.62</v>
      </c>
    </row>
    <row r="4" customFormat="false" ht="15" hidden="false" customHeight="false" outlineLevel="0" collapsed="false">
      <c r="A4" s="0" t="s">
        <v>81</v>
      </c>
      <c r="B4" s="3" t="n">
        <v>0</v>
      </c>
    </row>
    <row r="5" customFormat="false" ht="15" hidden="false" customHeight="false" outlineLevel="0" collapsed="false">
      <c r="A5" s="0" t="s">
        <v>82</v>
      </c>
      <c r="B5" s="3" t="n">
        <v>5580</v>
      </c>
    </row>
    <row r="6" customFormat="false" ht="15" hidden="false" customHeight="false" outlineLevel="0" collapsed="false">
      <c r="A6" s="0" t="s">
        <v>83</v>
      </c>
      <c r="B6" s="3" t="n">
        <v>15</v>
      </c>
    </row>
    <row r="7" customFormat="false" ht="15" hidden="false" customHeight="false" outlineLevel="0" collapsed="false">
      <c r="A7" s="0" t="s">
        <v>84</v>
      </c>
      <c r="B7" s="3" t="n">
        <v>6496</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2</v>
      </c>
      <c r="D13" s="3" t="n">
        <v>1</v>
      </c>
      <c r="E13" s="3" t="n">
        <v>0</v>
      </c>
      <c r="F13" s="3" t="n">
        <v>0</v>
      </c>
      <c r="G13" s="3" t="n">
        <v>1</v>
      </c>
      <c r="H13" s="3" t="n">
        <v>1</v>
      </c>
      <c r="I13" s="3" t="n">
        <v>1.5</v>
      </c>
      <c r="J13" s="3" t="n">
        <v>1.5</v>
      </c>
      <c r="K13" s="3" t="n">
        <v>1.5</v>
      </c>
      <c r="L13" s="3" t="n">
        <v>1.5</v>
      </c>
    </row>
    <row r="14" customFormat="false" ht="15" hidden="false" customHeight="false" outlineLevel="0" collapsed="false">
      <c r="A14" s="0" t="s">
        <v>101</v>
      </c>
      <c r="C14" s="3" t="n">
        <v>29.5</v>
      </c>
      <c r="D14" s="3" t="n">
        <v>29</v>
      </c>
      <c r="E14" s="3" t="n">
        <v>28.5</v>
      </c>
      <c r="F14" s="3" t="n">
        <v>28.5</v>
      </c>
      <c r="G14" s="3" t="n">
        <v>28.5</v>
      </c>
      <c r="H14" s="3" t="n">
        <v>28.5</v>
      </c>
      <c r="I14" s="3" t="n">
        <v>28.5</v>
      </c>
      <c r="J14" s="3" t="n">
        <v>28.5</v>
      </c>
      <c r="K14" s="3" t="n">
        <v>28.5</v>
      </c>
      <c r="L14" s="3" t="n">
        <v>28.5</v>
      </c>
    </row>
    <row r="15" customFormat="false" ht="15" hidden="false" customHeight="false" outlineLevel="0" collapsed="false">
      <c r="A15" s="0" t="s">
        <v>102</v>
      </c>
      <c r="C15" s="3" t="n">
        <v>0.5</v>
      </c>
      <c r="D15" s="3" t="n">
        <v>0.5</v>
      </c>
      <c r="E15" s="3" t="n">
        <v>0.5</v>
      </c>
      <c r="F15" s="3" t="n">
        <v>0.5</v>
      </c>
      <c r="G15" s="3" t="n">
        <v>0.5</v>
      </c>
      <c r="H15" s="3" t="n">
        <v>0.5</v>
      </c>
      <c r="I15" s="3" t="n">
        <v>0.5</v>
      </c>
      <c r="J15" s="3" t="n">
        <v>0.5</v>
      </c>
      <c r="K15" s="3" t="n">
        <v>0.5</v>
      </c>
      <c r="L15" s="3" t="n">
        <v>0.5</v>
      </c>
    </row>
    <row r="16" customFormat="false" ht="15" hidden="false" customHeight="false" outlineLevel="0" collapsed="false">
      <c r="A16" s="0" t="s">
        <v>103</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104</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105</v>
      </c>
      <c r="C18" s="3" t="n">
        <v>18</v>
      </c>
      <c r="D18" s="3" t="n">
        <v>13</v>
      </c>
      <c r="E18" s="3" t="n">
        <v>9</v>
      </c>
      <c r="F18" s="3" t="n">
        <v>6</v>
      </c>
      <c r="G18" s="3" t="n">
        <v>6</v>
      </c>
      <c r="H18" s="3" t="n">
        <v>6</v>
      </c>
      <c r="I18" s="3" t="n">
        <v>6</v>
      </c>
      <c r="J18" s="3" t="n">
        <v>6</v>
      </c>
      <c r="K18" s="3" t="n">
        <v>6</v>
      </c>
      <c r="L18" s="3" t="n">
        <v>6</v>
      </c>
    </row>
    <row r="19" customFormat="false" ht="15" hidden="false" customHeight="false" outlineLevel="0" collapsed="false">
      <c r="A19" s="0" t="s">
        <v>106</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107</v>
      </c>
      <c r="B20" s="3" t="n">
        <v>10.5</v>
      </c>
    </row>
    <row r="21" customFormat="false" ht="15" hidden="false" customHeight="false" outlineLevel="0" collapsed="false">
      <c r="A21" s="0" t="s">
        <v>108</v>
      </c>
      <c r="B21" s="3" t="n">
        <v>1</v>
      </c>
    </row>
    <row r="22" customFormat="false" ht="15" hidden="false" customHeight="false" outlineLevel="0" collapsed="false">
      <c r="A22" s="0" t="s">
        <v>109</v>
      </c>
      <c r="B22" s="3" t="n">
        <v>10</v>
      </c>
    </row>
    <row r="23" customFormat="false" ht="15" hidden="false" customHeight="false" outlineLevel="0" collapsed="false">
      <c r="A23" s="0" t="s">
        <v>110</v>
      </c>
      <c r="B23" s="3" t="n">
        <v>0</v>
      </c>
    </row>
    <row r="24" customFormat="false" ht="15" hidden="false" customHeight="false" outlineLevel="0" collapsed="false">
      <c r="A24" s="0" t="s">
        <v>111</v>
      </c>
      <c r="B24" s="3" t="n">
        <v>0.25</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6</v>
      </c>
      <c r="D27" s="3" t="n">
        <v>6</v>
      </c>
      <c r="E27" s="3" t="n">
        <v>4</v>
      </c>
      <c r="F27" s="3" t="n">
        <v>3</v>
      </c>
      <c r="G27" s="3" t="n">
        <v>3</v>
      </c>
      <c r="H27" s="3" t="n">
        <v>3</v>
      </c>
      <c r="I27" s="3" t="n">
        <v>2.5</v>
      </c>
      <c r="J27" s="3" t="n">
        <v>2.5</v>
      </c>
      <c r="K27" s="3" t="n">
        <v>2.5</v>
      </c>
      <c r="L27" s="3" t="n">
        <v>2.5</v>
      </c>
    </row>
    <row r="28" customFormat="false" ht="15" hidden="false" customHeight="false" outlineLevel="0" collapsed="false">
      <c r="A28" s="0" t="s">
        <v>101</v>
      </c>
      <c r="C28" s="3" t="n">
        <v>30.5</v>
      </c>
      <c r="D28" s="3" t="n">
        <v>31</v>
      </c>
      <c r="E28" s="3" t="n">
        <v>32</v>
      </c>
      <c r="F28" s="3" t="n">
        <v>32.5</v>
      </c>
      <c r="G28" s="3" t="n">
        <v>33</v>
      </c>
      <c r="H28" s="3" t="n">
        <v>33.5</v>
      </c>
      <c r="I28" s="3" t="n">
        <v>34</v>
      </c>
      <c r="J28" s="3" t="n">
        <v>34</v>
      </c>
      <c r="K28" s="3" t="n">
        <v>34</v>
      </c>
      <c r="L28" s="3" t="n">
        <v>34</v>
      </c>
    </row>
    <row r="29" customFormat="false" ht="15" hidden="false" customHeight="false" outlineLevel="0" collapsed="false">
      <c r="A29" s="0" t="s">
        <v>102</v>
      </c>
      <c r="C29" s="3" t="n">
        <v>0.5</v>
      </c>
      <c r="D29" s="3" t="n">
        <v>0.5</v>
      </c>
      <c r="E29" s="3" t="n">
        <v>0.5</v>
      </c>
      <c r="F29" s="3" t="n">
        <v>0.5</v>
      </c>
      <c r="G29" s="3" t="n">
        <v>0.5</v>
      </c>
      <c r="H29" s="3" t="n">
        <v>0.5</v>
      </c>
      <c r="I29" s="3" t="n">
        <v>0.5</v>
      </c>
      <c r="J29" s="3" t="n">
        <v>0.5</v>
      </c>
      <c r="K29" s="3" t="n">
        <v>0.5</v>
      </c>
      <c r="L29" s="3" t="n">
        <v>0.5</v>
      </c>
    </row>
    <row r="30" customFormat="false" ht="15" hidden="false" customHeight="false" outlineLevel="0" collapsed="false">
      <c r="A30" s="0" t="s">
        <v>103</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104</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105</v>
      </c>
      <c r="C32" s="3" t="n">
        <v>17</v>
      </c>
      <c r="D32" s="3" t="n">
        <v>12</v>
      </c>
      <c r="E32" s="3" t="n">
        <v>8</v>
      </c>
      <c r="F32" s="3" t="n">
        <v>5.5</v>
      </c>
      <c r="G32" s="3" t="n">
        <v>5.5</v>
      </c>
      <c r="H32" s="3" t="n">
        <v>5.5</v>
      </c>
      <c r="I32" s="3" t="n">
        <v>5.5</v>
      </c>
      <c r="J32" s="3" t="n">
        <v>5.5</v>
      </c>
      <c r="K32" s="3" t="n">
        <v>5.5</v>
      </c>
      <c r="L32" s="3" t="n">
        <v>5.5</v>
      </c>
    </row>
    <row r="33" customFormat="false" ht="15" hidden="false" customHeight="false" outlineLevel="0" collapsed="false">
      <c r="A33" s="0" t="s">
        <v>106</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107</v>
      </c>
      <c r="B34" s="3" t="n">
        <v>10.5</v>
      </c>
    </row>
    <row r="35" customFormat="false" ht="15" hidden="false" customHeight="false" outlineLevel="0" collapsed="false">
      <c r="A35" s="0" t="s">
        <v>108</v>
      </c>
      <c r="B35" s="3" t="n">
        <v>2</v>
      </c>
    </row>
    <row r="36" customFormat="false" ht="15" hidden="false" customHeight="false" outlineLevel="0" collapsed="false">
      <c r="A36" s="0" t="s">
        <v>109</v>
      </c>
      <c r="B36" s="3" t="n">
        <v>12</v>
      </c>
    </row>
    <row r="37" customFormat="false" ht="15" hidden="false" customHeight="false" outlineLevel="0" collapsed="false">
      <c r="A37" s="0" t="s">
        <v>110</v>
      </c>
      <c r="B37" s="3" t="n">
        <v>0</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8</v>
      </c>
      <c r="D41" s="3" t="n">
        <v>8</v>
      </c>
      <c r="E41" s="3" t="n">
        <v>6</v>
      </c>
      <c r="F41" s="3" t="n">
        <v>5</v>
      </c>
      <c r="G41" s="3" t="n">
        <v>4</v>
      </c>
      <c r="H41" s="3" t="n">
        <v>4</v>
      </c>
      <c r="I41" s="3" t="n">
        <v>3.5</v>
      </c>
      <c r="J41" s="3" t="n">
        <v>3</v>
      </c>
      <c r="K41" s="3" t="n">
        <v>3</v>
      </c>
      <c r="L41" s="3" t="n">
        <v>3</v>
      </c>
    </row>
    <row r="42" customFormat="false" ht="15" hidden="false" customHeight="false" outlineLevel="0" collapsed="false">
      <c r="A42" s="0" t="s">
        <v>101</v>
      </c>
      <c r="C42" s="3" t="n">
        <v>31.5</v>
      </c>
      <c r="D42" s="3" t="n">
        <v>32.5</v>
      </c>
      <c r="E42" s="3" t="n">
        <v>33.5</v>
      </c>
      <c r="F42" s="3" t="n">
        <v>34.5</v>
      </c>
      <c r="G42" s="3" t="n">
        <v>35.5</v>
      </c>
      <c r="H42" s="3" t="n">
        <v>36</v>
      </c>
      <c r="I42" s="3" t="n">
        <v>36.5</v>
      </c>
      <c r="J42" s="3" t="n">
        <v>36.5</v>
      </c>
      <c r="K42" s="3" t="n">
        <v>36.5</v>
      </c>
      <c r="L42" s="3" t="n">
        <v>36.5</v>
      </c>
    </row>
    <row r="43" customFormat="false" ht="15" hidden="false" customHeight="false" outlineLevel="0" collapsed="false">
      <c r="A43" s="0" t="s">
        <v>102</v>
      </c>
      <c r="C43" s="3" t="n">
        <v>0.5</v>
      </c>
      <c r="D43" s="3" t="n">
        <v>0.5</v>
      </c>
      <c r="E43" s="3" t="n">
        <v>0.5</v>
      </c>
      <c r="F43" s="3" t="n">
        <v>0.5</v>
      </c>
      <c r="G43" s="3" t="n">
        <v>0.5</v>
      </c>
      <c r="H43" s="3" t="n">
        <v>0.5</v>
      </c>
      <c r="I43" s="3" t="n">
        <v>0.5</v>
      </c>
      <c r="J43" s="3" t="n">
        <v>0.5</v>
      </c>
      <c r="K43" s="3" t="n">
        <v>0.5</v>
      </c>
      <c r="L43" s="3" t="n">
        <v>0.5</v>
      </c>
    </row>
    <row r="44" customFormat="false" ht="15" hidden="false" customHeight="false" outlineLevel="0" collapsed="false">
      <c r="A44" s="0" t="s">
        <v>103</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104</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105</v>
      </c>
      <c r="C46" s="3" t="n">
        <v>16</v>
      </c>
      <c r="D46" s="3" t="n">
        <v>11</v>
      </c>
      <c r="E46" s="3" t="n">
        <v>7</v>
      </c>
      <c r="F46" s="3" t="n">
        <v>5</v>
      </c>
      <c r="G46" s="3" t="n">
        <v>5</v>
      </c>
      <c r="H46" s="3" t="n">
        <v>5</v>
      </c>
      <c r="I46" s="3" t="n">
        <v>5</v>
      </c>
      <c r="J46" s="3" t="n">
        <v>5</v>
      </c>
      <c r="K46" s="3" t="n">
        <v>5</v>
      </c>
      <c r="L46" s="3" t="n">
        <v>5</v>
      </c>
    </row>
    <row r="47" customFormat="false" ht="15" hidden="false" customHeight="false" outlineLevel="0" collapsed="false">
      <c r="A47" s="0" t="s">
        <v>106</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107</v>
      </c>
      <c r="B48" s="3" t="n">
        <v>10.5</v>
      </c>
    </row>
    <row r="49" customFormat="false" ht="15" hidden="false" customHeight="false" outlineLevel="0" collapsed="false">
      <c r="A49" s="0" t="s">
        <v>108</v>
      </c>
      <c r="B49" s="3" t="n">
        <v>2.5</v>
      </c>
    </row>
    <row r="50" customFormat="false" ht="15" hidden="false" customHeight="false" outlineLevel="0" collapsed="false">
      <c r="A50" s="0" t="s">
        <v>109</v>
      </c>
      <c r="B50" s="3" t="n">
        <v>13</v>
      </c>
    </row>
    <row r="51" customFormat="false" ht="15" hidden="false" customHeight="false" outlineLevel="0" collapsed="false">
      <c r="A51" s="0" t="s">
        <v>110</v>
      </c>
      <c r="B51" s="3" t="n">
        <v>0</v>
      </c>
    </row>
    <row r="52" customFormat="false" ht="15" hidden="false" customHeight="false" outlineLevel="0" collapsed="false">
      <c r="A52" s="0" t="s">
        <v>111</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2</v>
      </c>
      <c r="D5" s="4" t="n">
        <f aca="false">Assumptions!D13</f>
        <v>1</v>
      </c>
      <c r="E5" s="4" t="n">
        <f aca="false">Assumptions!E13</f>
        <v>0</v>
      </c>
      <c r="F5" s="4" t="n">
        <f aca="false">Assumptions!F13</f>
        <v>0</v>
      </c>
      <c r="G5" s="4" t="n">
        <f aca="false">Assumptions!G13</f>
        <v>1</v>
      </c>
      <c r="H5" s="4" t="n">
        <f aca="false">Assumptions!H13</f>
        <v>1</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6496</v>
      </c>
      <c r="C6" s="0" t="n">
        <f aca="false">B6*(1+C5/100)</f>
        <v>6625.92</v>
      </c>
      <c r="D6" s="0" t="n">
        <f aca="false">C6*(1+D5/100)</f>
        <v>6692.1792</v>
      </c>
      <c r="E6" s="0" t="n">
        <f aca="false">D6*(1+E5/100)</f>
        <v>6692.1792</v>
      </c>
      <c r="F6" s="0" t="n">
        <f aca="false">E6*(1+F5/100)</f>
        <v>6692.1792</v>
      </c>
      <c r="G6" s="0" t="n">
        <f aca="false">F6*(1+G5/100)</f>
        <v>6759.100992</v>
      </c>
      <c r="H6" s="0" t="n">
        <f aca="false">G6*(1+H5/100)</f>
        <v>6826.69200192</v>
      </c>
      <c r="I6" s="0" t="n">
        <f aca="false">H6*(1+I5/100)</f>
        <v>6929.0923819488</v>
      </c>
      <c r="J6" s="0" t="n">
        <f aca="false">I6*(1+J5/100)</f>
        <v>7033.02876767803</v>
      </c>
      <c r="K6" s="0" t="n">
        <f aca="false">J6*(1+K5/100)</f>
        <v>7138.5241991932</v>
      </c>
      <c r="L6" s="0" t="n">
        <f aca="false">K6*(1+L5/100)</f>
        <v>7245.6020621811</v>
      </c>
    </row>
    <row r="7" customFormat="false" ht="15" hidden="false" customHeight="false" outlineLevel="0" collapsed="false">
      <c r="A7" s="0" t="s">
        <v>101</v>
      </c>
      <c r="C7" s="4" t="n">
        <f aca="false">Assumptions!C14</f>
        <v>29.5</v>
      </c>
      <c r="D7" s="4" t="n">
        <f aca="false">Assumptions!D14</f>
        <v>29</v>
      </c>
      <c r="E7" s="4" t="n">
        <f aca="false">Assumptions!E14</f>
        <v>28.5</v>
      </c>
      <c r="F7" s="4" t="n">
        <f aca="false">Assumptions!F14</f>
        <v>28.5</v>
      </c>
      <c r="G7" s="4" t="n">
        <f aca="false">Assumptions!G14</f>
        <v>28.5</v>
      </c>
      <c r="H7" s="4" t="n">
        <f aca="false">Assumptions!H14</f>
        <v>28.5</v>
      </c>
      <c r="I7" s="4" t="n">
        <f aca="false">Assumptions!I14</f>
        <v>28.5</v>
      </c>
      <c r="J7" s="4" t="n">
        <f aca="false">Assumptions!J14</f>
        <v>28.5</v>
      </c>
      <c r="K7" s="4" t="n">
        <f aca="false">Assumptions!K14</f>
        <v>28.5</v>
      </c>
      <c r="L7" s="4" t="n">
        <f aca="false">Assumptions!L14</f>
        <v>28.5</v>
      </c>
    </row>
    <row r="8" customFormat="false" ht="15" hidden="false" customHeight="false" outlineLevel="0" collapsed="false">
      <c r="A8" s="0" t="s">
        <v>43</v>
      </c>
      <c r="C8" s="0" t="n">
        <f aca="false">C6*C7/100</f>
        <v>1954.6464</v>
      </c>
      <c r="D8" s="0" t="n">
        <f aca="false">D6*D7/100</f>
        <v>1940.731968</v>
      </c>
      <c r="E8" s="0" t="n">
        <f aca="false">E6*E7/100</f>
        <v>1907.271072</v>
      </c>
      <c r="F8" s="0" t="n">
        <f aca="false">F6*F7/100</f>
        <v>1907.271072</v>
      </c>
      <c r="G8" s="0" t="n">
        <f aca="false">G6*G7/100</f>
        <v>1926.34378272</v>
      </c>
      <c r="H8" s="0" t="n">
        <f aca="false">H6*H7/100</f>
        <v>1945.6072205472</v>
      </c>
      <c r="I8" s="0" t="n">
        <f aca="false">I6*I7/100</f>
        <v>1974.79132885541</v>
      </c>
      <c r="J8" s="0" t="n">
        <f aca="false">J6*J7/100</f>
        <v>2004.41319878824</v>
      </c>
      <c r="K8" s="0" t="n">
        <f aca="false">K6*K7/100</f>
        <v>2034.47939677006</v>
      </c>
      <c r="L8" s="0" t="n">
        <f aca="false">L6*L7/100</f>
        <v>2064.99658772161</v>
      </c>
    </row>
    <row r="9" customFormat="false" ht="15" hidden="false" customHeight="false" outlineLevel="0" collapsed="false">
      <c r="A9" s="0" t="s">
        <v>102</v>
      </c>
      <c r="C9" s="4" t="n">
        <f aca="false">Assumptions!C15</f>
        <v>0.5</v>
      </c>
      <c r="D9" s="4" t="n">
        <f aca="false">Assumptions!D15</f>
        <v>0.5</v>
      </c>
      <c r="E9" s="4" t="n">
        <f aca="false">Assumptions!E15</f>
        <v>0.5</v>
      </c>
      <c r="F9" s="4" t="n">
        <f aca="false">Assumptions!F15</f>
        <v>0.5</v>
      </c>
      <c r="G9" s="4" t="n">
        <f aca="false">Assumptions!G15</f>
        <v>0.5</v>
      </c>
      <c r="H9" s="4" t="n">
        <f aca="false">Assumptions!H15</f>
        <v>0.5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117</v>
      </c>
      <c r="C10" s="0" t="n">
        <f aca="false">-C6*C9/100</f>
        <v>-33.1296</v>
      </c>
      <c r="D10" s="0" t="n">
        <f aca="false">-D6*D9/100</f>
        <v>-33.460896</v>
      </c>
      <c r="E10" s="0" t="n">
        <f aca="false">-E6*E9/100</f>
        <v>-33.460896</v>
      </c>
      <c r="F10" s="0" t="n">
        <f aca="false">-F6*F9/100</f>
        <v>-33.460896</v>
      </c>
      <c r="G10" s="0" t="n">
        <f aca="false">-G6*G9/100</f>
        <v>-33.79550496</v>
      </c>
      <c r="H10" s="0" t="n">
        <f aca="false">-H6*H9/100</f>
        <v>-34.1334600096</v>
      </c>
      <c r="I10" s="0" t="n">
        <f aca="false">-I6*I9/100</f>
        <v>-34.645461909744</v>
      </c>
      <c r="J10" s="0" t="n">
        <f aca="false">-J6*J9/100</f>
        <v>-35.1651438383902</v>
      </c>
      <c r="K10" s="0" t="n">
        <f aca="false">-K6*K9/100</f>
        <v>-35.692620995966</v>
      </c>
      <c r="L10" s="0" t="n">
        <f aca="false">-L6*L9/100</f>
        <v>-36.2280103109055</v>
      </c>
    </row>
    <row r="11" customFormat="false" ht="15" hidden="false" customHeight="false" outlineLevel="0" collapsed="false">
      <c r="A11" s="0" t="s">
        <v>118</v>
      </c>
      <c r="C11" s="0" t="n">
        <f aca="false">C8+C10+C24</f>
        <v>1921.5168</v>
      </c>
      <c r="D11" s="0" t="n">
        <f aca="false">D8+D10+D24</f>
        <v>1907.271072</v>
      </c>
      <c r="E11" s="0" t="n">
        <f aca="false">E8+E10+E24</f>
        <v>1873.810176</v>
      </c>
      <c r="F11" s="0" t="n">
        <f aca="false">F8+F10+F24</f>
        <v>1873.810176</v>
      </c>
      <c r="G11" s="0" t="n">
        <f aca="false">G8+G10+G24</f>
        <v>1892.54827776</v>
      </c>
      <c r="H11" s="0" t="n">
        <f aca="false">H8+H10+H24</f>
        <v>1911.4737605376</v>
      </c>
      <c r="I11" s="0" t="n">
        <f aca="false">I8+I10+I24</f>
        <v>1940.14586694566</v>
      </c>
      <c r="J11" s="0" t="n">
        <f aca="false">J8+J10+J24</f>
        <v>1969.24805494985</v>
      </c>
      <c r="K11" s="0" t="n">
        <f aca="false">K8+K10+K24</f>
        <v>1998.7867757741</v>
      </c>
      <c r="L11" s="0" t="n">
        <f aca="false">L8+L10+L24</f>
        <v>2028.76857741071</v>
      </c>
    </row>
    <row r="12" customFormat="false" ht="15" hidden="false" customHeight="false" outlineLevel="0" collapsed="false">
      <c r="A12" s="0" t="s">
        <v>119</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120</v>
      </c>
      <c r="C13" s="0" t="n">
        <f aca="false">C11+C12</f>
        <v>1921.5168</v>
      </c>
      <c r="D13" s="0" t="n">
        <f aca="false">D11+D12</f>
        <v>1907.271072</v>
      </c>
      <c r="E13" s="0" t="n">
        <f aca="false">E11+E12</f>
        <v>1873.810176</v>
      </c>
      <c r="F13" s="0" t="n">
        <f aca="false">F11+F12</f>
        <v>1873.810176</v>
      </c>
      <c r="G13" s="0" t="n">
        <f aca="false">G11+G12</f>
        <v>1892.54827776</v>
      </c>
      <c r="H13" s="0" t="n">
        <f aca="false">H11+H12</f>
        <v>1911.4737605376</v>
      </c>
      <c r="I13" s="0" t="n">
        <f aca="false">I11+I12</f>
        <v>1940.14586694566</v>
      </c>
      <c r="J13" s="0" t="n">
        <f aca="false">J11+J12</f>
        <v>1969.24805494985</v>
      </c>
      <c r="K13" s="0" t="n">
        <f aca="false">K11+K12</f>
        <v>1998.7867757741</v>
      </c>
      <c r="L13" s="0" t="n">
        <f aca="false">L11+L12</f>
        <v>2028.76857741071</v>
      </c>
    </row>
    <row r="14" customFormat="false" ht="15" hidden="false" customHeight="false" outlineLevel="0" collapsed="false">
      <c r="A14" s="0" t="s">
        <v>106</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121</v>
      </c>
      <c r="C15" s="0" t="n">
        <f aca="false">C13-MAX(0,C13)*C14/100</f>
        <v>1921.5168</v>
      </c>
      <c r="D15" s="0" t="n">
        <f aca="false">D13-MAX(0,D13)*D14/100</f>
        <v>1907.271072</v>
      </c>
      <c r="E15" s="0" t="n">
        <f aca="false">E13-MAX(0,E13)*E14/100</f>
        <v>1873.810176</v>
      </c>
      <c r="F15" s="0" t="n">
        <f aca="false">F13-MAX(0,F13)*F14/100</f>
        <v>1873.810176</v>
      </c>
      <c r="G15" s="0" t="n">
        <f aca="false">G13-MAX(0,G13)*G14/100</f>
        <v>1892.54827776</v>
      </c>
      <c r="H15" s="0" t="n">
        <f aca="false">H13-MAX(0,H13)*H14/100</f>
        <v>1911.4737605376</v>
      </c>
      <c r="I15" s="0" t="n">
        <f aca="false">I13-MAX(0,I13)*I14/100</f>
        <v>1940.14586694566</v>
      </c>
      <c r="J15" s="0" t="n">
        <f aca="false">J13-MAX(0,J13)*J14/100</f>
        <v>1969.24805494985</v>
      </c>
      <c r="K15" s="0" t="n">
        <f aca="false">K13-MAX(0,K13)*K14/100</f>
        <v>1998.7867757741</v>
      </c>
      <c r="L15" s="0" t="n">
        <f aca="false">L13-MAX(0,L13)*L14/100</f>
        <v>2028.76857741071</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-C6*Assumptions!C18/100</f>
        <v>-1192.6656</v>
      </c>
      <c r="D17" s="4" t="n">
        <f aca="false">-D6*Assumptions!D18/100</f>
        <v>-869.983296</v>
      </c>
      <c r="E17" s="4" t="n">
        <f aca="false">-E6*Assumptions!E18/100</f>
        <v>-602.296128</v>
      </c>
      <c r="F17" s="4" t="n">
        <f aca="false">-F6*Assumptions!F18/100</f>
        <v>-401.530752</v>
      </c>
      <c r="G17" s="4" t="n">
        <f aca="false">-G6*Assumptions!G18/100</f>
        <v>-405.54605952</v>
      </c>
      <c r="H17" s="4" t="n">
        <f aca="false">-H6*Assumptions!H18/100</f>
        <v>-409.6015201152</v>
      </c>
      <c r="I17" s="4" t="n">
        <f aca="false">-I6*Assumptions!I18/100</f>
        <v>-415.745542916928</v>
      </c>
      <c r="J17" s="4" t="n">
        <f aca="false">-J6*Assumptions!J18/100</f>
        <v>-421.981726060682</v>
      </c>
      <c r="K17" s="4" t="n">
        <f aca="false">-K6*Assumptions!K18/100</f>
        <v>-428.311451951592</v>
      </c>
      <c r="L17" s="4" t="n">
        <f aca="false">-L6*Assumptions!L18/100</f>
        <v>-434.736123730866</v>
      </c>
    </row>
    <row r="18" customFormat="false" ht="15" hidden="false" customHeight="false" outlineLevel="0" collapsed="false">
      <c r="A18" s="0" t="s">
        <v>124</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125</v>
      </c>
      <c r="C19" s="0" t="n">
        <f aca="false">C15+C16+C17+C18</f>
        <v>728.8512</v>
      </c>
      <c r="D19" s="0" t="n">
        <f aca="false">D15+D16+D17+D18</f>
        <v>1037.287776</v>
      </c>
      <c r="E19" s="0" t="n">
        <f aca="false">E15+E16+E17+E18</f>
        <v>1271.514048</v>
      </c>
      <c r="F19" s="0" t="n">
        <f aca="false">F15+F16+F17+F18</f>
        <v>1472.279424</v>
      </c>
      <c r="G19" s="0" t="n">
        <f aca="false">G15+G16+G17+G18</f>
        <v>1487.00221824</v>
      </c>
      <c r="H19" s="0" t="n">
        <f aca="false">H15+H16+H17+H18</f>
        <v>1501.8722404224</v>
      </c>
      <c r="I19" s="0" t="n">
        <f aca="false">I15+I16+I17+I18</f>
        <v>1524.40032402874</v>
      </c>
      <c r="J19" s="0" t="n">
        <f aca="false">J15+J16+J17+J18</f>
        <v>1547.26632888917</v>
      </c>
      <c r="K19" s="0" t="n">
        <f aca="false">K15+K16+K17+K18</f>
        <v>1570.4753238225</v>
      </c>
      <c r="L19" s="0" t="n">
        <f aca="false">L15+L16+L17+L18</f>
        <v>1594.03245367984</v>
      </c>
    </row>
    <row r="20" customFormat="false" ht="15" hidden="false" customHeight="false" outlineLevel="0" collapsed="false">
      <c r="A20" s="0" t="s">
        <v>126</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127</v>
      </c>
      <c r="C21" s="0" t="n">
        <f aca="false">C19*C20</f>
        <v>659.593846153846</v>
      </c>
      <c r="D21" s="0" t="n">
        <f aca="false">D19*D20</f>
        <v>849.522144100244</v>
      </c>
      <c r="E21" s="0" t="n">
        <f aca="false">E19*E20</f>
        <v>942.397941200095</v>
      </c>
      <c r="F21" s="0" t="n">
        <f aca="false">F19*F20</f>
        <v>987.509154865544</v>
      </c>
      <c r="G21" s="0" t="n">
        <f aca="false">G19*G20</f>
        <v>902.610177750407</v>
      </c>
      <c r="H21" s="0" t="n">
        <f aca="false">H19*H20</f>
        <v>825.010207717566</v>
      </c>
      <c r="I21" s="0" t="n">
        <f aca="false">I19*I20</f>
        <v>757.814806184009</v>
      </c>
      <c r="J21" s="0" t="n">
        <f aca="false">J19*J20</f>
        <v>696.092333282144</v>
      </c>
      <c r="K21" s="0" t="n">
        <f aca="false">K19*K20</f>
        <v>639.397030118892</v>
      </c>
      <c r="L21" s="0" t="n">
        <f aca="false">L19*L20</f>
        <v>587.319443955362</v>
      </c>
    </row>
    <row r="23" customFormat="false" ht="15" hidden="false" customHeight="false" outlineLevel="0" collapsed="false">
      <c r="A23" s="0" t="s">
        <v>103</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Assumptions!$B$20</f>
        <v>10.5</v>
      </c>
    </row>
    <row r="28" customFormat="false" ht="15" hidden="false" customHeight="false" outlineLevel="0" collapsed="false">
      <c r="A28" s="0" t="s">
        <v>108</v>
      </c>
      <c r="B28" s="4" t="n">
        <f aca="false">Assumptions!$B$21</f>
        <v>1</v>
      </c>
    </row>
    <row r="29" customFormat="false" ht="15" hidden="false" customHeight="false" outlineLevel="0" collapsed="false">
      <c r="A29" s="0" t="s">
        <v>109</v>
      </c>
      <c r="B29" s="4" t="n">
        <f aca="false">Assumptions!$B$22</f>
        <v>10</v>
      </c>
    </row>
    <row r="30" customFormat="false" ht="15" hidden="false" customHeight="false" outlineLevel="0" collapsed="false">
      <c r="A30" s="0" t="s">
        <v>130</v>
      </c>
      <c r="B30" s="0" t="n">
        <f aca="false">SUM(C21:L21)</f>
        <v>7847.26708532811</v>
      </c>
    </row>
    <row r="31" customFormat="false" ht="15" hidden="false" customHeight="false" outlineLevel="0" collapsed="false">
      <c r="A31" s="0" t="s">
        <v>131</v>
      </c>
      <c r="B31" s="0" t="n">
        <f aca="false">L19</f>
        <v>1594.03245367984</v>
      </c>
    </row>
    <row r="32" customFormat="false" ht="15" hidden="false" customHeight="false" outlineLevel="0" collapsed="false">
      <c r="A32" s="0" t="s">
        <v>132</v>
      </c>
      <c r="B32" s="0" t="n">
        <f aca="false">IF(B27&gt;B28,B31*(1+B28/100)/((B27-B28)/100),B31*B29)</f>
        <v>16947.0818759646</v>
      </c>
    </row>
    <row r="33" customFormat="false" ht="15" hidden="false" customHeight="false" outlineLevel="0" collapsed="false">
      <c r="A33" s="0" t="s">
        <v>133</v>
      </c>
      <c r="B33" s="0" t="n">
        <f aca="false">B31*B29</f>
        <v>15940.3245367984</v>
      </c>
    </row>
    <row r="34" customFormat="false" ht="15" hidden="false" customHeight="false" outlineLevel="0" collapsed="false">
      <c r="A34" s="0" t="s">
        <v>134</v>
      </c>
      <c r="B34" s="0" t="n">
        <f aca="false">MAX(0,MIN(B32,B33))</f>
        <v>15940.3245367984</v>
      </c>
    </row>
    <row r="35" customFormat="false" ht="15" hidden="false" customHeight="false" outlineLevel="0" collapsed="false">
      <c r="A35" s="0" t="s">
        <v>135</v>
      </c>
      <c r="B35" s="0" t="n">
        <f aca="false">B34/(1+B27/100)^L4</f>
        <v>5873.19443955362</v>
      </c>
    </row>
    <row r="36" customFormat="false" ht="15" hidden="false" customHeight="false" outlineLevel="0" collapsed="false">
      <c r="A36" s="0" t="s">
        <v>136</v>
      </c>
      <c r="B36" s="0" t="n">
        <f aca="false">B30+B35</f>
        <v>13720.4615248817</v>
      </c>
    </row>
    <row r="37" customFormat="false" ht="15" hidden="false" customHeight="false" outlineLevel="0" collapsed="false">
      <c r="A37" s="0" t="s">
        <v>137</v>
      </c>
      <c r="B37" s="0" t="n">
        <f aca="false">B36+Assumptions!$B$5-Assumptions!$B$4</f>
        <v>19300.4615248817</v>
      </c>
    </row>
    <row r="38" customFormat="false" ht="15" hidden="false" customHeight="false" outlineLevel="0" collapsed="false">
      <c r="A38" s="0" t="s">
        <v>138</v>
      </c>
      <c r="B38" s="0" t="n">
        <f aca="false">B37/Assumptions!$B$3*Assumptions!$B$10</f>
        <v>14.1746313397877</v>
      </c>
    </row>
    <row r="39" customFormat="false" ht="15" hidden="false" customHeight="false" outlineLevel="0" collapsed="false">
      <c r="A39" s="0" t="s">
        <v>139</v>
      </c>
      <c r="B39" s="4" t="n">
        <f aca="false">B38/Assumptions!$B$2-1</f>
        <v>0.153346732285411</v>
      </c>
    </row>
    <row r="41" customFormat="false" ht="15" hidden="false" customHeight="false" outlineLevel="0" collapsed="false">
      <c r="A41" s="0" t="s">
        <v>140</v>
      </c>
      <c r="B41" s="0" t="n">
        <f aca="false">SUMPRODUCT(-C10:L10/(1+$B$27/100)^C4:L4)</f>
        <v>204.816177911994</v>
      </c>
    </row>
    <row r="42" customFormat="false" ht="15" hidden="false" customHeight="false" outlineLevel="0" collapsed="false">
      <c r="A42" s="0" t="s">
        <v>141</v>
      </c>
      <c r="B42" s="0" t="n">
        <f aca="false">IF(B27&gt;B28,-L10*(1+B28/100)/((B27-B28)/100),-L10*20)/(1+B27/100)^L4</f>
        <v>141.912114448545</v>
      </c>
    </row>
    <row r="43" customFormat="false" ht="15" hidden="false" customHeight="false" outlineLevel="0" collapsed="false">
      <c r="A43" s="0" t="s">
        <v>142</v>
      </c>
      <c r="B43" s="0" t="n">
        <f aca="false">(B37+B41+B42)/Assumptions!$B$3*Assumptions!$B$10</f>
        <v>14.4292752877031</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11499.8055586903</v>
      </c>
    </row>
    <row r="47" customFormat="false" ht="15" hidden="false" customHeight="false" outlineLevel="0" collapsed="false">
      <c r="A47" s="0" t="s">
        <v>144</v>
      </c>
      <c r="B47" s="0" t="n">
        <f aca="false">(SUMPRODUCT(C19:L19/(1+B45/100)^C4:L4)+B46/(1+B45/100)^L4+Assumptions!$B$5-Assumptions!$B$4)/Assumptions!$B$3*Assumptions!$B$10</f>
        <v>10.8888338020782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6</v>
      </c>
      <c r="D5" s="4" t="n">
        <f aca="false">Assumptions!D27</f>
        <v>6</v>
      </c>
      <c r="E5" s="4" t="n">
        <f aca="false">Assumptions!E27</f>
        <v>4</v>
      </c>
      <c r="F5" s="4" t="n">
        <f aca="false">Assumptions!F27</f>
        <v>3</v>
      </c>
      <c r="G5" s="4" t="n">
        <f aca="false">Assumptions!G27</f>
        <v>3</v>
      </c>
      <c r="H5" s="4" t="n">
        <f aca="false">Assumptions!H27</f>
        <v>3</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6496</v>
      </c>
      <c r="C6" s="0" t="n">
        <f aca="false">B6*(1+C5/100)</f>
        <v>6885.76</v>
      </c>
      <c r="D6" s="0" t="n">
        <f aca="false">C6*(1+D5/100)</f>
        <v>7298.9056</v>
      </c>
      <c r="E6" s="0" t="n">
        <f aca="false">D6*(1+E5/100)</f>
        <v>7590.861824</v>
      </c>
      <c r="F6" s="0" t="n">
        <f aca="false">E6*(1+F5/100)</f>
        <v>7818.58767872</v>
      </c>
      <c r="G6" s="0" t="n">
        <f aca="false">F6*(1+G5/100)</f>
        <v>8053.1453090816</v>
      </c>
      <c r="H6" s="0" t="n">
        <f aca="false">G6*(1+H5/100)</f>
        <v>8294.73966835405</v>
      </c>
      <c r="I6" s="0" t="n">
        <f aca="false">H6*(1+I5/100)</f>
        <v>8502.1081600629</v>
      </c>
      <c r="J6" s="0" t="n">
        <f aca="false">I6*(1+J5/100)</f>
        <v>8714.66086406447</v>
      </c>
      <c r="K6" s="0" t="n">
        <f aca="false">J6*(1+K5/100)</f>
        <v>8932.52738566608</v>
      </c>
      <c r="L6" s="0" t="n">
        <f aca="false">K6*(1+L5/100)</f>
        <v>9155.84057030773</v>
      </c>
    </row>
    <row r="7" customFormat="false" ht="15" hidden="false" customHeight="false" outlineLevel="0" collapsed="false">
      <c r="A7" s="0" t="s">
        <v>101</v>
      </c>
      <c r="C7" s="4" t="n">
        <f aca="false">Assumptions!C28</f>
        <v>30.5</v>
      </c>
      <c r="D7" s="4" t="n">
        <f aca="false">Assumptions!D28</f>
        <v>31</v>
      </c>
      <c r="E7" s="4" t="n">
        <f aca="false">Assumptions!E28</f>
        <v>32</v>
      </c>
      <c r="F7" s="4" t="n">
        <f aca="false">Assumptions!F28</f>
        <v>32.5</v>
      </c>
      <c r="G7" s="4" t="n">
        <f aca="false">Assumptions!G28</f>
        <v>33</v>
      </c>
      <c r="H7" s="4" t="n">
        <f aca="false">Assumptions!H28</f>
        <v>33.5</v>
      </c>
      <c r="I7" s="4" t="n">
        <f aca="false">Assumptions!I28</f>
        <v>34</v>
      </c>
      <c r="J7" s="4" t="n">
        <f aca="false">Assumptions!J28</f>
        <v>34</v>
      </c>
      <c r="K7" s="4" t="n">
        <f aca="false">Assumptions!K28</f>
        <v>34</v>
      </c>
      <c r="L7" s="4" t="n">
        <f aca="false">Assumptions!L28</f>
        <v>34</v>
      </c>
    </row>
    <row r="8" customFormat="false" ht="15" hidden="false" customHeight="false" outlineLevel="0" collapsed="false">
      <c r="A8" s="0" t="s">
        <v>43</v>
      </c>
      <c r="C8" s="0" t="n">
        <f aca="false">C6*C7/100</f>
        <v>2100.1568</v>
      </c>
      <c r="D8" s="0" t="n">
        <f aca="false">D6*D7/100</f>
        <v>2262.660736</v>
      </c>
      <c r="E8" s="0" t="n">
        <f aca="false">E6*E7/100</f>
        <v>2429.07578368</v>
      </c>
      <c r="F8" s="0" t="n">
        <f aca="false">F6*F7/100</f>
        <v>2541.040995584</v>
      </c>
      <c r="G8" s="0" t="n">
        <f aca="false">G6*G7/100</f>
        <v>2657.53795199693</v>
      </c>
      <c r="H8" s="0" t="n">
        <f aca="false">H6*H7/100</f>
        <v>2778.73778889861</v>
      </c>
      <c r="I8" s="0" t="n">
        <f aca="false">I6*I7/100</f>
        <v>2890.71677442139</v>
      </c>
      <c r="J8" s="0" t="n">
        <f aca="false">J6*J7/100</f>
        <v>2962.98469378192</v>
      </c>
      <c r="K8" s="0" t="n">
        <f aca="false">K6*K7/100</f>
        <v>3037.05931112647</v>
      </c>
      <c r="L8" s="0" t="n">
        <f aca="false">L6*L7/100</f>
        <v>3112.98579390463</v>
      </c>
    </row>
    <row r="9" customFormat="false" ht="15" hidden="false" customHeight="false" outlineLevel="0" collapsed="false">
      <c r="A9" s="0" t="s">
        <v>102</v>
      </c>
      <c r="C9" s="4" t="n">
        <f aca="false">Assumptions!C29</f>
        <v>0.5</v>
      </c>
      <c r="D9" s="4" t="n">
        <f aca="false">Assumptions!D29</f>
        <v>0.5</v>
      </c>
      <c r="E9" s="4" t="n">
        <f aca="false">Assumptions!E29</f>
        <v>0.5</v>
      </c>
      <c r="F9" s="4" t="n">
        <f aca="false">Assumptions!F29</f>
        <v>0.5</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117</v>
      </c>
      <c r="C10" s="0" t="n">
        <f aca="false">-C6*C9/100</f>
        <v>-34.4288</v>
      </c>
      <c r="D10" s="0" t="n">
        <f aca="false">-D6*D9/100</f>
        <v>-36.494528</v>
      </c>
      <c r="E10" s="0" t="n">
        <f aca="false">-E6*E9/100</f>
        <v>-37.95430912</v>
      </c>
      <c r="F10" s="0" t="n">
        <f aca="false">-F6*F9/100</f>
        <v>-39.0929383936</v>
      </c>
      <c r="G10" s="0" t="n">
        <f aca="false">-G6*G9/100</f>
        <v>-40.265726545408</v>
      </c>
      <c r="H10" s="0" t="n">
        <f aca="false">-H6*H9/100</f>
        <v>-41.4736983417703</v>
      </c>
      <c r="I10" s="0" t="n">
        <f aca="false">-I6*I9/100</f>
        <v>-42.5105408003145</v>
      </c>
      <c r="J10" s="0" t="n">
        <f aca="false">-J6*J9/100</f>
        <v>-43.5733043203224</v>
      </c>
      <c r="K10" s="0" t="n">
        <f aca="false">-K6*K9/100</f>
        <v>-44.6626369283304</v>
      </c>
      <c r="L10" s="0" t="n">
        <f aca="false">-L6*L9/100</f>
        <v>-45.7792028515387</v>
      </c>
    </row>
    <row r="11" customFormat="false" ht="15" hidden="false" customHeight="false" outlineLevel="0" collapsed="false">
      <c r="A11" s="0" t="s">
        <v>118</v>
      </c>
      <c r="C11" s="0" t="n">
        <f aca="false">C8+C10+C24</f>
        <v>2065.728</v>
      </c>
      <c r="D11" s="0" t="n">
        <f aca="false">D8+D10+D24</f>
        <v>2226.166208</v>
      </c>
      <c r="E11" s="0" t="n">
        <f aca="false">E8+E10+E24</f>
        <v>2391.12147456</v>
      </c>
      <c r="F11" s="0" t="n">
        <f aca="false">F8+F10+F24</f>
        <v>2501.9480571904</v>
      </c>
      <c r="G11" s="0" t="n">
        <f aca="false">G8+G10+G24</f>
        <v>2617.27222545152</v>
      </c>
      <c r="H11" s="0" t="n">
        <f aca="false">H8+H10+H24</f>
        <v>2737.26409055684</v>
      </c>
      <c r="I11" s="0" t="n">
        <f aca="false">I8+I10+I24</f>
        <v>2848.20623362107</v>
      </c>
      <c r="J11" s="0" t="n">
        <f aca="false">J8+J10+J24</f>
        <v>2919.4113894616</v>
      </c>
      <c r="K11" s="0" t="n">
        <f aca="false">K8+K10+K24</f>
        <v>2992.39667419814</v>
      </c>
      <c r="L11" s="0" t="n">
        <f aca="false">L8+L10+L24</f>
        <v>3067.20659105309</v>
      </c>
    </row>
    <row r="12" customFormat="false" ht="15" hidden="false" customHeight="false" outlineLevel="0" collapsed="false">
      <c r="A12" s="0" t="s">
        <v>119</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120</v>
      </c>
      <c r="C13" s="0" t="n">
        <f aca="false">C11+C12</f>
        <v>2065.728</v>
      </c>
      <c r="D13" s="0" t="n">
        <f aca="false">D11+D12</f>
        <v>2226.166208</v>
      </c>
      <c r="E13" s="0" t="n">
        <f aca="false">E11+E12</f>
        <v>2391.12147456</v>
      </c>
      <c r="F13" s="0" t="n">
        <f aca="false">F11+F12</f>
        <v>2501.9480571904</v>
      </c>
      <c r="G13" s="0" t="n">
        <f aca="false">G11+G12</f>
        <v>2617.27222545152</v>
      </c>
      <c r="H13" s="0" t="n">
        <f aca="false">H11+H12</f>
        <v>2737.26409055684</v>
      </c>
      <c r="I13" s="0" t="n">
        <f aca="false">I11+I12</f>
        <v>2848.20623362107</v>
      </c>
      <c r="J13" s="0" t="n">
        <f aca="false">J11+J12</f>
        <v>2919.4113894616</v>
      </c>
      <c r="K13" s="0" t="n">
        <f aca="false">K11+K12</f>
        <v>2992.39667419814</v>
      </c>
      <c r="L13" s="0" t="n">
        <f aca="false">L11+L12</f>
        <v>3067.20659105309</v>
      </c>
    </row>
    <row r="14" customFormat="false" ht="15" hidden="false" customHeight="false" outlineLevel="0" collapsed="false">
      <c r="A14" s="0" t="s">
        <v>106</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121</v>
      </c>
      <c r="C15" s="0" t="n">
        <f aca="false">C13-MAX(0,C13)*C14/100</f>
        <v>2065.728</v>
      </c>
      <c r="D15" s="0" t="n">
        <f aca="false">D13-MAX(0,D13)*D14/100</f>
        <v>2226.166208</v>
      </c>
      <c r="E15" s="0" t="n">
        <f aca="false">E13-MAX(0,E13)*E14/100</f>
        <v>2391.12147456</v>
      </c>
      <c r="F15" s="0" t="n">
        <f aca="false">F13-MAX(0,F13)*F14/100</f>
        <v>2501.9480571904</v>
      </c>
      <c r="G15" s="0" t="n">
        <f aca="false">G13-MAX(0,G13)*G14/100</f>
        <v>2617.27222545152</v>
      </c>
      <c r="H15" s="0" t="n">
        <f aca="false">H13-MAX(0,H13)*H14/100</f>
        <v>2737.26409055684</v>
      </c>
      <c r="I15" s="0" t="n">
        <f aca="false">I13-MAX(0,I13)*I14/100</f>
        <v>2848.20623362107</v>
      </c>
      <c r="J15" s="0" t="n">
        <f aca="false">J13-MAX(0,J13)*J14/100</f>
        <v>2919.4113894616</v>
      </c>
      <c r="K15" s="0" t="n">
        <f aca="false">K13-MAX(0,K13)*K14/100</f>
        <v>2992.39667419814</v>
      </c>
      <c r="L15" s="0" t="n">
        <f aca="false">L13-MAX(0,L13)*L14/100</f>
        <v>3067.20659105309</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-C6*Assumptions!C32/100</f>
        <v>-1170.5792</v>
      </c>
      <c r="D17" s="4" t="n">
        <f aca="false">-D6*Assumptions!D32/100</f>
        <v>-875.868672</v>
      </c>
      <c r="E17" s="4" t="n">
        <f aca="false">-E6*Assumptions!E32/100</f>
        <v>-607.26894592</v>
      </c>
      <c r="F17" s="4" t="n">
        <f aca="false">-F6*Assumptions!F32/100</f>
        <v>-430.0223223296</v>
      </c>
      <c r="G17" s="4" t="n">
        <f aca="false">-G6*Assumptions!G32/100</f>
        <v>-442.922991999488</v>
      </c>
      <c r="H17" s="4" t="n">
        <f aca="false">-H6*Assumptions!H32/100</f>
        <v>-456.210681759473</v>
      </c>
      <c r="I17" s="4" t="n">
        <f aca="false">-I6*Assumptions!I32/100</f>
        <v>-467.61594880346</v>
      </c>
      <c r="J17" s="4" t="n">
        <f aca="false">-J6*Assumptions!J32/100</f>
        <v>-479.306347523546</v>
      </c>
      <c r="K17" s="4" t="n">
        <f aca="false">-K6*Assumptions!K32/100</f>
        <v>-491.289006211635</v>
      </c>
      <c r="L17" s="4" t="n">
        <f aca="false">-L6*Assumptions!L32/100</f>
        <v>-503.571231366925</v>
      </c>
    </row>
    <row r="18" customFormat="false" ht="15" hidden="false" customHeight="false" outlineLevel="0" collapsed="false">
      <c r="A18" s="0" t="s">
        <v>124</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125</v>
      </c>
      <c r="C19" s="0" t="n">
        <f aca="false">C15+C16+C17+C18</f>
        <v>895.1488</v>
      </c>
      <c r="D19" s="0" t="n">
        <f aca="false">D15+D16+D17+D18</f>
        <v>1350.297536</v>
      </c>
      <c r="E19" s="0" t="n">
        <f aca="false">E15+E16+E17+E18</f>
        <v>1783.85252864</v>
      </c>
      <c r="F19" s="0" t="n">
        <f aca="false">F15+F16+F17+F18</f>
        <v>2071.9257348608</v>
      </c>
      <c r="G19" s="0" t="n">
        <f aca="false">G15+G16+G17+G18</f>
        <v>2174.34923345203</v>
      </c>
      <c r="H19" s="0" t="n">
        <f aca="false">H15+H16+H17+H18</f>
        <v>2281.05340879736</v>
      </c>
      <c r="I19" s="0" t="n">
        <f aca="false">I15+I16+I17+I18</f>
        <v>2380.59028481761</v>
      </c>
      <c r="J19" s="0" t="n">
        <f aca="false">J15+J16+J17+J18</f>
        <v>2440.10504193805</v>
      </c>
      <c r="K19" s="0" t="n">
        <f aca="false">K15+K16+K17+K18</f>
        <v>2501.1076679865</v>
      </c>
      <c r="L19" s="0" t="n">
        <f aca="false">L15+L16+L17+L18</f>
        <v>2563.63535968617</v>
      </c>
    </row>
    <row r="20" customFormat="false" ht="15" hidden="false" customHeight="false" outlineLevel="0" collapsed="false">
      <c r="A20" s="0" t="s">
        <v>126</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127</v>
      </c>
      <c r="C21" s="0" t="n">
        <f aca="false">C19*C20</f>
        <v>810.089411764706</v>
      </c>
      <c r="D21" s="0" t="n">
        <f aca="false">D19*D20</f>
        <v>1105.87214512397</v>
      </c>
      <c r="E21" s="0" t="n">
        <f aca="false">E19*E20</f>
        <v>1322.12377286682</v>
      </c>
      <c r="F21" s="0" t="n">
        <f aca="false">F19*F20</f>
        <v>1389.71284799845</v>
      </c>
      <c r="G21" s="0" t="n">
        <f aca="false">G19*G20</f>
        <v>1319.82973799494</v>
      </c>
      <c r="H21" s="0" t="n">
        <f aca="false">H19*H20</f>
        <v>1253.03091431898</v>
      </c>
      <c r="I21" s="0" t="n">
        <f aca="false">I19*I20</f>
        <v>1183.44672121612</v>
      </c>
      <c r="J21" s="0" t="n">
        <f aca="false">J19*J20</f>
        <v>1097.76732058509</v>
      </c>
      <c r="K21" s="0" t="n">
        <f aca="false">K19*K20</f>
        <v>1018.2909534839</v>
      </c>
      <c r="L21" s="0" t="n">
        <f aca="false">L19*L20</f>
        <v>944.568531512217</v>
      </c>
    </row>
    <row r="23" customFormat="false" ht="15" hidden="false" customHeight="false" outlineLevel="0" collapsed="false">
      <c r="A23" s="0" t="s">
        <v>103</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Assumptions!$B$34</f>
        <v>10.5</v>
      </c>
    </row>
    <row r="28" customFormat="false" ht="15" hidden="false" customHeight="false" outlineLevel="0" collapsed="false">
      <c r="A28" s="0" t="s">
        <v>108</v>
      </c>
      <c r="B28" s="4" t="n">
        <f aca="false">Assumptions!$B$35</f>
        <v>2</v>
      </c>
    </row>
    <row r="29" customFormat="false" ht="15" hidden="false" customHeight="false" outlineLevel="0" collapsed="false">
      <c r="A29" s="0" t="s">
        <v>109</v>
      </c>
      <c r="B29" s="4" t="n">
        <f aca="false">Assumptions!$B$36</f>
        <v>12</v>
      </c>
    </row>
    <row r="30" customFormat="false" ht="15" hidden="false" customHeight="false" outlineLevel="0" collapsed="false">
      <c r="A30" s="0" t="s">
        <v>130</v>
      </c>
      <c r="B30" s="0" t="n">
        <f aca="false">SUM(C21:L21)</f>
        <v>11444.7323568652</v>
      </c>
    </row>
    <row r="31" customFormat="false" ht="15" hidden="false" customHeight="false" outlineLevel="0" collapsed="false">
      <c r="A31" s="0" t="s">
        <v>131</v>
      </c>
      <c r="B31" s="0" t="n">
        <f aca="false">L19</f>
        <v>2563.63535968617</v>
      </c>
    </row>
    <row r="32" customFormat="false" ht="15" hidden="false" customHeight="false" outlineLevel="0" collapsed="false">
      <c r="A32" s="0" t="s">
        <v>132</v>
      </c>
      <c r="B32" s="0" t="n">
        <f aca="false">IF(B27&gt;B28,B31*(1+B28/100)/((B27-B28)/100),B31*B29)</f>
        <v>30763.624316234</v>
      </c>
    </row>
    <row r="33" customFormat="false" ht="15" hidden="false" customHeight="false" outlineLevel="0" collapsed="false">
      <c r="A33" s="0" t="s">
        <v>133</v>
      </c>
      <c r="B33" s="0" t="n">
        <f aca="false">B31*B29</f>
        <v>30763.624316234</v>
      </c>
    </row>
    <row r="34" customFormat="false" ht="15" hidden="false" customHeight="false" outlineLevel="0" collapsed="false">
      <c r="A34" s="0" t="s">
        <v>134</v>
      </c>
      <c r="B34" s="0" t="n">
        <f aca="false">MAX(0,MIN(B32,B33))</f>
        <v>30763.624316234</v>
      </c>
    </row>
    <row r="35" customFormat="false" ht="15" hidden="false" customHeight="false" outlineLevel="0" collapsed="false">
      <c r="A35" s="0" t="s">
        <v>135</v>
      </c>
      <c r="B35" s="0" t="n">
        <f aca="false">B34/(1+B27/100)^L4</f>
        <v>11334.8223781466</v>
      </c>
    </row>
    <row r="36" customFormat="false" ht="15" hidden="false" customHeight="false" outlineLevel="0" collapsed="false">
      <c r="A36" s="0" t="s">
        <v>136</v>
      </c>
      <c r="B36" s="0" t="n">
        <f aca="false">B30+B35</f>
        <v>22779.5547350118</v>
      </c>
    </row>
    <row r="37" customFormat="false" ht="15" hidden="false" customHeight="false" outlineLevel="0" collapsed="false">
      <c r="A37" s="0" t="s">
        <v>137</v>
      </c>
      <c r="B37" s="0" t="n">
        <f aca="false">B36+Assumptions!$B$5-Assumptions!$B$4</f>
        <v>28359.5547350118</v>
      </c>
    </row>
    <row r="38" customFormat="false" ht="15" hidden="false" customHeight="false" outlineLevel="0" collapsed="false">
      <c r="A38" s="0" t="s">
        <v>138</v>
      </c>
      <c r="B38" s="0" t="n">
        <f aca="false">B37/Assumptions!$B$3*Assumptions!$B$10</f>
        <v>20.8278041854642</v>
      </c>
    </row>
    <row r="39" customFormat="false" ht="15" hidden="false" customHeight="false" outlineLevel="0" collapsed="false">
      <c r="A39" s="0" t="s">
        <v>139</v>
      </c>
      <c r="B39" s="4" t="n">
        <f aca="false">B38/Assumptions!$B$2-1</f>
        <v>0.694695214439726</v>
      </c>
    </row>
    <row r="41" customFormat="false" ht="15" hidden="false" customHeight="false" outlineLevel="0" collapsed="false">
      <c r="A41" s="0" t="s">
        <v>140</v>
      </c>
      <c r="B41" s="0" t="n">
        <f aca="false">SUMPRODUCT(-C10:L10/(1+$B$27/100)^C4:L4)</f>
        <v>238.407710563275</v>
      </c>
    </row>
    <row r="42" customFormat="false" ht="15" hidden="false" customHeight="false" outlineLevel="0" collapsed="false">
      <c r="A42" s="0" t="s">
        <v>141</v>
      </c>
      <c r="B42" s="0" t="n">
        <f aca="false">IF(B27&gt;B28,-L10*(1+B28/100)/((B27-B28)/100),-L10*20)/(1+B27/100)^L4</f>
        <v>202.407542466904</v>
      </c>
    </row>
    <row r="43" customFormat="false" ht="15" hidden="false" customHeight="false" outlineLevel="0" collapsed="false">
      <c r="A43" s="0" t="s">
        <v>142</v>
      </c>
      <c r="B43" s="0" t="n">
        <f aca="false">(B37+B41+B42)/Assumptions!$B$3*Assumptions!$B$10</f>
        <v>21.1515474126717</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20114.6774375376</v>
      </c>
    </row>
    <row r="47" customFormat="false" ht="15" hidden="false" customHeight="false" outlineLevel="0" collapsed="false">
      <c r="A47" s="0" t="s">
        <v>144</v>
      </c>
      <c r="B47" s="0" t="n">
        <f aca="false">(SUMPRODUCT(C19:L19/(1+B45/100)^C4:L4)+B46/(1+B45/100)^L4+Assumptions!$B$5-Assumptions!$B$4)/Assumptions!$B$3*Assumptions!$B$10</f>
        <v>14.5514015311465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8</v>
      </c>
      <c r="D5" s="4" t="n">
        <f aca="false">Assumptions!D41</f>
        <v>8</v>
      </c>
      <c r="E5" s="4" t="n">
        <f aca="false">Assumptions!E41</f>
        <v>6</v>
      </c>
      <c r="F5" s="4" t="n">
        <f aca="false">Assumptions!F41</f>
        <v>5</v>
      </c>
      <c r="G5" s="4" t="n">
        <f aca="false">Assumptions!G41</f>
        <v>4</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37</v>
      </c>
      <c r="B6" s="3" t="n">
        <v>6496</v>
      </c>
      <c r="C6" s="0" t="n">
        <f aca="false">B6*(1+C5/100)</f>
        <v>7015.68</v>
      </c>
      <c r="D6" s="0" t="n">
        <f aca="false">C6*(1+D5/100)</f>
        <v>7576.9344</v>
      </c>
      <c r="E6" s="0" t="n">
        <f aca="false">D6*(1+E5/100)</f>
        <v>8031.550464</v>
      </c>
      <c r="F6" s="0" t="n">
        <f aca="false">E6*(1+F5/100)</f>
        <v>8433.1279872</v>
      </c>
      <c r="G6" s="0" t="n">
        <f aca="false">F6*(1+G5/100)</f>
        <v>8770.453106688</v>
      </c>
      <c r="H6" s="0" t="n">
        <f aca="false">G6*(1+H5/100)</f>
        <v>9121.27123095552</v>
      </c>
      <c r="I6" s="0" t="n">
        <f aca="false">H6*(1+I5/100)</f>
        <v>9440.51572403896</v>
      </c>
      <c r="J6" s="0" t="n">
        <f aca="false">I6*(1+J5/100)</f>
        <v>9723.73119576013</v>
      </c>
      <c r="K6" s="0" t="n">
        <f aca="false">J6*(1+K5/100)</f>
        <v>10015.4431316329</v>
      </c>
      <c r="L6" s="0" t="n">
        <f aca="false">K6*(1+L5/100)</f>
        <v>10315.9064255819</v>
      </c>
    </row>
    <row r="7" customFormat="false" ht="15" hidden="false" customHeight="false" outlineLevel="0" collapsed="false">
      <c r="A7" s="0" t="s">
        <v>101</v>
      </c>
      <c r="C7" s="4" t="n">
        <f aca="false">Assumptions!C42</f>
        <v>31.5</v>
      </c>
      <c r="D7" s="4" t="n">
        <f aca="false">Assumptions!D42</f>
        <v>32.5</v>
      </c>
      <c r="E7" s="4" t="n">
        <f aca="false">Assumptions!E42</f>
        <v>33.5</v>
      </c>
      <c r="F7" s="4" t="n">
        <f aca="false">Assumptions!F42</f>
        <v>34.5</v>
      </c>
      <c r="G7" s="4" t="n">
        <f aca="false">Assumptions!G42</f>
        <v>35.5</v>
      </c>
      <c r="H7" s="4" t="n">
        <f aca="false">Assumptions!H42</f>
        <v>36</v>
      </c>
      <c r="I7" s="4" t="n">
        <f aca="false">Assumptions!I42</f>
        <v>36.5</v>
      </c>
      <c r="J7" s="4" t="n">
        <f aca="false">Assumptions!J42</f>
        <v>36.5</v>
      </c>
      <c r="K7" s="4" t="n">
        <f aca="false">Assumptions!K42</f>
        <v>36.5</v>
      </c>
      <c r="L7" s="4" t="n">
        <f aca="false">Assumptions!L42</f>
        <v>36.5</v>
      </c>
    </row>
    <row r="8" customFormat="false" ht="15" hidden="false" customHeight="false" outlineLevel="0" collapsed="false">
      <c r="A8" s="0" t="s">
        <v>43</v>
      </c>
      <c r="C8" s="0" t="n">
        <f aca="false">C6*C7/100</f>
        <v>2209.9392</v>
      </c>
      <c r="D8" s="0" t="n">
        <f aca="false">D6*D7/100</f>
        <v>2462.50368</v>
      </c>
      <c r="E8" s="0" t="n">
        <f aca="false">E6*E7/100</f>
        <v>2690.56940544</v>
      </c>
      <c r="F8" s="0" t="n">
        <f aca="false">F6*F7/100</f>
        <v>2909.429155584</v>
      </c>
      <c r="G8" s="0" t="n">
        <f aca="false">G6*G7/100</f>
        <v>3113.51085287424</v>
      </c>
      <c r="H8" s="0" t="n">
        <f aca="false">H6*H7/100</f>
        <v>3283.65764314399</v>
      </c>
      <c r="I8" s="0" t="n">
        <f aca="false">I6*I7/100</f>
        <v>3445.78823927422</v>
      </c>
      <c r="J8" s="0" t="n">
        <f aca="false">J6*J7/100</f>
        <v>3549.16188645245</v>
      </c>
      <c r="K8" s="0" t="n">
        <f aca="false">K6*K7/100</f>
        <v>3655.63674304602</v>
      </c>
      <c r="L8" s="0" t="n">
        <f aca="false">L6*L7/100</f>
        <v>3765.3058453374</v>
      </c>
    </row>
    <row r="9" customFormat="false" ht="15" hidden="false" customHeight="false" outlineLevel="0" collapsed="false">
      <c r="A9" s="0" t="s">
        <v>102</v>
      </c>
      <c r="C9" s="4" t="n">
        <f aca="false">Assumptions!C43</f>
        <v>0.5</v>
      </c>
      <c r="D9" s="4" t="n">
        <f aca="false">Assumptions!D43</f>
        <v>0.5</v>
      </c>
      <c r="E9" s="4" t="n">
        <f aca="false">Assumptions!E43</f>
        <v>0.5</v>
      </c>
      <c r="F9" s="4" t="n">
        <f aca="false">Assumptions!F43</f>
        <v>0.5</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117</v>
      </c>
      <c r="C10" s="0" t="n">
        <f aca="false">-C6*C9/100</f>
        <v>-35.0784</v>
      </c>
      <c r="D10" s="0" t="n">
        <f aca="false">-D6*D9/100</f>
        <v>-37.884672</v>
      </c>
      <c r="E10" s="0" t="n">
        <f aca="false">-E6*E9/100</f>
        <v>-40.15775232</v>
      </c>
      <c r="F10" s="0" t="n">
        <f aca="false">-F6*F9/100</f>
        <v>-42.165639936</v>
      </c>
      <c r="G10" s="0" t="n">
        <f aca="false">-G6*G9/100</f>
        <v>-43.85226553344</v>
      </c>
      <c r="H10" s="0" t="n">
        <f aca="false">-H6*H9/100</f>
        <v>-45.6063561547776</v>
      </c>
      <c r="I10" s="0" t="n">
        <f aca="false">-I6*I9/100</f>
        <v>-47.2025786201948</v>
      </c>
      <c r="J10" s="0" t="n">
        <f aca="false">-J6*J9/100</f>
        <v>-48.6186559788007</v>
      </c>
      <c r="K10" s="0" t="n">
        <f aca="false">-K6*K9/100</f>
        <v>-50.0772156581647</v>
      </c>
      <c r="L10" s="0" t="n">
        <f aca="false">-L6*L9/100</f>
        <v>-51.5795321279096</v>
      </c>
    </row>
    <row r="11" customFormat="false" ht="15" hidden="false" customHeight="false" outlineLevel="0" collapsed="false">
      <c r="A11" s="0" t="s">
        <v>118</v>
      </c>
      <c r="C11" s="0" t="n">
        <f aca="false">C8+C10+C24</f>
        <v>2174.8608</v>
      </c>
      <c r="D11" s="0" t="n">
        <f aca="false">D8+D10+D24</f>
        <v>2424.619008</v>
      </c>
      <c r="E11" s="0" t="n">
        <f aca="false">E8+E10+E24</f>
        <v>2650.41165312</v>
      </c>
      <c r="F11" s="0" t="n">
        <f aca="false">F8+F10+F24</f>
        <v>2867.263515648</v>
      </c>
      <c r="G11" s="0" t="n">
        <f aca="false">G8+G10+G24</f>
        <v>3069.6585873408</v>
      </c>
      <c r="H11" s="0" t="n">
        <f aca="false">H8+H10+H24</f>
        <v>3238.05128698921</v>
      </c>
      <c r="I11" s="0" t="n">
        <f aca="false">I8+I10+I24</f>
        <v>3398.58566065403</v>
      </c>
      <c r="J11" s="0" t="n">
        <f aca="false">J8+J10+J24</f>
        <v>3500.54323047365</v>
      </c>
      <c r="K11" s="0" t="n">
        <f aca="false">K8+K10+K24</f>
        <v>3605.55952738786</v>
      </c>
      <c r="L11" s="0" t="n">
        <f aca="false">L8+L10+L24</f>
        <v>3713.72631320949</v>
      </c>
    </row>
    <row r="12" customFormat="false" ht="15" hidden="false" customHeight="false" outlineLevel="0" collapsed="false">
      <c r="A12" s="0" t="s">
        <v>119</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120</v>
      </c>
      <c r="C13" s="0" t="n">
        <f aca="false">C11+C12</f>
        <v>2174.8608</v>
      </c>
      <c r="D13" s="0" t="n">
        <f aca="false">D11+D12</f>
        <v>2424.619008</v>
      </c>
      <c r="E13" s="0" t="n">
        <f aca="false">E11+E12</f>
        <v>2650.41165312</v>
      </c>
      <c r="F13" s="0" t="n">
        <f aca="false">F11+F12</f>
        <v>2867.263515648</v>
      </c>
      <c r="G13" s="0" t="n">
        <f aca="false">G11+G12</f>
        <v>3069.6585873408</v>
      </c>
      <c r="H13" s="0" t="n">
        <f aca="false">H11+H12</f>
        <v>3238.05128698921</v>
      </c>
      <c r="I13" s="0" t="n">
        <f aca="false">I11+I12</f>
        <v>3398.58566065403</v>
      </c>
      <c r="J13" s="0" t="n">
        <f aca="false">J11+J12</f>
        <v>3500.54323047365</v>
      </c>
      <c r="K13" s="0" t="n">
        <f aca="false">K11+K12</f>
        <v>3605.55952738786</v>
      </c>
      <c r="L13" s="0" t="n">
        <f aca="false">L11+L12</f>
        <v>3713.72631320949</v>
      </c>
    </row>
    <row r="14" customFormat="false" ht="15" hidden="false" customHeight="false" outlineLevel="0" collapsed="false">
      <c r="A14" s="0" t="s">
        <v>106</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121</v>
      </c>
      <c r="C15" s="0" t="n">
        <f aca="false">C13-MAX(0,C13)*C14/100</f>
        <v>2174.8608</v>
      </c>
      <c r="D15" s="0" t="n">
        <f aca="false">D13-MAX(0,D13)*D14/100</f>
        <v>2424.619008</v>
      </c>
      <c r="E15" s="0" t="n">
        <f aca="false">E13-MAX(0,E13)*E14/100</f>
        <v>2650.41165312</v>
      </c>
      <c r="F15" s="0" t="n">
        <f aca="false">F13-MAX(0,F13)*F14/100</f>
        <v>2867.263515648</v>
      </c>
      <c r="G15" s="0" t="n">
        <f aca="false">G13-MAX(0,G13)*G14/100</f>
        <v>3069.6585873408</v>
      </c>
      <c r="H15" s="0" t="n">
        <f aca="false">H13-MAX(0,H13)*H14/100</f>
        <v>3238.05128698921</v>
      </c>
      <c r="I15" s="0" t="n">
        <f aca="false">I13-MAX(0,I13)*I14/100</f>
        <v>3398.58566065403</v>
      </c>
      <c r="J15" s="0" t="n">
        <f aca="false">J13-MAX(0,J13)*J14/100</f>
        <v>3500.54323047365</v>
      </c>
      <c r="K15" s="0" t="n">
        <f aca="false">K13-MAX(0,K13)*K14/100</f>
        <v>3605.55952738786</v>
      </c>
      <c r="L15" s="0" t="n">
        <f aca="false">L13-MAX(0,L13)*L14/100</f>
        <v>3713.72631320949</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-C6*Assumptions!C46/100</f>
        <v>-1122.5088</v>
      </c>
      <c r="D17" s="4" t="n">
        <f aca="false">-D6*Assumptions!D46/100</f>
        <v>-833.462784</v>
      </c>
      <c r="E17" s="4" t="n">
        <f aca="false">-E6*Assumptions!E46/100</f>
        <v>-562.20853248</v>
      </c>
      <c r="F17" s="4" t="n">
        <f aca="false">-F6*Assumptions!F46/100</f>
        <v>-421.65639936</v>
      </c>
      <c r="G17" s="4" t="n">
        <f aca="false">-G6*Assumptions!G46/100</f>
        <v>-438.5226553344</v>
      </c>
      <c r="H17" s="4" t="n">
        <f aca="false">-H6*Assumptions!H46/100</f>
        <v>-456.063561547776</v>
      </c>
      <c r="I17" s="4" t="n">
        <f aca="false">-I6*Assumptions!I46/100</f>
        <v>-472.025786201948</v>
      </c>
      <c r="J17" s="4" t="n">
        <f aca="false">-J6*Assumptions!J46/100</f>
        <v>-486.186559788007</v>
      </c>
      <c r="K17" s="4" t="n">
        <f aca="false">-K6*Assumptions!K46/100</f>
        <v>-500.772156581647</v>
      </c>
      <c r="L17" s="4" t="n">
        <f aca="false">-L6*Assumptions!L46/100</f>
        <v>-515.795321279096</v>
      </c>
    </row>
    <row r="18" customFormat="false" ht="15" hidden="false" customHeight="false" outlineLevel="0" collapsed="false">
      <c r="A18" s="0" t="s">
        <v>124</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125</v>
      </c>
      <c r="C19" s="0" t="n">
        <f aca="false">C15+C16+C17+C18</f>
        <v>1052.352</v>
      </c>
      <c r="D19" s="0" t="n">
        <f aca="false">D15+D16+D17+D18</f>
        <v>1591.156224</v>
      </c>
      <c r="E19" s="0" t="n">
        <f aca="false">E15+E16+E17+E18</f>
        <v>2088.20312064</v>
      </c>
      <c r="F19" s="0" t="n">
        <f aca="false">F15+F16+F17+F18</f>
        <v>2445.607116288</v>
      </c>
      <c r="G19" s="0" t="n">
        <f aca="false">G15+G16+G17+G18</f>
        <v>2631.1359320064</v>
      </c>
      <c r="H19" s="0" t="n">
        <f aca="false">H15+H16+H17+H18</f>
        <v>2781.98772544143</v>
      </c>
      <c r="I19" s="0" t="n">
        <f aca="false">I15+I16+I17+I18</f>
        <v>2926.55987445208</v>
      </c>
      <c r="J19" s="0" t="n">
        <f aca="false">J15+J16+J17+J18</f>
        <v>3014.35667068564</v>
      </c>
      <c r="K19" s="0" t="n">
        <f aca="false">K15+K16+K17+K18</f>
        <v>3104.78737080621</v>
      </c>
      <c r="L19" s="0" t="n">
        <f aca="false">L15+L16+L17+L18</f>
        <v>3197.9309919304</v>
      </c>
    </row>
    <row r="20" customFormat="false" ht="15" hidden="false" customHeight="false" outlineLevel="0" collapsed="false">
      <c r="A20" s="0" t="s">
        <v>126</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127</v>
      </c>
      <c r="C21" s="0" t="n">
        <f aca="false">C19*C20</f>
        <v>952.354751131222</v>
      </c>
      <c r="D21" s="0" t="n">
        <f aca="false">D19*D20</f>
        <v>1303.13156896869</v>
      </c>
      <c r="E21" s="0" t="n">
        <f aca="false">E19*E20</f>
        <v>1547.69687743061</v>
      </c>
      <c r="F21" s="0" t="n">
        <f aca="false">F19*F20</f>
        <v>1640.35398251869</v>
      </c>
      <c r="G21" s="0" t="n">
        <f aca="false">G19*G20</f>
        <v>1597.09921218858</v>
      </c>
      <c r="H21" s="0" t="n">
        <f aca="false">H19*H20</f>
        <v>1528.20473636868</v>
      </c>
      <c r="I21" s="0" t="n">
        <f aca="false">I19*I20</f>
        <v>1454.86088469369</v>
      </c>
      <c r="J21" s="0" t="n">
        <f aca="false">J19*J20</f>
        <v>1356.11467080046</v>
      </c>
      <c r="K21" s="0" t="n">
        <f aca="false">K19*K20</f>
        <v>1264.07068861943</v>
      </c>
      <c r="L21" s="0" t="n">
        <f aca="false">L19*L20</f>
        <v>1178.27403554571</v>
      </c>
    </row>
    <row r="23" customFormat="false" ht="15" hidden="false" customHeight="false" outlineLevel="0" collapsed="false">
      <c r="A23" s="0" t="s">
        <v>103</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Assumptions!$B$48</f>
        <v>10.5</v>
      </c>
    </row>
    <row r="28" customFormat="false" ht="15" hidden="false" customHeight="false" outlineLevel="0" collapsed="false">
      <c r="A28" s="0" t="s">
        <v>108</v>
      </c>
      <c r="B28" s="4" t="n">
        <f aca="false">Assumptions!$B$49</f>
        <v>2.5</v>
      </c>
    </row>
    <row r="29" customFormat="false" ht="15" hidden="false" customHeight="false" outlineLevel="0" collapsed="false">
      <c r="A29" s="0" t="s">
        <v>109</v>
      </c>
      <c r="B29" s="4" t="n">
        <f aca="false">Assumptions!$B$50</f>
        <v>13</v>
      </c>
    </row>
    <row r="30" customFormat="false" ht="15" hidden="false" customHeight="false" outlineLevel="0" collapsed="false">
      <c r="A30" s="0" t="s">
        <v>130</v>
      </c>
      <c r="B30" s="0" t="n">
        <f aca="false">SUM(C21:L21)</f>
        <v>13822.1614082658</v>
      </c>
    </row>
    <row r="31" customFormat="false" ht="15" hidden="false" customHeight="false" outlineLevel="0" collapsed="false">
      <c r="A31" s="0" t="s">
        <v>131</v>
      </c>
      <c r="B31" s="0" t="n">
        <f aca="false">L19</f>
        <v>3197.9309919304</v>
      </c>
    </row>
    <row r="32" customFormat="false" ht="15" hidden="false" customHeight="false" outlineLevel="0" collapsed="false">
      <c r="A32" s="0" t="s">
        <v>132</v>
      </c>
      <c r="B32" s="0" t="n">
        <f aca="false">IF(B27&gt;B28,B31*(1+B28/100)/((B27-B28)/100),B31*B29)</f>
        <v>40973.4908341082</v>
      </c>
    </row>
    <row r="33" customFormat="false" ht="15" hidden="false" customHeight="false" outlineLevel="0" collapsed="false">
      <c r="A33" s="0" t="s">
        <v>133</v>
      </c>
      <c r="B33" s="0" t="n">
        <f aca="false">B31*B29</f>
        <v>41573.1028950952</v>
      </c>
    </row>
    <row r="34" customFormat="false" ht="15" hidden="false" customHeight="false" outlineLevel="0" collapsed="false">
      <c r="A34" s="0" t="s">
        <v>134</v>
      </c>
      <c r="B34" s="0" t="n">
        <f aca="false">MAX(0,MIN(B32,B33))</f>
        <v>40973.4908341082</v>
      </c>
    </row>
    <row r="35" customFormat="false" ht="15" hidden="false" customHeight="false" outlineLevel="0" collapsed="false">
      <c r="A35" s="0" t="s">
        <v>135</v>
      </c>
      <c r="B35" s="0" t="n">
        <f aca="false">B34/(1+B27/100)^L4</f>
        <v>15096.6360804294</v>
      </c>
    </row>
    <row r="36" customFormat="false" ht="15" hidden="false" customHeight="false" outlineLevel="0" collapsed="false">
      <c r="A36" s="0" t="s">
        <v>136</v>
      </c>
      <c r="B36" s="0" t="n">
        <f aca="false">B30+B35</f>
        <v>28918.7974886952</v>
      </c>
    </row>
    <row r="37" customFormat="false" ht="15" hidden="false" customHeight="false" outlineLevel="0" collapsed="false">
      <c r="A37" s="0" t="s">
        <v>137</v>
      </c>
      <c r="B37" s="0" t="n">
        <f aca="false">B36+Assumptions!$B$5-Assumptions!$B$4</f>
        <v>34498.7974886952</v>
      </c>
    </row>
    <row r="38" customFormat="false" ht="15" hidden="false" customHeight="false" outlineLevel="0" collapsed="false">
      <c r="A38" s="0" t="s">
        <v>138</v>
      </c>
      <c r="B38" s="0" t="n">
        <f aca="false">B37/Assumptions!$B$3*Assumptions!$B$10</f>
        <v>25.3365825183937</v>
      </c>
    </row>
    <row r="39" customFormat="false" ht="15" hidden="false" customHeight="false" outlineLevel="0" collapsed="false">
      <c r="A39" s="0" t="s">
        <v>139</v>
      </c>
      <c r="B39" s="4" t="n">
        <f aca="false">B38/Assumptions!$B$2-1</f>
        <v>1.06156082330299</v>
      </c>
    </row>
    <row r="41" customFormat="false" ht="15" hidden="false" customHeight="false" outlineLevel="0" collapsed="false">
      <c r="A41" s="0" t="s">
        <v>140</v>
      </c>
      <c r="B41" s="0" t="n">
        <f aca="false">SUMPRODUCT(-C10:L10/(1+$B$27/100)^C4:L4)</f>
        <v>257.219296311727</v>
      </c>
    </row>
    <row r="42" customFormat="false" ht="15" hidden="false" customHeight="false" outlineLevel="0" collapsed="false">
      <c r="A42" s="0" t="s">
        <v>141</v>
      </c>
      <c r="B42" s="0" t="n">
        <f aca="false">IF(B27&gt;B28,-L10*(1+B28/100)/((B27-B28)/100),-L10*20)/(1+B27/100)^L4</f>
        <v>243.494130329507</v>
      </c>
    </row>
    <row r="43" customFormat="false" ht="15" hidden="false" customHeight="false" outlineLevel="0" collapsed="false">
      <c r="A43" s="0" t="s">
        <v>142</v>
      </c>
      <c r="B43" s="0" t="n">
        <f aca="false">(B37+B41+B42)/Assumptions!$B$3*Assumptions!$B$10</f>
        <v>25.7043161200162</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26223.0341338293</v>
      </c>
    </row>
    <row r="47" customFormat="false" ht="15" hidden="false" customHeight="false" outlineLevel="0" collapsed="false">
      <c r="A47" s="0" t="s">
        <v>144</v>
      </c>
      <c r="B47" s="0" t="n">
        <f aca="false">(SUMPRODUCT(C19:L19/(1+B45/100)^C4:L4)+B46/(1+B45/100)^L4+Assumptions!$B$5-Assumptions!$B$4)/Assumptions!$B$3*Assumptions!$B$10</f>
        <v>17.0539504818277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14.1746313397877</v>
      </c>
      <c r="C4" s="0" t="n">
        <f aca="false">B4/Assumptions!$B$2-1</f>
        <v>0.153346732285411</v>
      </c>
      <c r="D4" s="4" t="n">
        <f aca="false">Assumptions!$B$24</f>
        <v>0.25</v>
      </c>
      <c r="E4" s="4" t="n">
        <f aca="false">DCF_Bear!$B$43</f>
        <v>14.4292752877031</v>
      </c>
      <c r="F4" s="4" t="n">
        <f aca="false">DCF_Bear!$B$47</f>
        <v>10.8888338020782</v>
      </c>
    </row>
    <row r="5" customFormat="false" ht="15" hidden="false" customHeight="false" outlineLevel="0" collapsed="false">
      <c r="A5" s="0" t="s">
        <v>153</v>
      </c>
      <c r="B5" s="4" t="n">
        <f aca="false">DCF_Base!$B$38</f>
        <v>20.8278041854642</v>
      </c>
      <c r="C5" s="0" t="n">
        <f aca="false">B5/Assumptions!$B$2-1</f>
        <v>0.694695214439726</v>
      </c>
      <c r="D5" s="4" t="n">
        <f aca="false">Assumptions!$B$38</f>
        <v>0.5</v>
      </c>
      <c r="E5" s="4" t="n">
        <f aca="false">DCF_Base!$B$43</f>
        <v>21.1515474126717</v>
      </c>
      <c r="F5" s="4" t="n">
        <f aca="false">DCF_Base!$B$47</f>
        <v>14.5514015311465</v>
      </c>
    </row>
    <row r="6" customFormat="false" ht="15" hidden="false" customHeight="false" outlineLevel="0" collapsed="false">
      <c r="A6" s="0" t="s">
        <v>154</v>
      </c>
      <c r="B6" s="4" t="n">
        <f aca="false">DCF_Bull!$B$38</f>
        <v>25.3365825183937</v>
      </c>
      <c r="C6" s="0" t="n">
        <f aca="false">B6/Assumptions!$B$2-1</f>
        <v>1.06156082330299</v>
      </c>
      <c r="D6" s="4" t="n">
        <f aca="false">Assumptions!$B$52</f>
        <v>0.25</v>
      </c>
      <c r="E6" s="4" t="n">
        <f aca="false">DCF_Bull!$B$43</f>
        <v>25.7043161200162</v>
      </c>
      <c r="F6" s="4" t="n">
        <f aca="false">DCF_Bull!$B$47</f>
        <v>17.0539504818277</v>
      </c>
    </row>
    <row r="8" customFormat="false" ht="15" hidden="false" customHeight="false" outlineLevel="0" collapsed="false">
      <c r="A8" s="0" t="s">
        <v>155</v>
      </c>
      <c r="B8" s="0" t="n">
        <f aca="false">SUMPRODUCT(B4:B6,D4:D6)</f>
        <v>20.2917055572775</v>
      </c>
    </row>
    <row r="9" customFormat="false" ht="15" hidden="false" customHeight="false" outlineLevel="0" collapsed="false">
      <c r="A9" s="0" t="s">
        <v>156</v>
      </c>
      <c r="B9" s="0" t="n">
        <f aca="false">SUMPRODUCT(E4:E6,D4:D6)</f>
        <v>20.6091715582656</v>
      </c>
    </row>
    <row r="10" customFormat="false" ht="15" hidden="false" customHeight="false" outlineLevel="0" collapsed="false">
      <c r="A10" s="0" t="s">
        <v>157</v>
      </c>
      <c r="B10" s="0" t="n">
        <f aca="false">1-Assumptions!$B$2/B8</f>
        <v>0.394333809678591</v>
      </c>
    </row>
    <row r="11" customFormat="false" ht="15" hidden="false" customHeight="false" outlineLevel="0" collapsed="false">
      <c r="A11" s="0" t="s">
        <v>158</v>
      </c>
      <c r="B11" s="0" t="n">
        <f aca="false">IF(ABS(B9-B8)&gt;0.01*ABS(B8),(Assumptions!$B$2-B8)/(B9-B8)*100,"n/a")</f>
        <v>-2520.49212588762</v>
      </c>
    </row>
    <row r="12" customFormat="false" ht="15" hidden="false" customHeight="false" outlineLevel="0" collapsed="false">
      <c r="A12" s="0" t="s">
        <v>159</v>
      </c>
      <c r="B12" s="0" t="n">
        <f aca="false">SUMPRODUCT(F4:F6,D4:D6)</f>
        <v>14.2613968365497</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22.7027820619653</v>
      </c>
      <c r="C15" s="3" t="n">
        <v>9</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21.424894119502</v>
      </c>
      <c r="C16" s="3" t="n">
        <v>10</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20.8278041854642</v>
      </c>
      <c r="C17" s="3" t="n">
        <v>10.5</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19.8147039242216</v>
      </c>
      <c r="C18" s="3" t="n">
        <v>11</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18.0965388564941</v>
      </c>
      <c r="C19" s="3" t="n">
        <v>12</v>
      </c>
    </row>
    <row r="20" customFormat="false" ht="15" hidden="false" customHeight="false" outlineLevel="0" collapsed="false">
      <c r="A20" s="0" t="s">
        <v>167</v>
      </c>
      <c r="B20" s="0" t="n">
        <f aca="false">(SUMPRODUCT(DCF_Base!$C$19:$L$19/(1+$C$20/100)^DCF_Base!$C$4:$L$4)+MAX(0,MIN(IF($C$20&gt;DCF_Base!$B$28,DCF_Base!$L$19*(1+DCF_Base!$B$28/100)/(($C$20-DCF_Base!$B$28)/100),DCF_Base!$L$19*DCF_Base!$B$29),DCF_Base!$L$19*DCF_Base!$B$29))/(1+$C$20/100)^DCF_Base!$L$4+Assumptions!$B$5-Assumptions!$B$4)/Assumptions!$B$3*Assumptions!$B$10</f>
        <v>14.5514015311465</v>
      </c>
      <c r="C20" s="3" t="n">
        <v>15</v>
      </c>
    </row>
    <row r="22" customFormat="false" ht="15" hidden="false" customHeight="false" outlineLevel="0" collapsed="false">
      <c r="A22" s="2" t="s">
        <v>168</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23.3865686985926</v>
      </c>
      <c r="C24" s="0" t="n">
        <f aca="false">(SUMPRODUCT(DCF_Base!$C$19:$L$19/(1+$A$24/100)^DCF_Base!$C$4:$L$4)+MAX(0,MIN(IF($A$24&gt;$C$23,DCF_Base!$L$19*(1+$C$23/100)/(($A$24-$C$23)/100),DCF_Base!$L$19*DCF_Base!$B$29),DCF_Base!$L$19*DCF_Base!$B$29))/(1+$A$24/100)^DCF_Base!$L$4+Assumptions!$B$5-Assumptions!$B$4)/Assumptions!$B$3*Assumptions!$B$10</f>
        <v>23.3865686985926</v>
      </c>
      <c r="D24" s="0" t="n">
        <f aca="false">(SUMPRODUCT(DCF_Base!$C$19:$L$19/(1+$A$24/100)^DCF_Base!$C$4:$L$4)+MAX(0,MIN(IF($A$24&gt;$D$23,DCF_Base!$L$19*(1+$D$23/100)/(($A$24-$D$23)/100),DCF_Base!$L$19*DCF_Base!$B$29),DCF_Base!$L$19*DCF_Base!$B$29))/(1+$A$24/100)^DCF_Base!$L$4+Assumptions!$B$5-Assumptions!$B$4)/Assumptions!$B$3*Assumptions!$B$10</f>
        <v>23.3865686985926</v>
      </c>
      <c r="E24" s="0" t="n">
        <f aca="false">(SUMPRODUCT(DCF_Base!$C$19:$L$19/(1+$A$24/100)^DCF_Base!$C$4:$L$4)+MAX(0,MIN(IF($A$24&gt;$E$23,DCF_Base!$L$19*(1+$E$23/100)/(($A$24-$E$23)/100),DCF_Base!$L$19*DCF_Base!$B$29),DCF_Base!$L$19*DCF_Base!$B$29))/(1+$A$24/100)^DCF_Base!$L$4+Assumptions!$B$5-Assumptions!$B$4)/Assumptions!$B$3*Assumptions!$B$10</f>
        <v>23.3865686985926</v>
      </c>
      <c r="F24" s="0" t="n">
        <f aca="false">(SUMPRODUCT(DCF_Base!$C$19:$L$19/(1+$A$24/100)^DCF_Base!$C$4:$L$4)+MAX(0,MIN(IF($A$24&gt;$F$23,DCF_Base!$L$19*(1+$F$23/100)/(($A$24-$F$23)/100),DCF_Base!$L$19*DCF_Base!$B$29),DCF_Base!$L$19*DCF_Base!$B$29))/(1+$A$24/100)^DCF_Base!$L$4+Assumptions!$B$5-Assumptions!$B$4)/Assumptions!$B$3*Assumptions!$B$10</f>
        <v>23.3865686985926</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21.9600229277146</v>
      </c>
      <c r="C25" s="0" t="n">
        <f aca="false">(SUMPRODUCT(DCF_Base!$C$19:$L$19/(1+$A$25/100)^DCF_Base!$C$4:$L$4)+MAX(0,MIN(IF($A$25&gt;$C$23,DCF_Base!$L$19*(1+$C$23/100)/(($A$25-$C$23)/100),DCF_Base!$L$19*DCF_Base!$B$29),DCF_Base!$L$19*DCF_Base!$B$29))/(1+$A$25/100)^DCF_Base!$L$4+Assumptions!$B$5-Assumptions!$B$4)/Assumptions!$B$3*Assumptions!$B$10</f>
        <v>22.0494028996045</v>
      </c>
      <c r="D25" s="0" t="n">
        <f aca="false">(SUMPRODUCT(DCF_Base!$C$19:$L$19/(1+$A$25/100)^DCF_Base!$C$4:$L$4)+MAX(0,MIN(IF($A$25&gt;$D$23,DCF_Base!$L$19*(1+$D$23/100)/(($A$25-$D$23)/100),DCF_Base!$L$19*DCF_Base!$B$29),DCF_Base!$L$19*DCF_Base!$B$29))/(1+$A$25/100)^DCF_Base!$L$4+Assumptions!$B$5-Assumptions!$B$4)/Assumptions!$B$3*Assumptions!$B$10</f>
        <v>22.0494028996045</v>
      </c>
      <c r="E25" s="0" t="n">
        <f aca="false">(SUMPRODUCT(DCF_Base!$C$19:$L$19/(1+$A$25/100)^DCF_Base!$C$4:$L$4)+MAX(0,MIN(IF($A$25&gt;$E$23,DCF_Base!$L$19*(1+$E$23/100)/(($A$25-$E$23)/100),DCF_Base!$L$19*DCF_Base!$B$29),DCF_Base!$L$19*DCF_Base!$B$29))/(1+$A$25/100)^DCF_Base!$L$4+Assumptions!$B$5-Assumptions!$B$4)/Assumptions!$B$3*Assumptions!$B$10</f>
        <v>22.0494028996045</v>
      </c>
      <c r="F25" s="0" t="n">
        <f aca="false">(SUMPRODUCT(DCF_Base!$C$19:$L$19/(1+$A$25/100)^DCF_Base!$C$4:$L$4)+MAX(0,MIN(IF($A$25&gt;$F$23,DCF_Base!$L$19*(1+$F$23/100)/(($A$25-$F$23)/100),DCF_Base!$L$19*DCF_Base!$B$29),DCF_Base!$L$19*DCF_Base!$B$29))/(1+$A$25/100)^DCF_Base!$L$4+Assumptions!$B$5-Assumptions!$B$4)/Assumptions!$B$3*Assumptions!$B$10</f>
        <v>22.0494028996045</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19.8785177001199</v>
      </c>
      <c r="C26" s="0" t="n">
        <f aca="false">(SUMPRODUCT(DCF_Base!$C$19:$L$19/(1+$A$26/100)^DCF_Base!$C$4:$L$4)+MAX(0,MIN(IF($A$26&gt;$C$23,DCF_Base!$L$19*(1+$C$23/100)/(($A$26-$C$23)/100),DCF_Base!$L$19*DCF_Base!$B$29),DCF_Base!$L$19*DCF_Base!$B$29))/(1+$A$26/100)^DCF_Base!$L$4+Assumptions!$B$5-Assumptions!$B$4)/Assumptions!$B$3*Assumptions!$B$10</f>
        <v>20.3267918737547</v>
      </c>
      <c r="D26" s="0" t="n">
        <f aca="false">(SUMPRODUCT(DCF_Base!$C$19:$L$19/(1+$A$26/100)^DCF_Base!$C$4:$L$4)+MAX(0,MIN(IF($A$26&gt;$D$23,DCF_Base!$L$19*(1+$D$23/100)/(($A$26-$D$23)/100),DCF_Base!$L$19*DCF_Base!$B$29),DCF_Base!$L$19*DCF_Base!$B$29))/(1+$A$26/100)^DCF_Base!$L$4+Assumptions!$B$5-Assumptions!$B$4)/Assumptions!$B$3*Assumptions!$B$10</f>
        <v>20.8278041854642</v>
      </c>
      <c r="E26" s="0" t="n">
        <f aca="false">(SUMPRODUCT(DCF_Base!$C$19:$L$19/(1+$A$26/100)^DCF_Base!$C$4:$L$4)+MAX(0,MIN(IF($A$26&gt;$E$23,DCF_Base!$L$19*(1+$E$23/100)/(($A$26-$E$23)/100),DCF_Base!$L$19*DCF_Base!$B$29),DCF_Base!$L$19*DCF_Base!$B$29))/(1+$A$26/100)^DCF_Base!$L$4+Assumptions!$B$5-Assumptions!$B$4)/Assumptions!$B$3*Assumptions!$B$10</f>
        <v>20.8278041854642</v>
      </c>
      <c r="F26" s="0" t="n">
        <f aca="false">(SUMPRODUCT(DCF_Base!$C$19:$L$19/(1+$A$26/100)^DCF_Base!$C$4:$L$4)+MAX(0,MIN(IF($A$26&gt;$F$23,DCF_Base!$L$19*(1+$F$23/100)/(($A$26-$F$23)/100),DCF_Base!$L$19*DCF_Base!$B$29),DCF_Base!$L$19*DCF_Base!$B$29))/(1+$A$26/100)^DCF_Base!$L$4+Assumptions!$B$5-Assumptions!$B$4)/Assumptions!$B$3*Assumptions!$B$10</f>
        <v>20.8278041854642</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18.20107872603</v>
      </c>
      <c r="C27" s="0" t="n">
        <f aca="false">(SUMPRODUCT(DCF_Base!$C$19:$L$19/(1+$A$27/100)^DCF_Base!$C$4:$L$4)+MAX(0,MIN(IF($A$27&gt;$C$23,DCF_Base!$L$19*(1+$C$23/100)/(($A$27-$C$23)/100),DCF_Base!$L$19*DCF_Base!$B$29),DCF_Base!$L$19*DCF_Base!$B$29))/(1+$A$27/100)^DCF_Base!$L$4+Assumptions!$B$5-Assumptions!$B$4)/Assumptions!$B$3*Assumptions!$B$10</f>
        <v>18.5376733924737</v>
      </c>
      <c r="D27" s="0" t="n">
        <f aca="false">(SUMPRODUCT(DCF_Base!$C$19:$L$19/(1+$A$27/100)^DCF_Base!$C$4:$L$4)+MAX(0,MIN(IF($A$27&gt;$D$23,DCF_Base!$L$19*(1+$D$23/100)/(($A$27-$D$23)/100),DCF_Base!$L$19*DCF_Base!$B$29),DCF_Base!$L$19*DCF_Base!$B$29))/(1+$A$27/100)^DCF_Base!$L$4+Assumptions!$B$5-Assumptions!$B$4)/Assumptions!$B$3*Assumptions!$B$10</f>
        <v>18.9096990764379</v>
      </c>
      <c r="E27" s="0" t="n">
        <f aca="false">(SUMPRODUCT(DCF_Base!$C$19:$L$19/(1+$A$27/100)^DCF_Base!$C$4:$L$4)+MAX(0,MIN(IF($A$27&gt;$E$23,DCF_Base!$L$19*(1+$E$23/100)/(($A$27-$E$23)/100),DCF_Base!$L$19*DCF_Base!$B$29),DCF_Base!$L$19*DCF_Base!$B$29))/(1+$A$27/100)^DCF_Base!$L$4+Assumptions!$B$5-Assumptions!$B$4)/Assumptions!$B$3*Assumptions!$B$10</f>
        <v>19.3230609475091</v>
      </c>
      <c r="F27" s="0" t="n">
        <f aca="false">(SUMPRODUCT(DCF_Base!$C$19:$L$19/(1+$A$27/100)^DCF_Base!$C$4:$L$4)+MAX(0,MIN(IF($A$27&gt;$F$23,DCF_Base!$L$19*(1+$F$23/100)/(($A$27-$F$23)/100),DCF_Base!$L$19*DCF_Base!$B$29),DCF_Base!$L$19*DCF_Base!$B$29))/(1+$A$27/100)^DCF_Base!$L$4+Assumptions!$B$5-Assumptions!$B$4)/Assumptions!$B$3*Assumptions!$B$10</f>
        <v>19.7104718490961</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16.8218865750644</v>
      </c>
      <c r="C28" s="0" t="n">
        <f aca="false">(SUMPRODUCT(DCF_Base!$C$19:$L$19/(1+$A$28/100)^DCF_Base!$C$4:$L$4)+MAX(0,MIN(IF($A$28&gt;$C$23,DCF_Base!$L$19*(1+$C$23/100)/(($A$28-$C$23)/100),DCF_Base!$L$19*DCF_Base!$B$29),DCF_Base!$L$19*DCF_Base!$B$29))/(1+$A$28/100)^DCF_Base!$L$4+Assumptions!$B$5-Assumptions!$B$4)/Assumptions!$B$3*Assumptions!$B$10</f>
        <v>17.0797009377688</v>
      </c>
      <c r="D28" s="0" t="n">
        <f aca="false">(SUMPRODUCT(DCF_Base!$C$19:$L$19/(1+$A$28/100)^DCF_Base!$C$4:$L$4)+MAX(0,MIN(IF($A$28&gt;$D$23,DCF_Base!$L$19*(1+$D$23/100)/(($A$28-$D$23)/100),DCF_Base!$L$19*DCF_Base!$B$29),DCF_Base!$L$19*DCF_Base!$B$29))/(1+$A$28/100)^DCF_Base!$L$4+Assumptions!$B$5-Assumptions!$B$4)/Assumptions!$B$3*Assumptions!$B$10</f>
        <v>17.3620690493023</v>
      </c>
      <c r="E28" s="0" t="n">
        <f aca="false">(SUMPRODUCT(DCF_Base!$C$19:$L$19/(1+$A$28/100)^DCF_Base!$C$4:$L$4)+MAX(0,MIN(IF($A$28&gt;$E$23,DCF_Base!$L$19*(1+$E$23/100)/(($A$28-$E$23)/100),DCF_Base!$L$19*DCF_Base!$B$29),DCF_Base!$L$19*DCF_Base!$B$29))/(1+$A$28/100)^DCF_Base!$L$4+Assumptions!$B$5-Assumptions!$B$4)/Assumptions!$B$3*Assumptions!$B$10</f>
        <v>17.6726739719891</v>
      </c>
      <c r="F28" s="0" t="n">
        <f aca="false">(SUMPRODUCT(DCF_Base!$C$19:$L$19/(1+$A$28/100)^DCF_Base!$C$4:$L$4)+MAX(0,MIN(IF($A$28&gt;$F$23,DCF_Base!$L$19*(1+$F$23/100)/(($A$28-$F$23)/100),DCF_Base!$L$19*DCF_Base!$B$29),DCF_Base!$L$19*DCF_Base!$B$29))/(1+$A$28/100)^DCF_Base!$L$4+Assumptions!$B$5-Assumptions!$B$4)/Assumptions!$B$3*Assumptions!$B$10</f>
        <v>18.0159741496956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2026-10-10T11:24:35Z</dcterms:created>
  <dc:creator>openpyxl</dc:creator>
  <dc:description/>
  <dc:language>en-NZ</dc:language>
  <cp:lastModifiedBy/>
  <dcterms:modified xsi:type="dcterms:W3CDTF">2026-10-10T11:24:35Z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