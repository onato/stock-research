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 Detail" sheetId="3" r:id="rId3"/>
    <sheet name="Historical Data" sheetId="4" r:id="rId4"/>
    <sheet name="NAV &amp; SOTP" sheetId="5" r:id="rId5"/>
  </sheets>
  <calcPr calcId="124519" fullCalcOnLoad="1"/>
</workbook>
</file>

<file path=xl/sharedStrings.xml><?xml version="1.0" encoding="utf-8"?>
<sst xmlns="http://schemas.openxmlformats.org/spreadsheetml/2006/main" count="226" uniqueCount="172">
  <si>
    <t>Infratil Limited (IFT.NZ) — DCF Valuation Model</t>
  </si>
  <si>
    <t>EBITDAF-based DCF (holding company). Gray cells = INPUT. Cross-check: NAV NZ$16.26/share | Portfolio NZ$20,624M.</t>
  </si>
  <si>
    <t>DCF + NAV Hybrid: This model uses Proportionate EBITDAF less corporate costs as FCF proxy. Bear-case DCF understates liquidation value — NAV (NZ$16.26) provides the hard-asset floor. Base DCF (NZ$15.80) is within 3% of NAV. Probability-weighted IV (NZ$17.47) is consistent with analyst consensus (NZ$17.21).</t>
  </si>
  <si>
    <t>KEY INPUTS</t>
  </si>
  <si>
    <t>Current Market Price (NZ$)</t>
  </si>
  <si>
    <t>NAV per Share (NZ$) — Reference</t>
  </si>
  <si>
    <t>P/NAV (live)</t>
  </si>
  <si>
    <t>Shares Outstanding (M)</t>
  </si>
  <si>
    <t>Net Debt (NZD M)</t>
  </si>
  <si>
    <t>Base Year FCF (NZD M)</t>
  </si>
  <si>
    <t>WACC (Base)</t>
  </si>
  <si>
    <t>Terminal Growth Rate (Base)</t>
  </si>
  <si>
    <t>GROWTH ASSUMPTIONS (FCF growth, base case)</t>
  </si>
  <si>
    <t>Year 1</t>
  </si>
  <si>
    <t>Year 2</t>
  </si>
  <si>
    <t>Year 3</t>
  </si>
  <si>
    <t>Year 4</t>
  </si>
  <si>
    <t>Year 5</t>
  </si>
  <si>
    <t>Growth Rate</t>
  </si>
  <si>
    <t>PROJECTIONS (NZD Millions)</t>
  </si>
  <si>
    <t>Base Year</t>
  </si>
  <si>
    <t>Free Cash Flow (NZD M)</t>
  </si>
  <si>
    <t>Discount Factor (WACC = B12)</t>
  </si>
  <si>
    <t>PV of FCF</t>
  </si>
  <si>
    <t>DCF VALUATION (NZD Millions, Base Case)</t>
  </si>
  <si>
    <t>Sum of PV of FCF</t>
  </si>
  <si>
    <t>Terminal FCF (Y5 FCF × (1 + terminal growth))</t>
  </si>
  <si>
    <t>Terminal Value  [= Terminal FCF / (WACC - g)]</t>
  </si>
  <si>
    <t>Discount Factor (Year 5)</t>
  </si>
  <si>
    <t>PV of Terminal Value</t>
  </si>
  <si>
    <t>Enterprise Value</t>
  </si>
  <si>
    <t>Less: Net Debt (NZD M)</t>
  </si>
  <si>
    <t>Equity Value (NZD M)</t>
  </si>
  <si>
    <t>INTRINSIC VALUE / SHARE (Base)</t>
  </si>
  <si>
    <t>Upside / (Downside) to Current Price</t>
  </si>
  <si>
    <t>NAV per Share (reference)</t>
  </si>
  <si>
    <t>DCF IV / NAV ratio</t>
  </si>
  <si>
    <t>ENTRY PRICE (15% CAGR Target, Base Case)</t>
  </si>
  <si>
    <t>Terminal Value per Share</t>
  </si>
  <si>
    <t>Entry Price to achieve 15% CAGR over 5 years</t>
  </si>
  <si>
    <t>Discount of Entry Price from Current Price</t>
  </si>
  <si>
    <t>SCENARIO SUMMARY</t>
  </si>
  <si>
    <t>Scenario</t>
  </si>
  <si>
    <t>WACC</t>
  </si>
  <si>
    <t>Term. Growth</t>
  </si>
  <si>
    <t>Y1 Growth</t>
  </si>
  <si>
    <t>Intrinsic Value</t>
  </si>
  <si>
    <t>Upside</t>
  </si>
  <si>
    <t>Weight</t>
  </si>
  <si>
    <t>Bear</t>
  </si>
  <si>
    <t>Base</t>
  </si>
  <si>
    <t>Bull</t>
  </si>
  <si>
    <t>Probability-Weighted Intrinsic Value</t>
  </si>
  <si>
    <t>← upside from current price</t>
  </si>
  <si>
    <t>Analyst Consensus Target</t>
  </si>
  <si>
    <t>(9 analysts, Bloomberg)</t>
  </si>
  <si>
    <t>Sensitivity Analysis — Base Case Intrinsic Value (NZ$/share)</t>
  </si>
  <si>
    <t>Intrinsic value per share by WACC and Terminal Growth Rate (base FCF growth profile held constant). NAV reference: NZ$16.26/share (purple). Green = above current price NZ$15.32. Red = below.</t>
  </si>
  <si>
    <t>WACC \ Term Growth</t>
  </si>
  <si>
    <t>2.0%</t>
  </si>
  <si>
    <t>2.5%</t>
  </si>
  <si>
    <t>3.0%</t>
  </si>
  <si>
    <t>3.5%</t>
  </si>
  <si>
    <t>4.0%</t>
  </si>
  <si>
    <t>8.5%</t>
  </si>
  <si>
    <t>9.5%</t>
  </si>
  <si>
    <t>10.5%</t>
  </si>
  <si>
    <t>11.5%</t>
  </si>
  <si>
    <t>12.5%</t>
  </si>
  <si>
    <t>NAV Reference (NZ$16.26/share):</t>
  </si>
  <si>
    <t>Current Price:</t>
  </si>
  <si>
    <t>The sensitivity matrix uses the base case FCF growth profile (Y1: 20%, Y2: 18%, Y3: 14%, Y4: 11%, Y5: 8%). Adjust WACC and terminal growth independently to stress-test the valuation. NAV of NZ$16.26 provides an asset-based floor — bear scenarios well below NAV imply asset divestitures would crystallise value.</t>
  </si>
  <si>
    <t>Infratil (IFT.NZ) — Scenario Detail (NZD Millions)</t>
  </si>
  <si>
    <t>BASE CASE</t>
  </si>
  <si>
    <t>Metric</t>
  </si>
  <si>
    <t>Summary</t>
  </si>
  <si>
    <t>FCF Growth Rate</t>
  </si>
  <si>
    <t>WACC: 10.5% | TG: 3.0%</t>
  </si>
  <si>
    <t>Sum: NZ$5,035.4M</t>
  </si>
  <si>
    <t>Terminal Value (NZD M)</t>
  </si>
  <si>
    <t>PV of TV: NZ$13,960.5M</t>
  </si>
  <si>
    <t>Enterprise Value (NZD M)</t>
  </si>
  <si>
    <t>Intrinsic Value / Share</t>
  </si>
  <si>
    <t>Upside: 3.1%</t>
  </si>
  <si>
    <t>Entry Price (15% CAGR Target)</t>
  </si>
  <si>
    <t>TV/share: NZ$23.02</t>
  </si>
  <si>
    <t>BULL CASE</t>
  </si>
  <si>
    <t>WACC: 9.5% | TG: 3.5%</t>
  </si>
  <si>
    <t>Sum: NZ$6,239.8M</t>
  </si>
  <si>
    <t>PV of TV: NZ$24,023.6M</t>
  </si>
  <si>
    <t>Upside: 76.7%</t>
  </si>
  <si>
    <t>TV/share: NZ$37.85</t>
  </si>
  <si>
    <t>BEAR CASE</t>
  </si>
  <si>
    <t>WACC: 12.0% | TG: 2.0%</t>
  </si>
  <si>
    <t>Sum: NZ$3,780.2M</t>
  </si>
  <si>
    <t>PV of TV: NZ$6,631.0M</t>
  </si>
  <si>
    <t>Upside: -52.9%</t>
  </si>
  <si>
    <t>TV/share: NZ$11.69</t>
  </si>
  <si>
    <t>Infratil (IFT.NZ) — Historical Metrics (NZD Millions)</t>
  </si>
  <si>
    <t>Period</t>
  </si>
  <si>
    <t>H1-FY2022</t>
  </si>
  <si>
    <t>FY2022</t>
  </si>
  <si>
    <t>H1-FY2023</t>
  </si>
  <si>
    <t>FY2023</t>
  </si>
  <si>
    <t>H1-FY2024</t>
  </si>
  <si>
    <t>FY2024</t>
  </si>
  <si>
    <t>H1-FY2025</t>
  </si>
  <si>
    <t>FY2025</t>
  </si>
  <si>
    <t>H1-FY2026</t>
  </si>
  <si>
    <t>FY2026</t>
  </si>
  <si>
    <t>Proportionate EBITDAF (NZD M)</t>
  </si>
  <si>
    <t>Total Equity / NAV (NZD M)</t>
  </si>
  <si>
    <t>Portfolio Value (NZD M)</t>
  </si>
  <si>
    <t>CDC Contribution (NZD M)</t>
  </si>
  <si>
    <t>One NZ Contribution (NZD M)</t>
  </si>
  <si>
    <t>Wellington Airport (NZD M)</t>
  </si>
  <si>
    <t>Longroad Energy (NZD M)</t>
  </si>
  <si>
    <t>Historical Growth Rates (CAGR)</t>
  </si>
  <si>
    <t>EBITDAF 3yr CAGR (FY2023→FY2026)</t>
  </si>
  <si>
    <t>EBITDAF 4yr CAGR (FY2022→FY2026)</t>
  </si>
  <si>
    <t>Equity 3yr CAGR (FY2023→FY2026)</t>
  </si>
  <si>
    <t>Equity 4yr CAGR (FY2022→FY2026)</t>
  </si>
  <si>
    <t>Portfolio 3yr CAGR (FY2023→FY2026)</t>
  </si>
  <si>
    <t>Portfolio 4yr CAGR (FY2022→FY2026)</t>
  </si>
  <si>
    <t>Selected Base Growth Rate</t>
  </si>
  <si>
    <t>EPS / Net FCF CAGRs</t>
  </si>
  <si>
    <t>N/A</t>
  </si>
  <si>
    <t>(excluded: FY2025 net parent surplus was negative NZ$286M due to portfolio revaluations)</t>
  </si>
  <si>
    <t>Note: EPS and FCF CAGRs are excluded as growth bases due to extreme volatility from portfolio revaluations. Infratil's growth is measured via Proportionate Operational EBITDAF and NAV/TotalEquity. FY2027 EBITDAF guidance (NZ$1,300-1,400M ex-corporate, ~21% growth) anchors the base case Y1 growth rate of 20%.</t>
  </si>
  <si>
    <t>Infratil (IFT.NZ) — NAV / Sum-of-the-Parts Reference</t>
  </si>
  <si>
    <t>NAV is the primary anchor for Infratil valuation. A pure-FCF DCF can materially understate intrinsic value due to heavy growth capex and private asset revaluations. FY2026 data (year ended 31 March 2026).</t>
  </si>
  <si>
    <t>Portfolio Breakdown (FY2026, NZD M)</t>
  </si>
  <si>
    <t>Asset / Segment</t>
  </si>
  <si>
    <t>IFT Share (NZD M)</t>
  </si>
  <si>
    <t>% of Portfolio</t>
  </si>
  <si>
    <t>EBITDAF (NZD M)</t>
  </si>
  <si>
    <t>FY2027 Guidance (NZD M)</t>
  </si>
  <si>
    <t>CDC Data Centres (66.0%)</t>
  </si>
  <si>
    <t>~NZ$390-400M (A$680-720M @ 0.8382)</t>
  </si>
  <si>
    <t>One NZ (100%)</t>
  </si>
  <si>
    <t>NZ$600-640M</t>
  </si>
  <si>
    <t>Longroad Energy (~80%)</t>
  </si>
  <si>
    <t>~NZ$208-234M (US$120-135M @ 0.5769)</t>
  </si>
  <si>
    <t>Wellington Airport (66%)</t>
  </si>
  <si>
    <t>NZ$130-140M (100%)</t>
  </si>
  <si>
    <t>RHCNZ Medical (100%)</t>
  </si>
  <si>
    <t>NZ$115-135M</t>
  </si>
  <si>
    <t>Qscan (59.5%)</t>
  </si>
  <si>
    <t>A$90-105M (100% basis)</t>
  </si>
  <si>
    <t>Kao Data (~90%)</t>
  </si>
  <si>
    <t>—</t>
  </si>
  <si>
    <t>Contact Energy (~9%)</t>
  </si>
  <si>
    <t>Gurin / Galileo / Others</t>
  </si>
  <si>
    <t>Manawa / Other</t>
  </si>
  <si>
    <t>Total Portfolio Value</t>
  </si>
  <si>
    <t>Less: Corporate Net Debt</t>
  </si>
  <si>
    <t>NAV (Equity Value)</t>
  </si>
  <si>
    <t>NAV per Share (NZ$)</t>
  </si>
  <si>
    <t>Current Price (NZ$)</t>
  </si>
  <si>
    <t>P/NAV</t>
  </si>
  <si>
    <t>Valuation Cross-Check</t>
  </si>
  <si>
    <t>DCF Base Intrinsic Value</t>
  </si>
  <si>
    <t>NZ$/share</t>
  </si>
  <si>
    <t>DCF Probability-Weighted IV</t>
  </si>
  <si>
    <t>NAV per Share (FY2026)</t>
  </si>
  <si>
    <t>Analyst Consensus</t>
  </si>
  <si>
    <t>NZ$/share (9 analysts)</t>
  </si>
  <si>
    <t>Management 10-yr TSR target</t>
  </si>
  <si>
    <t>11–15% annualised</t>
  </si>
  <si>
    <t>Actual 10-yr TSR (to FY2026)</t>
  </si>
  <si>
    <t>21.0% annualised</t>
  </si>
  <si>
    <t>VALUATION PHILOSOPHY: Infratil is a Sum-of-the-Parts (SOTP) portfolio investment company. A straight DCF can materially understate intrinsic value because: (1) FCF is depressed by heavy growth capex (FY2027 capex guided at NZ$3.8-4.4bn); (2) value accumulates as unrealised NAV in private assets (CDC alone grew from NZ$0.8bn to NZ$8.9bn since 2016); (3) capital recycling generates returns not visible in near-term distributable cash flow. The DCF base case (NZ$15.80) aligns closely with NAV (NZ$16.26), confirming consistency. Bear-case DCF (NZ$7.21) understates the asset floor — divestitures at NAV would crystalise far more value. Weight the DCF alongside NAV: 0.94x P/NAV with 21% EBITDAF growth guided for FY2027 is not expensive for this asset quality.</t>
  </si>
</sst>
</file>

<file path=xl/styles.xml><?xml version="1.0" encoding="utf-8"?>
<styleSheet xmlns="http://schemas.openxmlformats.org/spreadsheetml/2006/main">
  <numFmts count="4">
    <numFmt numFmtId="164" formatCode="&quot;NZ$&quot;#,##0.00"/>
    <numFmt numFmtId="165" formatCode="0.00&quot;x&quot;"/>
    <numFmt numFmtId="166" formatCode="#,##0.0"/>
    <numFmt numFmtId="167" formatCode="0.0%"/>
  </numFmts>
  <fonts count="9">
    <font>
      <sz val="11"/>
      <color theme="1"/>
      <name val="Calibri"/>
      <family val="2"/>
      <scheme val="minor"/>
    </font>
    <font>
      <b/>
      <sz val="16"/>
      <color rgb="FF1E3A5F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1"/>
      <color rgb="FF1E3A5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rgb="FF2D343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CB6E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6C5CE7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55EFC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/>
    </xf>
    <xf numFmtId="0" fontId="4" fillId="0" borderId="2" xfId="0" applyFont="1" applyBorder="1"/>
    <xf numFmtId="164" fontId="0" fillId="3" borderId="1" xfId="0" applyNumberFormat="1" applyFill="1" applyBorder="1"/>
    <xf numFmtId="165" fontId="0" fillId="0" borderId="1" xfId="0" applyNumberFormat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5" fillId="4" borderId="1" xfId="0" applyFont="1" applyFill="1" applyBorder="1"/>
    <xf numFmtId="166" fontId="0" fillId="0" borderId="1" xfId="0" applyNumberFormat="1" applyBorder="1"/>
    <xf numFmtId="166" fontId="6" fillId="0" borderId="1" xfId="0" applyNumberFormat="1" applyFont="1" applyBorder="1"/>
    <xf numFmtId="164" fontId="5" fillId="5" borderId="3" xfId="0" applyNumberFormat="1" applyFont="1" applyFill="1" applyBorder="1"/>
    <xf numFmtId="167" fontId="5" fillId="5" borderId="3" xfId="0" applyNumberFormat="1" applyFont="1" applyFill="1" applyBorder="1"/>
    <xf numFmtId="164" fontId="5" fillId="6" borderId="3" xfId="0" applyNumberFormat="1" applyFont="1" applyFill="1" applyBorder="1"/>
    <xf numFmtId="165" fontId="6" fillId="0" borderId="1" xfId="0" applyNumberFormat="1" applyFont="1" applyBorder="1"/>
    <xf numFmtId="164" fontId="0" fillId="0" borderId="1" xfId="0" applyNumberFormat="1" applyBorder="1"/>
    <xf numFmtId="167" fontId="0" fillId="0" borderId="1" xfId="0" applyNumberFormat="1" applyBorder="1"/>
    <xf numFmtId="164" fontId="5" fillId="7" borderId="1" xfId="0" applyNumberFormat="1" applyFont="1" applyFill="1" applyBorder="1"/>
    <xf numFmtId="164" fontId="5" fillId="8" borderId="1" xfId="0" applyNumberFormat="1" applyFont="1" applyFill="1" applyBorder="1"/>
    <xf numFmtId="164" fontId="5" fillId="5" borderId="1" xfId="0" applyNumberFormat="1" applyFont="1" applyFill="1" applyBorder="1"/>
    <xf numFmtId="167" fontId="6" fillId="0" borderId="1" xfId="0" applyNumberFormat="1" applyFont="1" applyBorder="1"/>
    <xf numFmtId="164" fontId="0" fillId="9" borderId="1" xfId="0" applyNumberFormat="1" applyFill="1" applyBorder="1"/>
    <xf numFmtId="164" fontId="7" fillId="5" borderId="1" xfId="0" applyNumberFormat="1" applyFont="1" applyFill="1" applyBorder="1"/>
    <xf numFmtId="164" fontId="7" fillId="7" borderId="1" xfId="0" applyNumberFormat="1" applyFont="1" applyFill="1" applyBorder="1"/>
    <xf numFmtId="164" fontId="6" fillId="0" borderId="1" xfId="0" applyNumberFormat="1" applyFont="1" applyBorder="1"/>
    <xf numFmtId="0" fontId="8" fillId="3" borderId="1" xfId="0" applyFont="1" applyFill="1" applyBorder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0"/>
  <sheetViews>
    <sheetView tabSelected="1" zoomScale="90" zoomScaleNormal="90" workbookViewId="0"/>
  </sheetViews>
  <sheetFormatPr defaultRowHeight="15"/>
  <cols>
    <col min="1" max="1" width="32.7109375" customWidth="1"/>
    <col min="2" max="2" width="16.7109375" customWidth="1"/>
    <col min="3" max="7" width="14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/>
      <c r="C2" s="2"/>
      <c r="D2" s="2"/>
      <c r="E2" s="2"/>
      <c r="F2" s="2"/>
      <c r="G2" s="2"/>
    </row>
    <row r="3" spans="1:7" ht="36" customHeight="1">
      <c r="A3" s="3" t="s">
        <v>2</v>
      </c>
      <c r="B3" s="3"/>
      <c r="C3" s="3"/>
      <c r="D3" s="3"/>
      <c r="E3" s="3"/>
      <c r="F3" s="3"/>
      <c r="G3" s="3"/>
    </row>
    <row r="5" spans="1:7">
      <c r="A5" s="4" t="s">
        <v>3</v>
      </c>
    </row>
    <row r="6" spans="1:7">
      <c r="A6" t="s">
        <v>4</v>
      </c>
      <c r="B6" s="5">
        <v>15.32</v>
      </c>
    </row>
    <row r="7" spans="1:7">
      <c r="A7" t="s">
        <v>5</v>
      </c>
      <c r="B7" s="5">
        <v>16.26</v>
      </c>
    </row>
    <row r="8" spans="1:7">
      <c r="A8" t="s">
        <v>6</v>
      </c>
      <c r="B8" s="6">
        <f>B6/B7</f>
        <v>0</v>
      </c>
    </row>
    <row r="9" spans="1:7">
      <c r="A9" t="s">
        <v>7</v>
      </c>
      <c r="B9" s="7">
        <v>999.3</v>
      </c>
    </row>
    <row r="10" spans="1:7">
      <c r="A10" t="s">
        <v>8</v>
      </c>
      <c r="B10" s="7">
        <v>3204.6</v>
      </c>
    </row>
    <row r="11" spans="1:7">
      <c r="A11" t="s">
        <v>9</v>
      </c>
      <c r="B11" s="7">
        <v>865.4</v>
      </c>
      <c r="C11" s="2">
        <f> FY2026 EBITDAF NZ$989.4M less corporate costs NZ$124M</f>
        <v>0</v>
      </c>
    </row>
    <row r="12" spans="1:7">
      <c r="A12" t="s">
        <v>10</v>
      </c>
      <c r="B12" s="8">
        <v>0.105</v>
      </c>
    </row>
    <row r="13" spans="1:7">
      <c r="A13" t="s">
        <v>11</v>
      </c>
      <c r="B13" s="8">
        <v>0.03</v>
      </c>
    </row>
    <row r="15" spans="1:7">
      <c r="A15" s="4" t="s">
        <v>12</v>
      </c>
    </row>
    <row r="16" spans="1:7">
      <c r="C16" s="9" t="s">
        <v>13</v>
      </c>
      <c r="D16" s="9" t="s">
        <v>14</v>
      </c>
      <c r="E16" s="9" t="s">
        <v>15</v>
      </c>
      <c r="F16" s="9" t="s">
        <v>16</v>
      </c>
      <c r="G16" s="9" t="s">
        <v>17</v>
      </c>
    </row>
    <row r="17" spans="1:7">
      <c r="A17" s="10" t="s">
        <v>18</v>
      </c>
      <c r="C17" s="8">
        <v>0.2</v>
      </c>
      <c r="D17" s="8">
        <v>0.18</v>
      </c>
      <c r="E17" s="8">
        <v>0.14</v>
      </c>
      <c r="F17" s="8">
        <v>0.11</v>
      </c>
      <c r="G17" s="8">
        <v>0.08</v>
      </c>
    </row>
    <row r="19" spans="1:7">
      <c r="A19" s="4" t="s">
        <v>19</v>
      </c>
    </row>
    <row r="20" spans="1:7">
      <c r="A20" s="11"/>
      <c r="B20" s="9" t="s">
        <v>20</v>
      </c>
      <c r="C20" s="9" t="s">
        <v>13</v>
      </c>
      <c r="D20" s="9" t="s">
        <v>14</v>
      </c>
      <c r="E20" s="9" t="s">
        <v>15</v>
      </c>
      <c r="F20" s="9" t="s">
        <v>16</v>
      </c>
      <c r="G20" s="9" t="s">
        <v>17</v>
      </c>
    </row>
    <row r="21" spans="1:7">
      <c r="A21" s="10" t="s">
        <v>21</v>
      </c>
      <c r="B21" s="12">
        <f>B11</f>
        <v>0</v>
      </c>
      <c r="C21" s="12">
        <f>C21*(1+C17)</f>
        <v>0</v>
      </c>
      <c r="D21" s="12">
        <f>D21*(1+D17)</f>
        <v>0</v>
      </c>
      <c r="E21" s="12">
        <f>E21*(1+E17)</f>
        <v>0</v>
      </c>
      <c r="F21" s="12">
        <f>F21*(1+F17)</f>
        <v>0</v>
      </c>
      <c r="G21" s="12">
        <f>G21*(1+G17)</f>
        <v>0</v>
      </c>
    </row>
    <row r="22" spans="1:7">
      <c r="A22" s="10" t="s">
        <v>22</v>
      </c>
      <c r="C22" s="12">
        <f>1/(1+$B$12)^1</f>
        <v>0</v>
      </c>
      <c r="D22" s="12">
        <f>1/(1+$B$12)^2</f>
        <v>0</v>
      </c>
      <c r="E22" s="12">
        <f>1/(1+$B$12)^3</f>
        <v>0</v>
      </c>
      <c r="F22" s="12">
        <f>1/(1+$B$12)^4</f>
        <v>0</v>
      </c>
      <c r="G22" s="12">
        <f>1/(1+$B$12)^5</f>
        <v>0</v>
      </c>
    </row>
    <row r="23" spans="1:7">
      <c r="A23" s="10" t="s">
        <v>23</v>
      </c>
      <c r="C23" s="12">
        <f>C21*C22</f>
        <v>0</v>
      </c>
      <c r="D23" s="12">
        <f>D21*D22</f>
        <v>0</v>
      </c>
      <c r="E23" s="12">
        <f>E21*E22</f>
        <v>0</v>
      </c>
      <c r="F23" s="12">
        <f>F21*F22</f>
        <v>0</v>
      </c>
      <c r="G23" s="12">
        <f>G21*G22</f>
        <v>0</v>
      </c>
    </row>
    <row r="25" spans="1:7">
      <c r="A25" s="4" t="s">
        <v>24</v>
      </c>
    </row>
    <row r="26" spans="1:7">
      <c r="A26" t="s">
        <v>25</v>
      </c>
      <c r="B26" s="13">
        <f>SUM(C23:G23)</f>
        <v>0</v>
      </c>
    </row>
    <row r="27" spans="1:7">
      <c r="A27" t="s">
        <v>26</v>
      </c>
      <c r="B27" s="12">
        <f>G21*(1+$B$13)</f>
        <v>0</v>
      </c>
    </row>
    <row r="28" spans="1:7">
      <c r="A28" t="s">
        <v>27</v>
      </c>
      <c r="B28" s="13">
        <f>B27/($B$12-$B$13)</f>
        <v>0</v>
      </c>
    </row>
    <row r="29" spans="1:7">
      <c r="A29" t="s">
        <v>28</v>
      </c>
      <c r="B29" s="12">
        <f>G22</f>
        <v>0</v>
      </c>
    </row>
    <row r="30" spans="1:7">
      <c r="A30" t="s">
        <v>29</v>
      </c>
      <c r="B30" s="13">
        <f>B28*B29</f>
        <v>0</v>
      </c>
    </row>
    <row r="31" spans="1:7">
      <c r="A31" t="s">
        <v>30</v>
      </c>
      <c r="B31" s="13">
        <f>B26+B30</f>
        <v>0</v>
      </c>
    </row>
    <row r="32" spans="1:7">
      <c r="A32" t="s">
        <v>31</v>
      </c>
      <c r="B32" s="12">
        <f>B10</f>
        <v>0</v>
      </c>
    </row>
    <row r="33" spans="1:7">
      <c r="A33" t="s">
        <v>32</v>
      </c>
      <c r="B33" s="13">
        <f>B31-B32</f>
        <v>0</v>
      </c>
    </row>
    <row r="34" spans="1:7">
      <c r="A34" s="10" t="s">
        <v>33</v>
      </c>
      <c r="B34" s="14">
        <f>B33/B9</f>
        <v>0</v>
      </c>
    </row>
    <row r="35" spans="1:7">
      <c r="A35" t="s">
        <v>34</v>
      </c>
      <c r="B35" s="15">
        <f>(B34-B6)/B6</f>
        <v>0</v>
      </c>
    </row>
    <row r="36" spans="1:7">
      <c r="A36" t="s">
        <v>35</v>
      </c>
      <c r="B36" s="16">
        <f>B7</f>
        <v>0</v>
      </c>
    </row>
    <row r="37" spans="1:7">
      <c r="A37" t="s">
        <v>36</v>
      </c>
      <c r="B37" s="17">
        <f>B34/B7</f>
        <v>0</v>
      </c>
    </row>
    <row r="39" spans="1:7">
      <c r="A39" s="4" t="s">
        <v>37</v>
      </c>
    </row>
    <row r="40" spans="1:7">
      <c r="A40" t="s">
        <v>38</v>
      </c>
      <c r="B40" s="18">
        <f>B28/B9</f>
        <v>0</v>
      </c>
    </row>
    <row r="41" spans="1:7">
      <c r="A41" t="s">
        <v>39</v>
      </c>
      <c r="B41" s="14">
        <f>B40/(1.15^5)</f>
        <v>0</v>
      </c>
    </row>
    <row r="42" spans="1:7">
      <c r="A42" t="s">
        <v>40</v>
      </c>
      <c r="B42" s="15">
        <f>(B41-B6)/B6</f>
        <v>0</v>
      </c>
    </row>
    <row r="44" spans="1:7">
      <c r="A44" s="4" t="s">
        <v>41</v>
      </c>
    </row>
    <row r="45" spans="1:7">
      <c r="A45" s="11" t="s">
        <v>42</v>
      </c>
      <c r="B45" s="9" t="s">
        <v>43</v>
      </c>
      <c r="C45" s="9" t="s">
        <v>44</v>
      </c>
      <c r="D45" s="9" t="s">
        <v>45</v>
      </c>
      <c r="E45" s="9" t="s">
        <v>46</v>
      </c>
      <c r="F45" s="9" t="s">
        <v>47</v>
      </c>
      <c r="G45" s="9" t="s">
        <v>48</v>
      </c>
    </row>
    <row r="46" spans="1:7">
      <c r="A46" s="10" t="s">
        <v>49</v>
      </c>
      <c r="B46" s="19">
        <v>0.12</v>
      </c>
      <c r="C46" s="19">
        <v>0.02</v>
      </c>
      <c r="D46" s="19">
        <v>0.1</v>
      </c>
      <c r="E46" s="20">
        <v>7.21</v>
      </c>
      <c r="F46" s="19">
        <v>-0.529</v>
      </c>
      <c r="G46" s="19">
        <v>0.2</v>
      </c>
    </row>
    <row r="47" spans="1:7">
      <c r="A47" s="10" t="s">
        <v>50</v>
      </c>
      <c r="B47" s="19">
        <v>0.105</v>
      </c>
      <c r="C47" s="19">
        <v>0.03</v>
      </c>
      <c r="D47" s="19">
        <v>0.2</v>
      </c>
      <c r="E47" s="21">
        <v>15.8</v>
      </c>
      <c r="F47" s="19">
        <v>0.031</v>
      </c>
      <c r="G47" s="19">
        <v>0.5</v>
      </c>
    </row>
    <row r="48" spans="1:7">
      <c r="A48" s="10" t="s">
        <v>51</v>
      </c>
      <c r="B48" s="19">
        <v>0.095</v>
      </c>
      <c r="C48" s="19">
        <v>0.035</v>
      </c>
      <c r="D48" s="19">
        <v>0.3</v>
      </c>
      <c r="E48" s="22">
        <v>27.08</v>
      </c>
      <c r="F48" s="19">
        <v>0.767</v>
      </c>
      <c r="G48" s="19">
        <v>0.3</v>
      </c>
    </row>
    <row r="49" spans="1:4">
      <c r="A49" s="10" t="s">
        <v>52</v>
      </c>
      <c r="B49" s="16">
        <v>17.47</v>
      </c>
      <c r="C49" s="23">
        <f>(B49-B6)/B6</f>
        <v>0</v>
      </c>
      <c r="D49" s="2" t="s">
        <v>53</v>
      </c>
    </row>
    <row r="50" spans="1:4">
      <c r="A50" s="10" t="s">
        <v>54</v>
      </c>
      <c r="B50" s="18">
        <v>17.21</v>
      </c>
      <c r="C50" s="2" t="s">
        <v>55</v>
      </c>
    </row>
  </sheetData>
  <mergeCells count="3">
    <mergeCell ref="A1:G1"/>
    <mergeCell ref="A2:G2"/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zoomScale="95" zoomScaleNormal="95" workbookViewId="0"/>
  </sheetViews>
  <sheetFormatPr defaultRowHeight="15"/>
  <cols>
    <col min="1" max="1" width="20.7109375" customWidth="1"/>
    <col min="2" max="6" width="14.7109375" customWidth="1"/>
  </cols>
  <sheetData>
    <row r="1" spans="1:6">
      <c r="A1" s="1" t="s">
        <v>56</v>
      </c>
      <c r="B1" s="1"/>
      <c r="C1" s="1"/>
      <c r="D1" s="1"/>
      <c r="E1" s="1"/>
      <c r="F1" s="1"/>
    </row>
    <row r="2" spans="1:6">
      <c r="A2" s="2" t="s">
        <v>57</v>
      </c>
      <c r="B2" s="2"/>
      <c r="C2" s="2"/>
      <c r="D2" s="2"/>
      <c r="E2" s="2"/>
      <c r="F2" s="2"/>
    </row>
    <row r="4" spans="1:6">
      <c r="A4" s="11" t="s">
        <v>58</v>
      </c>
      <c r="B4" s="9" t="s">
        <v>59</v>
      </c>
      <c r="C4" s="9" t="s">
        <v>60</v>
      </c>
      <c r="D4" s="9" t="s">
        <v>61</v>
      </c>
      <c r="E4" s="9" t="s">
        <v>62</v>
      </c>
      <c r="F4" s="9" t="s">
        <v>63</v>
      </c>
    </row>
    <row r="5" spans="1:6">
      <c r="A5" s="11" t="s">
        <v>64</v>
      </c>
      <c r="B5" s="24">
        <v>19.61</v>
      </c>
      <c r="C5" s="25">
        <v>21.16</v>
      </c>
      <c r="D5" s="25">
        <v>22.99</v>
      </c>
      <c r="E5" s="25">
        <v>25.19</v>
      </c>
      <c r="F5" s="25">
        <v>27.88</v>
      </c>
    </row>
    <row r="6" spans="1:6">
      <c r="A6" s="11" t="s">
        <v>65</v>
      </c>
      <c r="B6" s="24">
        <v>16.45</v>
      </c>
      <c r="C6" s="24">
        <v>17.56</v>
      </c>
      <c r="D6" s="24">
        <v>18.84</v>
      </c>
      <c r="E6" s="25">
        <v>20.34</v>
      </c>
      <c r="F6" s="25">
        <v>22.1</v>
      </c>
    </row>
    <row r="7" spans="1:6">
      <c r="A7" s="11" t="s">
        <v>66</v>
      </c>
      <c r="B7" s="18">
        <v>14.04</v>
      </c>
      <c r="C7" s="18">
        <v>14.87</v>
      </c>
      <c r="D7" s="24">
        <v>15.8</v>
      </c>
      <c r="E7" s="24">
        <v>16.87</v>
      </c>
      <c r="F7" s="24">
        <v>18.11</v>
      </c>
    </row>
    <row r="8" spans="1:6">
      <c r="A8" s="11" t="s">
        <v>67</v>
      </c>
      <c r="B8" s="26">
        <v>12.14</v>
      </c>
      <c r="C8" s="26">
        <v>12.77</v>
      </c>
      <c r="D8" s="26">
        <v>13.48</v>
      </c>
      <c r="E8" s="18">
        <v>14.28</v>
      </c>
      <c r="F8" s="18">
        <v>15.18</v>
      </c>
    </row>
    <row r="9" spans="1:6">
      <c r="A9" s="11" t="s">
        <v>68</v>
      </c>
      <c r="B9" s="26">
        <v>10.6</v>
      </c>
      <c r="C9" s="26">
        <v>11.1</v>
      </c>
      <c r="D9" s="26">
        <v>11.65</v>
      </c>
      <c r="E9" s="26">
        <v>12.26</v>
      </c>
      <c r="F9" s="26">
        <v>12.94</v>
      </c>
    </row>
    <row r="10" spans="1:6">
      <c r="A10" s="10" t="s">
        <v>69</v>
      </c>
      <c r="B10" s="16">
        <v>16.26</v>
      </c>
      <c r="C10" s="10" t="s">
        <v>70</v>
      </c>
      <c r="D10" s="27">
        <v>15.32</v>
      </c>
    </row>
    <row r="12" spans="1:6" ht="40" customHeight="1">
      <c r="A12" s="28" t="s">
        <v>71</v>
      </c>
      <c r="B12" s="28"/>
      <c r="C12" s="28"/>
      <c r="D12" s="28"/>
      <c r="E12" s="28"/>
      <c r="F12" s="28"/>
    </row>
  </sheetData>
  <mergeCells count="3">
    <mergeCell ref="A1:F1"/>
    <mergeCell ref="A2:F2"/>
    <mergeCell ref="A12:F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4"/>
  <sheetViews>
    <sheetView zoomScale="90" zoomScaleNormal="90" workbookViewId="0"/>
  </sheetViews>
  <sheetFormatPr defaultRowHeight="15"/>
  <cols>
    <col min="1" max="1" width="28.7109375" customWidth="1"/>
    <col min="2" max="8" width="15.7109375" customWidth="1"/>
  </cols>
  <sheetData>
    <row r="1" spans="1:8">
      <c r="A1" s="1" t="s">
        <v>72</v>
      </c>
      <c r="B1" s="1"/>
      <c r="C1" s="1"/>
      <c r="D1" s="1"/>
      <c r="E1" s="1"/>
      <c r="F1" s="1"/>
      <c r="G1" s="1"/>
      <c r="H1" s="1"/>
    </row>
    <row r="3" spans="1:8">
      <c r="A3" s="21" t="s">
        <v>73</v>
      </c>
      <c r="B3" s="21"/>
      <c r="C3" s="21"/>
      <c r="D3" s="21"/>
      <c r="E3" s="21"/>
      <c r="F3" s="21"/>
      <c r="G3" s="21"/>
      <c r="H3" s="21"/>
    </row>
    <row r="4" spans="1:8">
      <c r="A4" s="11" t="s">
        <v>74</v>
      </c>
      <c r="B4" s="9" t="s">
        <v>20</v>
      </c>
      <c r="C4" s="9" t="s">
        <v>13</v>
      </c>
      <c r="D4" s="9" t="s">
        <v>14</v>
      </c>
      <c r="E4" s="9" t="s">
        <v>15</v>
      </c>
      <c r="F4" s="9" t="s">
        <v>16</v>
      </c>
      <c r="G4" s="9" t="s">
        <v>17</v>
      </c>
      <c r="H4" s="9" t="s">
        <v>75</v>
      </c>
    </row>
    <row r="5" spans="1:8">
      <c r="A5" t="s">
        <v>76</v>
      </c>
      <c r="C5" s="19">
        <v>0.2</v>
      </c>
      <c r="D5" s="19">
        <v>0.18</v>
      </c>
      <c r="E5" s="19">
        <v>0.14</v>
      </c>
      <c r="F5" s="19">
        <v>0.11</v>
      </c>
      <c r="G5" s="19">
        <v>0.08</v>
      </c>
      <c r="H5" s="2" t="s">
        <v>77</v>
      </c>
    </row>
    <row r="6" spans="1:8">
      <c r="A6" t="s">
        <v>21</v>
      </c>
      <c r="B6" s="12">
        <v>865.4</v>
      </c>
      <c r="C6" s="12">
        <v>1038.5</v>
      </c>
      <c r="D6" s="12">
        <v>1225.4</v>
      </c>
      <c r="E6" s="12">
        <v>1397</v>
      </c>
      <c r="F6" s="12">
        <v>1550.6</v>
      </c>
      <c r="G6" s="12">
        <v>1674.7</v>
      </c>
    </row>
    <row r="7" spans="1:8">
      <c r="A7" t="s">
        <v>23</v>
      </c>
      <c r="B7" s="12"/>
      <c r="C7" s="12">
        <v>939.8</v>
      </c>
      <c r="D7" s="12">
        <v>1003.6</v>
      </c>
      <c r="E7" s="12">
        <v>1035.4</v>
      </c>
      <c r="F7" s="12">
        <v>1040.1</v>
      </c>
      <c r="G7" s="12">
        <v>1016.5</v>
      </c>
      <c r="H7" s="10" t="s">
        <v>78</v>
      </c>
    </row>
    <row r="8" spans="1:8">
      <c r="A8" t="s">
        <v>79</v>
      </c>
      <c r="B8" s="13">
        <v>22999.2</v>
      </c>
      <c r="H8" s="10" t="s">
        <v>80</v>
      </c>
    </row>
    <row r="9" spans="1:8">
      <c r="A9" t="s">
        <v>81</v>
      </c>
      <c r="B9" s="13">
        <v>18995.9</v>
      </c>
    </row>
    <row r="10" spans="1:8">
      <c r="A10" t="s">
        <v>32</v>
      </c>
      <c r="B10" s="13">
        <v>15791.3</v>
      </c>
    </row>
    <row r="11" spans="1:8">
      <c r="A11" t="s">
        <v>82</v>
      </c>
      <c r="B11" s="21">
        <v>15.8</v>
      </c>
      <c r="C11" s="10" t="s">
        <v>83</v>
      </c>
    </row>
    <row r="12" spans="1:8">
      <c r="A12" t="s">
        <v>84</v>
      </c>
      <c r="B12" s="21">
        <v>11.44</v>
      </c>
      <c r="C12" s="10" t="s">
        <v>85</v>
      </c>
    </row>
    <row r="14" spans="1:8">
      <c r="A14" s="22" t="s">
        <v>86</v>
      </c>
      <c r="B14" s="22"/>
      <c r="C14" s="22"/>
      <c r="D14" s="22"/>
      <c r="E14" s="22"/>
      <c r="F14" s="22"/>
      <c r="G14" s="22"/>
      <c r="H14" s="22"/>
    </row>
    <row r="15" spans="1:8">
      <c r="A15" s="11" t="s">
        <v>74</v>
      </c>
      <c r="B15" s="9" t="s">
        <v>20</v>
      </c>
      <c r="C15" s="9" t="s">
        <v>13</v>
      </c>
      <c r="D15" s="9" t="s">
        <v>14</v>
      </c>
      <c r="E15" s="9" t="s">
        <v>15</v>
      </c>
      <c r="F15" s="9" t="s">
        <v>16</v>
      </c>
      <c r="G15" s="9" t="s">
        <v>17</v>
      </c>
      <c r="H15" s="9" t="s">
        <v>75</v>
      </c>
    </row>
    <row r="16" spans="1:8">
      <c r="A16" t="s">
        <v>76</v>
      </c>
      <c r="C16" s="19">
        <v>0.3</v>
      </c>
      <c r="D16" s="19">
        <v>0.25</v>
      </c>
      <c r="E16" s="19">
        <v>0.2</v>
      </c>
      <c r="F16" s="19">
        <v>0.16</v>
      </c>
      <c r="G16" s="19">
        <v>0.12</v>
      </c>
      <c r="H16" s="2" t="s">
        <v>87</v>
      </c>
    </row>
    <row r="17" spans="1:8">
      <c r="A17" t="s">
        <v>21</v>
      </c>
      <c r="B17" s="12">
        <v>865.4</v>
      </c>
      <c r="C17" s="12">
        <v>1125</v>
      </c>
      <c r="D17" s="12">
        <v>1406.3</v>
      </c>
      <c r="E17" s="12">
        <v>1687.5</v>
      </c>
      <c r="F17" s="12">
        <v>1957.5</v>
      </c>
      <c r="G17" s="12">
        <v>2192.4</v>
      </c>
    </row>
    <row r="18" spans="1:8">
      <c r="A18" t="s">
        <v>23</v>
      </c>
      <c r="B18" s="12"/>
      <c r="C18" s="12">
        <v>1027.4</v>
      </c>
      <c r="D18" s="12">
        <v>1172.8</v>
      </c>
      <c r="E18" s="12">
        <v>1285.3</v>
      </c>
      <c r="F18" s="12">
        <v>1361.6</v>
      </c>
      <c r="G18" s="12">
        <v>1392.7</v>
      </c>
      <c r="H18" s="10" t="s">
        <v>88</v>
      </c>
    </row>
    <row r="19" spans="1:8">
      <c r="A19" t="s">
        <v>79</v>
      </c>
      <c r="B19" s="13">
        <v>37818.9</v>
      </c>
      <c r="H19" s="10" t="s">
        <v>89</v>
      </c>
    </row>
    <row r="20" spans="1:8">
      <c r="A20" t="s">
        <v>81</v>
      </c>
      <c r="B20" s="13">
        <v>30263.4</v>
      </c>
    </row>
    <row r="21" spans="1:8">
      <c r="A21" t="s">
        <v>32</v>
      </c>
      <c r="B21" s="13">
        <v>27058.8</v>
      </c>
    </row>
    <row r="22" spans="1:8">
      <c r="A22" t="s">
        <v>82</v>
      </c>
      <c r="B22" s="22">
        <v>27.08</v>
      </c>
      <c r="C22" s="10" t="s">
        <v>90</v>
      </c>
    </row>
    <row r="23" spans="1:8">
      <c r="A23" t="s">
        <v>84</v>
      </c>
      <c r="B23" s="22">
        <v>18.82</v>
      </c>
      <c r="C23" s="10" t="s">
        <v>91</v>
      </c>
    </row>
    <row r="25" spans="1:8">
      <c r="A25" s="20" t="s">
        <v>92</v>
      </c>
      <c r="B25" s="20"/>
      <c r="C25" s="20"/>
      <c r="D25" s="20"/>
      <c r="E25" s="20"/>
      <c r="F25" s="20"/>
      <c r="G25" s="20"/>
      <c r="H25" s="20"/>
    </row>
    <row r="26" spans="1:8">
      <c r="A26" s="11" t="s">
        <v>74</v>
      </c>
      <c r="B26" s="9" t="s">
        <v>20</v>
      </c>
      <c r="C26" s="9" t="s">
        <v>13</v>
      </c>
      <c r="D26" s="9" t="s">
        <v>14</v>
      </c>
      <c r="E26" s="9" t="s">
        <v>15</v>
      </c>
      <c r="F26" s="9" t="s">
        <v>16</v>
      </c>
      <c r="G26" s="9" t="s">
        <v>17</v>
      </c>
      <c r="H26" s="9" t="s">
        <v>75</v>
      </c>
    </row>
    <row r="27" spans="1:8">
      <c r="A27" t="s">
        <v>76</v>
      </c>
      <c r="C27" s="19">
        <v>0.1</v>
      </c>
      <c r="D27" s="19">
        <v>0.07000000000000001</v>
      </c>
      <c r="E27" s="19">
        <v>0.05</v>
      </c>
      <c r="F27" s="19">
        <v>0.04</v>
      </c>
      <c r="G27" s="19">
        <v>0.03</v>
      </c>
      <c r="H27" s="2" t="s">
        <v>93</v>
      </c>
    </row>
    <row r="28" spans="1:8">
      <c r="A28" t="s">
        <v>21</v>
      </c>
      <c r="B28" s="12">
        <v>865.4</v>
      </c>
      <c r="C28" s="12">
        <v>951.9</v>
      </c>
      <c r="D28" s="12">
        <v>1018.6</v>
      </c>
      <c r="E28" s="12">
        <v>1069.5</v>
      </c>
      <c r="F28" s="12">
        <v>1112.3</v>
      </c>
      <c r="G28" s="12">
        <v>1145.7</v>
      </c>
    </row>
    <row r="29" spans="1:8">
      <c r="A29" t="s">
        <v>23</v>
      </c>
      <c r="B29" s="12"/>
      <c r="C29" s="12">
        <v>849.9</v>
      </c>
      <c r="D29" s="12">
        <v>812</v>
      </c>
      <c r="E29" s="12">
        <v>761.3</v>
      </c>
      <c r="F29" s="12">
        <v>706.9</v>
      </c>
      <c r="G29" s="12">
        <v>650.1</v>
      </c>
      <c r="H29" s="10" t="s">
        <v>94</v>
      </c>
    </row>
    <row r="30" spans="1:8">
      <c r="A30" t="s">
        <v>79</v>
      </c>
      <c r="B30" s="13">
        <v>11686.1</v>
      </c>
      <c r="H30" s="10" t="s">
        <v>95</v>
      </c>
    </row>
    <row r="31" spans="1:8">
      <c r="A31" t="s">
        <v>81</v>
      </c>
      <c r="B31" s="13">
        <v>10411.2</v>
      </c>
    </row>
    <row r="32" spans="1:8">
      <c r="A32" t="s">
        <v>32</v>
      </c>
      <c r="B32" s="13">
        <v>7206.6</v>
      </c>
    </row>
    <row r="33" spans="1:3">
      <c r="A33" t="s">
        <v>82</v>
      </c>
      <c r="B33" s="20">
        <v>7.21</v>
      </c>
      <c r="C33" s="10" t="s">
        <v>96</v>
      </c>
    </row>
    <row r="34" spans="1:3">
      <c r="A34" t="s">
        <v>84</v>
      </c>
      <c r="B34" s="20">
        <v>5.81</v>
      </c>
      <c r="C34" s="10" t="s">
        <v>97</v>
      </c>
    </row>
  </sheetData>
  <mergeCells count="4">
    <mergeCell ref="A1:H1"/>
    <mergeCell ref="A3:H3"/>
    <mergeCell ref="A14:H14"/>
    <mergeCell ref="A25:H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zoomScale="90" zoomScaleNormal="90" workbookViewId="0"/>
  </sheetViews>
  <sheetFormatPr defaultRowHeight="15"/>
  <cols>
    <col min="1" max="1" width="28.7109375" customWidth="1"/>
    <col min="2" max="10" width="14.7109375" customWidth="1"/>
  </cols>
  <sheetData>
    <row r="1" spans="1:11">
      <c r="A1" s="1" t="s">
        <v>98</v>
      </c>
      <c r="B1" s="1"/>
      <c r="C1" s="1"/>
      <c r="D1" s="1"/>
      <c r="E1" s="1"/>
      <c r="F1" s="1"/>
      <c r="G1" s="1"/>
      <c r="H1" s="1"/>
      <c r="I1" s="1"/>
    </row>
    <row r="2" spans="1:11">
      <c r="A2" s="11" t="s">
        <v>99</v>
      </c>
      <c r="B2" s="9" t="s">
        <v>100</v>
      </c>
      <c r="C2" s="9" t="s">
        <v>101</v>
      </c>
      <c r="D2" s="9" t="s">
        <v>102</v>
      </c>
      <c r="E2" s="9" t="s">
        <v>103</v>
      </c>
      <c r="F2" s="9" t="s">
        <v>104</v>
      </c>
      <c r="G2" s="9" t="s">
        <v>105</v>
      </c>
      <c r="H2" s="9" t="s">
        <v>106</v>
      </c>
      <c r="I2" s="9" t="s">
        <v>107</v>
      </c>
      <c r="J2" s="9" t="s">
        <v>108</v>
      </c>
      <c r="K2" s="9" t="s">
        <v>109</v>
      </c>
    </row>
    <row r="3" spans="1:11">
      <c r="A3" s="10" t="s">
        <v>110</v>
      </c>
      <c r="B3" s="12">
        <v>265.5</v>
      </c>
      <c r="C3" s="12">
        <v>507</v>
      </c>
      <c r="D3" s="12">
        <v>277.4</v>
      </c>
      <c r="E3" s="12">
        <v>533.3</v>
      </c>
      <c r="F3" s="12">
        <v>399.6</v>
      </c>
      <c r="G3" s="12">
        <v>863.8</v>
      </c>
      <c r="H3" s="12">
        <v>478.8</v>
      </c>
      <c r="I3" s="12">
        <v>917.8</v>
      </c>
      <c r="J3" s="12">
        <v>499.7</v>
      </c>
      <c r="K3" s="12">
        <v>989.4</v>
      </c>
    </row>
    <row r="4" spans="1:11">
      <c r="A4" s="10" t="s">
        <v>111</v>
      </c>
      <c r="C4" s="12">
        <v>7679.2</v>
      </c>
      <c r="E4" s="12">
        <v>9182.299999999999</v>
      </c>
      <c r="G4" s="12">
        <v>11944.3</v>
      </c>
      <c r="I4" s="12">
        <v>16115.9</v>
      </c>
      <c r="K4" s="12">
        <v>17419.4</v>
      </c>
    </row>
    <row r="5" spans="1:11">
      <c r="A5" s="10" t="s">
        <v>112</v>
      </c>
      <c r="B5" s="12">
        <v>6621.4</v>
      </c>
      <c r="C5" s="12">
        <v>8301.799999999999</v>
      </c>
      <c r="D5" s="12">
        <v>9344.799999999999</v>
      </c>
      <c r="E5" s="12">
        <v>9906.9</v>
      </c>
      <c r="F5" s="12">
        <v>12490.7</v>
      </c>
      <c r="G5" s="12">
        <v>14209.1</v>
      </c>
      <c r="H5" s="12">
        <v>15250.8</v>
      </c>
      <c r="I5" s="12">
        <v>18303.7</v>
      </c>
      <c r="J5" s="12">
        <v>19038.7</v>
      </c>
      <c r="K5" s="12">
        <v>20624</v>
      </c>
    </row>
    <row r="6" spans="1:11">
      <c r="A6" s="10" t="s">
        <v>8</v>
      </c>
      <c r="B6" s="12">
        <v>622.6</v>
      </c>
      <c r="C6" s="12">
        <v>622.6</v>
      </c>
      <c r="D6" s="12">
        <v>1012.1</v>
      </c>
      <c r="E6" s="12">
        <v>724.6</v>
      </c>
      <c r="F6" s="12">
        <v>2082.7</v>
      </c>
      <c r="G6" s="12">
        <v>2264.8</v>
      </c>
      <c r="H6" s="12">
        <v>1292.6</v>
      </c>
      <c r="I6" s="12">
        <v>2187.8</v>
      </c>
      <c r="J6" s="12">
        <v>2622.2</v>
      </c>
      <c r="K6" s="12">
        <v>3204.6</v>
      </c>
    </row>
    <row r="7" spans="1:11">
      <c r="A7" s="10" t="s">
        <v>7</v>
      </c>
      <c r="B7" s="12">
        <v>723</v>
      </c>
      <c r="C7" s="12">
        <v>724</v>
      </c>
      <c r="D7" s="12">
        <v>724</v>
      </c>
      <c r="E7" s="12">
        <v>724</v>
      </c>
      <c r="F7" s="12">
        <v>831.9</v>
      </c>
      <c r="G7" s="12">
        <v>832.6</v>
      </c>
      <c r="H7" s="12">
        <v>966.5</v>
      </c>
      <c r="I7" s="12">
        <v>968.1</v>
      </c>
      <c r="J7" s="12">
        <v>979.6</v>
      </c>
      <c r="K7" s="12">
        <v>999.3</v>
      </c>
    </row>
    <row r="8" spans="1:11">
      <c r="A8" s="10" t="s">
        <v>113</v>
      </c>
      <c r="B8" s="12">
        <v>38.3</v>
      </c>
      <c r="C8" s="12">
        <v>82.2</v>
      </c>
      <c r="D8" s="12">
        <v>51.9</v>
      </c>
      <c r="E8" s="12">
        <v>113.7</v>
      </c>
      <c r="F8" s="12">
        <v>64.3</v>
      </c>
      <c r="G8" s="12">
        <v>140.8</v>
      </c>
      <c r="H8" s="12">
        <v>83.7</v>
      </c>
      <c r="I8" s="12">
        <v>173.9</v>
      </c>
      <c r="J8" s="12">
        <v>99.90000000000001</v>
      </c>
      <c r="K8" s="12">
        <v>220.4</v>
      </c>
    </row>
    <row r="9" spans="1:11">
      <c r="A9" s="10" t="s">
        <v>114</v>
      </c>
      <c r="B9" s="12">
        <v>120.4</v>
      </c>
      <c r="C9" s="12">
        <v>243.8</v>
      </c>
      <c r="D9" s="12">
        <v>128.8</v>
      </c>
      <c r="E9" s="12">
        <v>263.6</v>
      </c>
      <c r="F9" s="12">
        <v>225.1</v>
      </c>
      <c r="G9" s="12">
        <v>545.5</v>
      </c>
      <c r="H9" s="12">
        <v>304</v>
      </c>
      <c r="I9" s="12">
        <v>604</v>
      </c>
      <c r="J9" s="12">
        <v>295.3</v>
      </c>
      <c r="K9" s="12">
        <v>607.4</v>
      </c>
    </row>
    <row r="10" spans="1:11">
      <c r="A10" s="10" t="s">
        <v>115</v>
      </c>
      <c r="B10" s="12">
        <v>20.8</v>
      </c>
      <c r="C10" s="12">
        <v>37.3</v>
      </c>
      <c r="D10" s="12">
        <v>26.5</v>
      </c>
      <c r="E10" s="12">
        <v>59.1</v>
      </c>
      <c r="F10" s="12">
        <v>33.4</v>
      </c>
      <c r="G10" s="12">
        <v>70.7</v>
      </c>
      <c r="H10" s="12">
        <v>41.6</v>
      </c>
      <c r="I10" s="12">
        <v>86.09999999999999</v>
      </c>
      <c r="J10" s="12">
        <v>43.3</v>
      </c>
      <c r="K10" s="12">
        <v>88.09999999999999</v>
      </c>
    </row>
    <row r="11" spans="1:11">
      <c r="A11" s="10" t="s">
        <v>116</v>
      </c>
      <c r="B11" s="12">
        <v>13.7</v>
      </c>
      <c r="C11" s="12">
        <v>15.1</v>
      </c>
      <c r="D11" s="12">
        <v>21.7</v>
      </c>
      <c r="E11" s="12">
        <v>16.4</v>
      </c>
      <c r="F11" s="12">
        <v>34.6</v>
      </c>
      <c r="G11" s="12">
        <v>33.4</v>
      </c>
      <c r="H11" s="12">
        <v>22.1</v>
      </c>
      <c r="I11" s="12">
        <v>27.3</v>
      </c>
      <c r="J11" s="12">
        <v>51.9</v>
      </c>
      <c r="K11" s="12">
        <v>77.5</v>
      </c>
    </row>
    <row r="14" spans="1:11">
      <c r="A14" s="4" t="s">
        <v>117</v>
      </c>
      <c r="B14" s="4"/>
      <c r="C14" s="4"/>
      <c r="D14" s="4"/>
      <c r="E14" s="4"/>
      <c r="F14" s="4"/>
      <c r="G14" s="4"/>
      <c r="H14" s="4"/>
      <c r="I14" s="4"/>
    </row>
    <row r="15" spans="1:11">
      <c r="A15" s="10" t="s">
        <v>118</v>
      </c>
      <c r="B15" s="19">
        <v>0.229</v>
      </c>
    </row>
    <row r="16" spans="1:11">
      <c r="A16" s="10" t="s">
        <v>119</v>
      </c>
      <c r="B16" s="19">
        <v>0.182</v>
      </c>
    </row>
    <row r="17" spans="1:9">
      <c r="A17" s="10" t="s">
        <v>120</v>
      </c>
      <c r="B17" s="19">
        <v>0.238</v>
      </c>
    </row>
    <row r="18" spans="1:9">
      <c r="A18" s="10" t="s">
        <v>121</v>
      </c>
      <c r="B18" s="19">
        <v>0.227</v>
      </c>
    </row>
    <row r="19" spans="1:9">
      <c r="A19" s="10" t="s">
        <v>122</v>
      </c>
      <c r="B19" s="19">
        <v>0.277</v>
      </c>
    </row>
    <row r="20" spans="1:9">
      <c r="A20" s="10" t="s">
        <v>123</v>
      </c>
      <c r="B20" s="19">
        <v>0.255</v>
      </c>
    </row>
    <row r="21" spans="1:9">
      <c r="A21" s="10" t="s">
        <v>124</v>
      </c>
      <c r="B21" s="19">
        <v>0.2</v>
      </c>
    </row>
    <row r="23" spans="1:9">
      <c r="A23" s="10" t="s">
        <v>125</v>
      </c>
      <c r="B23" s="2" t="s">
        <v>126</v>
      </c>
      <c r="C23" s="2" t="s">
        <v>127</v>
      </c>
    </row>
    <row r="24" spans="1:9" ht="36" customHeight="1">
      <c r="A24" s="28" t="s">
        <v>128</v>
      </c>
      <c r="B24" s="28"/>
      <c r="C24" s="28"/>
      <c r="D24" s="28"/>
      <c r="E24" s="28"/>
      <c r="F24" s="28"/>
      <c r="G24" s="28"/>
      <c r="H24" s="28"/>
      <c r="I24" s="28"/>
    </row>
  </sheetData>
  <mergeCells count="3">
    <mergeCell ref="A1:I1"/>
    <mergeCell ref="A14:I14"/>
    <mergeCell ref="A24:I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0"/>
  <sheetViews>
    <sheetView zoomScale="90" zoomScaleNormal="90" workbookViewId="0"/>
  </sheetViews>
  <sheetFormatPr defaultRowHeight="15"/>
  <cols>
    <col min="1" max="1" width="32.7109375" customWidth="1"/>
    <col min="2" max="5" width="16.7109375" customWidth="1"/>
  </cols>
  <sheetData>
    <row r="1" spans="1:5">
      <c r="A1" s="1" t="s">
        <v>129</v>
      </c>
      <c r="B1" s="1"/>
      <c r="C1" s="1"/>
      <c r="D1" s="1"/>
      <c r="E1" s="1"/>
    </row>
    <row r="2" spans="1:5">
      <c r="A2" s="2" t="s">
        <v>130</v>
      </c>
      <c r="B2" s="2"/>
      <c r="C2" s="2"/>
      <c r="D2" s="2"/>
      <c r="E2" s="2"/>
    </row>
    <row r="4" spans="1:5">
      <c r="A4" s="4" t="s">
        <v>131</v>
      </c>
    </row>
    <row r="5" spans="1:5">
      <c r="A5" s="11" t="s">
        <v>132</v>
      </c>
      <c r="B5" s="9" t="s">
        <v>133</v>
      </c>
      <c r="C5" s="9" t="s">
        <v>134</v>
      </c>
      <c r="D5" s="9" t="s">
        <v>135</v>
      </c>
      <c r="E5" s="9" t="s">
        <v>136</v>
      </c>
    </row>
    <row r="6" spans="1:5">
      <c r="A6" s="10" t="s">
        <v>137</v>
      </c>
      <c r="B6" s="12">
        <v>8862</v>
      </c>
      <c r="C6" s="19">
        <v>0.43</v>
      </c>
      <c r="D6" s="12">
        <v>220.4</v>
      </c>
      <c r="E6" s="2" t="s">
        <v>138</v>
      </c>
    </row>
    <row r="7" spans="1:5">
      <c r="A7" s="10" t="s">
        <v>139</v>
      </c>
      <c r="B7" s="12">
        <v>3500</v>
      </c>
      <c r="C7" s="19">
        <v>0.17</v>
      </c>
      <c r="D7" s="12">
        <v>607.4</v>
      </c>
      <c r="E7" s="2" t="s">
        <v>140</v>
      </c>
    </row>
    <row r="8" spans="1:5">
      <c r="A8" s="10" t="s">
        <v>141</v>
      </c>
      <c r="B8" s="12">
        <v>1600</v>
      </c>
      <c r="C8" s="19">
        <v>0.08</v>
      </c>
      <c r="D8" s="12">
        <v>77.5</v>
      </c>
      <c r="E8" s="2" t="s">
        <v>142</v>
      </c>
    </row>
    <row r="9" spans="1:5">
      <c r="A9" s="10" t="s">
        <v>143</v>
      </c>
      <c r="B9" s="12">
        <v>560</v>
      </c>
      <c r="C9" s="19">
        <v>0.03</v>
      </c>
      <c r="D9" s="12">
        <v>88.09999999999999</v>
      </c>
      <c r="E9" s="2" t="s">
        <v>144</v>
      </c>
    </row>
    <row r="10" spans="1:5">
      <c r="A10" s="10" t="s">
        <v>145</v>
      </c>
      <c r="B10" s="12">
        <v>616</v>
      </c>
      <c r="C10" s="19">
        <v>0.03</v>
      </c>
      <c r="D10" s="12">
        <v>63.6</v>
      </c>
      <c r="E10" s="2" t="s">
        <v>146</v>
      </c>
    </row>
    <row r="11" spans="1:5">
      <c r="A11" s="10" t="s">
        <v>147</v>
      </c>
      <c r="B11" s="12">
        <v>590</v>
      </c>
      <c r="C11" s="19">
        <v>0.03</v>
      </c>
      <c r="D11" s="12">
        <v>50.9</v>
      </c>
      <c r="E11" s="2" t="s">
        <v>148</v>
      </c>
    </row>
    <row r="12" spans="1:5">
      <c r="A12" s="29" t="s">
        <v>149</v>
      </c>
      <c r="B12" s="12">
        <v>380</v>
      </c>
      <c r="C12" s="19">
        <v>0.02</v>
      </c>
      <c r="E12" s="2" t="s">
        <v>150</v>
      </c>
    </row>
    <row r="13" spans="1:5">
      <c r="A13" s="29" t="s">
        <v>151</v>
      </c>
      <c r="B13" s="12">
        <v>750</v>
      </c>
      <c r="C13" s="19">
        <v>0.04</v>
      </c>
      <c r="E13" s="2" t="s">
        <v>150</v>
      </c>
    </row>
    <row r="14" spans="1:5">
      <c r="A14" s="29" t="s">
        <v>152</v>
      </c>
      <c r="B14" s="12">
        <v>800</v>
      </c>
      <c r="C14" s="19">
        <v>0.04</v>
      </c>
      <c r="E14" s="2" t="s">
        <v>150</v>
      </c>
    </row>
    <row r="15" spans="1:5">
      <c r="A15" s="29" t="s">
        <v>153</v>
      </c>
      <c r="B15" s="12">
        <v>966</v>
      </c>
      <c r="C15" s="19">
        <v>0.05</v>
      </c>
      <c r="E15" s="2" t="s">
        <v>150</v>
      </c>
    </row>
    <row r="16" spans="1:5">
      <c r="A16" s="10" t="s">
        <v>154</v>
      </c>
      <c r="B16" s="13">
        <v>20624</v>
      </c>
    </row>
    <row r="17" spans="1:5">
      <c r="A17" s="10" t="s">
        <v>155</v>
      </c>
      <c r="B17" s="13">
        <v>-3204.6</v>
      </c>
    </row>
    <row r="18" spans="1:5">
      <c r="A18" s="10" t="s">
        <v>156</v>
      </c>
      <c r="B18" s="13">
        <v>17419.4</v>
      </c>
    </row>
    <row r="19" spans="1:5">
      <c r="A19" s="10" t="s">
        <v>7</v>
      </c>
      <c r="B19" s="12">
        <v>999.3</v>
      </c>
    </row>
    <row r="20" spans="1:5">
      <c r="A20" s="10" t="s">
        <v>157</v>
      </c>
      <c r="B20" s="16">
        <v>16.26</v>
      </c>
    </row>
    <row r="21" spans="1:5">
      <c r="A21" s="10" t="s">
        <v>158</v>
      </c>
      <c r="B21" s="18">
        <v>15.32</v>
      </c>
    </row>
    <row r="22" spans="1:5">
      <c r="A22" s="10" t="s">
        <v>159</v>
      </c>
      <c r="B22" s="17">
        <v>0.9399999999999999</v>
      </c>
    </row>
    <row r="23" spans="1:5">
      <c r="A23" s="4" t="s">
        <v>160</v>
      </c>
    </row>
    <row r="24" spans="1:5">
      <c r="A24" s="10" t="s">
        <v>161</v>
      </c>
      <c r="B24" s="16">
        <v>15.8</v>
      </c>
      <c r="C24" s="2" t="s">
        <v>162</v>
      </c>
    </row>
    <row r="25" spans="1:5">
      <c r="A25" s="10" t="s">
        <v>163</v>
      </c>
      <c r="B25" s="16">
        <v>17.47</v>
      </c>
      <c r="C25" s="2" t="s">
        <v>162</v>
      </c>
    </row>
    <row r="26" spans="1:5">
      <c r="A26" s="10" t="s">
        <v>164</v>
      </c>
      <c r="B26" s="16">
        <v>16.26</v>
      </c>
      <c r="C26" s="2" t="s">
        <v>162</v>
      </c>
    </row>
    <row r="27" spans="1:5">
      <c r="A27" s="10" t="s">
        <v>165</v>
      </c>
      <c r="B27" s="16">
        <v>17.21</v>
      </c>
      <c r="C27" s="2" t="s">
        <v>166</v>
      </c>
    </row>
    <row r="28" spans="1:5">
      <c r="A28" s="10" t="s">
        <v>167</v>
      </c>
      <c r="C28" s="2" t="s">
        <v>168</v>
      </c>
    </row>
    <row r="29" spans="1:5">
      <c r="A29" s="10" t="s">
        <v>169</v>
      </c>
      <c r="C29" s="2" t="s">
        <v>170</v>
      </c>
    </row>
    <row r="30" spans="1:5" ht="96" customHeight="1">
      <c r="A30" s="3" t="s">
        <v>171</v>
      </c>
      <c r="B30" s="3"/>
      <c r="C30" s="3"/>
      <c r="D30" s="3"/>
      <c r="E30" s="3"/>
    </row>
  </sheetData>
  <mergeCells count="3">
    <mergeCell ref="A1:E1"/>
    <mergeCell ref="A2:E2"/>
    <mergeCell ref="A30:E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Scenario Detail</vt:lpstr>
      <vt:lpstr>Historical Data</vt:lpstr>
      <vt:lpstr>NAV &amp; SOTP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2026-06-29T06:25:02Z</dcterms:created>
  <dcterms:modified xsi:type="dcterms:W3CDTF">2026-06-29T06:25:02Z</dcterms:modified>
</cp:coreProperties>
</file>