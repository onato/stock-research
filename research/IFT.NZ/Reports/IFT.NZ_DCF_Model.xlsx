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Reconciliation" sheetId="2" state="visible" r:id="rId2"/>
    <sheet xmlns:r="http://schemas.openxmlformats.org/officeDocument/2006/relationships" name="Actuals" sheetId="3" state="visible" r:id="rId3"/>
    <sheet xmlns:r="http://schemas.openxmlformats.org/officeDocument/2006/relationships" name="Assumptions" sheetId="4" state="visible" r:id="rId4"/>
    <sheet xmlns:r="http://schemas.openxmlformats.org/officeDocument/2006/relationships" name="DCF_Bear" sheetId="5" state="visible" r:id="rId5"/>
    <sheet xmlns:r="http://schemas.openxmlformats.org/officeDocument/2006/relationships" name="DCF_Base" sheetId="6" state="visible" r:id="rId6"/>
    <sheet xmlns:r="http://schemas.openxmlformats.org/officeDocument/2006/relationships" name="DCF_Bull" sheetId="7" state="visible" r:id="rId7"/>
    <sheet xmlns:r="http://schemas.openxmlformats.org/officeDocument/2006/relationships" name="Earnings_Quality" sheetId="8" state="visible" r:id="rId8"/>
    <sheet xmlns:r="http://schemas.openxmlformats.org/officeDocument/2006/relationships" name="Valuation" sheetId="9" state="visible" r:id="rId9"/>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
    <numFmt numFmtId="167" formatCode="0.0&quot;x&quot;"/>
    <numFmt numFmtId="168" formatCode="0.0"/>
    <numFmt numFmtId="169" formatCode="0.00&quot;x&quot;"/>
  </numFmts>
  <fonts count="4">
    <font>
      <name val="Calibri"/>
      <family val="2"/>
      <color theme="1"/>
      <sz val="11"/>
      <scheme val="minor"/>
    </font>
    <font>
      <b val="1"/>
      <sz val="14"/>
    </font>
    <font>
      <b val="1"/>
    </font>
    <font>
      <i val="1"/>
    </font>
  </fonts>
  <fills count="7">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C7CE"/>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2" fontId="0" fillId="0" borderId="0" pivotButton="0" quotePrefix="0" xfId="0"/>
    <xf numFmtId="0" fontId="2" fillId="0" borderId="0" pivotButton="0" quotePrefix="0" xfId="0"/>
    <xf numFmtId="2" fontId="2" fillId="0" borderId="0" pivotButton="0" quotePrefix="0" xfId="0"/>
    <xf numFmtId="0" fontId="2" fillId="3" borderId="0" pivotButton="0" quotePrefix="0" xfId="0"/>
    <xf numFmtId="2" fontId="2" fillId="3" borderId="0" pivotButton="0" quotePrefix="0" xfId="0"/>
    <xf numFmtId="164" fontId="0" fillId="0" borderId="0" pivotButton="0" quotePrefix="0" xfId="0"/>
    <xf numFmtId="164" fontId="2" fillId="0" borderId="0" pivotButton="0" quotePrefix="0" xfId="0"/>
    <xf numFmtId="3" fontId="0" fillId="0" borderId="0" pivotButton="0" quotePrefix="0" xfId="0"/>
    <xf numFmtId="165" fontId="0" fillId="0" borderId="0" pivotButton="0" quotePrefix="0" xfId="0"/>
    <xf numFmtId="164" fontId="0" fillId="4" borderId="0" pivotButton="0" quotePrefix="0" xfId="0"/>
    <xf numFmtId="4" fontId="0" fillId="4" borderId="0" pivotButton="0" quotePrefix="0" xfId="0"/>
    <xf numFmtId="164" fontId="2" fillId="3" borderId="0" pivotButton="0" quotePrefix="0" xfId="0"/>
    <xf numFmtId="10" fontId="0" fillId="4" borderId="0" pivotButton="0" quotePrefix="0" xfId="0"/>
    <xf numFmtId="9" fontId="0" fillId="4" borderId="0" pivotButton="0" quotePrefix="0" xfId="0"/>
    <xf numFmtId="9" fontId="2" fillId="3" borderId="0" pivotButton="0" quotePrefix="0" xfId="0"/>
    <xf numFmtId="0" fontId="3" fillId="0" borderId="0" pivotButton="0" quotePrefix="0" xfId="0"/>
    <xf numFmtId="165" fontId="0" fillId="4" borderId="0" pivotButton="0" quotePrefix="0" xfId="0"/>
    <xf numFmtId="164" fontId="0" fillId="5" borderId="0" pivotButton="0" quotePrefix="0" xfId="0"/>
    <xf numFmtId="166" fontId="0" fillId="5" borderId="0" pivotButton="0" quotePrefix="0" xfId="0"/>
    <xf numFmtId="0" fontId="0" fillId="5" borderId="0" pivotButton="0" quotePrefix="0" xfId="0"/>
    <xf numFmtId="10" fontId="0" fillId="5" borderId="0" pivotButton="0" quotePrefix="0" xfId="0"/>
    <xf numFmtId="167" fontId="0" fillId="0" borderId="0" pivotButton="0" quotePrefix="0" xfId="0"/>
    <xf numFmtId="0" fontId="0" fillId="3" borderId="0" pivotButton="0" quotePrefix="0" xfId="0"/>
    <xf numFmtId="165" fontId="0" fillId="3" borderId="0" pivotButton="0" quotePrefix="0" xfId="0"/>
    <xf numFmtId="0" fontId="2" fillId="6" borderId="0" pivotButton="0" quotePrefix="0" xfId="0"/>
    <xf numFmtId="168" fontId="0" fillId="0" borderId="0" pivotButton="0" quotePrefix="0" xfId="0"/>
    <xf numFmtId="9" fontId="0" fillId="0" borderId="0" pivotButton="0" quotePrefix="0" xfId="0"/>
    <xf numFmtId="165" fontId="2" fillId="3" borderId="0" pivotButton="0" quotePrefix="0" xfId="0"/>
    <xf numFmtId="169" fontId="0" fillId="0" borderId="0" pivotButton="0" quotePrefix="0" xfId="0"/>
    <xf numFmtId="165" fontId="2" fillId="2" borderId="0" pivotButton="0" quotePrefix="0" xfId="0"/>
    <xf numFmtId="10" fontId="2" fillId="2" borderId="0" pivotButton="0" quotePrefix="0" xfId="0"/>
    <xf numFmtId="2" fontId="0" fillId="3" borderId="0" pivotButton="0" quotePrefix="0" xfId="0"/>
    <xf numFmtId="167" fontId="0" fillId="6" borderId="0" pivotButton="0" quotePrefix="0" xfId="0"/>
    <xf numFmtId="169"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04" customWidth="1" min="2" max="2"/>
  </cols>
  <sheetData>
    <row r="1">
      <c r="A1" s="1" t="inlineStr">
        <is>
          <t>IFT.NZ — Infratil Limited — Valuation Model</t>
        </is>
      </c>
    </row>
    <row r="3" ht="15" customHeight="1">
      <c r="A3" s="2" t="inlineStr">
        <is>
          <t>Version</t>
        </is>
      </c>
      <c r="B3" s="3" t="inlineStr">
        <is>
          <t>2026-08-28 refresh. Supersedes the 2026-06-29 model built at NZ$14.99 (originally NZ$15.32).</t>
        </is>
      </c>
    </row>
    <row r="4" ht="15" customHeight="1">
      <c r="A4" s="2" t="inlineStr">
        <is>
          <t>Built by</t>
        </is>
      </c>
      <c r="B4" s="3" t="inlineStr">
        <is>
          <t>dcf-analyst agent (Claude Opus 5), 2026-08-28, at the user's request via the research pipeline.</t>
        </is>
      </c>
    </row>
    <row r="5" ht="15" customHeight="1">
      <c r="A5" s="2" t="inlineStr">
        <is>
          <t>Model type</t>
        </is>
      </c>
      <c r="B5" s="3" t="inlineStr">
        <is>
          <t>Look-through proportionate earnings capitalization, blended with portfolio NAV/SOTP.</t>
        </is>
      </c>
    </row>
    <row r="6" ht="30" customHeight="1">
      <c r="A6" s="2" t="inlineStr">
        <is>
          <t>Why not owner-FCF DCF</t>
        </is>
      </c>
      <c r="B6" s="3" t="inlineStr">
        <is>
          <t>Infratil is an externally managed infrastructure HOLDCO. Consolidated net income is portfolio-revaluation noise (FY25 -NZ$286.3m, FY26 +NZ$549.8m); there is no group revenue/margin structure; reported FCF is deeply negative by design because proportionate capex (NZ$2,687m FY26) is investment, not cost. Per dcf-methods SKILL.md the holdco/LIC straddle is valued in parts and stated as such.</t>
        </is>
      </c>
    </row>
    <row r="7" ht="30" customHeight="1">
      <c r="A7" s="2" t="inlineStr">
        <is>
          <t>PRICE ANCHOR</t>
        </is>
      </c>
      <c r="B7" s="3" t="inlineStr">
        <is>
          <t>NZ$14.42 at 2026-08-27T23:54:54Z (2026-08-28 11:54 NZT), Yahoo regularMarketPrice, live regular-session print. GOES STALE — refresh before use.</t>
        </is>
      </c>
    </row>
    <row r="8" ht="30" customHeight="1">
      <c r="A8" s="2" t="inlineStr">
        <is>
          <t>Balance sheet</t>
        </is>
      </c>
      <c r="B8" s="3" t="inlineStr">
        <is>
          <t>31 March 2026 (FY2026 Annual Report). Net debt NZ$3,204.6m, restated to NZ$2,987.5m for NZ$217.1m Fortysouth proceeds received 10-Apr-2026 (Note 31).</t>
        </is>
      </c>
    </row>
    <row r="9" ht="30" customHeight="1">
      <c r="A9" s="2" t="inlineStr">
        <is>
          <t>Share count</t>
        </is>
      </c>
      <c r="B9" s="3" t="inlineStr">
        <is>
          <t>999,312,470 at 31-Mar-2026 (Annual Report lines 2435, 7585). Held FLAT — see Assumptions note; this UNDERSTATES likely dilution.</t>
        </is>
      </c>
    </row>
    <row r="10" ht="30" customHeight="1">
      <c r="A10" s="2" t="inlineStr">
        <is>
          <t>Earnings base</t>
        </is>
      </c>
      <c r="B10" s="3" t="inlineStr">
        <is>
          <t>NZ$919.3m Proportionate EBITDAF (continuing) per the FY26 Annual Results Presentation reconciliation (IFT.NZ_Metrics_FY2026.txt lines 1058-1081), less NZ$35m estimated Morrison incentive fees = NZ$884.3m.</t>
        </is>
      </c>
    </row>
    <row r="11" ht="30" customHeight="1">
      <c r="A11" s="2" t="inlineStr">
        <is>
          <t>KEY CORRECTION v prior</t>
        </is>
      </c>
      <c r="B11" s="3" t="inlineStr">
        <is>
          <t>Prior model used 989.4 - 124 = 865.4, which double-deducted corporate costs (the NZ$989.4m headline already nets them: 1,113.7 - 124.3 = 989.4 exactly) and omitted NZ$70.1m development spend. Fixed by taking the filing's own reconciled 919.3 line.</t>
        </is>
      </c>
    </row>
    <row r="12" ht="30" customHeight="1">
      <c r="A12" s="2" t="inlineStr">
        <is>
          <t>Guidance</t>
        </is>
      </c>
      <c r="B12" s="3" t="inlineStr">
        <is>
          <t>FY27 Proportionate Operational EBITDAF NZ$1,300-1,400m, EXCLUDING corporate costs (basis changed from FY26). Corporate costs guided NZ$150-170m, development spend NZ$95-110m separately. Reaffirmed unchanged at the 18-Aug-2026 AGM.</t>
        </is>
      </c>
    </row>
    <row r="13" ht="30" customHeight="1">
      <c r="A13" s="2" t="inlineStr">
        <is>
          <t>Scenario drivers</t>
        </is>
      </c>
      <c r="B13" s="3" t="inlineStr">
        <is>
          <t>Set by the dcf-analyst agent on 2026-08-28 from FY27 guidance rebased to the continuing basis. Y1 base 18% = guidance midpoint. Prior model's 20% was anchored to an inconsistent basis comparison and was CUT this cycle.</t>
        </is>
      </c>
    </row>
    <row r="14" ht="30" customHeight="1">
      <c r="A14" s="2" t="inlineStr">
        <is>
          <t>NAV anchors</t>
        </is>
      </c>
      <c r="B14" s="3" t="inlineStr">
        <is>
          <t>TWO DATES. Statutory NZ$16.48/share (31-Mar-2026, restated for Fortysouth). Live NZ$18.52/share marking ONLY CDC to its 30-Jun-2026 independent valuation of A$18.5bn; all other assets at March marks. Do not mix.</t>
        </is>
      </c>
    </row>
    <row r="15" ht="30" customHeight="1">
      <c r="A15" s="2" t="inlineStr">
        <is>
          <t>CDC caveat</t>
        </is>
      </c>
      <c r="B15" s="3" t="inlineStr">
        <is>
          <t>CDC valuation +23.6% QoQ while its OWN assessed cost of equity ROSE 11.84% -&gt; 12.45%. The uplift is a model output on an unlisted asset that is 43%+ of the portfolio, not a market transaction. Haircut in the bear case; NOT passed through to earnings.</t>
        </is>
      </c>
    </row>
    <row r="16" ht="30" customHeight="1">
      <c r="A16" s="2" t="inlineStr">
        <is>
          <t>Refresh after next print</t>
        </is>
      </c>
      <c r="B16" s="3" t="inlineStr">
        <is>
          <t>FY27 interim result: does the CDC ramp appear in EBITDAF, not just in valuations? Also refresh price, net debt, share count, and re-check whether the residual ~9% Contact stake was sold.</t>
        </is>
      </c>
    </row>
    <row r="17" ht="15" customHeight="1">
      <c r="A17" s="2" t="inlineStr">
        <is>
          <t>Colour legend</t>
        </is>
      </c>
      <c r="B17" s="3" t="inlineStr">
        <is>
          <t>YELLOW = editable driver. GREEN = link to Assumptions. ORANGE = key output. RED = warning.</t>
        </is>
      </c>
    </row>
    <row r="18" ht="30" customHeight="1">
      <c r="A18" s="2" t="inlineStr">
        <is>
          <t>STALENESS WARNING</t>
        </is>
      </c>
      <c r="B18" s="3" t="inlineStr">
        <is>
          <t>All figures go stale. Price is intraday. NAV marks are quarterly. Guidance is management's, not audited outcome.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78" customWidth="1" min="1" max="1"/>
    <col width="14" customWidth="1" min="2" max="2"/>
  </cols>
  <sheetData>
    <row r="1">
      <c r="A1" s="1" t="inlineStr">
        <is>
          <t>Reconciliation vs prior version (2026-06-29 @ NZ$14.99)</t>
        </is>
      </c>
    </row>
    <row r="3">
      <c r="A3" s="2" t="inlineStr">
        <is>
          <t>Prior per-share values (hardcoded, as published)</t>
        </is>
      </c>
    </row>
    <row r="4">
      <c r="A4" t="inlineStr">
        <is>
          <t>Prior bear</t>
        </is>
      </c>
      <c r="B4" s="4" t="n">
        <v>7.21</v>
      </c>
    </row>
    <row r="5">
      <c r="A5" t="inlineStr">
        <is>
          <t>Prior base</t>
        </is>
      </c>
      <c r="B5" s="4" t="n">
        <v>15.8</v>
      </c>
    </row>
    <row r="6">
      <c r="A6" t="inlineStr">
        <is>
          <t>Prior bull</t>
        </is>
      </c>
      <c r="B6" s="4" t="n">
        <v>27.08</v>
      </c>
    </row>
    <row r="7">
      <c r="A7" t="inlineStr">
        <is>
          <t>Prior weighted</t>
        </is>
      </c>
      <c r="B7" s="4" t="n">
        <v>17.47</v>
      </c>
    </row>
    <row r="8">
      <c r="A8" t="inlineStr">
        <is>
          <t>Prior price</t>
        </is>
      </c>
      <c r="B8" s="4" t="n">
        <v>14.99</v>
      </c>
    </row>
    <row r="10">
      <c r="A10" s="2" t="inlineStr">
        <is>
          <t>Bridge (approximate attribution; live cells below are authoritative)</t>
        </is>
      </c>
    </row>
    <row r="11">
      <c r="A11" s="3" t="inlineStr">
        <is>
          <t>Prior weighted IV</t>
        </is>
      </c>
      <c r="B11" s="4" t="n">
        <v>17.47</v>
      </c>
    </row>
    <row r="12">
      <c r="A12" s="3" t="inlineStr">
        <is>
          <t>FCF base corrected: remove double-counted corporate costs, deduct omitted development spend (865.4 -&gt; 919.3)</t>
        </is>
      </c>
      <c r="B12" s="4" t="n">
        <v>1.08</v>
      </c>
    </row>
    <row r="13">
      <c r="A13" s="3" t="inlineStr">
        <is>
          <t>Deduct estimated Morrison incentive fees not captured in EBITDAF (-NZ$35m/yr)</t>
        </is>
      </c>
      <c r="B13" s="4" t="n">
        <v>-0.71</v>
      </c>
    </row>
    <row r="14">
      <c r="A14" s="3" t="inlineStr">
        <is>
          <t>Net debt reduced for Fortysouth proceeds received 10-Apr-2026 (-NZ$217.1m)</t>
        </is>
      </c>
      <c r="B14" s="4" t="n">
        <v>0.22</v>
      </c>
    </row>
    <row r="15">
      <c r="A15" s="3" t="inlineStr">
        <is>
          <t>Y1 base growth cut 20% -&gt; 18% on FY27 guidance basis change, with bull/bear rebased to the guidance range on a consistent basis</t>
        </is>
      </c>
      <c r="B15" s="4" t="n">
        <v>-1.94</v>
      </c>
    </row>
    <row r="16">
      <c r="A16" s="3" t="inlineStr">
        <is>
          <t>Scenario weights shifted 20/50/30 -&gt; 25/50/25</t>
        </is>
      </c>
      <c r="B16" s="4" t="n">
        <v>-0.77</v>
      </c>
    </row>
    <row r="17">
      <c r="A17" s="3" t="inlineStr">
        <is>
          <t>New weighted IV</t>
        </is>
      </c>
      <c r="B17" s="4" t="n">
        <v>15.35</v>
      </c>
    </row>
    <row r="18">
      <c r="A18" s="5" t="inlineStr">
        <is>
          <t>Bridge total (check)</t>
        </is>
      </c>
      <c r="B18" s="6">
        <f>B12+SUM(B13:B17)</f>
        <v/>
      </c>
    </row>
    <row r="20">
      <c r="A20" s="7" t="inlineStr">
        <is>
          <t>LIVE weighted IV (links to Valuation)</t>
        </is>
      </c>
      <c r="B20" s="8">
        <f>Valuation!B8</f>
        <v/>
      </c>
    </row>
    <row r="21" ht="30" customHeight="1">
      <c r="A21" s="3" t="inlineStr">
        <is>
          <t>The bridge is decomposed sequentially and individual line attributions are approximate because the growth and weighting changes interact; the endpoints are exact. The dominant driver of the NZ$2.12 decline is not the price move (which affects upside, not IV) but the combination of the corrected earnings base, the incentive-fee charge and the lower guidance-consistent growth rate.</t>
        </is>
      </c>
    </row>
    <row r="22" ht="30" customHeight="1">
      <c r="A22" s="3" t="inlineStr">
        <is>
          <t>Price moved NZ$14.99 -&gt; NZ$14.42 (-3.8%) since the prior refresh and NZ$15.32 -&gt; NZ$14.42 (-5.9%) since the original build. Price does not affect intrinsic value; it affects upside, which falls from a reported 14.0% to 6.4% - most of that reduction is the IV correction, not the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s>
  <sheetData>
    <row r="1">
      <c r="A1" s="1" t="inlineStr">
        <is>
          <t>Reported history and guidance (all hardcoded)</t>
        </is>
      </c>
    </row>
    <row r="3">
      <c r="A3" s="2" t="inlineStr">
        <is>
          <t>Proportionate EBITDAF reconciliation (NZ$m)</t>
        </is>
      </c>
      <c r="B3" s="2" t="inlineStr">
        <is>
          <t>FY2025</t>
        </is>
      </c>
      <c r="C3" s="2" t="inlineStr">
        <is>
          <t>FY2026</t>
        </is>
      </c>
      <c r="D3" s="2" t="inlineStr">
        <is>
          <t>Source</t>
        </is>
      </c>
    </row>
    <row r="4">
      <c r="A4" t="inlineStr">
        <is>
          <t>Operational EBITDAF</t>
        </is>
      </c>
      <c r="B4" s="9" t="n">
        <v>1008.1</v>
      </c>
      <c r="C4" s="9" t="n">
        <v>1113.7</v>
      </c>
      <c r="D4" t="inlineStr">
        <is>
          <t>Presentation line 1067</t>
        </is>
      </c>
    </row>
    <row r="5">
      <c r="A5" t="inlineStr">
        <is>
          <t>less Development Spend</t>
        </is>
      </c>
      <c r="B5" s="9" t="n">
        <v>-68.59999999999999</v>
      </c>
      <c r="C5" s="9" t="n">
        <v>-70.09999999999999</v>
      </c>
      <c r="D5" t="inlineStr">
        <is>
          <t>Presentation line 1072</t>
        </is>
      </c>
    </row>
    <row r="6">
      <c r="A6" t="inlineStr">
        <is>
          <t>less Corporate costs</t>
        </is>
      </c>
      <c r="B6" s="9" t="n">
        <v>-112.8</v>
      </c>
      <c r="C6" s="9" t="n">
        <v>-124.3</v>
      </c>
      <c r="D6" t="inlineStr">
        <is>
          <t>Presentation line 1073</t>
        </is>
      </c>
    </row>
    <row r="7">
      <c r="A7" s="5" t="inlineStr">
        <is>
          <t>Total: Proportionate EBITDAF (continuing)</t>
        </is>
      </c>
      <c r="B7" s="10">
        <f>SUM(B4:B6)</f>
        <v/>
      </c>
      <c r="C7" s="10">
        <f>SUM(C4:C6)</f>
        <v/>
      </c>
      <c r="D7" t="inlineStr">
        <is>
          <t>Presentation line 1074: 826.7 (FY25) and 919.3 (FY26)</t>
        </is>
      </c>
    </row>
    <row r="8">
      <c r="A8" t="inlineStr">
        <is>
          <t>Memo: headline "Prop Operational EBITDAF"</t>
        </is>
      </c>
      <c r="B8" s="9" t="n">
        <v>895.3</v>
      </c>
      <c r="C8" s="9" t="n">
        <v>989.4</v>
      </c>
      <c r="D8" t="inlineStr">
        <is>
          <t>Operational less corporate ONLY (dev NOT deducted)</t>
        </is>
      </c>
    </row>
    <row r="10">
      <c r="A10" s="2" t="inlineStr">
        <is>
          <t>Balance sheet / capital (NZ$m)</t>
        </is>
      </c>
    </row>
    <row r="11">
      <c r="A11" t="inlineStr">
        <is>
          <t>Net debt at 31-Mar-2026</t>
        </is>
      </c>
      <c r="B11" s="9" t="n">
        <v>3204.6</v>
      </c>
      <c r="C11" t="inlineStr">
        <is>
          <t>FY26 Metrics CSV / balance sheet</t>
        </is>
      </c>
    </row>
    <row r="12">
      <c r="A12" t="inlineStr">
        <is>
          <t>less Fortysouth proceeds recd 10-Apr-2026</t>
        </is>
      </c>
      <c r="B12" s="9" t="n">
        <v>-217.1</v>
      </c>
      <c r="C12" t="inlineStr">
        <is>
          <t>Annual Report Note 31 Events After Balance Date</t>
        </is>
      </c>
    </row>
    <row r="13">
      <c r="A13" s="5" t="inlineStr">
        <is>
          <t>Total: Net debt used in model</t>
        </is>
      </c>
      <c r="B13" s="10">
        <f>SUM(B11:B12)</f>
        <v/>
      </c>
      <c r="C13" t="inlineStr">
        <is>
          <t>restated</t>
        </is>
      </c>
    </row>
    <row r="14">
      <c r="A14" t="inlineStr">
        <is>
          <t>Shares on issue (m)</t>
        </is>
      </c>
      <c r="B14" s="9" t="n">
        <v>999.3</v>
      </c>
      <c r="C14" t="inlineStr">
        <is>
          <t>Annual Report line 2435: 999,312,470</t>
        </is>
      </c>
    </row>
    <row r="15">
      <c r="A15" t="inlineStr">
        <is>
          <t>Portfolio asset value 31-Mar-2026</t>
        </is>
      </c>
      <c r="B15" s="9" t="n">
        <v>20624</v>
      </c>
      <c r="C15" t="inlineStr">
        <is>
          <t>Presentation line 983</t>
        </is>
      </c>
    </row>
    <row r="16">
      <c r="A16" t="inlineStr">
        <is>
          <t>PV of management agreement</t>
        </is>
      </c>
      <c r="B16" s="9" t="n">
        <v>-1168.4</v>
      </c>
      <c r="C16" t="inlineStr">
        <is>
          <t>NAV bridge; base+incentive fees, 5yr discounted</t>
        </is>
      </c>
    </row>
    <row r="17">
      <c r="A17" t="inlineStr">
        <is>
          <t>Proportionate capex FY2026</t>
        </is>
      </c>
      <c r="B17" s="9" t="n">
        <v>2686.6</v>
      </c>
      <c r="C17" t="inlineStr">
        <is>
          <t>Presentation line 1071</t>
        </is>
      </c>
    </row>
    <row r="18">
      <c r="A18" t="inlineStr">
        <is>
          <t>SBC (KMP share based payments)</t>
        </is>
      </c>
      <c r="B18" s="9" t="n">
        <v>1.2</v>
      </c>
      <c r="C18" t="inlineStr">
        <is>
          <t>Annual Report Note 27 line 4505 — immaterial</t>
        </is>
      </c>
    </row>
    <row r="20">
      <c r="A20" s="2" t="inlineStr">
        <is>
          <t>FY2027 guidance (NZ$m unless stated)</t>
        </is>
      </c>
      <c r="B20" s="2" t="inlineStr">
        <is>
          <t>Low</t>
        </is>
      </c>
      <c r="C20" s="2" t="inlineStr">
        <is>
          <t>High</t>
        </is>
      </c>
    </row>
    <row r="21">
      <c r="A21" t="inlineStr">
        <is>
          <t>Proportionate Operational EBITDAF (EXCL corporate costs)</t>
        </is>
      </c>
      <c r="B21" s="11" t="n">
        <v>1300</v>
      </c>
      <c r="C21" s="11" t="n">
        <v>1400</v>
      </c>
    </row>
    <row r="22">
      <c r="A22" t="inlineStr">
        <is>
          <t>Corporate costs</t>
        </is>
      </c>
      <c r="B22" s="11" t="n">
        <v>150</v>
      </c>
      <c r="C22" s="11" t="n">
        <v>170</v>
      </c>
    </row>
    <row r="23">
      <c r="A23" t="inlineStr">
        <is>
          <t>Development spend (IFT share)</t>
        </is>
      </c>
      <c r="B23" s="11" t="n">
        <v>95</v>
      </c>
      <c r="C23" s="11" t="n">
        <v>110</v>
      </c>
    </row>
    <row r="24">
      <c r="A24" t="inlineStr">
        <is>
          <t>Proportionate capital expenditure</t>
        </is>
      </c>
      <c r="B24" s="11" t="n">
        <v>3800</v>
      </c>
      <c r="C24" s="11" t="n">
        <v>4400</v>
      </c>
    </row>
    <row r="25">
      <c r="A25" t="inlineStr">
        <is>
          <t>CDC EBITDAF (A$m, 100%)</t>
        </is>
      </c>
      <c r="B25" s="11" t="n">
        <v>680</v>
      </c>
      <c r="C25" s="11" t="n">
        <v>720</v>
      </c>
    </row>
    <row r="26">
      <c r="A26" t="inlineStr">
        <is>
          <t>One NZ EBITDAF</t>
        </is>
      </c>
      <c r="B26" s="11" t="n">
        <v>600</v>
      </c>
      <c r="C26" s="11" t="n">
        <v>640</v>
      </c>
    </row>
    <row r="27">
      <c r="A27" t="inlineStr">
        <is>
          <t>Longroad EBITDAF (US$m)</t>
        </is>
      </c>
      <c r="B27" s="11" t="n">
        <v>120</v>
      </c>
      <c r="C27" s="11" t="n">
        <v>135</v>
      </c>
    </row>
    <row r="28">
      <c r="A28" t="inlineStr">
        <is>
          <t>RHCNZ EBITDAF</t>
        </is>
      </c>
      <c r="B28" s="11" t="n">
        <v>115</v>
      </c>
      <c r="C28" s="11" t="n">
        <v>135</v>
      </c>
    </row>
    <row r="29">
      <c r="A29" t="inlineStr">
        <is>
          <t>Qscan EBITDAF (A$m)</t>
        </is>
      </c>
      <c r="B29" s="11" t="n">
        <v>90</v>
      </c>
      <c r="C29" s="11" t="n">
        <v>105</v>
      </c>
    </row>
    <row r="30">
      <c r="A30" t="inlineStr">
        <is>
          <t>Wellington Airport EBITDAF</t>
        </is>
      </c>
      <c r="B30" s="11" t="n">
        <v>130</v>
      </c>
      <c r="C30" s="11" t="n">
        <v>140</v>
      </c>
    </row>
    <row r="32">
      <c r="A32" s="2" t="inlineStr">
        <is>
          <t>Guidance on THIS MODEL's continuing basis (after dev spend AND corporate costs)</t>
        </is>
      </c>
    </row>
    <row r="33">
      <c r="A33" t="inlineStr">
        <is>
          <t>Low  = 1300 - 110 - 170</t>
        </is>
      </c>
      <c r="B33" s="9">
        <f>1300-110-170</f>
        <v/>
      </c>
      <c r="C33" s="12">
        <f>B33/C7-1</f>
        <v/>
      </c>
    </row>
    <row r="34">
      <c r="A34" t="inlineStr">
        <is>
          <t>Mid  = 1350 - 102.5 - 160</t>
        </is>
      </c>
      <c r="B34" s="9">
        <f>1350-102.5-160</f>
        <v/>
      </c>
      <c r="C34" s="12">
        <f>B34/C7-1</f>
        <v/>
      </c>
    </row>
    <row r="35">
      <c r="A35" t="inlineStr">
        <is>
          <t>High = 1400 - 95 - 150</t>
        </is>
      </c>
      <c r="B35" s="9">
        <f>1400-95-150</f>
        <v/>
      </c>
      <c r="C35" s="12">
        <f>B35/C7-1</f>
        <v/>
      </c>
    </row>
    <row r="36">
      <c r="A36" t="inlineStr">
        <is>
          <t>FY26 actual growth on continuing basis (826.7 -&gt; 919.3)</t>
        </is>
      </c>
      <c r="B36" s="12">
        <f>C7/B7-1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76" customWidth="1" min="5" max="5"/>
  </cols>
  <sheetData>
    <row r="1">
      <c r="A1" s="1" t="inlineStr">
        <is>
          <t>Global assumptions</t>
        </is>
      </c>
    </row>
    <row r="3">
      <c r="A3" t="inlineStr">
        <is>
          <t>Earnings base FY2026 (continuing)</t>
        </is>
      </c>
      <c r="B3" s="13" t="n">
        <v>919.3</v>
      </c>
      <c r="E3" s="3" t="inlineStr">
        <is>
          <t>Actuals!C7 — filing reconciled bottom line</t>
        </is>
      </c>
    </row>
    <row r="4">
      <c r="A4" t="inlineStr">
        <is>
          <t>less estimated Morrison incentive fees</t>
        </is>
      </c>
      <c r="B4" s="14" t="n">
        <v>-35</v>
      </c>
      <c r="E4" s="3" t="inlineStr">
        <is>
          <t>EBITDAF definition excludes incentive fees; they accrue to the manager not shareholders. ESTIMATE — softest input in the model.</t>
        </is>
      </c>
    </row>
    <row r="5">
      <c r="A5" s="5" t="inlineStr">
        <is>
          <t>Total: Base flow used (FY0)</t>
        </is>
      </c>
      <c r="B5" s="15">
        <f>B3+B4</f>
        <v/>
      </c>
      <c r="E5" s="3" t="inlineStr">
        <is>
          <t>last_fcf</t>
        </is>
      </c>
    </row>
    <row r="6">
      <c r="A6" t="inlineStr">
        <is>
          <t>Net debt (restated)</t>
        </is>
      </c>
      <c r="B6" s="13" t="n">
        <v>2987.5</v>
      </c>
      <c r="E6" s="3" t="inlineStr">
        <is>
          <t>31-Mar-2026 less Fortysouth proceeds</t>
        </is>
      </c>
    </row>
    <row r="7">
      <c r="A7" t="inlineStr">
        <is>
          <t>Shares outstanding (m)</t>
        </is>
      </c>
      <c r="B7" s="13" t="n">
        <v>999.3</v>
      </c>
      <c r="E7" s="3" t="inlineStr">
        <is>
          <t>31-Mar-2026, held FLAT — understates likely dilution</t>
        </is>
      </c>
    </row>
    <row r="8">
      <c r="A8" t="inlineStr">
        <is>
          <t>Current price (NZ$)</t>
        </is>
      </c>
      <c r="B8" s="14" t="n">
        <v>14.42</v>
      </c>
      <c r="E8" s="3" t="inlineStr">
        <is>
          <t>2026-08-28 11:54 NZT live — STALE ON READ</t>
        </is>
      </c>
    </row>
    <row r="9">
      <c r="A9" t="inlineStr">
        <is>
          <t>Hurdle rate for entry price</t>
        </is>
      </c>
      <c r="B9" s="14" t="n">
        <v>0.15</v>
      </c>
      <c r="E9" s="3" t="inlineStr">
        <is>
          <t>house 15%</t>
        </is>
      </c>
    </row>
    <row r="10">
      <c r="A10" t="inlineStr">
        <is>
          <t>NAV/share statutory 31-Mar-2026</t>
        </is>
      </c>
      <c r="B10" s="14" t="n">
        <v>16.48</v>
      </c>
      <c r="E10" s="3" t="inlineStr">
        <is>
          <t>restated for Fortysouth</t>
        </is>
      </c>
    </row>
    <row r="11">
      <c r="A11" t="inlineStr">
        <is>
          <t>NAV/share live (CDC @ 30-Jun-2026)</t>
        </is>
      </c>
      <c r="B11" s="14" t="n">
        <v>18.52</v>
      </c>
      <c r="E11" s="3" t="inlineStr">
        <is>
          <t>only CDC re-marked; others at March</t>
        </is>
      </c>
    </row>
    <row r="13">
      <c r="A13" s="2" t="inlineStr">
        <is>
          <t>Per-scenario parameters</t>
        </is>
      </c>
      <c r="B13" s="2" t="inlineStr">
        <is>
          <t>Bear</t>
        </is>
      </c>
      <c r="C13" s="2" t="inlineStr">
        <is>
          <t>Base</t>
        </is>
      </c>
      <c r="D13" s="2" t="inlineStr">
        <is>
          <t>Bull</t>
        </is>
      </c>
    </row>
    <row r="14">
      <c r="A14" t="inlineStr">
        <is>
          <t>WACC</t>
        </is>
      </c>
      <c r="B14" s="16" t="n">
        <v>0.12</v>
      </c>
      <c r="C14" s="16" t="n">
        <v>0.105</v>
      </c>
      <c r="D14" s="16" t="n">
        <v>0.095</v>
      </c>
    </row>
    <row r="15">
      <c r="A15" t="inlineStr">
        <is>
          <t>Terminal growth</t>
        </is>
      </c>
      <c r="B15" s="16" t="n">
        <v>0.02</v>
      </c>
      <c r="C15" s="16" t="n">
        <v>0.03</v>
      </c>
      <c r="D15" s="16" t="n">
        <v>0.035</v>
      </c>
    </row>
    <row r="16">
      <c r="A16" t="inlineStr">
        <is>
          <t>Probability weight</t>
        </is>
      </c>
      <c r="B16" s="17" t="n">
        <v>0.25</v>
      </c>
      <c r="C16" s="17" t="n">
        <v>0.5</v>
      </c>
      <c r="D16" s="17" t="n">
        <v>0.25</v>
      </c>
    </row>
    <row r="17">
      <c r="A17" s="5" t="inlineStr">
        <is>
          <t>Weights check (must = 100%)</t>
        </is>
      </c>
      <c r="B17" s="18">
        <f>SUM(B16:D16)</f>
        <v/>
      </c>
    </row>
    <row r="19">
      <c r="A19" s="2" t="inlineStr">
        <is>
          <t>Scenario narratives</t>
        </is>
      </c>
    </row>
    <row r="20" ht="90" customHeight="1">
      <c r="A20" s="5" t="inlineStr">
        <is>
          <t>BEAR</t>
        </is>
      </c>
      <c r="B20" s="3" t="inlineStr">
        <is>
          <t>Y1 8% is deliberately set BELOW the bottom of FY27 guidance on the continuing basis (+11.0%) and below FY26 actual (11.2%), because the bear case is precisely the case where guidance is missed. Drivers: the AI capex cycle cools and CDC's contracted ramp slips; One NZ continues to deteriorate (its portfolio value FELL 8.8% in FY26, from NZ$3,713.5m to NZ$3,386.7m - the only major asset to decline and an underappreciated drag); NZ macro weakness hits Wellington Airport and RHCNZ; corporate costs and development spend keep compounding faster than earnings. WACC 12% prices concentration risk in a single asset (CDC = 43% of portfolio) plus the equity-issuance dependency. POST-JUNE EVIDENCE ADDED: the bear case now also carries CDC mark-to-model risk explicitly. CDC's independent valuation rose 23.6% in the June-2026 quarter to A$18.5bn while its OWN assessed cost of equity ROSE from 11.84% to 12.45% on a higher risk-free rate - i.e. the uplift came entirely from pipeline and contract assumptions (leasable pipeline 2.6GW -&gt; 3.9GW through FY2040), against a headwind from the discount rate, not from cheaper capital. A 43%-of-portfolio unlisted asset re-marked upward 23.6% in one quarter on model inputs is precisely what a bear case should refuse to extrapolate. Additional dated risks now reflected: the OBBBA tightened IRA credit timelines (construction start by 4-Jul-2026, in-service by 31-Dec-2027, plus FEOC rules) which is a concrete threat to Longroad economics, and Longroad's underlying USD valuation has already EASED on higher base rates with the NZD-translated value rising only on FX; the July-2026 NZ government proposal to reallocate Spark/One NZ 2600MHz spectrum to 2degrees compounds One NZ's 8.8% FY26 value decline; and Wellington Airport passengers fell to 5.1m from 5.3m.</t>
        </is>
      </c>
    </row>
    <row r="21" ht="90" customHeight="1">
      <c r="A21" s="5" t="inlineStr">
        <is>
          <t>BASE</t>
        </is>
      </c>
      <c r="B21" s="3" t="inlineStr">
        <is>
          <t>Y1 18% = FY27 guidance midpoint rebased to the continuing basis (see growth_divergence_warning). Reduced from the prior model's 20%, which was anchored to the headline guidance ratio without adjusting for the corporate-cost basis change. Y2-Y5 taper as the CDC ramp annualises and the development-spend and corporate-cost lines - both growing faster than EBITDAF - continue to absorb a rising share of look-through earnings. WACC 10.5% built in NZD to match NZD flows: NZ 10-yr government bond ~4.5% + beta 1.2 x ERP 5.0% + 0.5% complexity/external-management premium. Terminal 3.0% = long-run NZD nominal GDP. GUIDANCE REAFFIRMED: FY27 guidance of NZ$1,300-1,400m was explicitly reaffirmed unchanged at the 18-August-2026 AGM, five months into the financial year. That is recent, specific corroboration and it is why the base case still anchors Y1 to the guidance midpoint despite FY26 actual growth of only 11.2%.</t>
        </is>
      </c>
    </row>
    <row r="22" ht="90" customHeight="1">
      <c r="A22" s="5" t="inlineStr">
        <is>
          <t>BULL</t>
        </is>
      </c>
      <c r="B22" s="3" t="inlineStr">
        <is>
          <t>Y1 26% approximates the TOP of FY27 guidance on the continuing basis (+25.6%), i.e. EBITDAF at NZ$1,400m with corporate costs and development spend at the LOW end of their guided ranges - the combination that maximises look-through earnings. Beyond Y1: CDC sustains the AI-datacentre ramp past the contracted 1GW, Longroad reaches its US$1bn run-rate EBITDAF ambition, Kao Data scales in the UK, and the NAV discount closes. WACC 9.5% reflects the completed debt-platform reset and BBB+ rating maturing.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IFT.NZ — BEAR scenario</t>
        </is>
      </c>
    </row>
    <row r="2">
      <c r="A2" s="19" t="inlineStr">
        <is>
          <t>Yellow = editable driver. Green = link. Orange = output.</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row>
    <row r="4">
      <c r="A4" t="inlineStr">
        <is>
          <t>Year index</t>
        </is>
      </c>
      <c r="B4" t="n">
        <v>0</v>
      </c>
      <c r="C4" t="n">
        <v>1</v>
      </c>
      <c r="D4" t="n">
        <v>2</v>
      </c>
      <c r="E4" t="n">
        <v>3</v>
      </c>
      <c r="F4" t="n">
        <v>4</v>
      </c>
      <c r="G4" t="n">
        <v>5</v>
      </c>
    </row>
    <row r="5">
      <c r="A5" t="inlineStr">
        <is>
          <t>Growth in look-through earnings YoY  &lt;-- DRIVER</t>
        </is>
      </c>
      <c r="C5" s="20" t="n">
        <v>0.08</v>
      </c>
      <c r="D5" s="20" t="n">
        <v>0.06</v>
      </c>
      <c r="E5" s="20" t="n">
        <v>0.04</v>
      </c>
      <c r="F5" s="20" t="n">
        <v>0.03</v>
      </c>
      <c r="G5" s="20" t="n">
        <v>0.02</v>
      </c>
    </row>
    <row r="6">
      <c r="A6" s="5" t="inlineStr">
        <is>
          <t>Look-through earnings (prop. EBITDAF less incentive fees)</t>
        </is>
      </c>
      <c r="B6" s="21">
        <f>Assumptions!$B$5</f>
        <v/>
      </c>
      <c r="C6" s="9">
        <f>B6*(1+C5)</f>
        <v/>
      </c>
      <c r="D6" s="9">
        <f>C6*(1+D5)</f>
        <v/>
      </c>
      <c r="E6" s="9">
        <f>D6*(1+E5)</f>
        <v/>
      </c>
      <c r="F6" s="9">
        <f>E6*(1+F5)</f>
        <v/>
      </c>
      <c r="G6" s="9">
        <f>F6*(1+G5)</f>
        <v/>
      </c>
    </row>
    <row r="7">
      <c r="A7" t="inlineStr">
        <is>
          <t>Discount factor</t>
        </is>
      </c>
      <c r="C7" s="22">
        <f>1/(1+Assumptions!$B$14)^C4</f>
        <v/>
      </c>
      <c r="D7" s="22">
        <f>1/(1+Assumptions!$B$14)^D4</f>
        <v/>
      </c>
      <c r="E7" s="22">
        <f>1/(1+Assumptions!$B$14)^E4</f>
        <v/>
      </c>
      <c r="F7" s="22">
        <f>1/(1+Assumptions!$B$14)^F4</f>
        <v/>
      </c>
      <c r="G7" s="22">
        <f>1/(1+Assumptions!$B$14)^G4</f>
        <v/>
      </c>
    </row>
    <row r="8">
      <c r="A8" s="5" t="inlineStr">
        <is>
          <t>PV of earnings</t>
        </is>
      </c>
      <c r="C8" s="9">
        <f>C6*C7</f>
        <v/>
      </c>
      <c r="D8" s="9">
        <f>D6*D7</f>
        <v/>
      </c>
      <c r="E8" s="9">
        <f>E6*E7</f>
        <v/>
      </c>
      <c r="F8" s="9">
        <f>F6*F7</f>
        <v/>
      </c>
      <c r="G8" s="9">
        <f>G6*G7</f>
        <v/>
      </c>
    </row>
    <row r="10">
      <c r="A10" s="2" t="inlineStr">
        <is>
          <t>VALUATION</t>
        </is>
      </c>
    </row>
    <row r="11">
      <c r="A11" t="inlineStr">
        <is>
          <t>Sum of PV of explicit earnings</t>
        </is>
      </c>
      <c r="B11" s="9">
        <f>SUM(C8:G8)</f>
        <v/>
      </c>
    </row>
    <row r="12">
      <c r="A12" s="23" t="inlineStr">
        <is>
          <t>Terminal growth</t>
        </is>
      </c>
      <c r="B12" s="24">
        <f>Assumptions!$B$15</f>
        <v/>
      </c>
    </row>
    <row r="13">
      <c r="A13" t="inlineStr">
        <is>
          <t>Terminal-year earnings</t>
        </is>
      </c>
      <c r="B13" s="9">
        <f>G6*(1+B12)</f>
        <v/>
      </c>
    </row>
    <row r="14">
      <c r="A14" t="inlineStr">
        <is>
          <t>Terminal value (Gordon)</t>
        </is>
      </c>
      <c r="B14" s="9">
        <f>B13/(Assumptions!$B$14-B12)</f>
        <v/>
      </c>
    </row>
    <row r="15">
      <c r="A15" t="inlineStr">
        <is>
          <t>Implied exit multiple (x terminal earnings)</t>
        </is>
      </c>
      <c r="B15" s="25">
        <f>B14/G6</f>
        <v/>
      </c>
    </row>
    <row r="16">
      <c r="A16" t="inlineStr">
        <is>
          <t>PV of terminal value</t>
        </is>
      </c>
      <c r="B16" s="9">
        <f>B14*G7</f>
        <v/>
      </c>
    </row>
    <row r="17">
      <c r="A17" s="5" t="inlineStr">
        <is>
          <t>Enterprise value</t>
        </is>
      </c>
      <c r="B17" s="10">
        <f>B11+B16</f>
        <v/>
      </c>
    </row>
    <row r="18">
      <c r="A18" s="23" t="inlineStr">
        <is>
          <t>less Net debt</t>
        </is>
      </c>
      <c r="B18" s="21">
        <f>-Assumptions!$B$6</f>
        <v/>
      </c>
    </row>
    <row r="19">
      <c r="A19" s="5" t="inlineStr">
        <is>
          <t>Equity value</t>
        </is>
      </c>
      <c r="B19" s="10">
        <f>B17+B18</f>
        <v/>
      </c>
    </row>
    <row r="20">
      <c r="A20" s="23" t="inlineStr">
        <is>
          <t>Shares outstanding (m)</t>
        </is>
      </c>
      <c r="B20" s="21">
        <f>Assumptions!$B$7</f>
        <v/>
      </c>
    </row>
    <row r="21">
      <c r="A21" s="7" t="inlineStr">
        <is>
          <t>VALUE PER SHARE (NZ$)</t>
        </is>
      </c>
      <c r="B21" s="8">
        <f>B19/B20</f>
        <v/>
      </c>
    </row>
    <row r="22">
      <c r="A22" s="26" t="inlineStr">
        <is>
          <t>Upside vs current price</t>
        </is>
      </c>
      <c r="B22" s="27">
        <f>B21/Assumptions!$B$8-1</f>
        <v/>
      </c>
    </row>
    <row r="23">
      <c r="A23" t="inlineStr">
        <is>
          <t>Terminal % of EV</t>
        </is>
      </c>
      <c r="B23" s="12">
        <f>B16/B17</f>
        <v/>
      </c>
    </row>
    <row r="25">
      <c r="A25" s="2" t="inlineStr">
        <is>
          <t>ENTRY PRICE at hurdle rate</t>
        </is>
      </c>
    </row>
    <row r="26">
      <c r="A26" t="inlineStr">
        <is>
          <t>PV of earnings at hurdle</t>
        </is>
      </c>
      <c r="B26" s="9">
        <f>SUMPRODUCT(C6:G6,1/(1+Assumptions!$B$9)^C4:G4)</f>
        <v/>
      </c>
    </row>
    <row r="27">
      <c r="A27" t="inlineStr">
        <is>
          <t>PV of terminal value at hurdle</t>
        </is>
      </c>
      <c r="B27" s="9">
        <f>B14/(1+Assumptions!$B$9)^G4</f>
        <v/>
      </c>
    </row>
    <row r="28">
      <c r="A28" s="7" t="inlineStr">
        <is>
          <t>ENTRY PRICE (NZ$)</t>
        </is>
      </c>
      <c r="B28" s="8">
        <f>(B26+B27-Assumptions!$B$6)/Assumptions!$B$7</f>
        <v/>
      </c>
    </row>
    <row r="29">
      <c r="A29" t="inlineStr">
        <is>
          <t>Discount vs current price</t>
        </is>
      </c>
      <c r="B29" s="12">
        <f>B28/Assumptions!$B$8-1</f>
        <v/>
      </c>
    </row>
    <row r="31">
      <c r="A31" t="inlineStr">
        <is>
          <t>Memo: implied EV/EBITDAF on FY26 continuing 919.3</t>
        </is>
      </c>
      <c r="B31" s="25">
        <f>B17/919.3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IFT.NZ — BASE scenario</t>
        </is>
      </c>
    </row>
    <row r="2">
      <c r="A2" s="19" t="inlineStr">
        <is>
          <t>Yellow = editable driver. Green = link. Orange = output.</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row>
    <row r="4">
      <c r="A4" t="inlineStr">
        <is>
          <t>Year index</t>
        </is>
      </c>
      <c r="B4" t="n">
        <v>0</v>
      </c>
      <c r="C4" t="n">
        <v>1</v>
      </c>
      <c r="D4" t="n">
        <v>2</v>
      </c>
      <c r="E4" t="n">
        <v>3</v>
      </c>
      <c r="F4" t="n">
        <v>4</v>
      </c>
      <c r="G4" t="n">
        <v>5</v>
      </c>
    </row>
    <row r="5">
      <c r="A5" t="inlineStr">
        <is>
          <t>Growth in look-through earnings YoY  &lt;-- DRIVER</t>
        </is>
      </c>
      <c r="C5" s="20" t="n">
        <v>0.18</v>
      </c>
      <c r="D5" s="20" t="n">
        <v>0.15</v>
      </c>
      <c r="E5" s="20" t="n">
        <v>0.12</v>
      </c>
      <c r="F5" s="20" t="n">
        <v>0.09</v>
      </c>
      <c r="G5" s="20" t="n">
        <v>0.07000000000000001</v>
      </c>
    </row>
    <row r="6">
      <c r="A6" s="5" t="inlineStr">
        <is>
          <t>Look-through earnings (prop. EBITDAF less incentive fees)</t>
        </is>
      </c>
      <c r="B6" s="21">
        <f>Assumptions!$B$5</f>
        <v/>
      </c>
      <c r="C6" s="9">
        <f>B6*(1+C5)</f>
        <v/>
      </c>
      <c r="D6" s="9">
        <f>C6*(1+D5)</f>
        <v/>
      </c>
      <c r="E6" s="9">
        <f>D6*(1+E5)</f>
        <v/>
      </c>
      <c r="F6" s="9">
        <f>E6*(1+F5)</f>
        <v/>
      </c>
      <c r="G6" s="9">
        <f>F6*(1+G5)</f>
        <v/>
      </c>
    </row>
    <row r="7">
      <c r="A7" t="inlineStr">
        <is>
          <t>Discount factor</t>
        </is>
      </c>
      <c r="C7" s="22">
        <f>1/(1+Assumptions!$C$14)^C4</f>
        <v/>
      </c>
      <c r="D7" s="22">
        <f>1/(1+Assumptions!$C$14)^D4</f>
        <v/>
      </c>
      <c r="E7" s="22">
        <f>1/(1+Assumptions!$C$14)^E4</f>
        <v/>
      </c>
      <c r="F7" s="22">
        <f>1/(1+Assumptions!$C$14)^F4</f>
        <v/>
      </c>
      <c r="G7" s="22">
        <f>1/(1+Assumptions!$C$14)^G4</f>
        <v/>
      </c>
    </row>
    <row r="8">
      <c r="A8" s="5" t="inlineStr">
        <is>
          <t>PV of earnings</t>
        </is>
      </c>
      <c r="C8" s="9">
        <f>C6*C7</f>
        <v/>
      </c>
      <c r="D8" s="9">
        <f>D6*D7</f>
        <v/>
      </c>
      <c r="E8" s="9">
        <f>E6*E7</f>
        <v/>
      </c>
      <c r="F8" s="9">
        <f>F6*F7</f>
        <v/>
      </c>
      <c r="G8" s="9">
        <f>G6*G7</f>
        <v/>
      </c>
    </row>
    <row r="10">
      <c r="A10" s="2" t="inlineStr">
        <is>
          <t>VALUATION</t>
        </is>
      </c>
    </row>
    <row r="11">
      <c r="A11" t="inlineStr">
        <is>
          <t>Sum of PV of explicit earnings</t>
        </is>
      </c>
      <c r="B11" s="9">
        <f>SUM(C8:G8)</f>
        <v/>
      </c>
    </row>
    <row r="12">
      <c r="A12" s="23" t="inlineStr">
        <is>
          <t>Terminal growth</t>
        </is>
      </c>
      <c r="B12" s="24">
        <f>Assumptions!$C$15</f>
        <v/>
      </c>
    </row>
    <row r="13">
      <c r="A13" t="inlineStr">
        <is>
          <t>Terminal-year earnings</t>
        </is>
      </c>
      <c r="B13" s="9">
        <f>G6*(1+B12)</f>
        <v/>
      </c>
    </row>
    <row r="14">
      <c r="A14" t="inlineStr">
        <is>
          <t>Terminal value (Gordon)</t>
        </is>
      </c>
      <c r="B14" s="9">
        <f>B13/(Assumptions!$C$14-B12)</f>
        <v/>
      </c>
    </row>
    <row r="15">
      <c r="A15" t="inlineStr">
        <is>
          <t>Implied exit multiple (x terminal earnings)</t>
        </is>
      </c>
      <c r="B15" s="25">
        <f>B14/G6</f>
        <v/>
      </c>
    </row>
    <row r="16">
      <c r="A16" t="inlineStr">
        <is>
          <t>PV of terminal value</t>
        </is>
      </c>
      <c r="B16" s="9">
        <f>B14*G7</f>
        <v/>
      </c>
    </row>
    <row r="17">
      <c r="A17" s="5" t="inlineStr">
        <is>
          <t>Enterprise value</t>
        </is>
      </c>
      <c r="B17" s="10">
        <f>B11+B16</f>
        <v/>
      </c>
    </row>
    <row r="18">
      <c r="A18" s="23" t="inlineStr">
        <is>
          <t>less Net debt</t>
        </is>
      </c>
      <c r="B18" s="21">
        <f>-Assumptions!$B$6</f>
        <v/>
      </c>
    </row>
    <row r="19">
      <c r="A19" s="5" t="inlineStr">
        <is>
          <t>Equity value</t>
        </is>
      </c>
      <c r="B19" s="10">
        <f>B17+B18</f>
        <v/>
      </c>
    </row>
    <row r="20">
      <c r="A20" s="23" t="inlineStr">
        <is>
          <t>Shares outstanding (m)</t>
        </is>
      </c>
      <c r="B20" s="21">
        <f>Assumptions!$B$7</f>
        <v/>
      </c>
    </row>
    <row r="21">
      <c r="A21" s="7" t="inlineStr">
        <is>
          <t>VALUE PER SHARE (NZ$)</t>
        </is>
      </c>
      <c r="B21" s="8">
        <f>B19/B20</f>
        <v/>
      </c>
    </row>
    <row r="22">
      <c r="A22" s="26" t="inlineStr">
        <is>
          <t>Upside vs current price</t>
        </is>
      </c>
      <c r="B22" s="27">
        <f>B21/Assumptions!$B$8-1</f>
        <v/>
      </c>
    </row>
    <row r="23">
      <c r="A23" t="inlineStr">
        <is>
          <t>Terminal % of EV</t>
        </is>
      </c>
      <c r="B23" s="12">
        <f>B16/B17</f>
        <v/>
      </c>
    </row>
    <row r="25">
      <c r="A25" s="2" t="inlineStr">
        <is>
          <t>ENTRY PRICE at hurdle rate</t>
        </is>
      </c>
    </row>
    <row r="26">
      <c r="A26" t="inlineStr">
        <is>
          <t>PV of earnings at hurdle</t>
        </is>
      </c>
      <c r="B26" s="9">
        <f>SUMPRODUCT(C6:G6,1/(1+Assumptions!$B$9)^C4:G4)</f>
        <v/>
      </c>
    </row>
    <row r="27">
      <c r="A27" t="inlineStr">
        <is>
          <t>PV of terminal value at hurdle</t>
        </is>
      </c>
      <c r="B27" s="9">
        <f>B14/(1+Assumptions!$B$9)^G4</f>
        <v/>
      </c>
    </row>
    <row r="28">
      <c r="A28" s="7" t="inlineStr">
        <is>
          <t>ENTRY PRICE (NZ$)</t>
        </is>
      </c>
      <c r="B28" s="8">
        <f>(B26+B27-Assumptions!$B$6)/Assumptions!$B$7</f>
        <v/>
      </c>
    </row>
    <row r="29">
      <c r="A29" t="inlineStr">
        <is>
          <t>Discount vs current price</t>
        </is>
      </c>
      <c r="B29" s="12">
        <f>B28/Assumptions!$B$8-1</f>
        <v/>
      </c>
    </row>
    <row r="31">
      <c r="A31" t="inlineStr">
        <is>
          <t>Memo: implied EV/EBITDAF on FY26 continuing 919.3</t>
        </is>
      </c>
      <c r="B31" s="25">
        <f>B17/919.3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IFT.NZ — BULL scenario</t>
        </is>
      </c>
    </row>
    <row r="2">
      <c r="A2" s="19" t="inlineStr">
        <is>
          <t>Yellow = editable driver. Green = link. Orange = output.</t>
        </is>
      </c>
    </row>
    <row r="3">
      <c r="A3" s="2" t="inlineStr">
        <is>
          <t>Year</t>
        </is>
      </c>
      <c r="B3" s="2" t="inlineStr">
        <is>
          <t>FY2026A</t>
        </is>
      </c>
      <c r="C3" s="2" t="inlineStr">
        <is>
          <t>FY2027E</t>
        </is>
      </c>
      <c r="D3" s="2" t="inlineStr">
        <is>
          <t>FY2028E</t>
        </is>
      </c>
      <c r="E3" s="2" t="inlineStr">
        <is>
          <t>FY2029E</t>
        </is>
      </c>
      <c r="F3" s="2" t="inlineStr">
        <is>
          <t>FY2030E</t>
        </is>
      </c>
      <c r="G3" s="2" t="inlineStr">
        <is>
          <t>FY2031E</t>
        </is>
      </c>
    </row>
    <row r="4">
      <c r="A4" t="inlineStr">
        <is>
          <t>Year index</t>
        </is>
      </c>
      <c r="B4" t="n">
        <v>0</v>
      </c>
      <c r="C4" t="n">
        <v>1</v>
      </c>
      <c r="D4" t="n">
        <v>2</v>
      </c>
      <c r="E4" t="n">
        <v>3</v>
      </c>
      <c r="F4" t="n">
        <v>4</v>
      </c>
      <c r="G4" t="n">
        <v>5</v>
      </c>
    </row>
    <row r="5">
      <c r="A5" t="inlineStr">
        <is>
          <t>Growth in look-through earnings YoY  &lt;-- DRIVER</t>
        </is>
      </c>
      <c r="C5" s="20" t="n">
        <v>0.26</v>
      </c>
      <c r="D5" s="20" t="n">
        <v>0.21</v>
      </c>
      <c r="E5" s="20" t="n">
        <v>0.17</v>
      </c>
      <c r="F5" s="20" t="n">
        <v>0.13</v>
      </c>
      <c r="G5" s="20" t="n">
        <v>0.1</v>
      </c>
    </row>
    <row r="6">
      <c r="A6" s="5" t="inlineStr">
        <is>
          <t>Look-through earnings (prop. EBITDAF less incentive fees)</t>
        </is>
      </c>
      <c r="B6" s="21">
        <f>Assumptions!$B$5</f>
        <v/>
      </c>
      <c r="C6" s="9">
        <f>B6*(1+C5)</f>
        <v/>
      </c>
      <c r="D6" s="9">
        <f>C6*(1+D5)</f>
        <v/>
      </c>
      <c r="E6" s="9">
        <f>D6*(1+E5)</f>
        <v/>
      </c>
      <c r="F6" s="9">
        <f>E6*(1+F5)</f>
        <v/>
      </c>
      <c r="G6" s="9">
        <f>F6*(1+G5)</f>
        <v/>
      </c>
    </row>
    <row r="7">
      <c r="A7" t="inlineStr">
        <is>
          <t>Discount factor</t>
        </is>
      </c>
      <c r="C7" s="22">
        <f>1/(1+Assumptions!$D$14)^C4</f>
        <v/>
      </c>
      <c r="D7" s="22">
        <f>1/(1+Assumptions!$D$14)^D4</f>
        <v/>
      </c>
      <c r="E7" s="22">
        <f>1/(1+Assumptions!$D$14)^E4</f>
        <v/>
      </c>
      <c r="F7" s="22">
        <f>1/(1+Assumptions!$D$14)^F4</f>
        <v/>
      </c>
      <c r="G7" s="22">
        <f>1/(1+Assumptions!$D$14)^G4</f>
        <v/>
      </c>
    </row>
    <row r="8">
      <c r="A8" s="5" t="inlineStr">
        <is>
          <t>PV of earnings</t>
        </is>
      </c>
      <c r="C8" s="9">
        <f>C6*C7</f>
        <v/>
      </c>
      <c r="D8" s="9">
        <f>D6*D7</f>
        <v/>
      </c>
      <c r="E8" s="9">
        <f>E6*E7</f>
        <v/>
      </c>
      <c r="F8" s="9">
        <f>F6*F7</f>
        <v/>
      </c>
      <c r="G8" s="9">
        <f>G6*G7</f>
        <v/>
      </c>
    </row>
    <row r="10">
      <c r="A10" s="2" t="inlineStr">
        <is>
          <t>VALUATION</t>
        </is>
      </c>
    </row>
    <row r="11">
      <c r="A11" t="inlineStr">
        <is>
          <t>Sum of PV of explicit earnings</t>
        </is>
      </c>
      <c r="B11" s="9">
        <f>SUM(C8:G8)</f>
        <v/>
      </c>
    </row>
    <row r="12">
      <c r="A12" s="23" t="inlineStr">
        <is>
          <t>Terminal growth</t>
        </is>
      </c>
      <c r="B12" s="24">
        <f>Assumptions!$D$15</f>
        <v/>
      </c>
    </row>
    <row r="13">
      <c r="A13" t="inlineStr">
        <is>
          <t>Terminal-year earnings</t>
        </is>
      </c>
      <c r="B13" s="9">
        <f>G6*(1+B12)</f>
        <v/>
      </c>
    </row>
    <row r="14">
      <c r="A14" t="inlineStr">
        <is>
          <t>Terminal value (Gordon)</t>
        </is>
      </c>
      <c r="B14" s="9">
        <f>B13/(Assumptions!$D$14-B12)</f>
        <v/>
      </c>
    </row>
    <row r="15">
      <c r="A15" t="inlineStr">
        <is>
          <t>Implied exit multiple (x terminal earnings)</t>
        </is>
      </c>
      <c r="B15" s="25">
        <f>B14/G6</f>
        <v/>
      </c>
    </row>
    <row r="16">
      <c r="A16" t="inlineStr">
        <is>
          <t>PV of terminal value</t>
        </is>
      </c>
      <c r="B16" s="9">
        <f>B14*G7</f>
        <v/>
      </c>
    </row>
    <row r="17">
      <c r="A17" s="5" t="inlineStr">
        <is>
          <t>Enterprise value</t>
        </is>
      </c>
      <c r="B17" s="10">
        <f>B11+B16</f>
        <v/>
      </c>
    </row>
    <row r="18">
      <c r="A18" s="23" t="inlineStr">
        <is>
          <t>less Net debt</t>
        </is>
      </c>
      <c r="B18" s="21">
        <f>-Assumptions!$B$6</f>
        <v/>
      </c>
    </row>
    <row r="19">
      <c r="A19" s="5" t="inlineStr">
        <is>
          <t>Equity value</t>
        </is>
      </c>
      <c r="B19" s="10">
        <f>B17+B18</f>
        <v/>
      </c>
    </row>
    <row r="20">
      <c r="A20" s="23" t="inlineStr">
        <is>
          <t>Shares outstanding (m)</t>
        </is>
      </c>
      <c r="B20" s="21">
        <f>Assumptions!$B$7</f>
        <v/>
      </c>
    </row>
    <row r="21">
      <c r="A21" s="7" t="inlineStr">
        <is>
          <t>VALUE PER SHARE (NZ$)</t>
        </is>
      </c>
      <c r="B21" s="8">
        <f>B19/B20</f>
        <v/>
      </c>
    </row>
    <row r="22">
      <c r="A22" s="26" t="inlineStr">
        <is>
          <t>Upside vs current price</t>
        </is>
      </c>
      <c r="B22" s="27">
        <f>B21/Assumptions!$B$8-1</f>
        <v/>
      </c>
    </row>
    <row r="23">
      <c r="A23" t="inlineStr">
        <is>
          <t>Terminal % of EV</t>
        </is>
      </c>
      <c r="B23" s="12">
        <f>B16/B17</f>
        <v/>
      </c>
    </row>
    <row r="25">
      <c r="A25" s="2" t="inlineStr">
        <is>
          <t>ENTRY PRICE at hurdle rate</t>
        </is>
      </c>
    </row>
    <row r="26">
      <c r="A26" t="inlineStr">
        <is>
          <t>PV of earnings at hurdle</t>
        </is>
      </c>
      <c r="B26" s="9">
        <f>SUMPRODUCT(C6:G6,1/(1+Assumptions!$B$9)^C4:G4)</f>
        <v/>
      </c>
    </row>
    <row r="27">
      <c r="A27" t="inlineStr">
        <is>
          <t>PV of terminal value at hurdle</t>
        </is>
      </c>
      <c r="B27" s="9">
        <f>B14/(1+Assumptions!$B$9)^G4</f>
        <v/>
      </c>
    </row>
    <row r="28">
      <c r="A28" s="7" t="inlineStr">
        <is>
          <t>ENTRY PRICE (NZ$)</t>
        </is>
      </c>
      <c r="B28" s="8">
        <f>(B26+B27-Assumptions!$B$6)/Assumptions!$B$7</f>
        <v/>
      </c>
    </row>
    <row r="29">
      <c r="A29" t="inlineStr">
        <is>
          <t>Discount vs current price</t>
        </is>
      </c>
      <c r="B29" s="12">
        <f>B28/Assumptions!$B$8-1</f>
        <v/>
      </c>
    </row>
    <row r="31">
      <c r="A31" t="inlineStr">
        <is>
          <t>Memo: implied EV/EBITDAF on FY26 continuing 919.3</t>
        </is>
      </c>
      <c r="B31" s="25">
        <f>B17/919.3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70" customWidth="1" min="5" max="5"/>
  </cols>
  <sheetData>
    <row r="1">
      <c r="A1" s="1" t="inlineStr">
        <is>
          <t>Earnings quality — what the flow is and is NOT</t>
        </is>
      </c>
    </row>
    <row r="3">
      <c r="A3" s="2" t="inlineStr"/>
      <c r="B3" s="2" t="inlineStr">
        <is>
          <t>FY2025</t>
        </is>
      </c>
      <c r="C3" s="2" t="inlineStr">
        <is>
          <t>FY2026</t>
        </is>
      </c>
      <c r="D3" s="2" t="inlineStr">
        <is>
          <t>Note</t>
        </is>
      </c>
    </row>
    <row r="4">
      <c r="A4" t="inlineStr">
        <is>
          <t>Operational EBITDAF (sum of investees)</t>
        </is>
      </c>
      <c r="B4" s="9" t="n">
        <v>1008.1</v>
      </c>
      <c r="C4" s="9" t="n">
        <v>1113.7</v>
      </c>
      <c r="D4" s="3" t="inlineStr">
        <is>
          <t>Infratil share of investee EBITDAF</t>
        </is>
      </c>
    </row>
    <row r="5">
      <c r="A5" t="inlineStr">
        <is>
          <t>less Development spend</t>
        </is>
      </c>
      <c r="B5" s="9" t="n">
        <v>-68.59999999999999</v>
      </c>
      <c r="C5" s="9" t="n">
        <v>-70.09999999999999</v>
      </c>
      <c r="D5" s="3" t="inlineStr">
        <is>
          <t>Gurin/Galileo/Mint non-capitalised — REAL cash out</t>
        </is>
      </c>
    </row>
    <row r="6">
      <c r="A6" t="inlineStr">
        <is>
          <t>less Corporate costs</t>
        </is>
      </c>
      <c r="B6" s="9" t="n">
        <v>-112.8</v>
      </c>
      <c r="C6" s="9" t="n">
        <v>-124.3</v>
      </c>
      <c r="D6" s="3" t="inlineStr">
        <is>
          <t>includes Morrison BASE fee NZ$101.4m FY26</t>
        </is>
      </c>
    </row>
    <row r="7">
      <c r="A7" s="5" t="inlineStr">
        <is>
          <t>Total: Proportionate EBITDAF (continuing)</t>
        </is>
      </c>
      <c r="B7" s="10">
        <f>SUM(B4:B6)</f>
        <v/>
      </c>
      <c r="C7" s="10">
        <f>SUM(C4:C6)</f>
        <v/>
      </c>
      <c r="D7" s="3" t="inlineStr">
        <is>
          <t>the filing's own bottom line</t>
        </is>
      </c>
    </row>
    <row r="8">
      <c r="A8" t="inlineStr">
        <is>
          <t>less est. Morrison INCENTIVE fees</t>
        </is>
      </c>
      <c r="B8" s="9" t="n">
        <v>-35</v>
      </c>
      <c r="C8" s="9" t="n">
        <v>-35</v>
      </c>
      <c r="D8" s="3" t="inlineStr">
        <is>
          <t>excluded from EBITDAF by definition — accrues to manager</t>
        </is>
      </c>
    </row>
    <row r="9">
      <c r="A9" s="5" t="inlineStr">
        <is>
          <t>Total: Flow used in this model</t>
        </is>
      </c>
      <c r="B9" s="15">
        <f>B7+B8</f>
        <v/>
      </c>
      <c r="C9" s="15">
        <f>C7+C8</f>
        <v/>
      </c>
      <c r="D9" s="3" t="inlineStr">
        <is>
          <t>last_fcf</t>
        </is>
      </c>
    </row>
    <row r="11">
      <c r="A11" s="28" t="inlineStr">
        <is>
          <t>THIS IS NOT FREE CASH FLOW</t>
        </is>
      </c>
    </row>
    <row r="12">
      <c r="A12" t="inlineStr">
        <is>
          <t>Proportionate capital expenditure</t>
        </is>
      </c>
      <c r="B12" s="9" t="n">
        <v>2294.4</v>
      </c>
      <c r="C12" s="9" t="n">
        <v>2686.6</v>
      </c>
    </row>
    <row r="13">
      <c r="A13" t="inlineStr">
        <is>
          <t>Capex as multiple of look-through earnings</t>
        </is>
      </c>
      <c r="B13" s="25">
        <f>B12/B9</f>
        <v/>
      </c>
      <c r="C13" s="25">
        <f>C12/C9</f>
        <v/>
      </c>
    </row>
    <row r="14">
      <c r="A14" t="inlineStr">
        <is>
          <t>FY27 capex guidance low / high</t>
        </is>
      </c>
      <c r="B14" s="9" t="n">
        <v>3800</v>
      </c>
      <c r="C14" s="9" t="n">
        <v>4400</v>
      </c>
    </row>
    <row r="15" ht="60" customHeight="1">
      <c r="A15" s="3" t="inlineStr">
        <is>
          <t>Infratil is deeply cash-flow negative at the portfolio level BY DESIGN. The gap is funded with debt and equity issuance (shares 968.1m -&gt; 999.3m in FY26; net debt 2,187.8 -&gt; 3,204.6). This model values look-through EARNINGS, on the proposition that the capex compounds into value. Nothing here implies shareholders can extract NZ$884m a year.</t>
        </is>
      </c>
    </row>
    <row r="17">
      <c r="A17" s="5" t="inlineStr">
        <is>
          <t>Memo: SBC (KMP share based payments)</t>
        </is>
      </c>
      <c r="B17" s="29" t="n">
        <v>1.2</v>
      </c>
      <c r="D17" s="3" t="inlineStr">
        <is>
          <t>Immaterial (0.13% of flow). For this externally managed holdco the compensation leak that matters is the Morrison fee, not SBC.</t>
        </is>
      </c>
    </row>
  </sheetData>
  <mergeCells count="1">
    <mergeCell ref="A15:E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Valuation summary</t>
        </is>
      </c>
    </row>
    <row r="3">
      <c r="A3" s="2" t="inlineStr">
        <is>
          <t>Scenario</t>
        </is>
      </c>
      <c r="B3" s="2" t="inlineStr">
        <is>
          <t>Value/share</t>
        </is>
      </c>
      <c r="C3" s="2" t="inlineStr">
        <is>
          <t>Upside</t>
        </is>
      </c>
      <c r="D3" s="2" t="inlineStr">
        <is>
          <t>Weight</t>
        </is>
      </c>
      <c r="E3" s="2" t="inlineStr">
        <is>
          <t>Entry @15%</t>
        </is>
      </c>
    </row>
    <row r="4">
      <c r="A4" t="inlineStr">
        <is>
          <t>Bear</t>
        </is>
      </c>
      <c r="B4" s="4">
        <f>'DCF_Bear'!B21</f>
        <v/>
      </c>
      <c r="C4" s="12">
        <f>B4/Assumptions!$B$8-1</f>
        <v/>
      </c>
      <c r="D4" s="30">
        <f>Assumptions!B16</f>
        <v/>
      </c>
      <c r="E4" s="4">
        <f>'DCF_Bear'!B28</f>
        <v/>
      </c>
    </row>
    <row r="5">
      <c r="A5" t="inlineStr">
        <is>
          <t>Base</t>
        </is>
      </c>
      <c r="B5" s="4">
        <f>'DCF_Base'!B21</f>
        <v/>
      </c>
      <c r="C5" s="12">
        <f>B5/Assumptions!$B$8-1</f>
        <v/>
      </c>
      <c r="D5" s="30">
        <f>Assumptions!C16</f>
        <v/>
      </c>
      <c r="E5" s="4">
        <f>'DCF_Base'!B28</f>
        <v/>
      </c>
    </row>
    <row r="6">
      <c r="A6" t="inlineStr">
        <is>
          <t>Bull</t>
        </is>
      </c>
      <c r="B6" s="4">
        <f>'DCF_Bull'!B21</f>
        <v/>
      </c>
      <c r="C6" s="12">
        <f>B6/Assumptions!$B$8-1</f>
        <v/>
      </c>
      <c r="D6" s="30">
        <f>Assumptions!D16</f>
        <v/>
      </c>
      <c r="E6" s="4">
        <f>'DCF_Bull'!B28</f>
        <v/>
      </c>
    </row>
    <row r="7">
      <c r="A7" s="5" t="inlineStr">
        <is>
          <t>Current price</t>
        </is>
      </c>
      <c r="B7" s="6">
        <f>Assumptions!$B$8</f>
        <v/>
      </c>
    </row>
    <row r="8">
      <c r="A8" s="7" t="inlineStr">
        <is>
          <t>PROBABILITY-WEIGHTED IV</t>
        </is>
      </c>
      <c r="B8" s="8">
        <f>SUMPRODUCT(B4:B6,D4:D6)</f>
        <v/>
      </c>
      <c r="C8" s="31">
        <f>B8/Assumptions!$B$8-1</f>
        <v/>
      </c>
      <c r="E8" s="8">
        <f>SUMPRODUCT(E4:E6,D4:D6)</f>
        <v/>
      </c>
    </row>
    <row r="10">
      <c r="A10" s="2" t="inlineStr">
        <is>
          <t>NAV cross-check</t>
        </is>
      </c>
    </row>
    <row r="11">
      <c r="A11" t="inlineStr">
        <is>
          <t>NAV/share statutory (31-Mar-2026)</t>
        </is>
      </c>
      <c r="B11" s="4">
        <f>Assumptions!$B$10</f>
        <v/>
      </c>
      <c r="C11" s="32">
        <f>Assumptions!$B$8/B11</f>
        <v/>
      </c>
      <c r="D11" t="inlineStr">
        <is>
          <t>P/NAV</t>
        </is>
      </c>
    </row>
    <row r="12">
      <c r="A12" t="inlineStr">
        <is>
          <t>NAV/share live (CDC @ 30-Jun-2026)</t>
        </is>
      </c>
      <c r="B12" s="4">
        <f>Assumptions!$B$11</f>
        <v/>
      </c>
      <c r="C12" s="32">
        <f>Assumptions!$B$8/B12</f>
        <v/>
      </c>
      <c r="D12" t="inlineStr">
        <is>
          <t>P/NAV</t>
        </is>
      </c>
    </row>
    <row r="13">
      <c r="A13" t="inlineStr">
        <is>
          <t>Base IV as % of statutory NAV</t>
        </is>
      </c>
      <c r="B13" s="12">
        <f>B5/Assumptions!$B$10</f>
        <v/>
      </c>
    </row>
    <row r="15">
      <c r="A15" s="2" t="inlineStr">
        <is>
          <t>Sensitivity: value per share (rows WACC, cols terminal growth)</t>
        </is>
      </c>
    </row>
    <row r="16">
      <c r="A16" s="2" t="inlineStr">
        <is>
          <t>WACC \ g</t>
        </is>
      </c>
      <c r="B16" s="33" t="n">
        <v>0.02</v>
      </c>
      <c r="C16" s="33" t="n">
        <v>0.025</v>
      </c>
      <c r="D16" s="33" t="n">
        <v>0.03</v>
      </c>
      <c r="E16" s="33" t="n">
        <v>0.035</v>
      </c>
      <c r="F16" s="33" t="n">
        <v>0.04</v>
      </c>
    </row>
    <row r="17">
      <c r="A17" s="34" t="n">
        <v>0.08500000000000001</v>
      </c>
      <c r="B17" s="4" t="n">
        <v>18.52</v>
      </c>
      <c r="C17" s="4" t="n">
        <v>19.97</v>
      </c>
      <c r="D17" s="4" t="n">
        <v>21.68</v>
      </c>
      <c r="E17" s="4" t="n">
        <v>23.74</v>
      </c>
      <c r="F17" s="4" t="n">
        <v>26.26</v>
      </c>
    </row>
    <row r="18">
      <c r="A18" s="34" t="n">
        <v>0.095</v>
      </c>
      <c r="B18" s="4" t="n">
        <v>15.56</v>
      </c>
      <c r="C18" s="4" t="n">
        <v>16.6</v>
      </c>
      <c r="D18" s="4" t="n">
        <v>17.8</v>
      </c>
      <c r="E18" s="4" t="n">
        <v>19.19</v>
      </c>
      <c r="F18" s="4" t="n">
        <v>20.85</v>
      </c>
    </row>
    <row r="19">
      <c r="A19" s="34" t="n">
        <v>0.105</v>
      </c>
      <c r="B19" s="4" t="n">
        <v>13.3</v>
      </c>
      <c r="C19" s="4" t="n">
        <v>14.07</v>
      </c>
      <c r="D19" s="35" t="n">
        <v>14.95</v>
      </c>
      <c r="E19" s="4" t="n">
        <v>15.95</v>
      </c>
      <c r="F19" s="4" t="n">
        <v>17.11</v>
      </c>
    </row>
    <row r="20">
      <c r="A20" s="34" t="n">
        <v>0.115</v>
      </c>
      <c r="B20" s="4" t="n">
        <v>11.51</v>
      </c>
      <c r="C20" s="4" t="n">
        <v>12.11</v>
      </c>
      <c r="D20" s="4" t="n">
        <v>12.77</v>
      </c>
      <c r="E20" s="4" t="n">
        <v>13.52</v>
      </c>
      <c r="F20" s="4" t="n">
        <v>14.36</v>
      </c>
    </row>
    <row r="21">
      <c r="A21" s="34" t="n">
        <v>0.125</v>
      </c>
      <c r="B21" s="4" t="n">
        <v>10.07</v>
      </c>
      <c r="C21" s="4" t="n">
        <v>10.54</v>
      </c>
      <c r="D21" s="4" t="n">
        <v>11.06</v>
      </c>
      <c r="E21" s="4" t="n">
        <v>11.63</v>
      </c>
      <c r="F21" s="4" t="n">
        <v>12.27</v>
      </c>
    </row>
    <row r="22">
      <c r="A22" s="19" t="inlineStr">
        <is>
          <t>Grid is base-case growth path re-solved at each WACC/g pair (hardcoded from the JSON; base cell highlighted).</t>
        </is>
      </c>
    </row>
    <row r="24">
      <c r="A24" s="2" t="inlineStr">
        <is>
          <t>Implied multiples vs 5-year trading history</t>
        </is>
      </c>
    </row>
    <row r="25">
      <c r="A25" s="5" t="inlineStr"/>
      <c r="B25" s="2" t="inlineStr">
        <is>
          <t>Now</t>
        </is>
      </c>
      <c r="C25" s="2" t="inlineStr">
        <is>
          <t>5y avg</t>
        </is>
      </c>
      <c r="D25" s="2" t="inlineStr">
        <is>
          <t>5y max</t>
        </is>
      </c>
    </row>
    <row r="26">
      <c r="A26" t="inlineStr">
        <is>
          <t>EV/EBITDAF trailing (headline basis 989.4)</t>
        </is>
      </c>
      <c r="B26" s="25">
        <f>(Assumptions!$B$8*Assumptions!$B$7+Assumptions!$B$6)/989.4</f>
        <v/>
      </c>
      <c r="C26" s="25" t="n">
        <v>13.66</v>
      </c>
      <c r="D26" s="36" t="n">
        <v>15.01</v>
      </c>
    </row>
    <row r="27">
      <c r="A27" t="inlineStr">
        <is>
          <t>EV/EBITDAF forward (FY27 headline 1190)</t>
        </is>
      </c>
      <c r="B27" s="25">
        <f>(Assumptions!$B$8*Assumptions!$B$7+Assumptions!$B$6)/1190</f>
        <v/>
      </c>
      <c r="C27" s="25" t="n">
        <v>13.66</v>
      </c>
      <c r="D27" s="25" t="n">
        <v>15.01</v>
      </c>
    </row>
    <row r="28">
      <c r="A28" t="inlineStr">
        <is>
          <t>P/B (BVPS FY26 17.43)</t>
        </is>
      </c>
      <c r="B28" s="32">
        <f>Assumptions!$B$8/17.43</f>
        <v/>
      </c>
      <c r="C28" s="32" t="n">
        <v>0.71</v>
      </c>
      <c r="D28" s="37" t="n">
        <v>0.78</v>
      </c>
    </row>
    <row r="30" ht="30" customHeight="1">
      <c r="A30" s="3" t="inlineStr">
        <is>
          <t>Trailing multiples sit ABOVE their 5-year maxima; the FORWARD multiple sits inside the band. The model requires guidance delivery, not a re-rating.</t>
        </is>
      </c>
    </row>
  </sheetData>
  <mergeCells count="1">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2026-08-28T00:26:10Z</dcterms:created>
  <dcterms:modified xsi:type="dcterms:W3CDTF">2026-08-28T00:26:10Z</dcterms:modified>
</cp:coreProperties>
</file>