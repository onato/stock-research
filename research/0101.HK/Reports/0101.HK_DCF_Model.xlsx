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<sst xmlns="http://schemas.openxmlformats.org/spreadsheetml/2006/main" count="366" uniqueCount="167">
  <si>
    <t xml:space="preserve">Ticker</t>
  </si>
  <si>
    <t xml:space="preserve">0101.HK</t>
  </si>
  <si>
    <t xml:space="preserve">Company</t>
  </si>
  <si>
    <t xml:space="preserve">Hang Lung Properties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</si>
  <si>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</si>
  <si>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</si>
  <si>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</si>
  <si>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</si>
  <si>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regular close (Yahoo chart API; last HKEX session before valuation date)</t>
  </si>
  <si>
    <t xml:space="preserve">Balance sheet date</t>
  </si>
  <si>
    <t xml:space="preserve">2026-06-30</t>
  </si>
  <si>
    <t xml:space="preserve">Model</t>
  </si>
  <si>
    <t xml:space="preserve">Underlying-profit AFFO-style FCFE capitalisation at cost of equity (engine route)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</si>
  <si>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</si>
  <si>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</si>
  <si>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</si>
  <si>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</si>
  <si>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</si>
  <si>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</si>
  <si>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</si>
  <si>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</si>
  <si>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2026-10-10T21:18:46Z</t>
  </si>
  <si>
    <t xml:space="preserve">Drivers file</t>
  </si>
  <si>
    <t xml:space="preserve">0101.HK_Drivers.json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</si>
  <si>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</si>
  <si>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</si>
  <si>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</si>
  <si>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Hang Lung Properties is valued as a landlord, not as an operating company: the recurring, post-interest, post-tax, post-minority underlying profit from leasing and hotels -- with capitalised interest treated as a real cost -- less maintenance and equity-funded development capex, is capitalised at a 10.5% HKD cost of equity with no further net-debt deduction. Revaluation gains and losses are excluded entirely. Trading inventory is valued once in the bridge at a realisation haircut. Book NAV (HK$26.6/share) is a memo only: the assets earn ~2.4% on book, which is why the market pays ~0.25x.
key_risks_to_valuation: Interest-rate and refinancing risk: HK$53.6bn borrowings, 60% floating; each 100bp on the floating book is ~HK$320m pre-tax, ~10% of the FY0 stream; Mainland luxury consumption relapse hitting flagship mall rents (Plaza 66, Grand Gateway 66); Continued mainland office rent declines (vacancy ~25% industry-wide); RMB/HKD translation: ~69% of net assets and most leasing revenue are RMB; Capital allocation: renewed large mainland commitments would push capex above the 5.5% steady state; Scrip dividend dilution at prices below intrinsic value transfers value from cash-electing holders; CEO transition to an external consumer-retail executive (Leo Tsoi, effective 1-Oct-2026)</t>
  </si>
  <si>
    <t xml:space="preserve">Data sources</t>
  </si>
  <si>
    <t xml:space="preserve">price: Yahoo Finance chart API at inputs.price_as_of; 52-week range 6.38-10.30
financials: Hang Lung Properties FY2025 Annual Report (financial highlights, financial review, notes 16/24, ten-year summary) and 2026 Interim Report (results highlights, notes 12/16, balance sheet); Metrics.csv / core_metrics and kpis in 0101.HK.duckdb
qualitative: 0101.HK_Analysis.json (2026-10-11); parent Hang Lung Group 0010.HK DCF for method and CoE consistency</t>
  </si>
  <si>
    <t xml:space="preserve">Scenario narrative: bear</t>
  </si>
  <si>
    <t xml:space="preserve">Mainland luxury spending relapses (consumer confidence still ~90, tariff/geopolitical shock from the Middle East conflict flagged in the H1-26 outlook), secondary-city malls (Forum 66 Shenyang, Heartland 66 Wuhan, Riverside 66 Tianjin) keep losing share, mainland office rents keep falling and HK office reversions stay negative; the RMB weakens against the HKD peg. Westlake 66 leases slowly while its interest is already expensed, and with HK$47bn of net debt, 60% floating and interest cover ~3x, any rise in rates or refinancing spreads compresses the post-interest margin to 24.5%. Management keeps committing capital to new mainland projects at low returns (the pattern that took underlying ROE to ~2.4%), holding capex at 6% of revenue. Inventory realises well below book.</t>
  </si>
  <si>
    <t xml:space="preserve">Scenario narrative: base</t>
  </si>
  <si>
    <t xml:space="preserve">Mainland luxury retail continues its selective recovery (H1-26 mall revenue +6% in RMB, 96% occupancy) while mainland offices (revenue -12% in H1-26, weaker-city towers 72-78% occupied) stabilise rather than recover. Westlake 66 ramps over 2026-28 and is the main source of ~6%/yr leasing growth in FY2026-27; Hong Kong retail edges up on visitor arrivals while HK office stays competitive. Interest stops being capitalised as projects complete, holding the margin near 26.5-27% before lease-up lifts it to 30%. Development spend falls to maintenance plus modest AEI once the HK$4.8bn commitment tail is paid and the V.3 projects go asset-light, so FCFE rises from ~HK$0.8bn in FY2026 to ~HK$3.2bn by the end of the decade. The dividend keeps leaning on scrip. Inventory is sold down over ~3 years below book.</t>
  </si>
  <si>
    <t xml:space="preserve">Scenario narrative: bull</t>
  </si>
  <si>
    <t xml:space="preserve">A stronger mainland consumption cycle and RMB appreciation (69% of net assets are RMB) lift flagship mall rents faster; Westlake 66, Center 66 Wuxi and the Plaza 66 Pavilion lease up ahead of plan; mainland office vacancy turns; the new consumer-retail CEO (Leo Tsoi, from 1-Oct-2026) sharpens tenant mix in the weaker 'zombie-mall' cities. Rates fall, cutting the 3.8% average cost of debt on a 60%-floating book, which goes straight to the post-interest margin (32.5%). The V.3 asset-light shift keeps capex at maintenance levels.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</si>
  <si>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</si>
  <si>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</si>
  <si>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</si>
  <si>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</si>
  <si>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</si>
  <si>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</si>
  <si>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</si>
  <si>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</si>
  <si>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</si>
  <si>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</si>
  <si>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</si>
  <si>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</si>
  <si>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</si>
  <si>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</si>
  <si>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</si>
  <si>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</si>
  <si>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</si>
  <si>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</si>
  <si>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</si>
  <si>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</si>
  <si>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</si>
  <si>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</si>
  <si>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</si>
  <si>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</si>
  <si>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</si>
  <si>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</si>
  <si>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</si>
  <si>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</si>
  <si>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</si>
  <si>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</si>
  <si>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</si>
  <si>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</si>
  <si>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</si>
  <si>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</si>
  <si>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</si>
  <si>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</si>
  <si>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</si>
  <si>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</si>
  <si>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</si>
  <si>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</si>
  <si>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</si>
  <si>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</si>
  <si>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</si>
  <si>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</si>
  <si>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</si>
  <si>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</si>
  <si>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</si>
  <si>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</si>
  <si>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</si>
  <si>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</si>
  <si>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</si>
  <si>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</si>
  <si>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</si>
  <si>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</si>
  <si>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</si>
  <si>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</si>
  <si>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</si>
  <si>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</si>
  <si>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</si>
  <si>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</si>
  <si>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</si>
  <si>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</si>
  <si>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</si>
  <si>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</si>
  <si>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</si>
  <si>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</si>
  <si>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</si>
  <si>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</si>
  <si>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</si>
  <si>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</si>
  <si>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</si>
  <si>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</si>
  <si>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</si>
  <si>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</si>
  <si>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</si>
  <si>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</si>
  <si>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0101.HK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</si>
  <si>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</si>
  <si>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</si>
  <si>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</si>
  <si>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</si>
  <si>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</si>
  <si>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</si>
  <si>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</si>
  <si>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</si>
  <si>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</si>
  <si>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</si>
  <si>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</si>
  <si>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</si>
  <si>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</si>
  <si>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</si>
  <si>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</si>
  <si>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</si>
  <si>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</si>
  <si>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</si>
  <si>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</si>
  <si>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</si>
  <si>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</si>
  <si>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</si>
  <si>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</si>
  <si>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</si>
  <si>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</si>
  <si>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</si>
  <si>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</si>
  <si>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</si>
  <si>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</si>
  <si>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</si>
  <si>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0101.HK owner-FCF component DCF: base case (millions, HKD)</t>
  </si>
  <si>
    <t xml:space="preserve">0101.HK owner-FCF component DCF: bull case (millions, HKD)</t>
  </si>
  <si>
    <t xml:space="preserve">0101.HK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</si>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</sst>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6.615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17030</v>
      </c>
      <c r="C2" s="0" t="n">
        <v>4022</v>
      </c>
      <c r="D2" s="0" t="n">
        <v>13008</v>
      </c>
      <c r="E2" s="0" t="n">
        <v>76.4</v>
      </c>
      <c r="F2" s="0" t="n">
        <v>12362</v>
      </c>
      <c r="G2" s="0" t="n">
        <v>72.6</v>
      </c>
      <c r="I2" s="0" t="n">
        <v>11704</v>
      </c>
      <c r="J2" s="0" t="n">
        <v>68.7</v>
      </c>
      <c r="K2" s="0" t="n">
        <v>2.61</v>
      </c>
      <c r="L2" s="0" t="n">
        <v>15362</v>
      </c>
      <c r="M2" s="0" t="n">
        <v>5301</v>
      </c>
      <c r="N2" s="0" t="n">
        <v>10061</v>
      </c>
      <c r="O2" s="0" t="n">
        <v>132327</v>
      </c>
      <c r="P2" s="0" t="n">
        <v>193179</v>
      </c>
      <c r="Q2" s="0" t="n">
        <v>54176</v>
      </c>
      <c r="R2" s="0" t="n">
        <v>35098</v>
      </c>
      <c r="S2" s="0" t="n">
        <v>39946</v>
      </c>
      <c r="T2" s="0" t="n">
        <v>4486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8948</v>
      </c>
      <c r="C3" s="0" t="n">
        <v>2400</v>
      </c>
      <c r="D3" s="0" t="n">
        <v>6548</v>
      </c>
      <c r="E3" s="0" t="n">
        <v>73.2</v>
      </c>
      <c r="F3" s="0" t="n">
        <v>5878</v>
      </c>
      <c r="G3" s="0" t="n">
        <v>65.7</v>
      </c>
      <c r="I3" s="0" t="n">
        <v>5092</v>
      </c>
      <c r="J3" s="0" t="n">
        <v>56.9</v>
      </c>
      <c r="K3" s="0" t="n">
        <v>1.13</v>
      </c>
      <c r="L3" s="0" t="n">
        <v>5460</v>
      </c>
      <c r="M3" s="0" t="n">
        <v>6180</v>
      </c>
      <c r="N3" s="0" t="n">
        <v>-720</v>
      </c>
      <c r="O3" s="0" t="n">
        <v>128989</v>
      </c>
      <c r="P3" s="0" t="n">
        <v>184018</v>
      </c>
      <c r="Q3" s="0" t="n">
        <v>49126</v>
      </c>
      <c r="R3" s="0" t="n">
        <v>32771</v>
      </c>
      <c r="S3" s="0" t="n">
        <v>31289</v>
      </c>
      <c r="T3" s="0" t="n">
        <v>4491</v>
      </c>
      <c r="U3" s="0" t="n">
        <v>150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13059</v>
      </c>
      <c r="C4" s="0" t="n">
        <v>4140</v>
      </c>
      <c r="D4" s="0" t="n">
        <v>8919</v>
      </c>
      <c r="E4" s="0" t="n">
        <v>68.3</v>
      </c>
      <c r="F4" s="0" t="n">
        <v>8520</v>
      </c>
      <c r="G4" s="0" t="n">
        <v>65.2</v>
      </c>
      <c r="I4" s="0" t="n">
        <v>6195</v>
      </c>
      <c r="J4" s="0" t="n">
        <v>47.4</v>
      </c>
      <c r="K4" s="0" t="n">
        <v>1.38</v>
      </c>
      <c r="L4" s="0" t="n">
        <v>6735</v>
      </c>
      <c r="M4" s="0" t="n">
        <v>2677</v>
      </c>
      <c r="N4" s="0" t="n">
        <v>4058</v>
      </c>
      <c r="O4" s="0" t="n">
        <v>126565</v>
      </c>
      <c r="P4" s="0" t="n">
        <v>174907</v>
      </c>
      <c r="Q4" s="0" t="n">
        <v>42762</v>
      </c>
      <c r="R4" s="0" t="n">
        <v>27082</v>
      </c>
      <c r="S4" s="0" t="n">
        <v>24325</v>
      </c>
      <c r="T4" s="0" t="n">
        <v>4497</v>
      </c>
      <c r="U4" s="0" t="n">
        <v>103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11199</v>
      </c>
      <c r="C5" s="0" t="n">
        <v>3289</v>
      </c>
      <c r="D5" s="0" t="n">
        <v>7910</v>
      </c>
      <c r="E5" s="0" t="n">
        <v>70.6</v>
      </c>
      <c r="F5" s="0" t="n">
        <v>7879</v>
      </c>
      <c r="G5" s="0" t="n">
        <v>70.4</v>
      </c>
      <c r="I5" s="0" t="n">
        <v>8124</v>
      </c>
      <c r="J5" s="0" t="n">
        <v>72.5</v>
      </c>
      <c r="K5" s="0" t="n">
        <v>1.81</v>
      </c>
      <c r="L5" s="0" t="n">
        <v>8557</v>
      </c>
      <c r="M5" s="0" t="n">
        <v>4160</v>
      </c>
      <c r="N5" s="0" t="n">
        <v>4397</v>
      </c>
      <c r="O5" s="0" t="n">
        <v>136158</v>
      </c>
      <c r="P5" s="0" t="n">
        <v>183586</v>
      </c>
      <c r="Q5" s="0" t="n">
        <v>41341</v>
      </c>
      <c r="R5" s="0" t="n">
        <v>24820</v>
      </c>
      <c r="S5" s="0" t="n">
        <v>22106</v>
      </c>
      <c r="T5" s="0" t="n">
        <v>4499</v>
      </c>
      <c r="U5" s="0" t="n">
        <v>78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9408</v>
      </c>
      <c r="C6" s="0" t="n">
        <v>2586</v>
      </c>
      <c r="D6" s="0" t="n">
        <v>6822</v>
      </c>
      <c r="E6" s="0" t="n">
        <v>72.5</v>
      </c>
      <c r="F6" s="0" t="n">
        <v>6278</v>
      </c>
      <c r="G6" s="0" t="n">
        <v>66.7</v>
      </c>
      <c r="I6" s="0" t="n">
        <v>8078</v>
      </c>
      <c r="J6" s="0" t="n">
        <v>85.9</v>
      </c>
      <c r="K6" s="0" t="n">
        <v>1.8</v>
      </c>
      <c r="L6" s="0" t="n">
        <v>5738</v>
      </c>
      <c r="M6" s="0" t="n">
        <v>12859</v>
      </c>
      <c r="N6" s="0" t="n">
        <v>-7121</v>
      </c>
      <c r="O6" s="0" t="n">
        <v>137561</v>
      </c>
      <c r="P6" s="0" t="n">
        <v>186453</v>
      </c>
      <c r="Q6" s="0" t="n">
        <v>42859</v>
      </c>
      <c r="R6" s="0" t="n">
        <v>27253</v>
      </c>
      <c r="S6" s="0" t="n">
        <v>12363</v>
      </c>
      <c r="T6" s="0" t="n">
        <v>4498</v>
      </c>
      <c r="U6" s="0" t="n">
        <v>71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8852</v>
      </c>
      <c r="C7" s="0" t="n">
        <v>2365</v>
      </c>
      <c r="D7" s="0" t="n">
        <v>6487</v>
      </c>
      <c r="E7" s="0" t="n">
        <v>73.3</v>
      </c>
      <c r="F7" s="0" t="n">
        <v>5903</v>
      </c>
      <c r="G7" s="0" t="n">
        <v>66.7</v>
      </c>
      <c r="I7" s="0" t="n">
        <v>6172</v>
      </c>
      <c r="J7" s="0" t="n">
        <v>69.7</v>
      </c>
      <c r="K7" s="0" t="n">
        <v>1.37</v>
      </c>
      <c r="L7" s="0" t="n">
        <v>5319</v>
      </c>
      <c r="M7" s="0" t="n">
        <v>12262</v>
      </c>
      <c r="N7" s="0" t="n">
        <v>-6943</v>
      </c>
      <c r="O7" s="0" t="n">
        <v>138669</v>
      </c>
      <c r="P7" s="0" t="n">
        <v>199980</v>
      </c>
      <c r="Q7" s="0" t="n">
        <v>52168</v>
      </c>
      <c r="R7" s="0" t="n">
        <v>29673</v>
      </c>
      <c r="S7" s="0" t="n">
        <v>3306</v>
      </c>
      <c r="T7" s="0" t="n">
        <v>4497.72</v>
      </c>
      <c r="U7" s="0" t="n">
        <v>67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8973</v>
      </c>
      <c r="C8" s="0" t="n">
        <v>2492</v>
      </c>
      <c r="D8" s="0" t="n">
        <v>6481</v>
      </c>
      <c r="E8" s="0" t="n">
        <v>72.2</v>
      </c>
      <c r="F8" s="0" t="n">
        <v>6000</v>
      </c>
      <c r="G8" s="0" t="n">
        <v>66.9</v>
      </c>
      <c r="I8" s="0" t="n">
        <v>-2571</v>
      </c>
      <c r="J8" s="0" t="n">
        <v>-28.7</v>
      </c>
      <c r="K8" s="0" t="n">
        <v>-0.57</v>
      </c>
      <c r="L8" s="0" t="n">
        <v>3413</v>
      </c>
      <c r="M8" s="0" t="n">
        <v>3107</v>
      </c>
      <c r="N8" s="0" t="n">
        <v>306</v>
      </c>
      <c r="O8" s="0" t="n">
        <v>138295</v>
      </c>
      <c r="P8" s="0" t="n">
        <v>211316</v>
      </c>
      <c r="Q8" s="0" t="n">
        <v>63128</v>
      </c>
      <c r="R8" s="0" t="n">
        <v>37917</v>
      </c>
      <c r="S8" s="0" t="n">
        <v>6319</v>
      </c>
      <c r="T8" s="0" t="n">
        <v>4497.73</v>
      </c>
      <c r="U8" s="0" t="n">
        <v>55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10321</v>
      </c>
      <c r="C9" s="0" t="n">
        <v>2950</v>
      </c>
      <c r="D9" s="0" t="n">
        <v>7371</v>
      </c>
      <c r="E9" s="0" t="n">
        <v>71.4</v>
      </c>
      <c r="F9" s="0" t="n">
        <v>6834</v>
      </c>
      <c r="G9" s="0" t="n">
        <v>66.2</v>
      </c>
      <c r="I9" s="0" t="n">
        <v>3868</v>
      </c>
      <c r="J9" s="0" t="n">
        <v>37.5</v>
      </c>
      <c r="K9" s="0" t="n">
        <v>0.86</v>
      </c>
      <c r="L9" s="0" t="n">
        <v>2732</v>
      </c>
      <c r="M9" s="0" t="n">
        <v>2855</v>
      </c>
      <c r="N9" s="0" t="n">
        <v>-123</v>
      </c>
      <c r="O9" s="0" t="n">
        <v>141719</v>
      </c>
      <c r="P9" s="0" t="n">
        <v>224235</v>
      </c>
      <c r="Q9" s="0" t="n">
        <v>71851</v>
      </c>
      <c r="R9" s="0" t="n">
        <v>45695</v>
      </c>
      <c r="S9" s="0" t="n">
        <v>8515</v>
      </c>
      <c r="T9" s="0" t="n">
        <v>4498.8</v>
      </c>
      <c r="U9" s="0" t="n">
        <v>66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10347</v>
      </c>
      <c r="C10" s="0" t="n">
        <v>3094</v>
      </c>
      <c r="D10" s="0" t="n">
        <v>7253</v>
      </c>
      <c r="E10" s="0" t="n">
        <v>70.1</v>
      </c>
      <c r="F10" s="0" t="n">
        <v>6620</v>
      </c>
      <c r="G10" s="0" t="n">
        <v>64</v>
      </c>
      <c r="I10" s="0" t="n">
        <v>3836</v>
      </c>
      <c r="J10" s="0" t="n">
        <v>37.1</v>
      </c>
      <c r="K10" s="0" t="n">
        <v>0.85</v>
      </c>
      <c r="L10" s="0" t="n">
        <v>4139</v>
      </c>
      <c r="M10" s="0" t="n">
        <v>2699</v>
      </c>
      <c r="N10" s="0" t="n">
        <v>1440</v>
      </c>
      <c r="O10" s="0" t="n">
        <v>133381</v>
      </c>
      <c r="P10" s="0" t="n">
        <v>212688</v>
      </c>
      <c r="Q10" s="0" t="n">
        <v>69542</v>
      </c>
      <c r="R10" s="0" t="n">
        <v>45524</v>
      </c>
      <c r="S10" s="0" t="n">
        <v>5229</v>
      </c>
      <c r="T10" s="0" t="n">
        <v>4499.26</v>
      </c>
      <c r="U10" s="0" t="n">
        <v>88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10316</v>
      </c>
      <c r="C11" s="0" t="n">
        <v>2927</v>
      </c>
      <c r="D11" s="0" t="n">
        <v>7389</v>
      </c>
      <c r="E11" s="0" t="n">
        <v>71.6</v>
      </c>
      <c r="F11" s="0" t="n">
        <v>6762</v>
      </c>
      <c r="G11" s="0" t="n">
        <v>65.5</v>
      </c>
      <c r="I11" s="0" t="n">
        <v>3970</v>
      </c>
      <c r="J11" s="0" t="n">
        <v>38.5</v>
      </c>
      <c r="K11" s="0" t="n">
        <v>0.88</v>
      </c>
      <c r="L11" s="0" t="n">
        <v>3712</v>
      </c>
      <c r="M11" s="0" t="n">
        <v>3080</v>
      </c>
      <c r="N11" s="0" t="n">
        <v>632</v>
      </c>
      <c r="O11" s="0" t="n">
        <v>132408</v>
      </c>
      <c r="P11" s="0" t="n">
        <v>217302</v>
      </c>
      <c r="Q11" s="0" t="n">
        <v>75179</v>
      </c>
      <c r="R11" s="0" t="n">
        <v>50704</v>
      </c>
      <c r="S11" s="0" t="n">
        <v>5352</v>
      </c>
      <c r="T11" s="0" t="n">
        <v>4499.26</v>
      </c>
      <c r="U11" s="0" t="n">
        <v>83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11242</v>
      </c>
      <c r="C12" s="0" t="n">
        <v>4787</v>
      </c>
      <c r="D12" s="0" t="n">
        <v>6455</v>
      </c>
      <c r="E12" s="0" t="n">
        <v>57.4</v>
      </c>
      <c r="F12" s="0" t="n">
        <v>5840</v>
      </c>
      <c r="G12" s="0" t="n">
        <v>51.9</v>
      </c>
      <c r="I12" s="0" t="n">
        <v>2153</v>
      </c>
      <c r="J12" s="0" t="n">
        <v>19.2</v>
      </c>
      <c r="K12" s="0" t="n">
        <v>0.46</v>
      </c>
      <c r="L12" s="0" t="n">
        <v>4956</v>
      </c>
      <c r="M12" s="0" t="n">
        <v>3252</v>
      </c>
      <c r="N12" s="0" t="n">
        <v>1704</v>
      </c>
      <c r="O12" s="0" t="n">
        <v>131587</v>
      </c>
      <c r="P12" s="0" t="n">
        <v>221648</v>
      </c>
      <c r="Q12" s="0" t="n">
        <v>80598</v>
      </c>
      <c r="R12" s="0" t="n">
        <v>57376</v>
      </c>
      <c r="S12" s="0" t="n">
        <v>10303</v>
      </c>
      <c r="T12" s="0" t="n">
        <v>4635.43</v>
      </c>
      <c r="U12" s="0" t="n">
        <v>74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9950</v>
      </c>
      <c r="C13" s="0" t="n">
        <v>3423</v>
      </c>
      <c r="D13" s="0" t="n">
        <v>6527</v>
      </c>
      <c r="E13" s="0" t="n">
        <v>65.6</v>
      </c>
      <c r="F13" s="0" t="n">
        <v>5929</v>
      </c>
      <c r="G13" s="0" t="n">
        <v>59.6</v>
      </c>
      <c r="I13" s="0" t="n">
        <v>1806</v>
      </c>
      <c r="J13" s="0" t="n">
        <v>18.2</v>
      </c>
      <c r="K13" s="0" t="n">
        <v>0.37</v>
      </c>
      <c r="L13" s="0" t="n">
        <v>5864</v>
      </c>
      <c r="M13" s="0" t="n">
        <v>2356</v>
      </c>
      <c r="N13" s="0" t="n">
        <v>3508</v>
      </c>
      <c r="O13" s="0" t="n">
        <v>134729</v>
      </c>
      <c r="P13" s="0" t="n">
        <v>222912</v>
      </c>
      <c r="Q13" s="0" t="n">
        <v>78446</v>
      </c>
      <c r="R13" s="0" t="n">
        <v>53589</v>
      </c>
      <c r="S13" s="0" t="n">
        <v>6335</v>
      </c>
      <c r="T13" s="0" t="n">
        <v>4918.62</v>
      </c>
      <c r="U13" s="0" t="n">
        <v>54</v>
      </c>
      <c r="AA13" s="0" t="s">
        <v>17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6.615</v>
      </c>
    </row>
    <row r="3" customFormat="false" ht="15" hidden="false" customHeight="false" outlineLevel="0" collapsed="false">
      <c r="A3" s="0" t="s">
        <v>78</v>
      </c>
      <c r="B3" s="3" t="n">
        <v>5205</v>
      </c>
    </row>
    <row r="4" customFormat="false" ht="15" hidden="false" customHeight="false" outlineLevel="0" collapsed="false">
      <c r="A4" s="0" t="s">
        <v>79</v>
      </c>
      <c r="B4" s="3" t="n">
        <v>0</v>
      </c>
    </row>
    <row r="5" customFormat="false" ht="15" hidden="false" customHeight="false" outlineLevel="0" collapsed="false">
      <c r="A5" s="0" t="s">
        <v>80</v>
      </c>
      <c r="B5" s="3" t="n">
        <v>7790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9686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2</v>
      </c>
      <c r="D13" s="3" t="n">
        <v>1</v>
      </c>
      <c r="E13" s="3" t="n">
        <v>0</v>
      </c>
      <c r="F13" s="3" t="n">
        <v>0</v>
      </c>
      <c r="G13" s="3" t="n">
        <v>1</v>
      </c>
      <c r="H13" s="3" t="n">
        <v>1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99</v>
      </c>
      <c r="C14" s="3" t="n">
        <v>25.5</v>
      </c>
      <c r="D14" s="3" t="n">
        <v>25</v>
      </c>
      <c r="E14" s="3" t="n">
        <v>24.5</v>
      </c>
      <c r="F14" s="3" t="n">
        <v>24.5</v>
      </c>
      <c r="G14" s="3" t="n">
        <v>24.5</v>
      </c>
      <c r="H14" s="3" t="n">
        <v>24.5</v>
      </c>
      <c r="I14" s="3" t="n">
        <v>24.5</v>
      </c>
      <c r="J14" s="3" t="n">
        <v>24.5</v>
      </c>
      <c r="K14" s="3" t="n">
        <v>24.5</v>
      </c>
      <c r="L14" s="3" t="n">
        <v>24.5</v>
      </c>
    </row>
    <row r="15" customFormat="false" ht="15" hidden="false" customHeight="false" outlineLevel="0" collapsed="false">
      <c r="A15" s="0" t="s">
        <v>100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103</v>
      </c>
      <c r="C18" s="3" t="n">
        <v>19</v>
      </c>
      <c r="D18" s="3" t="n">
        <v>14</v>
      </c>
      <c r="E18" s="3" t="n">
        <v>9</v>
      </c>
      <c r="F18" s="3" t="n">
        <v>6</v>
      </c>
      <c r="G18" s="3" t="n">
        <v>6</v>
      </c>
      <c r="H18" s="3" t="n">
        <v>6</v>
      </c>
      <c r="I18" s="3" t="n">
        <v>6</v>
      </c>
      <c r="J18" s="3" t="n">
        <v>6</v>
      </c>
      <c r="K18" s="3" t="n">
        <v>6</v>
      </c>
      <c r="L18" s="3" t="n">
        <v>6</v>
      </c>
    </row>
    <row r="19" customFormat="false" ht="15" hidden="false" customHeight="false" outlineLevel="0" collapsed="false">
      <c r="A19" s="0" t="s">
        <v>104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105</v>
      </c>
      <c r="B20" s="3" t="n">
        <v>10.5</v>
      </c>
    </row>
    <row r="21" customFormat="false" ht="15" hidden="false" customHeight="false" outlineLevel="0" collapsed="false">
      <c r="A21" s="0" t="s">
        <v>106</v>
      </c>
      <c r="B21" s="3" t="n">
        <v>1</v>
      </c>
    </row>
    <row r="22" customFormat="false" ht="15" hidden="false" customHeight="false" outlineLevel="0" collapsed="false">
      <c r="A22" s="0" t="s">
        <v>107</v>
      </c>
      <c r="B22" s="3" t="n">
        <v>10</v>
      </c>
    </row>
    <row r="23" customFormat="false" ht="15" hidden="false" customHeight="false" outlineLevel="0" collapsed="false">
      <c r="A23" s="0" t="s">
        <v>108</v>
      </c>
      <c r="B23" s="3" t="n">
        <v>0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6</v>
      </c>
      <c r="D27" s="3" t="n">
        <v>6</v>
      </c>
      <c r="E27" s="3" t="n">
        <v>4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26.5</v>
      </c>
      <c r="D28" s="3" t="n">
        <v>27</v>
      </c>
      <c r="E28" s="3" t="n">
        <v>28</v>
      </c>
      <c r="F28" s="3" t="n">
        <v>28.5</v>
      </c>
      <c r="G28" s="3" t="n">
        <v>29</v>
      </c>
      <c r="H28" s="3" t="n">
        <v>29.5</v>
      </c>
      <c r="I28" s="3" t="n">
        <v>30</v>
      </c>
      <c r="J28" s="3" t="n">
        <v>30</v>
      </c>
      <c r="K28" s="3" t="n">
        <v>30</v>
      </c>
      <c r="L28" s="3" t="n">
        <v>30</v>
      </c>
    </row>
    <row r="29" customFormat="false" ht="15" hidden="false" customHeight="false" outlineLevel="0" collapsed="false">
      <c r="A29" s="0" t="s">
        <v>100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103</v>
      </c>
      <c r="C32" s="3" t="n">
        <v>18</v>
      </c>
      <c r="D32" s="3" t="n">
        <v>13</v>
      </c>
      <c r="E32" s="3" t="n">
        <v>8</v>
      </c>
      <c r="F32" s="3" t="n">
        <v>5.5</v>
      </c>
      <c r="G32" s="3" t="n">
        <v>5.5</v>
      </c>
      <c r="H32" s="3" t="n">
        <v>5.5</v>
      </c>
      <c r="I32" s="3" t="n">
        <v>5.5</v>
      </c>
      <c r="J32" s="3" t="n">
        <v>5.5</v>
      </c>
      <c r="K32" s="3" t="n">
        <v>5.5</v>
      </c>
      <c r="L32" s="3" t="n">
        <v>5.5</v>
      </c>
    </row>
    <row r="33" customFormat="false" ht="15" hidden="false" customHeight="false" outlineLevel="0" collapsed="false">
      <c r="A33" s="0" t="s">
        <v>104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105</v>
      </c>
      <c r="B34" s="3" t="n">
        <v>10.5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12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8</v>
      </c>
      <c r="D41" s="3" t="n">
        <v>8</v>
      </c>
      <c r="E41" s="3" t="n">
        <v>6</v>
      </c>
      <c r="F41" s="3" t="n">
        <v>5</v>
      </c>
      <c r="G41" s="3" t="n">
        <v>4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27.5</v>
      </c>
      <c r="D42" s="3" t="n">
        <v>28.5</v>
      </c>
      <c r="E42" s="3" t="n">
        <v>29.5</v>
      </c>
      <c r="F42" s="3" t="n">
        <v>30.5</v>
      </c>
      <c r="G42" s="3" t="n">
        <v>31.5</v>
      </c>
      <c r="H42" s="3" t="n">
        <v>32</v>
      </c>
      <c r="I42" s="3" t="n">
        <v>32.5</v>
      </c>
      <c r="J42" s="3" t="n">
        <v>32.5</v>
      </c>
      <c r="K42" s="3" t="n">
        <v>32.5</v>
      </c>
      <c r="L42" s="3" t="n">
        <v>32.5</v>
      </c>
    </row>
    <row r="43" customFormat="false" ht="15" hidden="false" customHeight="false" outlineLevel="0" collapsed="false">
      <c r="A43" s="0" t="s">
        <v>100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103</v>
      </c>
      <c r="C46" s="3" t="n">
        <v>17</v>
      </c>
      <c r="D46" s="3" t="n">
        <v>12</v>
      </c>
      <c r="E46" s="3" t="n">
        <v>7</v>
      </c>
      <c r="F46" s="3" t="n">
        <v>5</v>
      </c>
      <c r="G46" s="3" t="n">
        <v>5</v>
      </c>
      <c r="H46" s="3" t="n">
        <v>5</v>
      </c>
      <c r="I46" s="3" t="n">
        <v>5</v>
      </c>
      <c r="J46" s="3" t="n">
        <v>5</v>
      </c>
      <c r="K46" s="3" t="n">
        <v>5</v>
      </c>
      <c r="L46" s="3" t="n">
        <v>5</v>
      </c>
    </row>
    <row r="47" customFormat="false" ht="15" hidden="false" customHeight="false" outlineLevel="0" collapsed="false">
      <c r="A47" s="0" t="s">
        <v>104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105</v>
      </c>
      <c r="B48" s="3" t="n">
        <v>10.5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13</v>
      </c>
    </row>
    <row r="51" customFormat="false" ht="15" hidden="false" customHeight="false" outlineLevel="0" collapsed="false">
      <c r="A51" s="0" t="s">
        <v>108</v>
      </c>
      <c r="B51" s="3" t="n">
        <v>0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2</v>
      </c>
      <c r="D5" s="4" t="n">
        <f aca="false">Assumptions!D13</f>
        <v>1</v>
      </c>
      <c r="E5" s="4" t="n">
        <f aca="false">Assumptions!E13</f>
        <v>0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9686</v>
      </c>
      <c r="C6" s="0" t="n">
        <f aca="false">B6*(1+C5/100)</f>
        <v>9879.72</v>
      </c>
      <c r="D6" s="0" t="n">
        <f aca="false">C6*(1+D5/100)</f>
        <v>9978.5172</v>
      </c>
      <c r="E6" s="0" t="n">
        <f aca="false">D6*(1+E5/100)</f>
        <v>9978.5172</v>
      </c>
      <c r="F6" s="0" t="n">
        <f aca="false">E6*(1+F5/100)</f>
        <v>9978.5172</v>
      </c>
      <c r="G6" s="0" t="n">
        <f aca="false">F6*(1+G5/100)</f>
        <v>10078.302372</v>
      </c>
      <c r="H6" s="0" t="n">
        <f aca="false">G6*(1+H5/100)</f>
        <v>10179.08539572</v>
      </c>
      <c r="I6" s="0" t="n">
        <f aca="false">H6*(1+I5/100)</f>
        <v>10331.7716766558</v>
      </c>
      <c r="J6" s="0" t="n">
        <f aca="false">I6*(1+J5/100)</f>
        <v>10486.7482518056</v>
      </c>
      <c r="K6" s="0" t="n">
        <f aca="false">J6*(1+K5/100)</f>
        <v>10644.0494755827</v>
      </c>
      <c r="L6" s="0" t="n">
        <f aca="false">K6*(1+L5/100)</f>
        <v>10803.7102177165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25.5</v>
      </c>
      <c r="D7" s="4" t="n">
        <f aca="false">Assumptions!D14</f>
        <v>25</v>
      </c>
      <c r="E7" s="4" t="n">
        <f aca="false">Assumptions!E14</f>
        <v>24.5</v>
      </c>
      <c r="F7" s="4" t="n">
        <f aca="false">Assumptions!F14</f>
        <v>24.5</v>
      </c>
      <c r="G7" s="4" t="n">
        <f aca="false">Assumptions!G14</f>
        <v>24.5</v>
      </c>
      <c r="H7" s="4" t="n">
        <f aca="false">Assumptions!H14</f>
        <v>24.5</v>
      </c>
      <c r="I7" s="4" t="n">
        <f aca="false">Assumptions!I14</f>
        <v>24.5</v>
      </c>
      <c r="J7" s="4" t="n">
        <f aca="false">Assumptions!J14</f>
        <v>24.5</v>
      </c>
      <c r="K7" s="4" t="n">
        <f aca="false">Assumptions!K14</f>
        <v>24.5</v>
      </c>
      <c r="L7" s="4" t="n">
        <f aca="false">Assumptions!L14</f>
        <v>24.5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2519.3286</v>
      </c>
      <c r="D8" s="0" t="n">
        <f aca="false">D6*D7/100</f>
        <v>2494.6293</v>
      </c>
      <c r="E8" s="0" t="n">
        <f aca="false">E6*E7/100</f>
        <v>2444.736714</v>
      </c>
      <c r="F8" s="0" t="n">
        <f aca="false">F6*F7/100</f>
        <v>2444.736714</v>
      </c>
      <c r="G8" s="0" t="n">
        <f aca="false">G6*G7/100</f>
        <v>2469.18408114</v>
      </c>
      <c r="H8" s="0" t="n">
        <f aca="false">H6*H7/100</f>
        <v>2493.8759219514</v>
      </c>
      <c r="I8" s="0" t="n">
        <f aca="false">I6*I7/100</f>
        <v>2531.28406078067</v>
      </c>
      <c r="J8" s="0" t="n">
        <f aca="false">J6*J7/100</f>
        <v>2569.25332169238</v>
      </c>
      <c r="K8" s="0" t="n">
        <f aca="false">K6*K7/100</f>
        <v>2607.79212151777</v>
      </c>
      <c r="L8" s="0" t="n">
        <f aca="false">L6*L7/100</f>
        <v>2646.90900334053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-49.3986</v>
      </c>
      <c r="D10" s="0" t="n">
        <f aca="false">-D6*D9/100</f>
        <v>-49.892586</v>
      </c>
      <c r="E10" s="0" t="n">
        <f aca="false">-E6*E9/100</f>
        <v>-49.892586</v>
      </c>
      <c r="F10" s="0" t="n">
        <f aca="false">-F6*F9/100</f>
        <v>-49.892586</v>
      </c>
      <c r="G10" s="0" t="n">
        <f aca="false">-G6*G9/100</f>
        <v>-50.39151186</v>
      </c>
      <c r="H10" s="0" t="n">
        <f aca="false">-H6*H9/100</f>
        <v>-50.8954269786</v>
      </c>
      <c r="I10" s="0" t="n">
        <f aca="false">-I6*I9/100</f>
        <v>-51.658858383279</v>
      </c>
      <c r="J10" s="0" t="n">
        <f aca="false">-J6*J9/100</f>
        <v>-52.4337412590282</v>
      </c>
      <c r="K10" s="0" t="n">
        <f aca="false">-K6*K9/100</f>
        <v>-53.2202473779136</v>
      </c>
      <c r="L10" s="0" t="n">
        <f aca="false">-L6*L9/100</f>
        <v>-54.0185510885823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2469.93</v>
      </c>
      <c r="D11" s="0" t="n">
        <f aca="false">D8+D10+D24</f>
        <v>2444.736714</v>
      </c>
      <c r="E11" s="0" t="n">
        <f aca="false">E8+E10+E24</f>
        <v>2394.844128</v>
      </c>
      <c r="F11" s="0" t="n">
        <f aca="false">F8+F10+F24</f>
        <v>2394.844128</v>
      </c>
      <c r="G11" s="0" t="n">
        <f aca="false">G8+G10+G24</f>
        <v>2418.79256928</v>
      </c>
      <c r="H11" s="0" t="n">
        <f aca="false">H8+H10+H24</f>
        <v>2442.9804949728</v>
      </c>
      <c r="I11" s="0" t="n">
        <f aca="false">I8+I10+I24</f>
        <v>2479.62520239739</v>
      </c>
      <c r="J11" s="0" t="n">
        <f aca="false">J8+J10+J24</f>
        <v>2516.81958043335</v>
      </c>
      <c r="K11" s="0" t="n">
        <f aca="false">K8+K10+K24</f>
        <v>2554.57187413985</v>
      </c>
      <c r="L11" s="0" t="n">
        <f aca="false">L8+L10+L24</f>
        <v>2592.89045225195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2469.93</v>
      </c>
      <c r="D13" s="0" t="n">
        <f aca="false">D11+D12</f>
        <v>2444.736714</v>
      </c>
      <c r="E13" s="0" t="n">
        <f aca="false">E11+E12</f>
        <v>2394.844128</v>
      </c>
      <c r="F13" s="0" t="n">
        <f aca="false">F11+F12</f>
        <v>2394.844128</v>
      </c>
      <c r="G13" s="0" t="n">
        <f aca="false">G11+G12</f>
        <v>2418.79256928</v>
      </c>
      <c r="H13" s="0" t="n">
        <f aca="false">H11+H12</f>
        <v>2442.9804949728</v>
      </c>
      <c r="I13" s="0" t="n">
        <f aca="false">I11+I12</f>
        <v>2479.62520239739</v>
      </c>
      <c r="J13" s="0" t="n">
        <f aca="false">J11+J12</f>
        <v>2516.81958043335</v>
      </c>
      <c r="K13" s="0" t="n">
        <f aca="false">K11+K12</f>
        <v>2554.57187413985</v>
      </c>
      <c r="L13" s="0" t="n">
        <f aca="false">L11+L12</f>
        <v>2592.89045225195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2469.93</v>
      </c>
      <c r="D15" s="0" t="n">
        <f aca="false">D13-MAX(0,D13)*D14/100</f>
        <v>2444.736714</v>
      </c>
      <c r="E15" s="0" t="n">
        <f aca="false">E13-MAX(0,E13)*E14/100</f>
        <v>2394.844128</v>
      </c>
      <c r="F15" s="0" t="n">
        <f aca="false">F13-MAX(0,F13)*F14/100</f>
        <v>2394.844128</v>
      </c>
      <c r="G15" s="0" t="n">
        <f aca="false">G13-MAX(0,G13)*G14/100</f>
        <v>2418.79256928</v>
      </c>
      <c r="H15" s="0" t="n">
        <f aca="false">H13-MAX(0,H13)*H14/100</f>
        <v>2442.9804949728</v>
      </c>
      <c r="I15" s="0" t="n">
        <f aca="false">I13-MAX(0,I13)*I14/100</f>
        <v>2479.62520239739</v>
      </c>
      <c r="J15" s="0" t="n">
        <f aca="false">J13-MAX(0,J13)*J14/100</f>
        <v>2516.81958043335</v>
      </c>
      <c r="K15" s="0" t="n">
        <f aca="false">K13-MAX(0,K13)*K14/100</f>
        <v>2554.57187413985</v>
      </c>
      <c r="L15" s="0" t="n">
        <f aca="false">L13-MAX(0,L13)*L14/100</f>
        <v>2592.89045225195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-1877.1468</v>
      </c>
      <c r="D17" s="4" t="n">
        <f aca="false">-D6*Assumptions!D18/100</f>
        <v>-1396.992408</v>
      </c>
      <c r="E17" s="4" t="n">
        <f aca="false">-E6*Assumptions!E18/100</f>
        <v>-898.066548</v>
      </c>
      <c r="F17" s="4" t="n">
        <f aca="false">-F6*Assumptions!F18/100</f>
        <v>-598.711032</v>
      </c>
      <c r="G17" s="4" t="n">
        <f aca="false">-G6*Assumptions!G18/100</f>
        <v>-604.69814232</v>
      </c>
      <c r="H17" s="4" t="n">
        <f aca="false">-H6*Assumptions!H18/100</f>
        <v>-610.7451237432</v>
      </c>
      <c r="I17" s="4" t="n">
        <f aca="false">-I6*Assumptions!I18/100</f>
        <v>-619.906300599348</v>
      </c>
      <c r="J17" s="4" t="n">
        <f aca="false">-J6*Assumptions!J18/100</f>
        <v>-629.204895108338</v>
      </c>
      <c r="K17" s="4" t="n">
        <f aca="false">-K6*Assumptions!K18/100</f>
        <v>-638.642968534963</v>
      </c>
      <c r="L17" s="4" t="n">
        <f aca="false">-L6*Assumptions!L18/100</f>
        <v>-648.222613062988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592.7832</v>
      </c>
      <c r="D19" s="0" t="n">
        <f aca="false">D15+D16+D17+D18</f>
        <v>1047.744306</v>
      </c>
      <c r="E19" s="0" t="n">
        <f aca="false">E15+E16+E17+E18</f>
        <v>1496.77758</v>
      </c>
      <c r="F19" s="0" t="n">
        <f aca="false">F15+F16+F17+F18</f>
        <v>1796.133096</v>
      </c>
      <c r="G19" s="0" t="n">
        <f aca="false">G15+G16+G17+G18</f>
        <v>1814.09442696</v>
      </c>
      <c r="H19" s="0" t="n">
        <f aca="false">H15+H16+H17+H18</f>
        <v>1832.2353712296</v>
      </c>
      <c r="I19" s="0" t="n">
        <f aca="false">I15+I16+I17+I18</f>
        <v>1859.71890179804</v>
      </c>
      <c r="J19" s="0" t="n">
        <f aca="false">J15+J16+J17+J18</f>
        <v>1887.61468532501</v>
      </c>
      <c r="K19" s="0" t="n">
        <f aca="false">K15+K16+K17+K18</f>
        <v>1915.92890560489</v>
      </c>
      <c r="L19" s="0" t="n">
        <f aca="false">L15+L16+L17+L18</f>
        <v>1944.66783918896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536.455384615384</v>
      </c>
      <c r="D21" s="0" t="n">
        <f aca="false">D19*D20</f>
        <v>858.085875391577</v>
      </c>
      <c r="E21" s="0" t="n">
        <f aca="false">E19*E20</f>
        <v>1109.35471931684</v>
      </c>
      <c r="F21" s="0" t="n">
        <f aca="false">F19*F20</f>
        <v>1204.72910695042</v>
      </c>
      <c r="G21" s="0" t="n">
        <f aca="false">G19*G20</f>
        <v>1101.15511133024</v>
      </c>
      <c r="H21" s="0" t="n">
        <f aca="false">H19*H20</f>
        <v>1006.48566736973</v>
      </c>
      <c r="I21" s="0" t="n">
        <f aca="false">I19*I20</f>
        <v>924.509459167667</v>
      </c>
      <c r="J21" s="0" t="n">
        <f aca="false">J19*J20</f>
        <v>849.210046203784</v>
      </c>
      <c r="K21" s="0" t="n">
        <f aca="false">K19*K20</f>
        <v>780.043617101213</v>
      </c>
      <c r="L21" s="0" t="n">
        <f aca="false">L19*L20</f>
        <v>716.510652812427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9086.53964025928</v>
      </c>
    </row>
    <row r="31" customFormat="false" ht="15" hidden="false" customHeight="false" outlineLevel="0" collapsed="false">
      <c r="A31" s="0" t="s">
        <v>129</v>
      </c>
      <c r="B31" s="0" t="n">
        <f aca="false">L19</f>
        <v>1944.66783918896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20674.8896587458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19446.6783918896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19446.6783918896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7165.10652812427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16251.6461683835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24041.6461683835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4.61895219373363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-0.301745700115853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305.395550993777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211.601099222383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4.71827911980782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14029.3894112918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3.57583704925926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6</v>
      </c>
      <c r="D5" s="4" t="n">
        <f aca="false">Assumptions!D27</f>
        <v>6</v>
      </c>
      <c r="E5" s="4" t="n">
        <f aca="false">Assumptions!E27</f>
        <v>4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9686</v>
      </c>
      <c r="C6" s="0" t="n">
        <f aca="false">B6*(1+C5/100)</f>
        <v>10267.16</v>
      </c>
      <c r="D6" s="0" t="n">
        <f aca="false">C6*(1+D5/100)</f>
        <v>10883.1896</v>
      </c>
      <c r="E6" s="0" t="n">
        <f aca="false">D6*(1+E5/100)</f>
        <v>11318.517184</v>
      </c>
      <c r="F6" s="0" t="n">
        <f aca="false">E6*(1+F5/100)</f>
        <v>11658.07269952</v>
      </c>
      <c r="G6" s="0" t="n">
        <f aca="false">F6*(1+G5/100)</f>
        <v>12007.8148805056</v>
      </c>
      <c r="H6" s="0" t="n">
        <f aca="false">G6*(1+H5/100)</f>
        <v>12368.0493269208</v>
      </c>
      <c r="I6" s="0" t="n">
        <f aca="false">H6*(1+I5/100)</f>
        <v>12677.2505600938</v>
      </c>
      <c r="J6" s="0" t="n">
        <f aca="false">I6*(1+J5/100)</f>
        <v>12994.1818240961</v>
      </c>
      <c r="K6" s="0" t="n">
        <f aca="false">J6*(1+K5/100)</f>
        <v>13319.0363696985</v>
      </c>
      <c r="L6" s="0" t="n">
        <f aca="false">K6*(1+L5/100)</f>
        <v>13652.012278941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26.5</v>
      </c>
      <c r="D7" s="4" t="n">
        <f aca="false">Assumptions!D28</f>
        <v>27</v>
      </c>
      <c r="E7" s="4" t="n">
        <f aca="false">Assumptions!E28</f>
        <v>28</v>
      </c>
      <c r="F7" s="4" t="n">
        <f aca="false">Assumptions!F28</f>
        <v>28.5</v>
      </c>
      <c r="G7" s="4" t="n">
        <f aca="false">Assumptions!G28</f>
        <v>29</v>
      </c>
      <c r="H7" s="4" t="n">
        <f aca="false">Assumptions!H28</f>
        <v>29.5</v>
      </c>
      <c r="I7" s="4" t="n">
        <f aca="false">Assumptions!I28</f>
        <v>30</v>
      </c>
      <c r="J7" s="4" t="n">
        <f aca="false">Assumptions!J28</f>
        <v>30</v>
      </c>
      <c r="K7" s="4" t="n">
        <f aca="false">Assumptions!K28</f>
        <v>30</v>
      </c>
      <c r="L7" s="4" t="n">
        <f aca="false">Assumptions!L28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2720.7974</v>
      </c>
      <c r="D8" s="0" t="n">
        <f aca="false">D6*D7/100</f>
        <v>2938.461192</v>
      </c>
      <c r="E8" s="0" t="n">
        <f aca="false">E6*E7/100</f>
        <v>3169.18481152</v>
      </c>
      <c r="F8" s="0" t="n">
        <f aca="false">F6*F7/100</f>
        <v>3322.5507193632</v>
      </c>
      <c r="G8" s="0" t="n">
        <f aca="false">G6*G7/100</f>
        <v>3482.26631534662</v>
      </c>
      <c r="H8" s="0" t="n">
        <f aca="false">H6*H7/100</f>
        <v>3648.57455144163</v>
      </c>
      <c r="I8" s="0" t="n">
        <f aca="false">I6*I7/100</f>
        <v>3803.17516802814</v>
      </c>
      <c r="J8" s="0" t="n">
        <f aca="false">J6*J7/100</f>
        <v>3898.25454722884</v>
      </c>
      <c r="K8" s="0" t="n">
        <f aca="false">K6*K7/100</f>
        <v>3995.71091090956</v>
      </c>
      <c r="L8" s="0" t="n">
        <f aca="false">L6*L7/100</f>
        <v>4095.6036836823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-51.3358</v>
      </c>
      <c r="D10" s="0" t="n">
        <f aca="false">-D6*D9/100</f>
        <v>-54.415948</v>
      </c>
      <c r="E10" s="0" t="n">
        <f aca="false">-E6*E9/100</f>
        <v>-56.59258592</v>
      </c>
      <c r="F10" s="0" t="n">
        <f aca="false">-F6*F9/100</f>
        <v>-58.2903634976</v>
      </c>
      <c r="G10" s="0" t="n">
        <f aca="false">-G6*G9/100</f>
        <v>-60.039074402528</v>
      </c>
      <c r="H10" s="0" t="n">
        <f aca="false">-H6*H9/100</f>
        <v>-61.8402466346038</v>
      </c>
      <c r="I10" s="0" t="n">
        <f aca="false">-I6*I9/100</f>
        <v>-63.3862528004689</v>
      </c>
      <c r="J10" s="0" t="n">
        <f aca="false">-J6*J9/100</f>
        <v>-64.9709091204807</v>
      </c>
      <c r="K10" s="0" t="n">
        <f aca="false">-K6*K9/100</f>
        <v>-66.5951818484927</v>
      </c>
      <c r="L10" s="0" t="n">
        <f aca="false">-L6*L9/100</f>
        <v>-68.260061394705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2669.4616</v>
      </c>
      <c r="D11" s="0" t="n">
        <f aca="false">D8+D10+D24</f>
        <v>2884.045244</v>
      </c>
      <c r="E11" s="0" t="n">
        <f aca="false">E8+E10+E24</f>
        <v>3112.5922256</v>
      </c>
      <c r="F11" s="0" t="n">
        <f aca="false">F8+F10+F24</f>
        <v>3264.2603558656</v>
      </c>
      <c r="G11" s="0" t="n">
        <f aca="false">G8+G10+G24</f>
        <v>3422.2272409441</v>
      </c>
      <c r="H11" s="0" t="n">
        <f aca="false">H8+H10+H24</f>
        <v>3586.73430480702</v>
      </c>
      <c r="I11" s="0" t="n">
        <f aca="false">I8+I10+I24</f>
        <v>3739.78891522767</v>
      </c>
      <c r="J11" s="0" t="n">
        <f aca="false">J8+J10+J24</f>
        <v>3833.28363810836</v>
      </c>
      <c r="K11" s="0" t="n">
        <f aca="false">K8+K10+K24</f>
        <v>3929.11572906107</v>
      </c>
      <c r="L11" s="0" t="n">
        <f aca="false">L8+L10+L24</f>
        <v>4027.34362228759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2669.4616</v>
      </c>
      <c r="D13" s="0" t="n">
        <f aca="false">D11+D12</f>
        <v>2884.045244</v>
      </c>
      <c r="E13" s="0" t="n">
        <f aca="false">E11+E12</f>
        <v>3112.5922256</v>
      </c>
      <c r="F13" s="0" t="n">
        <f aca="false">F11+F12</f>
        <v>3264.2603558656</v>
      </c>
      <c r="G13" s="0" t="n">
        <f aca="false">G11+G12</f>
        <v>3422.2272409441</v>
      </c>
      <c r="H13" s="0" t="n">
        <f aca="false">H11+H12</f>
        <v>3586.73430480702</v>
      </c>
      <c r="I13" s="0" t="n">
        <f aca="false">I11+I12</f>
        <v>3739.78891522767</v>
      </c>
      <c r="J13" s="0" t="n">
        <f aca="false">J11+J12</f>
        <v>3833.28363810836</v>
      </c>
      <c r="K13" s="0" t="n">
        <f aca="false">K11+K12</f>
        <v>3929.11572906107</v>
      </c>
      <c r="L13" s="0" t="n">
        <f aca="false">L11+L12</f>
        <v>4027.34362228759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2669.4616</v>
      </c>
      <c r="D15" s="0" t="n">
        <f aca="false">D13-MAX(0,D13)*D14/100</f>
        <v>2884.045244</v>
      </c>
      <c r="E15" s="0" t="n">
        <f aca="false">E13-MAX(0,E13)*E14/100</f>
        <v>3112.5922256</v>
      </c>
      <c r="F15" s="0" t="n">
        <f aca="false">F13-MAX(0,F13)*F14/100</f>
        <v>3264.2603558656</v>
      </c>
      <c r="G15" s="0" t="n">
        <f aca="false">G13-MAX(0,G13)*G14/100</f>
        <v>3422.2272409441</v>
      </c>
      <c r="H15" s="0" t="n">
        <f aca="false">H13-MAX(0,H13)*H14/100</f>
        <v>3586.73430480702</v>
      </c>
      <c r="I15" s="0" t="n">
        <f aca="false">I13-MAX(0,I13)*I14/100</f>
        <v>3739.78891522767</v>
      </c>
      <c r="J15" s="0" t="n">
        <f aca="false">J13-MAX(0,J13)*J14/100</f>
        <v>3833.28363810836</v>
      </c>
      <c r="K15" s="0" t="n">
        <f aca="false">K13-MAX(0,K13)*K14/100</f>
        <v>3929.11572906107</v>
      </c>
      <c r="L15" s="0" t="n">
        <f aca="false">L13-MAX(0,L13)*L14/100</f>
        <v>4027.34362228759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-1848.0888</v>
      </c>
      <c r="D17" s="4" t="n">
        <f aca="false">-D6*Assumptions!D32/100</f>
        <v>-1414.814648</v>
      </c>
      <c r="E17" s="4" t="n">
        <f aca="false">-E6*Assumptions!E32/100</f>
        <v>-905.48137472</v>
      </c>
      <c r="F17" s="4" t="n">
        <f aca="false">-F6*Assumptions!F32/100</f>
        <v>-641.1939984736</v>
      </c>
      <c r="G17" s="4" t="n">
        <f aca="false">-G6*Assumptions!G32/100</f>
        <v>-660.429818427808</v>
      </c>
      <c r="H17" s="4" t="n">
        <f aca="false">-H6*Assumptions!H32/100</f>
        <v>-680.242712980642</v>
      </c>
      <c r="I17" s="4" t="n">
        <f aca="false">-I6*Assumptions!I32/100</f>
        <v>-697.248780805158</v>
      </c>
      <c r="J17" s="4" t="n">
        <f aca="false">-J6*Assumptions!J32/100</f>
        <v>-714.680000325287</v>
      </c>
      <c r="K17" s="4" t="n">
        <f aca="false">-K6*Assumptions!K32/100</f>
        <v>-732.547000333419</v>
      </c>
      <c r="L17" s="4" t="n">
        <f aca="false">-L6*Assumptions!L32/100</f>
        <v>-750.860675341755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821.3728</v>
      </c>
      <c r="D19" s="0" t="n">
        <f aca="false">D15+D16+D17+D18</f>
        <v>1469.230596</v>
      </c>
      <c r="E19" s="0" t="n">
        <f aca="false">E15+E16+E17+E18</f>
        <v>2207.11085088</v>
      </c>
      <c r="F19" s="0" t="n">
        <f aca="false">F15+F16+F17+F18</f>
        <v>2623.066357392</v>
      </c>
      <c r="G19" s="0" t="n">
        <f aca="false">G15+G16+G17+G18</f>
        <v>2761.79742251629</v>
      </c>
      <c r="H19" s="0" t="n">
        <f aca="false">H15+H16+H17+H18</f>
        <v>2906.49159182638</v>
      </c>
      <c r="I19" s="0" t="n">
        <f aca="false">I15+I16+I17+I18</f>
        <v>3042.54013442251</v>
      </c>
      <c r="J19" s="0" t="n">
        <f aca="false">J15+J16+J17+J18</f>
        <v>3118.60363778307</v>
      </c>
      <c r="K19" s="0" t="n">
        <f aca="false">K15+K16+K17+K18</f>
        <v>3196.56872872765</v>
      </c>
      <c r="L19" s="0" t="n">
        <f aca="false">L15+L16+L17+L18</f>
        <v>3276.48294694584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743.323800904978</v>
      </c>
      <c r="D21" s="0" t="n">
        <f aca="false">D19*D20</f>
        <v>1203.27642431564</v>
      </c>
      <c r="E21" s="0" t="n">
        <f aca="false">E19*E20</f>
        <v>1635.82677292583</v>
      </c>
      <c r="F21" s="0" t="n">
        <f aca="false">F19*F20</f>
        <v>1759.38208435114</v>
      </c>
      <c r="G21" s="0" t="n">
        <f aca="false">G19*G20</f>
        <v>1676.4107221027</v>
      </c>
      <c r="H21" s="0" t="n">
        <f aca="false">H19*H20</f>
        <v>1596.59734520936</v>
      </c>
      <c r="I21" s="0" t="n">
        <f aca="false">I19*I20</f>
        <v>1512.5173656359</v>
      </c>
      <c r="J21" s="0" t="n">
        <f aca="false">J19*J20</f>
        <v>1403.01384595186</v>
      </c>
      <c r="K21" s="0" t="n">
        <f aca="false">K19*K20</f>
        <v>1301.43818289652</v>
      </c>
      <c r="L21" s="0" t="n">
        <f aca="false">L19*L20</f>
        <v>1207.21641399903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14039.002958293</v>
      </c>
    </row>
    <row r="31" customFormat="false" ht="15" hidden="false" customHeight="false" outlineLevel="0" collapsed="false">
      <c r="A31" s="0" t="s">
        <v>129</v>
      </c>
      <c r="B31" s="0" t="n">
        <f aca="false">L19</f>
        <v>3276.48294694584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39317.7953633501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39317.7953633501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39317.7953633501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14486.5969679884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28525.5999262814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36315.5999262814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6.97706050456895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0.0547332584382381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355.482925572026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301.804103499758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7.10334043330512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25707.7892760366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4.88611262884046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8</v>
      </c>
      <c r="D5" s="4" t="n">
        <f aca="false">Assumptions!D41</f>
        <v>8</v>
      </c>
      <c r="E5" s="4" t="n">
        <f aca="false">Assumptions!E41</f>
        <v>6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9686</v>
      </c>
      <c r="C6" s="0" t="n">
        <f aca="false">B6*(1+C5/100)</f>
        <v>10460.88</v>
      </c>
      <c r="D6" s="0" t="n">
        <f aca="false">C6*(1+D5/100)</f>
        <v>11297.7504</v>
      </c>
      <c r="E6" s="0" t="n">
        <f aca="false">D6*(1+E5/100)</f>
        <v>11975.615424</v>
      </c>
      <c r="F6" s="0" t="n">
        <f aca="false">E6*(1+F5/100)</f>
        <v>12574.3961952</v>
      </c>
      <c r="G6" s="0" t="n">
        <f aca="false">F6*(1+G5/100)</f>
        <v>13077.372043008</v>
      </c>
      <c r="H6" s="0" t="n">
        <f aca="false">G6*(1+H5/100)</f>
        <v>13600.4669247283</v>
      </c>
      <c r="I6" s="0" t="n">
        <f aca="false">H6*(1+I5/100)</f>
        <v>14076.4832670938</v>
      </c>
      <c r="J6" s="0" t="n">
        <f aca="false">I6*(1+J5/100)</f>
        <v>14498.7777651066</v>
      </c>
      <c r="K6" s="0" t="n">
        <f aca="false">J6*(1+K5/100)</f>
        <v>14933.7410980598</v>
      </c>
      <c r="L6" s="0" t="n">
        <f aca="false">K6*(1+L5/100)</f>
        <v>15381.7533310016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27.5</v>
      </c>
      <c r="D7" s="4" t="n">
        <f aca="false">Assumptions!D42</f>
        <v>28.5</v>
      </c>
      <c r="E7" s="4" t="n">
        <f aca="false">Assumptions!E42</f>
        <v>29.5</v>
      </c>
      <c r="F7" s="4" t="n">
        <f aca="false">Assumptions!F42</f>
        <v>30.5</v>
      </c>
      <c r="G7" s="4" t="n">
        <f aca="false">Assumptions!G42</f>
        <v>31.5</v>
      </c>
      <c r="H7" s="4" t="n">
        <f aca="false">Assumptions!H42</f>
        <v>32</v>
      </c>
      <c r="I7" s="4" t="n">
        <f aca="false">Assumptions!I42</f>
        <v>32.5</v>
      </c>
      <c r="J7" s="4" t="n">
        <f aca="false">Assumptions!J42</f>
        <v>32.5</v>
      </c>
      <c r="K7" s="4" t="n">
        <f aca="false">Assumptions!K42</f>
        <v>32.5</v>
      </c>
      <c r="L7" s="4" t="n">
        <f aca="false">Assumptions!L42</f>
        <v>32.5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2876.742</v>
      </c>
      <c r="D8" s="0" t="n">
        <f aca="false">D6*D7/100</f>
        <v>3219.858864</v>
      </c>
      <c r="E8" s="0" t="n">
        <f aca="false">E6*E7/100</f>
        <v>3532.80655008</v>
      </c>
      <c r="F8" s="0" t="n">
        <f aca="false">F6*F7/100</f>
        <v>3835.190839536</v>
      </c>
      <c r="G8" s="0" t="n">
        <f aca="false">G6*G7/100</f>
        <v>4119.37219354752</v>
      </c>
      <c r="H8" s="0" t="n">
        <f aca="false">H6*H7/100</f>
        <v>4352.14941591306</v>
      </c>
      <c r="I8" s="0" t="n">
        <f aca="false">I6*I7/100</f>
        <v>4574.85706180549</v>
      </c>
      <c r="J8" s="0" t="n">
        <f aca="false">J6*J7/100</f>
        <v>4712.10277365966</v>
      </c>
      <c r="K8" s="0" t="n">
        <f aca="false">K6*K7/100</f>
        <v>4853.46585686944</v>
      </c>
      <c r="L8" s="0" t="n">
        <f aca="false">L6*L7/100</f>
        <v>4999.06983257553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-52.3044</v>
      </c>
      <c r="D10" s="0" t="n">
        <f aca="false">-D6*D9/100</f>
        <v>-56.488752</v>
      </c>
      <c r="E10" s="0" t="n">
        <f aca="false">-E6*E9/100</f>
        <v>-59.87807712</v>
      </c>
      <c r="F10" s="0" t="n">
        <f aca="false">-F6*F9/100</f>
        <v>-62.871980976</v>
      </c>
      <c r="G10" s="0" t="n">
        <f aca="false">-G6*G9/100</f>
        <v>-65.38686021504</v>
      </c>
      <c r="H10" s="0" t="n">
        <f aca="false">-H6*H9/100</f>
        <v>-68.0023346236416</v>
      </c>
      <c r="I10" s="0" t="n">
        <f aca="false">-I6*I9/100</f>
        <v>-70.3824163354691</v>
      </c>
      <c r="J10" s="0" t="n">
        <f aca="false">-J6*J9/100</f>
        <v>-72.4938888255332</v>
      </c>
      <c r="K10" s="0" t="n">
        <f aca="false">-K6*K9/100</f>
        <v>-74.6687054902992</v>
      </c>
      <c r="L10" s="0" t="n">
        <f aca="false">-L6*L9/100</f>
        <v>-76.9087666550081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2824.4376</v>
      </c>
      <c r="D11" s="0" t="n">
        <f aca="false">D8+D10+D24</f>
        <v>3163.370112</v>
      </c>
      <c r="E11" s="0" t="n">
        <f aca="false">E8+E10+E24</f>
        <v>3472.92847296</v>
      </c>
      <c r="F11" s="0" t="n">
        <f aca="false">F8+F10+F24</f>
        <v>3772.31885856</v>
      </c>
      <c r="G11" s="0" t="n">
        <f aca="false">G8+G10+G24</f>
        <v>4053.98533333248</v>
      </c>
      <c r="H11" s="0" t="n">
        <f aca="false">H8+H10+H24</f>
        <v>4284.14708128942</v>
      </c>
      <c r="I11" s="0" t="n">
        <f aca="false">I8+I10+I24</f>
        <v>4504.47464547002</v>
      </c>
      <c r="J11" s="0" t="n">
        <f aca="false">J8+J10+J24</f>
        <v>4639.60888483412</v>
      </c>
      <c r="K11" s="0" t="n">
        <f aca="false">K8+K10+K24</f>
        <v>4778.79715137914</v>
      </c>
      <c r="L11" s="0" t="n">
        <f aca="false">L8+L10+L24</f>
        <v>4922.16106592052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2824.4376</v>
      </c>
      <c r="D13" s="0" t="n">
        <f aca="false">D11+D12</f>
        <v>3163.370112</v>
      </c>
      <c r="E13" s="0" t="n">
        <f aca="false">E11+E12</f>
        <v>3472.92847296</v>
      </c>
      <c r="F13" s="0" t="n">
        <f aca="false">F11+F12</f>
        <v>3772.31885856</v>
      </c>
      <c r="G13" s="0" t="n">
        <f aca="false">G11+G12</f>
        <v>4053.98533333248</v>
      </c>
      <c r="H13" s="0" t="n">
        <f aca="false">H11+H12</f>
        <v>4284.14708128942</v>
      </c>
      <c r="I13" s="0" t="n">
        <f aca="false">I11+I12</f>
        <v>4504.47464547002</v>
      </c>
      <c r="J13" s="0" t="n">
        <f aca="false">J11+J12</f>
        <v>4639.60888483412</v>
      </c>
      <c r="K13" s="0" t="n">
        <f aca="false">K11+K12</f>
        <v>4778.79715137914</v>
      </c>
      <c r="L13" s="0" t="n">
        <f aca="false">L11+L12</f>
        <v>4922.16106592052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2824.4376</v>
      </c>
      <c r="D15" s="0" t="n">
        <f aca="false">D13-MAX(0,D13)*D14/100</f>
        <v>3163.370112</v>
      </c>
      <c r="E15" s="0" t="n">
        <f aca="false">E13-MAX(0,E13)*E14/100</f>
        <v>3472.92847296</v>
      </c>
      <c r="F15" s="0" t="n">
        <f aca="false">F13-MAX(0,F13)*F14/100</f>
        <v>3772.31885856</v>
      </c>
      <c r="G15" s="0" t="n">
        <f aca="false">G13-MAX(0,G13)*G14/100</f>
        <v>4053.98533333248</v>
      </c>
      <c r="H15" s="0" t="n">
        <f aca="false">H13-MAX(0,H13)*H14/100</f>
        <v>4284.14708128942</v>
      </c>
      <c r="I15" s="0" t="n">
        <f aca="false">I13-MAX(0,I13)*I14/100</f>
        <v>4504.47464547002</v>
      </c>
      <c r="J15" s="0" t="n">
        <f aca="false">J13-MAX(0,J13)*J14/100</f>
        <v>4639.60888483412</v>
      </c>
      <c r="K15" s="0" t="n">
        <f aca="false">K13-MAX(0,K13)*K14/100</f>
        <v>4778.79715137914</v>
      </c>
      <c r="L15" s="0" t="n">
        <f aca="false">L13-MAX(0,L13)*L14/100</f>
        <v>4922.16106592052</v>
      </c>
    </row>
    <row r="16" customFormat="false" ht="15" hidden="false" customHeight="false" outlineLevel="0" collapsed="false">
      <c r="A16" s="0" t="s">
        <v>120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-1778.3496</v>
      </c>
      <c r="D17" s="4" t="n">
        <f aca="false">-D6*Assumptions!D46/100</f>
        <v>-1355.730048</v>
      </c>
      <c r="E17" s="4" t="n">
        <f aca="false">-E6*Assumptions!E46/100</f>
        <v>-838.29307968</v>
      </c>
      <c r="F17" s="4" t="n">
        <f aca="false">-F6*Assumptions!F46/100</f>
        <v>-628.71980976</v>
      </c>
      <c r="G17" s="4" t="n">
        <f aca="false">-G6*Assumptions!G46/100</f>
        <v>-653.8686021504</v>
      </c>
      <c r="H17" s="4" t="n">
        <f aca="false">-H6*Assumptions!H46/100</f>
        <v>-680.023346236416</v>
      </c>
      <c r="I17" s="4" t="n">
        <f aca="false">-I6*Assumptions!I46/100</f>
        <v>-703.824163354691</v>
      </c>
      <c r="J17" s="4" t="n">
        <f aca="false">-J6*Assumptions!J46/100</f>
        <v>-724.938888255332</v>
      </c>
      <c r="K17" s="4" t="n">
        <f aca="false">-K6*Assumptions!K46/100</f>
        <v>-746.687054902992</v>
      </c>
      <c r="L17" s="4" t="n">
        <f aca="false">-L6*Assumptions!L46/100</f>
        <v>-769.087666550081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1046.088</v>
      </c>
      <c r="D19" s="0" t="n">
        <f aca="false">D15+D16+D17+D18</f>
        <v>1807.640064</v>
      </c>
      <c r="E19" s="0" t="n">
        <f aca="false">E15+E16+E17+E18</f>
        <v>2634.63539328</v>
      </c>
      <c r="F19" s="0" t="n">
        <f aca="false">F15+F16+F17+F18</f>
        <v>3143.5990488</v>
      </c>
      <c r="G19" s="0" t="n">
        <f aca="false">G15+G16+G17+G18</f>
        <v>3400.11673118208</v>
      </c>
      <c r="H19" s="0" t="n">
        <f aca="false">H15+H16+H17+H18</f>
        <v>3604.12373505301</v>
      </c>
      <c r="I19" s="0" t="n">
        <f aca="false">I15+I16+I17+I18</f>
        <v>3800.65048211533</v>
      </c>
      <c r="J19" s="0" t="n">
        <f aca="false">J15+J16+J17+J18</f>
        <v>3914.66999657879</v>
      </c>
      <c r="K19" s="0" t="n">
        <f aca="false">K15+K16+K17+K18</f>
        <v>4032.11009647615</v>
      </c>
      <c r="L19" s="0" t="n">
        <f aca="false">L15+L16+L17+L18</f>
        <v>4153.07339937044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946.685972850679</v>
      </c>
      <c r="D21" s="0" t="n">
        <f aca="false">D19*D20</f>
        <v>1480.42838107328</v>
      </c>
      <c r="E21" s="0" t="n">
        <f aca="false">E19*E20</f>
        <v>1952.69173340661</v>
      </c>
      <c r="F21" s="0" t="n">
        <f aca="false">F19*F20</f>
        <v>2108.52151385946</v>
      </c>
      <c r="G21" s="0" t="n">
        <f aca="false">G19*G20</f>
        <v>2063.87047003656</v>
      </c>
      <c r="H21" s="0" t="n">
        <f aca="false">H19*H20</f>
        <v>1979.82144636991</v>
      </c>
      <c r="I21" s="0" t="n">
        <f aca="false">I19*I20</f>
        <v>1889.39162704028</v>
      </c>
      <c r="J21" s="0" t="n">
        <f aca="false">J19*J20</f>
        <v>1761.15237633619</v>
      </c>
      <c r="K21" s="0" t="n">
        <f aca="false">K19*K20</f>
        <v>1641.6171471731</v>
      </c>
      <c r="L21" s="0" t="n">
        <f aca="false">L19*L20</f>
        <v>1530.19516885819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17354.3758370043</v>
      </c>
    </row>
    <row r="31" customFormat="false" ht="15" hidden="false" customHeight="false" outlineLevel="0" collapsed="false">
      <c r="A31" s="0" t="s">
        <v>129</v>
      </c>
      <c r="B31" s="0" t="n">
        <f aca="false">L19</f>
        <v>4153.07339937044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53211.2529294337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53989.9541918157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53211.2529294337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19605.6256009955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36960.0014379998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44750.0014379998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8.59750267780975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0.299698061649244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383.532343607664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363.067140759176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8.7409415797054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34055.2018748376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5.79134935702677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4.61895219373363</v>
      </c>
      <c r="C4" s="0" t="n">
        <f aca="false">B4/Assumptions!$B$2-1</f>
        <v>-0.301745700115853</v>
      </c>
      <c r="D4" s="4" t="n">
        <f aca="false">Assumptions!$B$24</f>
        <v>0.25</v>
      </c>
      <c r="E4" s="4" t="n">
        <f aca="false">DCF_Bear!$B$43</f>
        <v>4.71827911980782</v>
      </c>
      <c r="F4" s="4" t="n">
        <f aca="false">DCF_Bear!$B$47</f>
        <v>3.57583704925926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6.97706050456895</v>
      </c>
      <c r="C5" s="0" t="n">
        <f aca="false">B5/Assumptions!$B$2-1</f>
        <v>0.0547332584382381</v>
      </c>
      <c r="D5" s="4" t="n">
        <f aca="false">Assumptions!$B$38</f>
        <v>0.5</v>
      </c>
      <c r="E5" s="4" t="n">
        <f aca="false">DCF_Base!$B$43</f>
        <v>7.10334043330512</v>
      </c>
      <c r="F5" s="4" t="n">
        <f aca="false">DCF_Base!$B$47</f>
        <v>4.88611262884046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8.59750267780975</v>
      </c>
      <c r="C6" s="0" t="n">
        <f aca="false">B6/Assumptions!$B$2-1</f>
        <v>0.299698061649244</v>
      </c>
      <c r="D6" s="4" t="n">
        <f aca="false">Assumptions!$B$52</f>
        <v>0.25</v>
      </c>
      <c r="E6" s="4" t="n">
        <f aca="false">DCF_Bull!$B$43</f>
        <v>8.7409415797054</v>
      </c>
      <c r="F6" s="4" t="n">
        <f aca="false">DCF_Bull!$B$47</f>
        <v>5.79134935702677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6.79264397017032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6.91647539153086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0.0261524041228181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-143.456295840368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4.78485291599174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7.60121207745295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7.17579561054902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6.97706050456895</v>
      </c>
      <c r="C17" s="3" t="n">
        <v>10.5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6.63922383228392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6.06650036064604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4.88611262884046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7.82889205559064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7.82889205559064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7.82889205559064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7.82889205559064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7.82889205559064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7.35380126748198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7.38368446467252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7.38368446467252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7.38368446467252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7.38368446467252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6.65967715087083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6.8095526234505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6.97706050456895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6.97706050456895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6.97706050456895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6.10059546928745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6.21313214364457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6.33751478372348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6.4757177171445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6.6052442332207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5.64117887298977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5.72737623103706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5.82178286127932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5.92563015454582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6.04040874184037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2026-10-10T21:18:46Z</dcterms:created>
  <dc:creator>openpyxl</dc:creator>
  <dc:description/>
  <dc:language>en-NZ</dc:language>
  <cp:lastModifiedBy/>
  <dcterms:modified xsi:type="dcterms:W3CDTF">2026-10-10T21:18:46Z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