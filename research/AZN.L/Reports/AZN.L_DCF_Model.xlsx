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<sst xmlns="http://schemas.openxmlformats.org/spreadsheetml/2006/main" count="355" uniqueCount="165">
  <si>
    <t xml:space="preserve">Ticker</t>
  </si>
  <si>
    <t xml:space="preserve">AZN.L</t>
  </si>
  <si>
    <t xml:space="preserve">Company</t>
  </si>
  <si>
    <t xml:space="preserve">AstraZeneca PLC</t>
  </si>
  <si>
    <t xml:space="preserve">Valuation date</t>
  </si>
  <si>
    <t xml:space="preserve">2026-10-05</t>
  </si>
  <si>
    <t xml:space="preserve">Current price</t>
  </si>
  <si>
    <t xml:space="preserve">Price as of</t>
  </si>
  <si>
    <t xml:space="preserve">2026-10-02T15:36:52Z regular LSE close (Friday); valuation written Monday 2026-10-05 before the open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</si>
  <si>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</si>
  <si>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</si>
  <si>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</si>
  <si>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</si>
  <si>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</si>
  <si>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</si>
  <si>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</si>
  <si>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</si>
  <si>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</si>
  <si>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</si>
  <si>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</si>
  <si>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</si>
  <si>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</si>
  <si>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2026-10-04T12:50:24Z</t>
  </si>
  <si>
    <t xml:space="preserve">Drivers file</t>
  </si>
  <si>
    <t xml:space="preserve">AZN.L_Drivers.json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</si>
  <si>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</si>
  <si>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</si>
  <si>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</si>
  <si>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AstraZeneca is valued as an operating company on fully-charged owner FCF: SBC expensed, share count flat, and the $2.5-3.3bn a year of purchased intangibles treated as the maintenance capex of a pharma franchise rather than as discretionary M&amp;A. On that basis the market price sits above the house base value: the market is paying a Street multiple on core EPS that treats in-licensing spend and amortisation as non-cash and gives full credit for the 2030 ambition. The required-return table shows what IRR the current price implies; the 15% hurdle entry price is far below the quote, as it is for any 7.5%-WACC compounder.
key_risks_to_valuation: US drug-pricing policy: most-favoured-nation pricing, sectoral pharma tariffs, and IRA negotiated prices (Farxiga from 2026, Calquence from 2027) on the ~44% of revenue earned in the US; Loss-of-exclusivity cluster 2030-2033 (Tagrisso, Imfinzi, Ultomiris, Calquence) following Farxiga, Lynparza and Soliris erosion; Pipeline binary events: Dato-DXd, camizestrant, baxdrostat, oral GLP-1 AZD5004, Imfinzi perioperative expansions; China: volume-based procurement, the import-tax / data investigations, and FX; Capital intensity: the $50bn US investment programme to 2030 and rising intangible purchases (H1 FY2026 15% of revenue) may persist longer than the capex glide assumes; FX bridge: the GBp value moves one-for-one with GBPUSD; a 5% stronger pound lowers the pence IV ~5% with no change in the USD model</t>
  </si>
  <si>
    <t xml:space="preserve">Data sources</t>
  </si>
  <si>
    <t xml:space="preserve">price: Yahoo Finance chart API for AZN.L at inputs.price_as_of (regular LSE close); 52-week range 9,892-15,732p. GBPUSD=X and Nasdaq AZN from the same API for the FX bridge and parity check.
financials: AZN.L_Metrics.csv / core_metrics (FY2018-FY2025 annual, Q1/H1/Q2 FY2025-FY2026 interim); FY2025 Annual Report (cash flow statement, Note 29 share-based payments, Note 26 NCI); H1 FY2026 results announcement (Table 13 Net debt, diluted share count, FY2026 guidance).
qualitative: FY2025 Annual Report strategy and outlook sections and the H1 FY2026 / Q2 FY2026 results releases; AZN.L_Analysis.json was not yet written when this valuation was built.</t>
  </si>
  <si>
    <t xml:space="preserve">Scenario narrative: bear</t>
  </si>
  <si>
    <t xml:space="preserve">MFN/TrumpRx net-price commitments, IRA rounds (Farxiga 2026, Calquence 2027) and the expiry of the 3-year Section 232 tariff exemption compress US pricing from FY2027; China VBP weakens the second market; binary readouts keep failing at the FY2026 rate (CARDIO-TTRansform, EMERALD-2, CAPItello-280/281) so the pipeline only partially offsets the 2030-33 cliff and revenue falls 1-2% a year for three years; margin to 30%; capex stays elevated to buy in pipeline; 1.5% terminal growth, 15x cap.</t>
  </si>
  <si>
    <t xml:space="preserve">Scenario narrative: base</t>
  </si>
  <si>
    <t xml:space="preserve">Guidance delivered in FY2026 (+8% reported, Core EPS up low double digit) and the oncology / rare-disease / biopharma launch cohort carries revenue to ~$79bn by FY2030, close to the stated $80bn ambition. Reported EBITDA margin expands to 35% as PAAGR restructuring completes. From FY2031 the US loss-of-exclusivity cluster (Tagrisso 2032, Imfinzi, Ultomiris, Calquence) and IRA negotiated prices hold growth to 1.5-2.5% for three years before the 2026-30 launches (Dato-DXd, camizestrant, baxdrostat, oral GLP-1, Imfinzi perioperative, Enhertu new lines) restore 2.5% terminal growth. Pipeline replenishment (purchased intangibles) is a permanent charge, easing from 5% to ~3% of revenue inside a total capex line of 8% at maturity. Terminal value capped at 18x owner FCF.</t>
  </si>
  <si>
    <t xml:space="preserve">Scenario narrative: bull</t>
  </si>
  <si>
    <t xml:space="preserve">Everything in base plus the cardiometabolic / obesity franchise working (baxdrostat, AZD5004, amylin) and Dato-DXd / camizestrant fully replacing Tagrisso; FY2030 ~$84bn, 37% margins, LOE cluster grown through at 3-4.5%; 3.0% terminal growth, 20x cap.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</si>
  <si>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</si>
  <si>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</si>
  <si>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</si>
  <si>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</si>
  <si>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</si>
  <si>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</si>
  <si>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</si>
  <si>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</si>
  <si>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</si>
  <si>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</si>
  <si>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</si>
  <si>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</si>
  <si>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</si>
  <si>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</si>
  <si>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</si>
  <si>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</si>
  <si>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</si>
  <si>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</si>
  <si>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</si>
  <si>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</si>
  <si>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</si>
  <si>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</si>
  <si>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</si>
  <si>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</si>
  <si>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</si>
  <si>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</si>
  <si>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</si>
  <si>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PurchaseOfIntangibles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</si>
  <si>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</si>
  <si>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</si>
  <si>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</si>
  <si>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</si>
  <si>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</si>
  <si>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</si>
  <si>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</si>
  <si>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</si>
  <si>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</si>
  <si>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</si>
  <si>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</si>
  <si>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</si>
  <si>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</si>
  <si>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</si>
  <si>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</si>
  <si>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</si>
  <si>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</si>
  <si>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</si>
  <si>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</si>
  <si>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</si>
  <si>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</si>
  <si>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</si>
  <si>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</si>
  <si>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</si>
  <si>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</si>
  <si>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</si>
  <si>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</si>
  <si>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</si>
  <si>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</si>
  <si>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</si>
  <si>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</si>
  <si>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</si>
  <si>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</si>
  <si>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</si>
  <si>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</si>
  <si>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</si>
  <si>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</si>
  <si>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</si>
  <si>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</si>
  <si>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</si>
  <si>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</si>
  <si>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</si>
  <si>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</si>
  <si>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</si>
  <si>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</si>
  <si>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AZN.L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</si>
  <si>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</si>
  <si>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</si>
  <si>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</si>
  <si>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</si>
  <si>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</si>
  <si>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</si>
  <si>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</si>
  <si>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</si>
  <si>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</si>
  <si>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</si>
  <si>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</si>
  <si>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</si>
  <si>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</si>
  <si>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</si>
  <si>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</si>
  <si>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</si>
  <si>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</si>
  <si>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</si>
  <si>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</si>
  <si>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</si>
  <si>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</si>
  <si>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</si>
  <si>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</si>
  <si>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</si>
  <si>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</si>
  <si>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</si>
  <si>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</si>
  <si>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</si>
  <si>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</si>
  <si>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</si>
  <si>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AZN.L owner-FCF component DCF: base case (millions, USD)</t>
  </si>
  <si>
    <t xml:space="preserve">AZN.L owner-FCF component DCF: bull case (millions, USD)</t>
  </si>
  <si>
    <t xml:space="preserve">AZN.L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</si>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</sst>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11870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22090</v>
      </c>
      <c r="C2" s="0" t="n">
        <v>4936</v>
      </c>
      <c r="D2" s="0" t="n">
        <v>17154</v>
      </c>
      <c r="E2" s="0" t="n">
        <v>77.7</v>
      </c>
      <c r="F2" s="0" t="n">
        <v>3387</v>
      </c>
      <c r="G2" s="0" t="n">
        <v>15.3</v>
      </c>
      <c r="H2" s="0" t="n">
        <v>7140</v>
      </c>
      <c r="I2" s="0" t="n">
        <v>2155</v>
      </c>
      <c r="J2" s="0" t="n">
        <v>9.8</v>
      </c>
      <c r="K2" s="0" t="n">
        <v>1.7</v>
      </c>
      <c r="L2" s="0" t="n">
        <v>2618</v>
      </c>
      <c r="M2" s="0" t="n">
        <v>1043</v>
      </c>
      <c r="N2" s="0" t="n">
        <v>1575</v>
      </c>
      <c r="O2" s="0" t="n">
        <v>14044</v>
      </c>
      <c r="P2" s="0" t="n">
        <v>60651</v>
      </c>
      <c r="Q2" s="0" t="n">
        <v>46607</v>
      </c>
      <c r="R2" s="0" t="n">
        <v>19113</v>
      </c>
      <c r="S2" s="0" t="n">
        <v>4831</v>
      </c>
      <c r="T2" s="0" t="n">
        <v>1267</v>
      </c>
      <c r="U2" s="0" t="n">
        <v>219</v>
      </c>
      <c r="AA2" s="0" t="s">
        <v>18</v>
      </c>
      <c r="AB2" s="0" t="s">
        <v>14</v>
      </c>
      <c r="AC2" s="0" t="n">
        <v>328</v>
      </c>
    </row>
    <row r="3" customFormat="false" ht="15" hidden="false" customHeight="false" outlineLevel="0" collapsed="false">
      <c r="A3" s="0" t="s">
        <v>66</v>
      </c>
      <c r="B3" s="0" t="n">
        <v>24384</v>
      </c>
      <c r="C3" s="0" t="n">
        <v>4921</v>
      </c>
      <c r="D3" s="0" t="n">
        <v>19463</v>
      </c>
      <c r="E3" s="0" t="n">
        <v>79.8</v>
      </c>
      <c r="F3" s="0" t="n">
        <v>2924</v>
      </c>
      <c r="G3" s="0" t="n">
        <v>12</v>
      </c>
      <c r="H3" s="0" t="n">
        <v>6686</v>
      </c>
      <c r="I3" s="0" t="n">
        <v>1335</v>
      </c>
      <c r="J3" s="0" t="n">
        <v>5.5</v>
      </c>
      <c r="K3" s="0" t="n">
        <v>1.03</v>
      </c>
      <c r="L3" s="0" t="n">
        <v>2969</v>
      </c>
      <c r="M3" s="0" t="n">
        <v>979</v>
      </c>
      <c r="N3" s="0" t="n">
        <v>1990</v>
      </c>
      <c r="O3" s="0" t="n">
        <v>14596</v>
      </c>
      <c r="P3" s="0" t="n">
        <v>61377</v>
      </c>
      <c r="Q3" s="0" t="n">
        <v>46781</v>
      </c>
      <c r="R3" s="0" t="n">
        <v>18227</v>
      </c>
      <c r="S3" s="0" t="n">
        <v>5369</v>
      </c>
      <c r="T3" s="0" t="n">
        <v>1301</v>
      </c>
      <c r="U3" s="0" t="n">
        <v>259</v>
      </c>
      <c r="AA3" s="0" t="s">
        <v>18</v>
      </c>
      <c r="AB3" s="0" t="s">
        <v>14</v>
      </c>
      <c r="AC3" s="0" t="n">
        <v>1481</v>
      </c>
    </row>
    <row r="4" customFormat="false" ht="15" hidden="false" customHeight="false" outlineLevel="0" collapsed="false">
      <c r="A4" s="0" t="s">
        <v>67</v>
      </c>
      <c r="B4" s="0" t="n">
        <v>26617</v>
      </c>
      <c r="C4" s="0" t="n">
        <v>5299</v>
      </c>
      <c r="D4" s="0" t="n">
        <v>21318</v>
      </c>
      <c r="E4" s="0" t="n">
        <v>80.1</v>
      </c>
      <c r="F4" s="0" t="n">
        <v>5162</v>
      </c>
      <c r="G4" s="0" t="n">
        <v>19.4</v>
      </c>
      <c r="H4" s="0" t="n">
        <v>8311</v>
      </c>
      <c r="I4" s="0" t="n">
        <v>3196</v>
      </c>
      <c r="J4" s="0" t="n">
        <v>12</v>
      </c>
      <c r="K4" s="0" t="n">
        <v>2.44</v>
      </c>
      <c r="L4" s="0" t="n">
        <v>4799</v>
      </c>
      <c r="M4" s="0" t="n">
        <v>961</v>
      </c>
      <c r="N4" s="0" t="n">
        <v>3838</v>
      </c>
      <c r="O4" s="0" t="n">
        <v>15638</v>
      </c>
      <c r="P4" s="0" t="n">
        <v>66729</v>
      </c>
      <c r="Q4" s="0" t="n">
        <v>51091</v>
      </c>
      <c r="R4" s="0" t="n">
        <v>20380</v>
      </c>
      <c r="S4" s="0" t="n">
        <v>7832</v>
      </c>
      <c r="T4" s="0" t="n">
        <v>1313</v>
      </c>
      <c r="U4" s="0" t="n">
        <v>277</v>
      </c>
      <c r="AA4" s="0" t="s">
        <v>18</v>
      </c>
      <c r="AB4" s="0" t="s">
        <v>14</v>
      </c>
      <c r="AC4" s="0" t="n">
        <v>1645</v>
      </c>
    </row>
    <row r="5" customFormat="false" ht="15" hidden="false" customHeight="false" outlineLevel="0" collapsed="false">
      <c r="A5" s="0" t="s">
        <v>68</v>
      </c>
      <c r="B5" s="0" t="n">
        <v>37417</v>
      </c>
      <c r="C5" s="0" t="n">
        <v>12437</v>
      </c>
      <c r="D5" s="0" t="n">
        <v>24980</v>
      </c>
      <c r="E5" s="0" t="n">
        <v>66.8</v>
      </c>
      <c r="F5" s="0" t="n">
        <v>1056</v>
      </c>
      <c r="G5" s="0" t="n">
        <v>2.8</v>
      </c>
      <c r="H5" s="0" t="n">
        <v>7586</v>
      </c>
      <c r="I5" s="0" t="n">
        <v>112</v>
      </c>
      <c r="J5" s="0" t="n">
        <v>0.3</v>
      </c>
      <c r="K5" s="0" t="n">
        <v>0.08</v>
      </c>
      <c r="L5" s="0" t="n">
        <v>5963</v>
      </c>
      <c r="M5" s="0" t="n">
        <v>1091</v>
      </c>
      <c r="N5" s="0" t="n">
        <v>4872</v>
      </c>
      <c r="O5" s="0" t="n">
        <v>39287</v>
      </c>
      <c r="P5" s="0" t="n">
        <v>105363</v>
      </c>
      <c r="Q5" s="0" t="n">
        <v>66076</v>
      </c>
      <c r="R5" s="0" t="n">
        <v>30781</v>
      </c>
      <c r="S5" s="0" t="n">
        <v>6329</v>
      </c>
      <c r="T5" s="0" t="n">
        <v>1427</v>
      </c>
      <c r="U5" s="0" t="n">
        <v>615</v>
      </c>
      <c r="AA5" s="0" t="s">
        <v>18</v>
      </c>
      <c r="AB5" s="0" t="s">
        <v>14</v>
      </c>
      <c r="AC5" s="0" t="n">
        <v>1109</v>
      </c>
    </row>
    <row r="6" customFormat="false" ht="15" hidden="false" customHeight="false" outlineLevel="0" collapsed="false">
      <c r="A6" s="0" t="s">
        <v>69</v>
      </c>
      <c r="B6" s="0" t="n">
        <v>44351</v>
      </c>
      <c r="C6" s="0" t="n">
        <v>12391</v>
      </c>
      <c r="D6" s="0" t="n">
        <v>31960</v>
      </c>
      <c r="E6" s="0" t="n">
        <v>72.1</v>
      </c>
      <c r="F6" s="0" t="n">
        <v>3757</v>
      </c>
      <c r="G6" s="0" t="n">
        <v>8.5</v>
      </c>
      <c r="H6" s="0" t="n">
        <v>9237</v>
      </c>
      <c r="I6" s="0" t="n">
        <v>3288</v>
      </c>
      <c r="J6" s="0" t="n">
        <v>7.4</v>
      </c>
      <c r="K6" s="0" t="n">
        <v>2.11</v>
      </c>
      <c r="L6" s="0" t="n">
        <v>9808</v>
      </c>
      <c r="M6" s="0" t="n">
        <v>1091</v>
      </c>
      <c r="N6" s="0" t="n">
        <v>8717</v>
      </c>
      <c r="O6" s="0" t="n">
        <v>37058</v>
      </c>
      <c r="P6" s="0" t="n">
        <v>96483</v>
      </c>
      <c r="Q6" s="0" t="n">
        <v>59425</v>
      </c>
      <c r="R6" s="0" t="n">
        <v>29232</v>
      </c>
      <c r="S6" s="0" t="n">
        <v>6166</v>
      </c>
      <c r="T6" s="0" t="n">
        <v>1560</v>
      </c>
      <c r="U6" s="0" t="n">
        <v>619</v>
      </c>
      <c r="AA6" s="0" t="s">
        <v>18</v>
      </c>
      <c r="AB6" s="0" t="s">
        <v>14</v>
      </c>
      <c r="AC6" s="0" t="n">
        <v>1480</v>
      </c>
    </row>
    <row r="7" customFormat="false" ht="15" hidden="false" customHeight="false" outlineLevel="0" collapsed="false">
      <c r="A7" s="0" t="s">
        <v>70</v>
      </c>
      <c r="B7" s="0" t="n">
        <v>45811</v>
      </c>
      <c r="C7" s="0" t="n">
        <v>8268</v>
      </c>
      <c r="D7" s="0" t="n">
        <v>37543</v>
      </c>
      <c r="E7" s="0" t="n">
        <v>82</v>
      </c>
      <c r="F7" s="0" t="n">
        <v>8193</v>
      </c>
      <c r="G7" s="0" t="n">
        <v>17.9</v>
      </c>
      <c r="H7" s="0" t="n">
        <v>13580</v>
      </c>
      <c r="I7" s="0" t="n">
        <v>5955</v>
      </c>
      <c r="J7" s="0" t="n">
        <v>13</v>
      </c>
      <c r="K7" s="0" t="n">
        <v>3.81</v>
      </c>
      <c r="L7" s="0" t="n">
        <v>10345</v>
      </c>
      <c r="M7" s="0" t="n">
        <v>1361</v>
      </c>
      <c r="N7" s="0" t="n">
        <v>8984</v>
      </c>
      <c r="O7" s="0" t="n">
        <v>39166</v>
      </c>
      <c r="P7" s="0" t="n">
        <v>101119</v>
      </c>
      <c r="Q7" s="0" t="n">
        <v>61953</v>
      </c>
      <c r="R7" s="0" t="n">
        <v>28622</v>
      </c>
      <c r="S7" s="0" t="n">
        <v>5840</v>
      </c>
      <c r="T7" s="0" t="n">
        <v>1562</v>
      </c>
      <c r="U7" s="0" t="n">
        <v>579</v>
      </c>
      <c r="AA7" s="0" t="s">
        <v>18</v>
      </c>
      <c r="AB7" s="0" t="s">
        <v>14</v>
      </c>
      <c r="AC7" s="0" t="n">
        <v>2417</v>
      </c>
    </row>
    <row r="8" customFormat="false" ht="15" hidden="false" customHeight="false" outlineLevel="0" collapsed="false">
      <c r="A8" s="0" t="s">
        <v>71</v>
      </c>
      <c r="B8" s="0" t="n">
        <v>54073</v>
      </c>
      <c r="C8" s="0" t="n">
        <v>10207</v>
      </c>
      <c r="D8" s="0" t="n">
        <v>43866</v>
      </c>
      <c r="E8" s="0" t="n">
        <v>81.1</v>
      </c>
      <c r="F8" s="0" t="n">
        <v>10003</v>
      </c>
      <c r="G8" s="0" t="n">
        <v>18.5</v>
      </c>
      <c r="H8" s="0" t="n">
        <v>16691</v>
      </c>
      <c r="I8" s="0" t="n">
        <v>7035</v>
      </c>
      <c r="J8" s="0" t="n">
        <v>13</v>
      </c>
      <c r="K8" s="0" t="n">
        <v>4.5</v>
      </c>
      <c r="L8" s="0" t="n">
        <v>11861</v>
      </c>
      <c r="M8" s="0" t="n">
        <v>1924</v>
      </c>
      <c r="N8" s="0" t="n">
        <v>9937</v>
      </c>
      <c r="O8" s="0" t="n">
        <v>40871</v>
      </c>
      <c r="P8" s="0" t="n">
        <v>104035</v>
      </c>
      <c r="Q8" s="0" t="n">
        <v>63164</v>
      </c>
      <c r="R8" s="0" t="n">
        <v>30295</v>
      </c>
      <c r="S8" s="0" t="n">
        <v>5488</v>
      </c>
      <c r="T8" s="0" t="n">
        <v>1563</v>
      </c>
      <c r="U8" s="0" t="n">
        <v>660</v>
      </c>
      <c r="AA8" s="0" t="s">
        <v>18</v>
      </c>
      <c r="AB8" s="0" t="s">
        <v>14</v>
      </c>
      <c r="AC8" s="0" t="n">
        <v>2662</v>
      </c>
    </row>
    <row r="9" customFormat="false" ht="15" hidden="false" customHeight="false" outlineLevel="0" collapsed="false">
      <c r="A9" s="0" t="s">
        <v>72</v>
      </c>
      <c r="B9" s="0" t="n">
        <v>58739</v>
      </c>
      <c r="C9" s="0" t="n">
        <v>10633</v>
      </c>
      <c r="D9" s="0" t="n">
        <v>48106</v>
      </c>
      <c r="E9" s="0" t="n">
        <v>81.9</v>
      </c>
      <c r="F9" s="0" t="n">
        <v>13743</v>
      </c>
      <c r="G9" s="0" t="n">
        <v>23.4</v>
      </c>
      <c r="H9" s="0" t="n">
        <v>19476</v>
      </c>
      <c r="I9" s="0" t="n">
        <v>10225</v>
      </c>
      <c r="J9" s="0" t="n">
        <v>17.4</v>
      </c>
      <c r="K9" s="0" t="n">
        <v>6.54</v>
      </c>
      <c r="L9" s="0" t="n">
        <v>14575</v>
      </c>
      <c r="M9" s="0" t="n">
        <v>2810</v>
      </c>
      <c r="N9" s="0" t="n">
        <v>11765</v>
      </c>
      <c r="O9" s="0" t="n">
        <v>48719</v>
      </c>
      <c r="P9" s="0" t="n">
        <v>114074</v>
      </c>
      <c r="Q9" s="0" t="n">
        <v>65355</v>
      </c>
      <c r="R9" s="0" t="n">
        <v>29622</v>
      </c>
      <c r="S9" s="0" t="n">
        <v>5711</v>
      </c>
      <c r="T9" s="0" t="n">
        <v>1562</v>
      </c>
      <c r="U9" s="0" t="n">
        <v>719</v>
      </c>
      <c r="AA9" s="0" t="s">
        <v>18</v>
      </c>
      <c r="AB9" s="0" t="s">
        <v>14</v>
      </c>
      <c r="AC9" s="0" t="n">
        <v>3095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11870</v>
      </c>
    </row>
    <row r="3" customFormat="false" ht="15" hidden="false" customHeight="false" outlineLevel="0" collapsed="false">
      <c r="A3" s="0" t="s">
        <v>76</v>
      </c>
      <c r="B3" s="3" t="n">
        <v>1561</v>
      </c>
    </row>
    <row r="4" customFormat="false" ht="15" hidden="false" customHeight="false" outlineLevel="0" collapsed="false">
      <c r="A4" s="0" t="s">
        <v>77</v>
      </c>
      <c r="B4" s="3" t="n">
        <v>26912</v>
      </c>
    </row>
    <row r="5" customFormat="false" ht="15" hidden="false" customHeight="false" outlineLevel="0" collapsed="false">
      <c r="A5" s="0" t="s">
        <v>78</v>
      </c>
      <c r="B5" s="3" t="n">
        <v>-52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58739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75.529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7</v>
      </c>
      <c r="D13" s="3" t="n">
        <v>4.5</v>
      </c>
      <c r="E13" s="3" t="n">
        <v>3.5</v>
      </c>
      <c r="F13" s="3" t="n">
        <v>3</v>
      </c>
      <c r="G13" s="3" t="n">
        <v>2</v>
      </c>
      <c r="H13" s="3" t="n">
        <v>-1</v>
      </c>
      <c r="I13" s="3" t="n">
        <v>-2</v>
      </c>
      <c r="J13" s="3" t="n">
        <v>-1</v>
      </c>
      <c r="K13" s="3" t="n">
        <v>1</v>
      </c>
      <c r="L13" s="3" t="n">
        <v>1.5</v>
      </c>
    </row>
    <row r="14" customFormat="false" ht="15" hidden="false" customHeight="false" outlineLevel="0" collapsed="false">
      <c r="A14" s="0" t="s">
        <v>97</v>
      </c>
      <c r="C14" s="3" t="n">
        <v>33.5</v>
      </c>
      <c r="D14" s="3" t="n">
        <v>33.5</v>
      </c>
      <c r="E14" s="3" t="n">
        <v>33</v>
      </c>
      <c r="F14" s="3" t="n">
        <v>32.5</v>
      </c>
      <c r="G14" s="3" t="n">
        <v>32</v>
      </c>
      <c r="H14" s="3" t="n">
        <v>31</v>
      </c>
      <c r="I14" s="3" t="n">
        <v>30</v>
      </c>
      <c r="J14" s="3" t="n">
        <v>30</v>
      </c>
      <c r="K14" s="3" t="n">
        <v>30</v>
      </c>
      <c r="L14" s="3" t="n">
        <v>30</v>
      </c>
    </row>
    <row r="15" customFormat="false" ht="15" hidden="false" customHeight="false" outlineLevel="0" collapsed="false">
      <c r="A15" s="0" t="s">
        <v>98</v>
      </c>
      <c r="C15" s="3" t="n">
        <v>1.2</v>
      </c>
      <c r="D15" s="3" t="n">
        <v>1.2</v>
      </c>
      <c r="E15" s="3" t="n">
        <v>1.2</v>
      </c>
      <c r="F15" s="3" t="n">
        <v>1.2</v>
      </c>
      <c r="G15" s="3" t="n">
        <v>1.2</v>
      </c>
      <c r="H15" s="3" t="n">
        <v>1.2</v>
      </c>
      <c r="I15" s="3" t="n">
        <v>1.2</v>
      </c>
      <c r="J15" s="3" t="n">
        <v>1.2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9.5</v>
      </c>
      <c r="D17" s="3" t="n">
        <v>9.3</v>
      </c>
      <c r="E17" s="3" t="n">
        <v>9.2</v>
      </c>
      <c r="F17" s="3" t="n">
        <v>9</v>
      </c>
      <c r="G17" s="3" t="n">
        <v>9</v>
      </c>
      <c r="H17" s="3" t="n">
        <v>9</v>
      </c>
      <c r="I17" s="3" t="n">
        <v>9</v>
      </c>
      <c r="J17" s="3" t="n">
        <v>8.8</v>
      </c>
      <c r="K17" s="3" t="n">
        <v>8.5</v>
      </c>
      <c r="L17" s="3" t="n">
        <v>8.5</v>
      </c>
    </row>
    <row r="18" customFormat="false" ht="15" hidden="false" customHeight="false" outlineLevel="0" collapsed="false">
      <c r="A18" s="0" t="s">
        <v>101</v>
      </c>
      <c r="C18" s="3" t="n">
        <v>12</v>
      </c>
      <c r="D18" s="3" t="n">
        <v>11</v>
      </c>
      <c r="E18" s="3" t="n">
        <v>10.5</v>
      </c>
      <c r="F18" s="3" t="n">
        <v>10</v>
      </c>
      <c r="G18" s="3" t="n">
        <v>9.5</v>
      </c>
      <c r="H18" s="3" t="n">
        <v>9</v>
      </c>
      <c r="I18" s="3" t="n">
        <v>9</v>
      </c>
      <c r="J18" s="3" t="n">
        <v>8.5</v>
      </c>
      <c r="K18" s="3" t="n">
        <v>8.5</v>
      </c>
      <c r="L18" s="3" t="n">
        <v>8.5</v>
      </c>
    </row>
    <row r="19" customFormat="false" ht="15" hidden="false" customHeight="false" outlineLevel="0" collapsed="false">
      <c r="A19" s="0" t="s">
        <v>102</v>
      </c>
      <c r="C19" s="3" t="n">
        <v>22</v>
      </c>
      <c r="D19" s="3" t="n">
        <v>22.5</v>
      </c>
      <c r="E19" s="3" t="n">
        <v>23</v>
      </c>
      <c r="F19" s="3" t="n">
        <v>23.5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103</v>
      </c>
      <c r="B20" s="3" t="n">
        <v>7.5</v>
      </c>
    </row>
    <row r="21" customFormat="false" ht="15" hidden="false" customHeight="false" outlineLevel="0" collapsed="false">
      <c r="A21" s="0" t="s">
        <v>104</v>
      </c>
      <c r="B21" s="3" t="n">
        <v>1.5</v>
      </c>
    </row>
    <row r="22" customFormat="false" ht="15" hidden="false" customHeight="false" outlineLevel="0" collapsed="false">
      <c r="A22" s="0" t="s">
        <v>105</v>
      </c>
      <c r="B22" s="3" t="n">
        <v>15</v>
      </c>
    </row>
    <row r="23" customFormat="false" ht="15" hidden="false" customHeight="false" outlineLevel="0" collapsed="false">
      <c r="A23" s="0" t="s">
        <v>106</v>
      </c>
      <c r="B23" s="3" t="n">
        <v>-10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8</v>
      </c>
      <c r="D27" s="3" t="n">
        <v>6.5</v>
      </c>
      <c r="E27" s="3" t="n">
        <v>6</v>
      </c>
      <c r="F27" s="3" t="n">
        <v>5.5</v>
      </c>
      <c r="G27" s="3" t="n">
        <v>4.5</v>
      </c>
      <c r="H27" s="3" t="n">
        <v>2.5</v>
      </c>
      <c r="I27" s="3" t="n">
        <v>1.5</v>
      </c>
      <c r="J27" s="3" t="n">
        <v>1.5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34</v>
      </c>
      <c r="D28" s="3" t="n">
        <v>34.5</v>
      </c>
      <c r="E28" s="3" t="n">
        <v>35</v>
      </c>
      <c r="F28" s="3" t="n">
        <v>35</v>
      </c>
      <c r="G28" s="3" t="n">
        <v>35</v>
      </c>
      <c r="H28" s="3" t="n">
        <v>34.5</v>
      </c>
      <c r="I28" s="3" t="n">
        <v>34</v>
      </c>
      <c r="J28" s="3" t="n">
        <v>34</v>
      </c>
      <c r="K28" s="3" t="n">
        <v>34</v>
      </c>
      <c r="L28" s="3" t="n">
        <v>34</v>
      </c>
    </row>
    <row r="29" customFormat="false" ht="15" hidden="false" customHeight="false" outlineLevel="0" collapsed="false">
      <c r="A29" s="0" t="s">
        <v>98</v>
      </c>
      <c r="C29" s="3" t="n">
        <v>1.2</v>
      </c>
      <c r="D29" s="3" t="n">
        <v>1.2</v>
      </c>
      <c r="E29" s="3" t="n">
        <v>1.2</v>
      </c>
      <c r="F29" s="3" t="n">
        <v>1.2</v>
      </c>
      <c r="G29" s="3" t="n">
        <v>1.2</v>
      </c>
      <c r="H29" s="3" t="n">
        <v>1.2</v>
      </c>
      <c r="I29" s="3" t="n">
        <v>1.2</v>
      </c>
      <c r="J29" s="3" t="n">
        <v>1.2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9.5</v>
      </c>
      <c r="D31" s="3" t="n">
        <v>9.3</v>
      </c>
      <c r="E31" s="3" t="n">
        <v>9</v>
      </c>
      <c r="F31" s="3" t="n">
        <v>8.8</v>
      </c>
      <c r="G31" s="3" t="n">
        <v>8.5</v>
      </c>
      <c r="H31" s="3" t="n">
        <v>8.3</v>
      </c>
      <c r="I31" s="3" t="n">
        <v>8</v>
      </c>
      <c r="J31" s="3" t="n">
        <v>8</v>
      </c>
      <c r="K31" s="3" t="n">
        <v>8</v>
      </c>
      <c r="L31" s="3" t="n">
        <v>8</v>
      </c>
    </row>
    <row r="32" customFormat="false" ht="15" hidden="false" customHeight="false" outlineLevel="0" collapsed="false">
      <c r="A32" s="0" t="s">
        <v>101</v>
      </c>
      <c r="C32" s="3" t="n">
        <v>12</v>
      </c>
      <c r="D32" s="3" t="n">
        <v>10.5</v>
      </c>
      <c r="E32" s="3" t="n">
        <v>10</v>
      </c>
      <c r="F32" s="3" t="n">
        <v>9.5</v>
      </c>
      <c r="G32" s="3" t="n">
        <v>9</v>
      </c>
      <c r="H32" s="3" t="n">
        <v>8.5</v>
      </c>
      <c r="I32" s="3" t="n">
        <v>8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102</v>
      </c>
      <c r="C33" s="3" t="n">
        <v>22</v>
      </c>
      <c r="D33" s="3" t="n">
        <v>22</v>
      </c>
      <c r="E33" s="3" t="n">
        <v>22</v>
      </c>
      <c r="F33" s="3" t="n">
        <v>22.5</v>
      </c>
      <c r="G33" s="3" t="n">
        <v>22.5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103</v>
      </c>
      <c r="B34" s="3" t="n">
        <v>7.5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18</v>
      </c>
    </row>
    <row r="37" customFormat="false" ht="15" hidden="false" customHeight="false" outlineLevel="0" collapsed="false">
      <c r="A37" s="0" t="s">
        <v>106</v>
      </c>
      <c r="B37" s="3" t="n">
        <v>-10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9</v>
      </c>
      <c r="D41" s="3" t="n">
        <v>8</v>
      </c>
      <c r="E41" s="3" t="n">
        <v>7.5</v>
      </c>
      <c r="F41" s="3" t="n">
        <v>7</v>
      </c>
      <c r="G41" s="3" t="n">
        <v>6</v>
      </c>
      <c r="H41" s="3" t="n">
        <v>4.5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34.5</v>
      </c>
      <c r="D42" s="3" t="n">
        <v>35.5</v>
      </c>
      <c r="E42" s="3" t="n">
        <v>36</v>
      </c>
      <c r="F42" s="3" t="n">
        <v>36.5</v>
      </c>
      <c r="G42" s="3" t="n">
        <v>37</v>
      </c>
      <c r="H42" s="3" t="n">
        <v>37</v>
      </c>
      <c r="I42" s="3" t="n">
        <v>37</v>
      </c>
      <c r="J42" s="3" t="n">
        <v>37</v>
      </c>
      <c r="K42" s="3" t="n">
        <v>37</v>
      </c>
      <c r="L42" s="3" t="n">
        <v>37</v>
      </c>
    </row>
    <row r="43" customFormat="false" ht="15" hidden="false" customHeight="false" outlineLevel="0" collapsed="false">
      <c r="A43" s="0" t="s">
        <v>98</v>
      </c>
      <c r="C43" s="3" t="n">
        <v>1.2</v>
      </c>
      <c r="D43" s="3" t="n">
        <v>1.2</v>
      </c>
      <c r="E43" s="3" t="n">
        <v>1.2</v>
      </c>
      <c r="F43" s="3" t="n">
        <v>1.2</v>
      </c>
      <c r="G43" s="3" t="n">
        <v>1.2</v>
      </c>
      <c r="H43" s="3" t="n">
        <v>1.2</v>
      </c>
      <c r="I43" s="3" t="n">
        <v>1.2</v>
      </c>
      <c r="J43" s="3" t="n">
        <v>1.2</v>
      </c>
      <c r="K43" s="3" t="n">
        <v>1.2</v>
      </c>
      <c r="L43" s="3" t="n">
        <v>1.2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9.5</v>
      </c>
      <c r="D45" s="3" t="n">
        <v>9.3</v>
      </c>
      <c r="E45" s="3" t="n">
        <v>9</v>
      </c>
      <c r="F45" s="3" t="n">
        <v>8.8</v>
      </c>
      <c r="G45" s="3" t="n">
        <v>8.5</v>
      </c>
      <c r="H45" s="3" t="n">
        <v>8.3</v>
      </c>
      <c r="I45" s="3" t="n">
        <v>8</v>
      </c>
      <c r="J45" s="3" t="n">
        <v>8</v>
      </c>
      <c r="K45" s="3" t="n">
        <v>8</v>
      </c>
      <c r="L45" s="3" t="n">
        <v>8</v>
      </c>
    </row>
    <row r="46" customFormat="false" ht="15" hidden="false" customHeight="false" outlineLevel="0" collapsed="false">
      <c r="A46" s="0" t="s">
        <v>101</v>
      </c>
      <c r="C46" s="3" t="n">
        <v>12</v>
      </c>
      <c r="D46" s="3" t="n">
        <v>10.5</v>
      </c>
      <c r="E46" s="3" t="n">
        <v>9.5</v>
      </c>
      <c r="F46" s="3" t="n">
        <v>9</v>
      </c>
      <c r="G46" s="3" t="n">
        <v>8.5</v>
      </c>
      <c r="H46" s="3" t="n">
        <v>8</v>
      </c>
      <c r="I46" s="3" t="n">
        <v>7.5</v>
      </c>
      <c r="J46" s="3" t="n">
        <v>7.5</v>
      </c>
      <c r="K46" s="3" t="n">
        <v>7.5</v>
      </c>
      <c r="L46" s="3" t="n">
        <v>7.5</v>
      </c>
    </row>
    <row r="47" customFormat="false" ht="15" hidden="false" customHeight="false" outlineLevel="0" collapsed="false">
      <c r="A47" s="0" t="s">
        <v>102</v>
      </c>
      <c r="C47" s="3" t="n">
        <v>22</v>
      </c>
      <c r="D47" s="3" t="n">
        <v>22</v>
      </c>
      <c r="E47" s="3" t="n">
        <v>22</v>
      </c>
      <c r="F47" s="3" t="n">
        <v>22.5</v>
      </c>
      <c r="G47" s="3" t="n">
        <v>22.5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103</v>
      </c>
      <c r="B48" s="3" t="n">
        <v>7.5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20</v>
      </c>
    </row>
    <row r="51" customFormat="false" ht="15" hidden="false" customHeight="false" outlineLevel="0" collapsed="false">
      <c r="A51" s="0" t="s">
        <v>106</v>
      </c>
      <c r="B51" s="3" t="n">
        <v>-10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7</v>
      </c>
      <c r="D5" s="4" t="n">
        <f aca="false">Assumptions!D13</f>
        <v>4.5</v>
      </c>
      <c r="E5" s="4" t="n">
        <f aca="false">Assumptions!E13</f>
        <v>3.5</v>
      </c>
      <c r="F5" s="4" t="n">
        <f aca="false">Assumptions!F13</f>
        <v>3</v>
      </c>
      <c r="G5" s="4" t="n">
        <f aca="false">Assumptions!G13</f>
        <v>2</v>
      </c>
      <c r="H5" s="4" t="n">
        <f aca="false">Assumptions!H13</f>
        <v>-1</v>
      </c>
      <c r="I5" s="4" t="n">
        <f aca="false">Assumptions!I13</f>
        <v>-2</v>
      </c>
      <c r="J5" s="4" t="n">
        <f aca="false">Assumptions!J13</f>
        <v>-1</v>
      </c>
      <c r="K5" s="4" t="n">
        <f aca="false">Assumptions!K13</f>
        <v>1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58739</v>
      </c>
      <c r="C6" s="0" t="n">
        <f aca="false">B6*(1+C5/100)</f>
        <v>62850.73</v>
      </c>
      <c r="D6" s="0" t="n">
        <f aca="false">C6*(1+D5/100)</f>
        <v>65679.01285</v>
      </c>
      <c r="E6" s="0" t="n">
        <f aca="false">D6*(1+E5/100)</f>
        <v>67977.77829975</v>
      </c>
      <c r="F6" s="0" t="n">
        <f aca="false">E6*(1+F5/100)</f>
        <v>70017.1116487425</v>
      </c>
      <c r="G6" s="0" t="n">
        <f aca="false">F6*(1+G5/100)</f>
        <v>71417.4538817174</v>
      </c>
      <c r="H6" s="0" t="n">
        <f aca="false">G6*(1+H5/100)</f>
        <v>70703.2793429002</v>
      </c>
      <c r="I6" s="0" t="n">
        <f aca="false">H6*(1+I5/100)</f>
        <v>69289.2137560422</v>
      </c>
      <c r="J6" s="0" t="n">
        <f aca="false">I6*(1+J5/100)</f>
        <v>68596.3216184817</v>
      </c>
      <c r="K6" s="0" t="n">
        <f aca="false">J6*(1+K5/100)</f>
        <v>69282.2848346666</v>
      </c>
      <c r="L6" s="0" t="n">
        <f aca="false">K6*(1+L5/100)</f>
        <v>70321.5191071865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33.5</v>
      </c>
      <c r="D7" s="4" t="n">
        <f aca="false">Assumptions!D14</f>
        <v>33.5</v>
      </c>
      <c r="E7" s="4" t="n">
        <f aca="false">Assumptions!E14</f>
        <v>33</v>
      </c>
      <c r="F7" s="4" t="n">
        <f aca="false">Assumptions!F14</f>
        <v>32.5</v>
      </c>
      <c r="G7" s="4" t="n">
        <f aca="false">Assumptions!G14</f>
        <v>32</v>
      </c>
      <c r="H7" s="4" t="n">
        <f aca="false">Assumptions!H14</f>
        <v>31</v>
      </c>
      <c r="I7" s="4" t="n">
        <f aca="false">Assumptions!I14</f>
        <v>30</v>
      </c>
      <c r="J7" s="4" t="n">
        <f aca="false">Assumptions!J14</f>
        <v>30</v>
      </c>
      <c r="K7" s="4" t="n">
        <f aca="false">Assumptions!K14</f>
        <v>30</v>
      </c>
      <c r="L7" s="4" t="n">
        <f aca="false">Assumptions!L14</f>
        <v>30</v>
      </c>
    </row>
    <row r="8" customFormat="false" ht="15" hidden="false" customHeight="false" outlineLevel="0" collapsed="false">
      <c r="A8" s="0" t="s">
        <v>44</v>
      </c>
      <c r="C8" s="0" t="n">
        <f aca="false">C6*C7/100</f>
        <v>21054.99455</v>
      </c>
      <c r="D8" s="0" t="n">
        <f aca="false">D6*D7/100</f>
        <v>22002.46930475</v>
      </c>
      <c r="E8" s="0" t="n">
        <f aca="false">E6*E7/100</f>
        <v>22432.6668389175</v>
      </c>
      <c r="F8" s="0" t="n">
        <f aca="false">F6*F7/100</f>
        <v>22755.5612858413</v>
      </c>
      <c r="G8" s="0" t="n">
        <f aca="false">G6*G7/100</f>
        <v>22853.5852421496</v>
      </c>
      <c r="H8" s="0" t="n">
        <f aca="false">H6*H7/100</f>
        <v>21918.0165962991</v>
      </c>
      <c r="I8" s="0" t="n">
        <f aca="false">I6*I7/100</f>
        <v>20786.7641268127</v>
      </c>
      <c r="J8" s="0" t="n">
        <f aca="false">J6*J7/100</f>
        <v>20578.8964855445</v>
      </c>
      <c r="K8" s="0" t="n">
        <f aca="false">K6*K7/100</f>
        <v>20784.6854504</v>
      </c>
      <c r="L8" s="0" t="n">
        <f aca="false">L6*L7/100</f>
        <v>21096.455732156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1.2</v>
      </c>
      <c r="D9" s="4" t="n">
        <f aca="false">Assumptions!D15</f>
        <v>1.2</v>
      </c>
      <c r="E9" s="4" t="n">
        <f aca="false">Assumptions!E15</f>
        <v>1.2</v>
      </c>
      <c r="F9" s="4" t="n">
        <f aca="false">Assumptions!F15</f>
        <v>1.2</v>
      </c>
      <c r="G9" s="4" t="n">
        <f aca="false">Assumptions!G15</f>
        <v>1.2</v>
      </c>
      <c r="H9" s="4" t="n">
        <f aca="false">Assumptions!H15</f>
        <v>1.2</v>
      </c>
      <c r="I9" s="4" t="n">
        <f aca="false">Assumptions!I15</f>
        <v>1.2</v>
      </c>
      <c r="J9" s="4" t="n">
        <f aca="false">Assumptions!J15</f>
        <v>1.2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-754.20876</v>
      </c>
      <c r="D10" s="0" t="n">
        <f aca="false">-D6*D9/100</f>
        <v>-788.1481542</v>
      </c>
      <c r="E10" s="0" t="n">
        <f aca="false">-E6*E9/100</f>
        <v>-815.733339597</v>
      </c>
      <c r="F10" s="0" t="n">
        <f aca="false">-F6*F9/100</f>
        <v>-840.20533978491</v>
      </c>
      <c r="G10" s="0" t="n">
        <f aca="false">-G6*G9/100</f>
        <v>-857.009446580608</v>
      </c>
      <c r="H10" s="0" t="n">
        <f aca="false">-H6*H9/100</f>
        <v>-848.439352114802</v>
      </c>
      <c r="I10" s="0" t="n">
        <f aca="false">-I6*I9/100</f>
        <v>-831.470565072506</v>
      </c>
      <c r="J10" s="0" t="n">
        <f aca="false">-J6*J9/100</f>
        <v>-823.155859421781</v>
      </c>
      <c r="K10" s="0" t="n">
        <f aca="false">-K6*K9/100</f>
        <v>-831.387418015999</v>
      </c>
      <c r="L10" s="0" t="n">
        <f aca="false">-L6*L9/100</f>
        <v>-843.858229286239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20300.78579</v>
      </c>
      <c r="D11" s="0" t="n">
        <f aca="false">D8+D10+D24</f>
        <v>21214.32115055</v>
      </c>
      <c r="E11" s="0" t="n">
        <f aca="false">E8+E10+E24</f>
        <v>21616.9334993205</v>
      </c>
      <c r="F11" s="0" t="n">
        <f aca="false">F8+F10+F24</f>
        <v>21915.3559460564</v>
      </c>
      <c r="G11" s="0" t="n">
        <f aca="false">G8+G10+G24</f>
        <v>21996.5757955689</v>
      </c>
      <c r="H11" s="0" t="n">
        <f aca="false">H8+H10+H24</f>
        <v>21069.5772441843</v>
      </c>
      <c r="I11" s="0" t="n">
        <f aca="false">I8+I10+I24</f>
        <v>19955.2935617401</v>
      </c>
      <c r="J11" s="0" t="n">
        <f aca="false">J8+J10+J24</f>
        <v>19755.7406261227</v>
      </c>
      <c r="K11" s="0" t="n">
        <f aca="false">K8+K10+K24</f>
        <v>19953.298032384</v>
      </c>
      <c r="L11" s="0" t="n">
        <f aca="false">L8+L10+L24</f>
        <v>20252.5975028697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-5970.81935</v>
      </c>
      <c r="D12" s="4" t="n">
        <f aca="false">-D6*Assumptions!D17/100</f>
        <v>-6108.14819505</v>
      </c>
      <c r="E12" s="4" t="n">
        <f aca="false">-E6*Assumptions!E17/100</f>
        <v>-6253.955603577</v>
      </c>
      <c r="F12" s="4" t="n">
        <f aca="false">-F6*Assumptions!F17/100</f>
        <v>-6301.54004838682</v>
      </c>
      <c r="G12" s="4" t="n">
        <f aca="false">-G6*Assumptions!G17/100</f>
        <v>-6427.57084935456</v>
      </c>
      <c r="H12" s="4" t="n">
        <f aca="false">-H6*Assumptions!H17/100</f>
        <v>-6363.29514086102</v>
      </c>
      <c r="I12" s="4" t="n">
        <f aca="false">-I6*Assumptions!I17/100</f>
        <v>-6236.0292380438</v>
      </c>
      <c r="J12" s="4" t="n">
        <f aca="false">-J6*Assumptions!J17/100</f>
        <v>-6036.47630242639</v>
      </c>
      <c r="K12" s="4" t="n">
        <f aca="false">-K6*Assumptions!K17/100</f>
        <v>-5888.99421094666</v>
      </c>
      <c r="L12" s="4" t="n">
        <f aca="false">-L6*Assumptions!L17/100</f>
        <v>-5977.32912411086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14329.96644</v>
      </c>
      <c r="D13" s="0" t="n">
        <f aca="false">D11+D12</f>
        <v>15106.1729555</v>
      </c>
      <c r="E13" s="0" t="n">
        <f aca="false">E11+E12</f>
        <v>15362.9778957435</v>
      </c>
      <c r="F13" s="0" t="n">
        <f aca="false">F11+F12</f>
        <v>15613.8158976696</v>
      </c>
      <c r="G13" s="0" t="n">
        <f aca="false">G11+G12</f>
        <v>15569.0049462144</v>
      </c>
      <c r="H13" s="0" t="n">
        <f aca="false">H11+H12</f>
        <v>14706.2821033232</v>
      </c>
      <c r="I13" s="0" t="n">
        <f aca="false">I11+I12</f>
        <v>13719.2643236964</v>
      </c>
      <c r="J13" s="0" t="n">
        <f aca="false">J11+J12</f>
        <v>13719.2643236963</v>
      </c>
      <c r="K13" s="0" t="n">
        <f aca="false">K11+K12</f>
        <v>14064.3038214373</v>
      </c>
      <c r="L13" s="0" t="n">
        <f aca="false">L11+L12</f>
        <v>14275.2683787589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22</v>
      </c>
      <c r="D14" s="4" t="n">
        <f aca="false">Assumptions!D19</f>
        <v>22.5</v>
      </c>
      <c r="E14" s="4" t="n">
        <f aca="false">Assumptions!E19</f>
        <v>23</v>
      </c>
      <c r="F14" s="4" t="n">
        <f aca="false">Assumptions!F19</f>
        <v>23.5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11177.3738232</v>
      </c>
      <c r="D15" s="0" t="n">
        <f aca="false">D13-MAX(0,D13)*D14/100</f>
        <v>11707.2840405125</v>
      </c>
      <c r="E15" s="0" t="n">
        <f aca="false">E13-MAX(0,E13)*E14/100</f>
        <v>11829.4929797225</v>
      </c>
      <c r="F15" s="0" t="n">
        <f aca="false">F13-MAX(0,F13)*F14/100</f>
        <v>11944.5691617172</v>
      </c>
      <c r="G15" s="0" t="n">
        <f aca="false">G13-MAX(0,G13)*G14/100</f>
        <v>11832.4437591229</v>
      </c>
      <c r="H15" s="0" t="n">
        <f aca="false">H13-MAX(0,H13)*H14/100</f>
        <v>11176.7743985257</v>
      </c>
      <c r="I15" s="0" t="n">
        <f aca="false">I13-MAX(0,I13)*I14/100</f>
        <v>10426.6408860092</v>
      </c>
      <c r="J15" s="0" t="n">
        <f aca="false">J13-MAX(0,J13)*J14/100</f>
        <v>10426.6408860092</v>
      </c>
      <c r="K15" s="0" t="n">
        <f aca="false">K13-MAX(0,K13)*K14/100</f>
        <v>10688.8709042924</v>
      </c>
      <c r="L15" s="0" t="n">
        <f aca="false">L13-MAX(0,L13)*L14/100</f>
        <v>10849.2039678567</v>
      </c>
    </row>
    <row r="16" customFormat="false" ht="15" hidden="false" customHeight="false" outlineLevel="0" collapsed="false">
      <c r="A16" s="0" t="s">
        <v>118</v>
      </c>
      <c r="C16" s="0" t="n">
        <f aca="false">-C12</f>
        <v>5970.81935</v>
      </c>
      <c r="D16" s="0" t="n">
        <f aca="false">-D12</f>
        <v>6108.14819505</v>
      </c>
      <c r="E16" s="0" t="n">
        <f aca="false">-E12</f>
        <v>6253.955603577</v>
      </c>
      <c r="F16" s="0" t="n">
        <f aca="false">-F12</f>
        <v>6301.54004838682</v>
      </c>
      <c r="G16" s="0" t="n">
        <f aca="false">-G12</f>
        <v>6427.57084935456</v>
      </c>
      <c r="H16" s="0" t="n">
        <f aca="false">-H12</f>
        <v>6363.29514086102</v>
      </c>
      <c r="I16" s="0" t="n">
        <f aca="false">-I12</f>
        <v>6236.0292380438</v>
      </c>
      <c r="J16" s="0" t="n">
        <f aca="false">-J12</f>
        <v>6036.47630242639</v>
      </c>
      <c r="K16" s="0" t="n">
        <f aca="false">-K12</f>
        <v>5888.99421094666</v>
      </c>
      <c r="L16" s="0" t="n">
        <f aca="false">-L12</f>
        <v>5977.32912411086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-7542.0876</v>
      </c>
      <c r="D17" s="4" t="n">
        <f aca="false">-D6*Assumptions!D18/100</f>
        <v>-7224.6914135</v>
      </c>
      <c r="E17" s="4" t="n">
        <f aca="false">-E6*Assumptions!E18/100</f>
        <v>-7137.66672147375</v>
      </c>
      <c r="F17" s="4" t="n">
        <f aca="false">-F6*Assumptions!F18/100</f>
        <v>-7001.71116487425</v>
      </c>
      <c r="G17" s="4" t="n">
        <f aca="false">-G6*Assumptions!G18/100</f>
        <v>-6784.65811876315</v>
      </c>
      <c r="H17" s="4" t="n">
        <f aca="false">-H6*Assumptions!H18/100</f>
        <v>-6363.29514086102</v>
      </c>
      <c r="I17" s="4" t="n">
        <f aca="false">-I6*Assumptions!I18/100</f>
        <v>-6236.0292380438</v>
      </c>
      <c r="J17" s="4" t="n">
        <f aca="false">-J6*Assumptions!J18/100</f>
        <v>-5830.68733757095</v>
      </c>
      <c r="K17" s="4" t="n">
        <f aca="false">-K6*Assumptions!K18/100</f>
        <v>-5888.99421094666</v>
      </c>
      <c r="L17" s="4" t="n">
        <f aca="false">-L6*Assumptions!L18/100</f>
        <v>-5977.32912411086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-411.173</v>
      </c>
      <c r="D18" s="4" t="n">
        <f aca="false">(D6-C6)*Assumptions!$B$23/100</f>
        <v>-282.828285</v>
      </c>
      <c r="E18" s="4" t="n">
        <f aca="false">(E6-D6)*Assumptions!$B$23/100</f>
        <v>-229.876544974999</v>
      </c>
      <c r="F18" s="4" t="n">
        <f aca="false">(F6-E6)*Assumptions!$B$23/100</f>
        <v>-203.93333489925</v>
      </c>
      <c r="G18" s="4" t="n">
        <f aca="false">(G6-F6)*Assumptions!$B$23/100</f>
        <v>-140.034223297486</v>
      </c>
      <c r="H18" s="4" t="n">
        <f aca="false">(H6-G6)*Assumptions!$B$23/100</f>
        <v>71.4174538817169</v>
      </c>
      <c r="I18" s="4" t="n">
        <f aca="false">(I6-H6)*Assumptions!$B$23/100</f>
        <v>141.406558685801</v>
      </c>
      <c r="J18" s="4" t="n">
        <f aca="false">(J6-I6)*Assumptions!$B$23/100</f>
        <v>69.2892137560426</v>
      </c>
      <c r="K18" s="4" t="n">
        <f aca="false">(K6-J6)*Assumptions!$B$23/100</f>
        <v>-68.5963216184813</v>
      </c>
      <c r="L18" s="4" t="n">
        <f aca="false">(L6-K6)*Assumptions!$B$23/100</f>
        <v>-103.923427251999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9194.9325732</v>
      </c>
      <c r="D19" s="0" t="n">
        <f aca="false">D15+D16+D17+D18</f>
        <v>10307.9125370625</v>
      </c>
      <c r="E19" s="0" t="n">
        <f aca="false">E15+E16+E17+E18</f>
        <v>10715.9053168507</v>
      </c>
      <c r="F19" s="0" t="n">
        <f aca="false">F15+F16+F17+F18</f>
        <v>11040.4647103306</v>
      </c>
      <c r="G19" s="0" t="n">
        <f aca="false">G15+G16+G17+G18</f>
        <v>11335.3222664169</v>
      </c>
      <c r="H19" s="0" t="n">
        <f aca="false">H15+H16+H17+H18</f>
        <v>11248.1918524074</v>
      </c>
      <c r="I19" s="0" t="n">
        <f aca="false">I15+I16+I17+I18</f>
        <v>10568.047444695</v>
      </c>
      <c r="J19" s="0" t="n">
        <f aca="false">J15+J16+J17+J18</f>
        <v>10701.7190646207</v>
      </c>
      <c r="K19" s="0" t="n">
        <f aca="false">K15+K16+K17+K18</f>
        <v>10620.2745826739</v>
      </c>
      <c r="L19" s="0" t="n">
        <f aca="false">L15+L16+L17+L18</f>
        <v>10745.2805406047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8553.42564948837</v>
      </c>
      <c r="D21" s="0" t="n">
        <f aca="false">D19*D20</f>
        <v>8919.77288226068</v>
      </c>
      <c r="E21" s="0" t="n">
        <f aca="false">E19*E20</f>
        <v>8625.88124666316</v>
      </c>
      <c r="F21" s="0" t="n">
        <f aca="false">F19*F20</f>
        <v>8267.10582407289</v>
      </c>
      <c r="G21" s="0" t="n">
        <f aca="false">G19*G20</f>
        <v>7895.71657514315</v>
      </c>
      <c r="H21" s="0" t="n">
        <f aca="false">H19*H20</f>
        <v>7288.39547267405</v>
      </c>
      <c r="I21" s="0" t="n">
        <f aca="false">I19*I20</f>
        <v>6369.94239021128</v>
      </c>
      <c r="J21" s="0" t="n">
        <f aca="false">J19*J20</f>
        <v>6000.47778068135</v>
      </c>
      <c r="K21" s="0" t="n">
        <f aca="false">K19*K20</f>
        <v>5539.35970023831</v>
      </c>
      <c r="L21" s="0" t="n">
        <f aca="false">L19*L20</f>
        <v>5213.5448761973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72673.6223976305</v>
      </c>
    </row>
    <row r="31" customFormat="false" ht="15" hidden="false" customHeight="false" outlineLevel="0" collapsed="false">
      <c r="A31" s="0" t="s">
        <v>127</v>
      </c>
      <c r="B31" s="0" t="n">
        <f aca="false">L19</f>
        <v>10745.2805406047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181774.32914523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161179.208109071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161179.208109071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78203.1731429595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150876.79554059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123912.79554059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5995.52180293736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-0.494901280291714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5621.88371427315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6926.27354224769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6602.66451237219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80788.5907312134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2215.97398321069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8</v>
      </c>
      <c r="D5" s="4" t="n">
        <f aca="false">Assumptions!D27</f>
        <v>6.5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4.5</v>
      </c>
      <c r="H5" s="4" t="n">
        <f aca="false">Assumptions!H27</f>
        <v>2.5</v>
      </c>
      <c r="I5" s="4" t="n">
        <f aca="false">Assumptions!I27</f>
        <v>1.5</v>
      </c>
      <c r="J5" s="4" t="n">
        <f aca="false">Assumptions!J27</f>
        <v>1.5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58739</v>
      </c>
      <c r="C6" s="0" t="n">
        <f aca="false">B6*(1+C5/100)</f>
        <v>63438.12</v>
      </c>
      <c r="D6" s="0" t="n">
        <f aca="false">C6*(1+D5/100)</f>
        <v>67561.5978</v>
      </c>
      <c r="E6" s="0" t="n">
        <f aca="false">D6*(1+E5/100)</f>
        <v>71615.293668</v>
      </c>
      <c r="F6" s="0" t="n">
        <f aca="false">E6*(1+F5/100)</f>
        <v>75554.13481974</v>
      </c>
      <c r="G6" s="0" t="n">
        <f aca="false">F6*(1+G5/100)</f>
        <v>78954.0708866283</v>
      </c>
      <c r="H6" s="0" t="n">
        <f aca="false">G6*(1+H5/100)</f>
        <v>80927.922658794</v>
      </c>
      <c r="I6" s="0" t="n">
        <f aca="false">H6*(1+I5/100)</f>
        <v>82141.8414986759</v>
      </c>
      <c r="J6" s="0" t="n">
        <f aca="false">I6*(1+J5/100)</f>
        <v>83373.969121156</v>
      </c>
      <c r="K6" s="0" t="n">
        <f aca="false">J6*(1+K5/100)</f>
        <v>85458.3183491849</v>
      </c>
      <c r="L6" s="0" t="n">
        <f aca="false">K6*(1+L5/100)</f>
        <v>87594.7763079145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34</v>
      </c>
      <c r="D7" s="4" t="n">
        <f aca="false">Assumptions!D28</f>
        <v>34.5</v>
      </c>
      <c r="E7" s="4" t="n">
        <f aca="false">Assumptions!E28</f>
        <v>35</v>
      </c>
      <c r="F7" s="4" t="n">
        <f aca="false">Assumptions!F28</f>
        <v>35</v>
      </c>
      <c r="G7" s="4" t="n">
        <f aca="false">Assumptions!G28</f>
        <v>35</v>
      </c>
      <c r="H7" s="4" t="n">
        <f aca="false">Assumptions!H28</f>
        <v>34.5</v>
      </c>
      <c r="I7" s="4" t="n">
        <f aca="false">Assumptions!I28</f>
        <v>34</v>
      </c>
      <c r="J7" s="4" t="n">
        <f aca="false">Assumptions!J28</f>
        <v>34</v>
      </c>
      <c r="K7" s="4" t="n">
        <f aca="false">Assumptions!K28</f>
        <v>34</v>
      </c>
      <c r="L7" s="4" t="n">
        <f aca="false">Assumptions!L28</f>
        <v>34</v>
      </c>
    </row>
    <row r="8" customFormat="false" ht="15" hidden="false" customHeight="false" outlineLevel="0" collapsed="false">
      <c r="A8" s="0" t="s">
        <v>44</v>
      </c>
      <c r="C8" s="0" t="n">
        <f aca="false">C6*C7/100</f>
        <v>21568.9608</v>
      </c>
      <c r="D8" s="0" t="n">
        <f aca="false">D6*D7/100</f>
        <v>23308.751241</v>
      </c>
      <c r="E8" s="0" t="n">
        <f aca="false">E6*E7/100</f>
        <v>25065.3527838</v>
      </c>
      <c r="F8" s="0" t="n">
        <f aca="false">F6*F7/100</f>
        <v>26443.947186909</v>
      </c>
      <c r="G8" s="0" t="n">
        <f aca="false">G6*G7/100</f>
        <v>27633.9248103199</v>
      </c>
      <c r="H8" s="0" t="n">
        <f aca="false">H6*H7/100</f>
        <v>27920.1333172839</v>
      </c>
      <c r="I8" s="0" t="n">
        <f aca="false">I6*I7/100</f>
        <v>27928.2261095498</v>
      </c>
      <c r="J8" s="0" t="n">
        <f aca="false">J6*J7/100</f>
        <v>28347.1495011931</v>
      </c>
      <c r="K8" s="0" t="n">
        <f aca="false">K6*K7/100</f>
        <v>29055.8282387229</v>
      </c>
      <c r="L8" s="0" t="n">
        <f aca="false">L6*L7/100</f>
        <v>29782.2239446909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1.2</v>
      </c>
      <c r="D9" s="4" t="n">
        <f aca="false">Assumptions!D29</f>
        <v>1.2</v>
      </c>
      <c r="E9" s="4" t="n">
        <f aca="false">Assumptions!E29</f>
        <v>1.2</v>
      </c>
      <c r="F9" s="4" t="n">
        <f aca="false">Assumptions!F29</f>
        <v>1.2</v>
      </c>
      <c r="G9" s="4" t="n">
        <f aca="false">Assumptions!G29</f>
        <v>1.2</v>
      </c>
      <c r="H9" s="4" t="n">
        <f aca="false">Assumptions!H29</f>
        <v>1.2</v>
      </c>
      <c r="I9" s="4" t="n">
        <f aca="false">Assumptions!I29</f>
        <v>1.2</v>
      </c>
      <c r="J9" s="4" t="n">
        <f aca="false">Assumptions!J29</f>
        <v>1.2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-761.25744</v>
      </c>
      <c r="D10" s="0" t="n">
        <f aca="false">-D6*D9/100</f>
        <v>-810.7391736</v>
      </c>
      <c r="E10" s="0" t="n">
        <f aca="false">-E6*E9/100</f>
        <v>-859.383524016</v>
      </c>
      <c r="F10" s="0" t="n">
        <f aca="false">-F6*F9/100</f>
        <v>-906.64961783688</v>
      </c>
      <c r="G10" s="0" t="n">
        <f aca="false">-G6*G9/100</f>
        <v>-947.44885063954</v>
      </c>
      <c r="H10" s="0" t="n">
        <f aca="false">-H6*H9/100</f>
        <v>-971.135071905528</v>
      </c>
      <c r="I10" s="0" t="n">
        <f aca="false">-I6*I9/100</f>
        <v>-985.702097984111</v>
      </c>
      <c r="J10" s="0" t="n">
        <f aca="false">-J6*J9/100</f>
        <v>-1000.48762945387</v>
      </c>
      <c r="K10" s="0" t="n">
        <f aca="false">-K6*K9/100</f>
        <v>-1025.49982019022</v>
      </c>
      <c r="L10" s="0" t="n">
        <f aca="false">-L6*L9/100</f>
        <v>-1051.13731569497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20807.70336</v>
      </c>
      <c r="D11" s="0" t="n">
        <f aca="false">D8+D10+D24</f>
        <v>22498.0120674</v>
      </c>
      <c r="E11" s="0" t="n">
        <f aca="false">E8+E10+E24</f>
        <v>24205.969259784</v>
      </c>
      <c r="F11" s="0" t="n">
        <f aca="false">F8+F10+F24</f>
        <v>25537.2975690721</v>
      </c>
      <c r="G11" s="0" t="n">
        <f aca="false">G8+G10+G24</f>
        <v>26686.4759596804</v>
      </c>
      <c r="H11" s="0" t="n">
        <f aca="false">H8+H10+H24</f>
        <v>26948.9982453784</v>
      </c>
      <c r="I11" s="0" t="n">
        <f aca="false">I8+I10+I24</f>
        <v>26942.5240115657</v>
      </c>
      <c r="J11" s="0" t="n">
        <f aca="false">J8+J10+J24</f>
        <v>27346.6618717392</v>
      </c>
      <c r="K11" s="0" t="n">
        <f aca="false">K8+K10+K24</f>
        <v>28030.3284185327</v>
      </c>
      <c r="L11" s="0" t="n">
        <f aca="false">L8+L10+L24</f>
        <v>28731.086628996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-6026.6214</v>
      </c>
      <c r="D12" s="4" t="n">
        <f aca="false">-D6*Assumptions!D31/100</f>
        <v>-6283.2285954</v>
      </c>
      <c r="E12" s="4" t="n">
        <f aca="false">-E6*Assumptions!E31/100</f>
        <v>-6445.37643012</v>
      </c>
      <c r="F12" s="4" t="n">
        <f aca="false">-F6*Assumptions!F31/100</f>
        <v>-6648.76386413712</v>
      </c>
      <c r="G12" s="4" t="n">
        <f aca="false">-G6*Assumptions!G31/100</f>
        <v>-6711.09602536341</v>
      </c>
      <c r="H12" s="4" t="n">
        <f aca="false">-H6*Assumptions!H31/100</f>
        <v>-6717.0175806799</v>
      </c>
      <c r="I12" s="4" t="n">
        <f aca="false">-I6*Assumptions!I31/100</f>
        <v>-6571.34731989407</v>
      </c>
      <c r="J12" s="4" t="n">
        <f aca="false">-J6*Assumptions!J31/100</f>
        <v>-6669.91752969248</v>
      </c>
      <c r="K12" s="4" t="n">
        <f aca="false">-K6*Assumptions!K31/100</f>
        <v>-6836.66546793479</v>
      </c>
      <c r="L12" s="4" t="n">
        <f aca="false">-L6*Assumptions!L31/100</f>
        <v>-7007.58210463316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14781.08196</v>
      </c>
      <c r="D13" s="0" t="n">
        <f aca="false">D11+D12</f>
        <v>16214.783472</v>
      </c>
      <c r="E13" s="0" t="n">
        <f aca="false">E11+E12</f>
        <v>17760.592829664</v>
      </c>
      <c r="F13" s="0" t="n">
        <f aca="false">F11+F12</f>
        <v>18888.533704935</v>
      </c>
      <c r="G13" s="0" t="n">
        <f aca="false">G11+G12</f>
        <v>19975.379934317</v>
      </c>
      <c r="H13" s="0" t="n">
        <f aca="false">H11+H12</f>
        <v>20231.9806646985</v>
      </c>
      <c r="I13" s="0" t="n">
        <f aca="false">I11+I12</f>
        <v>20371.1766916716</v>
      </c>
      <c r="J13" s="0" t="n">
        <f aca="false">J11+J12</f>
        <v>20676.7443420467</v>
      </c>
      <c r="K13" s="0" t="n">
        <f aca="false">K11+K12</f>
        <v>21193.6629505979</v>
      </c>
      <c r="L13" s="0" t="n">
        <f aca="false">L11+L12</f>
        <v>21723.5045243628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22.5</v>
      </c>
      <c r="G14" s="4" t="n">
        <f aca="false">Assumptions!G33</f>
        <v>22.5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11529.2439288</v>
      </c>
      <c r="D15" s="0" t="n">
        <f aca="false">D13-MAX(0,D13)*D14/100</f>
        <v>12647.53110816</v>
      </c>
      <c r="E15" s="0" t="n">
        <f aca="false">E13-MAX(0,E13)*E14/100</f>
        <v>13853.2624071379</v>
      </c>
      <c r="F15" s="0" t="n">
        <f aca="false">F13-MAX(0,F13)*F14/100</f>
        <v>14638.6136213246</v>
      </c>
      <c r="G15" s="0" t="n">
        <f aca="false">G13-MAX(0,G13)*G14/100</f>
        <v>15480.9194490956</v>
      </c>
      <c r="H15" s="0" t="n">
        <f aca="false">H13-MAX(0,H13)*H14/100</f>
        <v>15578.6251118178</v>
      </c>
      <c r="I15" s="0" t="n">
        <f aca="false">I13-MAX(0,I13)*I14/100</f>
        <v>15685.8060525871</v>
      </c>
      <c r="J15" s="0" t="n">
        <f aca="false">J13-MAX(0,J13)*J14/100</f>
        <v>15921.093143376</v>
      </c>
      <c r="K15" s="0" t="n">
        <f aca="false">K13-MAX(0,K13)*K14/100</f>
        <v>16319.1204719603</v>
      </c>
      <c r="L15" s="0" t="n">
        <f aca="false">L13-MAX(0,L13)*L14/100</f>
        <v>16727.0984837594</v>
      </c>
    </row>
    <row r="16" customFormat="false" ht="15" hidden="false" customHeight="false" outlineLevel="0" collapsed="false">
      <c r="A16" s="0" t="s">
        <v>118</v>
      </c>
      <c r="C16" s="0" t="n">
        <f aca="false">-C12</f>
        <v>6026.6214</v>
      </c>
      <c r="D16" s="0" t="n">
        <f aca="false">-D12</f>
        <v>6283.2285954</v>
      </c>
      <c r="E16" s="0" t="n">
        <f aca="false">-E12</f>
        <v>6445.37643012</v>
      </c>
      <c r="F16" s="0" t="n">
        <f aca="false">-F12</f>
        <v>6648.76386413712</v>
      </c>
      <c r="G16" s="0" t="n">
        <f aca="false">-G12</f>
        <v>6711.09602536341</v>
      </c>
      <c r="H16" s="0" t="n">
        <f aca="false">-H12</f>
        <v>6717.0175806799</v>
      </c>
      <c r="I16" s="0" t="n">
        <f aca="false">-I12</f>
        <v>6571.34731989407</v>
      </c>
      <c r="J16" s="0" t="n">
        <f aca="false">-J12</f>
        <v>6669.91752969248</v>
      </c>
      <c r="K16" s="0" t="n">
        <f aca="false">-K12</f>
        <v>6836.66546793479</v>
      </c>
      <c r="L16" s="0" t="n">
        <f aca="false">-L12</f>
        <v>7007.58210463316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-7612.5744</v>
      </c>
      <c r="D17" s="4" t="n">
        <f aca="false">-D6*Assumptions!D32/100</f>
        <v>-7093.967769</v>
      </c>
      <c r="E17" s="4" t="n">
        <f aca="false">-E6*Assumptions!E32/100</f>
        <v>-7161.5293668</v>
      </c>
      <c r="F17" s="4" t="n">
        <f aca="false">-F6*Assumptions!F32/100</f>
        <v>-7177.6428078753</v>
      </c>
      <c r="G17" s="4" t="n">
        <f aca="false">-G6*Assumptions!G32/100</f>
        <v>-7105.86637979655</v>
      </c>
      <c r="H17" s="4" t="n">
        <f aca="false">-H6*Assumptions!H32/100</f>
        <v>-6878.87342599749</v>
      </c>
      <c r="I17" s="4" t="n">
        <f aca="false">-I6*Assumptions!I32/100</f>
        <v>-6571.34731989407</v>
      </c>
      <c r="J17" s="4" t="n">
        <f aca="false">-J6*Assumptions!J32/100</f>
        <v>-6669.91752969248</v>
      </c>
      <c r="K17" s="4" t="n">
        <f aca="false">-K6*Assumptions!K32/100</f>
        <v>-6836.66546793479</v>
      </c>
      <c r="L17" s="4" t="n">
        <f aca="false">-L6*Assumptions!L32/100</f>
        <v>-7007.58210463316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-469.912</v>
      </c>
      <c r="D18" s="4" t="n">
        <f aca="false">(D6-C6)*Assumptions!$B$37/100</f>
        <v>-412.34778</v>
      </c>
      <c r="E18" s="4" t="n">
        <f aca="false">(E6-D6)*Assumptions!$B$37/100</f>
        <v>-405.369586800001</v>
      </c>
      <c r="F18" s="4" t="n">
        <f aca="false">(F6-E6)*Assumptions!$B$37/100</f>
        <v>-393.884115174</v>
      </c>
      <c r="G18" s="4" t="n">
        <f aca="false">(G6-F6)*Assumptions!$B$37/100</f>
        <v>-339.99360668883</v>
      </c>
      <c r="H18" s="4" t="n">
        <f aca="false">(H6-G6)*Assumptions!$B$37/100</f>
        <v>-197.38517721657</v>
      </c>
      <c r="I18" s="4" t="n">
        <f aca="false">(I6-H6)*Assumptions!$B$37/100</f>
        <v>-121.39188398819</v>
      </c>
      <c r="J18" s="4" t="n">
        <f aca="false">(J6-I6)*Assumptions!$B$37/100</f>
        <v>-123.212762248013</v>
      </c>
      <c r="K18" s="4" t="n">
        <f aca="false">(K6-J6)*Assumptions!$B$37/100</f>
        <v>-208.434922802889</v>
      </c>
      <c r="L18" s="4" t="n">
        <f aca="false">(L6-K6)*Assumptions!$B$37/100</f>
        <v>-213.645795872962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9473.3789288</v>
      </c>
      <c r="D19" s="0" t="n">
        <f aca="false">D15+D16+D17+D18</f>
        <v>11424.44415456</v>
      </c>
      <c r="E19" s="0" t="n">
        <f aca="false">E15+E16+E17+E18</f>
        <v>12731.7398836579</v>
      </c>
      <c r="F19" s="0" t="n">
        <f aca="false">F15+F16+F17+F18</f>
        <v>13715.8505624124</v>
      </c>
      <c r="G19" s="0" t="n">
        <f aca="false">G15+G16+G17+G18</f>
        <v>14746.1554879737</v>
      </c>
      <c r="H19" s="0" t="n">
        <f aca="false">H15+H16+H17+H18</f>
        <v>15219.3840892837</v>
      </c>
      <c r="I19" s="0" t="n">
        <f aca="false">I15+I16+I17+I18</f>
        <v>15564.414168599</v>
      </c>
      <c r="J19" s="0" t="n">
        <f aca="false">J15+J16+J17+J18</f>
        <v>15797.8803811279</v>
      </c>
      <c r="K19" s="0" t="n">
        <f aca="false">K15+K16+K17+K18</f>
        <v>16110.6855491575</v>
      </c>
      <c r="L19" s="0" t="n">
        <f aca="false">L15+L16+L17+L18</f>
        <v>16513.4526878864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8812.44551516279</v>
      </c>
      <c r="D21" s="0" t="n">
        <f aca="false">D19*D20</f>
        <v>9885.94410345917</v>
      </c>
      <c r="E21" s="0" t="n">
        <f aca="false">E19*E20</f>
        <v>10248.5485875974</v>
      </c>
      <c r="F21" s="0" t="n">
        <f aca="false">F19*F20</f>
        <v>10270.436167468</v>
      </c>
      <c r="G21" s="0" t="n">
        <f aca="false">G19*G20</f>
        <v>10271.5618991251</v>
      </c>
      <c r="H21" s="0" t="n">
        <f aca="false">H19*H20</f>
        <v>9861.57522459774</v>
      </c>
      <c r="I21" s="0" t="n">
        <f aca="false">I19*I20</f>
        <v>9381.52691972747</v>
      </c>
      <c r="J21" s="0" t="n">
        <f aca="false">J19*J20</f>
        <v>8857.90681257989</v>
      </c>
      <c r="K21" s="0" t="n">
        <f aca="false">K19*K20</f>
        <v>8403.06731991724</v>
      </c>
      <c r="L21" s="0" t="n">
        <f aca="false">L19*L20</f>
        <v>8012.22697945598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94005.2395290908</v>
      </c>
    </row>
    <row r="31" customFormat="false" ht="15" hidden="false" customHeight="false" outlineLevel="0" collapsed="false">
      <c r="A31" s="0" t="s">
        <v>127</v>
      </c>
      <c r="B31" s="0" t="n">
        <f aca="false">L19</f>
        <v>16513.4526878864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338525.780101671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297242.148381955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297242.148381955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144220.085630208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238225.325159298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211261.325159298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10221.8812478902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-0.138847409613291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6269.58851905003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10455.1115894192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11031.1060233499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135410.312040668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3541.07353316337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9</v>
      </c>
      <c r="D5" s="4" t="n">
        <f aca="false">Assumptions!D41</f>
        <v>8</v>
      </c>
      <c r="E5" s="4" t="n">
        <f aca="false">Assumptions!E41</f>
        <v>7.5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4.5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58739</v>
      </c>
      <c r="C6" s="0" t="n">
        <f aca="false">B6*(1+C5/100)</f>
        <v>64025.51</v>
      </c>
      <c r="D6" s="0" t="n">
        <f aca="false">C6*(1+D5/100)</f>
        <v>69147.5508</v>
      </c>
      <c r="E6" s="0" t="n">
        <f aca="false">D6*(1+E5/100)</f>
        <v>74333.61711</v>
      </c>
      <c r="F6" s="0" t="n">
        <f aca="false">E6*(1+F5/100)</f>
        <v>79536.9703077</v>
      </c>
      <c r="G6" s="0" t="n">
        <f aca="false">F6*(1+G5/100)</f>
        <v>84309.188526162</v>
      </c>
      <c r="H6" s="0" t="n">
        <f aca="false">G6*(1+H5/100)</f>
        <v>88103.1020098393</v>
      </c>
      <c r="I6" s="0" t="n">
        <f aca="false">H6*(1+I5/100)</f>
        <v>91186.7105801837</v>
      </c>
      <c r="J6" s="0" t="n">
        <f aca="false">I6*(1+J5/100)</f>
        <v>93922.3118975892</v>
      </c>
      <c r="K6" s="0" t="n">
        <f aca="false">J6*(1+K5/100)</f>
        <v>96739.9812545169</v>
      </c>
      <c r="L6" s="0" t="n">
        <f aca="false">K6*(1+L5/100)</f>
        <v>99642.1806921524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34.5</v>
      </c>
      <c r="D7" s="4" t="n">
        <f aca="false">Assumptions!D42</f>
        <v>35.5</v>
      </c>
      <c r="E7" s="4" t="n">
        <f aca="false">Assumptions!E42</f>
        <v>36</v>
      </c>
      <c r="F7" s="4" t="n">
        <f aca="false">Assumptions!F42</f>
        <v>36.5</v>
      </c>
      <c r="G7" s="4" t="n">
        <f aca="false">Assumptions!G42</f>
        <v>37</v>
      </c>
      <c r="H7" s="4" t="n">
        <f aca="false">Assumptions!H42</f>
        <v>37</v>
      </c>
      <c r="I7" s="4" t="n">
        <f aca="false">Assumptions!I42</f>
        <v>37</v>
      </c>
      <c r="J7" s="4" t="n">
        <f aca="false">Assumptions!J42</f>
        <v>37</v>
      </c>
      <c r="K7" s="4" t="n">
        <f aca="false">Assumptions!K42</f>
        <v>37</v>
      </c>
      <c r="L7" s="4" t="n">
        <f aca="false">Assumptions!L42</f>
        <v>37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22088.80095</v>
      </c>
      <c r="D8" s="0" t="n">
        <f aca="false">D6*D7/100</f>
        <v>24547.380534</v>
      </c>
      <c r="E8" s="0" t="n">
        <f aca="false">E6*E7/100</f>
        <v>26760.1021596</v>
      </c>
      <c r="F8" s="0" t="n">
        <f aca="false">F6*F7/100</f>
        <v>29030.9941623105</v>
      </c>
      <c r="G8" s="0" t="n">
        <f aca="false">G6*G7/100</f>
        <v>31194.3997546799</v>
      </c>
      <c r="H8" s="0" t="n">
        <f aca="false">H6*H7/100</f>
        <v>32598.1477436405</v>
      </c>
      <c r="I8" s="0" t="n">
        <f aca="false">I6*I7/100</f>
        <v>33739.082914668</v>
      </c>
      <c r="J8" s="0" t="n">
        <f aca="false">J6*J7/100</f>
        <v>34751.255402108</v>
      </c>
      <c r="K8" s="0" t="n">
        <f aca="false">K6*K7/100</f>
        <v>35793.7930641712</v>
      </c>
      <c r="L8" s="0" t="n">
        <f aca="false">L6*L7/100</f>
        <v>36867.6068560964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1.2</v>
      </c>
      <c r="D9" s="4" t="n">
        <f aca="false">Assumptions!D43</f>
        <v>1.2</v>
      </c>
      <c r="E9" s="4" t="n">
        <f aca="false">Assumptions!E43</f>
        <v>1.2</v>
      </c>
      <c r="F9" s="4" t="n">
        <f aca="false">Assumptions!F43</f>
        <v>1.2</v>
      </c>
      <c r="G9" s="4" t="n">
        <f aca="false">Assumptions!G43</f>
        <v>1.2</v>
      </c>
      <c r="H9" s="4" t="n">
        <f aca="false">Assumptions!H43</f>
        <v>1.2</v>
      </c>
      <c r="I9" s="4" t="n">
        <f aca="false">Assumptions!I43</f>
        <v>1.2</v>
      </c>
      <c r="J9" s="4" t="n">
        <f aca="false">Assumptions!J43</f>
        <v>1.2</v>
      </c>
      <c r="K9" s="4" t="n">
        <f aca="false">Assumptions!K43</f>
        <v>1.2</v>
      </c>
      <c r="L9" s="4" t="n">
        <f aca="false">Assumptions!L43</f>
        <v>1.2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-768.30612</v>
      </c>
      <c r="D10" s="0" t="n">
        <f aca="false">-D6*D9/100</f>
        <v>-829.7706096</v>
      </c>
      <c r="E10" s="0" t="n">
        <f aca="false">-E6*E9/100</f>
        <v>-892.00340532</v>
      </c>
      <c r="F10" s="0" t="n">
        <f aca="false">-F6*F9/100</f>
        <v>-954.4436436924</v>
      </c>
      <c r="G10" s="0" t="n">
        <f aca="false">-G6*G9/100</f>
        <v>-1011.71026231394</v>
      </c>
      <c r="H10" s="0" t="n">
        <f aca="false">-H6*H9/100</f>
        <v>-1057.23722411807</v>
      </c>
      <c r="I10" s="0" t="n">
        <f aca="false">-I6*I9/100</f>
        <v>-1094.2405269622</v>
      </c>
      <c r="J10" s="0" t="n">
        <f aca="false">-J6*J9/100</f>
        <v>-1127.06774277107</v>
      </c>
      <c r="K10" s="0" t="n">
        <f aca="false">-K6*K9/100</f>
        <v>-1160.8797750542</v>
      </c>
      <c r="L10" s="0" t="n">
        <f aca="false">-L6*L9/100</f>
        <v>-1195.70616830583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21320.49483</v>
      </c>
      <c r="D11" s="0" t="n">
        <f aca="false">D8+D10+D24</f>
        <v>23717.6099244</v>
      </c>
      <c r="E11" s="0" t="n">
        <f aca="false">E8+E10+E24</f>
        <v>25868.09875428</v>
      </c>
      <c r="F11" s="0" t="n">
        <f aca="false">F8+F10+F24</f>
        <v>28076.5505186181</v>
      </c>
      <c r="G11" s="0" t="n">
        <f aca="false">G8+G10+G24</f>
        <v>30182.689492366</v>
      </c>
      <c r="H11" s="0" t="n">
        <f aca="false">H8+H10+H24</f>
        <v>31540.9105195225</v>
      </c>
      <c r="I11" s="0" t="n">
        <f aca="false">I8+I10+I24</f>
        <v>32644.8423877058</v>
      </c>
      <c r="J11" s="0" t="n">
        <f aca="false">J8+J10+J24</f>
        <v>33624.1876593369</v>
      </c>
      <c r="K11" s="0" t="n">
        <f aca="false">K8+K10+K24</f>
        <v>34632.913289117</v>
      </c>
      <c r="L11" s="0" t="n">
        <f aca="false">L8+L10+L24</f>
        <v>35671.9006877906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-6082.42345</v>
      </c>
      <c r="D12" s="4" t="n">
        <f aca="false">-D6*Assumptions!D45/100</f>
        <v>-6430.7222244</v>
      </c>
      <c r="E12" s="4" t="n">
        <f aca="false">-E6*Assumptions!E45/100</f>
        <v>-6690.0255399</v>
      </c>
      <c r="F12" s="4" t="n">
        <f aca="false">-F6*Assumptions!F45/100</f>
        <v>-6999.2533870776</v>
      </c>
      <c r="G12" s="4" t="n">
        <f aca="false">-G6*Assumptions!G45/100</f>
        <v>-7166.28102472377</v>
      </c>
      <c r="H12" s="4" t="n">
        <f aca="false">-H6*Assumptions!H45/100</f>
        <v>-7312.55746681666</v>
      </c>
      <c r="I12" s="4" t="n">
        <f aca="false">-I6*Assumptions!I45/100</f>
        <v>-7294.93684641469</v>
      </c>
      <c r="J12" s="4" t="n">
        <f aca="false">-J6*Assumptions!J45/100</f>
        <v>-7513.78495180713</v>
      </c>
      <c r="K12" s="4" t="n">
        <f aca="false">-K6*Assumptions!K45/100</f>
        <v>-7739.19850036135</v>
      </c>
      <c r="L12" s="4" t="n">
        <f aca="false">-L6*Assumptions!L45/100</f>
        <v>-7971.37445537219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15238.07138</v>
      </c>
      <c r="D13" s="0" t="n">
        <f aca="false">D11+D12</f>
        <v>17286.8877</v>
      </c>
      <c r="E13" s="0" t="n">
        <f aca="false">E11+E12</f>
        <v>19178.07321438</v>
      </c>
      <c r="F13" s="0" t="n">
        <f aca="false">F11+F12</f>
        <v>21077.2971315405</v>
      </c>
      <c r="G13" s="0" t="n">
        <f aca="false">G11+G12</f>
        <v>23016.4084676422</v>
      </c>
      <c r="H13" s="0" t="n">
        <f aca="false">H11+H12</f>
        <v>24228.3530527058</v>
      </c>
      <c r="I13" s="0" t="n">
        <f aca="false">I11+I12</f>
        <v>25349.9055412911</v>
      </c>
      <c r="J13" s="0" t="n">
        <f aca="false">J11+J12</f>
        <v>26110.4027075298</v>
      </c>
      <c r="K13" s="0" t="n">
        <f aca="false">K11+K12</f>
        <v>26893.7147887557</v>
      </c>
      <c r="L13" s="0" t="n">
        <f aca="false">L11+L12</f>
        <v>27700.5262324184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22.5</v>
      </c>
      <c r="G14" s="4" t="n">
        <f aca="false">Assumptions!G47</f>
        <v>22.5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11885.6956764</v>
      </c>
      <c r="D15" s="0" t="n">
        <f aca="false">D13-MAX(0,D13)*D14/100</f>
        <v>13483.772406</v>
      </c>
      <c r="E15" s="0" t="n">
        <f aca="false">E13-MAX(0,E13)*E14/100</f>
        <v>14958.8971072164</v>
      </c>
      <c r="F15" s="0" t="n">
        <f aca="false">F13-MAX(0,F13)*F14/100</f>
        <v>16334.9052769439</v>
      </c>
      <c r="G15" s="0" t="n">
        <f aca="false">G13-MAX(0,G13)*G14/100</f>
        <v>17837.7165624227</v>
      </c>
      <c r="H15" s="0" t="n">
        <f aca="false">H13-MAX(0,H13)*H14/100</f>
        <v>18655.8318505835</v>
      </c>
      <c r="I15" s="0" t="n">
        <f aca="false">I13-MAX(0,I13)*I14/100</f>
        <v>19519.4272667941</v>
      </c>
      <c r="J15" s="0" t="n">
        <f aca="false">J13-MAX(0,J13)*J14/100</f>
        <v>20105.0100847979</v>
      </c>
      <c r="K15" s="0" t="n">
        <f aca="false">K13-MAX(0,K13)*K14/100</f>
        <v>20708.1603873419</v>
      </c>
      <c r="L15" s="0" t="n">
        <f aca="false">L13-MAX(0,L13)*L14/100</f>
        <v>21329.4051989621</v>
      </c>
    </row>
    <row r="16" customFormat="false" ht="15" hidden="false" customHeight="false" outlineLevel="0" collapsed="false">
      <c r="A16" s="0" t="s">
        <v>118</v>
      </c>
      <c r="C16" s="0" t="n">
        <f aca="false">-C12</f>
        <v>6082.42345</v>
      </c>
      <c r="D16" s="0" t="n">
        <f aca="false">-D12</f>
        <v>6430.7222244</v>
      </c>
      <c r="E16" s="0" t="n">
        <f aca="false">-E12</f>
        <v>6690.0255399</v>
      </c>
      <c r="F16" s="0" t="n">
        <f aca="false">-F12</f>
        <v>6999.2533870776</v>
      </c>
      <c r="G16" s="0" t="n">
        <f aca="false">-G12</f>
        <v>7166.28102472377</v>
      </c>
      <c r="H16" s="0" t="n">
        <f aca="false">-H12</f>
        <v>7312.55746681666</v>
      </c>
      <c r="I16" s="0" t="n">
        <f aca="false">-I12</f>
        <v>7294.93684641469</v>
      </c>
      <c r="J16" s="0" t="n">
        <f aca="false">-J12</f>
        <v>7513.78495180713</v>
      </c>
      <c r="K16" s="0" t="n">
        <f aca="false">-K12</f>
        <v>7739.19850036135</v>
      </c>
      <c r="L16" s="0" t="n">
        <f aca="false">-L12</f>
        <v>7971.37445537219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-7683.0612</v>
      </c>
      <c r="D17" s="4" t="n">
        <f aca="false">-D6*Assumptions!D46/100</f>
        <v>-7260.492834</v>
      </c>
      <c r="E17" s="4" t="n">
        <f aca="false">-E6*Assumptions!E46/100</f>
        <v>-7061.69362545</v>
      </c>
      <c r="F17" s="4" t="n">
        <f aca="false">-F6*Assumptions!F46/100</f>
        <v>-7158.327327693</v>
      </c>
      <c r="G17" s="4" t="n">
        <f aca="false">-G6*Assumptions!G46/100</f>
        <v>-7166.28102472377</v>
      </c>
      <c r="H17" s="4" t="n">
        <f aca="false">-H6*Assumptions!H46/100</f>
        <v>-7048.24816078714</v>
      </c>
      <c r="I17" s="4" t="n">
        <f aca="false">-I6*Assumptions!I46/100</f>
        <v>-6839.00329351378</v>
      </c>
      <c r="J17" s="4" t="n">
        <f aca="false">-J6*Assumptions!J46/100</f>
        <v>-7044.17339231919</v>
      </c>
      <c r="K17" s="4" t="n">
        <f aca="false">-K6*Assumptions!K46/100</f>
        <v>-7255.49859408877</v>
      </c>
      <c r="L17" s="4" t="n">
        <f aca="false">-L6*Assumptions!L46/100</f>
        <v>-7473.16355191143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-528.651</v>
      </c>
      <c r="D18" s="4" t="n">
        <f aca="false">(D6-C6)*Assumptions!$B$51/100</f>
        <v>-512.204080000001</v>
      </c>
      <c r="E18" s="4" t="n">
        <f aca="false">(E6-D6)*Assumptions!$B$51/100</f>
        <v>-518.606630999999</v>
      </c>
      <c r="F18" s="4" t="n">
        <f aca="false">(F6-E6)*Assumptions!$B$51/100</f>
        <v>-520.335319770001</v>
      </c>
      <c r="G18" s="4" t="n">
        <f aca="false">(G6-F6)*Assumptions!$B$51/100</f>
        <v>-477.2218218462</v>
      </c>
      <c r="H18" s="4" t="n">
        <f aca="false">(H6-G6)*Assumptions!$B$51/100</f>
        <v>-379.391348367729</v>
      </c>
      <c r="I18" s="4" t="n">
        <f aca="false">(I6-H6)*Assumptions!$B$51/100</f>
        <v>-308.360857034437</v>
      </c>
      <c r="J18" s="4" t="n">
        <f aca="false">(J6-I6)*Assumptions!$B$51/100</f>
        <v>-273.560131740551</v>
      </c>
      <c r="K18" s="4" t="n">
        <f aca="false">(K6-J6)*Assumptions!$B$51/100</f>
        <v>-281.766935692768</v>
      </c>
      <c r="L18" s="4" t="n">
        <f aca="false">(L6-K6)*Assumptions!$B$51/100</f>
        <v>-290.219943763551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9756.4069264</v>
      </c>
      <c r="D19" s="0" t="n">
        <f aca="false">D15+D16+D17+D18</f>
        <v>12141.7977164</v>
      </c>
      <c r="E19" s="0" t="n">
        <f aca="false">E15+E16+E17+E18</f>
        <v>14068.6223906664</v>
      </c>
      <c r="F19" s="0" t="n">
        <f aca="false">F15+F16+F17+F18</f>
        <v>15655.4960165585</v>
      </c>
      <c r="G19" s="0" t="n">
        <f aca="false">G15+G16+G17+G18</f>
        <v>17360.4947405765</v>
      </c>
      <c r="H19" s="0" t="n">
        <f aca="false">H15+H16+H17+H18</f>
        <v>18540.7498082453</v>
      </c>
      <c r="I19" s="0" t="n">
        <f aca="false">I15+I16+I17+I18</f>
        <v>19666.9999626606</v>
      </c>
      <c r="J19" s="0" t="n">
        <f aca="false">J15+J16+J17+J18</f>
        <v>20301.0615125453</v>
      </c>
      <c r="K19" s="0" t="n">
        <f aca="false">K15+K16+K17+K18</f>
        <v>20910.0933579217</v>
      </c>
      <c r="L19" s="0" t="n">
        <f aca="false">L15+L16+L17+L18</f>
        <v>21537.3961586594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9075.72737339535</v>
      </c>
      <c r="D21" s="0" t="n">
        <f aca="false">D19*D20</f>
        <v>10506.6935350135</v>
      </c>
      <c r="E21" s="0" t="n">
        <f aca="false">E19*E20</f>
        <v>11324.6862918064</v>
      </c>
      <c r="F21" s="0" t="n">
        <f aca="false">F19*F20</f>
        <v>11722.8437111109</v>
      </c>
      <c r="G21" s="0" t="n">
        <f aca="false">G19*G20</f>
        <v>12092.6024734174</v>
      </c>
      <c r="H21" s="0" t="n">
        <f aca="false">H19*H20</f>
        <v>12013.6923992344</v>
      </c>
      <c r="I21" s="0" t="n">
        <f aca="false">I19*I20</f>
        <v>11854.3806134522</v>
      </c>
      <c r="J21" s="0" t="n">
        <f aca="false">J19*J20</f>
        <v>11382.8505303406</v>
      </c>
      <c r="K21" s="0" t="n">
        <f aca="false">K19*K20</f>
        <v>10906.3591127914</v>
      </c>
      <c r="L21" s="0" t="n">
        <f aca="false">L19*L20</f>
        <v>10449.8138476048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111329.649888167</v>
      </c>
    </row>
    <row r="31" customFormat="false" ht="15" hidden="false" customHeight="false" outlineLevel="0" collapsed="false">
      <c r="A31" s="0" t="s">
        <v>127</v>
      </c>
      <c r="B31" s="0" t="n">
        <f aca="false">L19</f>
        <v>21537.3961586594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492967.067631536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430747.923173187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430747.923173187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208996.276952096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320325.926840263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293361.926840263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14194.3196491468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0.195814629245732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6732.3642841113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13278.974535143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15162.5684702099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184862.650361826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4671.18612445445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5995.52180293736</v>
      </c>
      <c r="C4" s="0" t="n">
        <f aca="false">B4/Assumptions!$B$2-1</f>
        <v>-0.494901280291714</v>
      </c>
      <c r="D4" s="4" t="n">
        <f aca="false">Assumptions!$B$24</f>
        <v>0.25</v>
      </c>
      <c r="E4" s="4" t="n">
        <f aca="false">DCF_Bear!$B$43</f>
        <v>6602.66451237219</v>
      </c>
      <c r="F4" s="4" t="n">
        <f aca="false">DCF_Bear!$B$47</f>
        <v>2215.97398321069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10221.8812478902</v>
      </c>
      <c r="C5" s="0" t="n">
        <f aca="false">B5/Assumptions!$B$2-1</f>
        <v>-0.138847409613291</v>
      </c>
      <c r="D5" s="4" t="n">
        <f aca="false">Assumptions!$B$38</f>
        <v>0.5</v>
      </c>
      <c r="E5" s="4" t="n">
        <f aca="false">DCF_Base!$B$43</f>
        <v>11031.1060233499</v>
      </c>
      <c r="F5" s="4" t="n">
        <f aca="false">DCF_Base!$B$47</f>
        <v>3541.07353316337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14194.3196491468</v>
      </c>
      <c r="C6" s="0" t="n">
        <f aca="false">B6/Assumptions!$B$2-1</f>
        <v>0.195814629245732</v>
      </c>
      <c r="D6" s="4" t="n">
        <f aca="false">Assumptions!$B$52</f>
        <v>0.25</v>
      </c>
      <c r="E6" s="4" t="n">
        <f aca="false">DCF_Bull!$B$43</f>
        <v>15162.5684702099</v>
      </c>
      <c r="F6" s="4" t="n">
        <f aca="false">DCF_Bull!$B$47</f>
        <v>4671.18612445445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10158.4009869662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10956.8612573205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-0.168490987432955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214.362451906882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3492.32679349797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10221.8812478902</v>
      </c>
      <c r="C15" s="3" t="n">
        <v>7.5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8243.99349503819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6935.38814389148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5935.51095504605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5146.84787957454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3541.07353316337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12151.4396101588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12151.4396101588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12151.4396101588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12151.4396101588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12151.4396101588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11140.4627155336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11140.4627155336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11140.4627155336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11140.4627155336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11140.4627155336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9801.90359521527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10221.8812478902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10221.8812478902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10221.8812478902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10221.8812478902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8149.4004273847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8570.74721013222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9062.318456671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9386.25711222421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9386.25711222421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6912.4032289432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7206.60169195531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7542.82850682628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7930.7825239851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8383.39554400372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2026-10-04T12:50:24Z</dcterms:created>
  <dc:creator>openpyxl</dc:creator>
  <dc:description/>
  <dc:language>en-NZ</dc:language>
  <cp:lastModifiedBy/>
  <dcterms:modified xsi:type="dcterms:W3CDTF">2026-10-04T12:50:24Z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