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<sst xmlns="http://schemas.openxmlformats.org/spreadsheetml/2006/main" count="387" uniqueCount="174">
  <si>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</si>
  <si>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NDAQ</t>
  </si>
  <si>
    <t xml:space="preserve">Company</t>
  </si>
  <si>
    <t xml:space="preserve">Nasdaq,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</si>
  <si>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</si>
  <si>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</si>
  <si>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</si>
  <si>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</si>
  <si>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2026-10-01T20:00:01Z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</si>
  <si>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</si>
  <si>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</si>
  <si>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</si>
  <si>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</si>
  <si>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</si>
  <si>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</si>
  <si>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</si>
  <si>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</si>
  <si>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</si>
  <si>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</si>
  <si>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</si>
  <si>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</si>
  <si>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2026-10-02T02:30:45Z</t>
  </si>
  <si>
    <t xml:space="preserve">Drivers file</t>
  </si>
  <si>
    <t xml:space="preserve">NDAQ_Drivers.json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</si>
  <si>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</si>
  <si>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</si>
  <si>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</si>
  <si>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NET revenue (revenues less transaction-based expenses), SBC and equity-award taxes fully expensed with a flat diluted share count, component-built margins over a 10-year horizon, terminal value the lower of Gordon (3%) and a 20x FCF cap, 8% WACC applied identically across scenarios with risk carried in driver paths and probability weights (20/50/30). Net debt of $8.2B at 2026-06-30 is deducted once; clearing-member default funds and margin deposits are excluded from cash.
key_risks_to_valuation: FY2026 base-year anchors (net revenue +13-14%, 58% margin) are struck in a record capital-markets year; a reversal in IPO activity, index AUM or options volumes hits all three segments at once.; EU antitrust investigation (Nordic derivatives, with Deutsche Borse): a fine and conduct remedies are unquantified and sit only in the bear path and bear weight.; ~$8.2B of net debt (2.8x EBITDA) from the Adenza deal makes the equity value sensitive to the WACC and terminal assumptions; each 1pt of WACC moves the base value materially (see sensitivity grid).; Off-exchange trading migration and SEC market-structure rulemaking could erode Market Services economics faster than the base path assumes.; Terminal value is capped at 20x FCF in base and bull; the cap binds, so the valuation does not assume multiple expansion but does assume the mature business is still worth a compounder multiple.</t>
  </si>
  <si>
    <t xml:space="preserve">Data sources</t>
  </si>
  <si>
    <t xml:space="preserve">price: Yahoo Finance chart API at inputs.price_as_of (regular close); 52-week range 76.55-101.79.
financials: research/NDAQ/Reports/NDAQ_Metrics.csv (SEC XBRL via build_facts_xbrl.py; 10-K FY2025, 10-Q Q2 2026) and the kpis table (buybacks, cash taxes, equity-award taxes, deferred revenue, D&amp;A, interest income).
qualitative: research/NDAQ/Reports/NDAQ_Analysis.json (2026-10-02): segments, Q2 2026 results and FY2026 guidance (non-GAAP opex $2.53-2.57B, non-GAAP tax 22.5-24.5%, ARR $3.3B +12%), Adenza deleveraging, EU antitrust probe, 23/5 and tokenisation initiatives.</t>
  </si>
  <si>
    <t xml:space="preserve">Scenario narrative: bear</t>
  </si>
  <si>
    <t xml:space="preserve">FY2026's capital-markets tailwinds reverse in FY2027-28: IPO activity dries up, index AUM and options volumes fall, and off-exchange trading (&gt;50% of Nasdaq-listed volume) keeps eroding cash-equities economics. Fintech bookings slow as big-bank implementations stretch, so ARR growth drops to mid-single digits; the EU antitrust investigation ends in a fine and conduct remedies in Nordic derivatives. Growth settles at ~3% with margins back near 55%, leverage stays near 3x and the capital-return acceleration is paused.</t>
  </si>
  <si>
    <t xml:space="preserve">Scenario narrative: base</t>
  </si>
  <si>
    <t xml:space="preserve">Nasdaq completes its transition to a majority-recurring financial-technology and data company. Net revenue grows 13% in FY2026 on an exceptional capital-markets year (SpaceX IPO, record options volumes, record index inflows), then decelerates through 9% to mid-single digits as ARR growth of ~12% (Fintech ~16%) is blended with high-single-digit Market Services and Capital Access growth. GAAP EBITDA margin expands roughly 0.5pt a year from 58% to 61% as software revenue scales against a reinvested cost base. Deleveraging continues and buybacks hold the diluted count flat. The EU antitrust probe resolves without structural remedies.</t>
  </si>
  <si>
    <t xml:space="preserve">Scenario narrative: bull</t>
  </si>
  <si>
    <t xml:space="preserve">The Adenza thesis compounds: Verafin's consortium network and AxiomSL/Calypso's regulatory embedding drive mid-teens Fintech ARR growth for several more years, index AUM keeps compounding from the $1T mark, the IPO window stays open, and the December-2026 23/5 launch plus 2027 tokenised equities with Kraken add a new Market Services leg. Operating leverage lifts the EBITDA margin to 64% by FY2033, and net revenue roughly 2.3x over the decade.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</si>
  <si>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</si>
  <si>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</si>
  <si>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</si>
  <si>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</si>
  <si>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</si>
  <si>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</si>
  <si>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</si>
  <si>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</si>
  <si>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</si>
  <si>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</si>
  <si>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</si>
  <si>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</si>
  <si>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</si>
  <si>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</si>
  <si>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</si>
  <si>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</si>
  <si>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</si>
  <si>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</si>
  <si>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</si>
  <si>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</si>
  <si>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</si>
  <si>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</si>
  <si>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</si>
  <si>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</si>
  <si>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</si>
  <si>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</si>
  <si>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</si>
  <si>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</si>
  <si>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</si>
  <si>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</si>
  <si>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</si>
  <si>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</si>
  <si>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</si>
  <si>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</si>
  <si>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</si>
  <si>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</si>
  <si>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</si>
  <si>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</si>
  <si>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</si>
  <si>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</si>
  <si>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</si>
  <si>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</si>
  <si>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</si>
  <si>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</si>
  <si>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</si>
  <si>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</si>
  <si>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</si>
  <si>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</si>
  <si>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</si>
  <si>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</si>
  <si>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</si>
  <si>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</si>
  <si>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</si>
  <si>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</si>
  <si>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</si>
  <si>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</si>
  <si>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</si>
  <si>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</si>
  <si>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</si>
  <si>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</si>
  <si>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</si>
  <si>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</si>
  <si>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</si>
  <si>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</si>
  <si>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</si>
  <si>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</si>
  <si>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</si>
  <si>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</si>
  <si>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</si>
  <si>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</si>
  <si>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</si>
  <si>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</si>
  <si>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</si>
  <si>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</si>
  <si>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</si>
  <si>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</si>
  <si>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</si>
  <si>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</si>
  <si>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</si>
  <si>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</si>
  <si>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</si>
  <si>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</si>
  <si>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</si>
  <si>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NDAQ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</si>
  <si>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</si>
  <si>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</si>
  <si>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</si>
  <si>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</si>
  <si>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</si>
  <si>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</si>
  <si>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</si>
  <si>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</si>
  <si>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</si>
  <si>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</si>
  <si>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</si>
  <si>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</si>
  <si>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</si>
  <si>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</si>
  <si>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</si>
  <si>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</si>
  <si>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</si>
  <si>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</si>
  <si>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</si>
  <si>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</si>
  <si>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</si>
  <si>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</si>
  <si>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</si>
  <si>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</si>
  <si>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</si>
  <si>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</si>
  <si>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</si>
  <si>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</si>
  <si>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</si>
  <si>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</si>
  <si>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NDAQ owner-FCF component DCF: base case (millions, USD)</t>
  </si>
  <si>
    <t xml:space="preserve">NDAQ owner-FCF component DCF: bull case (millions, USD)</t>
  </si>
  <si>
    <t xml:space="preserve">NDAQ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</si>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</sst>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91.67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2207</v>
      </c>
      <c r="S2" s="0" t="n">
        <v>1325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3650</v>
      </c>
      <c r="C3" s="0" t="n">
        <v>2190</v>
      </c>
      <c r="D3" s="0" t="n">
        <v>1460</v>
      </c>
      <c r="E3" s="0" t="n">
        <v>40</v>
      </c>
      <c r="F3" s="0" t="n">
        <v>640</v>
      </c>
      <c r="G3" s="0" t="n">
        <v>17.5342465753425</v>
      </c>
      <c r="H3" s="0" t="n">
        <v>733</v>
      </c>
      <c r="I3" s="0" t="n">
        <v>315</v>
      </c>
      <c r="J3" s="0" t="n">
        <v>8.63013698630137</v>
      </c>
      <c r="K3" s="0" t="n">
        <v>1.65</v>
      </c>
      <c r="L3" s="0" t="n">
        <v>216</v>
      </c>
      <c r="M3" s="0" t="n">
        <v>55</v>
      </c>
      <c r="N3" s="0" t="n">
        <v>161</v>
      </c>
      <c r="O3" s="0" t="n">
        <v>4303</v>
      </c>
      <c r="S3" s="0" t="n">
        <v>374</v>
      </c>
      <c r="U3" s="0" t="n">
        <v>26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3411</v>
      </c>
      <c r="C4" s="0" t="n">
        <v>1958</v>
      </c>
      <c r="D4" s="0" t="n">
        <v>1453</v>
      </c>
      <c r="E4" s="0" t="n">
        <v>42.597478745236</v>
      </c>
      <c r="F4" s="0" t="n">
        <v>603</v>
      </c>
      <c r="G4" s="0" t="n">
        <v>17.6781002638522</v>
      </c>
      <c r="H4" s="0" t="n">
        <v>707</v>
      </c>
      <c r="I4" s="0" t="n">
        <v>266</v>
      </c>
      <c r="J4" s="0" t="n">
        <v>7.79829961888009</v>
      </c>
      <c r="K4" s="0" t="n">
        <v>1.3</v>
      </c>
      <c r="L4" s="0" t="n">
        <v>582</v>
      </c>
      <c r="M4" s="0" t="n">
        <v>59</v>
      </c>
      <c r="N4" s="0" t="n">
        <v>523</v>
      </c>
      <c r="O4" s="0" t="n">
        <v>4944</v>
      </c>
      <c r="P4" s="0" t="n">
        <v>10722</v>
      </c>
      <c r="Q4" s="0" t="n">
        <v>5763</v>
      </c>
      <c r="R4" s="0" t="n">
        <v>2092</v>
      </c>
      <c r="S4" s="0" t="n">
        <v>594</v>
      </c>
      <c r="T4" s="0" t="n">
        <v>214.537907</v>
      </c>
      <c r="U4" s="0" t="n">
        <v>35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3191</v>
      </c>
      <c r="C5" s="0" t="n">
        <v>1675</v>
      </c>
      <c r="D5" s="0" t="n">
        <v>1516</v>
      </c>
      <c r="E5" s="0" t="n">
        <v>47.5086179880915</v>
      </c>
      <c r="F5" s="0" t="n">
        <v>631</v>
      </c>
      <c r="G5" s="0" t="n">
        <v>19.7743654026951</v>
      </c>
      <c r="H5" s="0" t="n">
        <v>734</v>
      </c>
      <c r="I5" s="0" t="n">
        <v>395</v>
      </c>
      <c r="J5" s="0" t="n">
        <v>12.378564713256</v>
      </c>
      <c r="K5" s="0" t="n">
        <v>1.94</v>
      </c>
      <c r="L5" s="0" t="n">
        <v>440</v>
      </c>
      <c r="M5" s="0" t="n">
        <v>42</v>
      </c>
      <c r="N5" s="0" t="n">
        <v>398</v>
      </c>
      <c r="O5" s="0" t="n">
        <v>4729</v>
      </c>
      <c r="P5" s="0" t="n">
        <v>16207</v>
      </c>
      <c r="Q5" s="0" t="n">
        <v>11478</v>
      </c>
      <c r="R5" s="0" t="n">
        <v>2461</v>
      </c>
      <c r="S5" s="0" t="n">
        <v>315</v>
      </c>
      <c r="T5" s="0" t="n">
        <v>206.514655</v>
      </c>
      <c r="U5" s="0" t="n">
        <v>33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3438</v>
      </c>
      <c r="C6" s="0" t="n">
        <v>1748</v>
      </c>
      <c r="D6" s="0" t="n">
        <v>1690</v>
      </c>
      <c r="E6" s="0" t="n">
        <v>49.1564863292612</v>
      </c>
      <c r="F6" s="0" t="n">
        <v>696</v>
      </c>
      <c r="G6" s="0" t="n">
        <v>20.2443280977312</v>
      </c>
      <c r="H6" s="0" t="n">
        <v>805</v>
      </c>
      <c r="I6" s="0" t="n">
        <v>387</v>
      </c>
      <c r="J6" s="0" t="n">
        <v>11.2565445026178</v>
      </c>
      <c r="K6" s="0" t="n">
        <v>2.2</v>
      </c>
      <c r="L6" s="0" t="n">
        <v>669</v>
      </c>
      <c r="M6" s="0" t="n">
        <v>88</v>
      </c>
      <c r="N6" s="0" t="n">
        <v>581</v>
      </c>
      <c r="O6" s="0" t="n">
        <v>4986</v>
      </c>
      <c r="P6" s="0" t="n">
        <v>14091</v>
      </c>
      <c r="Q6" s="0" t="n">
        <v>9105</v>
      </c>
      <c r="R6" s="0" t="n">
        <v>2162</v>
      </c>
      <c r="S6" s="0" t="n">
        <v>506</v>
      </c>
      <c r="T6" s="0" t="n">
        <v>180.011247</v>
      </c>
      <c r="U6" s="0" t="n">
        <v>36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3120</v>
      </c>
      <c r="C7" s="0" t="n">
        <v>1446</v>
      </c>
      <c r="D7" s="0" t="n">
        <v>1674</v>
      </c>
      <c r="E7" s="0" t="n">
        <v>53.6538461538462</v>
      </c>
      <c r="F7" s="0" t="n">
        <v>690</v>
      </c>
      <c r="G7" s="0" t="n">
        <v>22.1153846153846</v>
      </c>
      <c r="H7" s="0" t="n">
        <v>794</v>
      </c>
      <c r="I7" s="0" t="n">
        <v>352</v>
      </c>
      <c r="J7" s="0" t="n">
        <v>11.2820512820513</v>
      </c>
      <c r="K7" s="0" t="n">
        <v>2.09</v>
      </c>
      <c r="L7" s="0" t="n">
        <v>594</v>
      </c>
      <c r="M7" s="0" t="n">
        <v>87</v>
      </c>
      <c r="N7" s="0" t="n">
        <v>507</v>
      </c>
      <c r="O7" s="0" t="n">
        <v>5209</v>
      </c>
      <c r="P7" s="0" t="n">
        <v>9132</v>
      </c>
      <c r="Q7" s="0" t="n">
        <v>3923</v>
      </c>
      <c r="R7" s="0" t="n">
        <v>2112</v>
      </c>
      <c r="S7" s="0" t="n">
        <v>497</v>
      </c>
      <c r="T7" s="0" t="n">
        <v>172.58787</v>
      </c>
      <c r="U7" s="0" t="n">
        <v>46</v>
      </c>
      <c r="V7" s="0" t="n">
        <v>0.39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3211</v>
      </c>
      <c r="C8" s="0" t="n">
        <v>1316</v>
      </c>
      <c r="D8" s="0" t="n">
        <v>1895</v>
      </c>
      <c r="E8" s="0" t="n">
        <v>59.0158829025226</v>
      </c>
      <c r="F8" s="0" t="n">
        <v>688</v>
      </c>
      <c r="G8" s="0" t="n">
        <v>21.4263469324198</v>
      </c>
      <c r="H8" s="0" t="n">
        <v>810</v>
      </c>
      <c r="I8" s="0" t="n">
        <v>385</v>
      </c>
      <c r="J8" s="0" t="n">
        <v>11.9900342572407</v>
      </c>
      <c r="K8" s="0" t="n">
        <v>2.3</v>
      </c>
      <c r="M8" s="0" t="n">
        <v>115</v>
      </c>
      <c r="O8" s="0" t="n">
        <v>6184</v>
      </c>
      <c r="P8" s="0" t="n">
        <v>12563</v>
      </c>
      <c r="Q8" s="0" t="n">
        <v>6393</v>
      </c>
      <c r="R8" s="0" t="n">
        <v>2679</v>
      </c>
      <c r="S8" s="0" t="n">
        <v>398</v>
      </c>
      <c r="T8" s="0" t="n">
        <v>171.266146</v>
      </c>
      <c r="U8" s="0" t="n">
        <v>47</v>
      </c>
      <c r="V8" s="0" t="n">
        <v>0.52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3500</v>
      </c>
      <c r="C9" s="0" t="n">
        <v>1433</v>
      </c>
      <c r="D9" s="0" t="n">
        <v>2067</v>
      </c>
      <c r="E9" s="0" t="n">
        <v>59.0571428571429</v>
      </c>
      <c r="F9" s="0" t="n">
        <v>754</v>
      </c>
      <c r="G9" s="0" t="n">
        <v>21.5428571428571</v>
      </c>
      <c r="H9" s="0" t="n">
        <v>891</v>
      </c>
      <c r="I9" s="0" t="n">
        <v>414</v>
      </c>
      <c r="J9" s="0" t="n">
        <v>11.8285714285714</v>
      </c>
      <c r="K9" s="0" t="n">
        <v>2.45</v>
      </c>
      <c r="M9" s="0" t="n">
        <v>140</v>
      </c>
      <c r="O9" s="0" t="n">
        <v>5794</v>
      </c>
      <c r="P9" s="0" t="n">
        <v>12071</v>
      </c>
      <c r="Q9" s="0" t="n">
        <v>6277</v>
      </c>
      <c r="R9" s="0" t="n">
        <v>2297</v>
      </c>
      <c r="S9" s="0" t="n">
        <v>427</v>
      </c>
      <c r="T9" s="0" t="n">
        <v>173.018849</v>
      </c>
      <c r="U9" s="0" t="n">
        <v>62</v>
      </c>
      <c r="V9" s="0" t="n">
        <v>0.58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3403</v>
      </c>
      <c r="C10" s="0" t="n">
        <v>1313</v>
      </c>
      <c r="D10" s="0" t="n">
        <v>2090</v>
      </c>
      <c r="E10" s="0" t="n">
        <v>61.4163972965031</v>
      </c>
      <c r="F10" s="0" t="n">
        <v>720</v>
      </c>
      <c r="G10" s="0" t="n">
        <v>21.1578019394652</v>
      </c>
      <c r="H10" s="0" t="n">
        <v>858</v>
      </c>
      <c r="I10" s="0" t="n">
        <v>428</v>
      </c>
      <c r="J10" s="0" t="n">
        <v>12.577137819571</v>
      </c>
      <c r="K10" s="0" t="n">
        <v>2.56</v>
      </c>
      <c r="L10" s="0" t="n">
        <v>727</v>
      </c>
      <c r="M10" s="0" t="n">
        <v>133</v>
      </c>
      <c r="N10" s="0" t="n">
        <v>594</v>
      </c>
      <c r="O10" s="0" t="n">
        <v>5609</v>
      </c>
      <c r="P10" s="0" t="n">
        <v>11861</v>
      </c>
      <c r="Q10" s="0" t="n">
        <v>6252</v>
      </c>
      <c r="R10" s="0" t="n">
        <v>2364</v>
      </c>
      <c r="S10" s="0" t="n">
        <v>301</v>
      </c>
      <c r="T10" s="0" t="n">
        <v>171.283271</v>
      </c>
      <c r="U10" s="0" t="n">
        <v>68</v>
      </c>
      <c r="V10" s="0" t="n">
        <v>0.9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3704</v>
      </c>
      <c r="C11" s="0" t="n">
        <v>1428</v>
      </c>
      <c r="D11" s="0" t="n">
        <v>2276</v>
      </c>
      <c r="E11" s="0" t="n">
        <v>61.4470842332613</v>
      </c>
      <c r="F11" s="0" t="n">
        <v>836</v>
      </c>
      <c r="G11" s="0" t="n">
        <v>22.5701943844492</v>
      </c>
      <c r="H11" s="0" t="n">
        <v>1006</v>
      </c>
      <c r="I11" s="0" t="n">
        <v>106</v>
      </c>
      <c r="J11" s="0" t="n">
        <v>2.86177105831533</v>
      </c>
      <c r="K11" s="0" t="n">
        <v>0.64</v>
      </c>
      <c r="L11" s="0" t="n">
        <v>776</v>
      </c>
      <c r="M11" s="0" t="n">
        <v>134</v>
      </c>
      <c r="N11" s="0" t="n">
        <v>642</v>
      </c>
      <c r="O11" s="0" t="n">
        <v>5428</v>
      </c>
      <c r="P11" s="0" t="n">
        <v>13411</v>
      </c>
      <c r="Q11" s="0" t="n">
        <v>8720</v>
      </c>
      <c r="R11" s="0" t="n">
        <v>3603</v>
      </c>
      <c r="S11" s="0" t="n">
        <v>403</v>
      </c>
      <c r="T11" s="0" t="n">
        <v>168.800997</v>
      </c>
      <c r="U11" s="0" t="n">
        <v>86</v>
      </c>
      <c r="V11" s="0" t="n">
        <v>1.21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3948</v>
      </c>
      <c r="C12" s="0" t="n">
        <v>1537</v>
      </c>
      <c r="D12" s="0" t="n">
        <v>2411</v>
      </c>
      <c r="E12" s="0" t="n">
        <v>61.0688956433637</v>
      </c>
      <c r="F12" s="0" t="n">
        <v>991</v>
      </c>
      <c r="G12" s="0" t="n">
        <v>25.1013171225937</v>
      </c>
      <c r="H12" s="0" t="n">
        <v>1179</v>
      </c>
      <c r="I12" s="0" t="n">
        <v>729</v>
      </c>
      <c r="J12" s="0" t="n">
        <v>18.4650455927052</v>
      </c>
      <c r="K12" s="0" t="n">
        <v>4.38</v>
      </c>
      <c r="L12" s="0" t="n">
        <v>909</v>
      </c>
      <c r="M12" s="0" t="n">
        <v>144</v>
      </c>
      <c r="N12" s="0" t="n">
        <v>765</v>
      </c>
      <c r="O12" s="0" t="n">
        <v>5880</v>
      </c>
      <c r="P12" s="0" t="n">
        <v>15354</v>
      </c>
      <c r="Q12" s="0" t="n">
        <v>9474</v>
      </c>
      <c r="R12" s="0" t="n">
        <v>4207</v>
      </c>
      <c r="S12" s="0" t="n">
        <v>377</v>
      </c>
      <c r="T12" s="0" t="n">
        <v>169.585031</v>
      </c>
      <c r="U12" s="0" t="n">
        <v>70</v>
      </c>
      <c r="V12" s="0" t="n">
        <v>1.46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4277</v>
      </c>
      <c r="C13" s="0" t="n">
        <v>1751</v>
      </c>
      <c r="D13" s="0" t="n">
        <v>2526</v>
      </c>
      <c r="E13" s="0" t="n">
        <v>59.0600888473229</v>
      </c>
      <c r="F13" s="0" t="n">
        <v>1028</v>
      </c>
      <c r="G13" s="0" t="n">
        <v>24.035538929156</v>
      </c>
      <c r="H13" s="0" t="n">
        <v>1238</v>
      </c>
      <c r="I13" s="0" t="n">
        <v>458</v>
      </c>
      <c r="J13" s="0" t="n">
        <v>10.7084404956745</v>
      </c>
      <c r="K13" s="0" t="n">
        <v>2.77</v>
      </c>
      <c r="L13" s="0" t="n">
        <v>1028</v>
      </c>
      <c r="M13" s="0" t="n">
        <v>111</v>
      </c>
      <c r="N13" s="0" t="n">
        <v>917</v>
      </c>
      <c r="O13" s="0" t="n">
        <v>5449</v>
      </c>
      <c r="P13" s="0" t="n">
        <v>15700</v>
      </c>
      <c r="Q13" s="0" t="n">
        <v>10251</v>
      </c>
      <c r="R13" s="0" t="n">
        <v>3831</v>
      </c>
      <c r="S13" s="0" t="n">
        <v>545</v>
      </c>
      <c r="T13" s="0" t="n">
        <v>167.691299</v>
      </c>
      <c r="U13" s="0" t="n">
        <v>69</v>
      </c>
      <c r="V13" s="0" t="n">
        <v>1.7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4258</v>
      </c>
      <c r="C14" s="0" t="n">
        <v>1723</v>
      </c>
      <c r="D14" s="0" t="n">
        <v>2535</v>
      </c>
      <c r="E14" s="0" t="n">
        <v>59.5349929544387</v>
      </c>
      <c r="F14" s="0" t="n">
        <v>1017</v>
      </c>
      <c r="G14" s="0" t="n">
        <v>23.8844527947393</v>
      </c>
      <c r="H14" s="0" t="n">
        <v>1207</v>
      </c>
      <c r="I14" s="0" t="n">
        <v>774</v>
      </c>
      <c r="J14" s="0" t="n">
        <v>18.1775481446689</v>
      </c>
      <c r="K14" s="0" t="n">
        <v>4.69</v>
      </c>
      <c r="L14" s="0" t="n">
        <v>963</v>
      </c>
      <c r="M14" s="0" t="n">
        <v>127</v>
      </c>
      <c r="N14" s="0" t="n">
        <v>836</v>
      </c>
      <c r="O14" s="0" t="n">
        <v>5639</v>
      </c>
      <c r="P14" s="0" t="n">
        <v>13924</v>
      </c>
      <c r="Q14" s="0" t="n">
        <v>8285</v>
      </c>
      <c r="R14" s="0" t="n">
        <v>3387</v>
      </c>
      <c r="S14" s="0" t="n">
        <v>332</v>
      </c>
      <c r="T14" s="0" t="n">
        <v>166.970161</v>
      </c>
      <c r="U14" s="0" t="n">
        <v>79</v>
      </c>
      <c r="V14" s="0" t="n">
        <v>1.85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5625</v>
      </c>
      <c r="C15" s="0" t="n">
        <v>2722</v>
      </c>
      <c r="D15" s="0" t="n">
        <v>2903</v>
      </c>
      <c r="E15" s="0" t="n">
        <v>51.6088888888889</v>
      </c>
      <c r="F15" s="0" t="n">
        <v>1234</v>
      </c>
      <c r="G15" s="0" t="n">
        <v>21.9377777777778</v>
      </c>
      <c r="H15" s="0" t="n">
        <v>1436</v>
      </c>
      <c r="I15" s="0" t="n">
        <v>933</v>
      </c>
      <c r="J15" s="0" t="n">
        <v>16.5866666666667</v>
      </c>
      <c r="K15" s="0" t="n">
        <v>1.89</v>
      </c>
      <c r="L15" s="0" t="n">
        <v>1252</v>
      </c>
      <c r="M15" s="0" t="n">
        <v>188</v>
      </c>
      <c r="N15" s="0" t="n">
        <v>1064</v>
      </c>
      <c r="O15" s="0" t="n">
        <v>6436</v>
      </c>
      <c r="P15" s="0" t="n">
        <v>17979</v>
      </c>
      <c r="Q15" s="0" t="n">
        <v>11543</v>
      </c>
      <c r="R15" s="0" t="n">
        <v>5541</v>
      </c>
      <c r="S15" s="0" t="n">
        <v>2745</v>
      </c>
      <c r="T15" s="0" t="n">
        <v>500.711823</v>
      </c>
      <c r="U15" s="0" t="n">
        <v>87</v>
      </c>
      <c r="V15" s="0" t="n">
        <v>0.65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5886</v>
      </c>
      <c r="C16" s="0" t="n">
        <v>2466</v>
      </c>
      <c r="D16" s="0" t="n">
        <v>3420</v>
      </c>
      <c r="E16" s="0" t="n">
        <v>58.1039755351682</v>
      </c>
      <c r="F16" s="0" t="n">
        <v>1441</v>
      </c>
      <c r="G16" s="0" t="n">
        <v>24.4818212708121</v>
      </c>
      <c r="H16" s="0" t="n">
        <v>1719</v>
      </c>
      <c r="I16" s="0" t="n">
        <v>1187</v>
      </c>
      <c r="J16" s="0" t="n">
        <v>20.1664967720014</v>
      </c>
      <c r="K16" s="0" t="n">
        <v>2.38</v>
      </c>
      <c r="L16" s="0" t="n">
        <v>1083</v>
      </c>
      <c r="M16" s="0" t="n">
        <v>163</v>
      </c>
      <c r="N16" s="0" t="n">
        <v>920</v>
      </c>
      <c r="O16" s="0" t="n">
        <v>6405</v>
      </c>
      <c r="P16" s="0" t="n">
        <v>20115</v>
      </c>
      <c r="Q16" s="0" t="n">
        <v>13710</v>
      </c>
      <c r="R16" s="0" t="n">
        <v>5830</v>
      </c>
      <c r="S16" s="0" t="n">
        <v>393</v>
      </c>
      <c r="T16" s="0" t="n">
        <v>505.087566</v>
      </c>
      <c r="U16" s="0" t="n">
        <v>90</v>
      </c>
      <c r="V16" s="0" t="n">
        <v>0.7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6226</v>
      </c>
      <c r="C17" s="0" t="n">
        <v>2644</v>
      </c>
      <c r="D17" s="0" t="n">
        <v>3582</v>
      </c>
      <c r="E17" s="0" t="n">
        <v>57.5329264375201</v>
      </c>
      <c r="F17" s="0" t="n">
        <v>1564</v>
      </c>
      <c r="G17" s="0" t="n">
        <v>25.120462576293</v>
      </c>
      <c r="H17" s="0" t="n">
        <v>1822</v>
      </c>
      <c r="I17" s="0" t="n">
        <v>1125</v>
      </c>
      <c r="J17" s="0" t="n">
        <v>18.0693864439448</v>
      </c>
      <c r="K17" s="0" t="n">
        <v>2.28</v>
      </c>
      <c r="L17" s="0" t="n">
        <v>1706</v>
      </c>
      <c r="M17" s="0" t="n">
        <v>152</v>
      </c>
      <c r="N17" s="0" t="n">
        <v>1554</v>
      </c>
      <c r="O17" s="0" t="n">
        <v>6164</v>
      </c>
      <c r="P17" s="0" t="n">
        <v>20868</v>
      </c>
      <c r="Q17" s="0" t="n">
        <v>14704</v>
      </c>
      <c r="R17" s="0" t="n">
        <v>5399</v>
      </c>
      <c r="S17" s="0" t="n">
        <v>502</v>
      </c>
      <c r="T17" s="0" t="n">
        <v>497.857565</v>
      </c>
      <c r="U17" s="0" t="n">
        <v>106</v>
      </c>
      <c r="V17" s="0" t="n">
        <v>0.78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6064</v>
      </c>
      <c r="C18" s="0" t="n">
        <v>2169</v>
      </c>
      <c r="D18" s="0" t="n">
        <v>3895</v>
      </c>
      <c r="E18" s="0" t="n">
        <v>64.2315303430079</v>
      </c>
      <c r="F18" s="0" t="n">
        <v>1578</v>
      </c>
      <c r="G18" s="0" t="n">
        <v>26.0224274406332</v>
      </c>
      <c r="H18" s="0" t="n">
        <v>1901</v>
      </c>
      <c r="I18" s="0" t="n">
        <v>1059</v>
      </c>
      <c r="J18" s="0" t="n">
        <v>17.4637203166227</v>
      </c>
      <c r="K18" s="0" t="n">
        <v>2.1</v>
      </c>
      <c r="L18" s="0" t="n">
        <v>1696</v>
      </c>
      <c r="M18" s="0" t="n">
        <v>158</v>
      </c>
      <c r="N18" s="0" t="n">
        <v>1538</v>
      </c>
      <c r="O18" s="0" t="n">
        <v>10827</v>
      </c>
      <c r="P18" s="0" t="n">
        <v>32294</v>
      </c>
      <c r="Q18" s="0" t="n">
        <v>21467</v>
      </c>
      <c r="R18" s="0" t="n">
        <v>10454</v>
      </c>
      <c r="S18" s="0" t="n">
        <v>453</v>
      </c>
      <c r="T18" s="0" t="n">
        <v>575</v>
      </c>
      <c r="U18" s="0" t="n">
        <v>122</v>
      </c>
      <c r="V18" s="0" t="n">
        <v>0.86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7400</v>
      </c>
      <c r="C19" s="0" t="n">
        <v>2751</v>
      </c>
      <c r="D19" s="0" t="n">
        <v>4649</v>
      </c>
      <c r="E19" s="0" t="n">
        <v>62.8243243243243</v>
      </c>
      <c r="F19" s="0" t="n">
        <v>1798</v>
      </c>
      <c r="G19" s="0" t="n">
        <v>24.2972972972973</v>
      </c>
      <c r="H19" s="0" t="n">
        <v>2411</v>
      </c>
      <c r="I19" s="0" t="n">
        <v>1117</v>
      </c>
      <c r="J19" s="0" t="n">
        <v>15.0945945945946</v>
      </c>
      <c r="K19" s="0" t="n">
        <v>1.94</v>
      </c>
      <c r="L19" s="0" t="n">
        <v>1939</v>
      </c>
      <c r="M19" s="0" t="n">
        <v>207</v>
      </c>
      <c r="N19" s="0" t="n">
        <v>1732</v>
      </c>
      <c r="O19" s="0" t="n">
        <v>11200</v>
      </c>
      <c r="P19" s="0" t="n">
        <v>30395</v>
      </c>
      <c r="Q19" s="0" t="n">
        <v>19195</v>
      </c>
      <c r="R19" s="0" t="n">
        <v>9480</v>
      </c>
      <c r="S19" s="0" t="n">
        <v>592</v>
      </c>
      <c r="T19" s="0" t="n">
        <v>579.189522</v>
      </c>
      <c r="U19" s="0" t="n">
        <v>141</v>
      </c>
      <c r="V19" s="0" t="n">
        <v>0.94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8262</v>
      </c>
      <c r="C20" s="0" t="n">
        <v>3013</v>
      </c>
      <c r="D20" s="0" t="n">
        <v>5249</v>
      </c>
      <c r="E20" s="0" t="n">
        <v>63.5318324860809</v>
      </c>
      <c r="F20" s="0" t="n">
        <v>2331</v>
      </c>
      <c r="G20" s="0" t="n">
        <v>28.2135076252723</v>
      </c>
      <c r="H20" s="0" t="n">
        <v>2963</v>
      </c>
      <c r="I20" s="0" t="n">
        <v>1788</v>
      </c>
      <c r="J20" s="0" t="n">
        <v>21.6412490922295</v>
      </c>
      <c r="K20" s="0" t="n">
        <v>3.12</v>
      </c>
      <c r="L20" s="0" t="n">
        <v>2255</v>
      </c>
      <c r="M20" s="0" t="n">
        <v>266</v>
      </c>
      <c r="N20" s="0" t="n">
        <v>1989</v>
      </c>
      <c r="O20" s="0" t="n">
        <v>12232</v>
      </c>
      <c r="P20" s="0" t="n">
        <v>31053</v>
      </c>
      <c r="Q20" s="0" t="n">
        <v>18821</v>
      </c>
      <c r="R20" s="0" t="n">
        <v>9004</v>
      </c>
      <c r="S20" s="0" t="n">
        <v>604</v>
      </c>
      <c r="T20" s="0" t="n">
        <v>578.597687</v>
      </c>
      <c r="U20" s="0" t="n">
        <v>165</v>
      </c>
      <c r="V20" s="0" t="n">
        <v>1.05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91.67</v>
      </c>
    </row>
    <row r="3" customFormat="false" ht="15" hidden="false" customHeight="false" outlineLevel="0" collapsed="false">
      <c r="A3" s="0" t="s">
        <v>85</v>
      </c>
      <c r="B3" s="3" t="n">
        <v>567.75</v>
      </c>
    </row>
    <row r="4" customFormat="false" ht="15" hidden="false" customHeight="false" outlineLevel="0" collapsed="false">
      <c r="A4" s="0" t="s">
        <v>86</v>
      </c>
      <c r="B4" s="3" t="n">
        <v>8241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5249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12</v>
      </c>
      <c r="D13" s="3" t="n">
        <v>3</v>
      </c>
      <c r="E13" s="3" t="n">
        <v>2</v>
      </c>
      <c r="F13" s="3" t="n">
        <v>3</v>
      </c>
      <c r="G13" s="3" t="n">
        <v>3</v>
      </c>
      <c r="H13" s="3" t="n">
        <v>3.5</v>
      </c>
      <c r="I13" s="3" t="n">
        <v>3.5</v>
      </c>
      <c r="J13" s="3" t="n">
        <v>3.5</v>
      </c>
      <c r="K13" s="3" t="n">
        <v>3.5</v>
      </c>
      <c r="L13" s="3" t="n">
        <v>3.5</v>
      </c>
    </row>
    <row r="14" customFormat="false" ht="15" hidden="false" customHeight="false" outlineLevel="0" collapsed="false">
      <c r="A14" s="0" t="s">
        <v>106</v>
      </c>
      <c r="C14" s="3" t="n">
        <v>57</v>
      </c>
      <c r="D14" s="3" t="n">
        <v>55</v>
      </c>
      <c r="E14" s="3" t="n">
        <v>54.5</v>
      </c>
      <c r="F14" s="3" t="n">
        <v>54.5</v>
      </c>
      <c r="G14" s="3" t="n">
        <v>55</v>
      </c>
      <c r="H14" s="3" t="n">
        <v>55</v>
      </c>
      <c r="I14" s="3" t="n">
        <v>55</v>
      </c>
      <c r="J14" s="3" t="n">
        <v>55</v>
      </c>
      <c r="K14" s="3" t="n">
        <v>55</v>
      </c>
      <c r="L14" s="3" t="n">
        <v>55</v>
      </c>
    </row>
    <row r="15" customFormat="false" ht="15" hidden="false" customHeight="false" outlineLevel="0" collapsed="false">
      <c r="A15" s="0" t="s">
        <v>107</v>
      </c>
      <c r="C15" s="3" t="n">
        <v>4.7</v>
      </c>
      <c r="D15" s="3" t="n">
        <v>4.8</v>
      </c>
      <c r="E15" s="3" t="n">
        <v>4.8</v>
      </c>
      <c r="F15" s="3" t="n">
        <v>4.8</v>
      </c>
      <c r="G15" s="3" t="n">
        <v>4.8</v>
      </c>
      <c r="H15" s="3" t="n">
        <v>4.8</v>
      </c>
      <c r="I15" s="3" t="n">
        <v>4.8</v>
      </c>
      <c r="J15" s="3" t="n">
        <v>4.8</v>
      </c>
      <c r="K15" s="3" t="n">
        <v>4.8</v>
      </c>
      <c r="L15" s="3" t="n">
        <v>4.8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11.5</v>
      </c>
      <c r="D17" s="3" t="n">
        <v>11.5</v>
      </c>
      <c r="E17" s="3" t="n">
        <v>11</v>
      </c>
      <c r="F17" s="3" t="n">
        <v>10.5</v>
      </c>
      <c r="G17" s="3" t="n">
        <v>10</v>
      </c>
      <c r="H17" s="3" t="n">
        <v>9.5</v>
      </c>
      <c r="I17" s="3" t="n">
        <v>9</v>
      </c>
      <c r="J17" s="3" t="n">
        <v>8.5</v>
      </c>
      <c r="K17" s="3" t="n">
        <v>8</v>
      </c>
      <c r="L17" s="3" t="n">
        <v>8</v>
      </c>
    </row>
    <row r="18" customFormat="false" ht="15" hidden="false" customHeight="false" outlineLevel="0" collapsed="false">
      <c r="A18" s="0" t="s">
        <v>110</v>
      </c>
      <c r="C18" s="3" t="n">
        <v>5.5</v>
      </c>
      <c r="D18" s="3" t="n">
        <v>5.5</v>
      </c>
      <c r="E18" s="3" t="n">
        <v>5.5</v>
      </c>
      <c r="F18" s="3" t="n">
        <v>5.5</v>
      </c>
      <c r="G18" s="3" t="n">
        <v>5.5</v>
      </c>
      <c r="H18" s="3" t="n">
        <v>5.5</v>
      </c>
      <c r="I18" s="3" t="n">
        <v>5.5</v>
      </c>
      <c r="J18" s="3" t="n">
        <v>5.5</v>
      </c>
      <c r="K18" s="3" t="n">
        <v>5.5</v>
      </c>
      <c r="L18" s="3" t="n">
        <v>5.5</v>
      </c>
    </row>
    <row r="19" customFormat="false" ht="15" hidden="false" customHeight="false" outlineLevel="0" collapsed="false">
      <c r="A19" s="0" t="s">
        <v>111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112</v>
      </c>
      <c r="B20" s="3" t="n">
        <v>8</v>
      </c>
    </row>
    <row r="21" customFormat="false" ht="15" hidden="false" customHeight="false" outlineLevel="0" collapsed="false">
      <c r="A21" s="0" t="s">
        <v>113</v>
      </c>
      <c r="B21" s="3" t="n">
        <v>2.5</v>
      </c>
    </row>
    <row r="22" customFormat="false" ht="15" hidden="false" customHeight="false" outlineLevel="0" collapsed="false">
      <c r="A22" s="0" t="s">
        <v>114</v>
      </c>
      <c r="B22" s="3" t="n">
        <v>20</v>
      </c>
    </row>
    <row r="23" customFormat="false" ht="15" hidden="false" customHeight="false" outlineLevel="0" collapsed="false">
      <c r="A23" s="0" t="s">
        <v>115</v>
      </c>
      <c r="B23" s="3" t="n">
        <v>0</v>
      </c>
    </row>
    <row r="24" customFormat="false" ht="15" hidden="false" customHeight="false" outlineLevel="0" collapsed="false">
      <c r="A24" s="0" t="s">
        <v>116</v>
      </c>
      <c r="B24" s="3" t="n">
        <v>0.2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13</v>
      </c>
      <c r="D27" s="3" t="n">
        <v>9</v>
      </c>
      <c r="E27" s="3" t="n">
        <v>8</v>
      </c>
      <c r="F27" s="3" t="n">
        <v>7.5</v>
      </c>
      <c r="G27" s="3" t="n">
        <v>7</v>
      </c>
      <c r="H27" s="3" t="n">
        <v>6.5</v>
      </c>
      <c r="I27" s="3" t="n">
        <v>6</v>
      </c>
      <c r="J27" s="3" t="n">
        <v>5.5</v>
      </c>
      <c r="K27" s="3" t="n">
        <v>5</v>
      </c>
      <c r="L27" s="3" t="n">
        <v>4.5</v>
      </c>
    </row>
    <row r="28" customFormat="false" ht="15" hidden="false" customHeight="false" outlineLevel="0" collapsed="false">
      <c r="A28" s="0" t="s">
        <v>106</v>
      </c>
      <c r="C28" s="3" t="n">
        <v>58</v>
      </c>
      <c r="D28" s="3" t="n">
        <v>58.5</v>
      </c>
      <c r="E28" s="3" t="n">
        <v>59</v>
      </c>
      <c r="F28" s="3" t="n">
        <v>59.5</v>
      </c>
      <c r="G28" s="3" t="n">
        <v>60</v>
      </c>
      <c r="H28" s="3" t="n">
        <v>60</v>
      </c>
      <c r="I28" s="3" t="n">
        <v>60.5</v>
      </c>
      <c r="J28" s="3" t="n">
        <v>60.5</v>
      </c>
      <c r="K28" s="3" t="n">
        <v>61</v>
      </c>
      <c r="L28" s="3" t="n">
        <v>61</v>
      </c>
    </row>
    <row r="29" customFormat="false" ht="15" hidden="false" customHeight="false" outlineLevel="0" collapsed="false">
      <c r="A29" s="0" t="s">
        <v>107</v>
      </c>
      <c r="C29" s="3" t="n">
        <v>4.6</v>
      </c>
      <c r="D29" s="3" t="n">
        <v>4.5</v>
      </c>
      <c r="E29" s="3" t="n">
        <v>4.4</v>
      </c>
      <c r="F29" s="3" t="n">
        <v>4.3</v>
      </c>
      <c r="G29" s="3" t="n">
        <v>4.2</v>
      </c>
      <c r="H29" s="3" t="n">
        <v>4.1</v>
      </c>
      <c r="I29" s="3" t="n">
        <v>4</v>
      </c>
      <c r="J29" s="3" t="n">
        <v>4</v>
      </c>
      <c r="K29" s="3" t="n">
        <v>4</v>
      </c>
      <c r="L29" s="3" t="n">
        <v>4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11.5</v>
      </c>
      <c r="D31" s="3" t="n">
        <v>11</v>
      </c>
      <c r="E31" s="3" t="n">
        <v>10.5</v>
      </c>
      <c r="F31" s="3" t="n">
        <v>10</v>
      </c>
      <c r="G31" s="3" t="n">
        <v>9.5</v>
      </c>
      <c r="H31" s="3" t="n">
        <v>9</v>
      </c>
      <c r="I31" s="3" t="n">
        <v>8.5</v>
      </c>
      <c r="J31" s="3" t="n">
        <v>8</v>
      </c>
      <c r="K31" s="3" t="n">
        <v>7.5</v>
      </c>
      <c r="L31" s="3" t="n">
        <v>7.5</v>
      </c>
    </row>
    <row r="32" customFormat="false" ht="15" hidden="false" customHeight="false" outlineLevel="0" collapsed="false">
      <c r="A32" s="0" t="s">
        <v>110</v>
      </c>
      <c r="C32" s="3" t="n">
        <v>5</v>
      </c>
      <c r="D32" s="3" t="n">
        <v>5</v>
      </c>
      <c r="E32" s="3" t="n">
        <v>5</v>
      </c>
      <c r="F32" s="3" t="n">
        <v>5</v>
      </c>
      <c r="G32" s="3" t="n">
        <v>5</v>
      </c>
      <c r="H32" s="3" t="n">
        <v>5</v>
      </c>
      <c r="I32" s="3" t="n">
        <v>5</v>
      </c>
      <c r="J32" s="3" t="n">
        <v>5</v>
      </c>
      <c r="K32" s="3" t="n">
        <v>5</v>
      </c>
      <c r="L32" s="3" t="n">
        <v>5</v>
      </c>
    </row>
    <row r="33" customFormat="false" ht="15" hidden="false" customHeight="false" outlineLevel="0" collapsed="false">
      <c r="A33" s="0" t="s">
        <v>111</v>
      </c>
      <c r="C33" s="3" t="n">
        <v>23.5</v>
      </c>
      <c r="D33" s="3" t="n">
        <v>23.5</v>
      </c>
      <c r="E33" s="3" t="n">
        <v>23.5</v>
      </c>
      <c r="F33" s="3" t="n">
        <v>23.5</v>
      </c>
      <c r="G33" s="3" t="n">
        <v>23.5</v>
      </c>
      <c r="H33" s="3" t="n">
        <v>23.5</v>
      </c>
      <c r="I33" s="3" t="n">
        <v>23.5</v>
      </c>
      <c r="J33" s="3" t="n">
        <v>23.5</v>
      </c>
      <c r="K33" s="3" t="n">
        <v>23.5</v>
      </c>
      <c r="L33" s="3" t="n">
        <v>23.5</v>
      </c>
    </row>
    <row r="34" customFormat="false" ht="15" hidden="false" customHeight="false" outlineLevel="0" collapsed="false">
      <c r="A34" s="0" t="s">
        <v>112</v>
      </c>
      <c r="B34" s="3" t="n">
        <v>8</v>
      </c>
    </row>
    <row r="35" customFormat="false" ht="15" hidden="false" customHeight="false" outlineLevel="0" collapsed="false">
      <c r="A35" s="0" t="s">
        <v>113</v>
      </c>
      <c r="B35" s="3" t="n">
        <v>3</v>
      </c>
    </row>
    <row r="36" customFormat="false" ht="15" hidden="false" customHeight="false" outlineLevel="0" collapsed="false">
      <c r="A36" s="0" t="s">
        <v>114</v>
      </c>
      <c r="B36" s="3" t="n">
        <v>20</v>
      </c>
    </row>
    <row r="37" customFormat="false" ht="15" hidden="false" customHeight="false" outlineLevel="0" collapsed="false">
      <c r="A37" s="0" t="s">
        <v>115</v>
      </c>
      <c r="B37" s="3" t="n">
        <v>5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14</v>
      </c>
      <c r="D41" s="3" t="n">
        <v>12</v>
      </c>
      <c r="E41" s="3" t="n">
        <v>11</v>
      </c>
      <c r="F41" s="3" t="n">
        <v>10</v>
      </c>
      <c r="G41" s="3" t="n">
        <v>9</v>
      </c>
      <c r="H41" s="3" t="n">
        <v>8.5</v>
      </c>
      <c r="I41" s="3" t="n">
        <v>8</v>
      </c>
      <c r="J41" s="3" t="n">
        <v>7</v>
      </c>
      <c r="K41" s="3" t="n">
        <v>6</v>
      </c>
      <c r="L41" s="3" t="n">
        <v>5</v>
      </c>
    </row>
    <row r="42" customFormat="false" ht="15" hidden="false" customHeight="false" outlineLevel="0" collapsed="false">
      <c r="A42" s="0" t="s">
        <v>106</v>
      </c>
      <c r="C42" s="3" t="n">
        <v>58.5</v>
      </c>
      <c r="D42" s="3" t="n">
        <v>59.5</v>
      </c>
      <c r="E42" s="3" t="n">
        <v>60.5</v>
      </c>
      <c r="F42" s="3" t="n">
        <v>61.5</v>
      </c>
      <c r="G42" s="3" t="n">
        <v>62.5</v>
      </c>
      <c r="H42" s="3" t="n">
        <v>63</v>
      </c>
      <c r="I42" s="3" t="n">
        <v>63.5</v>
      </c>
      <c r="J42" s="3" t="n">
        <v>64</v>
      </c>
      <c r="K42" s="3" t="n">
        <v>64</v>
      </c>
      <c r="L42" s="3" t="n">
        <v>64</v>
      </c>
    </row>
    <row r="43" customFormat="false" ht="15" hidden="false" customHeight="false" outlineLevel="0" collapsed="false">
      <c r="A43" s="0" t="s">
        <v>107</v>
      </c>
      <c r="C43" s="3" t="n">
        <v>4.6</v>
      </c>
      <c r="D43" s="3" t="n">
        <v>4.5</v>
      </c>
      <c r="E43" s="3" t="n">
        <v>4.4</v>
      </c>
      <c r="F43" s="3" t="n">
        <v>4.3</v>
      </c>
      <c r="G43" s="3" t="n">
        <v>4.2</v>
      </c>
      <c r="H43" s="3" t="n">
        <v>4.1</v>
      </c>
      <c r="I43" s="3" t="n">
        <v>4</v>
      </c>
      <c r="J43" s="3" t="n">
        <v>4</v>
      </c>
      <c r="K43" s="3" t="n">
        <v>4</v>
      </c>
      <c r="L43" s="3" t="n">
        <v>4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11.5</v>
      </c>
      <c r="D45" s="3" t="n">
        <v>11</v>
      </c>
      <c r="E45" s="3" t="n">
        <v>10.5</v>
      </c>
      <c r="F45" s="3" t="n">
        <v>10</v>
      </c>
      <c r="G45" s="3" t="n">
        <v>9.5</v>
      </c>
      <c r="H45" s="3" t="n">
        <v>9</v>
      </c>
      <c r="I45" s="3" t="n">
        <v>8.5</v>
      </c>
      <c r="J45" s="3" t="n">
        <v>8</v>
      </c>
      <c r="K45" s="3" t="n">
        <v>7.5</v>
      </c>
      <c r="L45" s="3" t="n">
        <v>7.5</v>
      </c>
    </row>
    <row r="46" customFormat="false" ht="15" hidden="false" customHeight="false" outlineLevel="0" collapsed="false">
      <c r="A46" s="0" t="s">
        <v>110</v>
      </c>
      <c r="C46" s="3" t="n">
        <v>5</v>
      </c>
      <c r="D46" s="3" t="n">
        <v>5</v>
      </c>
      <c r="E46" s="3" t="n">
        <v>5</v>
      </c>
      <c r="F46" s="3" t="n">
        <v>5</v>
      </c>
      <c r="G46" s="3" t="n">
        <v>5</v>
      </c>
      <c r="H46" s="3" t="n">
        <v>5</v>
      </c>
      <c r="I46" s="3" t="n">
        <v>5</v>
      </c>
      <c r="J46" s="3" t="n">
        <v>5</v>
      </c>
      <c r="K46" s="3" t="n">
        <v>5</v>
      </c>
      <c r="L46" s="3" t="n">
        <v>5</v>
      </c>
    </row>
    <row r="47" customFormat="false" ht="15" hidden="false" customHeight="false" outlineLevel="0" collapsed="false">
      <c r="A47" s="0" t="s">
        <v>111</v>
      </c>
      <c r="C47" s="3" t="n">
        <v>23.5</v>
      </c>
      <c r="D47" s="3" t="n">
        <v>23.5</v>
      </c>
      <c r="E47" s="3" t="n">
        <v>23.5</v>
      </c>
      <c r="F47" s="3" t="n">
        <v>23.5</v>
      </c>
      <c r="G47" s="3" t="n">
        <v>23.5</v>
      </c>
      <c r="H47" s="3" t="n">
        <v>23.5</v>
      </c>
      <c r="I47" s="3" t="n">
        <v>23.5</v>
      </c>
      <c r="J47" s="3" t="n">
        <v>23.5</v>
      </c>
      <c r="K47" s="3" t="n">
        <v>23.5</v>
      </c>
      <c r="L47" s="3" t="n">
        <v>23.5</v>
      </c>
    </row>
    <row r="48" customFormat="false" ht="15" hidden="false" customHeight="false" outlineLevel="0" collapsed="false">
      <c r="A48" s="0" t="s">
        <v>112</v>
      </c>
      <c r="B48" s="3" t="n">
        <v>8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20</v>
      </c>
    </row>
    <row r="51" customFormat="false" ht="15" hidden="false" customHeight="false" outlineLevel="0" collapsed="false">
      <c r="A51" s="0" t="s">
        <v>115</v>
      </c>
      <c r="B51" s="3" t="n">
        <v>5</v>
      </c>
    </row>
    <row r="52" customFormat="false" ht="15" hidden="false" customHeight="false" outlineLevel="0" collapsed="false">
      <c r="A52" s="0" t="s">
        <v>116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12</v>
      </c>
      <c r="D5" s="4" t="n">
        <f aca="false">Assumptions!D13</f>
        <v>3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3.5</v>
      </c>
      <c r="I5" s="4" t="n">
        <f aca="false">Assumptions!I13</f>
        <v>3.5</v>
      </c>
      <c r="J5" s="4" t="n">
        <f aca="false">Assumptions!J13</f>
        <v>3.5</v>
      </c>
      <c r="K5" s="4" t="n">
        <f aca="false">Assumptions!K13</f>
        <v>3.5</v>
      </c>
      <c r="L5" s="4" t="n">
        <f aca="false">Assumptions!L13</f>
        <v>3.5</v>
      </c>
    </row>
    <row r="6" customFormat="false" ht="15" hidden="false" customHeight="false" outlineLevel="0" collapsed="false">
      <c r="A6" s="0" t="s">
        <v>37</v>
      </c>
      <c r="B6" s="3" t="n">
        <v>5249</v>
      </c>
      <c r="C6" s="0" t="n">
        <f aca="false">B6*(1+C5/100)</f>
        <v>5878.88</v>
      </c>
      <c r="D6" s="0" t="n">
        <f aca="false">C6*(1+D5/100)</f>
        <v>6055.2464</v>
      </c>
      <c r="E6" s="0" t="n">
        <f aca="false">D6*(1+E5/100)</f>
        <v>6176.351328</v>
      </c>
      <c r="F6" s="0" t="n">
        <f aca="false">E6*(1+F5/100)</f>
        <v>6361.64186784</v>
      </c>
      <c r="G6" s="0" t="n">
        <f aca="false">F6*(1+G5/100)</f>
        <v>6552.4911238752</v>
      </c>
      <c r="H6" s="0" t="n">
        <f aca="false">G6*(1+H5/100)</f>
        <v>6781.82831321083</v>
      </c>
      <c r="I6" s="0" t="n">
        <f aca="false">H6*(1+I5/100)</f>
        <v>7019.19230417321</v>
      </c>
      <c r="J6" s="0" t="n">
        <f aca="false">I6*(1+J5/100)</f>
        <v>7264.86403481927</v>
      </c>
      <c r="K6" s="0" t="n">
        <f aca="false">J6*(1+K5/100)</f>
        <v>7519.13427603795</v>
      </c>
      <c r="L6" s="0" t="n">
        <f aca="false">K6*(1+L5/100)</f>
        <v>7782.30397569927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57</v>
      </c>
      <c r="D7" s="4" t="n">
        <f aca="false">Assumptions!D14</f>
        <v>55</v>
      </c>
      <c r="E7" s="4" t="n">
        <f aca="false">Assumptions!E14</f>
        <v>54.5</v>
      </c>
      <c r="F7" s="4" t="n">
        <f aca="false">Assumptions!F14</f>
        <v>54.5</v>
      </c>
      <c r="G7" s="4" t="n">
        <f aca="false">Assumptions!G14</f>
        <v>55</v>
      </c>
      <c r="H7" s="4" t="n">
        <f aca="false">Assumptions!H14</f>
        <v>55</v>
      </c>
      <c r="I7" s="4" t="n">
        <f aca="false">Assumptions!I14</f>
        <v>55</v>
      </c>
      <c r="J7" s="4" t="n">
        <f aca="false">Assumptions!J14</f>
        <v>55</v>
      </c>
      <c r="K7" s="4" t="n">
        <f aca="false">Assumptions!K14</f>
        <v>55</v>
      </c>
      <c r="L7" s="4" t="n">
        <f aca="false">Assumptions!L14</f>
        <v>55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3350.9616</v>
      </c>
      <c r="D8" s="0" t="n">
        <f aca="false">D6*D7/100</f>
        <v>3330.38552</v>
      </c>
      <c r="E8" s="0" t="n">
        <f aca="false">E6*E7/100</f>
        <v>3366.11147376</v>
      </c>
      <c r="F8" s="0" t="n">
        <f aca="false">F6*F7/100</f>
        <v>3467.0948179728</v>
      </c>
      <c r="G8" s="0" t="n">
        <f aca="false">G6*G7/100</f>
        <v>3603.87011813136</v>
      </c>
      <c r="H8" s="0" t="n">
        <f aca="false">H6*H7/100</f>
        <v>3730.00557226596</v>
      </c>
      <c r="I8" s="0" t="n">
        <f aca="false">I6*I7/100</f>
        <v>3860.55576729527</v>
      </c>
      <c r="J8" s="0" t="n">
        <f aca="false">J6*J7/100</f>
        <v>3995.6752191506</v>
      </c>
      <c r="K8" s="0" t="n">
        <f aca="false">K6*K7/100</f>
        <v>4135.52385182087</v>
      </c>
      <c r="L8" s="0" t="n">
        <f aca="false">L6*L7/100</f>
        <v>4280.2671866346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4.7</v>
      </c>
      <c r="D9" s="4" t="n">
        <f aca="false">Assumptions!D15</f>
        <v>4.8</v>
      </c>
      <c r="E9" s="4" t="n">
        <f aca="false">Assumptions!E15</f>
        <v>4.8</v>
      </c>
      <c r="F9" s="4" t="n">
        <f aca="false">Assumptions!F15</f>
        <v>4.8</v>
      </c>
      <c r="G9" s="4" t="n">
        <f aca="false">Assumptions!G15</f>
        <v>4.8</v>
      </c>
      <c r="H9" s="4" t="n">
        <f aca="false">Assumptions!H15</f>
        <v>4.8</v>
      </c>
      <c r="I9" s="4" t="n">
        <f aca="false">Assumptions!I15</f>
        <v>4.8</v>
      </c>
      <c r="J9" s="4" t="n">
        <f aca="false">Assumptions!J15</f>
        <v>4.8</v>
      </c>
      <c r="K9" s="4" t="n">
        <f aca="false">Assumptions!K15</f>
        <v>4.8</v>
      </c>
      <c r="L9" s="4" t="n">
        <f aca="false">Assumptions!L15</f>
        <v>4.8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-276.30736</v>
      </c>
      <c r="D10" s="0" t="n">
        <f aca="false">-D6*D9/100</f>
        <v>-290.6518272</v>
      </c>
      <c r="E10" s="0" t="n">
        <f aca="false">-E6*E9/100</f>
        <v>-296.464863744</v>
      </c>
      <c r="F10" s="0" t="n">
        <f aca="false">-F6*F9/100</f>
        <v>-305.35880965632</v>
      </c>
      <c r="G10" s="0" t="n">
        <f aca="false">-G6*G9/100</f>
        <v>-314.51957394601</v>
      </c>
      <c r="H10" s="0" t="n">
        <f aca="false">-H6*H9/100</f>
        <v>-325.52775903412</v>
      </c>
      <c r="I10" s="0" t="n">
        <f aca="false">-I6*I9/100</f>
        <v>-336.921230600314</v>
      </c>
      <c r="J10" s="0" t="n">
        <f aca="false">-J6*J9/100</f>
        <v>-348.713473671325</v>
      </c>
      <c r="K10" s="0" t="n">
        <f aca="false">-K6*K9/100</f>
        <v>-360.918445249821</v>
      </c>
      <c r="L10" s="0" t="n">
        <f aca="false">-L6*L9/100</f>
        <v>-373.550590833565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3074.65424</v>
      </c>
      <c r="D11" s="0" t="n">
        <f aca="false">D8+D10+D24</f>
        <v>3039.7336928</v>
      </c>
      <c r="E11" s="0" t="n">
        <f aca="false">E8+E10+E24</f>
        <v>3069.646610016</v>
      </c>
      <c r="F11" s="0" t="n">
        <f aca="false">F8+F10+F24</f>
        <v>3161.73600831648</v>
      </c>
      <c r="G11" s="0" t="n">
        <f aca="false">G8+G10+G24</f>
        <v>3289.35054418535</v>
      </c>
      <c r="H11" s="0" t="n">
        <f aca="false">H8+H10+H24</f>
        <v>3404.47781323184</v>
      </c>
      <c r="I11" s="0" t="n">
        <f aca="false">I8+I10+I24</f>
        <v>3523.63453669495</v>
      </c>
      <c r="J11" s="0" t="n">
        <f aca="false">J8+J10+J24</f>
        <v>3646.96174547927</v>
      </c>
      <c r="K11" s="0" t="n">
        <f aca="false">K8+K10+K24</f>
        <v>3774.60540657105</v>
      </c>
      <c r="L11" s="0" t="n">
        <f aca="false">L8+L10+L24</f>
        <v>3906.71659580104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-676.0712</v>
      </c>
      <c r="D12" s="4" t="n">
        <f aca="false">-D6*Assumptions!D17/100</f>
        <v>-696.353336</v>
      </c>
      <c r="E12" s="4" t="n">
        <f aca="false">-E6*Assumptions!E17/100</f>
        <v>-679.39864608</v>
      </c>
      <c r="F12" s="4" t="n">
        <f aca="false">-F6*Assumptions!F17/100</f>
        <v>-667.9723961232</v>
      </c>
      <c r="G12" s="4" t="n">
        <f aca="false">-G6*Assumptions!G17/100</f>
        <v>-655.24911238752</v>
      </c>
      <c r="H12" s="4" t="n">
        <f aca="false">-H6*Assumptions!H17/100</f>
        <v>-644.273689755029</v>
      </c>
      <c r="I12" s="4" t="n">
        <f aca="false">-I6*Assumptions!I17/100</f>
        <v>-631.727307375589</v>
      </c>
      <c r="J12" s="4" t="n">
        <f aca="false">-J6*Assumptions!J17/100</f>
        <v>-617.513442959638</v>
      </c>
      <c r="K12" s="4" t="n">
        <f aca="false">-K6*Assumptions!K17/100</f>
        <v>-601.530742083036</v>
      </c>
      <c r="L12" s="4" t="n">
        <f aca="false">-L6*Assumptions!L17/100</f>
        <v>-622.584318055942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2398.58304</v>
      </c>
      <c r="D13" s="0" t="n">
        <f aca="false">D11+D12</f>
        <v>2343.3803568</v>
      </c>
      <c r="E13" s="0" t="n">
        <f aca="false">E11+E12</f>
        <v>2390.247963936</v>
      </c>
      <c r="F13" s="0" t="n">
        <f aca="false">F11+F12</f>
        <v>2493.76361219328</v>
      </c>
      <c r="G13" s="0" t="n">
        <f aca="false">G11+G12</f>
        <v>2634.10143179783</v>
      </c>
      <c r="H13" s="0" t="n">
        <f aca="false">H11+H12</f>
        <v>2760.20412347681</v>
      </c>
      <c r="I13" s="0" t="n">
        <f aca="false">I11+I12</f>
        <v>2891.90722931936</v>
      </c>
      <c r="J13" s="0" t="n">
        <f aca="false">J11+J12</f>
        <v>3029.44830251964</v>
      </c>
      <c r="K13" s="0" t="n">
        <f aca="false">K11+K12</f>
        <v>3173.07466448801</v>
      </c>
      <c r="L13" s="0" t="n">
        <f aca="false">L11+L12</f>
        <v>3284.13227774509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1822.9231104</v>
      </c>
      <c r="D15" s="0" t="n">
        <f aca="false">D13-MAX(0,D13)*D14/100</f>
        <v>1780.969071168</v>
      </c>
      <c r="E15" s="0" t="n">
        <f aca="false">E13-MAX(0,E13)*E14/100</f>
        <v>1816.58845259136</v>
      </c>
      <c r="F15" s="0" t="n">
        <f aca="false">F13-MAX(0,F13)*F14/100</f>
        <v>1895.26034526689</v>
      </c>
      <c r="G15" s="0" t="n">
        <f aca="false">G13-MAX(0,G13)*G14/100</f>
        <v>2001.91708816635</v>
      </c>
      <c r="H15" s="0" t="n">
        <f aca="false">H13-MAX(0,H13)*H14/100</f>
        <v>2097.75513384237</v>
      </c>
      <c r="I15" s="0" t="n">
        <f aca="false">I13-MAX(0,I13)*I14/100</f>
        <v>2197.84949428272</v>
      </c>
      <c r="J15" s="0" t="n">
        <f aca="false">J13-MAX(0,J13)*J14/100</f>
        <v>2302.38070991492</v>
      </c>
      <c r="K15" s="0" t="n">
        <f aca="false">K13-MAX(0,K13)*K14/100</f>
        <v>2411.53674501089</v>
      </c>
      <c r="L15" s="0" t="n">
        <f aca="false">L13-MAX(0,L13)*L14/100</f>
        <v>2495.94053108627</v>
      </c>
    </row>
    <row r="16" customFormat="false" ht="15" hidden="false" customHeight="false" outlineLevel="0" collapsed="false">
      <c r="A16" s="0" t="s">
        <v>127</v>
      </c>
      <c r="C16" s="0" t="n">
        <f aca="false">-C12</f>
        <v>676.0712</v>
      </c>
      <c r="D16" s="0" t="n">
        <f aca="false">-D12</f>
        <v>696.353336</v>
      </c>
      <c r="E16" s="0" t="n">
        <f aca="false">-E12</f>
        <v>679.39864608</v>
      </c>
      <c r="F16" s="0" t="n">
        <f aca="false">-F12</f>
        <v>667.9723961232</v>
      </c>
      <c r="G16" s="0" t="n">
        <f aca="false">-G12</f>
        <v>655.24911238752</v>
      </c>
      <c r="H16" s="0" t="n">
        <f aca="false">-H12</f>
        <v>644.273689755029</v>
      </c>
      <c r="I16" s="0" t="n">
        <f aca="false">-I12</f>
        <v>631.727307375589</v>
      </c>
      <c r="J16" s="0" t="n">
        <f aca="false">-J12</f>
        <v>617.513442959638</v>
      </c>
      <c r="K16" s="0" t="n">
        <f aca="false">-K12</f>
        <v>601.530742083036</v>
      </c>
      <c r="L16" s="0" t="n">
        <f aca="false">-L12</f>
        <v>622.584318055942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-323.3384</v>
      </c>
      <c r="D17" s="4" t="n">
        <f aca="false">-D6*Assumptions!D18/100</f>
        <v>-333.038552</v>
      </c>
      <c r="E17" s="4" t="n">
        <f aca="false">-E6*Assumptions!E18/100</f>
        <v>-339.69932304</v>
      </c>
      <c r="F17" s="4" t="n">
        <f aca="false">-F6*Assumptions!F18/100</f>
        <v>-349.8903027312</v>
      </c>
      <c r="G17" s="4" t="n">
        <f aca="false">-G6*Assumptions!G18/100</f>
        <v>-360.387011813136</v>
      </c>
      <c r="H17" s="4" t="n">
        <f aca="false">-H6*Assumptions!H18/100</f>
        <v>-373.000557226596</v>
      </c>
      <c r="I17" s="4" t="n">
        <f aca="false">-I6*Assumptions!I18/100</f>
        <v>-386.055576729527</v>
      </c>
      <c r="J17" s="4" t="n">
        <f aca="false">-J6*Assumptions!J18/100</f>
        <v>-399.56752191506</v>
      </c>
      <c r="K17" s="4" t="n">
        <f aca="false">-K6*Assumptions!K18/100</f>
        <v>-413.552385182087</v>
      </c>
      <c r="L17" s="4" t="n">
        <f aca="false">-L6*Assumptions!L18/100</f>
        <v>-428.02671866346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2175.6559104</v>
      </c>
      <c r="D19" s="0" t="n">
        <f aca="false">D15+D16+D17+D18</f>
        <v>2144.283855168</v>
      </c>
      <c r="E19" s="0" t="n">
        <f aca="false">E15+E16+E17+E18</f>
        <v>2156.28777563136</v>
      </c>
      <c r="F19" s="0" t="n">
        <f aca="false">F15+F16+F17+F18</f>
        <v>2213.34243865889</v>
      </c>
      <c r="G19" s="0" t="n">
        <f aca="false">G15+G16+G17+G18</f>
        <v>2296.77918874074</v>
      </c>
      <c r="H19" s="0" t="n">
        <f aca="false">H15+H16+H17+H18</f>
        <v>2369.02826637081</v>
      </c>
      <c r="I19" s="0" t="n">
        <f aca="false">I15+I16+I17+I18</f>
        <v>2443.52122492878</v>
      </c>
      <c r="J19" s="0" t="n">
        <f aca="false">J15+J16+J17+J18</f>
        <v>2520.3266309595</v>
      </c>
      <c r="K19" s="0" t="n">
        <f aca="false">K15+K16+K17+K18</f>
        <v>2599.51510191184</v>
      </c>
      <c r="L19" s="0" t="n">
        <f aca="false">L15+L16+L17+L18</f>
        <v>2690.49813047875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2014.49621333333</v>
      </c>
      <c r="D21" s="0" t="n">
        <f aca="false">D19*D20</f>
        <v>1838.37779078189</v>
      </c>
      <c r="E21" s="0" t="n">
        <f aca="false">E19*E20</f>
        <v>1711.73075721384</v>
      </c>
      <c r="F21" s="0" t="n">
        <f aca="false">F19*F20</f>
        <v>1626.87276687559</v>
      </c>
      <c r="G21" s="0" t="n">
        <f aca="false">G19*G20</f>
        <v>1563.14932315376</v>
      </c>
      <c r="H21" s="0" t="n">
        <f aca="false">H19*H20</f>
        <v>1492.88965869442</v>
      </c>
      <c r="I21" s="0" t="n">
        <f aca="false">I19*I20</f>
        <v>1425.77116536511</v>
      </c>
      <c r="J21" s="0" t="n">
        <f aca="false">J19*J20</f>
        <v>1361.65405748911</v>
      </c>
      <c r="K21" s="0" t="n">
        <f aca="false">K19*K20</f>
        <v>1300.40474477403</v>
      </c>
      <c r="L21" s="0" t="n">
        <f aca="false">L19*L20</f>
        <v>1246.22121374178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15581.5676914229</v>
      </c>
    </row>
    <row r="31" customFormat="false" ht="15" hidden="false" customHeight="false" outlineLevel="0" collapsed="false">
      <c r="A31" s="0" t="s">
        <v>136</v>
      </c>
      <c r="B31" s="0" t="n">
        <f aca="false">L19</f>
        <v>2690.49813047875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50141.1015225586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53809.9626095751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50141.1015225586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23225.0317106422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38806.599402065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30565.599402065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53.8363705892823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-0.4127154948262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2122.57751654188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3224.57920314365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63.2545242126826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22062.0846699258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15.3616142572585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13</v>
      </c>
      <c r="D5" s="4" t="n">
        <f aca="false">Assumptions!D27</f>
        <v>9</v>
      </c>
      <c r="E5" s="4" t="n">
        <f aca="false">Assumptions!E27</f>
        <v>8</v>
      </c>
      <c r="F5" s="4" t="n">
        <f aca="false">Assumptions!F27</f>
        <v>7.5</v>
      </c>
      <c r="G5" s="4" t="n">
        <f aca="false">Assumptions!G27</f>
        <v>7</v>
      </c>
      <c r="H5" s="4" t="n">
        <f aca="false">Assumptions!H27</f>
        <v>6.5</v>
      </c>
      <c r="I5" s="4" t="n">
        <f aca="false">Assumptions!I27</f>
        <v>6</v>
      </c>
      <c r="J5" s="4" t="n">
        <f aca="false">Assumptions!J27</f>
        <v>5.5</v>
      </c>
      <c r="K5" s="4" t="n">
        <f aca="false">Assumptions!K27</f>
        <v>5</v>
      </c>
      <c r="L5" s="4" t="n">
        <f aca="false">Assumptions!L27</f>
        <v>4.5</v>
      </c>
    </row>
    <row r="6" customFormat="false" ht="15" hidden="false" customHeight="false" outlineLevel="0" collapsed="false">
      <c r="A6" s="0" t="s">
        <v>37</v>
      </c>
      <c r="B6" s="3" t="n">
        <v>5249</v>
      </c>
      <c r="C6" s="0" t="n">
        <f aca="false">B6*(1+C5/100)</f>
        <v>5931.37</v>
      </c>
      <c r="D6" s="0" t="n">
        <f aca="false">C6*(1+D5/100)</f>
        <v>6465.1933</v>
      </c>
      <c r="E6" s="0" t="n">
        <f aca="false">D6*(1+E5/100)</f>
        <v>6982.408764</v>
      </c>
      <c r="F6" s="0" t="n">
        <f aca="false">E6*(1+F5/100)</f>
        <v>7506.0894213</v>
      </c>
      <c r="G6" s="0" t="n">
        <f aca="false">F6*(1+G5/100)</f>
        <v>8031.515680791</v>
      </c>
      <c r="H6" s="0" t="n">
        <f aca="false">G6*(1+H5/100)</f>
        <v>8553.56420004242</v>
      </c>
      <c r="I6" s="0" t="n">
        <f aca="false">H6*(1+I5/100)</f>
        <v>9066.77805204496</v>
      </c>
      <c r="J6" s="0" t="n">
        <f aca="false">I6*(1+J5/100)</f>
        <v>9565.45084490744</v>
      </c>
      <c r="K6" s="0" t="n">
        <f aca="false">J6*(1+K5/100)</f>
        <v>10043.7233871528</v>
      </c>
      <c r="L6" s="0" t="n">
        <f aca="false">K6*(1+L5/100)</f>
        <v>10495.6909395747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58</v>
      </c>
      <c r="D7" s="4" t="n">
        <f aca="false">Assumptions!D28</f>
        <v>58.5</v>
      </c>
      <c r="E7" s="4" t="n">
        <f aca="false">Assumptions!E28</f>
        <v>59</v>
      </c>
      <c r="F7" s="4" t="n">
        <f aca="false">Assumptions!F28</f>
        <v>59.5</v>
      </c>
      <c r="G7" s="4" t="n">
        <f aca="false">Assumptions!G28</f>
        <v>60</v>
      </c>
      <c r="H7" s="4" t="n">
        <f aca="false">Assumptions!H28</f>
        <v>60</v>
      </c>
      <c r="I7" s="4" t="n">
        <f aca="false">Assumptions!I28</f>
        <v>60.5</v>
      </c>
      <c r="J7" s="4" t="n">
        <f aca="false">Assumptions!J28</f>
        <v>60.5</v>
      </c>
      <c r="K7" s="4" t="n">
        <f aca="false">Assumptions!K28</f>
        <v>61</v>
      </c>
      <c r="L7" s="4" t="n">
        <f aca="false">Assumptions!L28</f>
        <v>61</v>
      </c>
    </row>
    <row r="8" customFormat="false" ht="15" hidden="false" customHeight="false" outlineLevel="0" collapsed="false">
      <c r="A8" s="0" t="s">
        <v>43</v>
      </c>
      <c r="C8" s="0" t="n">
        <f aca="false">C6*C7/100</f>
        <v>3440.1946</v>
      </c>
      <c r="D8" s="0" t="n">
        <f aca="false">D6*D7/100</f>
        <v>3782.1380805</v>
      </c>
      <c r="E8" s="0" t="n">
        <f aca="false">E6*E7/100</f>
        <v>4119.62117076</v>
      </c>
      <c r="F8" s="0" t="n">
        <f aca="false">F6*F7/100</f>
        <v>4466.1232056735</v>
      </c>
      <c r="G8" s="0" t="n">
        <f aca="false">G6*G7/100</f>
        <v>4818.9094084746</v>
      </c>
      <c r="H8" s="0" t="n">
        <f aca="false">H6*H7/100</f>
        <v>5132.13852002545</v>
      </c>
      <c r="I8" s="0" t="n">
        <f aca="false">I6*I7/100</f>
        <v>5485.4007214872</v>
      </c>
      <c r="J8" s="0" t="n">
        <f aca="false">J6*J7/100</f>
        <v>5787.097761169</v>
      </c>
      <c r="K8" s="0" t="n">
        <f aca="false">K6*K7/100</f>
        <v>6126.67126616321</v>
      </c>
      <c r="L8" s="0" t="n">
        <f aca="false">L6*L7/100</f>
        <v>6402.37147314056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4.6</v>
      </c>
      <c r="D9" s="4" t="n">
        <f aca="false">Assumptions!D29</f>
        <v>4.5</v>
      </c>
      <c r="E9" s="4" t="n">
        <f aca="false">Assumptions!E29</f>
        <v>4.4</v>
      </c>
      <c r="F9" s="4" t="n">
        <f aca="false">Assumptions!F29</f>
        <v>4.3</v>
      </c>
      <c r="G9" s="4" t="n">
        <f aca="false">Assumptions!G29</f>
        <v>4.2</v>
      </c>
      <c r="H9" s="4" t="n">
        <f aca="false">Assumptions!H29</f>
        <v>4.1</v>
      </c>
      <c r="I9" s="4" t="n">
        <f aca="false">Assumptions!I29</f>
        <v>4</v>
      </c>
      <c r="J9" s="4" t="n">
        <f aca="false">Assumptions!J29</f>
        <v>4</v>
      </c>
      <c r="K9" s="4" t="n">
        <f aca="false">Assumptions!K29</f>
        <v>4</v>
      </c>
      <c r="L9" s="4" t="n">
        <f aca="false">Assumptions!L29</f>
        <v>4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-272.84302</v>
      </c>
      <c r="D10" s="0" t="n">
        <f aca="false">-D6*D9/100</f>
        <v>-290.9336985</v>
      </c>
      <c r="E10" s="0" t="n">
        <f aca="false">-E6*E9/100</f>
        <v>-307.225985616</v>
      </c>
      <c r="F10" s="0" t="n">
        <f aca="false">-F6*F9/100</f>
        <v>-322.7618451159</v>
      </c>
      <c r="G10" s="0" t="n">
        <f aca="false">-G6*G9/100</f>
        <v>-337.323658593222</v>
      </c>
      <c r="H10" s="0" t="n">
        <f aca="false">-H6*H9/100</f>
        <v>-350.696132201739</v>
      </c>
      <c r="I10" s="0" t="n">
        <f aca="false">-I6*I9/100</f>
        <v>-362.671122081798</v>
      </c>
      <c r="J10" s="0" t="n">
        <f aca="false">-J6*J9/100</f>
        <v>-382.618033796297</v>
      </c>
      <c r="K10" s="0" t="n">
        <f aca="false">-K6*K9/100</f>
        <v>-401.748935486112</v>
      </c>
      <c r="L10" s="0" t="n">
        <f aca="false">-L6*L9/100</f>
        <v>-419.827637582987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3167.35158</v>
      </c>
      <c r="D11" s="0" t="n">
        <f aca="false">D8+D10+D24</f>
        <v>3491.204382</v>
      </c>
      <c r="E11" s="0" t="n">
        <f aca="false">E8+E10+E24</f>
        <v>3812.395185144</v>
      </c>
      <c r="F11" s="0" t="n">
        <f aca="false">F8+F10+F24</f>
        <v>4143.3613605576</v>
      </c>
      <c r="G11" s="0" t="n">
        <f aca="false">G8+G10+G24</f>
        <v>4481.58574988138</v>
      </c>
      <c r="H11" s="0" t="n">
        <f aca="false">H8+H10+H24</f>
        <v>4781.44238782371</v>
      </c>
      <c r="I11" s="0" t="n">
        <f aca="false">I8+I10+I24</f>
        <v>5122.7295994054</v>
      </c>
      <c r="J11" s="0" t="n">
        <f aca="false">J8+J10+J24</f>
        <v>5404.4797273727</v>
      </c>
      <c r="K11" s="0" t="n">
        <f aca="false">K8+K10+K24</f>
        <v>5724.9223306771</v>
      </c>
      <c r="L11" s="0" t="n">
        <f aca="false">L8+L10+L24</f>
        <v>5982.54383555757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-682.10755</v>
      </c>
      <c r="D12" s="4" t="n">
        <f aca="false">-D6*Assumptions!D31/100</f>
        <v>-711.171263</v>
      </c>
      <c r="E12" s="4" t="n">
        <f aca="false">-E6*Assumptions!E31/100</f>
        <v>-733.15292022</v>
      </c>
      <c r="F12" s="4" t="n">
        <f aca="false">-F6*Assumptions!F31/100</f>
        <v>-750.60894213</v>
      </c>
      <c r="G12" s="4" t="n">
        <f aca="false">-G6*Assumptions!G31/100</f>
        <v>-762.993989675145</v>
      </c>
      <c r="H12" s="4" t="n">
        <f aca="false">-H6*Assumptions!H31/100</f>
        <v>-769.820778003817</v>
      </c>
      <c r="I12" s="4" t="n">
        <f aca="false">-I6*Assumptions!I31/100</f>
        <v>-770.676134423822</v>
      </c>
      <c r="J12" s="4" t="n">
        <f aca="false">-J6*Assumptions!J31/100</f>
        <v>-765.236067592595</v>
      </c>
      <c r="K12" s="4" t="n">
        <f aca="false">-K6*Assumptions!K31/100</f>
        <v>-753.27925403646</v>
      </c>
      <c r="L12" s="4" t="n">
        <f aca="false">-L6*Assumptions!L31/100</f>
        <v>-787.176820468101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2485.24403</v>
      </c>
      <c r="D13" s="0" t="n">
        <f aca="false">D11+D12</f>
        <v>2780.033119</v>
      </c>
      <c r="E13" s="0" t="n">
        <f aca="false">E11+E12</f>
        <v>3079.242264924</v>
      </c>
      <c r="F13" s="0" t="n">
        <f aca="false">F11+F12</f>
        <v>3392.7524184276</v>
      </c>
      <c r="G13" s="0" t="n">
        <f aca="false">G11+G12</f>
        <v>3718.59176020623</v>
      </c>
      <c r="H13" s="0" t="n">
        <f aca="false">H11+H12</f>
        <v>4011.62160981989</v>
      </c>
      <c r="I13" s="0" t="n">
        <f aca="false">I11+I12</f>
        <v>4352.05346498158</v>
      </c>
      <c r="J13" s="0" t="n">
        <f aca="false">J11+J12</f>
        <v>4639.24365978011</v>
      </c>
      <c r="K13" s="0" t="n">
        <f aca="false">K11+K12</f>
        <v>4971.64307664064</v>
      </c>
      <c r="L13" s="0" t="n">
        <f aca="false">L11+L12</f>
        <v>5195.36701508947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23.5</v>
      </c>
      <c r="D14" s="4" t="n">
        <f aca="false">Assumptions!D33</f>
        <v>23.5</v>
      </c>
      <c r="E14" s="4" t="n">
        <f aca="false">Assumptions!E33</f>
        <v>23.5</v>
      </c>
      <c r="F14" s="4" t="n">
        <f aca="false">Assumptions!F33</f>
        <v>23.5</v>
      </c>
      <c r="G14" s="4" t="n">
        <f aca="false">Assumptions!G33</f>
        <v>23.5</v>
      </c>
      <c r="H14" s="4" t="n">
        <f aca="false">Assumptions!H33</f>
        <v>23.5</v>
      </c>
      <c r="I14" s="4" t="n">
        <f aca="false">Assumptions!I33</f>
        <v>23.5</v>
      </c>
      <c r="J14" s="4" t="n">
        <f aca="false">Assumptions!J33</f>
        <v>23.5</v>
      </c>
      <c r="K14" s="4" t="n">
        <f aca="false">Assumptions!K33</f>
        <v>23.5</v>
      </c>
      <c r="L14" s="4" t="n">
        <f aca="false">Assumptions!L33</f>
        <v>23.5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1901.21168295</v>
      </c>
      <c r="D15" s="0" t="n">
        <f aca="false">D13-MAX(0,D13)*D14/100</f>
        <v>2126.725336035</v>
      </c>
      <c r="E15" s="0" t="n">
        <f aca="false">E13-MAX(0,E13)*E14/100</f>
        <v>2355.62033266686</v>
      </c>
      <c r="F15" s="0" t="n">
        <f aca="false">F13-MAX(0,F13)*F14/100</f>
        <v>2595.45560009711</v>
      </c>
      <c r="G15" s="0" t="n">
        <f aca="false">G13-MAX(0,G13)*G14/100</f>
        <v>2844.72269655777</v>
      </c>
      <c r="H15" s="0" t="n">
        <f aca="false">H13-MAX(0,H13)*H14/100</f>
        <v>3068.89053151222</v>
      </c>
      <c r="I15" s="0" t="n">
        <f aca="false">I13-MAX(0,I13)*I14/100</f>
        <v>3329.32090071091</v>
      </c>
      <c r="J15" s="0" t="n">
        <f aca="false">J13-MAX(0,J13)*J14/100</f>
        <v>3549.02139973178</v>
      </c>
      <c r="K15" s="0" t="n">
        <f aca="false">K13-MAX(0,K13)*K14/100</f>
        <v>3803.30695363009</v>
      </c>
      <c r="L15" s="0" t="n">
        <f aca="false">L13-MAX(0,L13)*L14/100</f>
        <v>3974.45576654344</v>
      </c>
    </row>
    <row r="16" customFormat="false" ht="15" hidden="false" customHeight="false" outlineLevel="0" collapsed="false">
      <c r="A16" s="0" t="s">
        <v>127</v>
      </c>
      <c r="C16" s="0" t="n">
        <f aca="false">-C12</f>
        <v>682.10755</v>
      </c>
      <c r="D16" s="0" t="n">
        <f aca="false">-D12</f>
        <v>711.171263</v>
      </c>
      <c r="E16" s="0" t="n">
        <f aca="false">-E12</f>
        <v>733.15292022</v>
      </c>
      <c r="F16" s="0" t="n">
        <f aca="false">-F12</f>
        <v>750.60894213</v>
      </c>
      <c r="G16" s="0" t="n">
        <f aca="false">-G12</f>
        <v>762.993989675145</v>
      </c>
      <c r="H16" s="0" t="n">
        <f aca="false">-H12</f>
        <v>769.820778003817</v>
      </c>
      <c r="I16" s="0" t="n">
        <f aca="false">-I12</f>
        <v>770.676134423822</v>
      </c>
      <c r="J16" s="0" t="n">
        <f aca="false">-J12</f>
        <v>765.236067592595</v>
      </c>
      <c r="K16" s="0" t="n">
        <f aca="false">-K12</f>
        <v>753.27925403646</v>
      </c>
      <c r="L16" s="0" t="n">
        <f aca="false">-L12</f>
        <v>787.176820468101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-296.5685</v>
      </c>
      <c r="D17" s="4" t="n">
        <f aca="false">-D6*Assumptions!D32/100</f>
        <v>-323.259665</v>
      </c>
      <c r="E17" s="4" t="n">
        <f aca="false">-E6*Assumptions!E32/100</f>
        <v>-349.1204382</v>
      </c>
      <c r="F17" s="4" t="n">
        <f aca="false">-F6*Assumptions!F32/100</f>
        <v>-375.304471065</v>
      </c>
      <c r="G17" s="4" t="n">
        <f aca="false">-G6*Assumptions!G32/100</f>
        <v>-401.57578403955</v>
      </c>
      <c r="H17" s="4" t="n">
        <f aca="false">-H6*Assumptions!H32/100</f>
        <v>-427.678210002121</v>
      </c>
      <c r="I17" s="4" t="n">
        <f aca="false">-I6*Assumptions!I32/100</f>
        <v>-453.338902602248</v>
      </c>
      <c r="J17" s="4" t="n">
        <f aca="false">-J6*Assumptions!J32/100</f>
        <v>-478.272542245372</v>
      </c>
      <c r="K17" s="4" t="n">
        <f aca="false">-K6*Assumptions!K32/100</f>
        <v>-502.18616935764</v>
      </c>
      <c r="L17" s="4" t="n">
        <f aca="false">-L6*Assumptions!L32/100</f>
        <v>-524.784546978734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34.1185</v>
      </c>
      <c r="D18" s="4" t="n">
        <f aca="false">(D6-C6)*Assumptions!$B$37/100</f>
        <v>26.691165</v>
      </c>
      <c r="E18" s="4" t="n">
        <f aca="false">(E6-D6)*Assumptions!$B$37/100</f>
        <v>25.8607732</v>
      </c>
      <c r="F18" s="4" t="n">
        <f aca="false">(F6-E6)*Assumptions!$B$37/100</f>
        <v>26.184032865</v>
      </c>
      <c r="G18" s="4" t="n">
        <f aca="false">(G6-F6)*Assumptions!$B$37/100</f>
        <v>26.27131297455</v>
      </c>
      <c r="H18" s="4" t="n">
        <f aca="false">(H6-G6)*Assumptions!$B$37/100</f>
        <v>26.1024259625708</v>
      </c>
      <c r="I18" s="4" t="n">
        <f aca="false">(I6-H6)*Assumptions!$B$37/100</f>
        <v>25.6606926001273</v>
      </c>
      <c r="J18" s="4" t="n">
        <f aca="false">(J6-I6)*Assumptions!$B$37/100</f>
        <v>24.9336396431237</v>
      </c>
      <c r="K18" s="4" t="n">
        <f aca="false">(K6-J6)*Assumptions!$B$37/100</f>
        <v>23.9136271122686</v>
      </c>
      <c r="L18" s="4" t="n">
        <f aca="false">(L6-K6)*Assumptions!$B$37/100</f>
        <v>22.5983776210938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2320.86923295</v>
      </c>
      <c r="D19" s="0" t="n">
        <f aca="false">D15+D16+D17+D18</f>
        <v>2541.328099035</v>
      </c>
      <c r="E19" s="0" t="n">
        <f aca="false">E15+E16+E17+E18</f>
        <v>2765.51358788686</v>
      </c>
      <c r="F19" s="0" t="n">
        <f aca="false">F15+F16+F17+F18</f>
        <v>2996.94410402711</v>
      </c>
      <c r="G19" s="0" t="n">
        <f aca="false">G15+G16+G17+G18</f>
        <v>3232.41221516791</v>
      </c>
      <c r="H19" s="0" t="n">
        <f aca="false">H15+H16+H17+H18</f>
        <v>3437.13552547649</v>
      </c>
      <c r="I19" s="0" t="n">
        <f aca="false">I15+I16+I17+I18</f>
        <v>3672.31882513261</v>
      </c>
      <c r="J19" s="0" t="n">
        <f aca="false">J15+J16+J17+J18</f>
        <v>3860.91856472213</v>
      </c>
      <c r="K19" s="0" t="n">
        <f aca="false">K15+K16+K17+K18</f>
        <v>4078.31366542118</v>
      </c>
      <c r="L19" s="0" t="n">
        <f aca="false">L15+L16+L17+L18</f>
        <v>4259.4464176539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2148.95299347222</v>
      </c>
      <c r="D21" s="0" t="n">
        <f aca="false">D19*D20</f>
        <v>2178.77923442644</v>
      </c>
      <c r="E21" s="0" t="n">
        <f aca="false">E19*E20</f>
        <v>2195.35384904396</v>
      </c>
      <c r="F21" s="0" t="n">
        <f aca="false">F19*F20</f>
        <v>2202.84338362225</v>
      </c>
      <c r="G21" s="0" t="n">
        <f aca="false">G19*G20</f>
        <v>2199.92543952993</v>
      </c>
      <c r="H21" s="0" t="n">
        <f aca="false">H19*H20</f>
        <v>2165.97841163618</v>
      </c>
      <c r="I21" s="0" t="n">
        <f aca="false">I19*I20</f>
        <v>2142.7627628052</v>
      </c>
      <c r="J21" s="0" t="n">
        <f aca="false">J19*J20</f>
        <v>2085.93416611539</v>
      </c>
      <c r="K21" s="0" t="n">
        <f aca="false">K19*K20</f>
        <v>2040.17219876506</v>
      </c>
      <c r="L21" s="0" t="n">
        <f aca="false">L19*L20</f>
        <v>1972.94784350292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21333.6502829196</v>
      </c>
    </row>
    <row r="31" customFormat="false" ht="15" hidden="false" customHeight="false" outlineLevel="0" collapsed="false">
      <c r="A31" s="0" t="s">
        <v>136</v>
      </c>
      <c r="B31" s="0" t="n">
        <f aca="false">L19</f>
        <v>4259.4464176539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87744.5962036704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85188.9283530781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85188.9283530781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39458.9568700585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60792.607152978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52551.607152978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92.5611750823039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0.00972155647762518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2247.52918128104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4005.90541363618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103.575590925399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36560.248418196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28.5613473179005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14</v>
      </c>
      <c r="D5" s="4" t="n">
        <f aca="false">Assumptions!D41</f>
        <v>12</v>
      </c>
      <c r="E5" s="4" t="n">
        <f aca="false">Assumptions!E41</f>
        <v>11</v>
      </c>
      <c r="F5" s="4" t="n">
        <f aca="false">Assumptions!F41</f>
        <v>10</v>
      </c>
      <c r="G5" s="4" t="n">
        <f aca="false">Assumptions!G41</f>
        <v>9</v>
      </c>
      <c r="H5" s="4" t="n">
        <f aca="false">Assumptions!H41</f>
        <v>8.5</v>
      </c>
      <c r="I5" s="4" t="n">
        <f aca="false">Assumptions!I41</f>
        <v>8</v>
      </c>
      <c r="J5" s="4" t="n">
        <f aca="false">Assumptions!J41</f>
        <v>7</v>
      </c>
      <c r="K5" s="4" t="n">
        <f aca="false">Assumptions!K41</f>
        <v>6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37</v>
      </c>
      <c r="B6" s="3" t="n">
        <v>5249</v>
      </c>
      <c r="C6" s="0" t="n">
        <f aca="false">B6*(1+C5/100)</f>
        <v>5983.86</v>
      </c>
      <c r="D6" s="0" t="n">
        <f aca="false">C6*(1+D5/100)</f>
        <v>6701.9232</v>
      </c>
      <c r="E6" s="0" t="n">
        <f aca="false">D6*(1+E5/100)</f>
        <v>7439.134752</v>
      </c>
      <c r="F6" s="0" t="n">
        <f aca="false">E6*(1+F5/100)</f>
        <v>8183.0482272</v>
      </c>
      <c r="G6" s="0" t="n">
        <f aca="false">F6*(1+G5/100)</f>
        <v>8919.522567648</v>
      </c>
      <c r="H6" s="0" t="n">
        <f aca="false">G6*(1+H5/100)</f>
        <v>9677.68198589808</v>
      </c>
      <c r="I6" s="0" t="n">
        <f aca="false">H6*(1+I5/100)</f>
        <v>10451.8965447699</v>
      </c>
      <c r="J6" s="0" t="n">
        <f aca="false">I6*(1+J5/100)</f>
        <v>11183.5293029038</v>
      </c>
      <c r="K6" s="0" t="n">
        <f aca="false">J6*(1+K5/100)</f>
        <v>11854.5410610781</v>
      </c>
      <c r="L6" s="0" t="n">
        <f aca="false">K6*(1+L5/100)</f>
        <v>12447.268114132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58.5</v>
      </c>
      <c r="D7" s="4" t="n">
        <f aca="false">Assumptions!D42</f>
        <v>59.5</v>
      </c>
      <c r="E7" s="4" t="n">
        <f aca="false">Assumptions!E42</f>
        <v>60.5</v>
      </c>
      <c r="F7" s="4" t="n">
        <f aca="false">Assumptions!F42</f>
        <v>61.5</v>
      </c>
      <c r="G7" s="4" t="n">
        <f aca="false">Assumptions!G42</f>
        <v>62.5</v>
      </c>
      <c r="H7" s="4" t="n">
        <f aca="false">Assumptions!H42</f>
        <v>63</v>
      </c>
      <c r="I7" s="4" t="n">
        <f aca="false">Assumptions!I42</f>
        <v>63.5</v>
      </c>
      <c r="J7" s="4" t="n">
        <f aca="false">Assumptions!J42</f>
        <v>64</v>
      </c>
      <c r="K7" s="4" t="n">
        <f aca="false">Assumptions!K42</f>
        <v>64</v>
      </c>
      <c r="L7" s="4" t="n">
        <f aca="false">Assumptions!L42</f>
        <v>64</v>
      </c>
    </row>
    <row r="8" customFormat="false" ht="15" hidden="false" customHeight="false" outlineLevel="0" collapsed="false">
      <c r="A8" s="0" t="s">
        <v>43</v>
      </c>
      <c r="C8" s="0" t="n">
        <f aca="false">C6*C7/100</f>
        <v>3500.5581</v>
      </c>
      <c r="D8" s="0" t="n">
        <f aca="false">D6*D7/100</f>
        <v>3987.644304</v>
      </c>
      <c r="E8" s="0" t="n">
        <f aca="false">E6*E7/100</f>
        <v>4500.67652496</v>
      </c>
      <c r="F8" s="0" t="n">
        <f aca="false">F6*F7/100</f>
        <v>5032.574659728</v>
      </c>
      <c r="G8" s="0" t="n">
        <f aca="false">G6*G7/100</f>
        <v>5574.70160478</v>
      </c>
      <c r="H8" s="0" t="n">
        <f aca="false">H6*H7/100</f>
        <v>6096.93965111579</v>
      </c>
      <c r="I8" s="0" t="n">
        <f aca="false">I6*I7/100</f>
        <v>6636.95430592891</v>
      </c>
      <c r="J8" s="0" t="n">
        <f aca="false">J6*J7/100</f>
        <v>7157.45875385845</v>
      </c>
      <c r="K8" s="0" t="n">
        <f aca="false">K6*K7/100</f>
        <v>7586.90627908996</v>
      </c>
      <c r="L8" s="0" t="n">
        <f aca="false">L6*L7/100</f>
        <v>7966.25159304445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4.6</v>
      </c>
      <c r="D9" s="4" t="n">
        <f aca="false">Assumptions!D43</f>
        <v>4.5</v>
      </c>
      <c r="E9" s="4" t="n">
        <f aca="false">Assumptions!E43</f>
        <v>4.4</v>
      </c>
      <c r="F9" s="4" t="n">
        <f aca="false">Assumptions!F43</f>
        <v>4.3</v>
      </c>
      <c r="G9" s="4" t="n">
        <f aca="false">Assumptions!G43</f>
        <v>4.2</v>
      </c>
      <c r="H9" s="4" t="n">
        <f aca="false">Assumptions!H43</f>
        <v>4.1</v>
      </c>
      <c r="I9" s="4" t="n">
        <f aca="false">Assumptions!I43</f>
        <v>4</v>
      </c>
      <c r="J9" s="4" t="n">
        <f aca="false">Assumptions!J43</f>
        <v>4</v>
      </c>
      <c r="K9" s="4" t="n">
        <f aca="false">Assumptions!K43</f>
        <v>4</v>
      </c>
      <c r="L9" s="4" t="n">
        <f aca="false">Assumptions!L43</f>
        <v>4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-275.25756</v>
      </c>
      <c r="D10" s="0" t="n">
        <f aca="false">-D6*D9/100</f>
        <v>-301.586544</v>
      </c>
      <c r="E10" s="0" t="n">
        <f aca="false">-E6*E9/100</f>
        <v>-327.321929088</v>
      </c>
      <c r="F10" s="0" t="n">
        <f aca="false">-F6*F9/100</f>
        <v>-351.8710737696</v>
      </c>
      <c r="G10" s="0" t="n">
        <f aca="false">-G6*G9/100</f>
        <v>-374.619947841216</v>
      </c>
      <c r="H10" s="0" t="n">
        <f aca="false">-H6*H9/100</f>
        <v>-396.784961421821</v>
      </c>
      <c r="I10" s="0" t="n">
        <f aca="false">-I6*I9/100</f>
        <v>-418.075861790797</v>
      </c>
      <c r="J10" s="0" t="n">
        <f aca="false">-J6*J9/100</f>
        <v>-447.341172116153</v>
      </c>
      <c r="K10" s="0" t="n">
        <f aca="false">-K6*K9/100</f>
        <v>-474.181642443122</v>
      </c>
      <c r="L10" s="0" t="n">
        <f aca="false">-L6*L9/100</f>
        <v>-497.890724565278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3225.30054</v>
      </c>
      <c r="D11" s="0" t="n">
        <f aca="false">D8+D10+D24</f>
        <v>3686.05776</v>
      </c>
      <c r="E11" s="0" t="n">
        <f aca="false">E8+E10+E24</f>
        <v>4173.354595872</v>
      </c>
      <c r="F11" s="0" t="n">
        <f aca="false">F8+F10+F24</f>
        <v>4680.7035859584</v>
      </c>
      <c r="G11" s="0" t="n">
        <f aca="false">G8+G10+G24</f>
        <v>5200.08165693879</v>
      </c>
      <c r="H11" s="0" t="n">
        <f aca="false">H8+H10+H24</f>
        <v>5700.15468969397</v>
      </c>
      <c r="I11" s="0" t="n">
        <f aca="false">I8+I10+I24</f>
        <v>6218.87844413811</v>
      </c>
      <c r="J11" s="0" t="n">
        <f aca="false">J8+J10+J24</f>
        <v>6710.1175817423</v>
      </c>
      <c r="K11" s="0" t="n">
        <f aca="false">K8+K10+K24</f>
        <v>7112.72463664683</v>
      </c>
      <c r="L11" s="0" t="n">
        <f aca="false">L8+L10+L24</f>
        <v>7468.36086847918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-688.1439</v>
      </c>
      <c r="D12" s="4" t="n">
        <f aca="false">-D6*Assumptions!D45/100</f>
        <v>-737.211552</v>
      </c>
      <c r="E12" s="4" t="n">
        <f aca="false">-E6*Assumptions!E45/100</f>
        <v>-781.10914896</v>
      </c>
      <c r="F12" s="4" t="n">
        <f aca="false">-F6*Assumptions!F45/100</f>
        <v>-818.30482272</v>
      </c>
      <c r="G12" s="4" t="n">
        <f aca="false">-G6*Assumptions!G45/100</f>
        <v>-847.35464392656</v>
      </c>
      <c r="H12" s="4" t="n">
        <f aca="false">-H6*Assumptions!H45/100</f>
        <v>-870.991378730828</v>
      </c>
      <c r="I12" s="4" t="n">
        <f aca="false">-I6*Assumptions!I45/100</f>
        <v>-888.411206305444</v>
      </c>
      <c r="J12" s="4" t="n">
        <f aca="false">-J6*Assumptions!J45/100</f>
        <v>-894.682344232306</v>
      </c>
      <c r="K12" s="4" t="n">
        <f aca="false">-K6*Assumptions!K45/100</f>
        <v>-889.090579580854</v>
      </c>
      <c r="L12" s="4" t="n">
        <f aca="false">-L6*Assumptions!L45/100</f>
        <v>-933.545108559897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2537.15664</v>
      </c>
      <c r="D13" s="0" t="n">
        <f aca="false">D11+D12</f>
        <v>2948.846208</v>
      </c>
      <c r="E13" s="0" t="n">
        <f aca="false">E11+E12</f>
        <v>3392.245446912</v>
      </c>
      <c r="F13" s="0" t="n">
        <f aca="false">F11+F12</f>
        <v>3862.3987632384</v>
      </c>
      <c r="G13" s="0" t="n">
        <f aca="false">G11+G12</f>
        <v>4352.72701301223</v>
      </c>
      <c r="H13" s="0" t="n">
        <f aca="false">H11+H12</f>
        <v>4829.16331096314</v>
      </c>
      <c r="I13" s="0" t="n">
        <f aca="false">I11+I12</f>
        <v>5330.46723783267</v>
      </c>
      <c r="J13" s="0" t="n">
        <f aca="false">J11+J12</f>
        <v>5815.43523750999</v>
      </c>
      <c r="K13" s="0" t="n">
        <f aca="false">K11+K12</f>
        <v>6223.63405706598</v>
      </c>
      <c r="L13" s="0" t="n">
        <f aca="false">L11+L12</f>
        <v>6534.81575991928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23.5</v>
      </c>
      <c r="D14" s="4" t="n">
        <f aca="false">Assumptions!D47</f>
        <v>23.5</v>
      </c>
      <c r="E14" s="4" t="n">
        <f aca="false">Assumptions!E47</f>
        <v>23.5</v>
      </c>
      <c r="F14" s="4" t="n">
        <f aca="false">Assumptions!F47</f>
        <v>23.5</v>
      </c>
      <c r="G14" s="4" t="n">
        <f aca="false">Assumptions!G47</f>
        <v>23.5</v>
      </c>
      <c r="H14" s="4" t="n">
        <f aca="false">Assumptions!H47</f>
        <v>23.5</v>
      </c>
      <c r="I14" s="4" t="n">
        <f aca="false">Assumptions!I47</f>
        <v>23.5</v>
      </c>
      <c r="J14" s="4" t="n">
        <f aca="false">Assumptions!J47</f>
        <v>23.5</v>
      </c>
      <c r="K14" s="4" t="n">
        <f aca="false">Assumptions!K47</f>
        <v>23.5</v>
      </c>
      <c r="L14" s="4" t="n">
        <f aca="false">Assumptions!L47</f>
        <v>23.5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1940.9248296</v>
      </c>
      <c r="D15" s="0" t="n">
        <f aca="false">D13-MAX(0,D13)*D14/100</f>
        <v>2255.86734912</v>
      </c>
      <c r="E15" s="0" t="n">
        <f aca="false">E13-MAX(0,E13)*E14/100</f>
        <v>2595.06776688768</v>
      </c>
      <c r="F15" s="0" t="n">
        <f aca="false">F13-MAX(0,F13)*F14/100</f>
        <v>2954.73505387738</v>
      </c>
      <c r="G15" s="0" t="n">
        <f aca="false">G13-MAX(0,G13)*G14/100</f>
        <v>3329.83616495435</v>
      </c>
      <c r="H15" s="0" t="n">
        <f aca="false">H13-MAX(0,H13)*H14/100</f>
        <v>3694.3099328868</v>
      </c>
      <c r="I15" s="0" t="n">
        <f aca="false">I13-MAX(0,I13)*I14/100</f>
        <v>4077.80743694199</v>
      </c>
      <c r="J15" s="0" t="n">
        <f aca="false">J13-MAX(0,J13)*J14/100</f>
        <v>4448.80795669514</v>
      </c>
      <c r="K15" s="0" t="n">
        <f aca="false">K13-MAX(0,K13)*K14/100</f>
        <v>4761.08005365547</v>
      </c>
      <c r="L15" s="0" t="n">
        <f aca="false">L13-MAX(0,L13)*L14/100</f>
        <v>4999.13405633825</v>
      </c>
    </row>
    <row r="16" customFormat="false" ht="15" hidden="false" customHeight="false" outlineLevel="0" collapsed="false">
      <c r="A16" s="0" t="s">
        <v>127</v>
      </c>
      <c r="C16" s="0" t="n">
        <f aca="false">-C12</f>
        <v>688.1439</v>
      </c>
      <c r="D16" s="0" t="n">
        <f aca="false">-D12</f>
        <v>737.211552</v>
      </c>
      <c r="E16" s="0" t="n">
        <f aca="false">-E12</f>
        <v>781.10914896</v>
      </c>
      <c r="F16" s="0" t="n">
        <f aca="false">-F12</f>
        <v>818.30482272</v>
      </c>
      <c r="G16" s="0" t="n">
        <f aca="false">-G12</f>
        <v>847.35464392656</v>
      </c>
      <c r="H16" s="0" t="n">
        <f aca="false">-H12</f>
        <v>870.991378730828</v>
      </c>
      <c r="I16" s="0" t="n">
        <f aca="false">-I12</f>
        <v>888.411206305444</v>
      </c>
      <c r="J16" s="0" t="n">
        <f aca="false">-J12</f>
        <v>894.682344232306</v>
      </c>
      <c r="K16" s="0" t="n">
        <f aca="false">-K12</f>
        <v>889.090579580854</v>
      </c>
      <c r="L16" s="0" t="n">
        <f aca="false">-L12</f>
        <v>933.545108559897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-299.193</v>
      </c>
      <c r="D17" s="4" t="n">
        <f aca="false">-D6*Assumptions!D46/100</f>
        <v>-335.09616</v>
      </c>
      <c r="E17" s="4" t="n">
        <f aca="false">-E6*Assumptions!E46/100</f>
        <v>-371.9567376</v>
      </c>
      <c r="F17" s="4" t="n">
        <f aca="false">-F6*Assumptions!F46/100</f>
        <v>-409.15241136</v>
      </c>
      <c r="G17" s="4" t="n">
        <f aca="false">-G6*Assumptions!G46/100</f>
        <v>-445.9761283824</v>
      </c>
      <c r="H17" s="4" t="n">
        <f aca="false">-H6*Assumptions!H46/100</f>
        <v>-483.884099294904</v>
      </c>
      <c r="I17" s="4" t="n">
        <f aca="false">-I6*Assumptions!I46/100</f>
        <v>-522.594827238497</v>
      </c>
      <c r="J17" s="4" t="n">
        <f aca="false">-J6*Assumptions!J46/100</f>
        <v>-559.176465145191</v>
      </c>
      <c r="K17" s="4" t="n">
        <f aca="false">-K6*Assumptions!K46/100</f>
        <v>-592.727053053903</v>
      </c>
      <c r="L17" s="4" t="n">
        <f aca="false">-L6*Assumptions!L46/100</f>
        <v>-622.363405706598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36.743</v>
      </c>
      <c r="D18" s="4" t="n">
        <f aca="false">(D6-C6)*Assumptions!$B$51/100</f>
        <v>35.90316</v>
      </c>
      <c r="E18" s="4" t="n">
        <f aca="false">(E6-D6)*Assumptions!$B$51/100</f>
        <v>36.8605776</v>
      </c>
      <c r="F18" s="4" t="n">
        <f aca="false">(F6-E6)*Assumptions!$B$51/100</f>
        <v>37.1956737600001</v>
      </c>
      <c r="G18" s="4" t="n">
        <f aca="false">(G6-F6)*Assumptions!$B$51/100</f>
        <v>36.8237170224001</v>
      </c>
      <c r="H18" s="4" t="n">
        <f aca="false">(H6-G6)*Assumptions!$B$51/100</f>
        <v>37.907970912504</v>
      </c>
      <c r="I18" s="4" t="n">
        <f aca="false">(I6-H6)*Assumptions!$B$51/100</f>
        <v>38.7107279435923</v>
      </c>
      <c r="J18" s="4" t="n">
        <f aca="false">(J6-I6)*Assumptions!$B$51/100</f>
        <v>36.5816379066948</v>
      </c>
      <c r="K18" s="4" t="n">
        <f aca="false">(K6-J6)*Assumptions!$B$51/100</f>
        <v>33.5505879087115</v>
      </c>
      <c r="L18" s="4" t="n">
        <f aca="false">(L6-K6)*Assumptions!$B$51/100</f>
        <v>29.6363526526951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2366.6187296</v>
      </c>
      <c r="D19" s="0" t="n">
        <f aca="false">D15+D16+D17+D18</f>
        <v>2693.88590112</v>
      </c>
      <c r="E19" s="0" t="n">
        <f aca="false">E15+E16+E17+E18</f>
        <v>3041.08075584768</v>
      </c>
      <c r="F19" s="0" t="n">
        <f aca="false">F15+F16+F17+F18</f>
        <v>3401.08313899738</v>
      </c>
      <c r="G19" s="0" t="n">
        <f aca="false">G15+G16+G17+G18</f>
        <v>3768.03839752091</v>
      </c>
      <c r="H19" s="0" t="n">
        <f aca="false">H15+H16+H17+H18</f>
        <v>4119.32518323523</v>
      </c>
      <c r="I19" s="0" t="n">
        <f aca="false">I15+I16+I17+I18</f>
        <v>4482.33454395253</v>
      </c>
      <c r="J19" s="0" t="n">
        <f aca="false">J15+J16+J17+J18</f>
        <v>4820.89547368895</v>
      </c>
      <c r="K19" s="0" t="n">
        <f aca="false">K15+K16+K17+K18</f>
        <v>5090.99416809114</v>
      </c>
      <c r="L19" s="0" t="n">
        <f aca="false">L15+L16+L17+L18</f>
        <v>5339.95211184424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2191.31363851852</v>
      </c>
      <c r="D21" s="0" t="n">
        <f aca="false">D19*D20</f>
        <v>2309.57296049383</v>
      </c>
      <c r="E21" s="0" t="n">
        <f aca="false">E19*E20</f>
        <v>2414.10795153788</v>
      </c>
      <c r="F21" s="0" t="n">
        <f aca="false">F19*F20</f>
        <v>2499.89763900574</v>
      </c>
      <c r="G21" s="0" t="n">
        <f aca="false">G19*G20</f>
        <v>2564.46361913072</v>
      </c>
      <c r="H21" s="0" t="n">
        <f aca="false">H19*H20</f>
        <v>2595.87361372952</v>
      </c>
      <c r="I21" s="0" t="n">
        <f aca="false">I19*I20</f>
        <v>2615.39915474798</v>
      </c>
      <c r="J21" s="0" t="n">
        <f aca="false">J19*J20</f>
        <v>2604.57981987055</v>
      </c>
      <c r="K21" s="0" t="n">
        <f aca="false">K19*K20</f>
        <v>2546.76457425987</v>
      </c>
      <c r="L21" s="0" t="n">
        <f aca="false">L19*L20</f>
        <v>2473.43104489031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24815.4040161849</v>
      </c>
    </row>
    <row r="31" customFormat="false" ht="15" hidden="false" customHeight="false" outlineLevel="0" collapsed="false">
      <c r="A31" s="0" t="s">
        <v>136</v>
      </c>
      <c r="B31" s="0" t="n">
        <f aca="false">L19</f>
        <v>5339.95211184424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110003.013503991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106799.042236885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106799.042236885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49468.6208978062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74284.0249139911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66043.0249139911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116.324130187567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0.268944367705541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2490.36266404669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4750.76667276588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129.078210921715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45834.5889599964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36.6536158540652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53.8363705892823</v>
      </c>
      <c r="C4" s="0" t="n">
        <f aca="false">B4/Assumptions!$B$2-1</f>
        <v>-0.4127154948262</v>
      </c>
      <c r="D4" s="4" t="n">
        <f aca="false">Assumptions!$B$24</f>
        <v>0.2</v>
      </c>
      <c r="E4" s="4" t="n">
        <f aca="false">DCF_Bear!$B$43</f>
        <v>63.2545242126826</v>
      </c>
      <c r="F4" s="4" t="n">
        <f aca="false">DCF_Bear!$B$47</f>
        <v>15.3616142572585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92.5611750823039</v>
      </c>
      <c r="C5" s="0" t="n">
        <f aca="false">B5/Assumptions!$B$2-1</f>
        <v>0.00972155647762518</v>
      </c>
      <c r="D5" s="4" t="n">
        <f aca="false">Assumptions!$B$38</f>
        <v>0.5</v>
      </c>
      <c r="E5" s="4" t="n">
        <f aca="false">DCF_Base!$B$43</f>
        <v>103.575590925399</v>
      </c>
      <c r="F5" s="4" t="n">
        <f aca="false">DCF_Base!$B$47</f>
        <v>28.5613473179005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116.324130187567</v>
      </c>
      <c r="C6" s="0" t="n">
        <f aca="false">B6/Assumptions!$B$2-1</f>
        <v>0.268944367705541</v>
      </c>
      <c r="D6" s="4" t="n">
        <f aca="false">Assumptions!$B$52</f>
        <v>0.3</v>
      </c>
      <c r="E6" s="4" t="n">
        <f aca="false">DCF_Bull!$B$43</f>
        <v>129.078210921715</v>
      </c>
      <c r="F6" s="4" t="n">
        <f aca="false">DCF_Bull!$B$47</f>
        <v>36.6536158540652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91.9451007152785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103.16216358175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0.00299201059260756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-2.45252004516052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28.3490812666215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92.5611750823039</v>
      </c>
      <c r="C15" s="3" t="n">
        <v>8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75.6434301007771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62.1089732554445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51.9897753220692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44.1454360582843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28.5613473179005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110.912805405384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110.912805405384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110.912805405384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110.912805405384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110.912805405384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101.29443903584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101.29443903584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101.29443903584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101.29443903584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101.29443903584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82.1360874019714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87.822498863971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92.5611750823039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92.5611750823039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92.5611750823039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67.4189539688065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71.214866029716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75.6434301007771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80.8771876393039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84.6224453274239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56.4273318095358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59.0787644842932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62.1089732554445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65.6053679913884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69.6844951833229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2026-10-02T02:30:45Z</dcterms:created>
  <dc:creator>openpyxl</dc:creator>
  <dc:description/>
  <dc:language>en-NZ</dc:language>
  <cp:lastModifiedBy/>
  <dcterms:modified xsi:type="dcterms:W3CDTF">2026-10-02T02:30:45Z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