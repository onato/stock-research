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<sst xmlns="http://schemas.openxmlformats.org/spreadsheetml/2006/main" count="386" uniqueCount="174">
  <si>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</si>
  <si>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PNR</t>
  </si>
  <si>
    <t xml:space="preserve">Company</t>
  </si>
  <si>
    <t xml:space="preserve">Pentair plc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</si>
  <si>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</si>
  <si>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</si>
  <si>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</si>
  <si>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</si>
  <si>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</si>
  <si>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</si>
  <si>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</si>
  <si>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</si>
  <si>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</si>
  <si>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</si>
  <si>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</si>
  <si>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</si>
  <si>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</si>
  <si>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</si>
  <si>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</si>
  <si>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</si>
  <si>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</si>
  <si>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2026-10-02T07:31:53Z</t>
  </si>
  <si>
    <t xml:space="preserve">Drivers file</t>
  </si>
  <si>
    <t xml:space="preserve">PNR_Drivers.json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</si>
  <si>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</si>
  <si>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</si>
  <si>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</si>
  <si>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valuation of standalone Pentair through a Pool destocking trough. The market price sits near the 52-week low after a ~54% fall from the high; the question is whether FY2026 is a cyclical trough (base) or a reset to a lower earnings base (bear). SBC (~1% of revenue) is immaterial, so the house/street band is narrow and the valuation turns on Pool normalisation and the exit multiple, not accounting regime.
key_risks_to_valuation: Pool destocking proves to be weak end demand (rates, housing turnover) rather than a one-season channel reset; Taco ($1.425B, ~10.5x synergised EBITDA) is excluded; overpayment or integration failure would subtract value, and the $1.4B term-loan funding roughly doubles net debt on close; Securities class actions (Apr-Jul 2026 class period) - liability unquantified, not in the bridge; Tariff and input-cost inflation; the Q2-26 $35M tariff refund is excluded from the margin anchor; Terminal value capped at 14x FCF; ~half of EV sits in the terminal value</t>
  </si>
  <si>
    <t xml:space="preserve">Data sources</t>
  </si>
  <si>
    <t xml:space="preserve">price: Yahoo Finance chart API at inputs.price_as_of; 52-week range 51.81-113.95
financials: SEC XBRL companyfacts (FY2020-FY2025 10-K, Q1-26 10-Q) via PNR_Metrics.csv; Q2-2026 10-Q (filed 2026-07-28, accession 0000077360-26-000045) for the 30-Jun-26 balance sheet, diluted shares, H1-26 cash flow and segment results; 8-K 2026-09-02 (Taco $1.4B term-loan credit agreement); 8-K 2026-09-22 (new CFO effective 1-Nov-26)
qualitative: PNR_Analysis.json (2026-10-02): FY2026 guidance cut (sales $3.884-4.009B, adj EPS $4.60-4.80), Pool ~$250M destocking, ~$1.45B FY2027 Pool recovery framing, Taco acquisition</t>
  </si>
  <si>
    <t xml:space="preserve">Scenario narrative: bear</t>
  </si>
  <si>
    <t xml:space="preserve">The destocking was a symptom, not the disease: higher-for-longer rates, weak housing turnover and consumer stress keep pool sell-through soft, the large distributors (concentrated customer base) run structurally leaner inventories, and Pool never regains its FY2025 level. Revenue crawls 1-3%, Pool margin deleverage and tariff costs hold group EBITDA at 23-24%, and the class actions plus a second CFO change in a year keep the stock on a cyclical 12x exit multiple. Taco integration distracts management and adds leverage (not modelled, a further downside).</t>
  </si>
  <si>
    <t xml:space="preserve">Scenario narrative: base</t>
  </si>
  <si>
    <t xml:space="preserve">Destocking is what management says it is: a one-season channel reset, not a demand break. Pool rebuilds toward ~$1.45B in FY2027 as dealer inventories normalise to sell-through, but higher rates keep new-pool construction subdued so the recovery is to the installed-base/aftermarket run-rate, not the 2021-22 boom. Flow and Water Solutions keep their 80/20-driven record margins and grow with price plus modest volume. Group pre-SBC EBITDA returns to a ~25.5% mid-cycle by FY2029. Taco is assumed to earn roughly its cost of capital and is excluded.</t>
  </si>
  <si>
    <t xml:space="preserve">Scenario narrative: bull</t>
  </si>
  <si>
    <t xml:space="preserve">Pool snaps back hard in the 2027 season (easy comp, restocking on top of normal sell-through, variable-speed pump and automation mandates lifting ASPs) and Flow/Water Solutions extend record margins, taking group EBITDA to ~27% - near management's low-30s Pool return-on-sales ambition across the cycle. Revenue compounds 5-8% through FY2031 as water-scarcity and efficiency regulation drive replacement demand. The new CFO (ex-Fiserv/TE/Lennox) restores disclosure credibility and the multiple re-rates toward 16x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</si>
  <si>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</si>
  <si>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</si>
  <si>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</si>
  <si>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</si>
  <si>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</si>
  <si>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</si>
  <si>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</si>
  <si>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</si>
  <si>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</si>
  <si>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</si>
  <si>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</si>
  <si>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</si>
  <si>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</si>
  <si>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</si>
  <si>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</si>
  <si>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</si>
  <si>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</si>
  <si>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</si>
  <si>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</si>
  <si>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</si>
  <si>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</si>
  <si>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</si>
  <si>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</si>
  <si>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</si>
  <si>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</si>
  <si>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</si>
  <si>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</si>
  <si>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</si>
  <si>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</si>
  <si>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</si>
  <si>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</si>
  <si>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</si>
  <si>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</si>
  <si>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</si>
  <si>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</si>
  <si>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</si>
  <si>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</si>
  <si>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</si>
  <si>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</si>
  <si>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</si>
  <si>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</si>
  <si>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</si>
  <si>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</si>
  <si>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</si>
  <si>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</si>
  <si>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</si>
  <si>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</si>
  <si>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</si>
  <si>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</si>
  <si>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</si>
  <si>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</si>
  <si>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</si>
  <si>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</si>
  <si>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</si>
  <si>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</si>
  <si>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</si>
  <si>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</si>
  <si>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</si>
  <si>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</si>
  <si>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</si>
  <si>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</si>
  <si>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</si>
  <si>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</si>
  <si>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</si>
  <si>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</si>
  <si>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</si>
  <si>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</si>
  <si>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</si>
  <si>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</si>
  <si>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</si>
  <si>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</si>
  <si>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</si>
  <si>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</si>
  <si>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</si>
  <si>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</si>
  <si>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</si>
  <si>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</si>
  <si>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</si>
  <si>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</si>
  <si>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</si>
  <si>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</si>
  <si>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</si>
  <si>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</si>
  <si>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</si>
  <si>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PNR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</si>
  <si>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</si>
  <si>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</si>
  <si>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</si>
  <si>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</si>
  <si>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</si>
  <si>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</si>
  <si>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</si>
  <si>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</si>
  <si>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</si>
  <si>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</si>
  <si>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</si>
  <si>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</si>
  <si>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</si>
  <si>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</si>
  <si>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</si>
  <si>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</si>
  <si>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</si>
  <si>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</si>
  <si>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</si>
  <si>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</si>
  <si>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</si>
  <si>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</si>
  <si>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</si>
  <si>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</si>
  <si>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</si>
  <si>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</si>
  <si>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</si>
  <si>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</si>
  <si>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</si>
  <si>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</si>
  <si>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PNR owner-FCF component DCF: base case (millions, USD)</t>
  </si>
  <si>
    <t xml:space="preserve">PNR owner-FCF component DCF: bull case (millions, USD)</t>
  </si>
  <si>
    <t xml:space="preserve">PNR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</si>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</sst>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52.88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1910.871</v>
      </c>
      <c r="S2" s="0" t="n">
        <v>70.795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3351.976</v>
      </c>
      <c r="D3" s="0" t="n">
        <v>1014.55</v>
      </c>
      <c r="E3" s="0" t="n">
        <v>30.267221483686</v>
      </c>
      <c r="F3" s="0" t="n">
        <v>324.685</v>
      </c>
      <c r="G3" s="0" t="n">
        <v>9.68637603610527</v>
      </c>
      <c r="I3" s="0" t="n">
        <v>228.734</v>
      </c>
      <c r="J3" s="0" t="n">
        <v>6.8238555407318</v>
      </c>
      <c r="K3" s="0" t="n">
        <v>2.34</v>
      </c>
      <c r="L3" s="0" t="n">
        <v>204.215</v>
      </c>
      <c r="M3" s="0" t="n">
        <v>53.089</v>
      </c>
      <c r="N3" s="0" t="n">
        <v>151.126</v>
      </c>
      <c r="O3" s="0" t="n">
        <v>2020.069</v>
      </c>
      <c r="S3" s="0" t="n">
        <v>39.344</v>
      </c>
      <c r="T3" s="0" t="n">
        <v>99.068</v>
      </c>
      <c r="U3" s="0" t="n">
        <v>20.572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2692.468</v>
      </c>
      <c r="D4" s="0" t="n">
        <v>785.135</v>
      </c>
      <c r="E4" s="0" t="n">
        <v>29.1604208480844</v>
      </c>
      <c r="F4" s="0" t="n">
        <v>219.948</v>
      </c>
      <c r="G4" s="0" t="n">
        <v>8.16901073661786</v>
      </c>
      <c r="I4" s="0" t="n">
        <v>116.2</v>
      </c>
      <c r="J4" s="0" t="n">
        <v>4.3157430283294</v>
      </c>
      <c r="K4" s="0" t="n">
        <v>1.19</v>
      </c>
      <c r="L4" s="0" t="n">
        <v>258.369</v>
      </c>
      <c r="M4" s="0" t="n">
        <v>54.137</v>
      </c>
      <c r="N4" s="0" t="n">
        <v>204.232</v>
      </c>
      <c r="O4" s="0" t="n">
        <v>2126.34</v>
      </c>
      <c r="P4" s="0" t="n">
        <v>3911.334</v>
      </c>
      <c r="Q4" s="0" t="n">
        <v>1784.994</v>
      </c>
      <c r="R4" s="0" t="n">
        <v>803.432</v>
      </c>
      <c r="S4" s="0" t="n">
        <v>33.396</v>
      </c>
      <c r="T4" s="0" t="n">
        <v>98.655506</v>
      </c>
      <c r="U4" s="0" t="n">
        <v>17.324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3030.773</v>
      </c>
      <c r="D5" s="0" t="n">
        <v>930.64</v>
      </c>
      <c r="E5" s="0" t="n">
        <v>30.7063577509764</v>
      </c>
      <c r="F5" s="0" t="n">
        <v>312.983</v>
      </c>
      <c r="G5" s="0" t="n">
        <v>10.326837410786</v>
      </c>
      <c r="I5" s="0" t="n">
        <v>189.406</v>
      </c>
      <c r="J5" s="0" t="n">
        <v>6.24942877609112</v>
      </c>
      <c r="K5" s="0" t="n">
        <v>1.88</v>
      </c>
      <c r="L5" s="0" t="n">
        <v>270.376</v>
      </c>
      <c r="M5" s="0" t="n">
        <v>59.523</v>
      </c>
      <c r="N5" s="0" t="n">
        <v>210.853</v>
      </c>
      <c r="O5" s="0" t="n">
        <v>2205</v>
      </c>
      <c r="P5" s="0" t="n">
        <v>3973.533</v>
      </c>
      <c r="Q5" s="0" t="n">
        <v>1768.501</v>
      </c>
      <c r="R5" s="0" t="n">
        <v>702.539</v>
      </c>
      <c r="S5" s="0" t="n">
        <v>46.1</v>
      </c>
      <c r="T5" s="0" t="n">
        <v>99.294</v>
      </c>
      <c r="U5" s="0" t="n">
        <v>21.5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3456.7</v>
      </c>
      <c r="D6" s="0" t="n">
        <v>1073.7</v>
      </c>
      <c r="E6" s="0" t="n">
        <v>31.0614169583707</v>
      </c>
      <c r="F6" s="0" t="n">
        <v>100.2</v>
      </c>
      <c r="G6" s="0" t="n">
        <v>2.89871843087338</v>
      </c>
      <c r="I6" s="0" t="n">
        <v>38.521</v>
      </c>
      <c r="J6" s="0" t="n">
        <v>1.11438655364943</v>
      </c>
      <c r="K6" s="0" t="n">
        <v>0.35</v>
      </c>
      <c r="L6" s="0" t="n">
        <v>320.2</v>
      </c>
      <c r="M6" s="0" t="n">
        <v>73.3</v>
      </c>
      <c r="N6" s="0" t="n">
        <v>246.9</v>
      </c>
      <c r="O6" s="0" t="n">
        <v>2047.4</v>
      </c>
      <c r="P6" s="0" t="n">
        <v>4586.3</v>
      </c>
      <c r="Q6" s="0" t="n">
        <v>2538.921</v>
      </c>
      <c r="R6" s="0" t="n">
        <v>1309.087</v>
      </c>
      <c r="S6" s="0" t="n">
        <v>50.1</v>
      </c>
      <c r="T6" s="0" t="n">
        <v>98.622564</v>
      </c>
      <c r="U6" s="0" t="n">
        <v>19.5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4306.8</v>
      </c>
      <c r="D7" s="0" t="n">
        <v>1265.9</v>
      </c>
      <c r="E7" s="0" t="n">
        <v>29.3930528466611</v>
      </c>
      <c r="F7" s="0" t="n">
        <v>-4.8</v>
      </c>
      <c r="G7" s="0" t="n">
        <v>-0.11145165784341</v>
      </c>
      <c r="I7" s="0" t="n">
        <v>-107.2</v>
      </c>
      <c r="J7" s="0" t="n">
        <v>-2.4890870251695</v>
      </c>
      <c r="K7" s="0" t="n">
        <v>-0.84</v>
      </c>
      <c r="L7" s="0" t="n">
        <v>43.7</v>
      </c>
      <c r="M7" s="0" t="n">
        <v>94.5</v>
      </c>
      <c r="N7" s="0" t="n">
        <v>-50.8</v>
      </c>
      <c r="O7" s="0" t="n">
        <v>6487.5</v>
      </c>
      <c r="P7" s="0" t="n">
        <v>11882.7</v>
      </c>
      <c r="Q7" s="0" t="n">
        <v>5395.2</v>
      </c>
      <c r="R7" s="0" t="n">
        <v>2457.4</v>
      </c>
      <c r="S7" s="0" t="n">
        <v>237.4</v>
      </c>
      <c r="T7" s="0" t="n">
        <v>127.4</v>
      </c>
      <c r="U7" s="0" t="n">
        <v>35.8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6999.7</v>
      </c>
      <c r="D8" s="0" t="n">
        <v>2370.1</v>
      </c>
      <c r="E8" s="0" t="n">
        <v>33.860022572396</v>
      </c>
      <c r="F8" s="0" t="n">
        <v>742.6</v>
      </c>
      <c r="G8" s="0" t="n">
        <v>10.6090261011186</v>
      </c>
      <c r="I8" s="0" t="n">
        <v>542.6</v>
      </c>
      <c r="J8" s="0" t="n">
        <v>7.75176078974813</v>
      </c>
      <c r="K8" s="0" t="n">
        <v>2.67</v>
      </c>
      <c r="L8" s="0" t="n">
        <v>927.9</v>
      </c>
      <c r="M8" s="0" t="n">
        <v>170</v>
      </c>
      <c r="N8" s="0" t="n">
        <v>757.9</v>
      </c>
      <c r="O8" s="0" t="n">
        <v>6217.7</v>
      </c>
      <c r="P8" s="0" t="n">
        <v>11743.3</v>
      </c>
      <c r="Q8" s="0" t="n">
        <v>5525.6</v>
      </c>
      <c r="R8" s="0" t="n">
        <v>2550.4</v>
      </c>
      <c r="S8" s="0" t="n">
        <v>256</v>
      </c>
      <c r="T8" s="0" t="n">
        <v>204.6</v>
      </c>
      <c r="U8" s="0" t="n">
        <v>31.1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4666.8</v>
      </c>
      <c r="D9" s="0" t="n">
        <v>1620.5</v>
      </c>
      <c r="E9" s="0" t="n">
        <v>34.724007885489</v>
      </c>
      <c r="F9" s="0" t="n">
        <v>538.5</v>
      </c>
      <c r="G9" s="0" t="n">
        <v>11.5389560298277</v>
      </c>
      <c r="I9" s="0" t="n">
        <v>214.9</v>
      </c>
      <c r="J9" s="0" t="n">
        <v>4.6048684323305</v>
      </c>
      <c r="K9" s="0" t="n">
        <v>1.13</v>
      </c>
      <c r="L9" s="0" t="n">
        <v>1008.4</v>
      </c>
      <c r="M9" s="0" t="n">
        <v>83.7</v>
      </c>
      <c r="N9" s="0" t="n">
        <v>924.7</v>
      </c>
      <c r="O9" s="0" t="n">
        <v>4663.8</v>
      </c>
      <c r="P9" s="0" t="n">
        <v>10643.8</v>
      </c>
      <c r="Q9" s="0" t="n">
        <v>5991.4</v>
      </c>
      <c r="R9" s="0" t="n">
        <v>3004.1</v>
      </c>
      <c r="S9" s="0" t="n">
        <v>103.6</v>
      </c>
      <c r="T9" s="0" t="n">
        <v>193.7</v>
      </c>
      <c r="U9" s="0" t="n">
        <v>33.6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4616.4</v>
      </c>
      <c r="D10" s="0" t="n">
        <v>1598.8</v>
      </c>
      <c r="E10" s="0" t="n">
        <v>34.6330473962395</v>
      </c>
      <c r="F10" s="0" t="n">
        <v>616.1</v>
      </c>
      <c r="G10" s="0" t="n">
        <v>13.3458972359414</v>
      </c>
      <c r="I10" s="0" t="n">
        <v>-76.4</v>
      </c>
      <c r="J10" s="0" t="n">
        <v>-1.65496924010051</v>
      </c>
      <c r="K10" s="0" t="n">
        <v>-0.42</v>
      </c>
      <c r="L10" s="0" t="n">
        <v>739.3</v>
      </c>
      <c r="M10" s="0" t="n">
        <v>91.3</v>
      </c>
      <c r="N10" s="0" t="n">
        <v>648</v>
      </c>
      <c r="O10" s="0" t="n">
        <v>4008.8</v>
      </c>
      <c r="P10" s="0" t="n">
        <v>11833.5</v>
      </c>
      <c r="Q10" s="0" t="n">
        <v>7824.7</v>
      </c>
      <c r="R10" s="0" t="n">
        <v>4685.8</v>
      </c>
      <c r="S10" s="0" t="n">
        <v>103.6</v>
      </c>
      <c r="T10" s="0" t="n">
        <v>182.6</v>
      </c>
      <c r="U10" s="0" t="n">
        <v>33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2780.6</v>
      </c>
      <c r="C11" s="0" t="n">
        <v>1821.5</v>
      </c>
      <c r="D11" s="0" t="n">
        <v>959.1</v>
      </c>
      <c r="E11" s="0" t="n">
        <v>34.4925555635474</v>
      </c>
      <c r="F11" s="0" t="n">
        <v>354.4</v>
      </c>
      <c r="G11" s="0" t="n">
        <v>12.7454506221679</v>
      </c>
      <c r="I11" s="0" t="n">
        <v>522.2</v>
      </c>
      <c r="J11" s="0" t="n">
        <v>18.7801193986909</v>
      </c>
      <c r="K11" s="0" t="n">
        <v>2.88</v>
      </c>
      <c r="L11" s="0" t="n">
        <v>861.4</v>
      </c>
      <c r="M11" s="0" t="n">
        <v>43.3</v>
      </c>
      <c r="N11" s="0" t="n">
        <v>818.1</v>
      </c>
      <c r="O11" s="0" t="n">
        <v>4254.4</v>
      </c>
      <c r="P11" s="0" t="n">
        <v>11534.8</v>
      </c>
      <c r="Q11" s="0" t="n">
        <v>7280.4</v>
      </c>
      <c r="R11" s="0" t="n">
        <v>4279.2</v>
      </c>
      <c r="S11" s="0" t="n">
        <v>216.9</v>
      </c>
      <c r="T11" s="0" t="n">
        <v>183.1</v>
      </c>
      <c r="U11" s="0" t="n">
        <v>34.2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2845.7</v>
      </c>
      <c r="C12" s="0" t="n">
        <v>1858.2</v>
      </c>
      <c r="D12" s="0" t="n">
        <v>987.5</v>
      </c>
      <c r="E12" s="0" t="n">
        <v>34.7014794250975</v>
      </c>
      <c r="F12" s="0" t="n">
        <v>378.3</v>
      </c>
      <c r="G12" s="0" t="n">
        <v>13.293741434445</v>
      </c>
      <c r="I12" s="0" t="n">
        <v>666.5</v>
      </c>
      <c r="J12" s="0" t="n">
        <v>23.4213023157747</v>
      </c>
      <c r="K12" s="0" t="n">
        <v>3.67</v>
      </c>
      <c r="L12" s="0" t="n">
        <v>620.2</v>
      </c>
      <c r="M12" s="0" t="n">
        <v>39.1</v>
      </c>
      <c r="N12" s="0" t="n">
        <v>581.1</v>
      </c>
      <c r="O12" s="0" t="n">
        <v>5037.8</v>
      </c>
      <c r="P12" s="0" t="n">
        <v>8633.7</v>
      </c>
      <c r="Q12" s="0" t="n">
        <v>3595.9</v>
      </c>
      <c r="R12" s="0" t="n">
        <v>1440.7</v>
      </c>
      <c r="S12" s="0" t="n">
        <v>86.3</v>
      </c>
      <c r="T12" s="0" t="n">
        <v>183.7</v>
      </c>
      <c r="U12" s="0" t="n">
        <v>39.6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2965.1</v>
      </c>
      <c r="C13" s="0" t="n">
        <v>1917.4</v>
      </c>
      <c r="D13" s="0" t="n">
        <v>1047.7</v>
      </c>
      <c r="E13" s="0" t="n">
        <v>35.3343900711612</v>
      </c>
      <c r="F13" s="0" t="n">
        <v>436.7</v>
      </c>
      <c r="G13" s="0" t="n">
        <v>14.7280024282486</v>
      </c>
      <c r="I13" s="0" t="n">
        <v>347.4</v>
      </c>
      <c r="J13" s="0" t="n">
        <v>11.7162996188999</v>
      </c>
      <c r="K13" s="0" t="n">
        <v>1.98</v>
      </c>
      <c r="L13" s="0" t="n">
        <v>439.1</v>
      </c>
      <c r="M13" s="0" t="n">
        <v>48.2</v>
      </c>
      <c r="N13" s="0" t="n">
        <v>390.9</v>
      </c>
      <c r="O13" s="0" t="n">
        <v>1836.1</v>
      </c>
      <c r="P13" s="0" t="n">
        <v>3806.5</v>
      </c>
      <c r="Q13" s="0" t="n">
        <v>1970.4</v>
      </c>
      <c r="R13" s="0" t="n">
        <v>787.6</v>
      </c>
      <c r="S13" s="0" t="n">
        <v>74.3</v>
      </c>
      <c r="T13" s="0" t="n">
        <v>177.3</v>
      </c>
      <c r="U13" s="0" t="n">
        <v>20.9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2957.2</v>
      </c>
      <c r="C14" s="0" t="n">
        <v>1905.7</v>
      </c>
      <c r="D14" s="0" t="n">
        <v>1051.5</v>
      </c>
      <c r="E14" s="0" t="n">
        <v>35.557283917219</v>
      </c>
      <c r="F14" s="0" t="n">
        <v>432.5</v>
      </c>
      <c r="G14" s="0" t="n">
        <v>14.6253212498309</v>
      </c>
      <c r="I14" s="0" t="n">
        <v>355.7</v>
      </c>
      <c r="J14" s="0" t="n">
        <v>12.0282699851211</v>
      </c>
      <c r="K14" s="0" t="n">
        <v>2.1</v>
      </c>
      <c r="L14" s="0" t="n">
        <v>353</v>
      </c>
      <c r="M14" s="0" t="n">
        <v>58.5</v>
      </c>
      <c r="N14" s="0" t="n">
        <v>294.5</v>
      </c>
      <c r="O14" s="0" t="n">
        <v>1953.9</v>
      </c>
      <c r="P14" s="0" t="n">
        <v>4139.5</v>
      </c>
      <c r="Q14" s="0" t="n">
        <v>2185.6</v>
      </c>
      <c r="R14" s="0" t="n">
        <v>1029.1</v>
      </c>
      <c r="S14" s="0" t="n">
        <v>82.5</v>
      </c>
      <c r="T14" s="0" t="n">
        <v>170.4</v>
      </c>
      <c r="U14" s="0" t="n">
        <v>21.4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3017.8</v>
      </c>
      <c r="C15" s="0" t="n">
        <v>1960.2</v>
      </c>
      <c r="D15" s="0" t="n">
        <v>1057.6</v>
      </c>
      <c r="E15" s="0" t="n">
        <v>35.0453973092982</v>
      </c>
      <c r="F15" s="0" t="n">
        <v>461.4</v>
      </c>
      <c r="G15" s="0" t="n">
        <v>15.2892835840679</v>
      </c>
      <c r="I15" s="0" t="n">
        <v>358.6</v>
      </c>
      <c r="J15" s="0" t="n">
        <v>11.8828285505998</v>
      </c>
      <c r="K15" s="0" t="n">
        <v>2.15</v>
      </c>
      <c r="L15" s="0" t="n">
        <v>573.6</v>
      </c>
      <c r="M15" s="0" t="n">
        <v>62.2</v>
      </c>
      <c r="N15" s="0" t="n">
        <v>511.4</v>
      </c>
      <c r="O15" s="0" t="n">
        <v>2106.3</v>
      </c>
      <c r="P15" s="0" t="n">
        <v>4197.2</v>
      </c>
      <c r="Q15" s="0" t="n">
        <v>2090.9</v>
      </c>
      <c r="R15" s="0" t="n">
        <v>839.6</v>
      </c>
      <c r="S15" s="0" t="n">
        <v>82.1</v>
      </c>
      <c r="T15" s="0" t="n">
        <v>167.4</v>
      </c>
      <c r="U15" s="0" t="n">
        <v>20.3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3764.8</v>
      </c>
      <c r="C16" s="0" t="n">
        <v>2445.6</v>
      </c>
      <c r="D16" s="0" t="n">
        <v>1319.2</v>
      </c>
      <c r="E16" s="0" t="n">
        <v>35.0403739906502</v>
      </c>
      <c r="F16" s="0" t="n">
        <v>636.9</v>
      </c>
      <c r="G16" s="0" t="n">
        <v>16.917233319167</v>
      </c>
      <c r="I16" s="0" t="n">
        <v>553</v>
      </c>
      <c r="J16" s="0" t="n">
        <v>14.6886952826179</v>
      </c>
      <c r="K16" s="0" t="n">
        <v>3.34</v>
      </c>
      <c r="L16" s="0" t="n">
        <v>613.2</v>
      </c>
      <c r="M16" s="0" t="n">
        <v>60.2</v>
      </c>
      <c r="N16" s="0" t="n">
        <v>553</v>
      </c>
      <c r="O16" s="0" t="n">
        <v>2421.9</v>
      </c>
      <c r="P16" s="0" t="n">
        <v>4753.6</v>
      </c>
      <c r="Q16" s="0" t="n">
        <v>2331.7</v>
      </c>
      <c r="R16" s="0" t="n">
        <v>894.1</v>
      </c>
      <c r="S16" s="0" t="n">
        <v>94.5</v>
      </c>
      <c r="T16" s="0" t="n">
        <v>167.5</v>
      </c>
      <c r="U16" s="0" t="n">
        <v>29.8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4121.8</v>
      </c>
      <c r="C17" s="0" t="n">
        <v>2757.2</v>
      </c>
      <c r="D17" s="0" t="n">
        <v>1364.6</v>
      </c>
      <c r="E17" s="0" t="n">
        <v>33.1068950458538</v>
      </c>
      <c r="F17" s="0" t="n">
        <v>595.3</v>
      </c>
      <c r="G17" s="0" t="n">
        <v>14.4427192003494</v>
      </c>
      <c r="I17" s="0" t="n">
        <v>480.9</v>
      </c>
      <c r="J17" s="0" t="n">
        <v>11.6672327623854</v>
      </c>
      <c r="K17" s="0" t="n">
        <v>2.92</v>
      </c>
      <c r="L17" s="0" t="n">
        <v>363.3</v>
      </c>
      <c r="M17" s="0" t="n">
        <v>85.2</v>
      </c>
      <c r="N17" s="0" t="n">
        <v>278.1</v>
      </c>
      <c r="O17" s="0" t="n">
        <v>2708.1</v>
      </c>
      <c r="P17" s="0" t="n">
        <v>6447.5</v>
      </c>
      <c r="Q17" s="0" t="n">
        <v>3739.4</v>
      </c>
      <c r="R17" s="0" t="n">
        <v>2317.3</v>
      </c>
      <c r="S17" s="0" t="n">
        <v>108.9</v>
      </c>
      <c r="T17" s="0" t="n">
        <v>165.6</v>
      </c>
      <c r="U17" s="0" t="n">
        <v>24.9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4104.5</v>
      </c>
      <c r="C18" s="0" t="n">
        <v>2585.3</v>
      </c>
      <c r="D18" s="0" t="n">
        <v>1519.2</v>
      </c>
      <c r="E18" s="0" t="n">
        <v>37.0130344743574</v>
      </c>
      <c r="F18" s="0" t="n">
        <v>739.2</v>
      </c>
      <c r="G18" s="0" t="n">
        <v>18.009501766354</v>
      </c>
      <c r="I18" s="0" t="n">
        <v>622.7</v>
      </c>
      <c r="J18" s="0" t="n">
        <v>15.1711536118894</v>
      </c>
      <c r="K18" s="0" t="n">
        <v>3.77</v>
      </c>
      <c r="L18" s="0" t="n">
        <v>619.2</v>
      </c>
      <c r="M18" s="0" t="n">
        <v>76</v>
      </c>
      <c r="N18" s="0" t="n">
        <v>543.2</v>
      </c>
      <c r="O18" s="0" t="n">
        <v>3217.1</v>
      </c>
      <c r="P18" s="0" t="n">
        <v>6563.3</v>
      </c>
      <c r="Q18" s="0" t="n">
        <v>3346.2</v>
      </c>
      <c r="R18" s="0" t="n">
        <v>1988.3</v>
      </c>
      <c r="S18" s="0" t="n">
        <v>170.3</v>
      </c>
      <c r="T18" s="0" t="n">
        <v>166.3</v>
      </c>
      <c r="U18" s="0" t="n">
        <v>29.1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4082.8</v>
      </c>
      <c r="C19" s="0" t="n">
        <v>2484</v>
      </c>
      <c r="D19" s="0" t="n">
        <v>1598.8</v>
      </c>
      <c r="E19" s="0" t="n">
        <v>39.1594004114823</v>
      </c>
      <c r="F19" s="0" t="n">
        <v>803.8</v>
      </c>
      <c r="G19" s="0" t="n">
        <v>19.6874693837562</v>
      </c>
      <c r="I19" s="0" t="n">
        <v>625.4</v>
      </c>
      <c r="J19" s="0" t="n">
        <v>15.3179190751445</v>
      </c>
      <c r="K19" s="0" t="n">
        <v>3.78</v>
      </c>
      <c r="L19" s="0" t="n">
        <v>766.7</v>
      </c>
      <c r="M19" s="0" t="n">
        <v>74.4</v>
      </c>
      <c r="N19" s="0" t="n">
        <v>692.3</v>
      </c>
      <c r="O19" s="0" t="n">
        <v>3562.9</v>
      </c>
      <c r="P19" s="0" t="n">
        <v>6446.5</v>
      </c>
      <c r="Q19" s="0" t="n">
        <v>2883.6</v>
      </c>
      <c r="R19" s="0" t="n">
        <v>1638.7</v>
      </c>
      <c r="S19" s="0" t="n">
        <v>118.7</v>
      </c>
      <c r="T19" s="0" t="n">
        <v>167.1</v>
      </c>
      <c r="U19" s="0" t="n">
        <v>39.7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4176</v>
      </c>
      <c r="C20" s="0" t="n">
        <v>2485.7</v>
      </c>
      <c r="D20" s="0" t="n">
        <v>1690.3</v>
      </c>
      <c r="E20" s="0" t="n">
        <v>40.4765325670498</v>
      </c>
      <c r="F20" s="0" t="n">
        <v>857.5</v>
      </c>
      <c r="G20" s="0" t="n">
        <v>20.5340038314176</v>
      </c>
      <c r="I20" s="0" t="n">
        <v>653.8</v>
      </c>
      <c r="J20" s="0" t="n">
        <v>15.6561302681992</v>
      </c>
      <c r="K20" s="0" t="n">
        <v>3.99</v>
      </c>
      <c r="L20" s="0" t="n">
        <v>814.8</v>
      </c>
      <c r="M20" s="0" t="n">
        <v>68.8</v>
      </c>
      <c r="N20" s="0" t="n">
        <v>746</v>
      </c>
      <c r="O20" s="0" t="n">
        <v>3869.2</v>
      </c>
      <c r="P20" s="0" t="n">
        <v>6868.8</v>
      </c>
      <c r="Q20" s="0" t="n">
        <v>2999.6</v>
      </c>
      <c r="R20" s="0" t="n">
        <v>1638.6</v>
      </c>
      <c r="S20" s="0" t="n">
        <v>101.6</v>
      </c>
      <c r="T20" s="0" t="n">
        <v>165.5</v>
      </c>
      <c r="U20" s="0" t="n">
        <v>37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52.88</v>
      </c>
    </row>
    <row r="3" customFormat="false" ht="15" hidden="false" customHeight="false" outlineLevel="0" collapsed="false">
      <c r="A3" s="0" t="s">
        <v>85</v>
      </c>
      <c r="B3" s="3" t="n">
        <v>160.4</v>
      </c>
    </row>
    <row r="4" customFormat="false" ht="15" hidden="false" customHeight="false" outlineLevel="0" collapsed="false">
      <c r="A4" s="0" t="s">
        <v>86</v>
      </c>
      <c r="B4" s="3" t="n">
        <v>1514.2</v>
      </c>
    </row>
    <row r="5" customFormat="false" ht="15" hidden="false" customHeight="false" outlineLevel="0" collapsed="false">
      <c r="A5" s="0" t="s">
        <v>87</v>
      </c>
      <c r="B5" s="3" t="n">
        <v>107.6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3946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2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23</v>
      </c>
      <c r="D14" s="3" t="n">
        <v>23.5</v>
      </c>
      <c r="E14" s="3" t="n">
        <v>23.5</v>
      </c>
      <c r="F14" s="3" t="n">
        <v>24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108</v>
      </c>
      <c r="C15" s="3" t="n">
        <v>1.15</v>
      </c>
      <c r="D15" s="3" t="n">
        <v>1.15</v>
      </c>
      <c r="E15" s="3" t="n">
        <v>1.15</v>
      </c>
      <c r="F15" s="3" t="n">
        <v>1.1</v>
      </c>
      <c r="G15" s="3" t="n">
        <v>1.1</v>
      </c>
      <c r="H15" s="3" t="n">
        <v>1.1</v>
      </c>
      <c r="I15" s="3" t="n">
        <v>1.1</v>
      </c>
      <c r="J15" s="3" t="n">
        <v>1.1</v>
      </c>
      <c r="K15" s="3" t="n">
        <v>1.1</v>
      </c>
      <c r="L15" s="3" t="n">
        <v>1.1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2.9</v>
      </c>
      <c r="D17" s="3" t="n">
        <v>2.8</v>
      </c>
      <c r="E17" s="3" t="n">
        <v>2.7</v>
      </c>
      <c r="F17" s="3" t="n">
        <v>2.6</v>
      </c>
      <c r="G17" s="3" t="n">
        <v>2.5</v>
      </c>
      <c r="H17" s="3" t="n">
        <v>2.4</v>
      </c>
      <c r="I17" s="3" t="n">
        <v>2.3</v>
      </c>
      <c r="J17" s="3" t="n">
        <v>2.2</v>
      </c>
      <c r="K17" s="3" t="n">
        <v>2.1</v>
      </c>
      <c r="L17" s="3" t="n">
        <v>2</v>
      </c>
    </row>
    <row r="18" customFormat="false" ht="15" hidden="false" customHeight="false" outlineLevel="0" collapsed="false">
      <c r="A18" s="0" t="s">
        <v>111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112</v>
      </c>
      <c r="C19" s="3" t="n">
        <v>16</v>
      </c>
      <c r="D19" s="3" t="n">
        <v>16</v>
      </c>
      <c r="E19" s="3" t="n">
        <v>16.5</v>
      </c>
      <c r="F19" s="3" t="n">
        <v>16.5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5.5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24.8</v>
      </c>
      <c r="D28" s="3" t="n">
        <v>25.2</v>
      </c>
      <c r="E28" s="3" t="n">
        <v>25.5</v>
      </c>
      <c r="F28" s="3" t="n">
        <v>25.5</v>
      </c>
      <c r="G28" s="3" t="n">
        <v>25.5</v>
      </c>
      <c r="H28" s="3" t="n">
        <v>25.5</v>
      </c>
      <c r="I28" s="3" t="n">
        <v>25.5</v>
      </c>
      <c r="J28" s="3" t="n">
        <v>25.5</v>
      </c>
      <c r="K28" s="3" t="n">
        <v>25.5</v>
      </c>
      <c r="L28" s="3" t="n">
        <v>25.5</v>
      </c>
    </row>
    <row r="29" customFormat="false" ht="15" hidden="false" customHeight="false" outlineLevel="0" collapsed="false">
      <c r="A29" s="0" t="s">
        <v>108</v>
      </c>
      <c r="C29" s="3" t="n">
        <v>1.15</v>
      </c>
      <c r="D29" s="3" t="n">
        <v>1.15</v>
      </c>
      <c r="E29" s="3" t="n">
        <v>1.15</v>
      </c>
      <c r="F29" s="3" t="n">
        <v>1.1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2.9</v>
      </c>
      <c r="D31" s="3" t="n">
        <v>2.8</v>
      </c>
      <c r="E31" s="3" t="n">
        <v>2.7</v>
      </c>
      <c r="F31" s="3" t="n">
        <v>2.6</v>
      </c>
      <c r="G31" s="3" t="n">
        <v>2.5</v>
      </c>
      <c r="H31" s="3" t="n">
        <v>2.4</v>
      </c>
      <c r="I31" s="3" t="n">
        <v>2.3</v>
      </c>
      <c r="J31" s="3" t="n">
        <v>2.2</v>
      </c>
      <c r="K31" s="3" t="n">
        <v>2.1</v>
      </c>
      <c r="L31" s="3" t="n">
        <v>2</v>
      </c>
    </row>
    <row r="32" customFormat="false" ht="15" hidden="false" customHeight="false" outlineLevel="0" collapsed="false">
      <c r="A32" s="0" t="s">
        <v>111</v>
      </c>
      <c r="C32" s="3" t="n">
        <v>1.9</v>
      </c>
      <c r="D32" s="3" t="n">
        <v>1.9</v>
      </c>
      <c r="E32" s="3" t="n">
        <v>1.9</v>
      </c>
      <c r="F32" s="3" t="n">
        <v>1.9</v>
      </c>
      <c r="G32" s="3" t="n">
        <v>1.9</v>
      </c>
      <c r="H32" s="3" t="n">
        <v>1.9</v>
      </c>
      <c r="I32" s="3" t="n">
        <v>1.9</v>
      </c>
      <c r="J32" s="3" t="n">
        <v>1.9</v>
      </c>
      <c r="K32" s="3" t="n">
        <v>1.9</v>
      </c>
      <c r="L32" s="3" t="n">
        <v>1.9</v>
      </c>
    </row>
    <row r="33" customFormat="false" ht="15" hidden="false" customHeight="false" outlineLevel="0" collapsed="false">
      <c r="A33" s="0" t="s">
        <v>112</v>
      </c>
      <c r="C33" s="3" t="n">
        <v>16</v>
      </c>
      <c r="D33" s="3" t="n">
        <v>16</v>
      </c>
      <c r="E33" s="3" t="n">
        <v>16.5</v>
      </c>
      <c r="F33" s="3" t="n">
        <v>16.5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8.5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25.6</v>
      </c>
      <c r="D42" s="3" t="n">
        <v>26.2</v>
      </c>
      <c r="E42" s="3" t="n">
        <v>26.7</v>
      </c>
      <c r="F42" s="3" t="n">
        <v>27</v>
      </c>
      <c r="G42" s="3" t="n">
        <v>27</v>
      </c>
      <c r="H42" s="3" t="n">
        <v>27</v>
      </c>
      <c r="I42" s="3" t="n">
        <v>27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108</v>
      </c>
      <c r="C43" s="3" t="n">
        <v>1.15</v>
      </c>
      <c r="D43" s="3" t="n">
        <v>1.15</v>
      </c>
      <c r="E43" s="3" t="n">
        <v>1.15</v>
      </c>
      <c r="F43" s="3" t="n">
        <v>1.1</v>
      </c>
      <c r="G43" s="3" t="n">
        <v>1.1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2.9</v>
      </c>
      <c r="D45" s="3" t="n">
        <v>2.8</v>
      </c>
      <c r="E45" s="3" t="n">
        <v>2.7</v>
      </c>
      <c r="F45" s="3" t="n">
        <v>2.6</v>
      </c>
      <c r="G45" s="3" t="n">
        <v>2.5</v>
      </c>
      <c r="H45" s="3" t="n">
        <v>2.4</v>
      </c>
      <c r="I45" s="3" t="n">
        <v>2.3</v>
      </c>
      <c r="J45" s="3" t="n">
        <v>2.2</v>
      </c>
      <c r="K45" s="3" t="n">
        <v>2.1</v>
      </c>
      <c r="L45" s="3" t="n">
        <v>2</v>
      </c>
    </row>
    <row r="46" customFormat="false" ht="15" hidden="false" customHeight="false" outlineLevel="0" collapsed="false">
      <c r="A46" s="0" t="s">
        <v>111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112</v>
      </c>
      <c r="C47" s="3" t="n">
        <v>16</v>
      </c>
      <c r="D47" s="3" t="n">
        <v>16</v>
      </c>
      <c r="E47" s="3" t="n">
        <v>16.5</v>
      </c>
      <c r="F47" s="3" t="n">
        <v>16.5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3946</v>
      </c>
      <c r="C6" s="0" t="n">
        <f aca="false">B6*(1+C5/100)</f>
        <v>3985.46</v>
      </c>
      <c r="D6" s="0" t="n">
        <f aca="false">C6*(1+D5/100)</f>
        <v>4065.1692</v>
      </c>
      <c r="E6" s="0" t="n">
        <f aca="false">D6*(1+E5/100)</f>
        <v>4166.79843</v>
      </c>
      <c r="F6" s="0" t="n">
        <f aca="false">E6*(1+F5/100)</f>
        <v>4291.8023829</v>
      </c>
      <c r="G6" s="0" t="n">
        <f aca="false">F6*(1+G5/100)</f>
        <v>4420.556454387</v>
      </c>
      <c r="H6" s="0" t="n">
        <f aca="false">G6*(1+H5/100)</f>
        <v>4553.17314801861</v>
      </c>
      <c r="I6" s="0" t="n">
        <f aca="false">H6*(1+I5/100)</f>
        <v>4667.00247671908</v>
      </c>
      <c r="J6" s="0" t="n">
        <f aca="false">I6*(1+J5/100)</f>
        <v>4783.67753863705</v>
      </c>
      <c r="K6" s="0" t="n">
        <f aca="false">J6*(1+K5/100)</f>
        <v>4879.35108940979</v>
      </c>
      <c r="L6" s="0" t="n">
        <f aca="false">K6*(1+L5/100)</f>
        <v>4976.93811119799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23</v>
      </c>
      <c r="D7" s="4" t="n">
        <f aca="false">Assumptions!D14</f>
        <v>23.5</v>
      </c>
      <c r="E7" s="4" t="n">
        <f aca="false">Assumptions!E14</f>
        <v>23.5</v>
      </c>
      <c r="F7" s="4" t="n">
        <f aca="false">Assumptions!F14</f>
        <v>24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916.6558</v>
      </c>
      <c r="D8" s="0" t="n">
        <f aca="false">D6*D7/100</f>
        <v>955.314762</v>
      </c>
      <c r="E8" s="0" t="n">
        <f aca="false">E6*E7/100</f>
        <v>979.19763105</v>
      </c>
      <c r="F8" s="0" t="n">
        <f aca="false">F6*F7/100</f>
        <v>1030.032571896</v>
      </c>
      <c r="G8" s="0" t="n">
        <f aca="false">G6*G7/100</f>
        <v>1060.93354905288</v>
      </c>
      <c r="H8" s="0" t="n">
        <f aca="false">H6*H7/100</f>
        <v>1092.76155552447</v>
      </c>
      <c r="I8" s="0" t="n">
        <f aca="false">I6*I7/100</f>
        <v>1120.08059441258</v>
      </c>
      <c r="J8" s="0" t="n">
        <f aca="false">J6*J7/100</f>
        <v>1148.08260927289</v>
      </c>
      <c r="K8" s="0" t="n">
        <f aca="false">K6*K7/100</f>
        <v>1171.04426145835</v>
      </c>
      <c r="L8" s="0" t="n">
        <f aca="false">L6*L7/100</f>
        <v>1194.46514668752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1.15</v>
      </c>
      <c r="D9" s="4" t="n">
        <f aca="false">Assumptions!D15</f>
        <v>1.15</v>
      </c>
      <c r="E9" s="4" t="n">
        <f aca="false">Assumptions!E15</f>
        <v>1.15</v>
      </c>
      <c r="F9" s="4" t="n">
        <f aca="false">Assumptions!F15</f>
        <v>1.1</v>
      </c>
      <c r="G9" s="4" t="n">
        <f aca="false">Assumptions!G15</f>
        <v>1.1</v>
      </c>
      <c r="H9" s="4" t="n">
        <f aca="false">Assumptions!H15</f>
        <v>1.1</v>
      </c>
      <c r="I9" s="4" t="n">
        <f aca="false">Assumptions!I15</f>
        <v>1.1</v>
      </c>
      <c r="J9" s="4" t="n">
        <f aca="false">Assumptions!J15</f>
        <v>1.1</v>
      </c>
      <c r="K9" s="4" t="n">
        <f aca="false">Assumptions!K15</f>
        <v>1.1</v>
      </c>
      <c r="L9" s="4" t="n">
        <f aca="false">Assumptions!L15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-45.83279</v>
      </c>
      <c r="D10" s="0" t="n">
        <f aca="false">-D6*D9/100</f>
        <v>-46.7494458</v>
      </c>
      <c r="E10" s="0" t="n">
        <f aca="false">-E6*E9/100</f>
        <v>-47.918181945</v>
      </c>
      <c r="F10" s="0" t="n">
        <f aca="false">-F6*F9/100</f>
        <v>-47.2098262119</v>
      </c>
      <c r="G10" s="0" t="n">
        <f aca="false">-G6*G9/100</f>
        <v>-48.626120998257</v>
      </c>
      <c r="H10" s="0" t="n">
        <f aca="false">-H6*H9/100</f>
        <v>-50.0849046282047</v>
      </c>
      <c r="I10" s="0" t="n">
        <f aca="false">-I6*I9/100</f>
        <v>-51.3370272439098</v>
      </c>
      <c r="J10" s="0" t="n">
        <f aca="false">-J6*J9/100</f>
        <v>-52.6204529250076</v>
      </c>
      <c r="K10" s="0" t="n">
        <f aca="false">-K6*K9/100</f>
        <v>-53.6728619835077</v>
      </c>
      <c r="L10" s="0" t="n">
        <f aca="false">-L6*L9/100</f>
        <v>-54.7463192231779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870.82301</v>
      </c>
      <c r="D11" s="0" t="n">
        <f aca="false">D8+D10+D24</f>
        <v>908.5653162</v>
      </c>
      <c r="E11" s="0" t="n">
        <f aca="false">E8+E10+E24</f>
        <v>931.279449105</v>
      </c>
      <c r="F11" s="0" t="n">
        <f aca="false">F8+F10+F24</f>
        <v>982.8227456841</v>
      </c>
      <c r="G11" s="0" t="n">
        <f aca="false">G8+G10+G24</f>
        <v>1012.30742805462</v>
      </c>
      <c r="H11" s="0" t="n">
        <f aca="false">H8+H10+H24</f>
        <v>1042.67665089626</v>
      </c>
      <c r="I11" s="0" t="n">
        <f aca="false">I8+I10+I24</f>
        <v>1068.74356716867</v>
      </c>
      <c r="J11" s="0" t="n">
        <f aca="false">J8+J10+J24</f>
        <v>1095.46215634788</v>
      </c>
      <c r="K11" s="0" t="n">
        <f aca="false">K8+K10+K24</f>
        <v>1117.37139947484</v>
      </c>
      <c r="L11" s="0" t="n">
        <f aca="false">L8+L10+L24</f>
        <v>1139.71882746434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-115.57834</v>
      </c>
      <c r="D12" s="4" t="n">
        <f aca="false">-D6*Assumptions!D17/100</f>
        <v>-113.8247376</v>
      </c>
      <c r="E12" s="4" t="n">
        <f aca="false">-E6*Assumptions!E17/100</f>
        <v>-112.50355761</v>
      </c>
      <c r="F12" s="4" t="n">
        <f aca="false">-F6*Assumptions!F17/100</f>
        <v>-111.5868619554</v>
      </c>
      <c r="G12" s="4" t="n">
        <f aca="false">-G6*Assumptions!G17/100</f>
        <v>-110.513911359675</v>
      </c>
      <c r="H12" s="4" t="n">
        <f aca="false">-H6*Assumptions!H17/100</f>
        <v>-109.276155552447</v>
      </c>
      <c r="I12" s="4" t="n">
        <f aca="false">-I6*Assumptions!I17/100</f>
        <v>-107.341056964539</v>
      </c>
      <c r="J12" s="4" t="n">
        <f aca="false">-J6*Assumptions!J17/100</f>
        <v>-105.240905850015</v>
      </c>
      <c r="K12" s="4" t="n">
        <f aca="false">-K6*Assumptions!K17/100</f>
        <v>-102.466372877606</v>
      </c>
      <c r="L12" s="4" t="n">
        <f aca="false">-L6*Assumptions!L17/100</f>
        <v>-99.5387622239598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755.24467</v>
      </c>
      <c r="D13" s="0" t="n">
        <f aca="false">D11+D12</f>
        <v>794.7405786</v>
      </c>
      <c r="E13" s="0" t="n">
        <f aca="false">E11+E12</f>
        <v>818.775891495</v>
      </c>
      <c r="F13" s="0" t="n">
        <f aca="false">F11+F12</f>
        <v>871.2358837287</v>
      </c>
      <c r="G13" s="0" t="n">
        <f aca="false">G11+G12</f>
        <v>901.793516694948</v>
      </c>
      <c r="H13" s="0" t="n">
        <f aca="false">H11+H12</f>
        <v>933.400495343816</v>
      </c>
      <c r="I13" s="0" t="n">
        <f aca="false">I11+I12</f>
        <v>961.402510204129</v>
      </c>
      <c r="J13" s="0" t="n">
        <f aca="false">J11+J12</f>
        <v>990.22125049787</v>
      </c>
      <c r="K13" s="0" t="n">
        <f aca="false">K11+K12</f>
        <v>1014.90502659724</v>
      </c>
      <c r="L13" s="0" t="n">
        <f aca="false">L11+L12</f>
        <v>1040.18006524038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16</v>
      </c>
      <c r="D14" s="4" t="n">
        <f aca="false">Assumptions!D19</f>
        <v>16</v>
      </c>
      <c r="E14" s="4" t="n">
        <f aca="false">Assumptions!E19</f>
        <v>16.5</v>
      </c>
      <c r="F14" s="4" t="n">
        <f aca="false">Assumptions!F19</f>
        <v>16.5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634.4055228</v>
      </c>
      <c r="D15" s="0" t="n">
        <f aca="false">D13-MAX(0,D13)*D14/100</f>
        <v>667.582086024</v>
      </c>
      <c r="E15" s="0" t="n">
        <f aca="false">E13-MAX(0,E13)*E14/100</f>
        <v>683.677869398325</v>
      </c>
      <c r="F15" s="0" t="n">
        <f aca="false">F13-MAX(0,F13)*F14/100</f>
        <v>727.481962913465</v>
      </c>
      <c r="G15" s="0" t="n">
        <f aca="false">G13-MAX(0,G13)*G14/100</f>
        <v>748.488618856807</v>
      </c>
      <c r="H15" s="0" t="n">
        <f aca="false">H13-MAX(0,H13)*H14/100</f>
        <v>774.722411135367</v>
      </c>
      <c r="I15" s="0" t="n">
        <f aca="false">I13-MAX(0,I13)*I14/100</f>
        <v>797.964083469427</v>
      </c>
      <c r="J15" s="0" t="n">
        <f aca="false">J13-MAX(0,J13)*J14/100</f>
        <v>821.883637913232</v>
      </c>
      <c r="K15" s="0" t="n">
        <f aca="false">K13-MAX(0,K13)*K14/100</f>
        <v>842.371172075707</v>
      </c>
      <c r="L15" s="0" t="n">
        <f aca="false">L13-MAX(0,L13)*L14/100</f>
        <v>863.349454149515</v>
      </c>
    </row>
    <row r="16" customFormat="false" ht="15" hidden="false" customHeight="false" outlineLevel="0" collapsed="false">
      <c r="A16" s="0" t="s">
        <v>128</v>
      </c>
      <c r="C16" s="0" t="n">
        <f aca="false">-C12</f>
        <v>115.57834</v>
      </c>
      <c r="D16" s="0" t="n">
        <f aca="false">-D12</f>
        <v>113.8247376</v>
      </c>
      <c r="E16" s="0" t="n">
        <f aca="false">-E12</f>
        <v>112.50355761</v>
      </c>
      <c r="F16" s="0" t="n">
        <f aca="false">-F12</f>
        <v>111.5868619554</v>
      </c>
      <c r="G16" s="0" t="n">
        <f aca="false">-G12</f>
        <v>110.513911359675</v>
      </c>
      <c r="H16" s="0" t="n">
        <f aca="false">-H12</f>
        <v>109.276155552447</v>
      </c>
      <c r="I16" s="0" t="n">
        <f aca="false">-I12</f>
        <v>107.341056964539</v>
      </c>
      <c r="J16" s="0" t="n">
        <f aca="false">-J12</f>
        <v>105.240905850015</v>
      </c>
      <c r="K16" s="0" t="n">
        <f aca="false">-K12</f>
        <v>102.466372877606</v>
      </c>
      <c r="L16" s="0" t="n">
        <f aca="false">-L12</f>
        <v>99.5387622239598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-71.73828</v>
      </c>
      <c r="D17" s="4" t="n">
        <f aca="false">-D6*Assumptions!D18/100</f>
        <v>-73.1730456</v>
      </c>
      <c r="E17" s="4" t="n">
        <f aca="false">-E6*Assumptions!E18/100</f>
        <v>-75.00237174</v>
      </c>
      <c r="F17" s="4" t="n">
        <f aca="false">-F6*Assumptions!F18/100</f>
        <v>-77.2524428922</v>
      </c>
      <c r="G17" s="4" t="n">
        <f aca="false">-G6*Assumptions!G18/100</f>
        <v>-79.570016178966</v>
      </c>
      <c r="H17" s="4" t="n">
        <f aca="false">-H6*Assumptions!H18/100</f>
        <v>-81.957116664335</v>
      </c>
      <c r="I17" s="4" t="n">
        <f aca="false">-I6*Assumptions!I18/100</f>
        <v>-84.0060445809434</v>
      </c>
      <c r="J17" s="4" t="n">
        <f aca="false">-J6*Assumptions!J18/100</f>
        <v>-86.1061956954669</v>
      </c>
      <c r="K17" s="4" t="n">
        <f aca="false">-K6*Assumptions!K18/100</f>
        <v>-87.8283196093763</v>
      </c>
      <c r="L17" s="4" t="n">
        <f aca="false">-L6*Assumptions!L18/100</f>
        <v>-89.5848860015638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-5.91900000000001</v>
      </c>
      <c r="D18" s="4" t="n">
        <f aca="false">(D6-C6)*Assumptions!$B$23/100</f>
        <v>-11.95638</v>
      </c>
      <c r="E18" s="4" t="n">
        <f aca="false">(E6-D6)*Assumptions!$B$23/100</f>
        <v>-15.2443844999999</v>
      </c>
      <c r="F18" s="4" t="n">
        <f aca="false">(F6-E6)*Assumptions!$B$23/100</f>
        <v>-18.7505929350001</v>
      </c>
      <c r="G18" s="4" t="n">
        <f aca="false">(G6-F6)*Assumptions!$B$23/100</f>
        <v>-19.31311072305</v>
      </c>
      <c r="H18" s="4" t="n">
        <f aca="false">(H6-G6)*Assumptions!$B$23/100</f>
        <v>-19.8925040447416</v>
      </c>
      <c r="I18" s="4" t="n">
        <f aca="false">(I6-H6)*Assumptions!$B$23/100</f>
        <v>-17.0743993050697</v>
      </c>
      <c r="J18" s="4" t="n">
        <f aca="false">(J6-I6)*Assumptions!$B$23/100</f>
        <v>-17.5012592876965</v>
      </c>
      <c r="K18" s="4" t="n">
        <f aca="false">(K6-J6)*Assumptions!$B$23/100</f>
        <v>-14.3510326159111</v>
      </c>
      <c r="L18" s="4" t="n">
        <f aca="false">(L6-K6)*Assumptions!$B$23/100</f>
        <v>-14.6380532682294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672.3265828</v>
      </c>
      <c r="D19" s="0" t="n">
        <f aca="false">D15+D16+D17+D18</f>
        <v>696.277398024</v>
      </c>
      <c r="E19" s="0" t="n">
        <f aca="false">E15+E16+E17+E18</f>
        <v>705.934670768325</v>
      </c>
      <c r="F19" s="0" t="n">
        <f aca="false">F15+F16+F17+F18</f>
        <v>743.065789041665</v>
      </c>
      <c r="G19" s="0" t="n">
        <f aca="false">G15+G16+G17+G18</f>
        <v>760.119403314466</v>
      </c>
      <c r="H19" s="0" t="n">
        <f aca="false">H15+H16+H17+H18</f>
        <v>782.148945978737</v>
      </c>
      <c r="I19" s="0" t="n">
        <f aca="false">I15+I16+I17+I18</f>
        <v>804.224696547953</v>
      </c>
      <c r="J19" s="0" t="n">
        <f aca="false">J15+J16+J17+J18</f>
        <v>823.517088780083</v>
      </c>
      <c r="K19" s="0" t="n">
        <f aca="false">K15+K16+K17+K18</f>
        <v>842.658192728025</v>
      </c>
      <c r="L19" s="0" t="n">
        <f aca="false">L15+L16+L17+L18</f>
        <v>858.665277103682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616.813378715596</v>
      </c>
      <c r="D21" s="0" t="n">
        <f aca="false">D19*D20</f>
        <v>586.042755680498</v>
      </c>
      <c r="E21" s="0" t="n">
        <f aca="false">E19*E20</f>
        <v>545.111090769647</v>
      </c>
      <c r="F21" s="0" t="n">
        <f aca="false">F19*F20</f>
        <v>526.406538437168</v>
      </c>
      <c r="G21" s="0" t="n">
        <f aca="false">G19*G20</f>
        <v>494.025457548442</v>
      </c>
      <c r="H21" s="0" t="n">
        <f aca="false">H19*H20</f>
        <v>466.369861240138</v>
      </c>
      <c r="I21" s="0" t="n">
        <f aca="false">I19*I20</f>
        <v>439.938449560455</v>
      </c>
      <c r="J21" s="0" t="n">
        <f aca="false">J19*J20</f>
        <v>413.295457593009</v>
      </c>
      <c r="K21" s="0" t="n">
        <f aca="false">K19*K20</f>
        <v>387.983240568984</v>
      </c>
      <c r="L21" s="0" t="n">
        <f aca="false">L19*L20</f>
        <v>362.709492554676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4838.69572266861</v>
      </c>
    </row>
    <row r="31" customFormat="false" ht="15" hidden="false" customHeight="false" outlineLevel="0" collapsed="false">
      <c r="A31" s="0" t="s">
        <v>137</v>
      </c>
      <c r="B31" s="0" t="n">
        <f aca="false">L19</f>
        <v>858.665277103682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12511.9797520822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10303.9833252442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10303.9833252442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4352.51391065612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9191.20963332473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7784.60963332473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48.5324790107527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-0.08221484472858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315.63985485622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336.970651645488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52.6011230662496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6737.21986650581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24.9268038099878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3946</v>
      </c>
      <c r="C6" s="0" t="n">
        <f aca="false">B6*(1+C5/100)</f>
        <v>4163.03</v>
      </c>
      <c r="D6" s="0" t="n">
        <f aca="false">C6*(1+D5/100)</f>
        <v>4371.1815</v>
      </c>
      <c r="E6" s="0" t="n">
        <f aca="false">D6*(1+E5/100)</f>
        <v>4567.8846675</v>
      </c>
      <c r="F6" s="0" t="n">
        <f aca="false">E6*(1+F5/100)</f>
        <v>4750.6000542</v>
      </c>
      <c r="G6" s="0" t="n">
        <f aca="false">F6*(1+G5/100)</f>
        <v>4940.624056368</v>
      </c>
      <c r="H6" s="0" t="n">
        <f aca="false">G6*(1+H5/100)</f>
        <v>5113.54589834088</v>
      </c>
      <c r="I6" s="0" t="n">
        <f aca="false">H6*(1+I5/100)</f>
        <v>5292.52000478281</v>
      </c>
      <c r="J6" s="0" t="n">
        <f aca="false">I6*(1+J5/100)</f>
        <v>5451.29560492629</v>
      </c>
      <c r="K6" s="0" t="n">
        <f aca="false">J6*(1+K5/100)</f>
        <v>5614.83447307408</v>
      </c>
      <c r="L6" s="0" t="n">
        <f aca="false">K6*(1+L5/100)</f>
        <v>5755.20533490094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24.8</v>
      </c>
      <c r="D7" s="4" t="n">
        <f aca="false">Assumptions!D28</f>
        <v>25.2</v>
      </c>
      <c r="E7" s="4" t="n">
        <f aca="false">Assumptions!E28</f>
        <v>25.5</v>
      </c>
      <c r="F7" s="4" t="n">
        <f aca="false">Assumptions!F28</f>
        <v>25.5</v>
      </c>
      <c r="G7" s="4" t="n">
        <f aca="false">Assumptions!G28</f>
        <v>25.5</v>
      </c>
      <c r="H7" s="4" t="n">
        <f aca="false">Assumptions!H28</f>
        <v>25.5</v>
      </c>
      <c r="I7" s="4" t="n">
        <f aca="false">Assumptions!I28</f>
        <v>25.5</v>
      </c>
      <c r="J7" s="4" t="n">
        <f aca="false">Assumptions!J28</f>
        <v>25.5</v>
      </c>
      <c r="K7" s="4" t="n">
        <f aca="false">Assumptions!K28</f>
        <v>25.5</v>
      </c>
      <c r="L7" s="4" t="n">
        <f aca="false">Assumptions!L28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1032.43144</v>
      </c>
      <c r="D8" s="0" t="n">
        <f aca="false">D6*D7/100</f>
        <v>1101.537738</v>
      </c>
      <c r="E8" s="0" t="n">
        <f aca="false">E6*E7/100</f>
        <v>1164.8105902125</v>
      </c>
      <c r="F8" s="0" t="n">
        <f aca="false">F6*F7/100</f>
        <v>1211.403013821</v>
      </c>
      <c r="G8" s="0" t="n">
        <f aca="false">G6*G7/100</f>
        <v>1259.85913437384</v>
      </c>
      <c r="H8" s="0" t="n">
        <f aca="false">H6*H7/100</f>
        <v>1303.95420407692</v>
      </c>
      <c r="I8" s="0" t="n">
        <f aca="false">I6*I7/100</f>
        <v>1349.59260121962</v>
      </c>
      <c r="J8" s="0" t="n">
        <f aca="false">J6*J7/100</f>
        <v>1390.08037925621</v>
      </c>
      <c r="K8" s="0" t="n">
        <f aca="false">K6*K7/100</f>
        <v>1431.78279063389</v>
      </c>
      <c r="L8" s="0" t="n">
        <f aca="false">L6*L7/100</f>
        <v>1467.57736039974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1.15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-47.874845</v>
      </c>
      <c r="D10" s="0" t="n">
        <f aca="false">-D6*D9/100</f>
        <v>-50.26858725</v>
      </c>
      <c r="E10" s="0" t="n">
        <f aca="false">-E6*E9/100</f>
        <v>-52.53067367625</v>
      </c>
      <c r="F10" s="0" t="n">
        <f aca="false">-F6*F9/100</f>
        <v>-52.2566005962</v>
      </c>
      <c r="G10" s="0" t="n">
        <f aca="false">-G6*G9/100</f>
        <v>-54.346864620048</v>
      </c>
      <c r="H10" s="0" t="n">
        <f aca="false">-H6*H9/100</f>
        <v>-56.2490048817497</v>
      </c>
      <c r="I10" s="0" t="n">
        <f aca="false">-I6*I9/100</f>
        <v>-58.2177200526109</v>
      </c>
      <c r="J10" s="0" t="n">
        <f aca="false">-J6*J9/100</f>
        <v>-59.9642516541892</v>
      </c>
      <c r="K10" s="0" t="n">
        <f aca="false">-K6*K9/100</f>
        <v>-61.7631792038149</v>
      </c>
      <c r="L10" s="0" t="n">
        <f aca="false">-L6*L9/100</f>
        <v>-63.3072586839103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984.556595</v>
      </c>
      <c r="D11" s="0" t="n">
        <f aca="false">D8+D10+D24</f>
        <v>1051.26915075</v>
      </c>
      <c r="E11" s="0" t="n">
        <f aca="false">E8+E10+E24</f>
        <v>1112.27991653625</v>
      </c>
      <c r="F11" s="0" t="n">
        <f aca="false">F8+F10+F24</f>
        <v>1159.1464132248</v>
      </c>
      <c r="G11" s="0" t="n">
        <f aca="false">G8+G10+G24</f>
        <v>1205.51226975379</v>
      </c>
      <c r="H11" s="0" t="n">
        <f aca="false">H8+H10+H24</f>
        <v>1247.70519919517</v>
      </c>
      <c r="I11" s="0" t="n">
        <f aca="false">I8+I10+I24</f>
        <v>1291.37488116701</v>
      </c>
      <c r="J11" s="0" t="n">
        <f aca="false">J8+J10+J24</f>
        <v>1330.11612760202</v>
      </c>
      <c r="K11" s="0" t="n">
        <f aca="false">K8+K10+K24</f>
        <v>1370.01961143008</v>
      </c>
      <c r="L11" s="0" t="n">
        <f aca="false">L8+L10+L24</f>
        <v>1404.27010171583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-120.72787</v>
      </c>
      <c r="D12" s="4" t="n">
        <f aca="false">-D6*Assumptions!D31/100</f>
        <v>-122.393082</v>
      </c>
      <c r="E12" s="4" t="n">
        <f aca="false">-E6*Assumptions!E31/100</f>
        <v>-123.3328860225</v>
      </c>
      <c r="F12" s="4" t="n">
        <f aca="false">-F6*Assumptions!F31/100</f>
        <v>-123.5156014092</v>
      </c>
      <c r="G12" s="4" t="n">
        <f aca="false">-G6*Assumptions!G31/100</f>
        <v>-123.5156014092</v>
      </c>
      <c r="H12" s="4" t="n">
        <f aca="false">-H6*Assumptions!H31/100</f>
        <v>-122.725101560181</v>
      </c>
      <c r="I12" s="4" t="n">
        <f aca="false">-I6*Assumptions!I31/100</f>
        <v>-121.727960110005</v>
      </c>
      <c r="J12" s="4" t="n">
        <f aca="false">-J6*Assumptions!J31/100</f>
        <v>-119.928503308378</v>
      </c>
      <c r="K12" s="4" t="n">
        <f aca="false">-K6*Assumptions!K31/100</f>
        <v>-117.911523934556</v>
      </c>
      <c r="L12" s="4" t="n">
        <f aca="false">-L6*Assumptions!L31/100</f>
        <v>-115.104106698019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863.828725</v>
      </c>
      <c r="D13" s="0" t="n">
        <f aca="false">D11+D12</f>
        <v>928.87606875</v>
      </c>
      <c r="E13" s="0" t="n">
        <f aca="false">E11+E12</f>
        <v>988.94703051375</v>
      </c>
      <c r="F13" s="0" t="n">
        <f aca="false">F11+F12</f>
        <v>1035.6308118156</v>
      </c>
      <c r="G13" s="0" t="n">
        <f aca="false">G11+G12</f>
        <v>1081.99666834459</v>
      </c>
      <c r="H13" s="0" t="n">
        <f aca="false">H11+H12</f>
        <v>1124.98009763499</v>
      </c>
      <c r="I13" s="0" t="n">
        <f aca="false">I11+I12</f>
        <v>1169.646921057</v>
      </c>
      <c r="J13" s="0" t="n">
        <f aca="false">J11+J12</f>
        <v>1210.18762429364</v>
      </c>
      <c r="K13" s="0" t="n">
        <f aca="false">K11+K12</f>
        <v>1252.10808749552</v>
      </c>
      <c r="L13" s="0" t="n">
        <f aca="false">L11+L12</f>
        <v>1289.16599501781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16</v>
      </c>
      <c r="D14" s="4" t="n">
        <f aca="false">Assumptions!D33</f>
        <v>16</v>
      </c>
      <c r="E14" s="4" t="n">
        <f aca="false">Assumptions!E33</f>
        <v>16.5</v>
      </c>
      <c r="F14" s="4" t="n">
        <f aca="false">Assumptions!F33</f>
        <v>16.5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725.616129</v>
      </c>
      <c r="D15" s="0" t="n">
        <f aca="false">D13-MAX(0,D13)*D14/100</f>
        <v>780.25589775</v>
      </c>
      <c r="E15" s="0" t="n">
        <f aca="false">E13-MAX(0,E13)*E14/100</f>
        <v>825.770770478981</v>
      </c>
      <c r="F15" s="0" t="n">
        <f aca="false">F13-MAX(0,F13)*F14/100</f>
        <v>864.751727866026</v>
      </c>
      <c r="G15" s="0" t="n">
        <f aca="false">G13-MAX(0,G13)*G14/100</f>
        <v>898.057234726011</v>
      </c>
      <c r="H15" s="0" t="n">
        <f aca="false">H13-MAX(0,H13)*H14/100</f>
        <v>933.733481037045</v>
      </c>
      <c r="I15" s="0" t="n">
        <f aca="false">I13-MAX(0,I13)*I14/100</f>
        <v>970.806944477311</v>
      </c>
      <c r="J15" s="0" t="n">
        <f aca="false">J13-MAX(0,J13)*J14/100</f>
        <v>1004.45572816372</v>
      </c>
      <c r="K15" s="0" t="n">
        <f aca="false">K13-MAX(0,K13)*K14/100</f>
        <v>1039.24971262128</v>
      </c>
      <c r="L15" s="0" t="n">
        <f aca="false">L13-MAX(0,L13)*L14/100</f>
        <v>1070.00777586478</v>
      </c>
    </row>
    <row r="16" customFormat="false" ht="15" hidden="false" customHeight="false" outlineLevel="0" collapsed="false">
      <c r="A16" s="0" t="s">
        <v>128</v>
      </c>
      <c r="C16" s="0" t="n">
        <f aca="false">-C12</f>
        <v>120.72787</v>
      </c>
      <c r="D16" s="0" t="n">
        <f aca="false">-D12</f>
        <v>122.393082</v>
      </c>
      <c r="E16" s="0" t="n">
        <f aca="false">-E12</f>
        <v>123.3328860225</v>
      </c>
      <c r="F16" s="0" t="n">
        <f aca="false">-F12</f>
        <v>123.5156014092</v>
      </c>
      <c r="G16" s="0" t="n">
        <f aca="false">-G12</f>
        <v>123.5156014092</v>
      </c>
      <c r="H16" s="0" t="n">
        <f aca="false">-H12</f>
        <v>122.725101560181</v>
      </c>
      <c r="I16" s="0" t="n">
        <f aca="false">-I12</f>
        <v>121.727960110005</v>
      </c>
      <c r="J16" s="0" t="n">
        <f aca="false">-J12</f>
        <v>119.928503308378</v>
      </c>
      <c r="K16" s="0" t="n">
        <f aca="false">-K12</f>
        <v>117.911523934556</v>
      </c>
      <c r="L16" s="0" t="n">
        <f aca="false">-L12</f>
        <v>115.104106698019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-79.09757</v>
      </c>
      <c r="D17" s="4" t="n">
        <f aca="false">-D6*Assumptions!D32/100</f>
        <v>-83.0524485</v>
      </c>
      <c r="E17" s="4" t="n">
        <f aca="false">-E6*Assumptions!E32/100</f>
        <v>-86.7898086825</v>
      </c>
      <c r="F17" s="4" t="n">
        <f aca="false">-F6*Assumptions!F32/100</f>
        <v>-90.2614010298</v>
      </c>
      <c r="G17" s="4" t="n">
        <f aca="false">-G6*Assumptions!G32/100</f>
        <v>-93.871857070992</v>
      </c>
      <c r="H17" s="4" t="n">
        <f aca="false">-H6*Assumptions!H32/100</f>
        <v>-97.1573720684767</v>
      </c>
      <c r="I17" s="4" t="n">
        <f aca="false">-I6*Assumptions!I32/100</f>
        <v>-100.557880090873</v>
      </c>
      <c r="J17" s="4" t="n">
        <f aca="false">-J6*Assumptions!J32/100</f>
        <v>-103.5746164936</v>
      </c>
      <c r="K17" s="4" t="n">
        <f aca="false">-K6*Assumptions!K32/100</f>
        <v>-106.681854988408</v>
      </c>
      <c r="L17" s="4" t="n">
        <f aca="false">-L6*Assumptions!L32/100</f>
        <v>-109.348901363118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-32.5545</v>
      </c>
      <c r="D18" s="4" t="n">
        <f aca="false">(D6-C6)*Assumptions!$B$37/100</f>
        <v>-31.222725</v>
      </c>
      <c r="E18" s="4" t="n">
        <f aca="false">(E6-D6)*Assumptions!$B$37/100</f>
        <v>-29.505475125</v>
      </c>
      <c r="F18" s="4" t="n">
        <f aca="false">(F6-E6)*Assumptions!$B$37/100</f>
        <v>-27.407308005</v>
      </c>
      <c r="G18" s="4" t="n">
        <f aca="false">(G6-F6)*Assumptions!$B$37/100</f>
        <v>-28.5036003252</v>
      </c>
      <c r="H18" s="4" t="n">
        <f aca="false">(H6-G6)*Assumptions!$B$37/100</f>
        <v>-25.9382762959319</v>
      </c>
      <c r="I18" s="4" t="n">
        <f aca="false">(I6-H6)*Assumptions!$B$37/100</f>
        <v>-26.8461159662896</v>
      </c>
      <c r="J18" s="4" t="n">
        <f aca="false">(J6-I6)*Assumptions!$B$37/100</f>
        <v>-23.8163400215227</v>
      </c>
      <c r="K18" s="4" t="n">
        <f aca="false">(K6-J6)*Assumptions!$B$37/100</f>
        <v>-24.5308302221683</v>
      </c>
      <c r="L18" s="4" t="n">
        <f aca="false">(L6-K6)*Assumptions!$B$37/100</f>
        <v>-21.0556292740278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734.691929</v>
      </c>
      <c r="D19" s="0" t="n">
        <f aca="false">D15+D16+D17+D18</f>
        <v>788.37380625</v>
      </c>
      <c r="E19" s="0" t="n">
        <f aca="false">E15+E16+E17+E18</f>
        <v>832.808372693981</v>
      </c>
      <c r="F19" s="0" t="n">
        <f aca="false">F15+F16+F17+F18</f>
        <v>870.598620240426</v>
      </c>
      <c r="G19" s="0" t="n">
        <f aca="false">G15+G16+G17+G18</f>
        <v>899.197378739019</v>
      </c>
      <c r="H19" s="0" t="n">
        <f aca="false">H15+H16+H17+H18</f>
        <v>933.362934232817</v>
      </c>
      <c r="I19" s="0" t="n">
        <f aca="false">I15+I16+I17+I18</f>
        <v>965.130908530153</v>
      </c>
      <c r="J19" s="0" t="n">
        <f aca="false">J15+J16+J17+J18</f>
        <v>996.993274956975</v>
      </c>
      <c r="K19" s="0" t="n">
        <f aca="false">K15+K16+K17+K18</f>
        <v>1025.94855134526</v>
      </c>
      <c r="L19" s="0" t="n">
        <f aca="false">L15+L16+L17+L18</f>
        <v>1054.70735192566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674.02929266055</v>
      </c>
      <c r="D21" s="0" t="n">
        <f aca="false">D19*D20</f>
        <v>663.558459936032</v>
      </c>
      <c r="E21" s="0" t="n">
        <f aca="false">E19*E20</f>
        <v>643.08086745083</v>
      </c>
      <c r="F21" s="0" t="n">
        <f aca="false">F19*F20</f>
        <v>616.754011296892</v>
      </c>
      <c r="G21" s="0" t="n">
        <f aca="false">G19*G20</f>
        <v>584.416598919689</v>
      </c>
      <c r="H21" s="0" t="n">
        <f aca="false">H19*H20</f>
        <v>556.533821803143</v>
      </c>
      <c r="I21" s="0" t="n">
        <f aca="false">I19*I20</f>
        <v>527.959657722737</v>
      </c>
      <c r="J21" s="0" t="n">
        <f aca="false">J19*J20</f>
        <v>500.357305761426</v>
      </c>
      <c r="K21" s="0" t="n">
        <f aca="false">K19*K20</f>
        <v>472.375213393865</v>
      </c>
      <c r="L21" s="0" t="n">
        <f aca="false">L19*L20</f>
        <v>445.519783565731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5684.5850125109</v>
      </c>
    </row>
    <row r="31" customFormat="false" ht="15" hidden="false" customHeight="false" outlineLevel="0" collapsed="false">
      <c r="A31" s="0" t="s">
        <v>137</v>
      </c>
      <c r="B31" s="0" t="n">
        <f aca="false">L19</f>
        <v>1054.70735192566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16631.9236265199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14765.9029269592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14765.9029269592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6237.27696992024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11921.8619824311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10515.2619824311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65.55649614982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0.239721939293117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349.796604981247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421.695568901542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70.3662977326304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8648.60028579037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31.8155409761763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8.5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3946</v>
      </c>
      <c r="C6" s="0" t="n">
        <f aca="false">B6*(1+C5/100)</f>
        <v>4281.41</v>
      </c>
      <c r="D6" s="0" t="n">
        <f aca="false">C6*(1+D5/100)</f>
        <v>4581.1087</v>
      </c>
      <c r="E6" s="0" t="n">
        <f aca="false">D6*(1+E5/100)</f>
        <v>4855.975222</v>
      </c>
      <c r="F6" s="0" t="n">
        <f aca="false">E6*(1+F5/100)</f>
        <v>5123.05385921</v>
      </c>
      <c r="G6" s="0" t="n">
        <f aca="false">F6*(1+G5/100)</f>
        <v>5379.2065521705</v>
      </c>
      <c r="H6" s="0" t="n">
        <f aca="false">G6*(1+H5/100)</f>
        <v>5621.27084701817</v>
      </c>
      <c r="I6" s="0" t="n">
        <f aca="false">H6*(1+I5/100)</f>
        <v>5846.1216808989</v>
      </c>
      <c r="J6" s="0" t="n">
        <f aca="false">I6*(1+J5/100)</f>
        <v>6050.73593973036</v>
      </c>
      <c r="K6" s="0" t="n">
        <f aca="false">J6*(1+K5/100)</f>
        <v>6232.25801792227</v>
      </c>
      <c r="L6" s="0" t="n">
        <f aca="false">K6*(1+L5/100)</f>
        <v>6419.22575845994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25.6</v>
      </c>
      <c r="D7" s="4" t="n">
        <f aca="false">Assumptions!D42</f>
        <v>26.2</v>
      </c>
      <c r="E7" s="4" t="n">
        <f aca="false">Assumptions!E42</f>
        <v>26.7</v>
      </c>
      <c r="F7" s="4" t="n">
        <f aca="false">Assumptions!F42</f>
        <v>27</v>
      </c>
      <c r="G7" s="4" t="n">
        <f aca="false">Assumptions!G42</f>
        <v>27</v>
      </c>
      <c r="H7" s="4" t="n">
        <f aca="false">Assumptions!H42</f>
        <v>27</v>
      </c>
      <c r="I7" s="4" t="n">
        <f aca="false">Assumptions!I42</f>
        <v>27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1096.04096</v>
      </c>
      <c r="D8" s="0" t="n">
        <f aca="false">D6*D7/100</f>
        <v>1200.2504794</v>
      </c>
      <c r="E8" s="0" t="n">
        <f aca="false">E6*E7/100</f>
        <v>1296.545384274</v>
      </c>
      <c r="F8" s="0" t="n">
        <f aca="false">F6*F7/100</f>
        <v>1383.2245419867</v>
      </c>
      <c r="G8" s="0" t="n">
        <f aca="false">G6*G7/100</f>
        <v>1452.38576908604</v>
      </c>
      <c r="H8" s="0" t="n">
        <f aca="false">H6*H7/100</f>
        <v>1517.74312869491</v>
      </c>
      <c r="I8" s="0" t="n">
        <f aca="false">I6*I7/100</f>
        <v>1578.4528538427</v>
      </c>
      <c r="J8" s="0" t="n">
        <f aca="false">J6*J7/100</f>
        <v>1633.6987037272</v>
      </c>
      <c r="K8" s="0" t="n">
        <f aca="false">K6*K7/100</f>
        <v>1682.70966483901</v>
      </c>
      <c r="L8" s="0" t="n">
        <f aca="false">L6*L7/100</f>
        <v>1733.19095478418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1.15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-49.236215</v>
      </c>
      <c r="D10" s="0" t="n">
        <f aca="false">-D6*D9/100</f>
        <v>-52.68275005</v>
      </c>
      <c r="E10" s="0" t="n">
        <f aca="false">-E6*E9/100</f>
        <v>-55.843715053</v>
      </c>
      <c r="F10" s="0" t="n">
        <f aca="false">-F6*F9/100</f>
        <v>-56.35359245131</v>
      </c>
      <c r="G10" s="0" t="n">
        <f aca="false">-G6*G9/100</f>
        <v>-59.1712720738755</v>
      </c>
      <c r="H10" s="0" t="n">
        <f aca="false">-H6*H9/100</f>
        <v>-61.8339793171999</v>
      </c>
      <c r="I10" s="0" t="n">
        <f aca="false">-I6*I9/100</f>
        <v>-64.3073384898879</v>
      </c>
      <c r="J10" s="0" t="n">
        <f aca="false">-J6*J9/100</f>
        <v>-66.558095337034</v>
      </c>
      <c r="K10" s="0" t="n">
        <f aca="false">-K6*K9/100</f>
        <v>-68.554838197145</v>
      </c>
      <c r="L10" s="0" t="n">
        <f aca="false">-L6*L9/100</f>
        <v>-70.6114833430594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1046.804745</v>
      </c>
      <c r="D11" s="0" t="n">
        <f aca="false">D8+D10+D24</f>
        <v>1147.56772935</v>
      </c>
      <c r="E11" s="0" t="n">
        <f aca="false">E8+E10+E24</f>
        <v>1240.701669221</v>
      </c>
      <c r="F11" s="0" t="n">
        <f aca="false">F8+F10+F24</f>
        <v>1326.87094953539</v>
      </c>
      <c r="G11" s="0" t="n">
        <f aca="false">G8+G10+G24</f>
        <v>1393.21449701216</v>
      </c>
      <c r="H11" s="0" t="n">
        <f aca="false">H8+H10+H24</f>
        <v>1455.90914937771</v>
      </c>
      <c r="I11" s="0" t="n">
        <f aca="false">I8+I10+I24</f>
        <v>1514.14551535282</v>
      </c>
      <c r="J11" s="0" t="n">
        <f aca="false">J8+J10+J24</f>
        <v>1567.14060839016</v>
      </c>
      <c r="K11" s="0" t="n">
        <f aca="false">K8+K10+K24</f>
        <v>1614.15482664187</v>
      </c>
      <c r="L11" s="0" t="n">
        <f aca="false">L8+L10+L24</f>
        <v>1662.57947144112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-124.16089</v>
      </c>
      <c r="D12" s="4" t="n">
        <f aca="false">-D6*Assumptions!D45/100</f>
        <v>-128.2710436</v>
      </c>
      <c r="E12" s="4" t="n">
        <f aca="false">-E6*Assumptions!E45/100</f>
        <v>-131.111330994</v>
      </c>
      <c r="F12" s="4" t="n">
        <f aca="false">-F6*Assumptions!F45/100</f>
        <v>-133.19940033946</v>
      </c>
      <c r="G12" s="4" t="n">
        <f aca="false">-G6*Assumptions!G45/100</f>
        <v>-134.480163804263</v>
      </c>
      <c r="H12" s="4" t="n">
        <f aca="false">-H6*Assumptions!H45/100</f>
        <v>-134.910500328436</v>
      </c>
      <c r="I12" s="4" t="n">
        <f aca="false">-I6*Assumptions!I45/100</f>
        <v>-134.460798660675</v>
      </c>
      <c r="J12" s="4" t="n">
        <f aca="false">-J6*Assumptions!J45/100</f>
        <v>-133.116190674068</v>
      </c>
      <c r="K12" s="4" t="n">
        <f aca="false">-K6*Assumptions!K45/100</f>
        <v>-130.877418376368</v>
      </c>
      <c r="L12" s="4" t="n">
        <f aca="false">-L6*Assumptions!L45/100</f>
        <v>-128.384515169199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922.643855</v>
      </c>
      <c r="D13" s="0" t="n">
        <f aca="false">D11+D12</f>
        <v>1019.29668575</v>
      </c>
      <c r="E13" s="0" t="n">
        <f aca="false">E11+E12</f>
        <v>1109.590338227</v>
      </c>
      <c r="F13" s="0" t="n">
        <f aca="false">F11+F12</f>
        <v>1193.67154919593</v>
      </c>
      <c r="G13" s="0" t="n">
        <f aca="false">G11+G12</f>
        <v>1258.7343332079</v>
      </c>
      <c r="H13" s="0" t="n">
        <f aca="false">H11+H12</f>
        <v>1320.99864904927</v>
      </c>
      <c r="I13" s="0" t="n">
        <f aca="false">I11+I12</f>
        <v>1379.68471669214</v>
      </c>
      <c r="J13" s="0" t="n">
        <f aca="false">J11+J12</f>
        <v>1434.0244177161</v>
      </c>
      <c r="K13" s="0" t="n">
        <f aca="false">K11+K12</f>
        <v>1483.2774082655</v>
      </c>
      <c r="L13" s="0" t="n">
        <f aca="false">L11+L12</f>
        <v>1534.19495627193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16</v>
      </c>
      <c r="D14" s="4" t="n">
        <f aca="false">Assumptions!D47</f>
        <v>16</v>
      </c>
      <c r="E14" s="4" t="n">
        <f aca="false">Assumptions!E47</f>
        <v>16.5</v>
      </c>
      <c r="F14" s="4" t="n">
        <f aca="false">Assumptions!F47</f>
        <v>16.5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775.0208382</v>
      </c>
      <c r="D15" s="0" t="n">
        <f aca="false">D13-MAX(0,D13)*D14/100</f>
        <v>856.20921603</v>
      </c>
      <c r="E15" s="0" t="n">
        <f aca="false">E13-MAX(0,E13)*E14/100</f>
        <v>926.507932419545</v>
      </c>
      <c r="F15" s="0" t="n">
        <f aca="false">F13-MAX(0,F13)*F14/100</f>
        <v>996.715743578601</v>
      </c>
      <c r="G15" s="0" t="n">
        <f aca="false">G13-MAX(0,G13)*G14/100</f>
        <v>1044.74949656255</v>
      </c>
      <c r="H15" s="0" t="n">
        <f aca="false">H13-MAX(0,H13)*H14/100</f>
        <v>1096.42887871089</v>
      </c>
      <c r="I15" s="0" t="n">
        <f aca="false">I13-MAX(0,I13)*I14/100</f>
        <v>1145.13831485448</v>
      </c>
      <c r="J15" s="0" t="n">
        <f aca="false">J13-MAX(0,J13)*J14/100</f>
        <v>1190.24026670436</v>
      </c>
      <c r="K15" s="0" t="n">
        <f aca="false">K13-MAX(0,K13)*K14/100</f>
        <v>1231.12024886037</v>
      </c>
      <c r="L15" s="0" t="n">
        <f aca="false">L13-MAX(0,L13)*L14/100</f>
        <v>1273.3818137057</v>
      </c>
    </row>
    <row r="16" customFormat="false" ht="15" hidden="false" customHeight="false" outlineLevel="0" collapsed="false">
      <c r="A16" s="0" t="s">
        <v>128</v>
      </c>
      <c r="C16" s="0" t="n">
        <f aca="false">-C12</f>
        <v>124.16089</v>
      </c>
      <c r="D16" s="0" t="n">
        <f aca="false">-D12</f>
        <v>128.2710436</v>
      </c>
      <c r="E16" s="0" t="n">
        <f aca="false">-E12</f>
        <v>131.111330994</v>
      </c>
      <c r="F16" s="0" t="n">
        <f aca="false">-F12</f>
        <v>133.19940033946</v>
      </c>
      <c r="G16" s="0" t="n">
        <f aca="false">-G12</f>
        <v>134.480163804263</v>
      </c>
      <c r="H16" s="0" t="n">
        <f aca="false">-H12</f>
        <v>134.910500328436</v>
      </c>
      <c r="I16" s="0" t="n">
        <f aca="false">-I12</f>
        <v>134.460798660675</v>
      </c>
      <c r="J16" s="0" t="n">
        <f aca="false">-J12</f>
        <v>133.116190674068</v>
      </c>
      <c r="K16" s="0" t="n">
        <f aca="false">-K12</f>
        <v>130.877418376368</v>
      </c>
      <c r="L16" s="0" t="n">
        <f aca="false">-L12</f>
        <v>128.384515169199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-85.6282</v>
      </c>
      <c r="D17" s="4" t="n">
        <f aca="false">-D6*Assumptions!D46/100</f>
        <v>-91.622174</v>
      </c>
      <c r="E17" s="4" t="n">
        <f aca="false">-E6*Assumptions!E46/100</f>
        <v>-97.11950444</v>
      </c>
      <c r="F17" s="4" t="n">
        <f aca="false">-F6*Assumptions!F46/100</f>
        <v>-102.4610771842</v>
      </c>
      <c r="G17" s="4" t="n">
        <f aca="false">-G6*Assumptions!G46/100</f>
        <v>-107.58413104341</v>
      </c>
      <c r="H17" s="4" t="n">
        <f aca="false">-H6*Assumptions!H46/100</f>
        <v>-112.425416940363</v>
      </c>
      <c r="I17" s="4" t="n">
        <f aca="false">-I6*Assumptions!I46/100</f>
        <v>-116.922433617978</v>
      </c>
      <c r="J17" s="4" t="n">
        <f aca="false">-J6*Assumptions!J46/100</f>
        <v>-121.014718794607</v>
      </c>
      <c r="K17" s="4" t="n">
        <f aca="false">-K6*Assumptions!K46/100</f>
        <v>-124.645160358445</v>
      </c>
      <c r="L17" s="4" t="n">
        <f aca="false">-L6*Assumptions!L46/100</f>
        <v>-128.384515169199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-50.3115</v>
      </c>
      <c r="D18" s="4" t="n">
        <f aca="false">(D6-C6)*Assumptions!$B$51/100</f>
        <v>-44.954805</v>
      </c>
      <c r="E18" s="4" t="n">
        <f aca="false">(E6-D6)*Assumptions!$B$51/100</f>
        <v>-41.2299783</v>
      </c>
      <c r="F18" s="4" t="n">
        <f aca="false">(F6-E6)*Assumptions!$B$51/100</f>
        <v>-40.0617955815</v>
      </c>
      <c r="G18" s="4" t="n">
        <f aca="false">(G6-F6)*Assumptions!$B$51/100</f>
        <v>-38.4229039440751</v>
      </c>
      <c r="H18" s="4" t="n">
        <f aca="false">(H6-G6)*Assumptions!$B$51/100</f>
        <v>-36.3096442271509</v>
      </c>
      <c r="I18" s="4" t="n">
        <f aca="false">(I6-H6)*Assumptions!$B$51/100</f>
        <v>-33.727625082109</v>
      </c>
      <c r="J18" s="4" t="n">
        <f aca="false">(J6-I6)*Assumptions!$B$51/100</f>
        <v>-30.6921388247192</v>
      </c>
      <c r="K18" s="4" t="n">
        <f aca="false">(K6-J6)*Assumptions!$B$51/100</f>
        <v>-27.2283117287866</v>
      </c>
      <c r="L18" s="4" t="n">
        <f aca="false">(L6-K6)*Assumptions!$B$51/100</f>
        <v>-28.0451610806503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763.2420282</v>
      </c>
      <c r="D19" s="0" t="n">
        <f aca="false">D15+D16+D17+D18</f>
        <v>847.90328063</v>
      </c>
      <c r="E19" s="0" t="n">
        <f aca="false">E15+E16+E17+E18</f>
        <v>919.269780673545</v>
      </c>
      <c r="F19" s="0" t="n">
        <f aca="false">F15+F16+F17+F18</f>
        <v>987.392271152361</v>
      </c>
      <c r="G19" s="0" t="n">
        <f aca="false">G15+G16+G17+G18</f>
        <v>1033.22262537933</v>
      </c>
      <c r="H19" s="0" t="n">
        <f aca="false">H15+H16+H17+H18</f>
        <v>1082.60431787182</v>
      </c>
      <c r="I19" s="0" t="n">
        <f aca="false">I15+I16+I17+I18</f>
        <v>1128.94905481506</v>
      </c>
      <c r="J19" s="0" t="n">
        <f aca="false">J15+J16+J17+J18</f>
        <v>1171.6495997591</v>
      </c>
      <c r="K19" s="0" t="n">
        <f aca="false">K15+K16+K17+K18</f>
        <v>1210.1241951495</v>
      </c>
      <c r="L19" s="0" t="n">
        <f aca="false">L15+L16+L17+L18</f>
        <v>1245.33665262505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700.222044220184</v>
      </c>
      <c r="D21" s="0" t="n">
        <f aca="false">D19*D20</f>
        <v>713.663227531352</v>
      </c>
      <c r="E21" s="0" t="n">
        <f aca="false">E19*E20</f>
        <v>709.844938355469</v>
      </c>
      <c r="F21" s="0" t="n">
        <f aca="false">F19*F20</f>
        <v>699.493578095255</v>
      </c>
      <c r="G21" s="0" t="n">
        <f aca="false">G19*G20</f>
        <v>671.523813267605</v>
      </c>
      <c r="H21" s="0" t="n">
        <f aca="false">H19*H20</f>
        <v>645.521582685325</v>
      </c>
      <c r="I21" s="0" t="n">
        <f aca="false">I19*I20</f>
        <v>617.573793667335</v>
      </c>
      <c r="J21" s="0" t="n">
        <f aca="false">J19*J20</f>
        <v>588.011425711188</v>
      </c>
      <c r="K21" s="0" t="n">
        <f aca="false">K19*K20</f>
        <v>557.174796111636</v>
      </c>
      <c r="L21" s="0" t="n">
        <f aca="false">L19*L20</f>
        <v>526.043660292123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6429.07285993747</v>
      </c>
    </row>
    <row r="31" customFormat="false" ht="15" hidden="false" customHeight="false" outlineLevel="0" collapsed="false">
      <c r="A31" s="0" t="s">
        <v>137</v>
      </c>
      <c r="B31" s="0" t="n">
        <f aca="false">L19</f>
        <v>1245.33665262505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21378.2792033967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19925.3864420008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19925.3864420008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8416.69856467396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14845.7714246114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13439.1714246114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83.7853580087995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0.584443230121019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377.856790077293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512.031087744908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89.3332874216561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10689.1396016983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38.3440140597192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48.5324790107527</v>
      </c>
      <c r="C4" s="0" t="n">
        <f aca="false">B4/Assumptions!$B$2-1</f>
        <v>-0.08221484472858</v>
      </c>
      <c r="D4" s="4" t="n">
        <f aca="false">Assumptions!$B$24</f>
        <v>0.25</v>
      </c>
      <c r="E4" s="4" t="n">
        <f aca="false">DCF_Bear!$B$43</f>
        <v>52.6011230662496</v>
      </c>
      <c r="F4" s="4" t="n">
        <f aca="false">DCF_Bear!$B$47</f>
        <v>24.9268038099878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65.55649614982</v>
      </c>
      <c r="C5" s="0" t="n">
        <f aca="false">B5/Assumptions!$B$2-1</f>
        <v>0.239721939293117</v>
      </c>
      <c r="D5" s="4" t="n">
        <f aca="false">Assumptions!$B$38</f>
        <v>0.5</v>
      </c>
      <c r="E5" s="4" t="n">
        <f aca="false">DCF_Base!$B$43</f>
        <v>70.3662977326304</v>
      </c>
      <c r="F5" s="4" t="n">
        <f aca="false">DCF_Base!$B$47</f>
        <v>31.8155409761763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83.7853580087995</v>
      </c>
      <c r="C6" s="0" t="n">
        <f aca="false">B6/Assumptions!$B$2-1</f>
        <v>0.584443230121019</v>
      </c>
      <c r="D6" s="4" t="n">
        <f aca="false">Assumptions!$B$52</f>
        <v>0.25</v>
      </c>
      <c r="E6" s="4" t="n">
        <f aca="false">DCF_Bull!$B$43</f>
        <v>89.3332874216561</v>
      </c>
      <c r="F6" s="4" t="n">
        <f aca="false">DCF_Bull!$B$47</f>
        <v>38.3440140597192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65.8577073297981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70.6667514882916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0.197056773701658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-269.860431763289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31.7254749555149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65.55649614982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59.7121501544125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51.4931244846182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45.0111573496736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31.8155409761763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77.0412226132759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77.0412226132759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77.0412226132759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77.0412226132759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77.0412226132759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71.0335280960851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71.0335280960851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71.0335280960851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71.0335280960851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71.0335280960851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64.2603039283071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65.55649614982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65.55649614982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65.55649614982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65.55649614982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55.337802924139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57.3882781883297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59.7121501544125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60.5571945057153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60.5571945057153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48.3098193535815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49.813046776571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51.4931244846182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53.3832119061712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55.5253109839313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2026-10-02T07:31:53Z</dcterms:created>
  <dc:creator>openpyxl</dc:creator>
  <dc:description/>
  <dc:language>en-NZ</dc:language>
  <cp:lastModifiedBy/>
  <dcterms:modified xsi:type="dcterms:W3CDTF">2026-10-02T07:31:53Z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