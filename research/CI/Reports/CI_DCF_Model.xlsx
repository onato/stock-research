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<sst xmlns="http://schemas.openxmlformats.org/spreadsheetml/2006/main" count="363" uniqueCount="166">
  <si>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</si>
  <si>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CI</t>
  </si>
  <si>
    <t xml:space="preserve">Company</t>
  </si>
  <si>
    <t xml:space="preserve">The Cigna Group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</si>
  <si>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</si>
  <si>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</si>
  <si>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</si>
  <si>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</si>
  <si>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</si>
  <si>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</si>
  <si>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</si>
  <si>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</si>
  <si>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</si>
  <si>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</si>
  <si>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</si>
  <si>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</si>
  <si>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</si>
  <si>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</si>
  <si>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</si>
  <si>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</si>
  <si>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</si>
  <si>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2026-09-26T00:48:05Z</t>
  </si>
  <si>
    <t xml:space="preserve">Drivers file</t>
  </si>
  <si>
    <t xml:space="preserve">CI_Drivers.json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</si>
  <si>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</si>
  <si>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</si>
  <si>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</si>
  <si>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Cigna as a fee-and-spread health-services operator, not as an insurer: the cash comes from Evernorth's PBM/specialty scale and ASO fees, and the book value is mostly Express Scripts goodwill that buybacks keep shrinking. The whole valuation turns on how much PBM margin survives the 2027-2028 rebate-free conversion and federal delinking; the base case assumes ~8% margin loss, the bear ~27%.
key_risks_to_valuation: PBM delinking (2028) and the FTC consent decree compress Evernorth margins more than modelled; Large-client re-bids (HCSC services agreement, health-plan PBM contracts) at cost-plus pricing; Medical cost trend / GLP-1 utilisation keeps Cigna Healthcare MCR above 84%; Revenue presentation changes under cost-plus (gross vs net) move the % margins even where dollars do not -- read the scenarios in dollars of operating profit; Investor Day (30 Sept 2026) may reset multi-year targets; re-anchor after it; Shields Health Solutions / specialty investments (~$3.5bn) and continued ~$1.1bn/yr renewable tax-credit investments are capital calls not modelled as growth capex</t>
  </si>
  <si>
    <t xml:space="preserve">Data sources</t>
  </si>
  <si>
    <t xml:space="preserve">price: Yahoo Finance chart API at inputs.price_as_of; 52-week range 239.51-315.47
financials: SEC EDGAR: FY2025 10-K (ci-20251231.htm, filed 2026-02-26) cash flow statement, segment/adjusted-income reconciliation and Note 19; Q2 2026 10-Q (ci-20260630.htm, filed 2026-07-30) balance sheet, income statement, cash flow; XBRL companyfacts for SBC, tax, D&amp;A, amortization, NCI, diluted shares; CI_Metrics.csv history
qualitative: CI_Analysis.json (2026-09-26): segment mix, PBM regulatory timeline, FY2026 adjusted EPS guidance &gt;= $30.45</t>
  </si>
  <si>
    <t xml:space="preserve">Scenario narrative: bear</t>
  </si>
  <si>
    <t xml:space="preserve">Delinking and spread-pricing bans strip rebate and spread economics faster than service fees replace them; large clients (the HCSC services agreement, Centene-scale PBM contracts) re-bid on price against CVS TrueCost and Optum Rx cost-plus, and state PBM laws layer on further constraints. Evernorth margin falls roughly a quarter by 2029, revenue stalls in 2028 as gross-to-net presentation changes, and Cigna Healthcare MCR stays elevated on specialty/GLP-1 trend. Operating profit settles ~25% below the FY2026 level and grows only 2-2.5%; the market's ~9x earnings multiple becomes the right one.</t>
  </si>
  <si>
    <t xml:space="preserve">Scenario narrative: base</t>
  </si>
  <si>
    <t xml:space="preserve">Evernorth converts to rebate-free/cost-plus pricing (fully insured 2027, all clients 2028) and absorbs the 2028 federal delinking and the FTC consent decree at the cost of roughly one-tenth of its margin, but keeps its Big-Three scale and grows specialty (Accredo, GLP-1 management) volumes. Cigna Healthcare narrows to self-funded employer and international after the IFP exit; MCR normalises. Attributable operating profit dips in 2028 and then compounds ~3-4%/yr; capital return continues via buybacks and a growing dividend.</t>
  </si>
  <si>
    <t xml:space="preserve">Scenario narrative: bull</t>
  </si>
  <si>
    <t xml:space="preserve">Cost-plus pricing proves a share-winner: employers and health plans consolidate to the most transparent Big-Three PBM, the Shields/specialty investments and biosimilar/GLP-1 programs lift specialty mix, and the September 2026 Investor Day targets (high-single-digit revenue, low-double-digit EPS) are met. Margin holds through 2028 and edges up to 4.5% on specialty mix; regulation codifies a model Evernorth has already adopted instead of breaking 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</si>
  <si>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</si>
  <si>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</si>
  <si>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</si>
  <si>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</si>
  <si>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</si>
  <si>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</si>
  <si>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</si>
  <si>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</si>
  <si>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</si>
  <si>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</si>
  <si>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</si>
  <si>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</si>
  <si>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</si>
  <si>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</si>
  <si>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</si>
  <si>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</si>
  <si>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</si>
  <si>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</si>
  <si>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</si>
  <si>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</si>
  <si>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</si>
  <si>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</si>
  <si>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</si>
  <si>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</si>
  <si>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</si>
  <si>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</si>
  <si>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</si>
  <si>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</si>
  <si>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</si>
  <si>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</si>
  <si>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</si>
  <si>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</si>
  <si>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</si>
  <si>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</si>
  <si>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</si>
  <si>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</si>
  <si>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</si>
  <si>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</si>
  <si>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</si>
  <si>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</si>
  <si>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</si>
  <si>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</si>
  <si>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</si>
  <si>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</si>
  <si>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</si>
  <si>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</si>
  <si>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</si>
  <si>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</si>
  <si>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</si>
  <si>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</si>
  <si>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</si>
  <si>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</si>
  <si>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</si>
  <si>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</si>
  <si>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</si>
  <si>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</si>
  <si>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</si>
  <si>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</si>
  <si>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</si>
  <si>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</si>
  <si>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</si>
  <si>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</si>
  <si>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</si>
  <si>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</si>
  <si>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</si>
  <si>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</si>
  <si>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</si>
  <si>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</si>
  <si>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</si>
  <si>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</si>
  <si>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</si>
  <si>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</si>
  <si>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</si>
  <si>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</si>
  <si>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</si>
  <si>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</si>
  <si>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</si>
  <si>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</si>
  <si>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</si>
  <si>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</si>
  <si>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</si>
  <si>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</si>
  <si>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</si>
  <si>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</si>
  <si>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</si>
  <si>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</si>
  <si>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</si>
  <si>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</si>
  <si>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</si>
  <si>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</si>
  <si>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</si>
  <si>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</si>
  <si>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</si>
  <si>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</si>
  <si>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</si>
  <si>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</si>
  <si>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</si>
  <si>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</si>
  <si>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</si>
  <si>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</si>
  <si>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</si>
  <si>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</si>
  <si>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</si>
  <si>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</si>
  <si>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</si>
  <si>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</si>
  <si>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CI owner-FCF component DCF: base case (millions, USD)</t>
  </si>
  <si>
    <t xml:space="preserve">CI owner-FCF component DCF: bull case (millions, USD)</t>
  </si>
  <si>
    <t xml:space="preserve">CI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</si>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</sst>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272.01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12020</v>
      </c>
      <c r="S2" s="0" t="n">
        <v>1968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39838</v>
      </c>
      <c r="C3" s="0" t="n">
        <v>2468</v>
      </c>
      <c r="F3" s="0" t="n">
        <v>3088</v>
      </c>
      <c r="G3" s="0" t="n">
        <v>7.75139314222602</v>
      </c>
      <c r="H3" s="0" t="n">
        <v>3698</v>
      </c>
      <c r="I3" s="0" t="n">
        <v>1843</v>
      </c>
      <c r="J3" s="0" t="n">
        <v>4.6262362568402</v>
      </c>
      <c r="K3" s="0" t="n">
        <v>7.31</v>
      </c>
      <c r="L3" s="0" t="n">
        <v>4026</v>
      </c>
      <c r="M3" s="0" t="n">
        <v>461</v>
      </c>
      <c r="N3" s="0" t="n">
        <v>3565</v>
      </c>
      <c r="O3" s="0" t="n">
        <v>13703</v>
      </c>
      <c r="S3" s="0" t="n">
        <v>3185</v>
      </c>
      <c r="T3" s="0" t="n">
        <v>259.647</v>
      </c>
      <c r="U3" s="0" t="n">
        <v>128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41806</v>
      </c>
      <c r="C4" s="0" t="n">
        <v>2456</v>
      </c>
      <c r="F4" s="0" t="n">
        <v>3942</v>
      </c>
      <c r="G4" s="0" t="n">
        <v>9.42926852604889</v>
      </c>
      <c r="H4" s="0" t="n">
        <v>4508</v>
      </c>
      <c r="I4" s="0" t="n">
        <v>2232</v>
      </c>
      <c r="J4" s="0" t="n">
        <v>5.33894656269435</v>
      </c>
      <c r="K4" s="0" t="n">
        <v>8.92</v>
      </c>
      <c r="L4" s="0" t="n">
        <v>4086</v>
      </c>
      <c r="M4" s="0" t="n">
        <v>471</v>
      </c>
      <c r="N4" s="0" t="n">
        <v>3615</v>
      </c>
      <c r="O4" s="0" t="n">
        <v>13711</v>
      </c>
      <c r="P4" s="0" t="n">
        <v>61759</v>
      </c>
      <c r="Q4" s="0" t="n">
        <v>47999</v>
      </c>
      <c r="R4" s="0" t="n">
        <v>5439</v>
      </c>
      <c r="S4" s="0" t="n">
        <v>2972</v>
      </c>
      <c r="T4" s="0" t="n">
        <v>0</v>
      </c>
      <c r="U4" s="0" t="n">
        <v>178</v>
      </c>
      <c r="V4" s="0" t="n">
        <v>0.04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48650</v>
      </c>
      <c r="C5" s="0" t="n">
        <v>4793</v>
      </c>
      <c r="F5" s="0" t="n">
        <v>4160</v>
      </c>
      <c r="G5" s="0" t="n">
        <v>8.55087358684481</v>
      </c>
      <c r="H5" s="0" t="n">
        <v>4855</v>
      </c>
      <c r="I5" s="0" t="n">
        <v>2646</v>
      </c>
      <c r="J5" s="0" t="n">
        <v>5.43884892086331</v>
      </c>
      <c r="K5" s="0" t="n">
        <v>10.69</v>
      </c>
      <c r="L5" s="0" t="n">
        <v>3770</v>
      </c>
      <c r="M5" s="0" t="n">
        <v>528</v>
      </c>
      <c r="N5" s="0" t="n">
        <v>3242</v>
      </c>
      <c r="O5" s="0" t="n">
        <v>41035</v>
      </c>
      <c r="P5" s="0" t="n">
        <v>153226</v>
      </c>
      <c r="Q5" s="0" t="n">
        <v>112154</v>
      </c>
      <c r="R5" s="0" t="n">
        <v>42478</v>
      </c>
      <c r="S5" s="0" t="n">
        <v>3855</v>
      </c>
      <c r="T5" s="0" t="n">
        <v>380.924</v>
      </c>
      <c r="U5" s="0" t="n">
        <v>180</v>
      </c>
      <c r="V5" s="0" t="n">
        <v>0.04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153566</v>
      </c>
      <c r="C6" s="0" t="n">
        <v>97668</v>
      </c>
      <c r="F6" s="0" t="n">
        <v>8077</v>
      </c>
      <c r="G6" s="0" t="n">
        <v>5.25962778219137</v>
      </c>
      <c r="H6" s="0" t="n">
        <v>11728</v>
      </c>
      <c r="I6" s="0" t="n">
        <v>5120</v>
      </c>
      <c r="J6" s="0" t="n">
        <v>3.33407134391727</v>
      </c>
      <c r="K6" s="0" t="n">
        <v>13.58</v>
      </c>
      <c r="L6" s="0" t="n">
        <v>9485</v>
      </c>
      <c r="M6" s="0" t="n">
        <v>1050</v>
      </c>
      <c r="N6" s="0" t="n">
        <v>8435</v>
      </c>
      <c r="O6" s="0" t="n">
        <v>45344</v>
      </c>
      <c r="P6" s="0" t="n">
        <v>155774</v>
      </c>
      <c r="Q6" s="0" t="n">
        <v>110395</v>
      </c>
      <c r="R6" s="0" t="n">
        <v>37407</v>
      </c>
      <c r="S6" s="0" t="n">
        <v>4619</v>
      </c>
      <c r="T6" s="0" t="n">
        <v>372.531</v>
      </c>
      <c r="U6" s="0" t="n">
        <v>299</v>
      </c>
      <c r="V6" s="0" t="n">
        <v>0.04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160401</v>
      </c>
      <c r="C7" s="0" t="n">
        <v>103484</v>
      </c>
      <c r="F7" s="0" t="n">
        <v>8153</v>
      </c>
      <c r="G7" s="0" t="n">
        <v>5.08288601692009</v>
      </c>
      <c r="H7" s="0" t="n">
        <v>10955</v>
      </c>
      <c r="I7" s="0" t="n">
        <v>8489</v>
      </c>
      <c r="J7" s="0" t="n">
        <v>5.29236102019314</v>
      </c>
      <c r="K7" s="0" t="n">
        <v>23.17</v>
      </c>
      <c r="L7" s="0" t="n">
        <v>10350</v>
      </c>
      <c r="O7" s="0" t="n">
        <v>50189</v>
      </c>
      <c r="P7" s="0" t="n">
        <v>155451</v>
      </c>
      <c r="Q7" s="0" t="n">
        <v>105065</v>
      </c>
      <c r="R7" s="0" t="n">
        <v>32919</v>
      </c>
      <c r="S7" s="0" t="n">
        <v>10182</v>
      </c>
      <c r="T7" s="0" t="n">
        <v>354.771</v>
      </c>
      <c r="U7" s="0" t="n">
        <v>289</v>
      </c>
      <c r="V7" s="0" t="n">
        <v>0.04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174069</v>
      </c>
      <c r="C8" s="0" t="n">
        <v>117553</v>
      </c>
      <c r="F8" s="0" t="n">
        <v>7941</v>
      </c>
      <c r="G8" s="0" t="n">
        <v>4.5619840408114</v>
      </c>
      <c r="H8" s="0" t="n">
        <v>10864</v>
      </c>
      <c r="I8" s="0" t="n">
        <v>5420</v>
      </c>
      <c r="J8" s="0" t="n">
        <v>3.113707782546</v>
      </c>
      <c r="K8" s="0" t="n">
        <v>15.89</v>
      </c>
      <c r="L8" s="0" t="n">
        <v>7191</v>
      </c>
      <c r="O8" s="0" t="n">
        <v>46976</v>
      </c>
      <c r="P8" s="0" t="n">
        <v>154889</v>
      </c>
      <c r="Q8" s="0" t="n">
        <v>107705</v>
      </c>
      <c r="R8" s="0" t="n">
        <v>33670</v>
      </c>
      <c r="S8" s="0" t="n">
        <v>5081</v>
      </c>
      <c r="T8" s="0" t="n">
        <v>322.948</v>
      </c>
      <c r="U8" s="0" t="n">
        <v>268</v>
      </c>
      <c r="V8" s="0" t="n">
        <v>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180518</v>
      </c>
      <c r="C9" s="0" t="n">
        <v>124834</v>
      </c>
      <c r="F9" s="0" t="n">
        <v>8450</v>
      </c>
      <c r="G9" s="0" t="n">
        <v>4.68097364251764</v>
      </c>
      <c r="H9" s="0" t="n">
        <v>11387</v>
      </c>
      <c r="I9" s="0" t="n">
        <v>6782</v>
      </c>
      <c r="J9" s="0" t="n">
        <v>3.756966064326</v>
      </c>
      <c r="K9" s="0" t="n">
        <v>21.66</v>
      </c>
      <c r="L9" s="0" t="n">
        <v>8656</v>
      </c>
      <c r="O9" s="0" t="n">
        <v>44688</v>
      </c>
      <c r="P9" s="0" t="n">
        <v>143885</v>
      </c>
      <c r="Q9" s="0" t="n">
        <v>99131</v>
      </c>
      <c r="R9" s="0" t="n">
        <v>31093</v>
      </c>
      <c r="S9" s="0" t="n">
        <v>5924</v>
      </c>
      <c r="T9" s="0" t="n">
        <v>298.676</v>
      </c>
      <c r="U9" s="0" t="n">
        <v>264</v>
      </c>
      <c r="V9" s="0" t="n">
        <v>4.48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195265</v>
      </c>
      <c r="C10" s="0" t="n">
        <v>133801</v>
      </c>
      <c r="F10" s="0" t="n">
        <v>8536</v>
      </c>
      <c r="G10" s="0" t="n">
        <v>4.3714951476199</v>
      </c>
      <c r="H10" s="0" t="n">
        <v>11571</v>
      </c>
      <c r="I10" s="0" t="n">
        <v>5372</v>
      </c>
      <c r="J10" s="0" t="n">
        <v>2.75113307556398</v>
      </c>
      <c r="K10" s="0" t="n">
        <v>17.57</v>
      </c>
      <c r="L10" s="0" t="n">
        <v>11813</v>
      </c>
      <c r="O10" s="0" t="n">
        <v>46244</v>
      </c>
      <c r="P10" s="0" t="n">
        <v>152761</v>
      </c>
      <c r="Q10" s="0" t="n">
        <v>106410</v>
      </c>
      <c r="R10" s="0" t="n">
        <v>30930</v>
      </c>
      <c r="S10" s="0" t="n">
        <v>7822</v>
      </c>
      <c r="T10" s="0" t="n">
        <v>296.882</v>
      </c>
      <c r="U10" s="0" t="n">
        <v>286</v>
      </c>
      <c r="V10" s="0" t="n">
        <v>4.92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247121</v>
      </c>
      <c r="C11" s="0" t="n">
        <v>182509</v>
      </c>
      <c r="F11" s="0" t="n">
        <v>9417</v>
      </c>
      <c r="G11" s="0" t="n">
        <v>3.81068383504437</v>
      </c>
      <c r="H11" s="0" t="n">
        <v>12192</v>
      </c>
      <c r="I11" s="0" t="n">
        <v>3778</v>
      </c>
      <c r="J11" s="0" t="n">
        <v>1.52880572674924</v>
      </c>
      <c r="K11" s="0" t="n">
        <v>12.25</v>
      </c>
      <c r="L11" s="0" t="n">
        <v>10363</v>
      </c>
      <c r="O11" s="0" t="n">
        <v>41243</v>
      </c>
      <c r="P11" s="0" t="n">
        <v>155881</v>
      </c>
      <c r="Q11" s="0" t="n">
        <v>114638</v>
      </c>
      <c r="R11" s="0" t="n">
        <v>31972</v>
      </c>
      <c r="S11" s="0" t="n">
        <v>7550</v>
      </c>
      <c r="T11" s="0" t="n">
        <v>283.218</v>
      </c>
      <c r="U11" s="0" t="n">
        <v>308</v>
      </c>
      <c r="V11" s="0" t="n">
        <v>5.6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274900</v>
      </c>
      <c r="C12" s="0" t="n">
        <v>214991</v>
      </c>
      <c r="F12" s="0" t="n">
        <v>9200</v>
      </c>
      <c r="G12" s="0" t="n">
        <v>3.34667151691524</v>
      </c>
      <c r="H12" s="0" t="n">
        <v>11975</v>
      </c>
      <c r="I12" s="0" t="n">
        <v>6288</v>
      </c>
      <c r="J12" s="0" t="n">
        <v>2.28737722808294</v>
      </c>
      <c r="K12" s="0" t="n">
        <v>22.33</v>
      </c>
      <c r="L12" s="0" t="n">
        <v>9601</v>
      </c>
      <c r="O12" s="0" t="n">
        <v>41874</v>
      </c>
      <c r="P12" s="0" t="n">
        <v>157919</v>
      </c>
      <c r="Q12" s="0" t="n">
        <v>116045</v>
      </c>
      <c r="R12" s="0" t="n">
        <v>31463</v>
      </c>
      <c r="S12" s="0" t="n">
        <v>7676</v>
      </c>
      <c r="T12" s="0" t="n">
        <v>268.563</v>
      </c>
      <c r="U12" s="0" t="n">
        <v>291</v>
      </c>
      <c r="V12" s="0" t="n">
        <v>6.04</v>
      </c>
      <c r="AA12" s="0" t="s">
        <v>17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272.01</v>
      </c>
    </row>
    <row r="3" customFormat="false" ht="15" hidden="false" customHeight="false" outlineLevel="0" collapsed="false">
      <c r="A3" s="0" t="s">
        <v>77</v>
      </c>
      <c r="B3" s="3" t="n">
        <v>264</v>
      </c>
    </row>
    <row r="4" customFormat="false" ht="15" hidden="false" customHeight="false" outlineLevel="0" collapsed="false">
      <c r="A4" s="0" t="s">
        <v>78</v>
      </c>
      <c r="B4" s="3" t="n">
        <v>25580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274900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5</v>
      </c>
      <c r="D13" s="3" t="n">
        <v>3</v>
      </c>
      <c r="E13" s="3" t="n">
        <v>0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4.3</v>
      </c>
      <c r="D14" s="3" t="n">
        <v>4</v>
      </c>
      <c r="E14" s="3" t="n">
        <v>3.5</v>
      </c>
      <c r="F14" s="3" t="n">
        <v>3.3</v>
      </c>
      <c r="G14" s="3" t="n">
        <v>3.2</v>
      </c>
      <c r="H14" s="3" t="n">
        <v>3.2</v>
      </c>
      <c r="I14" s="3" t="n">
        <v>3.2</v>
      </c>
      <c r="J14" s="3" t="n">
        <v>3.2</v>
      </c>
      <c r="K14" s="3" t="n">
        <v>3.2</v>
      </c>
      <c r="L14" s="3" t="n">
        <v>3.2</v>
      </c>
    </row>
    <row r="15" customFormat="false" ht="15" hidden="false" customHeight="false" outlineLevel="0" collapsed="false">
      <c r="A15" s="0" t="s">
        <v>99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0.36</v>
      </c>
      <c r="D17" s="3" t="n">
        <v>0.36</v>
      </c>
      <c r="E17" s="3" t="n">
        <v>0.36</v>
      </c>
      <c r="F17" s="3" t="n">
        <v>0.36</v>
      </c>
      <c r="G17" s="3" t="n">
        <v>0.36</v>
      </c>
      <c r="H17" s="3" t="n">
        <v>0.36</v>
      </c>
      <c r="I17" s="3" t="n">
        <v>0.36</v>
      </c>
      <c r="J17" s="3" t="n">
        <v>0.36</v>
      </c>
      <c r="K17" s="3" t="n">
        <v>0.36</v>
      </c>
      <c r="L17" s="3" t="n">
        <v>0.36</v>
      </c>
    </row>
    <row r="18" customFormat="false" ht="15" hidden="false" customHeight="false" outlineLevel="0" collapsed="false">
      <c r="A18" s="0" t="s">
        <v>102</v>
      </c>
      <c r="C18" s="3" t="n">
        <v>0.46</v>
      </c>
      <c r="D18" s="3" t="n">
        <v>0.46</v>
      </c>
      <c r="E18" s="3" t="n">
        <v>0.46</v>
      </c>
      <c r="F18" s="3" t="n">
        <v>0.46</v>
      </c>
      <c r="G18" s="3" t="n">
        <v>0.46</v>
      </c>
      <c r="H18" s="3" t="n">
        <v>0.46</v>
      </c>
      <c r="I18" s="3" t="n">
        <v>0.46</v>
      </c>
      <c r="J18" s="3" t="n">
        <v>0.46</v>
      </c>
      <c r="K18" s="3" t="n">
        <v>0.46</v>
      </c>
      <c r="L18" s="3" t="n">
        <v>0.46</v>
      </c>
    </row>
    <row r="19" customFormat="false" ht="15" hidden="false" customHeight="false" outlineLevel="0" collapsed="false">
      <c r="A19" s="0" t="s">
        <v>103</v>
      </c>
      <c r="C19" s="3" t="n">
        <v>21</v>
      </c>
      <c r="D19" s="3" t="n">
        <v>21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104</v>
      </c>
      <c r="B20" s="3" t="n">
        <v>7.5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11</v>
      </c>
    </row>
    <row r="23" customFormat="false" ht="15" hidden="false" customHeight="false" outlineLevel="0" collapsed="false">
      <c r="A23" s="0" t="s">
        <v>107</v>
      </c>
      <c r="B23" s="3" t="n">
        <v>-1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5.5</v>
      </c>
      <c r="D27" s="3" t="n">
        <v>5</v>
      </c>
      <c r="E27" s="3" t="n">
        <v>3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4.37</v>
      </c>
      <c r="D28" s="3" t="n">
        <v>4.3</v>
      </c>
      <c r="E28" s="3" t="n">
        <v>4.1</v>
      </c>
      <c r="F28" s="3" t="n">
        <v>4</v>
      </c>
      <c r="G28" s="3" t="n">
        <v>4</v>
      </c>
      <c r="H28" s="3" t="n">
        <v>4</v>
      </c>
      <c r="I28" s="3" t="n">
        <v>4</v>
      </c>
      <c r="J28" s="3" t="n">
        <v>4</v>
      </c>
      <c r="K28" s="3" t="n">
        <v>4</v>
      </c>
      <c r="L28" s="3" t="n">
        <v>4</v>
      </c>
    </row>
    <row r="29" customFormat="false" ht="15" hidden="false" customHeight="false" outlineLevel="0" collapsed="false">
      <c r="A29" s="0" t="s">
        <v>99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0.36</v>
      </c>
      <c r="D31" s="3" t="n">
        <v>0.36</v>
      </c>
      <c r="E31" s="3" t="n">
        <v>0.36</v>
      </c>
      <c r="F31" s="3" t="n">
        <v>0.36</v>
      </c>
      <c r="G31" s="3" t="n">
        <v>0.36</v>
      </c>
      <c r="H31" s="3" t="n">
        <v>0.36</v>
      </c>
      <c r="I31" s="3" t="n">
        <v>0.36</v>
      </c>
      <c r="J31" s="3" t="n">
        <v>0.36</v>
      </c>
      <c r="K31" s="3" t="n">
        <v>0.36</v>
      </c>
      <c r="L31" s="3" t="n">
        <v>0.36</v>
      </c>
    </row>
    <row r="32" customFormat="false" ht="15" hidden="false" customHeight="false" outlineLevel="0" collapsed="false">
      <c r="A32" s="0" t="s">
        <v>102</v>
      </c>
      <c r="C32" s="3" t="n">
        <v>0.46</v>
      </c>
      <c r="D32" s="3" t="n">
        <v>0.46</v>
      </c>
      <c r="E32" s="3" t="n">
        <v>0.46</v>
      </c>
      <c r="F32" s="3" t="n">
        <v>0.46</v>
      </c>
      <c r="G32" s="3" t="n">
        <v>0.46</v>
      </c>
      <c r="H32" s="3" t="n">
        <v>0.46</v>
      </c>
      <c r="I32" s="3" t="n">
        <v>0.46</v>
      </c>
      <c r="J32" s="3" t="n">
        <v>0.46</v>
      </c>
      <c r="K32" s="3" t="n">
        <v>0.46</v>
      </c>
      <c r="L32" s="3" t="n">
        <v>0.46</v>
      </c>
    </row>
    <row r="33" customFormat="false" ht="15" hidden="false" customHeight="false" outlineLevel="0" collapsed="false">
      <c r="A33" s="0" t="s">
        <v>103</v>
      </c>
      <c r="C33" s="3" t="n">
        <v>21</v>
      </c>
      <c r="D33" s="3" t="n">
        <v>21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104</v>
      </c>
      <c r="B34" s="3" t="n">
        <v>7.5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14</v>
      </c>
    </row>
    <row r="37" customFormat="false" ht="15" hidden="false" customHeight="false" outlineLevel="0" collapsed="false">
      <c r="A37" s="0" t="s">
        <v>107</v>
      </c>
      <c r="B37" s="3" t="n">
        <v>-1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6</v>
      </c>
      <c r="D41" s="3" t="n">
        <v>6.5</v>
      </c>
      <c r="E41" s="3" t="n">
        <v>5.5</v>
      </c>
      <c r="F41" s="3" t="n">
        <v>6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98</v>
      </c>
      <c r="C42" s="3" t="n">
        <v>4.4</v>
      </c>
      <c r="D42" s="3" t="n">
        <v>4.4</v>
      </c>
      <c r="E42" s="3" t="n">
        <v>4.35</v>
      </c>
      <c r="F42" s="3" t="n">
        <v>4.4</v>
      </c>
      <c r="G42" s="3" t="n">
        <v>4.45</v>
      </c>
      <c r="H42" s="3" t="n">
        <v>4.5</v>
      </c>
      <c r="I42" s="3" t="n">
        <v>4.5</v>
      </c>
      <c r="J42" s="3" t="n">
        <v>4.5</v>
      </c>
      <c r="K42" s="3" t="n">
        <v>4.5</v>
      </c>
      <c r="L42" s="3" t="n">
        <v>4.5</v>
      </c>
    </row>
    <row r="43" customFormat="false" ht="15" hidden="false" customHeight="false" outlineLevel="0" collapsed="false">
      <c r="A43" s="0" t="s">
        <v>99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0.36</v>
      </c>
      <c r="D45" s="3" t="n">
        <v>0.36</v>
      </c>
      <c r="E45" s="3" t="n">
        <v>0.36</v>
      </c>
      <c r="F45" s="3" t="n">
        <v>0.36</v>
      </c>
      <c r="G45" s="3" t="n">
        <v>0.36</v>
      </c>
      <c r="H45" s="3" t="n">
        <v>0.36</v>
      </c>
      <c r="I45" s="3" t="n">
        <v>0.36</v>
      </c>
      <c r="J45" s="3" t="n">
        <v>0.36</v>
      </c>
      <c r="K45" s="3" t="n">
        <v>0.36</v>
      </c>
      <c r="L45" s="3" t="n">
        <v>0.36</v>
      </c>
    </row>
    <row r="46" customFormat="false" ht="15" hidden="false" customHeight="false" outlineLevel="0" collapsed="false">
      <c r="A46" s="0" t="s">
        <v>102</v>
      </c>
      <c r="C46" s="3" t="n">
        <v>0.46</v>
      </c>
      <c r="D46" s="3" t="n">
        <v>0.46</v>
      </c>
      <c r="E46" s="3" t="n">
        <v>0.46</v>
      </c>
      <c r="F46" s="3" t="n">
        <v>0.46</v>
      </c>
      <c r="G46" s="3" t="n">
        <v>0.46</v>
      </c>
      <c r="H46" s="3" t="n">
        <v>0.46</v>
      </c>
      <c r="I46" s="3" t="n">
        <v>0.46</v>
      </c>
      <c r="J46" s="3" t="n">
        <v>0.46</v>
      </c>
      <c r="K46" s="3" t="n">
        <v>0.46</v>
      </c>
      <c r="L46" s="3" t="n">
        <v>0.46</v>
      </c>
    </row>
    <row r="47" customFormat="false" ht="15" hidden="false" customHeight="false" outlineLevel="0" collapsed="false">
      <c r="A47" s="0" t="s">
        <v>103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104</v>
      </c>
      <c r="B48" s="3" t="n">
        <v>7.5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-1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5</v>
      </c>
      <c r="D5" s="4" t="n">
        <f aca="false">Assumptions!D13</f>
        <v>3</v>
      </c>
      <c r="E5" s="4" t="n">
        <f aca="false">Assumptions!E13</f>
        <v>0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274900</v>
      </c>
      <c r="C6" s="0" t="n">
        <f aca="false">B6*(1+C5/100)</f>
        <v>288645</v>
      </c>
      <c r="D6" s="0" t="n">
        <f aca="false">C6*(1+D5/100)</f>
        <v>297304.35</v>
      </c>
      <c r="E6" s="0" t="n">
        <f aca="false">D6*(1+E5/100)</f>
        <v>297304.35</v>
      </c>
      <c r="F6" s="0" t="n">
        <f aca="false">E6*(1+F5/100)</f>
        <v>304736.95875</v>
      </c>
      <c r="G6" s="0" t="n">
        <f aca="false">F6*(1+G5/100)</f>
        <v>312355.38271875</v>
      </c>
      <c r="H6" s="0" t="n">
        <f aca="false">G6*(1+H5/100)</f>
        <v>320164.267286719</v>
      </c>
      <c r="I6" s="0" t="n">
        <f aca="false">H6*(1+I5/100)</f>
        <v>328168.373968887</v>
      </c>
      <c r="J6" s="0" t="n">
        <f aca="false">I6*(1+J5/100)</f>
        <v>336372.583318109</v>
      </c>
      <c r="K6" s="0" t="n">
        <f aca="false">J6*(1+K5/100)</f>
        <v>343100.034984471</v>
      </c>
      <c r="L6" s="0" t="n">
        <f aca="false">K6*(1+L5/100)</f>
        <v>349962.03568416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4.3</v>
      </c>
      <c r="D7" s="4" t="n">
        <f aca="false">Assumptions!D14</f>
        <v>4</v>
      </c>
      <c r="E7" s="4" t="n">
        <f aca="false">Assumptions!E14</f>
        <v>3.5</v>
      </c>
      <c r="F7" s="4" t="n">
        <f aca="false">Assumptions!F14</f>
        <v>3.3</v>
      </c>
      <c r="G7" s="4" t="n">
        <f aca="false">Assumptions!G14</f>
        <v>3.2</v>
      </c>
      <c r="H7" s="4" t="n">
        <f aca="false">Assumptions!H14</f>
        <v>3.2</v>
      </c>
      <c r="I7" s="4" t="n">
        <f aca="false">Assumptions!I14</f>
        <v>3.2</v>
      </c>
      <c r="J7" s="4" t="n">
        <f aca="false">Assumptions!J14</f>
        <v>3.2</v>
      </c>
      <c r="K7" s="4" t="n">
        <f aca="false">Assumptions!K14</f>
        <v>3.2</v>
      </c>
      <c r="L7" s="4" t="n">
        <f aca="false">Assumptions!L14</f>
        <v>3.2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12411.735</v>
      </c>
      <c r="D8" s="0" t="n">
        <f aca="false">D6*D7/100</f>
        <v>11892.174</v>
      </c>
      <c r="E8" s="0" t="n">
        <f aca="false">E6*E7/100</f>
        <v>10405.65225</v>
      </c>
      <c r="F8" s="0" t="n">
        <f aca="false">F6*F7/100</f>
        <v>10056.31963875</v>
      </c>
      <c r="G8" s="0" t="n">
        <f aca="false">G6*G7/100</f>
        <v>9995.372247</v>
      </c>
      <c r="H8" s="0" t="n">
        <f aca="false">H6*H7/100</f>
        <v>10245.256553175</v>
      </c>
      <c r="I8" s="0" t="n">
        <f aca="false">I6*I7/100</f>
        <v>10501.3879670044</v>
      </c>
      <c r="J8" s="0" t="n">
        <f aca="false">J6*J7/100</f>
        <v>10763.9226661795</v>
      </c>
      <c r="K8" s="0" t="n">
        <f aca="false">K6*K7/100</f>
        <v>10979.2011195031</v>
      </c>
      <c r="L8" s="0" t="n">
        <f aca="false">L6*L7/100</f>
        <v>11198.7851418931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-288.645</v>
      </c>
      <c r="D10" s="0" t="n">
        <f aca="false">-D6*D9/100</f>
        <v>-297.30435</v>
      </c>
      <c r="E10" s="0" t="n">
        <f aca="false">-E6*E9/100</f>
        <v>-297.30435</v>
      </c>
      <c r="F10" s="0" t="n">
        <f aca="false">-F6*F9/100</f>
        <v>-304.73695875</v>
      </c>
      <c r="G10" s="0" t="n">
        <f aca="false">-G6*G9/100</f>
        <v>-312.35538271875</v>
      </c>
      <c r="H10" s="0" t="n">
        <f aca="false">-H6*H9/100</f>
        <v>-320.164267286719</v>
      </c>
      <c r="I10" s="0" t="n">
        <f aca="false">-I6*I9/100</f>
        <v>-328.168373968887</v>
      </c>
      <c r="J10" s="0" t="n">
        <f aca="false">-J6*J9/100</f>
        <v>-336.372583318109</v>
      </c>
      <c r="K10" s="0" t="n">
        <f aca="false">-K6*K9/100</f>
        <v>-343.100034984471</v>
      </c>
      <c r="L10" s="0" t="n">
        <f aca="false">-L6*L9/100</f>
        <v>-349.96203568416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12123.09</v>
      </c>
      <c r="D11" s="0" t="n">
        <f aca="false">D8+D10+D24</f>
        <v>11594.86965</v>
      </c>
      <c r="E11" s="0" t="n">
        <f aca="false">E8+E10+E24</f>
        <v>10108.3479</v>
      </c>
      <c r="F11" s="0" t="n">
        <f aca="false">F8+F10+F24</f>
        <v>9751.58268</v>
      </c>
      <c r="G11" s="0" t="n">
        <f aca="false">G8+G10+G24</f>
        <v>9683.01686428125</v>
      </c>
      <c r="H11" s="0" t="n">
        <f aca="false">H8+H10+H24</f>
        <v>9925.09228588828</v>
      </c>
      <c r="I11" s="0" t="n">
        <f aca="false">I8+I10+I24</f>
        <v>10173.2195930355</v>
      </c>
      <c r="J11" s="0" t="n">
        <f aca="false">J8+J10+J24</f>
        <v>10427.5500828614</v>
      </c>
      <c r="K11" s="0" t="n">
        <f aca="false">K8+K10+K24</f>
        <v>10636.1010845186</v>
      </c>
      <c r="L11" s="0" t="n">
        <f aca="false">L8+L10+L24</f>
        <v>10848.823106209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-1039.122</v>
      </c>
      <c r="D12" s="4" t="n">
        <f aca="false">-D6*Assumptions!D17/100</f>
        <v>-1070.29566</v>
      </c>
      <c r="E12" s="4" t="n">
        <f aca="false">-E6*Assumptions!E17/100</f>
        <v>-1070.29566</v>
      </c>
      <c r="F12" s="4" t="n">
        <f aca="false">-F6*Assumptions!F17/100</f>
        <v>-1097.0530515</v>
      </c>
      <c r="G12" s="4" t="n">
        <f aca="false">-G6*Assumptions!G17/100</f>
        <v>-1124.4793777875</v>
      </c>
      <c r="H12" s="4" t="n">
        <f aca="false">-H6*Assumptions!H17/100</f>
        <v>-1152.59136223219</v>
      </c>
      <c r="I12" s="4" t="n">
        <f aca="false">-I6*Assumptions!I17/100</f>
        <v>-1181.40614628799</v>
      </c>
      <c r="J12" s="4" t="n">
        <f aca="false">-J6*Assumptions!J17/100</f>
        <v>-1210.94129994519</v>
      </c>
      <c r="K12" s="4" t="n">
        <f aca="false">-K6*Assumptions!K17/100</f>
        <v>-1235.1601259441</v>
      </c>
      <c r="L12" s="4" t="n">
        <f aca="false">-L6*Assumptions!L17/100</f>
        <v>-1259.86332846298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11083.968</v>
      </c>
      <c r="D13" s="0" t="n">
        <f aca="false">D11+D12</f>
        <v>10524.57399</v>
      </c>
      <c r="E13" s="0" t="n">
        <f aca="false">E11+E12</f>
        <v>9038.05224</v>
      </c>
      <c r="F13" s="0" t="n">
        <f aca="false">F11+F12</f>
        <v>8654.5296285</v>
      </c>
      <c r="G13" s="0" t="n">
        <f aca="false">G11+G12</f>
        <v>8558.53748649375</v>
      </c>
      <c r="H13" s="0" t="n">
        <f aca="false">H11+H12</f>
        <v>8772.50092365609</v>
      </c>
      <c r="I13" s="0" t="n">
        <f aca="false">I11+I12</f>
        <v>8991.8134467475</v>
      </c>
      <c r="J13" s="0" t="n">
        <f aca="false">J11+J12</f>
        <v>9216.60878291618</v>
      </c>
      <c r="K13" s="0" t="n">
        <f aca="false">K11+K12</f>
        <v>9400.9409585745</v>
      </c>
      <c r="L13" s="0" t="n">
        <f aca="false">L11+L12</f>
        <v>9588.95977774599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8756.33472</v>
      </c>
      <c r="D15" s="0" t="n">
        <f aca="false">D13-MAX(0,D13)*D14/100</f>
        <v>8314.4134521</v>
      </c>
      <c r="E15" s="0" t="n">
        <f aca="false">E13-MAX(0,E13)*E14/100</f>
        <v>7140.0612696</v>
      </c>
      <c r="F15" s="0" t="n">
        <f aca="false">F13-MAX(0,F13)*F14/100</f>
        <v>6837.078406515</v>
      </c>
      <c r="G15" s="0" t="n">
        <f aca="false">G13-MAX(0,G13)*G14/100</f>
        <v>6761.24461433006</v>
      </c>
      <c r="H15" s="0" t="n">
        <f aca="false">H13-MAX(0,H13)*H14/100</f>
        <v>6930.27572968831</v>
      </c>
      <c r="I15" s="0" t="n">
        <f aca="false">I13-MAX(0,I13)*I14/100</f>
        <v>7103.53262293052</v>
      </c>
      <c r="J15" s="0" t="n">
        <f aca="false">J13-MAX(0,J13)*J14/100</f>
        <v>7281.12093850378</v>
      </c>
      <c r="K15" s="0" t="n">
        <f aca="false">K13-MAX(0,K13)*K14/100</f>
        <v>7426.74335727386</v>
      </c>
      <c r="L15" s="0" t="n">
        <f aca="false">L13-MAX(0,L13)*L14/100</f>
        <v>7575.27822441934</v>
      </c>
    </row>
    <row r="16" customFormat="false" ht="15" hidden="false" customHeight="false" outlineLevel="0" collapsed="false">
      <c r="A16" s="0" t="s">
        <v>119</v>
      </c>
      <c r="C16" s="0" t="n">
        <f aca="false">-C12</f>
        <v>1039.122</v>
      </c>
      <c r="D16" s="0" t="n">
        <f aca="false">-D12</f>
        <v>1070.29566</v>
      </c>
      <c r="E16" s="0" t="n">
        <f aca="false">-E12</f>
        <v>1070.29566</v>
      </c>
      <c r="F16" s="0" t="n">
        <f aca="false">-F12</f>
        <v>1097.0530515</v>
      </c>
      <c r="G16" s="0" t="n">
        <f aca="false">-G12</f>
        <v>1124.4793777875</v>
      </c>
      <c r="H16" s="0" t="n">
        <f aca="false">-H12</f>
        <v>1152.59136223219</v>
      </c>
      <c r="I16" s="0" t="n">
        <f aca="false">-I12</f>
        <v>1181.40614628799</v>
      </c>
      <c r="J16" s="0" t="n">
        <f aca="false">-J12</f>
        <v>1210.94129994519</v>
      </c>
      <c r="K16" s="0" t="n">
        <f aca="false">-K12</f>
        <v>1235.1601259441</v>
      </c>
      <c r="L16" s="0" t="n">
        <f aca="false">-L12</f>
        <v>1259.86332846298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-1327.767</v>
      </c>
      <c r="D17" s="4" t="n">
        <f aca="false">-D6*Assumptions!D18/100</f>
        <v>-1367.60001</v>
      </c>
      <c r="E17" s="4" t="n">
        <f aca="false">-E6*Assumptions!E18/100</f>
        <v>-1367.60001</v>
      </c>
      <c r="F17" s="4" t="n">
        <f aca="false">-F6*Assumptions!F18/100</f>
        <v>-1401.79001025</v>
      </c>
      <c r="G17" s="4" t="n">
        <f aca="false">-G6*Assumptions!G18/100</f>
        <v>-1436.83476050625</v>
      </c>
      <c r="H17" s="4" t="n">
        <f aca="false">-H6*Assumptions!H18/100</f>
        <v>-1472.75562951891</v>
      </c>
      <c r="I17" s="4" t="n">
        <f aca="false">-I6*Assumptions!I18/100</f>
        <v>-1509.57452025688</v>
      </c>
      <c r="J17" s="4" t="n">
        <f aca="false">-J6*Assumptions!J18/100</f>
        <v>-1547.3138832633</v>
      </c>
      <c r="K17" s="4" t="n">
        <f aca="false">-K6*Assumptions!K18/100</f>
        <v>-1578.26016092857</v>
      </c>
      <c r="L17" s="4" t="n">
        <f aca="false">-L6*Assumptions!L18/100</f>
        <v>-1609.82536414714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-137.45</v>
      </c>
      <c r="D18" s="4" t="n">
        <f aca="false">(D6-C6)*Assumptions!$B$23/100</f>
        <v>-86.5935000000004</v>
      </c>
      <c r="E18" s="4" t="n">
        <f aca="false">(E6-D6)*Assumptions!$B$23/100</f>
        <v>-0</v>
      </c>
      <c r="F18" s="4" t="n">
        <f aca="false">(F6-E6)*Assumptions!$B$23/100</f>
        <v>-74.3260874999996</v>
      </c>
      <c r="G18" s="4" t="n">
        <f aca="false">(G6-F6)*Assumptions!$B$23/100</f>
        <v>-76.1842396874999</v>
      </c>
      <c r="H18" s="4" t="n">
        <f aca="false">(H6-G6)*Assumptions!$B$23/100</f>
        <v>-78.0888456796872</v>
      </c>
      <c r="I18" s="4" t="n">
        <f aca="false">(I6-H6)*Assumptions!$B$23/100</f>
        <v>-80.0410668216791</v>
      </c>
      <c r="J18" s="4" t="n">
        <f aca="false">(J6-I6)*Assumptions!$B$23/100</f>
        <v>-82.0420934922213</v>
      </c>
      <c r="K18" s="4" t="n">
        <f aca="false">(K6-J6)*Assumptions!$B$23/100</f>
        <v>-67.2745166636218</v>
      </c>
      <c r="L18" s="4" t="n">
        <f aca="false">(L6-K6)*Assumptions!$B$23/100</f>
        <v>-68.6200069968944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8330.23972</v>
      </c>
      <c r="D19" s="0" t="n">
        <f aca="false">D15+D16+D17+D18</f>
        <v>7930.5156021</v>
      </c>
      <c r="E19" s="0" t="n">
        <f aca="false">E15+E16+E17+E18</f>
        <v>6842.7569196</v>
      </c>
      <c r="F19" s="0" t="n">
        <f aca="false">F15+F16+F17+F18</f>
        <v>6458.015360265</v>
      </c>
      <c r="G19" s="0" t="n">
        <f aca="false">G15+G16+G17+G18</f>
        <v>6372.70499192381</v>
      </c>
      <c r="H19" s="0" t="n">
        <f aca="false">H15+H16+H17+H18</f>
        <v>6532.02261672191</v>
      </c>
      <c r="I19" s="0" t="n">
        <f aca="false">I15+I16+I17+I18</f>
        <v>6695.32318213996</v>
      </c>
      <c r="J19" s="0" t="n">
        <f aca="false">J15+J16+J17+J18</f>
        <v>6862.70626169345</v>
      </c>
      <c r="K19" s="0" t="n">
        <f aca="false">K15+K16+K17+K18</f>
        <v>7016.36880562577</v>
      </c>
      <c r="L19" s="0" t="n">
        <f aca="false">L15+L16+L17+L18</f>
        <v>7156.69618173828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7749.06020465116</v>
      </c>
      <c r="D21" s="0" t="n">
        <f aca="false">D19*D20</f>
        <v>6862.53378223905</v>
      </c>
      <c r="E21" s="0" t="n">
        <f aca="false">E19*E20</f>
        <v>5508.14950701699</v>
      </c>
      <c r="F21" s="0" t="n">
        <f aca="false">F19*F20</f>
        <v>4835.7653230704</v>
      </c>
      <c r="G21" s="0" t="n">
        <f aca="false">G19*G20</f>
        <v>4438.96267354521</v>
      </c>
      <c r="H21" s="0" t="n">
        <f aca="false">H19*H20</f>
        <v>4232.49929338032</v>
      </c>
      <c r="I21" s="0" t="n">
        <f aca="false">I19*I20</f>
        <v>4035.63886113007</v>
      </c>
      <c r="J21" s="0" t="n">
        <f aca="false">J19*J20</f>
        <v>3847.93472805425</v>
      </c>
      <c r="K21" s="0" t="n">
        <f aca="false">K19*K20</f>
        <v>3659.62200895443</v>
      </c>
      <c r="L21" s="0" t="n">
        <f aca="false">L19*L20</f>
        <v>3472.38553407769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48642.5519161196</v>
      </c>
    </row>
    <row r="31" customFormat="false" ht="15" hidden="false" customHeight="false" outlineLevel="0" collapsed="false">
      <c r="A31" s="0" t="s">
        <v>128</v>
      </c>
      <c r="B31" s="0" t="n">
        <f aca="false">L19</f>
        <v>7156.69618173828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132724.183734055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78723.6579991211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78723.6579991211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38196.2408748546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86838.7927909741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61258.7927909741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232.040881783993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-0.146939885357182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2153.47228169194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3149.00807176317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252.12603463799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56152.5392721004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91.8494722060902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5.5</v>
      </c>
      <c r="D5" s="4" t="n">
        <f aca="false">Assumptions!D27</f>
        <v>5</v>
      </c>
      <c r="E5" s="4" t="n">
        <f aca="false">Assumptions!E27</f>
        <v>3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274900</v>
      </c>
      <c r="C6" s="0" t="n">
        <f aca="false">B6*(1+C5/100)</f>
        <v>290019.5</v>
      </c>
      <c r="D6" s="0" t="n">
        <f aca="false">C6*(1+D5/100)</f>
        <v>304520.475</v>
      </c>
      <c r="E6" s="0" t="n">
        <f aca="false">D6*(1+E5/100)</f>
        <v>313656.08925</v>
      </c>
      <c r="F6" s="0" t="n">
        <f aca="false">E6*(1+F5/100)</f>
        <v>327770.61326625</v>
      </c>
      <c r="G6" s="0" t="n">
        <f aca="false">F6*(1+G5/100)</f>
        <v>342520.290863231</v>
      </c>
      <c r="H6" s="0" t="n">
        <f aca="false">G6*(1+H5/100)</f>
        <v>356221.102497761</v>
      </c>
      <c r="I6" s="0" t="n">
        <f aca="false">H6*(1+I5/100)</f>
        <v>370469.946597671</v>
      </c>
      <c r="J6" s="0" t="n">
        <f aca="false">I6*(1+J5/100)</f>
        <v>383436.394728589</v>
      </c>
      <c r="K6" s="0" t="n">
        <f aca="false">J6*(1+K5/100)</f>
        <v>394939.486570447</v>
      </c>
      <c r="L6" s="0" t="n">
        <f aca="false">K6*(1+L5/100)</f>
        <v>406787.67116756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4.37</v>
      </c>
      <c r="D7" s="4" t="n">
        <f aca="false">Assumptions!D28</f>
        <v>4.3</v>
      </c>
      <c r="E7" s="4" t="n">
        <f aca="false">Assumptions!E28</f>
        <v>4.1</v>
      </c>
      <c r="F7" s="4" t="n">
        <f aca="false">Assumptions!F28</f>
        <v>4</v>
      </c>
      <c r="G7" s="4" t="n">
        <f aca="false">Assumptions!G28</f>
        <v>4</v>
      </c>
      <c r="H7" s="4" t="n">
        <f aca="false">Assumptions!H28</f>
        <v>4</v>
      </c>
      <c r="I7" s="4" t="n">
        <f aca="false">Assumptions!I28</f>
        <v>4</v>
      </c>
      <c r="J7" s="4" t="n">
        <f aca="false">Assumptions!J28</f>
        <v>4</v>
      </c>
      <c r="K7" s="4" t="n">
        <f aca="false">Assumptions!K28</f>
        <v>4</v>
      </c>
      <c r="L7" s="4" t="n">
        <f aca="false">Assumptions!L28</f>
        <v>4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12673.85215</v>
      </c>
      <c r="D8" s="0" t="n">
        <f aca="false">D6*D7/100</f>
        <v>13094.380425</v>
      </c>
      <c r="E8" s="0" t="n">
        <f aca="false">E6*E7/100</f>
        <v>12859.89965925</v>
      </c>
      <c r="F8" s="0" t="n">
        <f aca="false">F6*F7/100</f>
        <v>13110.82453065</v>
      </c>
      <c r="G8" s="0" t="n">
        <f aca="false">G6*G7/100</f>
        <v>13700.8116345293</v>
      </c>
      <c r="H8" s="0" t="n">
        <f aca="false">H6*H7/100</f>
        <v>14248.8440999104</v>
      </c>
      <c r="I8" s="0" t="n">
        <f aca="false">I6*I7/100</f>
        <v>14818.7978639068</v>
      </c>
      <c r="J8" s="0" t="n">
        <f aca="false">J6*J7/100</f>
        <v>15337.4557891436</v>
      </c>
      <c r="K8" s="0" t="n">
        <f aca="false">K6*K7/100</f>
        <v>15797.5794628179</v>
      </c>
      <c r="L8" s="0" t="n">
        <f aca="false">L6*L7/100</f>
        <v>16271.5068467024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-290.0195</v>
      </c>
      <c r="D10" s="0" t="n">
        <f aca="false">-D6*D9/100</f>
        <v>-304.520475</v>
      </c>
      <c r="E10" s="0" t="n">
        <f aca="false">-E6*E9/100</f>
        <v>-313.65608925</v>
      </c>
      <c r="F10" s="0" t="n">
        <f aca="false">-F6*F9/100</f>
        <v>-327.77061326625</v>
      </c>
      <c r="G10" s="0" t="n">
        <f aca="false">-G6*G9/100</f>
        <v>-342.520290863231</v>
      </c>
      <c r="H10" s="0" t="n">
        <f aca="false">-H6*H9/100</f>
        <v>-356.221102497761</v>
      </c>
      <c r="I10" s="0" t="n">
        <f aca="false">-I6*I9/100</f>
        <v>-370.469946597671</v>
      </c>
      <c r="J10" s="0" t="n">
        <f aca="false">-J6*J9/100</f>
        <v>-383.436394728589</v>
      </c>
      <c r="K10" s="0" t="n">
        <f aca="false">-K6*K9/100</f>
        <v>-394.939486570447</v>
      </c>
      <c r="L10" s="0" t="n">
        <f aca="false">-L6*L9/100</f>
        <v>-406.78767116756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12383.83265</v>
      </c>
      <c r="D11" s="0" t="n">
        <f aca="false">D8+D10+D24</f>
        <v>12789.85995</v>
      </c>
      <c r="E11" s="0" t="n">
        <f aca="false">E8+E10+E24</f>
        <v>12546.24357</v>
      </c>
      <c r="F11" s="0" t="n">
        <f aca="false">F8+F10+F24</f>
        <v>12783.0539173838</v>
      </c>
      <c r="G11" s="0" t="n">
        <f aca="false">G8+G10+G24</f>
        <v>13358.291343666</v>
      </c>
      <c r="H11" s="0" t="n">
        <f aca="false">H8+H10+H24</f>
        <v>13892.6229974127</v>
      </c>
      <c r="I11" s="0" t="n">
        <f aca="false">I8+I10+I24</f>
        <v>14448.3279173092</v>
      </c>
      <c r="J11" s="0" t="n">
        <f aca="false">J8+J10+J24</f>
        <v>14954.019394415</v>
      </c>
      <c r="K11" s="0" t="n">
        <f aca="false">K8+K10+K24</f>
        <v>15402.6399762474</v>
      </c>
      <c r="L11" s="0" t="n">
        <f aca="false">L8+L10+L24</f>
        <v>15864.7191755349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-1044.0702</v>
      </c>
      <c r="D12" s="4" t="n">
        <f aca="false">-D6*Assumptions!D31/100</f>
        <v>-1096.27371</v>
      </c>
      <c r="E12" s="4" t="n">
        <f aca="false">-E6*Assumptions!E31/100</f>
        <v>-1129.1619213</v>
      </c>
      <c r="F12" s="4" t="n">
        <f aca="false">-F6*Assumptions!F31/100</f>
        <v>-1179.9742077585</v>
      </c>
      <c r="G12" s="4" t="n">
        <f aca="false">-G6*Assumptions!G31/100</f>
        <v>-1233.07304710763</v>
      </c>
      <c r="H12" s="4" t="n">
        <f aca="false">-H6*Assumptions!H31/100</f>
        <v>-1282.39596899194</v>
      </c>
      <c r="I12" s="4" t="n">
        <f aca="false">-I6*Assumptions!I31/100</f>
        <v>-1333.69180775162</v>
      </c>
      <c r="J12" s="4" t="n">
        <f aca="false">-J6*Assumptions!J31/100</f>
        <v>-1380.37102102292</v>
      </c>
      <c r="K12" s="4" t="n">
        <f aca="false">-K6*Assumptions!K31/100</f>
        <v>-1421.78215165361</v>
      </c>
      <c r="L12" s="4" t="n">
        <f aca="false">-L6*Assumptions!L31/100</f>
        <v>-1464.43561620322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11339.76245</v>
      </c>
      <c r="D13" s="0" t="n">
        <f aca="false">D11+D12</f>
        <v>11693.58624</v>
      </c>
      <c r="E13" s="0" t="n">
        <f aca="false">E11+E12</f>
        <v>11417.0816487</v>
      </c>
      <c r="F13" s="0" t="n">
        <f aca="false">F11+F12</f>
        <v>11603.0797096253</v>
      </c>
      <c r="G13" s="0" t="n">
        <f aca="false">G11+G12</f>
        <v>12125.2182965584</v>
      </c>
      <c r="H13" s="0" t="n">
        <f aca="false">H11+H12</f>
        <v>12610.2270284207</v>
      </c>
      <c r="I13" s="0" t="n">
        <f aca="false">I11+I12</f>
        <v>13114.6361095576</v>
      </c>
      <c r="J13" s="0" t="n">
        <f aca="false">J11+J12</f>
        <v>13573.6483733921</v>
      </c>
      <c r="K13" s="0" t="n">
        <f aca="false">K11+K12</f>
        <v>13980.8578245938</v>
      </c>
      <c r="L13" s="0" t="n">
        <f aca="false">L11+L12</f>
        <v>14400.2835593316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8958.4123355</v>
      </c>
      <c r="D15" s="0" t="n">
        <f aca="false">D13-MAX(0,D13)*D14/100</f>
        <v>9237.9331296</v>
      </c>
      <c r="E15" s="0" t="n">
        <f aca="false">E13-MAX(0,E13)*E14/100</f>
        <v>9019.494502473</v>
      </c>
      <c r="F15" s="0" t="n">
        <f aca="false">F13-MAX(0,F13)*F14/100</f>
        <v>9166.43297060395</v>
      </c>
      <c r="G15" s="0" t="n">
        <f aca="false">G13-MAX(0,G13)*G14/100</f>
        <v>9578.92245428112</v>
      </c>
      <c r="H15" s="0" t="n">
        <f aca="false">H13-MAX(0,H13)*H14/100</f>
        <v>9962.07935245237</v>
      </c>
      <c r="I15" s="0" t="n">
        <f aca="false">I13-MAX(0,I13)*I14/100</f>
        <v>10360.5625265505</v>
      </c>
      <c r="J15" s="0" t="n">
        <f aca="false">J13-MAX(0,J13)*J14/100</f>
        <v>10723.1822149797</v>
      </c>
      <c r="K15" s="0" t="n">
        <f aca="false">K13-MAX(0,K13)*K14/100</f>
        <v>11044.8776814291</v>
      </c>
      <c r="L15" s="0" t="n">
        <f aca="false">L13-MAX(0,L13)*L14/100</f>
        <v>11376.224011872</v>
      </c>
    </row>
    <row r="16" customFormat="false" ht="15" hidden="false" customHeight="false" outlineLevel="0" collapsed="false">
      <c r="A16" s="0" t="s">
        <v>119</v>
      </c>
      <c r="C16" s="0" t="n">
        <f aca="false">-C12</f>
        <v>1044.0702</v>
      </c>
      <c r="D16" s="0" t="n">
        <f aca="false">-D12</f>
        <v>1096.27371</v>
      </c>
      <c r="E16" s="0" t="n">
        <f aca="false">-E12</f>
        <v>1129.1619213</v>
      </c>
      <c r="F16" s="0" t="n">
        <f aca="false">-F12</f>
        <v>1179.9742077585</v>
      </c>
      <c r="G16" s="0" t="n">
        <f aca="false">-G12</f>
        <v>1233.07304710763</v>
      </c>
      <c r="H16" s="0" t="n">
        <f aca="false">-H12</f>
        <v>1282.39596899194</v>
      </c>
      <c r="I16" s="0" t="n">
        <f aca="false">-I12</f>
        <v>1333.69180775162</v>
      </c>
      <c r="J16" s="0" t="n">
        <f aca="false">-J12</f>
        <v>1380.37102102292</v>
      </c>
      <c r="K16" s="0" t="n">
        <f aca="false">-K12</f>
        <v>1421.78215165361</v>
      </c>
      <c r="L16" s="0" t="n">
        <f aca="false">-L12</f>
        <v>1464.43561620322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-1334.0897</v>
      </c>
      <c r="D17" s="4" t="n">
        <f aca="false">-D6*Assumptions!D32/100</f>
        <v>-1400.794185</v>
      </c>
      <c r="E17" s="4" t="n">
        <f aca="false">-E6*Assumptions!E32/100</f>
        <v>-1442.81801055</v>
      </c>
      <c r="F17" s="4" t="n">
        <f aca="false">-F6*Assumptions!F32/100</f>
        <v>-1507.74482102475</v>
      </c>
      <c r="G17" s="4" t="n">
        <f aca="false">-G6*Assumptions!G32/100</f>
        <v>-1575.59333797086</v>
      </c>
      <c r="H17" s="4" t="n">
        <f aca="false">-H6*Assumptions!H32/100</f>
        <v>-1638.6170714897</v>
      </c>
      <c r="I17" s="4" t="n">
        <f aca="false">-I6*Assumptions!I32/100</f>
        <v>-1704.16175434929</v>
      </c>
      <c r="J17" s="4" t="n">
        <f aca="false">-J6*Assumptions!J32/100</f>
        <v>-1763.80741575151</v>
      </c>
      <c r="K17" s="4" t="n">
        <f aca="false">-K6*Assumptions!K32/100</f>
        <v>-1816.72163822406</v>
      </c>
      <c r="L17" s="4" t="n">
        <f aca="false">-L6*Assumptions!L32/100</f>
        <v>-1871.22328737078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-151.195</v>
      </c>
      <c r="D18" s="4" t="n">
        <f aca="false">(D6-C6)*Assumptions!$B$37/100</f>
        <v>-145.00975</v>
      </c>
      <c r="E18" s="4" t="n">
        <f aca="false">(E6-D6)*Assumptions!$B$37/100</f>
        <v>-91.3561424999999</v>
      </c>
      <c r="F18" s="4" t="n">
        <f aca="false">(F6-E6)*Assumptions!$B$37/100</f>
        <v>-141.1452401625</v>
      </c>
      <c r="G18" s="4" t="n">
        <f aca="false">(G6-F6)*Assumptions!$B$37/100</f>
        <v>-147.496775969812</v>
      </c>
      <c r="H18" s="4" t="n">
        <f aca="false">(H6-G6)*Assumptions!$B$37/100</f>
        <v>-137.008116345293</v>
      </c>
      <c r="I18" s="4" t="n">
        <f aca="false">(I6-H6)*Assumptions!$B$37/100</f>
        <v>-142.488440999104</v>
      </c>
      <c r="J18" s="4" t="n">
        <f aca="false">(J6-I6)*Assumptions!$B$37/100</f>
        <v>-129.664481309184</v>
      </c>
      <c r="K18" s="4" t="n">
        <f aca="false">(K6-J6)*Assumptions!$B$37/100</f>
        <v>-115.030918418577</v>
      </c>
      <c r="L18" s="4" t="n">
        <f aca="false">(L6-K6)*Assumptions!$B$37/100</f>
        <v>-118.481845971134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8517.1978355</v>
      </c>
      <c r="D19" s="0" t="n">
        <f aca="false">D15+D16+D17+D18</f>
        <v>8788.4029046</v>
      </c>
      <c r="E19" s="0" t="n">
        <f aca="false">E15+E16+E17+E18</f>
        <v>8614.482270723</v>
      </c>
      <c r="F19" s="0" t="n">
        <f aca="false">F15+F16+F17+F18</f>
        <v>8697.5171171752</v>
      </c>
      <c r="G19" s="0" t="n">
        <f aca="false">G15+G16+G17+G18</f>
        <v>9088.90538744808</v>
      </c>
      <c r="H19" s="0" t="n">
        <f aca="false">H15+H16+H17+H18</f>
        <v>9468.85013360932</v>
      </c>
      <c r="I19" s="0" t="n">
        <f aca="false">I15+I16+I17+I18</f>
        <v>9847.60413895369</v>
      </c>
      <c r="J19" s="0" t="n">
        <f aca="false">J15+J16+J17+J18</f>
        <v>10210.081338942</v>
      </c>
      <c r="K19" s="0" t="n">
        <f aca="false">K15+K16+K17+K18</f>
        <v>10534.9072764401</v>
      </c>
      <c r="L19" s="0" t="n">
        <f aca="false">L15+L16+L17+L18</f>
        <v>10850.9544947333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7922.97473069768</v>
      </c>
      <c r="D21" s="0" t="n">
        <f aca="false">D19*D20</f>
        <v>7604.89164270416</v>
      </c>
      <c r="E21" s="0" t="n">
        <f aca="false">E19*E20</f>
        <v>6934.31855467156</v>
      </c>
      <c r="F21" s="0" t="n">
        <f aca="false">F19*F20</f>
        <v>6512.70542507988</v>
      </c>
      <c r="G21" s="0" t="n">
        <f aca="false">G19*G20</f>
        <v>6330.95550624044</v>
      </c>
      <c r="H21" s="0" t="n">
        <f aca="false">H19*H20</f>
        <v>6135.45051069314</v>
      </c>
      <c r="I21" s="0" t="n">
        <f aca="false">I19*I20</f>
        <v>5935.69165685662</v>
      </c>
      <c r="J21" s="0" t="n">
        <f aca="false">J19*J20</f>
        <v>5724.81540987283</v>
      </c>
      <c r="K21" s="0" t="n">
        <f aca="false">K19*K20</f>
        <v>5494.83352417873</v>
      </c>
      <c r="L21" s="0" t="n">
        <f aca="false">L19*L20</f>
        <v>5264.81723712008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63861.4541981151</v>
      </c>
    </row>
    <row r="31" customFormat="false" ht="15" hidden="false" customHeight="false" outlineLevel="0" collapsed="false">
      <c r="A31" s="0" t="s">
        <v>128</v>
      </c>
      <c r="B31" s="0" t="n">
        <f aca="false">L19</f>
        <v>10850.9544947333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222444.567142033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151913.362926266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151913.362926266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73707.4413196812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137568.895517796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111988.895517796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424.200361809834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0.559502819050161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2342.27674042823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4046.10361724706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448.398772255574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88977.8268568131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160.725705545569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6</v>
      </c>
      <c r="D5" s="4" t="n">
        <f aca="false">Assumptions!D41</f>
        <v>6.5</v>
      </c>
      <c r="E5" s="4" t="n">
        <f aca="false">Assumptions!E41</f>
        <v>5.5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274900</v>
      </c>
      <c r="C6" s="0" t="n">
        <f aca="false">B6*(1+C5/100)</f>
        <v>291394</v>
      </c>
      <c r="D6" s="0" t="n">
        <f aca="false">C6*(1+D5/100)</f>
        <v>310334.61</v>
      </c>
      <c r="E6" s="0" t="n">
        <f aca="false">D6*(1+E5/100)</f>
        <v>327403.01355</v>
      </c>
      <c r="F6" s="0" t="n">
        <f aca="false">E6*(1+F5/100)</f>
        <v>347047.194363</v>
      </c>
      <c r="G6" s="0" t="n">
        <f aca="false">F6*(1+G5/100)</f>
        <v>367870.02602478</v>
      </c>
      <c r="H6" s="0" t="n">
        <f aca="false">G6*(1+H5/100)</f>
        <v>388102.877456143</v>
      </c>
      <c r="I6" s="0" t="n">
        <f aca="false">H6*(1+I5/100)</f>
        <v>407508.02132895</v>
      </c>
      <c r="J6" s="0" t="n">
        <f aca="false">I6*(1+J5/100)</f>
        <v>425845.882288753</v>
      </c>
      <c r="K6" s="0" t="n">
        <f aca="false">J6*(1+K5/100)</f>
        <v>442879.717580303</v>
      </c>
      <c r="L6" s="0" t="n">
        <f aca="false">K6*(1+L5/100)</f>
        <v>458380.507695613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4.4</v>
      </c>
      <c r="D7" s="4" t="n">
        <f aca="false">Assumptions!D42</f>
        <v>4.4</v>
      </c>
      <c r="E7" s="4" t="n">
        <f aca="false">Assumptions!E42</f>
        <v>4.35</v>
      </c>
      <c r="F7" s="4" t="n">
        <f aca="false">Assumptions!F42</f>
        <v>4.4</v>
      </c>
      <c r="G7" s="4" t="n">
        <f aca="false">Assumptions!G42</f>
        <v>4.45</v>
      </c>
      <c r="H7" s="4" t="n">
        <f aca="false">Assumptions!H42</f>
        <v>4.5</v>
      </c>
      <c r="I7" s="4" t="n">
        <f aca="false">Assumptions!I42</f>
        <v>4.5</v>
      </c>
      <c r="J7" s="4" t="n">
        <f aca="false">Assumptions!J42</f>
        <v>4.5</v>
      </c>
      <c r="K7" s="4" t="n">
        <f aca="false">Assumptions!K42</f>
        <v>4.5</v>
      </c>
      <c r="L7" s="4" t="n">
        <f aca="false">Assumptions!L42</f>
        <v>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12821.336</v>
      </c>
      <c r="D8" s="0" t="n">
        <f aca="false">D6*D7/100</f>
        <v>13654.72284</v>
      </c>
      <c r="E8" s="0" t="n">
        <f aca="false">E6*E7/100</f>
        <v>14242.031089425</v>
      </c>
      <c r="F8" s="0" t="n">
        <f aca="false">F6*F7/100</f>
        <v>15270.076551972</v>
      </c>
      <c r="G8" s="0" t="n">
        <f aca="false">G6*G7/100</f>
        <v>16370.2161581027</v>
      </c>
      <c r="H8" s="0" t="n">
        <f aca="false">H6*H7/100</f>
        <v>17464.6294855264</v>
      </c>
      <c r="I8" s="0" t="n">
        <f aca="false">I6*I7/100</f>
        <v>18337.8609598028</v>
      </c>
      <c r="J8" s="0" t="n">
        <f aca="false">J6*J7/100</f>
        <v>19163.0647029939</v>
      </c>
      <c r="K8" s="0" t="n">
        <f aca="false">K6*K7/100</f>
        <v>19929.5872911136</v>
      </c>
      <c r="L8" s="0" t="n">
        <f aca="false">L6*L7/100</f>
        <v>20627.1228463026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-291.394</v>
      </c>
      <c r="D10" s="0" t="n">
        <f aca="false">-D6*D9/100</f>
        <v>-310.33461</v>
      </c>
      <c r="E10" s="0" t="n">
        <f aca="false">-E6*E9/100</f>
        <v>-327.40301355</v>
      </c>
      <c r="F10" s="0" t="n">
        <f aca="false">-F6*F9/100</f>
        <v>-347.047194363</v>
      </c>
      <c r="G10" s="0" t="n">
        <f aca="false">-G6*G9/100</f>
        <v>-367.87002602478</v>
      </c>
      <c r="H10" s="0" t="n">
        <f aca="false">-H6*H9/100</f>
        <v>-388.102877456143</v>
      </c>
      <c r="I10" s="0" t="n">
        <f aca="false">-I6*I9/100</f>
        <v>-407.50802132895</v>
      </c>
      <c r="J10" s="0" t="n">
        <f aca="false">-J6*J9/100</f>
        <v>-425.845882288753</v>
      </c>
      <c r="K10" s="0" t="n">
        <f aca="false">-K6*K9/100</f>
        <v>-442.879717580303</v>
      </c>
      <c r="L10" s="0" t="n">
        <f aca="false">-L6*L9/100</f>
        <v>-458.380507695613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12529.942</v>
      </c>
      <c r="D11" s="0" t="n">
        <f aca="false">D8+D10+D24</f>
        <v>13344.38823</v>
      </c>
      <c r="E11" s="0" t="n">
        <f aca="false">E8+E10+E24</f>
        <v>13914.628075875</v>
      </c>
      <c r="F11" s="0" t="n">
        <f aca="false">F8+F10+F24</f>
        <v>14923.029357609</v>
      </c>
      <c r="G11" s="0" t="n">
        <f aca="false">G8+G10+G24</f>
        <v>16002.3461320779</v>
      </c>
      <c r="H11" s="0" t="n">
        <f aca="false">H8+H10+H24</f>
        <v>17076.5266080703</v>
      </c>
      <c r="I11" s="0" t="n">
        <f aca="false">I8+I10+I24</f>
        <v>17930.3529384738</v>
      </c>
      <c r="J11" s="0" t="n">
        <f aca="false">J8+J10+J24</f>
        <v>18737.2188207051</v>
      </c>
      <c r="K11" s="0" t="n">
        <f aca="false">K8+K10+K24</f>
        <v>19486.7075735333</v>
      </c>
      <c r="L11" s="0" t="n">
        <f aca="false">L8+L10+L24</f>
        <v>20168.742338607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-1049.0184</v>
      </c>
      <c r="D12" s="4" t="n">
        <f aca="false">-D6*Assumptions!D45/100</f>
        <v>-1117.204596</v>
      </c>
      <c r="E12" s="4" t="n">
        <f aca="false">-E6*Assumptions!E45/100</f>
        <v>-1178.65084878</v>
      </c>
      <c r="F12" s="4" t="n">
        <f aca="false">-F6*Assumptions!F45/100</f>
        <v>-1249.3698997068</v>
      </c>
      <c r="G12" s="4" t="n">
        <f aca="false">-G6*Assumptions!G45/100</f>
        <v>-1324.33209368921</v>
      </c>
      <c r="H12" s="4" t="n">
        <f aca="false">-H6*Assumptions!H45/100</f>
        <v>-1397.17035884211</v>
      </c>
      <c r="I12" s="4" t="n">
        <f aca="false">-I6*Assumptions!I45/100</f>
        <v>-1467.02887678422</v>
      </c>
      <c r="J12" s="4" t="n">
        <f aca="false">-J6*Assumptions!J45/100</f>
        <v>-1533.04517623951</v>
      </c>
      <c r="K12" s="4" t="n">
        <f aca="false">-K6*Assumptions!K45/100</f>
        <v>-1594.36698328909</v>
      </c>
      <c r="L12" s="4" t="n">
        <f aca="false">-L6*Assumptions!L45/100</f>
        <v>-1650.16982770421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11480.9236</v>
      </c>
      <c r="D13" s="0" t="n">
        <f aca="false">D11+D12</f>
        <v>12227.183634</v>
      </c>
      <c r="E13" s="0" t="n">
        <f aca="false">E11+E12</f>
        <v>12735.977227095</v>
      </c>
      <c r="F13" s="0" t="n">
        <f aca="false">F11+F12</f>
        <v>13673.6594579022</v>
      </c>
      <c r="G13" s="0" t="n">
        <f aca="false">G11+G12</f>
        <v>14678.0140383887</v>
      </c>
      <c r="H13" s="0" t="n">
        <f aca="false">H11+H12</f>
        <v>15679.3562492282</v>
      </c>
      <c r="I13" s="0" t="n">
        <f aca="false">I11+I12</f>
        <v>16463.3240616896</v>
      </c>
      <c r="J13" s="0" t="n">
        <f aca="false">J11+J12</f>
        <v>17204.1736444656</v>
      </c>
      <c r="K13" s="0" t="n">
        <f aca="false">K11+K12</f>
        <v>17892.3405902442</v>
      </c>
      <c r="L13" s="0" t="n">
        <f aca="false">L11+L12</f>
        <v>18518.5725109028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9069.929644</v>
      </c>
      <c r="D15" s="0" t="n">
        <f aca="false">D13-MAX(0,D13)*D14/100</f>
        <v>9659.47507086</v>
      </c>
      <c r="E15" s="0" t="n">
        <f aca="false">E13-MAX(0,E13)*E14/100</f>
        <v>10061.422009405</v>
      </c>
      <c r="F15" s="0" t="n">
        <f aca="false">F13-MAX(0,F13)*F14/100</f>
        <v>10802.1909717427</v>
      </c>
      <c r="G15" s="0" t="n">
        <f aca="false">G13-MAX(0,G13)*G14/100</f>
        <v>11595.6310903271</v>
      </c>
      <c r="H15" s="0" t="n">
        <f aca="false">H13-MAX(0,H13)*H14/100</f>
        <v>12386.6914368903</v>
      </c>
      <c r="I15" s="0" t="n">
        <f aca="false">I13-MAX(0,I13)*I14/100</f>
        <v>13006.0260087348</v>
      </c>
      <c r="J15" s="0" t="n">
        <f aca="false">J13-MAX(0,J13)*J14/100</f>
        <v>13591.2971791278</v>
      </c>
      <c r="K15" s="0" t="n">
        <f aca="false">K13-MAX(0,K13)*K14/100</f>
        <v>14134.9490662929</v>
      </c>
      <c r="L15" s="0" t="n">
        <f aca="false">L13-MAX(0,L13)*L14/100</f>
        <v>14629.6722836132</v>
      </c>
    </row>
    <row r="16" customFormat="false" ht="15" hidden="false" customHeight="false" outlineLevel="0" collapsed="false">
      <c r="A16" s="0" t="s">
        <v>119</v>
      </c>
      <c r="C16" s="0" t="n">
        <f aca="false">-C12</f>
        <v>1049.0184</v>
      </c>
      <c r="D16" s="0" t="n">
        <f aca="false">-D12</f>
        <v>1117.204596</v>
      </c>
      <c r="E16" s="0" t="n">
        <f aca="false">-E12</f>
        <v>1178.65084878</v>
      </c>
      <c r="F16" s="0" t="n">
        <f aca="false">-F12</f>
        <v>1249.3698997068</v>
      </c>
      <c r="G16" s="0" t="n">
        <f aca="false">-G12</f>
        <v>1324.33209368921</v>
      </c>
      <c r="H16" s="0" t="n">
        <f aca="false">-H12</f>
        <v>1397.17035884211</v>
      </c>
      <c r="I16" s="0" t="n">
        <f aca="false">-I12</f>
        <v>1467.02887678422</v>
      </c>
      <c r="J16" s="0" t="n">
        <f aca="false">-J12</f>
        <v>1533.04517623951</v>
      </c>
      <c r="K16" s="0" t="n">
        <f aca="false">-K12</f>
        <v>1594.36698328909</v>
      </c>
      <c r="L16" s="0" t="n">
        <f aca="false">-L12</f>
        <v>1650.16982770421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-1340.4124</v>
      </c>
      <c r="D17" s="4" t="n">
        <f aca="false">-D6*Assumptions!D46/100</f>
        <v>-1427.539206</v>
      </c>
      <c r="E17" s="4" t="n">
        <f aca="false">-E6*Assumptions!E46/100</f>
        <v>-1506.05386233</v>
      </c>
      <c r="F17" s="4" t="n">
        <f aca="false">-F6*Assumptions!F46/100</f>
        <v>-1596.4170940698</v>
      </c>
      <c r="G17" s="4" t="n">
        <f aca="false">-G6*Assumptions!G46/100</f>
        <v>-1692.20211971399</v>
      </c>
      <c r="H17" s="4" t="n">
        <f aca="false">-H6*Assumptions!H46/100</f>
        <v>-1785.27323629826</v>
      </c>
      <c r="I17" s="4" t="n">
        <f aca="false">-I6*Assumptions!I46/100</f>
        <v>-1874.53689811317</v>
      </c>
      <c r="J17" s="4" t="n">
        <f aca="false">-J6*Assumptions!J46/100</f>
        <v>-1958.89105852826</v>
      </c>
      <c r="K17" s="4" t="n">
        <f aca="false">-K6*Assumptions!K46/100</f>
        <v>-2037.24670086939</v>
      </c>
      <c r="L17" s="4" t="n">
        <f aca="false">-L6*Assumptions!L46/100</f>
        <v>-2108.55033539982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-164.94</v>
      </c>
      <c r="D18" s="4" t="n">
        <f aca="false">(D6-C6)*Assumptions!$B$51/100</f>
        <v>-189.4061</v>
      </c>
      <c r="E18" s="4" t="n">
        <f aca="false">(E6-D6)*Assumptions!$B$51/100</f>
        <v>-170.6840355</v>
      </c>
      <c r="F18" s="4" t="n">
        <f aca="false">(F6-E6)*Assumptions!$B$51/100</f>
        <v>-196.44180813</v>
      </c>
      <c r="G18" s="4" t="n">
        <f aca="false">(G6-F6)*Assumptions!$B$51/100</f>
        <v>-208.2283166178</v>
      </c>
      <c r="H18" s="4" t="n">
        <f aca="false">(H6-G6)*Assumptions!$B$51/100</f>
        <v>-202.328514313629</v>
      </c>
      <c r="I18" s="4" t="n">
        <f aca="false">(I6-H6)*Assumptions!$B$51/100</f>
        <v>-194.051438728072</v>
      </c>
      <c r="J18" s="4" t="n">
        <f aca="false">(J6-I6)*Assumptions!$B$51/100</f>
        <v>-183.378609598027</v>
      </c>
      <c r="K18" s="4" t="n">
        <f aca="false">(K6-J6)*Assumptions!$B$51/100</f>
        <v>-170.338352915501</v>
      </c>
      <c r="L18" s="4" t="n">
        <f aca="false">(L6-K6)*Assumptions!$B$51/100</f>
        <v>-155.007901153106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8613.595644</v>
      </c>
      <c r="D19" s="0" t="n">
        <f aca="false">D15+D16+D17+D18</f>
        <v>9159.73436086</v>
      </c>
      <c r="E19" s="0" t="n">
        <f aca="false">E15+E16+E17+E18</f>
        <v>9563.33496035505</v>
      </c>
      <c r="F19" s="0" t="n">
        <f aca="false">F15+F16+F17+F18</f>
        <v>10258.7019692497</v>
      </c>
      <c r="G19" s="0" t="n">
        <f aca="false">G15+G16+G17+G18</f>
        <v>11019.5327476845</v>
      </c>
      <c r="H19" s="0" t="n">
        <f aca="false">H15+H16+H17+H18</f>
        <v>11796.2600451205</v>
      </c>
      <c r="I19" s="0" t="n">
        <f aca="false">I15+I16+I17+I18</f>
        <v>12404.4665486777</v>
      </c>
      <c r="J19" s="0" t="n">
        <f aca="false">J15+J16+J17+J18</f>
        <v>12982.0726872411</v>
      </c>
      <c r="K19" s="0" t="n">
        <f aca="false">K15+K16+K17+K18</f>
        <v>13521.7309957971</v>
      </c>
      <c r="L19" s="0" t="n">
        <f aca="false">L15+L16+L17+L18</f>
        <v>14016.2838747645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8012.64711069767</v>
      </c>
      <c r="D21" s="0" t="n">
        <f aca="false">D19*D20</f>
        <v>7926.21686175014</v>
      </c>
      <c r="E21" s="0" t="n">
        <f aca="false">E19*E20</f>
        <v>7698.1075560985</v>
      </c>
      <c r="F21" s="0" t="n">
        <f aca="false">F19*F20</f>
        <v>7681.72146939214</v>
      </c>
      <c r="G21" s="0" t="n">
        <f aca="false">G19*G20</f>
        <v>7675.75065986444</v>
      </c>
      <c r="H21" s="0" t="n">
        <f aca="false">H19*H20</f>
        <v>7643.52257104693</v>
      </c>
      <c r="I21" s="0" t="n">
        <f aca="false">I19*I20</f>
        <v>7476.85300523936</v>
      </c>
      <c r="J21" s="0" t="n">
        <f aca="false">J19*J20</f>
        <v>7279.07714981125</v>
      </c>
      <c r="K21" s="0" t="n">
        <f aca="false">K19*K20</f>
        <v>7052.71141273297</v>
      </c>
      <c r="L21" s="0" t="n">
        <f aca="false">L19*L20</f>
        <v>6800.61583338545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75247.2236300189</v>
      </c>
    </row>
    <row r="31" customFormat="false" ht="15" hidden="false" customHeight="false" outlineLevel="0" collapsed="false">
      <c r="A31" s="0" t="s">
        <v>128</v>
      </c>
      <c r="B31" s="0" t="n">
        <f aca="false">L19</f>
        <v>14016.2838747645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287333.819432672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210244.258121467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210244.258121467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102009.237500782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177256.461130801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151676.461130801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574.532049737881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1.11217252945804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2508.5436306921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4559.27050330591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601.304072972722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114933.527773069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212.854010118206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232.040881783993</v>
      </c>
      <c r="C4" s="0" t="n">
        <f aca="false">B4/Assumptions!$B$2-1</f>
        <v>-0.146939885357182</v>
      </c>
      <c r="D4" s="4" t="n">
        <f aca="false">Assumptions!$B$24</f>
        <v>0.3</v>
      </c>
      <c r="E4" s="4" t="n">
        <f aca="false">DCF_Bear!$B$43</f>
        <v>252.12603463799</v>
      </c>
      <c r="F4" s="4" t="n">
        <f aca="false">DCF_Bear!$B$47</f>
        <v>91.8494722060902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424.200361809834</v>
      </c>
      <c r="C5" s="0" t="n">
        <f aca="false">B5/Assumptions!$B$2-1</f>
        <v>0.559502819050161</v>
      </c>
      <c r="D5" s="4" t="n">
        <f aca="false">Assumptions!$B$38</f>
        <v>0.5</v>
      </c>
      <c r="E5" s="4" t="n">
        <f aca="false">DCF_Base!$B$43</f>
        <v>448.398772255574</v>
      </c>
      <c r="F5" s="4" t="n">
        <f aca="false">DCF_Base!$B$47</f>
        <v>160.725705545569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574.532049737881</v>
      </c>
      <c r="C6" s="0" t="n">
        <f aca="false">B6/Assumptions!$B$2-1</f>
        <v>1.11217252945804</v>
      </c>
      <c r="D6" s="4" t="n">
        <f aca="false">Assumptions!$B$52</f>
        <v>0.2</v>
      </c>
      <c r="E6" s="4" t="n">
        <f aca="false">DCF_Bull!$B$43</f>
        <v>601.304072972722</v>
      </c>
      <c r="F6" s="4" t="n">
        <f aca="false">DCF_Bull!$B$47</f>
        <v>212.854010118206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396.618855387691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420.098011113728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0.314177840248889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-530.721193051704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150.488496458253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424.200361809834</v>
      </c>
      <c r="C15" s="3" t="n">
        <v>7.5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371.638791102434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335.112291589561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283.739324699172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243.221842688224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160.725705545569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506.757439087445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506.757439087445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506.757439087445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506.757439087445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506.757439087445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463.534883460711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463.534883460711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463.534883460711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463.534883460711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463.534883460711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424.200361809834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424.200361809834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424.200361809834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424.200361809834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424.200361809834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388.359848624037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388.359848624037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388.359848624037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388.359848624037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388.359848624037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333.894773740004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349.028842287121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355.662954526952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355.662954526952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355.662954526952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2026-09-26T00:48:05Z</dcterms:created>
  <dc:creator>openpyxl</dc:creator>
  <dc:description/>
  <dc:language>en-NZ</dc:language>
  <cp:lastModifiedBy/>
  <dcterms:modified xsi:type="dcterms:W3CDTF">2026-09-26T00:48:05Z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