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<sst xmlns="http://schemas.openxmlformats.org/spreadsheetml/2006/main" count="374" uniqueCount="170">
  <si>
    <t xml:space="preserve">Ticker</t>
  </si>
  <si>
    <t xml:space="preserve">CFG</t>
  </si>
  <si>
    <t xml:space="preserve">Company</t>
  </si>
  <si>
    <t xml:space="preserve">Citizens Financial Group,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</si>
  <si>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</si>
  <si>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</si>
  <si>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</si>
  <si>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</si>
  <si>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NYSE regular close (Yahoo chart API regularMarketTime)</t>
  </si>
  <si>
    <t xml:space="preserve">Balance sheet date</t>
  </si>
  <si>
    <t xml:space="preserve">2026-06-30</t>
  </si>
  <si>
    <t xml:space="preserve">Model</t>
  </si>
  <si>
    <t xml:space="preserve">Bank FCFE capitalisation at cost of equity (engine route; earnings to common after capital retained for balance-sheet growth at the CET1 target, net debt zero; equivalent to residual income on tangible book)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</si>
  <si>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</si>
  <si>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</si>
  <si>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</si>
  <si>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</si>
  <si>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</si>
  <si>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</si>
  <si>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</si>
  <si>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</si>
  <si>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2026-09-26T00:42:58Z</t>
  </si>
  <si>
    <t xml:space="preserve">Drivers file</t>
  </si>
  <si>
    <t xml:space="preserve">CFG_Drivers.json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</si>
  <si>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</si>
  <si>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</si>
  <si>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</si>
  <si>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bank's free cash flow to shareholders is the earnings it can distribute after retaining enough capital to grow its balance sheet at its CET1 target. Value = PV at a 10% cost of equity of earnings to common (after preferred dividends) less that retention; deposits and borrowings are operating funding and are never deducted. The value driver is sustainable ROTCE versus cost of equity: at ~15.5% base ROTCE and 3% growth, fair value is ~1.8x tangible book.
key_risks_to_valuation: ROTCE path: each 1pp of sustained ROTCE is worth ~$5/share (~0.14x TBV); Fed path and deposit betas driving the FY27 NIM guide (3.30-3.50%); Credit cycle: office CRE and C&amp;I charge-offs (NCOs 37bp Q2-26); CET1 at 10.4% vs 10.0-10.5% target limits buyback flexibility; Basel III endgame AOCI inclusion for Category IV banks would pull the -$2.3bn AOCI into CET1 and constrain distributions; Cost of equity: 10.0% single rate; +/-1pp moves value roughly 15-20%</t>
  </si>
  <si>
    <t xml:space="preserve">Data sources</t>
  </si>
  <si>
    <t xml:space="preserve">price: Yahoo Finance chart API at inputs.price_as_of; 52-week range 47.96-75.33
financials: SEC XBRL companyfacts CIK 0000759944 (10-K FY2025, 10-Q Q1/Q2-2026 filed 2026-08-03); CFG_Metrics.csv (core_metrics, FY2011-Q2 2026)
qualitative: CFG_Analysis.json (2026-09-26): Q2-2026 earnings call guidance -- NIM 3.22-3.27% FY26 / 3.30-3.50% FY27, ROTCE 16-18% by end-2027, CET1 target 10.0-10.5%, Reimagine the Bank $450m by 2028</t>
  </si>
  <si>
    <t xml:space="preserve">Scenario narrative: bear</t>
  </si>
  <si>
    <t xml:space="preserve">A faster Fed easing cycle compresses the asset-sensitive margin just as a 2027 slowdown lifts C&amp;I and office CRE losses; capital-markets and mortgage fees fall; CET1 at 10.4% (low end of target) forces a buyback pause. Revenue stalls for two years, provisions roughly double, and ROTCE reverts to ~12% -- the pre-2026 run rate -- so tangible book compounds slowly and the multiple compresses toward ~1.3x TBV.</t>
  </si>
  <si>
    <t xml:space="preserve">Scenario narrative: base</t>
  </si>
  <si>
    <t xml:space="preserve">Citizens delivers most of its NIM recovery (3.22-3.27% FY26 to ~3.35% FY27) as swap and securities repricing roll through and deposit betas hold in the high-40s. Private Bank, wealth and capital-markets fees grow high-single-digit while CRE runs off. Reimagine the Bank savings are largely reinvested; credit costs drift up modestly to through-cycle. ROTCE settles around 15.5% -- a real improvement on FY2025's ~11% but short of the 16-18% target, consistent with the company's record of trailing its return goals. At ~1.8x tangible book that is roughly what the market already pays.</t>
  </si>
  <si>
    <t xml:space="preserve">Scenario narrative: bull</t>
  </si>
  <si>
    <t xml:space="preserve">Management hits the top of its FY27 NIM range (3.50%), the Private Bank reaches 15-16 offices at ~25% ROE and drives outsized low-cost deposit growth, AI productivity ($450m by 2028) drops largely to the bottom line, and credit stays benign (NCOs in the 30s bp, strong DFAST results supporting buybacks). ROTCE reaches ~18.6% and holds, re-rating CFG toward higher-return peers.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</si>
  <si>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</si>
  <si>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</si>
  <si>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</si>
  <si>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</si>
  <si>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</si>
  <si>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</si>
  <si>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</si>
  <si>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</si>
  <si>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</si>
  <si>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</si>
  <si>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</si>
  <si>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</si>
  <si>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</si>
  <si>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</si>
  <si>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</si>
  <si>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</si>
  <si>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</si>
  <si>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</si>
  <si>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</si>
  <si>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</si>
  <si>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</si>
  <si>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</si>
  <si>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</si>
  <si>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</si>
  <si>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</si>
  <si>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</si>
  <si>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</si>
  <si>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</si>
  <si>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</si>
  <si>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</si>
  <si>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</si>
  <si>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</si>
  <si>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</si>
  <si>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</si>
  <si>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</si>
  <si>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</si>
  <si>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</si>
  <si>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</si>
  <si>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</si>
  <si>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</si>
  <si>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</si>
  <si>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</si>
  <si>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</si>
  <si>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</si>
  <si>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</si>
  <si>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</si>
  <si>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</si>
  <si>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</si>
  <si>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</si>
  <si>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</si>
  <si>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</si>
  <si>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</si>
  <si>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</si>
  <si>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</si>
  <si>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</si>
  <si>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</si>
  <si>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</si>
  <si>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</si>
  <si>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</si>
  <si>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</si>
  <si>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</si>
  <si>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</si>
  <si>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</si>
  <si>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</si>
  <si>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</si>
  <si>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</si>
  <si>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</si>
  <si>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</si>
  <si>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</si>
  <si>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</si>
  <si>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</si>
  <si>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</si>
  <si>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</si>
  <si>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</si>
  <si>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</si>
  <si>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</si>
  <si>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</si>
  <si>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</si>
  <si>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</si>
  <si>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</si>
  <si>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CFG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</si>
  <si>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</si>
  <si>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</si>
  <si>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</si>
  <si>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</si>
  <si>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</si>
  <si>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</si>
  <si>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</si>
  <si>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</si>
  <si>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</si>
  <si>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</si>
  <si>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</si>
  <si>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</si>
  <si>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</si>
  <si>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</si>
  <si>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</si>
  <si>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</si>
  <si>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</si>
  <si>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</si>
  <si>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</si>
  <si>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</si>
  <si>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</si>
  <si>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</si>
  <si>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</si>
  <si>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</si>
  <si>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</si>
  <si>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</si>
  <si>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</si>
  <si>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</si>
  <si>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</si>
  <si>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</si>
  <si>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CFG owner-FCF component DCF: base case (millions, USD)</t>
  </si>
  <si>
    <t xml:space="preserve">CFG owner-FCF component DCF: bull case (millions, USD)</t>
  </si>
  <si>
    <t xml:space="preserve">CFG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</si>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</sst>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65.53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23393</v>
      </c>
      <c r="S2" s="0" t="n">
        <v>3694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4894</v>
      </c>
      <c r="I3" s="0" t="n">
        <v>643</v>
      </c>
      <c r="J3" s="0" t="n">
        <v>13.1385369840621</v>
      </c>
      <c r="K3" s="0" t="n">
        <v>1.15</v>
      </c>
      <c r="L3" s="0" t="n">
        <v>1714</v>
      </c>
      <c r="M3" s="0" t="n">
        <v>178</v>
      </c>
      <c r="N3" s="0" t="n">
        <v>1536</v>
      </c>
      <c r="O3" s="0" t="n">
        <v>24129</v>
      </c>
      <c r="S3" s="0" t="n">
        <v>3063</v>
      </c>
      <c r="T3" s="0" t="n">
        <v>559.998324</v>
      </c>
      <c r="U3" s="0" t="n">
        <v>29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4690</v>
      </c>
      <c r="I4" s="0" t="n">
        <v>-3426</v>
      </c>
      <c r="J4" s="0" t="n">
        <v>-73.0490405117271</v>
      </c>
      <c r="K4" s="0" t="n">
        <v>-6.12</v>
      </c>
      <c r="L4" s="0" t="n">
        <v>2649</v>
      </c>
      <c r="M4" s="0" t="n">
        <v>160</v>
      </c>
      <c r="N4" s="0" t="n">
        <v>2489</v>
      </c>
      <c r="O4" s="0" t="n">
        <v>19196</v>
      </c>
      <c r="P4" s="0" t="n">
        <v>122154</v>
      </c>
      <c r="Q4" s="0" t="n">
        <v>102958</v>
      </c>
      <c r="R4" s="0" t="n">
        <v>1405</v>
      </c>
      <c r="S4" s="0" t="n">
        <v>2757</v>
      </c>
      <c r="T4" s="0" t="n">
        <v>559.998324</v>
      </c>
      <c r="U4" s="0" t="n">
        <v>27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4979</v>
      </c>
      <c r="I5" s="0" t="n">
        <v>865</v>
      </c>
      <c r="J5" s="0" t="n">
        <v>17.3729664591283</v>
      </c>
      <c r="K5" s="0" t="n">
        <v>1.55</v>
      </c>
      <c r="L5" s="0" t="n">
        <v>1390</v>
      </c>
      <c r="M5" s="0" t="n">
        <v>141</v>
      </c>
      <c r="N5" s="0" t="n">
        <v>1249</v>
      </c>
      <c r="O5" s="0" t="n">
        <v>19268</v>
      </c>
      <c r="P5" s="0" t="n">
        <v>132857</v>
      </c>
      <c r="Q5" s="0" t="n">
        <v>113589</v>
      </c>
      <c r="R5" s="0" t="n">
        <v>4642</v>
      </c>
      <c r="S5" s="0" t="n">
        <v>3276</v>
      </c>
      <c r="T5" s="0" t="n">
        <v>557.724936</v>
      </c>
      <c r="U5" s="0" t="n">
        <v>53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4824</v>
      </c>
      <c r="I6" s="0" t="n">
        <v>840</v>
      </c>
      <c r="J6" s="0" t="n">
        <v>17.4129353233831</v>
      </c>
      <c r="K6" s="0" t="n">
        <v>1.55</v>
      </c>
      <c r="L6" s="0" t="n">
        <v>1229</v>
      </c>
      <c r="M6" s="0" t="n">
        <v>121</v>
      </c>
      <c r="N6" s="0" t="n">
        <v>1108</v>
      </c>
      <c r="O6" s="0" t="n">
        <v>19646</v>
      </c>
      <c r="P6" s="0" t="n">
        <v>138208</v>
      </c>
      <c r="Q6" s="0" t="n">
        <v>118562</v>
      </c>
      <c r="R6" s="0" t="n">
        <v>9886</v>
      </c>
      <c r="S6" s="0" t="n">
        <v>3085</v>
      </c>
      <c r="T6" s="0" t="n">
        <v>538.220898</v>
      </c>
      <c r="U6" s="0" t="n">
        <v>24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5255</v>
      </c>
      <c r="I7" s="0" t="n">
        <v>1045</v>
      </c>
      <c r="J7" s="0" t="n">
        <v>19.8858230256898</v>
      </c>
      <c r="K7" s="0" t="n">
        <v>1.97</v>
      </c>
      <c r="L7" s="0" t="n">
        <v>1490</v>
      </c>
      <c r="M7" s="0" t="n">
        <v>138</v>
      </c>
      <c r="N7" s="0" t="n">
        <v>1352</v>
      </c>
      <c r="O7" s="0" t="n">
        <v>19747</v>
      </c>
      <c r="P7" s="0" t="n">
        <v>149520</v>
      </c>
      <c r="Q7" s="0" t="n">
        <v>129773</v>
      </c>
      <c r="R7" s="0" t="n">
        <v>12790</v>
      </c>
      <c r="S7" s="0" t="n">
        <v>3704</v>
      </c>
      <c r="T7" s="0" t="n">
        <v>523.930718</v>
      </c>
      <c r="U7" s="0" t="n">
        <v>23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5707</v>
      </c>
      <c r="I8" s="0" t="n">
        <v>1652</v>
      </c>
      <c r="J8" s="0" t="n">
        <v>28.9469073068162</v>
      </c>
      <c r="K8" s="0" t="n">
        <v>3.26</v>
      </c>
      <c r="L8" s="0" t="n">
        <v>1883</v>
      </c>
      <c r="M8" s="0" t="n">
        <v>253</v>
      </c>
      <c r="N8" s="0" t="n">
        <v>1630</v>
      </c>
      <c r="O8" s="0" t="n">
        <v>20270</v>
      </c>
      <c r="P8" s="0" t="n">
        <v>152336</v>
      </c>
      <c r="Q8" s="0" t="n">
        <v>132066</v>
      </c>
      <c r="R8" s="0" t="n">
        <v>11765</v>
      </c>
      <c r="S8" s="0" t="n">
        <v>3032</v>
      </c>
      <c r="T8" s="0" t="n">
        <v>503.685091</v>
      </c>
      <c r="U8" s="0" t="n">
        <v>48</v>
      </c>
      <c r="V8" s="0" t="n">
        <v>0.64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6128</v>
      </c>
      <c r="I9" s="0" t="n">
        <v>1721</v>
      </c>
      <c r="J9" s="0" t="n">
        <v>28.0842036553525</v>
      </c>
      <c r="K9" s="0" t="n">
        <v>3.54</v>
      </c>
      <c r="L9" s="0" t="n">
        <v>1767</v>
      </c>
      <c r="M9" s="0" t="n">
        <v>232</v>
      </c>
      <c r="N9" s="0" t="n">
        <v>1535</v>
      </c>
      <c r="O9" s="0" t="n">
        <v>20817</v>
      </c>
      <c r="P9" s="0" t="n">
        <v>160518</v>
      </c>
      <c r="Q9" s="0" t="n">
        <v>139701</v>
      </c>
      <c r="R9" s="0" t="n">
        <v>15925</v>
      </c>
      <c r="S9" s="0" t="n">
        <v>4074</v>
      </c>
      <c r="T9" s="0" t="n">
        <v>480.430741</v>
      </c>
      <c r="U9" s="0" t="n">
        <v>41</v>
      </c>
      <c r="V9" s="0" t="n">
        <v>0.98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6491</v>
      </c>
      <c r="I10" s="0" t="n">
        <v>1791</v>
      </c>
      <c r="J10" s="0" t="n">
        <v>27.5920505315052</v>
      </c>
      <c r="K10" s="0" t="n">
        <v>3.82</v>
      </c>
      <c r="L10" s="0" t="n">
        <v>1697</v>
      </c>
      <c r="M10" s="0" t="n">
        <v>126</v>
      </c>
      <c r="N10" s="0" t="n">
        <v>1571</v>
      </c>
      <c r="O10" s="0" t="n">
        <v>22201</v>
      </c>
      <c r="P10" s="0" t="n">
        <v>165733</v>
      </c>
      <c r="Q10" s="0" t="n">
        <v>143532</v>
      </c>
      <c r="R10" s="0" t="n">
        <v>14047</v>
      </c>
      <c r="T10" s="0" t="n">
        <v>451.213701</v>
      </c>
      <c r="U10" s="0" t="n">
        <v>41</v>
      </c>
      <c r="V10" s="0" t="n">
        <v>1.36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6905</v>
      </c>
      <c r="I11" s="0" t="n">
        <v>1057</v>
      </c>
      <c r="J11" s="0" t="n">
        <v>15.3077480086894</v>
      </c>
      <c r="K11" s="0" t="n">
        <v>2.22</v>
      </c>
      <c r="L11" s="0" t="n">
        <v>111</v>
      </c>
      <c r="O11" s="0" t="n">
        <v>22673</v>
      </c>
      <c r="P11" s="0" t="n">
        <v>183349</v>
      </c>
      <c r="Q11" s="0" t="n">
        <v>160676</v>
      </c>
      <c r="R11" s="0" t="n">
        <v>8346</v>
      </c>
      <c r="T11" s="0" t="n">
        <v>428.15778</v>
      </c>
      <c r="U11" s="0" t="n">
        <v>48</v>
      </c>
      <c r="V11" s="0" t="n">
        <v>1.56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6647</v>
      </c>
      <c r="I12" s="0" t="n">
        <v>2319</v>
      </c>
      <c r="J12" s="0" t="n">
        <v>34.8879193621183</v>
      </c>
      <c r="K12" s="0" t="n">
        <v>5.18</v>
      </c>
      <c r="L12" s="0" t="n">
        <v>2275</v>
      </c>
      <c r="O12" s="0" t="n">
        <v>23420</v>
      </c>
      <c r="P12" s="0" t="n">
        <v>188409</v>
      </c>
      <c r="Q12" s="0" t="n">
        <v>164989</v>
      </c>
      <c r="R12" s="0" t="n">
        <v>6932</v>
      </c>
      <c r="T12" s="0" t="n">
        <v>427.435818</v>
      </c>
      <c r="U12" s="0" t="n">
        <v>59</v>
      </c>
      <c r="V12" s="0" t="n">
        <v>1.56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8021</v>
      </c>
      <c r="I13" s="0" t="n">
        <v>2073</v>
      </c>
      <c r="J13" s="0" t="n">
        <v>25.844657773345</v>
      </c>
      <c r="K13" s="0" t="n">
        <v>4.12</v>
      </c>
      <c r="L13" s="0" t="n">
        <v>4119</v>
      </c>
      <c r="O13" s="0" t="n">
        <v>23690</v>
      </c>
      <c r="P13" s="0" t="n">
        <v>226733</v>
      </c>
      <c r="Q13" s="0" t="n">
        <v>203043</v>
      </c>
      <c r="R13" s="0" t="n">
        <v>15887</v>
      </c>
      <c r="T13" s="0" t="n">
        <v>492.282158</v>
      </c>
      <c r="U13" s="0" t="n">
        <v>84</v>
      </c>
      <c r="V13" s="0" t="n">
        <v>1.62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8224</v>
      </c>
      <c r="I14" s="0" t="n">
        <v>1608</v>
      </c>
      <c r="J14" s="0" t="n">
        <v>19.5525291828794</v>
      </c>
      <c r="K14" s="0" t="n">
        <v>3.14</v>
      </c>
      <c r="L14" s="0" t="n">
        <v>2961</v>
      </c>
      <c r="O14" s="0" t="n">
        <v>24342</v>
      </c>
      <c r="P14" s="0" t="n">
        <v>221964</v>
      </c>
      <c r="Q14" s="0" t="n">
        <v>197622</v>
      </c>
      <c r="R14" s="0" t="n">
        <v>13467</v>
      </c>
      <c r="T14" s="0" t="n">
        <v>476.693148</v>
      </c>
      <c r="U14" s="0" t="n">
        <v>87</v>
      </c>
      <c r="V14" s="0" t="n">
        <v>1.68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7809</v>
      </c>
      <c r="I15" s="0" t="n">
        <v>1509</v>
      </c>
      <c r="J15" s="0" t="n">
        <v>19.3238570879754</v>
      </c>
      <c r="K15" s="0" t="n">
        <v>3.05</v>
      </c>
      <c r="L15" s="0" t="n">
        <v>2001</v>
      </c>
      <c r="O15" s="0" t="n">
        <v>24254</v>
      </c>
      <c r="P15" s="0" t="n">
        <v>217521</v>
      </c>
      <c r="Q15" s="0" t="n">
        <v>193267</v>
      </c>
      <c r="R15" s="0" t="n">
        <v>12401</v>
      </c>
      <c r="T15" s="0" t="n">
        <v>453.510245</v>
      </c>
      <c r="U15" s="0" t="n">
        <v>97</v>
      </c>
      <c r="V15" s="0" t="n">
        <v>1.68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8247</v>
      </c>
      <c r="I16" s="0" t="n">
        <v>1831</v>
      </c>
      <c r="J16" s="0" t="n">
        <v>22.2020128531587</v>
      </c>
      <c r="K16" s="0" t="n">
        <v>3.9</v>
      </c>
      <c r="L16" s="0" t="n">
        <v>2211</v>
      </c>
      <c r="O16" s="0" t="n">
        <v>26317</v>
      </c>
      <c r="P16" s="0" t="n">
        <v>226351</v>
      </c>
      <c r="Q16" s="0" t="n">
        <v>200034</v>
      </c>
      <c r="R16" s="0" t="n">
        <v>11224</v>
      </c>
      <c r="T16" s="0" t="n">
        <v>436.890731</v>
      </c>
      <c r="U16" s="0" t="n">
        <v>120</v>
      </c>
      <c r="V16" s="0" t="n">
        <v>1.72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65.53</v>
      </c>
    </row>
    <row r="3" customFormat="false" ht="15" hidden="false" customHeight="false" outlineLevel="0" collapsed="false">
      <c r="A3" s="0" t="s">
        <v>81</v>
      </c>
      <c r="B3" s="3" t="n">
        <v>424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9150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2</v>
      </c>
      <c r="D13" s="3" t="n">
        <v>0</v>
      </c>
      <c r="E13" s="3" t="n">
        <v>3</v>
      </c>
      <c r="F13" s="3" t="n">
        <v>3.5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103</v>
      </c>
      <c r="C14" s="3" t="n">
        <v>28</v>
      </c>
      <c r="D14" s="3" t="n">
        <v>29.5</v>
      </c>
      <c r="E14" s="3" t="n">
        <v>30.5</v>
      </c>
      <c r="F14" s="3" t="n">
        <v>31</v>
      </c>
      <c r="G14" s="3" t="n">
        <v>31</v>
      </c>
      <c r="H14" s="3" t="n">
        <v>31</v>
      </c>
      <c r="I14" s="3" t="n">
        <v>31</v>
      </c>
      <c r="J14" s="3" t="n">
        <v>31</v>
      </c>
      <c r="K14" s="3" t="n">
        <v>31</v>
      </c>
      <c r="L14" s="3" t="n">
        <v>31</v>
      </c>
    </row>
    <row r="15" customFormat="false" ht="15" hidden="false" customHeight="false" outlineLevel="0" collapsed="false">
      <c r="A15" s="0" t="s">
        <v>104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107</v>
      </c>
      <c r="C18" s="3" t="n">
        <v>3.4</v>
      </c>
      <c r="D18" s="3" t="n">
        <v>2.6</v>
      </c>
      <c r="E18" s="3" t="n">
        <v>5.2</v>
      </c>
      <c r="F18" s="3" t="n">
        <v>5.1</v>
      </c>
      <c r="G18" s="3" t="n">
        <v>5.1</v>
      </c>
      <c r="H18" s="3" t="n">
        <v>5.1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108</v>
      </c>
      <c r="C19" s="3" t="n">
        <v>28.8</v>
      </c>
      <c r="D19" s="3" t="n">
        <v>28.3</v>
      </c>
      <c r="E19" s="3" t="n">
        <v>27.8</v>
      </c>
      <c r="F19" s="3" t="n">
        <v>27.6</v>
      </c>
      <c r="G19" s="3" t="n">
        <v>27.5</v>
      </c>
      <c r="H19" s="3" t="n">
        <v>27.4</v>
      </c>
      <c r="I19" s="3" t="n">
        <v>27.3</v>
      </c>
      <c r="J19" s="3" t="n">
        <v>27.2</v>
      </c>
      <c r="K19" s="3" t="n">
        <v>27.1</v>
      </c>
      <c r="L19" s="3" t="n">
        <v>27</v>
      </c>
    </row>
    <row r="20" customFormat="false" ht="15" hidden="false" customHeight="false" outlineLevel="0" collapsed="false">
      <c r="A20" s="0" t="s">
        <v>109</v>
      </c>
      <c r="B20" s="3" t="n">
        <v>10</v>
      </c>
    </row>
    <row r="21" customFormat="false" ht="15" hidden="false" customHeight="false" outlineLevel="0" collapsed="false">
      <c r="A21" s="0" t="s">
        <v>110</v>
      </c>
      <c r="B21" s="3" t="n">
        <v>2.5</v>
      </c>
    </row>
    <row r="22" customFormat="false" ht="15" hidden="false" customHeight="false" outlineLevel="0" collapsed="false">
      <c r="A22" s="0" t="s">
        <v>111</v>
      </c>
      <c r="B22" s="3" t="n">
        <v>13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7</v>
      </c>
      <c r="D27" s="3" t="n">
        <v>5.5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103</v>
      </c>
      <c r="C28" s="3" t="n">
        <v>35.5</v>
      </c>
      <c r="D28" s="3" t="n">
        <v>36</v>
      </c>
      <c r="E28" s="3" t="n">
        <v>36</v>
      </c>
      <c r="F28" s="3" t="n">
        <v>36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104</v>
      </c>
      <c r="C29" s="3" t="n">
        <v>1.5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107</v>
      </c>
      <c r="C32" s="3" t="n">
        <v>6.5</v>
      </c>
      <c r="D32" s="3" t="n">
        <v>6.4</v>
      </c>
      <c r="E32" s="3" t="n">
        <v>6.4</v>
      </c>
      <c r="F32" s="3" t="n">
        <v>5.6</v>
      </c>
      <c r="G32" s="3" t="n">
        <v>5.6</v>
      </c>
      <c r="H32" s="3" t="n">
        <v>5.6</v>
      </c>
      <c r="I32" s="3" t="n">
        <v>4.8</v>
      </c>
      <c r="J32" s="3" t="n">
        <v>4.8</v>
      </c>
      <c r="K32" s="3" t="n">
        <v>4.8</v>
      </c>
      <c r="L32" s="3" t="n">
        <v>4.8</v>
      </c>
    </row>
    <row r="33" customFormat="false" ht="15" hidden="false" customHeight="false" outlineLevel="0" collapsed="false">
      <c r="A33" s="0" t="s">
        <v>108</v>
      </c>
      <c r="C33" s="3" t="n">
        <v>27</v>
      </c>
      <c r="D33" s="3" t="n">
        <v>26.8</v>
      </c>
      <c r="E33" s="3" t="n">
        <v>26.7</v>
      </c>
      <c r="F33" s="3" t="n">
        <v>26.6</v>
      </c>
      <c r="G33" s="3" t="n">
        <v>26.5</v>
      </c>
      <c r="H33" s="3" t="n">
        <v>26.4</v>
      </c>
      <c r="I33" s="3" t="n">
        <v>26.3</v>
      </c>
      <c r="J33" s="3" t="n">
        <v>26.2</v>
      </c>
      <c r="K33" s="3" t="n">
        <v>26.1</v>
      </c>
      <c r="L33" s="3" t="n">
        <v>26</v>
      </c>
    </row>
    <row r="34" customFormat="false" ht="15" hidden="false" customHeight="false" outlineLevel="0" collapsed="false">
      <c r="A34" s="0" t="s">
        <v>109</v>
      </c>
      <c r="B34" s="3" t="n">
        <v>10</v>
      </c>
    </row>
    <row r="35" customFormat="false" ht="15" hidden="false" customHeight="false" outlineLevel="0" collapsed="false">
      <c r="A35" s="0" t="s">
        <v>110</v>
      </c>
      <c r="B35" s="3" t="n">
        <v>3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9</v>
      </c>
      <c r="D41" s="3" t="n">
        <v>7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37.5</v>
      </c>
      <c r="D42" s="3" t="n">
        <v>39.5</v>
      </c>
      <c r="E42" s="3" t="n">
        <v>41</v>
      </c>
      <c r="F42" s="3" t="n">
        <v>41.5</v>
      </c>
      <c r="G42" s="3" t="n">
        <v>41.5</v>
      </c>
      <c r="H42" s="3" t="n">
        <v>41.5</v>
      </c>
      <c r="I42" s="3" t="n">
        <v>41.5</v>
      </c>
      <c r="J42" s="3" t="n">
        <v>41.5</v>
      </c>
      <c r="K42" s="3" t="n">
        <v>41.5</v>
      </c>
      <c r="L42" s="3" t="n">
        <v>41.5</v>
      </c>
    </row>
    <row r="43" customFormat="false" ht="15" hidden="false" customHeight="false" outlineLevel="0" collapsed="false">
      <c r="A43" s="0" t="s">
        <v>104</v>
      </c>
      <c r="C43" s="3" t="n">
        <v>1.5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107</v>
      </c>
      <c r="C46" s="3" t="n">
        <v>8</v>
      </c>
      <c r="D46" s="3" t="n">
        <v>7.9</v>
      </c>
      <c r="E46" s="3" t="n">
        <v>7.1</v>
      </c>
      <c r="F46" s="3" t="n">
        <v>7</v>
      </c>
      <c r="G46" s="3" t="n">
        <v>6.2</v>
      </c>
      <c r="H46" s="3" t="n">
        <v>6.2</v>
      </c>
      <c r="I46" s="3" t="n">
        <v>5.5</v>
      </c>
      <c r="J46" s="3" t="n">
        <v>5.5</v>
      </c>
      <c r="K46" s="3" t="n">
        <v>4.7</v>
      </c>
      <c r="L46" s="3" t="n">
        <v>4.7</v>
      </c>
    </row>
    <row r="47" customFormat="false" ht="15" hidden="false" customHeight="false" outlineLevel="0" collapsed="false">
      <c r="A47" s="0" t="s">
        <v>108</v>
      </c>
      <c r="C47" s="3" t="n">
        <v>26.9</v>
      </c>
      <c r="D47" s="3" t="n">
        <v>26.6</v>
      </c>
      <c r="E47" s="3" t="n">
        <v>26.3</v>
      </c>
      <c r="F47" s="3" t="n">
        <v>26.1</v>
      </c>
      <c r="G47" s="3" t="n">
        <v>25.9</v>
      </c>
      <c r="H47" s="3" t="n">
        <v>25.8</v>
      </c>
      <c r="I47" s="3" t="n">
        <v>25.7</v>
      </c>
      <c r="J47" s="3" t="n">
        <v>25.6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109</v>
      </c>
      <c r="B48" s="3" t="n">
        <v>10</v>
      </c>
    </row>
    <row r="49" customFormat="false" ht="15" hidden="false" customHeight="false" outlineLevel="0" collapsed="false">
      <c r="A49" s="0" t="s">
        <v>110</v>
      </c>
      <c r="B49" s="3" t="n">
        <v>3</v>
      </c>
    </row>
    <row r="50" customFormat="false" ht="15" hidden="false" customHeight="false" outlineLevel="0" collapsed="false">
      <c r="A50" s="0" t="s">
        <v>111</v>
      </c>
      <c r="B50" s="3" t="n">
        <v>16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9150</v>
      </c>
      <c r="C6" s="0" t="n">
        <f aca="false">B6*(1+C5/100)</f>
        <v>9333</v>
      </c>
      <c r="D6" s="0" t="n">
        <f aca="false">C6*(1+D5/100)</f>
        <v>9333</v>
      </c>
      <c r="E6" s="0" t="n">
        <f aca="false">D6*(1+E5/100)</f>
        <v>9612.99</v>
      </c>
      <c r="F6" s="0" t="n">
        <f aca="false">E6*(1+F5/100)</f>
        <v>9949.44465</v>
      </c>
      <c r="G6" s="0" t="n">
        <f aca="false">F6*(1+G5/100)</f>
        <v>10297.67521275</v>
      </c>
      <c r="H6" s="0" t="n">
        <f aca="false">G6*(1+H5/100)</f>
        <v>10606.6054691325</v>
      </c>
      <c r="I6" s="0" t="n">
        <f aca="false">H6*(1+I5/100)</f>
        <v>10924.8036332065</v>
      </c>
      <c r="J6" s="0" t="n">
        <f aca="false">I6*(1+J5/100)</f>
        <v>11197.9237240366</v>
      </c>
      <c r="K6" s="0" t="n">
        <f aca="false">J6*(1+K5/100)</f>
        <v>11477.8718171376</v>
      </c>
      <c r="L6" s="0" t="n">
        <f aca="false">K6*(1+L5/100)</f>
        <v>11764.818612566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28</v>
      </c>
      <c r="D7" s="4" t="n">
        <f aca="false">Assumptions!D14</f>
        <v>29.5</v>
      </c>
      <c r="E7" s="4" t="n">
        <f aca="false">Assumptions!E14</f>
        <v>30.5</v>
      </c>
      <c r="F7" s="4" t="n">
        <f aca="false">Assumptions!F14</f>
        <v>31</v>
      </c>
      <c r="G7" s="4" t="n">
        <f aca="false">Assumptions!G14</f>
        <v>31</v>
      </c>
      <c r="H7" s="4" t="n">
        <f aca="false">Assumptions!H14</f>
        <v>31</v>
      </c>
      <c r="I7" s="4" t="n">
        <f aca="false">Assumptions!I14</f>
        <v>31</v>
      </c>
      <c r="J7" s="4" t="n">
        <f aca="false">Assumptions!J14</f>
        <v>31</v>
      </c>
      <c r="K7" s="4" t="n">
        <f aca="false">Assumptions!K14</f>
        <v>31</v>
      </c>
      <c r="L7" s="4" t="n">
        <f aca="false">Assumptions!L14</f>
        <v>31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2613.24</v>
      </c>
      <c r="D8" s="0" t="n">
        <f aca="false">D6*D7/100</f>
        <v>2753.235</v>
      </c>
      <c r="E8" s="0" t="n">
        <f aca="false">E6*E7/100</f>
        <v>2931.96195</v>
      </c>
      <c r="F8" s="0" t="n">
        <f aca="false">F6*F7/100</f>
        <v>3084.3278415</v>
      </c>
      <c r="G8" s="0" t="n">
        <f aca="false">G6*G7/100</f>
        <v>3192.2793159525</v>
      </c>
      <c r="H8" s="0" t="n">
        <f aca="false">H6*H7/100</f>
        <v>3288.04769543107</v>
      </c>
      <c r="I8" s="0" t="n">
        <f aca="false">I6*I7/100</f>
        <v>3386.68912629401</v>
      </c>
      <c r="J8" s="0" t="n">
        <f aca="false">J6*J7/100</f>
        <v>3471.35635445136</v>
      </c>
      <c r="K8" s="0" t="n">
        <f aca="false">K6*K7/100</f>
        <v>3558.14026331264</v>
      </c>
      <c r="L8" s="0" t="n">
        <f aca="false">L6*L7/100</f>
        <v>3647.09376989546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-139.995</v>
      </c>
      <c r="D10" s="0" t="n">
        <f aca="false">-D6*D9/100</f>
        <v>-139.995</v>
      </c>
      <c r="E10" s="0" t="n">
        <f aca="false">-E6*E9/100</f>
        <v>-144.19485</v>
      </c>
      <c r="F10" s="0" t="n">
        <f aca="false">-F6*F9/100</f>
        <v>-149.24166975</v>
      </c>
      <c r="G10" s="0" t="n">
        <f aca="false">-G6*G9/100</f>
        <v>-154.46512819125</v>
      </c>
      <c r="H10" s="0" t="n">
        <f aca="false">-H6*H9/100</f>
        <v>-159.099082036987</v>
      </c>
      <c r="I10" s="0" t="n">
        <f aca="false">-I6*I9/100</f>
        <v>-163.872054498097</v>
      </c>
      <c r="J10" s="0" t="n">
        <f aca="false">-J6*J9/100</f>
        <v>-167.96885586055</v>
      </c>
      <c r="K10" s="0" t="n">
        <f aca="false">-K6*K9/100</f>
        <v>-172.168077257063</v>
      </c>
      <c r="L10" s="0" t="n">
        <f aca="false">-L6*L9/100</f>
        <v>-176.47227918849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2473.245</v>
      </c>
      <c r="D11" s="0" t="n">
        <f aca="false">D8+D10+D24</f>
        <v>2613.24</v>
      </c>
      <c r="E11" s="0" t="n">
        <f aca="false">E8+E10+E24</f>
        <v>2787.7671</v>
      </c>
      <c r="F11" s="0" t="n">
        <f aca="false">F8+F10+F24</f>
        <v>2935.08617175</v>
      </c>
      <c r="G11" s="0" t="n">
        <f aca="false">G8+G10+G24</f>
        <v>3037.81418776125</v>
      </c>
      <c r="H11" s="0" t="n">
        <f aca="false">H8+H10+H24</f>
        <v>3128.94861339409</v>
      </c>
      <c r="I11" s="0" t="n">
        <f aca="false">I8+I10+I24</f>
        <v>3222.81707179591</v>
      </c>
      <c r="J11" s="0" t="n">
        <f aca="false">J8+J10+J24</f>
        <v>3303.38749859081</v>
      </c>
      <c r="K11" s="0" t="n">
        <f aca="false">K8+K10+K24</f>
        <v>3385.97218605558</v>
      </c>
      <c r="L11" s="0" t="n">
        <f aca="false">L8+L10+L24</f>
        <v>3470.62149070697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2473.245</v>
      </c>
      <c r="D13" s="0" t="n">
        <f aca="false">D11+D12</f>
        <v>2613.24</v>
      </c>
      <c r="E13" s="0" t="n">
        <f aca="false">E11+E12</f>
        <v>2787.7671</v>
      </c>
      <c r="F13" s="0" t="n">
        <f aca="false">F11+F12</f>
        <v>2935.08617175</v>
      </c>
      <c r="G13" s="0" t="n">
        <f aca="false">G11+G12</f>
        <v>3037.81418776125</v>
      </c>
      <c r="H13" s="0" t="n">
        <f aca="false">H11+H12</f>
        <v>3128.94861339409</v>
      </c>
      <c r="I13" s="0" t="n">
        <f aca="false">I11+I12</f>
        <v>3222.81707179591</v>
      </c>
      <c r="J13" s="0" t="n">
        <f aca="false">J11+J12</f>
        <v>3303.38749859081</v>
      </c>
      <c r="K13" s="0" t="n">
        <f aca="false">K11+K12</f>
        <v>3385.97218605558</v>
      </c>
      <c r="L13" s="0" t="n">
        <f aca="false">L11+L12</f>
        <v>3470.62149070697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28.8</v>
      </c>
      <c r="D14" s="4" t="n">
        <f aca="false">Assumptions!D19</f>
        <v>28.3</v>
      </c>
      <c r="E14" s="4" t="n">
        <f aca="false">Assumptions!E19</f>
        <v>27.8</v>
      </c>
      <c r="F14" s="4" t="n">
        <f aca="false">Assumptions!F19</f>
        <v>27.6</v>
      </c>
      <c r="G14" s="4" t="n">
        <f aca="false">Assumptions!G19</f>
        <v>27.5</v>
      </c>
      <c r="H14" s="4" t="n">
        <f aca="false">Assumptions!H19</f>
        <v>27.4</v>
      </c>
      <c r="I14" s="4" t="n">
        <f aca="false">Assumptions!I19</f>
        <v>27.3</v>
      </c>
      <c r="J14" s="4" t="n">
        <f aca="false">Assumptions!J19</f>
        <v>27.2</v>
      </c>
      <c r="K14" s="4" t="n">
        <f aca="false">Assumptions!K19</f>
        <v>27.1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1760.95044</v>
      </c>
      <c r="D15" s="0" t="n">
        <f aca="false">D13-MAX(0,D13)*D14/100</f>
        <v>1873.69308</v>
      </c>
      <c r="E15" s="0" t="n">
        <f aca="false">E13-MAX(0,E13)*E14/100</f>
        <v>2012.7678462</v>
      </c>
      <c r="F15" s="0" t="n">
        <f aca="false">F13-MAX(0,F13)*F14/100</f>
        <v>2125.002388347</v>
      </c>
      <c r="G15" s="0" t="n">
        <f aca="false">G13-MAX(0,G13)*G14/100</f>
        <v>2202.41528612691</v>
      </c>
      <c r="H15" s="0" t="n">
        <f aca="false">H13-MAX(0,H13)*H14/100</f>
        <v>2271.61669332411</v>
      </c>
      <c r="I15" s="0" t="n">
        <f aca="false">I13-MAX(0,I13)*I14/100</f>
        <v>2342.98801119563</v>
      </c>
      <c r="J15" s="0" t="n">
        <f aca="false">J13-MAX(0,J13)*J14/100</f>
        <v>2404.86609897411</v>
      </c>
      <c r="K15" s="0" t="n">
        <f aca="false">K13-MAX(0,K13)*K14/100</f>
        <v>2468.37372363452</v>
      </c>
      <c r="L15" s="0" t="n">
        <f aca="false">L13-MAX(0,L13)*L14/100</f>
        <v>2533.55368821609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-317.322</v>
      </c>
      <c r="D17" s="4" t="n">
        <f aca="false">-D6*Assumptions!D18/100</f>
        <v>-242.658</v>
      </c>
      <c r="E17" s="4" t="n">
        <f aca="false">-E6*Assumptions!E18/100</f>
        <v>-499.87548</v>
      </c>
      <c r="F17" s="4" t="n">
        <f aca="false">-F6*Assumptions!F18/100</f>
        <v>-507.42167715</v>
      </c>
      <c r="G17" s="4" t="n">
        <f aca="false">-G6*Assumptions!G18/100</f>
        <v>-525.18143585025</v>
      </c>
      <c r="H17" s="4" t="n">
        <f aca="false">-H6*Assumptions!H18/100</f>
        <v>-540.936878925757</v>
      </c>
      <c r="I17" s="4" t="n">
        <f aca="false">-I6*Assumptions!I18/100</f>
        <v>-469.766556227878</v>
      </c>
      <c r="J17" s="4" t="n">
        <f aca="false">-J6*Assumptions!J18/100</f>
        <v>-481.510720133575</v>
      </c>
      <c r="K17" s="4" t="n">
        <f aca="false">-K6*Assumptions!K18/100</f>
        <v>-493.548488136915</v>
      </c>
      <c r="L17" s="4" t="n">
        <f aca="false">-L6*Assumptions!L18/100</f>
        <v>-505.887200340338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1443.62844</v>
      </c>
      <c r="D19" s="0" t="n">
        <f aca="false">D15+D16+D17+D18</f>
        <v>1631.03508</v>
      </c>
      <c r="E19" s="0" t="n">
        <f aca="false">E15+E16+E17+E18</f>
        <v>1512.8923662</v>
      </c>
      <c r="F19" s="0" t="n">
        <f aca="false">F15+F16+F17+F18</f>
        <v>1617.580711197</v>
      </c>
      <c r="G19" s="0" t="n">
        <f aca="false">G15+G16+G17+G18</f>
        <v>1677.23385027666</v>
      </c>
      <c r="H19" s="0" t="n">
        <f aca="false">H15+H16+H17+H18</f>
        <v>1730.67981439835</v>
      </c>
      <c r="I19" s="0" t="n">
        <f aca="false">I15+I16+I17+I18</f>
        <v>1873.22145496775</v>
      </c>
      <c r="J19" s="0" t="n">
        <f aca="false">J15+J16+J17+J18</f>
        <v>1923.35537884053</v>
      </c>
      <c r="K19" s="0" t="n">
        <f aca="false">K15+K16+K17+K18</f>
        <v>1974.8252354976</v>
      </c>
      <c r="L19" s="0" t="n">
        <f aca="false">L15+L16+L17+L18</f>
        <v>2027.66648787575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1312.38949090909</v>
      </c>
      <c r="D21" s="0" t="n">
        <f aca="false">D19*D20</f>
        <v>1347.96287603306</v>
      </c>
      <c r="E21" s="0" t="n">
        <f aca="false">E19*E20</f>
        <v>1136.65842689707</v>
      </c>
      <c r="F21" s="0" t="n">
        <f aca="false">F19*F20</f>
        <v>1104.82939088655</v>
      </c>
      <c r="G21" s="0" t="n">
        <f aca="false">G19*G20</f>
        <v>1041.43026139338</v>
      </c>
      <c r="H21" s="0" t="n">
        <f aca="false">H19*H20</f>
        <v>976.923636498178</v>
      </c>
      <c r="I21" s="0" t="n">
        <f aca="false">I19*I20</f>
        <v>961.258796860636</v>
      </c>
      <c r="J21" s="0" t="n">
        <f aca="false">J19*J20</f>
        <v>897.259478995196</v>
      </c>
      <c r="K21" s="0" t="n">
        <f aca="false">K19*K20</f>
        <v>837.518679076414</v>
      </c>
      <c r="L21" s="0" t="n">
        <f aca="false">L19*L20</f>
        <v>781.753207601641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10397.9842451512</v>
      </c>
    </row>
    <row r="31" customFormat="false" ht="15" hidden="false" customHeight="false" outlineLevel="0" collapsed="false">
      <c r="A31" s="0" t="s">
        <v>133</v>
      </c>
      <c r="B31" s="0" t="n">
        <f aca="false">L19</f>
        <v>2027.66648787575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27711.4420009686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26359.6643423847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26359.6643423847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10162.7916988213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20560.7759439726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20560.7759439726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48.4923960942749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-0.259997007564858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942.459058910304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929.848607823246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52.9082160629861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16626.8652005811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29.4711831626727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7</v>
      </c>
      <c r="D5" s="4" t="n">
        <f aca="false">Assumptions!D27</f>
        <v>5.5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9150</v>
      </c>
      <c r="C6" s="0" t="n">
        <f aca="false">B6*(1+C5/100)</f>
        <v>9790.5</v>
      </c>
      <c r="D6" s="0" t="n">
        <f aca="false">C6*(1+D5/100)</f>
        <v>10328.9775</v>
      </c>
      <c r="E6" s="0" t="n">
        <f aca="false">D6*(1+E5/100)</f>
        <v>10793.7814875</v>
      </c>
      <c r="F6" s="0" t="n">
        <f aca="false">E6*(1+F5/100)</f>
        <v>11225.532747</v>
      </c>
      <c r="G6" s="0" t="n">
        <f aca="false">F6*(1+G5/100)</f>
        <v>11674.55405688</v>
      </c>
      <c r="H6" s="0" t="n">
        <f aca="false">G6*(1+H5/100)</f>
        <v>12083.1634488708</v>
      </c>
      <c r="I6" s="0" t="n">
        <f aca="false">H6*(1+I5/100)</f>
        <v>12506.0741695813</v>
      </c>
      <c r="J6" s="0" t="n">
        <f aca="false">I6*(1+J5/100)</f>
        <v>12881.2563946687</v>
      </c>
      <c r="K6" s="0" t="n">
        <f aca="false">J6*(1+K5/100)</f>
        <v>13267.6940865088</v>
      </c>
      <c r="L6" s="0" t="n">
        <f aca="false">K6*(1+L5/100)</f>
        <v>13665.724909104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35.5</v>
      </c>
      <c r="D7" s="4" t="n">
        <f aca="false">Assumptions!D28</f>
        <v>36</v>
      </c>
      <c r="E7" s="4" t="n">
        <f aca="false">Assumptions!E28</f>
        <v>36</v>
      </c>
      <c r="F7" s="4" t="n">
        <f aca="false">Assumptions!F28</f>
        <v>36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3475.6275</v>
      </c>
      <c r="D8" s="0" t="n">
        <f aca="false">D6*D7/100</f>
        <v>3718.4319</v>
      </c>
      <c r="E8" s="0" t="n">
        <f aca="false">E6*E7/100</f>
        <v>3885.7613355</v>
      </c>
      <c r="F8" s="0" t="n">
        <f aca="false">F6*F7/100</f>
        <v>4041.19178892</v>
      </c>
      <c r="G8" s="0" t="n">
        <f aca="false">G6*G7/100</f>
        <v>4202.8394604768</v>
      </c>
      <c r="H8" s="0" t="n">
        <f aca="false">H6*H7/100</f>
        <v>4349.93884159349</v>
      </c>
      <c r="I8" s="0" t="n">
        <f aca="false">I6*I7/100</f>
        <v>4502.18670104926</v>
      </c>
      <c r="J8" s="0" t="n">
        <f aca="false">J6*J7/100</f>
        <v>4637.25230208074</v>
      </c>
      <c r="K8" s="0" t="n">
        <f aca="false">K6*K7/100</f>
        <v>4776.36987114316</v>
      </c>
      <c r="L8" s="0" t="n">
        <f aca="false">L6*L7/100</f>
        <v>4919.66096727745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-146.8575</v>
      </c>
      <c r="D10" s="0" t="n">
        <f aca="false">-D6*D9/100</f>
        <v>-154.9346625</v>
      </c>
      <c r="E10" s="0" t="n">
        <f aca="false">-E6*E9/100</f>
        <v>-161.9067223125</v>
      </c>
      <c r="F10" s="0" t="n">
        <f aca="false">-F6*F9/100</f>
        <v>-168.382991205</v>
      </c>
      <c r="G10" s="0" t="n">
        <f aca="false">-G6*G9/100</f>
        <v>-175.1183108532</v>
      </c>
      <c r="H10" s="0" t="n">
        <f aca="false">-H6*H9/100</f>
        <v>-181.247451733062</v>
      </c>
      <c r="I10" s="0" t="n">
        <f aca="false">-I6*I9/100</f>
        <v>-187.591112543719</v>
      </c>
      <c r="J10" s="0" t="n">
        <f aca="false">-J6*J9/100</f>
        <v>-193.218845920031</v>
      </c>
      <c r="K10" s="0" t="n">
        <f aca="false">-K6*K9/100</f>
        <v>-199.015411297632</v>
      </c>
      <c r="L10" s="0" t="n">
        <f aca="false">-L6*L9/100</f>
        <v>-204.985873636561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3328.77</v>
      </c>
      <c r="D11" s="0" t="n">
        <f aca="false">D8+D10+D24</f>
        <v>3563.4972375</v>
      </c>
      <c r="E11" s="0" t="n">
        <f aca="false">E8+E10+E24</f>
        <v>3723.8546131875</v>
      </c>
      <c r="F11" s="0" t="n">
        <f aca="false">F8+F10+F24</f>
        <v>3872.808797715</v>
      </c>
      <c r="G11" s="0" t="n">
        <f aca="false">G8+G10+G24</f>
        <v>4027.7211496236</v>
      </c>
      <c r="H11" s="0" t="n">
        <f aca="false">H8+H10+H24</f>
        <v>4168.69138986043</v>
      </c>
      <c r="I11" s="0" t="n">
        <f aca="false">I8+I10+I24</f>
        <v>4314.59558850554</v>
      </c>
      <c r="J11" s="0" t="n">
        <f aca="false">J8+J10+J24</f>
        <v>4444.03345616071</v>
      </c>
      <c r="K11" s="0" t="n">
        <f aca="false">K8+K10+K24</f>
        <v>4577.35445984553</v>
      </c>
      <c r="L11" s="0" t="n">
        <f aca="false">L8+L10+L24</f>
        <v>4714.67509364089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3328.77</v>
      </c>
      <c r="D13" s="0" t="n">
        <f aca="false">D11+D12</f>
        <v>3563.4972375</v>
      </c>
      <c r="E13" s="0" t="n">
        <f aca="false">E11+E12</f>
        <v>3723.8546131875</v>
      </c>
      <c r="F13" s="0" t="n">
        <f aca="false">F11+F12</f>
        <v>3872.808797715</v>
      </c>
      <c r="G13" s="0" t="n">
        <f aca="false">G11+G12</f>
        <v>4027.7211496236</v>
      </c>
      <c r="H13" s="0" t="n">
        <f aca="false">H11+H12</f>
        <v>4168.69138986043</v>
      </c>
      <c r="I13" s="0" t="n">
        <f aca="false">I11+I12</f>
        <v>4314.59558850554</v>
      </c>
      <c r="J13" s="0" t="n">
        <f aca="false">J11+J12</f>
        <v>4444.03345616071</v>
      </c>
      <c r="K13" s="0" t="n">
        <f aca="false">K11+K12</f>
        <v>4577.35445984553</v>
      </c>
      <c r="L13" s="0" t="n">
        <f aca="false">L11+L12</f>
        <v>4714.67509364089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27</v>
      </c>
      <c r="D14" s="4" t="n">
        <f aca="false">Assumptions!D33</f>
        <v>26.8</v>
      </c>
      <c r="E14" s="4" t="n">
        <f aca="false">Assumptions!E33</f>
        <v>26.7</v>
      </c>
      <c r="F14" s="4" t="n">
        <f aca="false">Assumptions!F33</f>
        <v>26.6</v>
      </c>
      <c r="G14" s="4" t="n">
        <f aca="false">Assumptions!G33</f>
        <v>26.5</v>
      </c>
      <c r="H14" s="4" t="n">
        <f aca="false">Assumptions!H33</f>
        <v>26.4</v>
      </c>
      <c r="I14" s="4" t="n">
        <f aca="false">Assumptions!I33</f>
        <v>26.3</v>
      </c>
      <c r="J14" s="4" t="n">
        <f aca="false">Assumptions!J33</f>
        <v>26.2</v>
      </c>
      <c r="K14" s="4" t="n">
        <f aca="false">Assumptions!K33</f>
        <v>26.1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2430.0021</v>
      </c>
      <c r="D15" s="0" t="n">
        <f aca="false">D13-MAX(0,D13)*D14/100</f>
        <v>2608.47997785</v>
      </c>
      <c r="E15" s="0" t="n">
        <f aca="false">E13-MAX(0,E13)*E14/100</f>
        <v>2729.58543146644</v>
      </c>
      <c r="F15" s="0" t="n">
        <f aca="false">F13-MAX(0,F13)*F14/100</f>
        <v>2842.64165752281</v>
      </c>
      <c r="G15" s="0" t="n">
        <f aca="false">G13-MAX(0,G13)*G14/100</f>
        <v>2960.37504497335</v>
      </c>
      <c r="H15" s="0" t="n">
        <f aca="false">H13-MAX(0,H13)*H14/100</f>
        <v>3068.15686293727</v>
      </c>
      <c r="I15" s="0" t="n">
        <f aca="false">I13-MAX(0,I13)*I14/100</f>
        <v>3179.85694872858</v>
      </c>
      <c r="J15" s="0" t="n">
        <f aca="false">J13-MAX(0,J13)*J14/100</f>
        <v>3279.6966906466</v>
      </c>
      <c r="K15" s="0" t="n">
        <f aca="false">K13-MAX(0,K13)*K14/100</f>
        <v>3382.66494582585</v>
      </c>
      <c r="L15" s="0" t="n">
        <f aca="false">L13-MAX(0,L13)*L14/100</f>
        <v>3488.85956929426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-636.3825</v>
      </c>
      <c r="D17" s="4" t="n">
        <f aca="false">-D6*Assumptions!D32/100</f>
        <v>-661.05456</v>
      </c>
      <c r="E17" s="4" t="n">
        <f aca="false">-E6*Assumptions!E32/100</f>
        <v>-690.8020152</v>
      </c>
      <c r="F17" s="4" t="n">
        <f aca="false">-F6*Assumptions!F32/100</f>
        <v>-628.629833832</v>
      </c>
      <c r="G17" s="4" t="n">
        <f aca="false">-G6*Assumptions!G32/100</f>
        <v>-653.77502718528</v>
      </c>
      <c r="H17" s="4" t="n">
        <f aca="false">-H6*Assumptions!H32/100</f>
        <v>-676.657153136765</v>
      </c>
      <c r="I17" s="4" t="n">
        <f aca="false">-I6*Assumptions!I32/100</f>
        <v>-600.291560139901</v>
      </c>
      <c r="J17" s="4" t="n">
        <f aca="false">-J6*Assumptions!J32/100</f>
        <v>-618.300306944098</v>
      </c>
      <c r="K17" s="4" t="n">
        <f aca="false">-K6*Assumptions!K32/100</f>
        <v>-636.849316152421</v>
      </c>
      <c r="L17" s="4" t="n">
        <f aca="false">-L6*Assumptions!L32/100</f>
        <v>-655.954795636994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1793.6196</v>
      </c>
      <c r="D19" s="0" t="n">
        <f aca="false">D15+D16+D17+D18</f>
        <v>1947.42541785</v>
      </c>
      <c r="E19" s="0" t="n">
        <f aca="false">E15+E16+E17+E18</f>
        <v>2038.78341626644</v>
      </c>
      <c r="F19" s="0" t="n">
        <f aca="false">F15+F16+F17+F18</f>
        <v>2214.01182369081</v>
      </c>
      <c r="G19" s="0" t="n">
        <f aca="false">G15+G16+G17+G18</f>
        <v>2306.60001778807</v>
      </c>
      <c r="H19" s="0" t="n">
        <f aca="false">H15+H16+H17+H18</f>
        <v>2391.49970980051</v>
      </c>
      <c r="I19" s="0" t="n">
        <f aca="false">I15+I16+I17+I18</f>
        <v>2579.56538858868</v>
      </c>
      <c r="J19" s="0" t="n">
        <f aca="false">J15+J16+J17+J18</f>
        <v>2661.3963837025</v>
      </c>
      <c r="K19" s="0" t="n">
        <f aca="false">K15+K16+K17+K18</f>
        <v>2745.81562967342</v>
      </c>
      <c r="L19" s="0" t="n">
        <f aca="false">L15+L16+L17+L18</f>
        <v>2832.90477365727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1630.56327272727</v>
      </c>
      <c r="D21" s="0" t="n">
        <f aca="false">D19*D20</f>
        <v>1609.44249409091</v>
      </c>
      <c r="E21" s="0" t="n">
        <f aca="false">E19*E20</f>
        <v>1531.76815647366</v>
      </c>
      <c r="F21" s="0" t="n">
        <f aca="false">F19*F20</f>
        <v>1512.19986591818</v>
      </c>
      <c r="G21" s="0" t="n">
        <f aca="false">G19*G20</f>
        <v>1432.21713481324</v>
      </c>
      <c r="H21" s="0" t="n">
        <f aca="false">H19*H20</f>
        <v>1349.93923991356</v>
      </c>
      <c r="I21" s="0" t="n">
        <f aca="false">I19*I20</f>
        <v>1323.72492066123</v>
      </c>
      <c r="J21" s="0" t="n">
        <f aca="false">J19*J20</f>
        <v>1241.56105466071</v>
      </c>
      <c r="K21" s="0" t="n">
        <f aca="false">K19*K20</f>
        <v>1164.49386903444</v>
      </c>
      <c r="L21" s="0" t="n">
        <f aca="false">L19*L20</f>
        <v>1092.20742507645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13888.1174333696</v>
      </c>
    </row>
    <row r="31" customFormat="false" ht="15" hidden="false" customHeight="false" outlineLevel="0" collapsed="false">
      <c r="A31" s="0" t="s">
        <v>133</v>
      </c>
      <c r="B31" s="0" t="n">
        <f aca="false">L19</f>
        <v>2832.90477365727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41684.1702409569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42493.571604859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41684.1702409569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16071.0521118391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29959.1695452088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29959.1695452088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70.6584187386999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0.0782606247321822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1059.08172383319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1162.88365498112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75.8989031226959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24315.7659738915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40.4489178946114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9</v>
      </c>
      <c r="D5" s="4" t="n">
        <f aca="false">Assumptions!D41</f>
        <v>7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9150</v>
      </c>
      <c r="C6" s="0" t="n">
        <f aca="false">B6*(1+C5/100)</f>
        <v>9973.5</v>
      </c>
      <c r="D6" s="0" t="n">
        <f aca="false">C6*(1+D5/100)</f>
        <v>10671.645</v>
      </c>
      <c r="E6" s="0" t="n">
        <f aca="false">D6*(1+E5/100)</f>
        <v>11258.585475</v>
      </c>
      <c r="F6" s="0" t="n">
        <f aca="false">E6*(1+F5/100)</f>
        <v>11821.51474875</v>
      </c>
      <c r="G6" s="0" t="n">
        <f aca="false">F6*(1+G5/100)</f>
        <v>12353.4829124438</v>
      </c>
      <c r="H6" s="0" t="n">
        <f aca="false">G6*(1+H5/100)</f>
        <v>12847.6222289415</v>
      </c>
      <c r="I6" s="0" t="n">
        <f aca="false">H6*(1+I5/100)</f>
        <v>13297.2890069545</v>
      </c>
      <c r="J6" s="0" t="n">
        <f aca="false">I6*(1+J5/100)</f>
        <v>13762.6941221979</v>
      </c>
      <c r="K6" s="0" t="n">
        <f aca="false">J6*(1+K5/100)</f>
        <v>14175.5749458638</v>
      </c>
      <c r="L6" s="0" t="n">
        <f aca="false">K6*(1+L5/100)</f>
        <v>14600.8421942397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37.5</v>
      </c>
      <c r="D7" s="4" t="n">
        <f aca="false">Assumptions!D42</f>
        <v>39.5</v>
      </c>
      <c r="E7" s="4" t="n">
        <f aca="false">Assumptions!E42</f>
        <v>41</v>
      </c>
      <c r="F7" s="4" t="n">
        <f aca="false">Assumptions!F42</f>
        <v>41.5</v>
      </c>
      <c r="G7" s="4" t="n">
        <f aca="false">Assumptions!G42</f>
        <v>41.5</v>
      </c>
      <c r="H7" s="4" t="n">
        <f aca="false">Assumptions!H42</f>
        <v>41.5</v>
      </c>
      <c r="I7" s="4" t="n">
        <f aca="false">Assumptions!I42</f>
        <v>41.5</v>
      </c>
      <c r="J7" s="4" t="n">
        <f aca="false">Assumptions!J42</f>
        <v>41.5</v>
      </c>
      <c r="K7" s="4" t="n">
        <f aca="false">Assumptions!K42</f>
        <v>41.5</v>
      </c>
      <c r="L7" s="4" t="n">
        <f aca="false">Assumptions!L42</f>
        <v>41.5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3740.0625</v>
      </c>
      <c r="D8" s="0" t="n">
        <f aca="false">D6*D7/100</f>
        <v>4215.299775</v>
      </c>
      <c r="E8" s="0" t="n">
        <f aca="false">E6*E7/100</f>
        <v>4616.02004475</v>
      </c>
      <c r="F8" s="0" t="n">
        <f aca="false">F6*F7/100</f>
        <v>4905.92862073125</v>
      </c>
      <c r="G8" s="0" t="n">
        <f aca="false">G6*G7/100</f>
        <v>5126.69540866416</v>
      </c>
      <c r="H8" s="0" t="n">
        <f aca="false">H6*H7/100</f>
        <v>5331.76322501072</v>
      </c>
      <c r="I8" s="0" t="n">
        <f aca="false">I6*I7/100</f>
        <v>5518.3749378861</v>
      </c>
      <c r="J8" s="0" t="n">
        <f aca="false">J6*J7/100</f>
        <v>5711.51806071211</v>
      </c>
      <c r="K8" s="0" t="n">
        <f aca="false">K6*K7/100</f>
        <v>5882.86360253347</v>
      </c>
      <c r="L8" s="0" t="n">
        <f aca="false">L6*L7/100</f>
        <v>6059.34951060948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-149.6025</v>
      </c>
      <c r="D10" s="0" t="n">
        <f aca="false">-D6*D9/100</f>
        <v>-160.074675</v>
      </c>
      <c r="E10" s="0" t="n">
        <f aca="false">-E6*E9/100</f>
        <v>-168.878782125</v>
      </c>
      <c r="F10" s="0" t="n">
        <f aca="false">-F6*F9/100</f>
        <v>-177.32272123125</v>
      </c>
      <c r="G10" s="0" t="n">
        <f aca="false">-G6*G9/100</f>
        <v>-185.302243686656</v>
      </c>
      <c r="H10" s="0" t="n">
        <f aca="false">-H6*H9/100</f>
        <v>-192.714333434123</v>
      </c>
      <c r="I10" s="0" t="n">
        <f aca="false">-I6*I9/100</f>
        <v>-199.459335104317</v>
      </c>
      <c r="J10" s="0" t="n">
        <f aca="false">-J6*J9/100</f>
        <v>-206.440411832968</v>
      </c>
      <c r="K10" s="0" t="n">
        <f aca="false">-K6*K9/100</f>
        <v>-212.633624187957</v>
      </c>
      <c r="L10" s="0" t="n">
        <f aca="false">-L6*L9/100</f>
        <v>-219.012632913596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3590.46</v>
      </c>
      <c r="D11" s="0" t="n">
        <f aca="false">D8+D10+D24</f>
        <v>4055.2251</v>
      </c>
      <c r="E11" s="0" t="n">
        <f aca="false">E8+E10+E24</f>
        <v>4447.141262625</v>
      </c>
      <c r="F11" s="0" t="n">
        <f aca="false">F8+F10+F24</f>
        <v>4728.6058995</v>
      </c>
      <c r="G11" s="0" t="n">
        <f aca="false">G8+G10+G24</f>
        <v>4941.3931649775</v>
      </c>
      <c r="H11" s="0" t="n">
        <f aca="false">H8+H10+H24</f>
        <v>5139.0488915766</v>
      </c>
      <c r="I11" s="0" t="n">
        <f aca="false">I8+I10+I24</f>
        <v>5318.91560278178</v>
      </c>
      <c r="J11" s="0" t="n">
        <f aca="false">J8+J10+J24</f>
        <v>5505.07764887914</v>
      </c>
      <c r="K11" s="0" t="n">
        <f aca="false">K8+K10+K24</f>
        <v>5670.22997834552</v>
      </c>
      <c r="L11" s="0" t="n">
        <f aca="false">L8+L10+L24</f>
        <v>5840.33687769588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3590.46</v>
      </c>
      <c r="D13" s="0" t="n">
        <f aca="false">D11+D12</f>
        <v>4055.2251</v>
      </c>
      <c r="E13" s="0" t="n">
        <f aca="false">E11+E12</f>
        <v>4447.141262625</v>
      </c>
      <c r="F13" s="0" t="n">
        <f aca="false">F11+F12</f>
        <v>4728.6058995</v>
      </c>
      <c r="G13" s="0" t="n">
        <f aca="false">G11+G12</f>
        <v>4941.3931649775</v>
      </c>
      <c r="H13" s="0" t="n">
        <f aca="false">H11+H12</f>
        <v>5139.0488915766</v>
      </c>
      <c r="I13" s="0" t="n">
        <f aca="false">I11+I12</f>
        <v>5318.91560278178</v>
      </c>
      <c r="J13" s="0" t="n">
        <f aca="false">J11+J12</f>
        <v>5505.07764887914</v>
      </c>
      <c r="K13" s="0" t="n">
        <f aca="false">K11+K12</f>
        <v>5670.22997834552</v>
      </c>
      <c r="L13" s="0" t="n">
        <f aca="false">L11+L12</f>
        <v>5840.33687769588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26.9</v>
      </c>
      <c r="D14" s="4" t="n">
        <f aca="false">Assumptions!D47</f>
        <v>26.6</v>
      </c>
      <c r="E14" s="4" t="n">
        <f aca="false">Assumptions!E47</f>
        <v>26.3</v>
      </c>
      <c r="F14" s="4" t="n">
        <f aca="false">Assumptions!F47</f>
        <v>26.1</v>
      </c>
      <c r="G14" s="4" t="n">
        <f aca="false">Assumptions!G47</f>
        <v>25.9</v>
      </c>
      <c r="H14" s="4" t="n">
        <f aca="false">Assumptions!H47</f>
        <v>25.8</v>
      </c>
      <c r="I14" s="4" t="n">
        <f aca="false">Assumptions!I47</f>
        <v>25.7</v>
      </c>
      <c r="J14" s="4" t="n">
        <f aca="false">Assumptions!J47</f>
        <v>25.6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2624.62626</v>
      </c>
      <c r="D15" s="0" t="n">
        <f aca="false">D13-MAX(0,D13)*D14/100</f>
        <v>2976.5352234</v>
      </c>
      <c r="E15" s="0" t="n">
        <f aca="false">E13-MAX(0,E13)*E14/100</f>
        <v>3277.54311055462</v>
      </c>
      <c r="F15" s="0" t="n">
        <f aca="false">F13-MAX(0,F13)*F14/100</f>
        <v>3494.4397597305</v>
      </c>
      <c r="G15" s="0" t="n">
        <f aca="false">G13-MAX(0,G13)*G14/100</f>
        <v>3661.57233524833</v>
      </c>
      <c r="H15" s="0" t="n">
        <f aca="false">H13-MAX(0,H13)*H14/100</f>
        <v>3813.17427754984</v>
      </c>
      <c r="I15" s="0" t="n">
        <f aca="false">I13-MAX(0,I13)*I14/100</f>
        <v>3951.95429286686</v>
      </c>
      <c r="J15" s="0" t="n">
        <f aca="false">J13-MAX(0,J13)*J14/100</f>
        <v>4095.77777076608</v>
      </c>
      <c r="K15" s="0" t="n">
        <f aca="false">K13-MAX(0,K13)*K14/100</f>
        <v>4224.32133386741</v>
      </c>
      <c r="L15" s="0" t="n">
        <f aca="false">L13-MAX(0,L13)*L14/100</f>
        <v>4351.05097388343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-797.88</v>
      </c>
      <c r="D17" s="4" t="n">
        <f aca="false">-D6*Assumptions!D46/100</f>
        <v>-843.059955</v>
      </c>
      <c r="E17" s="4" t="n">
        <f aca="false">-E6*Assumptions!E46/100</f>
        <v>-799.359568725</v>
      </c>
      <c r="F17" s="4" t="n">
        <f aca="false">-F6*Assumptions!F46/100</f>
        <v>-827.5060324125</v>
      </c>
      <c r="G17" s="4" t="n">
        <f aca="false">-G6*Assumptions!G46/100</f>
        <v>-765.915940571513</v>
      </c>
      <c r="H17" s="4" t="n">
        <f aca="false">-H6*Assumptions!H46/100</f>
        <v>-796.552578194373</v>
      </c>
      <c r="I17" s="4" t="n">
        <f aca="false">-I6*Assumptions!I46/100</f>
        <v>-731.350895382495</v>
      </c>
      <c r="J17" s="4" t="n">
        <f aca="false">-J6*Assumptions!J46/100</f>
        <v>-756.948176720882</v>
      </c>
      <c r="K17" s="4" t="n">
        <f aca="false">-K6*Assumptions!K46/100</f>
        <v>-666.252022455598</v>
      </c>
      <c r="L17" s="4" t="n">
        <f aca="false">-L6*Assumptions!L46/100</f>
        <v>-686.239583129266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1826.74626</v>
      </c>
      <c r="D19" s="0" t="n">
        <f aca="false">D15+D16+D17+D18</f>
        <v>2133.4752684</v>
      </c>
      <c r="E19" s="0" t="n">
        <f aca="false">E15+E16+E17+E18</f>
        <v>2478.18354182962</v>
      </c>
      <c r="F19" s="0" t="n">
        <f aca="false">F15+F16+F17+F18</f>
        <v>2666.933727318</v>
      </c>
      <c r="G19" s="0" t="n">
        <f aca="false">G15+G16+G17+G18</f>
        <v>2895.65639467682</v>
      </c>
      <c r="H19" s="0" t="n">
        <f aca="false">H15+H16+H17+H18</f>
        <v>3016.62169935546</v>
      </c>
      <c r="I19" s="0" t="n">
        <f aca="false">I15+I16+I17+I18</f>
        <v>3220.60339748437</v>
      </c>
      <c r="J19" s="0" t="n">
        <f aca="false">J15+J16+J17+J18</f>
        <v>3338.8295940452</v>
      </c>
      <c r="K19" s="0" t="n">
        <f aca="false">K15+K16+K17+K18</f>
        <v>3558.06931141181</v>
      </c>
      <c r="L19" s="0" t="n">
        <f aca="false">L15+L16+L17+L18</f>
        <v>3664.81139075417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1660.67841818182</v>
      </c>
      <c r="D21" s="0" t="n">
        <f aca="false">D19*D20</f>
        <v>1763.20270115702</v>
      </c>
      <c r="E21" s="0" t="n">
        <f aca="false">E19*E20</f>
        <v>1861.89597432729</v>
      </c>
      <c r="F21" s="0" t="n">
        <f aca="false">F19*F20</f>
        <v>1821.55162032511</v>
      </c>
      <c r="G21" s="0" t="n">
        <f aca="false">G19*G20</f>
        <v>1797.97479970743</v>
      </c>
      <c r="H21" s="0" t="n">
        <f aca="false">H19*H20</f>
        <v>1702.80430612068</v>
      </c>
      <c r="I21" s="0" t="n">
        <f aca="false">I19*I20</f>
        <v>1652.6787790205</v>
      </c>
      <c r="J21" s="0" t="n">
        <f aca="false">J19*J20</f>
        <v>1557.58864688475</v>
      </c>
      <c r="K21" s="0" t="n">
        <f aca="false">K19*K20</f>
        <v>1508.96872097398</v>
      </c>
      <c r="L21" s="0" t="n">
        <f aca="false">L19*L20</f>
        <v>1412.94343873018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16740.2874054288</v>
      </c>
    </row>
    <row r="31" customFormat="false" ht="15" hidden="false" customHeight="false" outlineLevel="0" collapsed="false">
      <c r="A31" s="0" t="s">
        <v>133</v>
      </c>
      <c r="B31" s="0" t="n">
        <f aca="false">L19</f>
        <v>3664.81139075417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53925.0818925256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58636.9822520667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53925.0818925256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20790.4534556012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37530.7408610299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37530.7408610299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88.5158982571461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0.350769086786908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1113.40707444407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1242.45737782477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94.0721823426858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31456.2977706399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49.7519442889012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48.4923960942749</v>
      </c>
      <c r="C4" s="0" t="n">
        <f aca="false">B4/Assumptions!$B$2-1</f>
        <v>-0.259997007564858</v>
      </c>
      <c r="D4" s="4" t="n">
        <f aca="false">Assumptions!$B$24</f>
        <v>0.25</v>
      </c>
      <c r="E4" s="4" t="n">
        <f aca="false">DCF_Bear!$B$43</f>
        <v>52.9082160629861</v>
      </c>
      <c r="F4" s="4" t="n">
        <f aca="false">DCF_Bear!$B$47</f>
        <v>29.4711831626727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70.6584187386999</v>
      </c>
      <c r="C5" s="0" t="n">
        <f aca="false">B5/Assumptions!$B$2-1</f>
        <v>0.0782606247321822</v>
      </c>
      <c r="D5" s="4" t="n">
        <f aca="false">Assumptions!$B$38</f>
        <v>0.5</v>
      </c>
      <c r="E5" s="4" t="n">
        <f aca="false">DCF_Base!$B$43</f>
        <v>75.8989031226959</v>
      </c>
      <c r="F5" s="4" t="n">
        <f aca="false">DCF_Base!$B$47</f>
        <v>40.4489178946114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88.5158982571461</v>
      </c>
      <c r="C6" s="0" t="n">
        <f aca="false">B6/Assumptions!$B$2-1</f>
        <v>0.350769086786908</v>
      </c>
      <c r="D6" s="4" t="n">
        <f aca="false">Assumptions!$B$52</f>
        <v>0.25</v>
      </c>
      <c r="E6" s="4" t="n">
        <f aca="false">DCF_Bull!$B$43</f>
        <v>94.0721823426858</v>
      </c>
      <c r="F6" s="4" t="n">
        <f aca="false">DCF_Bull!$B$47</f>
        <v>49.7519442889012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69.5812829572052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74.6945511627659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0.0582237461717523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-79.2307931901434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40.0302408101992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76.6743681487213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70.6584187386999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61.5730193546413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54.5172500847583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40.4489178946114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82.4636891492082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82.4636891492082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82.4636891492082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82.4636891492082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82.4636891492082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75.4648166750362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76.6743681487213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76.6743681487213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76.6743681487213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76.6743681487213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65.5984955261659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67.9597930253484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70.6584187386999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71.394407569614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71.394407569614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57.9453573684244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59.6524924207618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61.5730193546413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63.7496165463714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66.237156194063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51.8401697357044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53.1082604273615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54.5172500847583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56.0920032312606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57.8636005210757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2026-09-26T00:42:58Z</dcterms:created>
  <dc:creator>openpyxl</dc:creator>
  <dc:description/>
  <dc:language>en-NZ</dc:language>
  <cp:lastModifiedBy/>
  <dcterms:modified xsi:type="dcterms:W3CDTF">2026-09-26T00:42:58Z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