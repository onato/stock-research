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<sst xmlns="http://schemas.openxmlformats.org/spreadsheetml/2006/main" count="387" uniqueCount="175">
  <si>
    <t xml:space="preserve">Ticker</t>
  </si>
  <si>
    <t xml:space="preserve">LKQ</t>
  </si>
  <si>
    <t xml:space="preserve">Company</t>
  </si>
  <si>
    <t xml:space="preserve">LKQ Corporation</t>
  </si>
  <si>
    <t xml:space="preserve">Valuation date</t>
  </si>
  <si>
    <t xml:space="preserve">2026-10-02</t>
  </si>
  <si>
    <t xml:space="preserve">Current price</t>
  </si>
  <si>
    <t xml:space="preserve">Price as of</t>
  </si>
  <si>
    <t xml:space="preserve">2026-10-01T20:00:01Z regular close (NASDAQ)</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</si>
  <si>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</si>
  <si>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</si>
  <si>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</si>
  <si>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</si>
  <si>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</si>
  <si>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</si>
  <si>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</si>
  <si>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</si>
  <si>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</si>
  <si>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</si>
  <si>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</si>
  <si>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</si>
  <si>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2026-10-02T00:30:59Z</t>
  </si>
  <si>
    <t xml:space="preserve">Drivers file</t>
  </si>
  <si>
    <t xml:space="preserve">LKQ_Drivers.json</t>
  </si>
  <si>
    <t xml:space="preserve">Convention</t>
  </si>
  <si>
    <t xml:space="preserve">Percents stored as percents; formulas divide by 100. Blue = input, green = link, black = formula.</t>
  </si>
  <si>
    <t xml:space="preserve">Methodology</t>
  </si>
  <si>
    <t xml:space="preserve">summary: LKQ is valued as an unlevered owner-FCF stream from a mature, slowly shrinking distribution business, discounted at an 8% USD WACC with the cyclical and execution risks charged in the scenario paths and weights rather than the discount rate. GAAP EBITDA is used, with the perennial restructuring charges treated as a real cost. Operating leases are an operating cost (ASC 842), so they are inside EBITDA and outside net debt. The share count is held flat because SBC (0.25% of revenue) is fully expensed; the house/street band is correspondingly narrow. The strategic alternatives review (announced 2026-01-26, no deadline, no deal nine months on) is treated as optionality on top of the fundamental value: it supports a 20% bull weight that the operating evidence alone would not, but no takeout premium is baked into the base case and no deal-completes/deal-breaks weighting is used because there is no offer to weight. The base year is TTM to June 2026 against the June 2026 balance sheet, so year 1 is the twelve months to June 2027.
key_risks_to_valuation: Repairable-claims decline is structural (ADAS, total-loss rates) and runs faster than the 1-3%/yr the base assumes -- the single biggest driver of the bear/base gap; German ERP disruption and European margin recovery slip into 2027 or beyond; the $75m cost program does not land; Tariffs on Taiwan/China/Mexico-sourced aftermarket parts compress gross margin if pass-through is incomplete; Leverage: $3.66bn net debt plus $1.38bn operating leases (~3.6x EBITDA) means every 1pt of EBITDA margin is worth roughly $4-5/share of equity; Strategic review ends with no transaction, or sells Europe at a price that reduces rather than creates value; conversely a sale of the whole company would cap the upside at the bid; Terminal assumptions: the 14x FCF cap binds in the base case; at a 12x cap (bear) or a 15x cap (bull) the value moves materially, so the exit multiple a buyer grants a declining distributor is a judgment the reader should test on the Assumptions sheet; Restructuring charges are treated as recurring; if management's 'Segment EBITDA' basis is right and they genuinely end, GAAP margins would be ~0.7pt higher than modelled</t>
  </si>
  <si>
    <t xml:space="preserve">Data sources</t>
  </si>
  <si>
    <t xml:space="preserve">price: Yahoo Finance chart API, regular close at inputs.price_as_of; 52-week range 21.17-37.13
financials: research/LKQ/Reports/LKQ_Metrics.csv (SEC XBRL companyfacts CIK0001065696, continuing-ops restated FY2023-FY2025, Q1/Q2-2026 10-Q); diluted shares, interest expense, operating/finance lease liabilities, NCI, equity-method investments, discontinued-ops revenue and cash taxes read from the same XBRL feed (state/xbrl_cache/CIK0001065696.json)
qualitative: research/LKQ/Reports/LKQ_Analysis.json (2026-10-02): FY2026 guidance (Q2-2026 release, August 2026), strategic review, Self Service sale, activist campaign, segment mix</t>
  </si>
  <si>
    <t xml:space="preserve">Scenario narrative: bear</t>
  </si>
  <si>
    <t xml:space="preserve">The bear axes are structural, not cyclical: ADAS-driven accident avoidance and rising total-loss rates shrink the repairable-claims pool every year; EV mix erodes the high-margin mechanical categories; tariffs on imported aftermarket parts are absorbed rather than passed through; Europe never earns its cost of capital and cannot be sold at a price that helps; and the strategic review ends without a deal, removing the floor the market has been pricing. Revenue falls 2% a year for two years, margin sits at 9%, growth is 1% thereafter at a 12x terminal cap. Leverage at ~3.6x (including operating leases) turns a modest EV decline into a large equity decline, which is why this scenario's value sits far below base despite positive cash flow throughout.</t>
  </si>
  <si>
    <t xml:space="preserve">Scenario narrative: base</t>
  </si>
  <si>
    <t xml:space="preserve">LKQ muddles through as a low-growth, cash-generative distributor. The German ERP disruption that forced the August 2026 guidance cut resolves over H2-2026/H1-2027, the $75m European cost program delivers, and North America keeps outgrowing a repairable-claims market that declines 1-3% a year. Revenue is flat-to-slightly-down in the year to June 2027 and then grows ~2-2.5% nominal (price and ADAS content offsetting unit declines). GAAP EBITDA margin recovers from 9.4-9.7% to 11% by year 5 and stays there, below FY2023-24. Capex normalises to 2%, acquired-intangible amortisation runs off, and the ~$3.7bn net debt is serviced from ~$0.8-1.0bn of unlevered FCF. No value is ascribed to the strategic review in this case.</t>
  </si>
  <si>
    <t xml:space="preserve">Scenario narrative: bull</t>
  </si>
  <si>
    <t xml:space="preserve">The bull axes are (1) claims stabilisation -- used-car values firming and insurance premiums easing mean fewer total losses, so repairable volumes stop falling; (2) Europe either fixed (margin lifted toward North America's) or sold at a multiple above where the group trades, with proceeds cutting leverage; (3) ADAS calibration (Elitek) and EV body-part salvage adding ~1pt of growth. Margins return to 12% (FY2023 level), growth runs 3-3.5% mid-horizon, terminal growth 2.5% and a 15x cap. A sale of the whole company at a control premium -- the activist (Ananym) thesis, with BofA/Goldman/Wachtell retained since January 2026 -- is one route to realising this value quickly, but the figure here is the fundamental value, not a bid.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</si>
  <si>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</si>
  <si>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</si>
  <si>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</si>
  <si>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</si>
  <si>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</si>
  <si>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</si>
  <si>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</si>
  <si>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</si>
  <si>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</si>
  <si>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</si>
  <si>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</si>
  <si>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</si>
  <si>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</si>
  <si>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</si>
  <si>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</si>
  <si>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</si>
  <si>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</si>
  <si>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</si>
  <si>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</si>
  <si>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</si>
  <si>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</si>
  <si>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</si>
  <si>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</si>
  <si>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</si>
  <si>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</si>
  <si>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</si>
  <si>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</si>
  <si>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</si>
  <si>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</si>
  <si>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</si>
  <si>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</si>
  <si>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</si>
  <si>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</si>
  <si>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</si>
  <si>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</si>
  <si>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</si>
  <si>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</si>
  <si>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</si>
  <si>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</si>
  <si>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</si>
  <si>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</si>
  <si>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</si>
  <si>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</si>
  <si>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</si>
  <si>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</si>
  <si>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</si>
  <si>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</si>
  <si>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</si>
  <si>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</si>
  <si>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</si>
  <si>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</si>
  <si>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</si>
  <si>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</si>
  <si>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</si>
  <si>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</si>
  <si>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Jun-2026 (FY ends 31 December)</t>
  </si>
  <si>
    <t xml:space="preserve">Currency / units</t>
  </si>
  <si>
    <t xml:space="preserve">USD millions</t>
  </si>
  <si>
    <t xml:space="preserve">FX rate (model -&gt; quote)</t>
  </si>
  <si>
    <t xml:space="preserve">BEAR</t>
  </si>
  <si>
    <t xml:space="preserve">TTM Jun-2027</t>
  </si>
  <si>
    <t xml:space="preserve">TTM Jun-2028</t>
  </si>
  <si>
    <t xml:space="preserve">TTM Jun-2029</t>
  </si>
  <si>
    <t xml:space="preserve">TTM Jun-2030</t>
  </si>
  <si>
    <t xml:space="preserve">TTM Jun-2031</t>
  </si>
  <si>
    <t xml:space="preserve">TTM Jun-2032</t>
  </si>
  <si>
    <t xml:space="preserve">TTM Jun-2033</t>
  </si>
  <si>
    <t xml:space="preserve">TTM Jun-2034</t>
  </si>
  <si>
    <t xml:space="preserve">TTM Jun-2035</t>
  </si>
  <si>
    <t xml:space="preserve">TTM Jun-2036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</si>
  <si>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</si>
  <si>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</si>
  <si>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</si>
  <si>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</si>
  <si>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</si>
  <si>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</si>
  <si>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</si>
  <si>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</si>
  <si>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</si>
  <si>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</si>
  <si>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</si>
  <si>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</si>
  <si>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</si>
  <si>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</si>
  <si>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LKQ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</si>
  <si>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</si>
  <si>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</si>
  <si>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</si>
  <si>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</si>
  <si>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</si>
  <si>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</si>
  <si>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</si>
  <si>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</si>
  <si>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</si>
  <si>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</si>
  <si>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</si>
  <si>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</si>
  <si>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</si>
  <si>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</si>
  <si>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</si>
  <si>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</si>
  <si>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</si>
  <si>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</si>
  <si>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</si>
  <si>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</si>
  <si>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</si>
  <si>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</si>
  <si>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</si>
  <si>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</si>
  <si>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</si>
  <si>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</si>
  <si>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</si>
  <si>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</si>
  <si>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</si>
  <si>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</si>
  <si>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LKQ owner-FCF component DCF: base case (millions, USD)</t>
  </si>
  <si>
    <t xml:space="preserve">LKQ owner-FCF component DCF: bull case (millions, USD)</t>
  </si>
  <si>
    <t xml:space="preserve">LKQ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</si>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</sst>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22.78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849.777</v>
      </c>
      <c r="S2" s="0" t="n">
        <v>74.241</v>
      </c>
      <c r="AA2" s="0" t="s">
        <v>17</v>
      </c>
      <c r="AB2" s="0" t="s">
        <v>14</v>
      </c>
    </row>
    <row r="3" customFormat="false" ht="15" hidden="false" customHeight="false" outlineLevel="0" collapsed="false">
      <c r="A3" s="0" t="s">
        <v>64</v>
      </c>
      <c r="B3" s="0" t="n">
        <v>1908.532</v>
      </c>
      <c r="C3" s="0" t="n">
        <v>1064.706</v>
      </c>
      <c r="D3" s="0" t="n">
        <v>843.826</v>
      </c>
      <c r="E3" s="0" t="n">
        <v>44.2133535093989</v>
      </c>
      <c r="F3" s="0" t="n">
        <v>193.28</v>
      </c>
      <c r="G3" s="0" t="n">
        <v>10.1271553214722</v>
      </c>
      <c r="H3" s="0" t="n">
        <v>226.701</v>
      </c>
      <c r="I3" s="0" t="n">
        <v>99.899</v>
      </c>
      <c r="J3" s="0" t="n">
        <v>5.2343371764267</v>
      </c>
      <c r="K3" s="0" t="n">
        <v>0.365</v>
      </c>
      <c r="L3" s="0" t="n">
        <v>132.961</v>
      </c>
      <c r="M3" s="0" t="n">
        <v>66.908</v>
      </c>
      <c r="N3" s="0" t="n">
        <v>66.053</v>
      </c>
      <c r="O3" s="0" t="n">
        <v>1020.506</v>
      </c>
      <c r="S3" s="0" t="n">
        <v>79.067</v>
      </c>
      <c r="U3" s="0" t="n">
        <v>5.498</v>
      </c>
      <c r="AA3" s="0" t="s">
        <v>17</v>
      </c>
      <c r="AB3" s="0" t="s">
        <v>14</v>
      </c>
    </row>
    <row r="4" customFormat="false" ht="15" hidden="false" customHeight="false" outlineLevel="0" collapsed="false">
      <c r="A4" s="0" t="s">
        <v>65</v>
      </c>
      <c r="B4" s="0" t="n">
        <v>2047.942</v>
      </c>
      <c r="C4" s="0" t="n">
        <v>1120.129</v>
      </c>
      <c r="D4" s="0" t="n">
        <v>927.813</v>
      </c>
      <c r="E4" s="0" t="n">
        <v>45.3046521825325</v>
      </c>
      <c r="F4" s="0" t="n">
        <v>231.448</v>
      </c>
      <c r="G4" s="0" t="n">
        <v>11.3014919367834</v>
      </c>
      <c r="H4" s="0" t="n">
        <v>269.51</v>
      </c>
      <c r="I4" s="0" t="n">
        <v>127.521</v>
      </c>
      <c r="J4" s="0" t="n">
        <v>6.22678767269776</v>
      </c>
      <c r="K4" s="0" t="n">
        <v>0.455</v>
      </c>
      <c r="L4" s="0" t="n">
        <v>164.002</v>
      </c>
      <c r="M4" s="0" t="n">
        <v>55.87</v>
      </c>
      <c r="N4" s="0" t="n">
        <v>108.132</v>
      </c>
      <c r="O4" s="0" t="n">
        <v>1179.434</v>
      </c>
      <c r="P4" s="0" t="n">
        <v>2020.121</v>
      </c>
      <c r="Q4" s="0" t="n">
        <v>840.687</v>
      </c>
      <c r="R4" s="0" t="n">
        <v>603.045</v>
      </c>
      <c r="S4" s="0" t="n">
        <v>108.906</v>
      </c>
      <c r="T4" s="0" t="n">
        <v>287.98</v>
      </c>
      <c r="U4" s="0" t="n">
        <v>7.283</v>
      </c>
      <c r="AA4" s="0" t="s">
        <v>17</v>
      </c>
      <c r="AB4" s="0" t="s">
        <v>14</v>
      </c>
    </row>
    <row r="5" customFormat="false" ht="15" hidden="false" customHeight="false" outlineLevel="0" collapsed="false">
      <c r="A5" s="0" t="s">
        <v>66</v>
      </c>
      <c r="B5" s="0" t="n">
        <v>2469.881</v>
      </c>
      <c r="C5" s="0" t="n">
        <v>1376.401</v>
      </c>
      <c r="D5" s="0" t="n">
        <v>1093.48</v>
      </c>
      <c r="E5" s="0" t="n">
        <v>44.2725783145018</v>
      </c>
      <c r="F5" s="0" t="n">
        <v>297.877</v>
      </c>
      <c r="G5" s="0" t="n">
        <v>12.0603786174314</v>
      </c>
      <c r="H5" s="0" t="n">
        <v>339.305</v>
      </c>
      <c r="I5" s="0" t="n">
        <v>169.071</v>
      </c>
      <c r="J5" s="0" t="n">
        <v>6.84530955135086</v>
      </c>
      <c r="K5" s="0" t="n">
        <v>0.59</v>
      </c>
      <c r="L5" s="0" t="n">
        <v>159.183</v>
      </c>
      <c r="M5" s="0" t="n">
        <v>61.438</v>
      </c>
      <c r="N5" s="0" t="n">
        <v>97.745</v>
      </c>
      <c r="O5" s="0" t="n">
        <v>1414.161</v>
      </c>
      <c r="P5" s="0" t="n">
        <v>2299.509</v>
      </c>
      <c r="Q5" s="0" t="n">
        <v>885.348</v>
      </c>
      <c r="R5" s="0" t="n">
        <v>600.954</v>
      </c>
      <c r="S5" s="0" t="n">
        <v>95.689</v>
      </c>
      <c r="T5" s="0" t="n">
        <v>291.714</v>
      </c>
      <c r="U5" s="0" t="n">
        <v>9.974</v>
      </c>
      <c r="AA5" s="0" t="s">
        <v>17</v>
      </c>
      <c r="AB5" s="0" t="s">
        <v>14</v>
      </c>
    </row>
    <row r="6" customFormat="false" ht="15" hidden="false" customHeight="false" outlineLevel="0" collapsed="false">
      <c r="A6" s="0" t="s">
        <v>67</v>
      </c>
      <c r="B6" s="0" t="n">
        <v>3269.862</v>
      </c>
      <c r="C6" s="0" t="n">
        <v>1877.869</v>
      </c>
      <c r="D6" s="0" t="n">
        <v>1391.993</v>
      </c>
      <c r="E6" s="0" t="n">
        <v>42.5703898207325</v>
      </c>
      <c r="F6" s="0" t="n">
        <v>361.483</v>
      </c>
      <c r="G6" s="0" t="n">
        <v>11.0549925348532</v>
      </c>
      <c r="H6" s="0" t="n">
        <v>415.988</v>
      </c>
      <c r="I6" s="0" t="n">
        <v>210.264</v>
      </c>
      <c r="J6" s="0" t="n">
        <v>6.4303631162416</v>
      </c>
      <c r="K6" s="0" t="n">
        <v>0.72</v>
      </c>
      <c r="L6" s="0" t="n">
        <v>211.772</v>
      </c>
      <c r="M6" s="0" t="n">
        <v>86.416</v>
      </c>
      <c r="N6" s="0" t="n">
        <v>125.356</v>
      </c>
      <c r="O6" s="0" t="n">
        <v>1644.085</v>
      </c>
      <c r="P6" s="0" t="n">
        <v>3199.704</v>
      </c>
      <c r="Q6" s="0" t="n">
        <v>1555.619</v>
      </c>
      <c r="R6" s="0" t="n">
        <v>956.076</v>
      </c>
      <c r="S6" s="0" t="n">
        <v>48.247</v>
      </c>
      <c r="T6" s="0" t="n">
        <v>296.75</v>
      </c>
      <c r="U6" s="0" t="n">
        <v>13.107</v>
      </c>
      <c r="AA6" s="0" t="s">
        <v>17</v>
      </c>
      <c r="AB6" s="0" t="s">
        <v>14</v>
      </c>
    </row>
    <row r="7" customFormat="false" ht="15" hidden="false" customHeight="false" outlineLevel="0" collapsed="false">
      <c r="A7" s="0" t="s">
        <v>68</v>
      </c>
      <c r="B7" s="0" t="n">
        <v>4122.93</v>
      </c>
      <c r="C7" s="0" t="n">
        <v>2398.79</v>
      </c>
      <c r="D7" s="0" t="n">
        <v>1724.14</v>
      </c>
      <c r="E7" s="0" t="n">
        <v>41.8183185259027</v>
      </c>
      <c r="F7" s="0" t="n">
        <v>437.953</v>
      </c>
      <c r="G7" s="0" t="n">
        <v>10.6223729241098</v>
      </c>
      <c r="H7" s="0" t="n">
        <v>508.118</v>
      </c>
      <c r="I7" s="0" t="n">
        <v>261.225</v>
      </c>
      <c r="J7" s="0" t="n">
        <v>6.33590674593069</v>
      </c>
      <c r="K7" s="0" t="n">
        <v>0.88</v>
      </c>
      <c r="L7" s="0" t="n">
        <v>206.19</v>
      </c>
      <c r="M7" s="0" t="n">
        <v>88.255</v>
      </c>
      <c r="N7" s="0" t="n">
        <v>117.935</v>
      </c>
      <c r="O7" s="0" t="n">
        <v>1964.094</v>
      </c>
      <c r="P7" s="0" t="n">
        <v>3723.456</v>
      </c>
      <c r="Q7" s="0" t="n">
        <v>1759.362</v>
      </c>
      <c r="R7" s="0" t="n">
        <v>1118.478</v>
      </c>
      <c r="S7" s="0" t="n">
        <v>59.77</v>
      </c>
      <c r="T7" s="0" t="n">
        <v>300.693</v>
      </c>
      <c r="U7" s="0" t="n">
        <v>15.634</v>
      </c>
      <c r="AA7" s="0" t="s">
        <v>17</v>
      </c>
      <c r="AB7" s="0" t="s">
        <v>14</v>
      </c>
    </row>
    <row r="8" customFormat="false" ht="15" hidden="false" customHeight="false" outlineLevel="0" collapsed="false">
      <c r="A8" s="0" t="s">
        <v>69</v>
      </c>
      <c r="B8" s="0" t="n">
        <v>5062.528</v>
      </c>
      <c r="C8" s="0" t="n">
        <v>2987.126</v>
      </c>
      <c r="D8" s="0" t="n">
        <v>2075.402</v>
      </c>
      <c r="E8" s="0" t="n">
        <v>40.9953683219135</v>
      </c>
      <c r="F8" s="0" t="n">
        <v>530.18</v>
      </c>
      <c r="G8" s="0" t="n">
        <v>10.4726334353114</v>
      </c>
      <c r="H8" s="0" t="n">
        <v>616.643</v>
      </c>
      <c r="I8" s="0" t="n">
        <v>311.623</v>
      </c>
      <c r="J8" s="0" t="n">
        <v>6.15548200424768</v>
      </c>
      <c r="K8" s="0" t="n">
        <v>1.02463412148055</v>
      </c>
      <c r="L8" s="0" t="n">
        <v>428.056</v>
      </c>
      <c r="M8" s="0" t="n">
        <v>90.186</v>
      </c>
      <c r="N8" s="0" t="n">
        <v>337.87</v>
      </c>
      <c r="O8" s="0" t="n">
        <v>2350.745</v>
      </c>
      <c r="P8" s="0" t="n">
        <v>4438.058</v>
      </c>
      <c r="Q8" s="0" t="n">
        <v>2087.313</v>
      </c>
      <c r="R8" s="0" t="n">
        <v>1305.781</v>
      </c>
      <c r="S8" s="0" t="n">
        <v>150.488</v>
      </c>
      <c r="T8" s="0" t="n">
        <v>304.131</v>
      </c>
      <c r="U8" s="0" t="n">
        <v>22.036</v>
      </c>
      <c r="AA8" s="0" t="s">
        <v>17</v>
      </c>
      <c r="AB8" s="0" t="s">
        <v>14</v>
      </c>
    </row>
    <row r="9" customFormat="false" ht="15" hidden="false" customHeight="false" outlineLevel="0" collapsed="false">
      <c r="A9" s="0" t="s">
        <v>70</v>
      </c>
      <c r="B9" s="0" t="n">
        <v>6740.064</v>
      </c>
      <c r="C9" s="0" t="n">
        <v>4088.151</v>
      </c>
      <c r="D9" s="0" t="n">
        <v>2651.913</v>
      </c>
      <c r="E9" s="0" t="n">
        <v>39.3455166004358</v>
      </c>
      <c r="F9" s="0" t="n">
        <v>649.868</v>
      </c>
      <c r="G9" s="0" t="n">
        <v>9.64186690215404</v>
      </c>
      <c r="H9" s="0" t="n">
        <v>775.305</v>
      </c>
      <c r="I9" s="0" t="n">
        <v>381.519</v>
      </c>
      <c r="J9" s="0" t="n">
        <v>5.66046553860616</v>
      </c>
      <c r="K9" s="0" t="n">
        <v>1.26</v>
      </c>
      <c r="L9" s="0" t="n">
        <v>388.711</v>
      </c>
      <c r="M9" s="0" t="n">
        <v>140.95</v>
      </c>
      <c r="N9" s="0" t="n">
        <v>247.761</v>
      </c>
      <c r="O9" s="0" t="n">
        <v>2720.657</v>
      </c>
      <c r="P9" s="0" t="n">
        <v>5475.739</v>
      </c>
      <c r="Q9" s="0" t="n">
        <v>2755.082</v>
      </c>
      <c r="R9" s="0" t="n">
        <v>1864.562</v>
      </c>
      <c r="S9" s="0" t="n">
        <v>114.605</v>
      </c>
      <c r="T9" s="0" t="n">
        <v>306.045</v>
      </c>
      <c r="U9" s="0" t="n">
        <v>22.021</v>
      </c>
      <c r="AA9" s="0" t="s">
        <v>17</v>
      </c>
      <c r="AB9" s="0" t="s">
        <v>14</v>
      </c>
    </row>
    <row r="10" customFormat="false" ht="15" hidden="false" customHeight="false" outlineLevel="0" collapsed="false">
      <c r="A10" s="0" t="s">
        <v>71</v>
      </c>
      <c r="B10" s="0" t="n">
        <v>7192.633</v>
      </c>
      <c r="C10" s="0" t="n">
        <v>4359.104</v>
      </c>
      <c r="D10" s="0" t="n">
        <v>2833.529</v>
      </c>
      <c r="E10" s="0" t="n">
        <v>39.3948780648199</v>
      </c>
      <c r="F10" s="0" t="n">
        <v>704.627</v>
      </c>
      <c r="G10" s="0" t="n">
        <v>9.79650984556003</v>
      </c>
      <c r="H10" s="0" t="n">
        <v>832.819</v>
      </c>
      <c r="I10" s="0" t="n">
        <v>423.223</v>
      </c>
      <c r="J10" s="0" t="n">
        <v>5.88411781888496</v>
      </c>
      <c r="K10" s="0" t="n">
        <v>1.39</v>
      </c>
      <c r="L10" s="0" t="n">
        <v>544.282</v>
      </c>
      <c r="M10" s="0" t="n">
        <v>170.49</v>
      </c>
      <c r="N10" s="0" t="n">
        <v>373.792</v>
      </c>
      <c r="O10" s="0" t="n">
        <v>3114.682</v>
      </c>
      <c r="P10" s="0" t="n">
        <v>5647.837</v>
      </c>
      <c r="Q10" s="0" t="n">
        <v>2533.155</v>
      </c>
      <c r="R10" s="0" t="n">
        <v>1599.695</v>
      </c>
      <c r="S10" s="0" t="n">
        <v>87.397</v>
      </c>
      <c r="T10" s="0" t="n">
        <v>307.496</v>
      </c>
      <c r="U10" s="0" t="n">
        <v>21.336</v>
      </c>
      <c r="AA10" s="0" t="s">
        <v>17</v>
      </c>
      <c r="AB10" s="0" t="s">
        <v>14</v>
      </c>
    </row>
    <row r="11" customFormat="false" ht="15" hidden="false" customHeight="false" outlineLevel="0" collapsed="false">
      <c r="A11" s="0" t="s">
        <v>72</v>
      </c>
      <c r="B11" s="0" t="n">
        <v>8584.031</v>
      </c>
      <c r="C11" s="0" t="n">
        <v>5232.328</v>
      </c>
      <c r="D11" s="0" t="n">
        <v>3351.703</v>
      </c>
      <c r="E11" s="0" t="n">
        <v>39.0457932875592</v>
      </c>
      <c r="F11" s="0" t="n">
        <v>763.398</v>
      </c>
      <c r="G11" s="0" t="n">
        <v>8.89323442564455</v>
      </c>
      <c r="H11" s="0" t="n">
        <v>969.484</v>
      </c>
      <c r="I11" s="0" t="n">
        <v>463.975</v>
      </c>
      <c r="J11" s="0" t="n">
        <v>5.40509464609343</v>
      </c>
      <c r="K11" s="0" t="n">
        <v>1.51</v>
      </c>
      <c r="L11" s="0" t="n">
        <v>635.014</v>
      </c>
      <c r="M11" s="0" t="n">
        <v>207.074</v>
      </c>
      <c r="N11" s="0" t="n">
        <v>427.94</v>
      </c>
      <c r="O11" s="0" t="n">
        <v>3442.949</v>
      </c>
      <c r="P11" s="0" t="n">
        <v>8303.199</v>
      </c>
      <c r="Q11" s="0" t="n">
        <v>4860.25</v>
      </c>
      <c r="R11" s="0" t="n">
        <v>3365.687</v>
      </c>
      <c r="S11" s="0" t="n">
        <v>227.4</v>
      </c>
      <c r="T11" s="0" t="n">
        <v>309.784</v>
      </c>
      <c r="U11" s="0" t="n">
        <v>22.472</v>
      </c>
      <c r="AA11" s="0" t="s">
        <v>17</v>
      </c>
      <c r="AB11" s="0" t="s">
        <v>14</v>
      </c>
    </row>
    <row r="12" customFormat="false" ht="15" hidden="false" customHeight="false" outlineLevel="0" collapsed="false">
      <c r="A12" s="0" t="s">
        <v>73</v>
      </c>
      <c r="B12" s="0" t="n">
        <v>9736.909</v>
      </c>
      <c r="C12" s="0" t="n">
        <v>5937.286</v>
      </c>
      <c r="D12" s="0" t="n">
        <v>3799.623</v>
      </c>
      <c r="E12" s="0" t="n">
        <v>39.0228870373545</v>
      </c>
      <c r="F12" s="0" t="n">
        <v>844.998</v>
      </c>
      <c r="G12" s="0" t="n">
        <v>8.67829821558361</v>
      </c>
      <c r="H12" s="0" t="n">
        <v>1075.201</v>
      </c>
      <c r="I12" s="0" t="n">
        <v>533.744</v>
      </c>
      <c r="J12" s="0" t="n">
        <v>5.48165747466676</v>
      </c>
      <c r="K12" s="0" t="n">
        <v>1.73</v>
      </c>
      <c r="L12" s="0" t="n">
        <v>518.9</v>
      </c>
      <c r="M12" s="0" t="n">
        <v>179.09</v>
      </c>
      <c r="N12" s="0" t="n">
        <v>339.81</v>
      </c>
      <c r="O12" s="0" t="n">
        <v>4206.653</v>
      </c>
      <c r="P12" s="0" t="n">
        <v>9366.872</v>
      </c>
      <c r="Q12" s="0" t="n">
        <v>5160.219</v>
      </c>
      <c r="R12" s="0" t="n">
        <v>3428.28</v>
      </c>
      <c r="S12" s="0" t="n">
        <v>279.766</v>
      </c>
      <c r="T12" s="0" t="n">
        <v>310.649</v>
      </c>
      <c r="U12" s="0" t="n">
        <v>22.832</v>
      </c>
      <c r="AA12" s="0" t="s">
        <v>17</v>
      </c>
      <c r="AB12" s="0" t="s">
        <v>14</v>
      </c>
    </row>
    <row r="13" customFormat="false" ht="15" hidden="false" customHeight="false" outlineLevel="0" collapsed="false">
      <c r="A13" s="0" t="s">
        <v>74</v>
      </c>
      <c r="B13" s="0" t="n">
        <v>11876.674</v>
      </c>
      <c r="C13" s="0" t="n">
        <v>7301.817</v>
      </c>
      <c r="D13" s="0" t="n">
        <v>4574.857</v>
      </c>
      <c r="E13" s="0" t="n">
        <v>38.519681520264</v>
      </c>
      <c r="F13" s="0" t="n">
        <v>882.241</v>
      </c>
      <c r="G13" s="0" t="n">
        <v>7.42835073186315</v>
      </c>
      <c r="H13" s="0" t="n">
        <v>1176.318</v>
      </c>
      <c r="I13" s="0" t="n">
        <v>483.168</v>
      </c>
      <c r="J13" s="0" t="n">
        <v>4.06820966880122</v>
      </c>
      <c r="K13" s="0" t="n">
        <v>1.53</v>
      </c>
      <c r="L13" s="0" t="n">
        <v>710.739</v>
      </c>
      <c r="M13" s="0" t="n">
        <v>250.027</v>
      </c>
      <c r="N13" s="0" t="n">
        <v>460.712</v>
      </c>
      <c r="O13" s="0" t="n">
        <v>4838.752</v>
      </c>
      <c r="P13" s="0" t="n">
        <v>11393.402</v>
      </c>
      <c r="Q13" s="0" t="n">
        <v>6554.65</v>
      </c>
      <c r="R13" s="0" t="n">
        <v>4347.697</v>
      </c>
      <c r="S13" s="0" t="n">
        <v>331.761</v>
      </c>
      <c r="T13" s="0" t="n">
        <v>316.146114</v>
      </c>
      <c r="U13" s="0" t="n">
        <v>22.76</v>
      </c>
      <c r="AA13" s="0" t="s">
        <v>17</v>
      </c>
      <c r="AB13" s="0" t="s">
        <v>14</v>
      </c>
    </row>
    <row r="14" customFormat="false" ht="15" hidden="false" customHeight="false" outlineLevel="0" collapsed="false">
      <c r="A14" s="0" t="s">
        <v>75</v>
      </c>
      <c r="B14" s="0" t="n">
        <v>12506.109</v>
      </c>
      <c r="C14" s="0" t="n">
        <v>7654.315</v>
      </c>
      <c r="D14" s="0" t="n">
        <v>4851.794</v>
      </c>
      <c r="E14" s="0" t="n">
        <v>38.7953919160628</v>
      </c>
      <c r="F14" s="0" t="n">
        <v>896.643</v>
      </c>
      <c r="G14" s="0" t="n">
        <v>7.16964005351305</v>
      </c>
      <c r="H14" s="0" t="n">
        <v>1211.049</v>
      </c>
      <c r="I14" s="0" t="n">
        <v>545.034</v>
      </c>
      <c r="J14" s="0" t="n">
        <v>4.35814208879836</v>
      </c>
      <c r="K14" s="0" t="n">
        <v>1.75</v>
      </c>
      <c r="L14" s="0" t="n">
        <v>1064.033</v>
      </c>
      <c r="M14" s="0" t="n">
        <v>265.73</v>
      </c>
      <c r="N14" s="0" t="n">
        <v>798.303</v>
      </c>
      <c r="O14" s="0" t="n">
        <v>5049</v>
      </c>
      <c r="P14" s="0" t="n">
        <v>12779.956</v>
      </c>
      <c r="Q14" s="0" t="n">
        <v>7730.956</v>
      </c>
      <c r="R14" s="0" t="n">
        <v>4072.026</v>
      </c>
      <c r="T14" s="0" t="n">
        <v>310.969</v>
      </c>
      <c r="U14" s="0" t="n">
        <v>27.695</v>
      </c>
      <c r="AA14" s="0" t="s">
        <v>17</v>
      </c>
      <c r="AB14" s="0" t="s">
        <v>14</v>
      </c>
    </row>
    <row r="15" customFormat="false" ht="15" hidden="false" customHeight="false" outlineLevel="0" collapsed="false">
      <c r="A15" s="0" t="s">
        <v>76</v>
      </c>
      <c r="B15" s="0" t="n">
        <v>11629</v>
      </c>
      <c r="C15" s="0" t="n">
        <v>7036</v>
      </c>
      <c r="D15" s="0" t="n">
        <v>4593</v>
      </c>
      <c r="E15" s="0" t="n">
        <v>39.4960873677874</v>
      </c>
      <c r="F15" s="0" t="n">
        <v>986</v>
      </c>
      <c r="G15" s="0" t="n">
        <v>8.4788029925187</v>
      </c>
      <c r="H15" s="0" t="n">
        <v>1285</v>
      </c>
      <c r="I15" s="0" t="n">
        <v>640</v>
      </c>
      <c r="J15" s="0" t="n">
        <v>5.50348267262877</v>
      </c>
      <c r="K15" s="0" t="n">
        <v>2.1</v>
      </c>
      <c r="L15" s="0" t="n">
        <v>1444</v>
      </c>
      <c r="M15" s="0" t="n">
        <v>173</v>
      </c>
      <c r="N15" s="0" t="n">
        <v>1271</v>
      </c>
      <c r="O15" s="0" t="n">
        <v>5671</v>
      </c>
      <c r="P15" s="0" t="n">
        <v>12360.533</v>
      </c>
      <c r="Q15" s="0" t="n">
        <v>6689.533</v>
      </c>
      <c r="R15" s="0" t="n">
        <v>2896.676</v>
      </c>
      <c r="S15" s="0" t="n">
        <v>312.154</v>
      </c>
      <c r="T15" s="0" t="n">
        <v>305</v>
      </c>
      <c r="U15" s="0" t="n">
        <v>29</v>
      </c>
      <c r="AA15" s="0" t="s">
        <v>17</v>
      </c>
      <c r="AB15" s="0" t="s">
        <v>14</v>
      </c>
    </row>
    <row r="16" customFormat="false" ht="15" hidden="false" customHeight="false" outlineLevel="0" collapsed="false">
      <c r="A16" s="0" t="s">
        <v>77</v>
      </c>
      <c r="B16" s="0" t="n">
        <v>13089</v>
      </c>
      <c r="C16" s="0" t="n">
        <v>7767</v>
      </c>
      <c r="D16" s="0" t="n">
        <v>5322</v>
      </c>
      <c r="E16" s="0" t="n">
        <v>40.6600962640385</v>
      </c>
      <c r="F16" s="0" t="n">
        <v>1474</v>
      </c>
      <c r="G16" s="0" t="n">
        <v>11.2613645045458</v>
      </c>
      <c r="H16" s="0" t="n">
        <v>1758</v>
      </c>
      <c r="I16" s="0" t="n">
        <v>1092</v>
      </c>
      <c r="J16" s="0" t="n">
        <v>8.34288333715334</v>
      </c>
      <c r="K16" s="0" t="n">
        <v>3.68</v>
      </c>
      <c r="L16" s="0" t="n">
        <v>1367</v>
      </c>
      <c r="M16" s="0" t="n">
        <v>293</v>
      </c>
      <c r="N16" s="0" t="n">
        <v>1074</v>
      </c>
      <c r="O16" s="0" t="n">
        <v>5787</v>
      </c>
      <c r="P16" s="0" t="n">
        <v>12606</v>
      </c>
      <c r="Q16" s="0" t="n">
        <v>6819</v>
      </c>
      <c r="R16" s="0" t="n">
        <v>2824</v>
      </c>
      <c r="S16" s="0" t="n">
        <v>274</v>
      </c>
      <c r="T16" s="0" t="n">
        <v>297.7</v>
      </c>
      <c r="U16" s="0" t="n">
        <v>34</v>
      </c>
      <c r="AA16" s="0" t="s">
        <v>17</v>
      </c>
      <c r="AB16" s="0" t="s">
        <v>14</v>
      </c>
    </row>
    <row r="17" customFormat="false" ht="15" hidden="false" customHeight="false" outlineLevel="0" collapsed="false">
      <c r="A17" s="0" t="s">
        <v>78</v>
      </c>
      <c r="B17" s="0" t="n">
        <v>12794</v>
      </c>
      <c r="C17" s="0" t="n">
        <v>7571</v>
      </c>
      <c r="D17" s="0" t="n">
        <v>5223</v>
      </c>
      <c r="E17" s="0" t="n">
        <v>40.8238236673441</v>
      </c>
      <c r="F17" s="0" t="n">
        <v>1581</v>
      </c>
      <c r="G17" s="0" t="n">
        <v>12.357355010161</v>
      </c>
      <c r="H17" s="0" t="n">
        <v>1845</v>
      </c>
      <c r="I17" s="0" t="n">
        <v>1150</v>
      </c>
      <c r="J17" s="0" t="n">
        <v>8.98858840081288</v>
      </c>
      <c r="K17" s="0" t="n">
        <v>4.15</v>
      </c>
      <c r="L17" s="0" t="n">
        <v>1250</v>
      </c>
      <c r="M17" s="0" t="n">
        <v>222</v>
      </c>
      <c r="N17" s="0" t="n">
        <v>1028</v>
      </c>
      <c r="O17" s="0" t="n">
        <v>5467</v>
      </c>
      <c r="P17" s="0" t="n">
        <v>12038</v>
      </c>
      <c r="Q17" s="0" t="n">
        <v>6571</v>
      </c>
      <c r="R17" s="0" t="n">
        <v>2662</v>
      </c>
      <c r="S17" s="0" t="n">
        <v>278</v>
      </c>
      <c r="T17" s="0" t="n">
        <v>278</v>
      </c>
      <c r="U17" s="0" t="n">
        <v>38</v>
      </c>
      <c r="AA17" s="0" t="s">
        <v>17</v>
      </c>
      <c r="AB17" s="0" t="s">
        <v>14</v>
      </c>
    </row>
    <row r="18" customFormat="false" ht="15" hidden="false" customHeight="false" outlineLevel="0" collapsed="false">
      <c r="A18" s="0" t="s">
        <v>79</v>
      </c>
      <c r="B18" s="0" t="n">
        <v>13269</v>
      </c>
      <c r="C18" s="0" t="n">
        <v>7916</v>
      </c>
      <c r="D18" s="0" t="n">
        <v>5353</v>
      </c>
      <c r="E18" s="0" t="n">
        <v>40.3421508779863</v>
      </c>
      <c r="F18" s="0" t="n">
        <v>1324</v>
      </c>
      <c r="G18" s="0" t="n">
        <v>9.97814454744141</v>
      </c>
      <c r="H18" s="0" t="n">
        <v>1643</v>
      </c>
      <c r="I18" s="0" t="n">
        <v>938</v>
      </c>
      <c r="J18" s="0" t="n">
        <v>7.06910844826287</v>
      </c>
      <c r="K18" s="0" t="n">
        <v>3.5</v>
      </c>
      <c r="L18" s="0" t="n">
        <v>1356</v>
      </c>
      <c r="M18" s="0" t="n">
        <v>358</v>
      </c>
      <c r="N18" s="0" t="n">
        <v>998</v>
      </c>
      <c r="O18" s="0" t="n">
        <v>6181</v>
      </c>
      <c r="P18" s="0" t="n">
        <v>15079</v>
      </c>
      <c r="Q18" s="0" t="n">
        <v>8898</v>
      </c>
      <c r="R18" s="0" t="n">
        <v>4281</v>
      </c>
      <c r="S18" s="0" t="n">
        <v>299</v>
      </c>
      <c r="T18" s="0" t="n">
        <v>268.3</v>
      </c>
      <c r="U18" s="0" t="n">
        <v>40</v>
      </c>
      <c r="AA18" s="0" t="s">
        <v>17</v>
      </c>
      <c r="AB18" s="0" t="s">
        <v>14</v>
      </c>
    </row>
    <row r="19" customFormat="false" ht="15" hidden="false" customHeight="false" outlineLevel="0" collapsed="false">
      <c r="A19" s="0" t="s">
        <v>80</v>
      </c>
      <c r="B19" s="0" t="n">
        <v>13823</v>
      </c>
      <c r="C19" s="0" t="n">
        <v>8439</v>
      </c>
      <c r="D19" s="0" t="n">
        <v>5384</v>
      </c>
      <c r="E19" s="0" t="n">
        <v>38.9495767923027</v>
      </c>
      <c r="F19" s="0" t="n">
        <v>1145</v>
      </c>
      <c r="G19" s="0" t="n">
        <v>8.28329595601534</v>
      </c>
      <c r="H19" s="0" t="n">
        <v>1551</v>
      </c>
      <c r="I19" s="0" t="n">
        <v>693</v>
      </c>
      <c r="J19" s="0" t="n">
        <v>5.01338349128265</v>
      </c>
      <c r="K19" s="0" t="n">
        <v>2.62</v>
      </c>
      <c r="L19" s="0" t="n">
        <v>1121</v>
      </c>
      <c r="M19" s="0" t="n">
        <v>311</v>
      </c>
      <c r="N19" s="0" t="n">
        <v>810</v>
      </c>
      <c r="O19" s="0" t="n">
        <v>6032</v>
      </c>
      <c r="P19" s="0" t="n">
        <v>14955</v>
      </c>
      <c r="Q19" s="0" t="n">
        <v>8923</v>
      </c>
      <c r="R19" s="0" t="n">
        <v>4195</v>
      </c>
      <c r="S19" s="0" t="n">
        <v>234</v>
      </c>
      <c r="T19" s="0" t="n">
        <v>263.9</v>
      </c>
      <c r="U19" s="0" t="n">
        <v>30</v>
      </c>
      <c r="AA19" s="0" t="s">
        <v>17</v>
      </c>
      <c r="AB19" s="0" t="s">
        <v>14</v>
      </c>
    </row>
    <row r="20" customFormat="false" ht="15" hidden="false" customHeight="false" outlineLevel="0" collapsed="false">
      <c r="A20" s="0" t="s">
        <v>81</v>
      </c>
      <c r="B20" s="0" t="n">
        <v>13651</v>
      </c>
      <c r="C20" s="0" t="n">
        <v>8386</v>
      </c>
      <c r="D20" s="0" t="n">
        <v>5265</v>
      </c>
      <c r="E20" s="0" t="n">
        <v>38.5686030327449</v>
      </c>
      <c r="F20" s="0" t="n">
        <v>993</v>
      </c>
      <c r="G20" s="0" t="n">
        <v>7.27419236685957</v>
      </c>
      <c r="H20" s="0" t="n">
        <v>1411</v>
      </c>
      <c r="I20" s="0" t="n">
        <v>608</v>
      </c>
      <c r="J20" s="0" t="n">
        <v>4.45388616218592</v>
      </c>
      <c r="K20" s="0" t="n">
        <v>2.36</v>
      </c>
      <c r="L20" s="0" t="n">
        <v>1063</v>
      </c>
      <c r="M20" s="0" t="n">
        <v>216</v>
      </c>
      <c r="N20" s="0" t="n">
        <v>847</v>
      </c>
      <c r="O20" s="0" t="n">
        <v>6561</v>
      </c>
      <c r="P20" s="0" t="n">
        <v>15137</v>
      </c>
      <c r="Q20" s="0" t="n">
        <v>8576</v>
      </c>
      <c r="R20" s="0" t="n">
        <v>3695</v>
      </c>
      <c r="S20" s="0" t="n">
        <v>319</v>
      </c>
      <c r="T20" s="0" t="n">
        <v>257.8</v>
      </c>
      <c r="U20" s="0" t="n">
        <v>34</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22.78</v>
      </c>
    </row>
    <row r="3" customFormat="false" ht="15" hidden="false" customHeight="false" outlineLevel="0" collapsed="false">
      <c r="A3" s="0" t="s">
        <v>85</v>
      </c>
      <c r="B3" s="3" t="n">
        <v>253.1</v>
      </c>
    </row>
    <row r="4" customFormat="false" ht="15" hidden="false" customHeight="false" outlineLevel="0" collapsed="false">
      <c r="A4" s="0" t="s">
        <v>86</v>
      </c>
      <c r="B4" s="3" t="n">
        <v>3660</v>
      </c>
    </row>
    <row r="5" customFormat="false" ht="15" hidden="false" customHeight="false" outlineLevel="0" collapsed="false">
      <c r="A5" s="0" t="s">
        <v>87</v>
      </c>
      <c r="B5" s="3" t="n">
        <v>100</v>
      </c>
    </row>
    <row r="6" customFormat="false" ht="15" hidden="false" customHeight="false" outlineLevel="0" collapsed="false">
      <c r="A6" s="0" t="s">
        <v>88</v>
      </c>
      <c r="B6" s="3" t="n">
        <v>15</v>
      </c>
    </row>
    <row r="7" customFormat="false" ht="15" hidden="false" customHeight="false" outlineLevel="0" collapsed="false">
      <c r="A7" s="0" t="s">
        <v>89</v>
      </c>
      <c r="B7" s="3" t="n">
        <v>13688</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-2</v>
      </c>
      <c r="D13" s="3" t="n">
        <v>-2</v>
      </c>
      <c r="E13" s="3" t="n">
        <v>-1</v>
      </c>
      <c r="F13" s="3" t="n">
        <v>0</v>
      </c>
      <c r="G13" s="3" t="n">
        <v>0.5</v>
      </c>
      <c r="H13" s="3" t="n">
        <v>1</v>
      </c>
      <c r="I13" s="3" t="n">
        <v>1</v>
      </c>
      <c r="J13" s="3" t="n">
        <v>1</v>
      </c>
      <c r="K13" s="3" t="n">
        <v>1</v>
      </c>
      <c r="L13" s="3" t="n">
        <v>1</v>
      </c>
    </row>
    <row r="14" customFormat="false" ht="15" hidden="false" customHeight="false" outlineLevel="0" collapsed="false">
      <c r="A14" s="0" t="s">
        <v>107</v>
      </c>
      <c r="C14" s="3" t="n">
        <v>9.2</v>
      </c>
      <c r="D14" s="3" t="n">
        <v>9</v>
      </c>
      <c r="E14" s="3" t="n">
        <v>9</v>
      </c>
      <c r="F14" s="3" t="n">
        <v>9</v>
      </c>
      <c r="G14" s="3" t="n">
        <v>9</v>
      </c>
      <c r="H14" s="3" t="n">
        <v>9</v>
      </c>
      <c r="I14" s="3" t="n">
        <v>9</v>
      </c>
      <c r="J14" s="3" t="n">
        <v>9</v>
      </c>
      <c r="K14" s="3" t="n">
        <v>9</v>
      </c>
      <c r="L14" s="3" t="n">
        <v>9</v>
      </c>
    </row>
    <row r="15" customFormat="false" ht="15" hidden="false" customHeight="false" outlineLevel="0" collapsed="false">
      <c r="A15" s="0" t="s">
        <v>108</v>
      </c>
      <c r="C15" s="3" t="n">
        <v>0.25</v>
      </c>
      <c r="D15" s="3" t="n">
        <v>0.25</v>
      </c>
      <c r="E15" s="3" t="n">
        <v>0.25</v>
      </c>
      <c r="F15" s="3" t="n">
        <v>0.25</v>
      </c>
      <c r="G15" s="3" t="n">
        <v>0.25</v>
      </c>
      <c r="H15" s="3" t="n">
        <v>0.25</v>
      </c>
      <c r="I15" s="3" t="n">
        <v>0.25</v>
      </c>
      <c r="J15" s="3" t="n">
        <v>0.25</v>
      </c>
      <c r="K15" s="3" t="n">
        <v>0.25</v>
      </c>
      <c r="L15" s="3" t="n">
        <v>0.25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3</v>
      </c>
      <c r="D17" s="3" t="n">
        <v>2.9</v>
      </c>
      <c r="E17" s="3" t="n">
        <v>2.8</v>
      </c>
      <c r="F17" s="3" t="n">
        <v>2.7</v>
      </c>
      <c r="G17" s="3" t="n">
        <v>2.6</v>
      </c>
      <c r="H17" s="3" t="n">
        <v>2.5</v>
      </c>
      <c r="I17" s="3" t="n">
        <v>2.4</v>
      </c>
      <c r="J17" s="3" t="n">
        <v>2.3</v>
      </c>
      <c r="K17" s="3" t="n">
        <v>2.3</v>
      </c>
      <c r="L17" s="3" t="n">
        <v>2.3</v>
      </c>
    </row>
    <row r="18" customFormat="false" ht="15" hidden="false" customHeight="false" outlineLevel="0" collapsed="false">
      <c r="A18" s="0" t="s">
        <v>111</v>
      </c>
      <c r="C18" s="3" t="n">
        <v>1.8</v>
      </c>
      <c r="D18" s="3" t="n">
        <v>1.9</v>
      </c>
      <c r="E18" s="3" t="n">
        <v>2</v>
      </c>
      <c r="F18" s="3" t="n">
        <v>2</v>
      </c>
      <c r="G18" s="3" t="n">
        <v>2</v>
      </c>
      <c r="H18" s="3" t="n">
        <v>2</v>
      </c>
      <c r="I18" s="3" t="n">
        <v>2</v>
      </c>
      <c r="J18" s="3" t="n">
        <v>2</v>
      </c>
      <c r="K18" s="3" t="n">
        <v>2</v>
      </c>
      <c r="L18" s="3" t="n">
        <v>2</v>
      </c>
    </row>
    <row r="19" customFormat="false" ht="15" hidden="false" customHeight="false" outlineLevel="0" collapsed="false">
      <c r="A19" s="0" t="s">
        <v>112</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113</v>
      </c>
      <c r="B20" s="3" t="n">
        <v>8</v>
      </c>
    </row>
    <row r="21" customFormat="false" ht="15" hidden="false" customHeight="false" outlineLevel="0" collapsed="false">
      <c r="A21" s="0" t="s">
        <v>114</v>
      </c>
      <c r="B21" s="3" t="n">
        <v>1</v>
      </c>
    </row>
    <row r="22" customFormat="false" ht="15" hidden="false" customHeight="false" outlineLevel="0" collapsed="false">
      <c r="A22" s="0" t="s">
        <v>115</v>
      </c>
      <c r="B22" s="3" t="n">
        <v>12</v>
      </c>
    </row>
    <row r="23" customFormat="false" ht="15" hidden="false" customHeight="false" outlineLevel="0" collapsed="false">
      <c r="A23" s="0" t="s">
        <v>116</v>
      </c>
      <c r="B23" s="3" t="n">
        <v>-20</v>
      </c>
    </row>
    <row r="24" customFormat="false" ht="15" hidden="false" customHeight="false" outlineLevel="0" collapsed="false">
      <c r="A24" s="0" t="s">
        <v>117</v>
      </c>
      <c r="B24" s="3" t="n">
        <v>0.3</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-0.5</v>
      </c>
      <c r="D27" s="3" t="n">
        <v>1.5</v>
      </c>
      <c r="E27" s="3" t="n">
        <v>2</v>
      </c>
      <c r="F27" s="3" t="n">
        <v>2.5</v>
      </c>
      <c r="G27" s="3" t="n">
        <v>2.5</v>
      </c>
      <c r="H27" s="3" t="n">
        <v>2.5</v>
      </c>
      <c r="I27" s="3" t="n">
        <v>2.5</v>
      </c>
      <c r="J27" s="3" t="n">
        <v>2.5</v>
      </c>
      <c r="K27" s="3" t="n">
        <v>2.5</v>
      </c>
      <c r="L27" s="3" t="n">
        <v>2</v>
      </c>
    </row>
    <row r="28" customFormat="false" ht="15" hidden="false" customHeight="false" outlineLevel="0" collapsed="false">
      <c r="A28" s="0" t="s">
        <v>107</v>
      </c>
      <c r="C28" s="3" t="n">
        <v>9.7</v>
      </c>
      <c r="D28" s="3" t="n">
        <v>10.2</v>
      </c>
      <c r="E28" s="3" t="n">
        <v>10.6</v>
      </c>
      <c r="F28" s="3" t="n">
        <v>10.8</v>
      </c>
      <c r="G28" s="3" t="n">
        <v>11</v>
      </c>
      <c r="H28" s="3" t="n">
        <v>11</v>
      </c>
      <c r="I28" s="3" t="n">
        <v>11</v>
      </c>
      <c r="J28" s="3" t="n">
        <v>11</v>
      </c>
      <c r="K28" s="3" t="n">
        <v>11</v>
      </c>
      <c r="L28" s="3" t="n">
        <v>11</v>
      </c>
    </row>
    <row r="29" customFormat="false" ht="15" hidden="false" customHeight="false" outlineLevel="0" collapsed="false">
      <c r="A29" s="0" t="s">
        <v>108</v>
      </c>
      <c r="C29" s="3" t="n">
        <v>0.25</v>
      </c>
      <c r="D29" s="3" t="n">
        <v>0.25</v>
      </c>
      <c r="E29" s="3" t="n">
        <v>0.25</v>
      </c>
      <c r="F29" s="3" t="n">
        <v>0.25</v>
      </c>
      <c r="G29" s="3" t="n">
        <v>0.25</v>
      </c>
      <c r="H29" s="3" t="n">
        <v>0.25</v>
      </c>
      <c r="I29" s="3" t="n">
        <v>0.25</v>
      </c>
      <c r="J29" s="3" t="n">
        <v>0.25</v>
      </c>
      <c r="K29" s="3" t="n">
        <v>0.25</v>
      </c>
      <c r="L29" s="3" t="n">
        <v>0.25</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3</v>
      </c>
      <c r="D31" s="3" t="n">
        <v>2.9</v>
      </c>
      <c r="E31" s="3" t="n">
        <v>2.8</v>
      </c>
      <c r="F31" s="3" t="n">
        <v>2.7</v>
      </c>
      <c r="G31" s="3" t="n">
        <v>2.6</v>
      </c>
      <c r="H31" s="3" t="n">
        <v>2.5</v>
      </c>
      <c r="I31" s="3" t="n">
        <v>2.4</v>
      </c>
      <c r="J31" s="3" t="n">
        <v>2.3</v>
      </c>
      <c r="K31" s="3" t="n">
        <v>2.3</v>
      </c>
      <c r="L31" s="3" t="n">
        <v>2.3</v>
      </c>
    </row>
    <row r="32" customFormat="false" ht="15" hidden="false" customHeight="false" outlineLevel="0" collapsed="false">
      <c r="A32" s="0" t="s">
        <v>111</v>
      </c>
      <c r="C32" s="3" t="n">
        <v>1.8</v>
      </c>
      <c r="D32" s="3" t="n">
        <v>1.9</v>
      </c>
      <c r="E32" s="3" t="n">
        <v>2</v>
      </c>
      <c r="F32" s="3" t="n">
        <v>2</v>
      </c>
      <c r="G32" s="3" t="n">
        <v>2</v>
      </c>
      <c r="H32" s="3" t="n">
        <v>2</v>
      </c>
      <c r="I32" s="3" t="n">
        <v>2</v>
      </c>
      <c r="J32" s="3" t="n">
        <v>2</v>
      </c>
      <c r="K32" s="3" t="n">
        <v>2</v>
      </c>
      <c r="L32" s="3" t="n">
        <v>2</v>
      </c>
    </row>
    <row r="33" customFormat="false" ht="15" hidden="false" customHeight="false" outlineLevel="0" collapsed="false">
      <c r="A33" s="0" t="s">
        <v>112</v>
      </c>
      <c r="C33" s="3" t="n">
        <v>27</v>
      </c>
      <c r="D33" s="3" t="n">
        <v>27</v>
      </c>
      <c r="E33" s="3" t="n">
        <v>27</v>
      </c>
      <c r="F33" s="3" t="n">
        <v>27</v>
      </c>
      <c r="G33" s="3" t="n">
        <v>27</v>
      </c>
      <c r="H33" s="3" t="n">
        <v>27</v>
      </c>
      <c r="I33" s="3" t="n">
        <v>27</v>
      </c>
      <c r="J33" s="3" t="n">
        <v>27</v>
      </c>
      <c r="K33" s="3" t="n">
        <v>27</v>
      </c>
      <c r="L33" s="3" t="n">
        <v>27</v>
      </c>
    </row>
    <row r="34" customFormat="false" ht="15" hidden="false" customHeight="false" outlineLevel="0" collapsed="false">
      <c r="A34" s="0" t="s">
        <v>113</v>
      </c>
      <c r="B34" s="3" t="n">
        <v>8</v>
      </c>
    </row>
    <row r="35" customFormat="false" ht="15" hidden="false" customHeight="false" outlineLevel="0" collapsed="false">
      <c r="A35" s="0" t="s">
        <v>114</v>
      </c>
      <c r="B35" s="3" t="n">
        <v>2</v>
      </c>
    </row>
    <row r="36" customFormat="false" ht="15" hidden="false" customHeight="false" outlineLevel="0" collapsed="false">
      <c r="A36" s="0" t="s">
        <v>115</v>
      </c>
      <c r="B36" s="3" t="n">
        <v>14</v>
      </c>
    </row>
    <row r="37" customFormat="false" ht="15" hidden="false" customHeight="false" outlineLevel="0" collapsed="false">
      <c r="A37" s="0" t="s">
        <v>116</v>
      </c>
      <c r="B37" s="3" t="n">
        <v>-20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-0.5</v>
      </c>
      <c r="D41" s="3" t="n">
        <v>2.5</v>
      </c>
      <c r="E41" s="3" t="n">
        <v>3</v>
      </c>
      <c r="F41" s="3" t="n">
        <v>3.5</v>
      </c>
      <c r="G41" s="3" t="n">
        <v>3.5</v>
      </c>
      <c r="H41" s="3" t="n">
        <v>3</v>
      </c>
      <c r="I41" s="3" t="n">
        <v>3</v>
      </c>
      <c r="J41" s="3" t="n">
        <v>2.5</v>
      </c>
      <c r="K41" s="3" t="n">
        <v>2.5</v>
      </c>
      <c r="L41" s="3" t="n">
        <v>2.5</v>
      </c>
    </row>
    <row r="42" customFormat="false" ht="15" hidden="false" customHeight="false" outlineLevel="0" collapsed="false">
      <c r="A42" s="0" t="s">
        <v>107</v>
      </c>
      <c r="C42" s="3" t="n">
        <v>9.8</v>
      </c>
      <c r="D42" s="3" t="n">
        <v>10.6</v>
      </c>
      <c r="E42" s="3" t="n">
        <v>11.2</v>
      </c>
      <c r="F42" s="3" t="n">
        <v>11.8</v>
      </c>
      <c r="G42" s="3" t="n">
        <v>12</v>
      </c>
      <c r="H42" s="3" t="n">
        <v>12</v>
      </c>
      <c r="I42" s="3" t="n">
        <v>12</v>
      </c>
      <c r="J42" s="3" t="n">
        <v>12</v>
      </c>
      <c r="K42" s="3" t="n">
        <v>12</v>
      </c>
      <c r="L42" s="3" t="n">
        <v>12</v>
      </c>
    </row>
    <row r="43" customFormat="false" ht="15" hidden="false" customHeight="false" outlineLevel="0" collapsed="false">
      <c r="A43" s="0" t="s">
        <v>108</v>
      </c>
      <c r="C43" s="3" t="n">
        <v>0.25</v>
      </c>
      <c r="D43" s="3" t="n">
        <v>0.25</v>
      </c>
      <c r="E43" s="3" t="n">
        <v>0.25</v>
      </c>
      <c r="F43" s="3" t="n">
        <v>0.25</v>
      </c>
      <c r="G43" s="3" t="n">
        <v>0.25</v>
      </c>
      <c r="H43" s="3" t="n">
        <v>0.25</v>
      </c>
      <c r="I43" s="3" t="n">
        <v>0.25</v>
      </c>
      <c r="J43" s="3" t="n">
        <v>0.25</v>
      </c>
      <c r="K43" s="3" t="n">
        <v>0.25</v>
      </c>
      <c r="L43" s="3" t="n">
        <v>0.25</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3</v>
      </c>
      <c r="D45" s="3" t="n">
        <v>2.9</v>
      </c>
      <c r="E45" s="3" t="n">
        <v>2.8</v>
      </c>
      <c r="F45" s="3" t="n">
        <v>2.7</v>
      </c>
      <c r="G45" s="3" t="n">
        <v>2.6</v>
      </c>
      <c r="H45" s="3" t="n">
        <v>2.5</v>
      </c>
      <c r="I45" s="3" t="n">
        <v>2.4</v>
      </c>
      <c r="J45" s="3" t="n">
        <v>2.3</v>
      </c>
      <c r="K45" s="3" t="n">
        <v>2.3</v>
      </c>
      <c r="L45" s="3" t="n">
        <v>2.3</v>
      </c>
    </row>
    <row r="46" customFormat="false" ht="15" hidden="false" customHeight="false" outlineLevel="0" collapsed="false">
      <c r="A46" s="0" t="s">
        <v>111</v>
      </c>
      <c r="C46" s="3" t="n">
        <v>1.8</v>
      </c>
      <c r="D46" s="3" t="n">
        <v>2</v>
      </c>
      <c r="E46" s="3" t="n">
        <v>2</v>
      </c>
      <c r="F46" s="3" t="n">
        <v>2</v>
      </c>
      <c r="G46" s="3" t="n">
        <v>2</v>
      </c>
      <c r="H46" s="3" t="n">
        <v>2</v>
      </c>
      <c r="I46" s="3" t="n">
        <v>2</v>
      </c>
      <c r="J46" s="3" t="n">
        <v>2</v>
      </c>
      <c r="K46" s="3" t="n">
        <v>2</v>
      </c>
      <c r="L46" s="3" t="n">
        <v>2</v>
      </c>
    </row>
    <row r="47" customFormat="false" ht="15" hidden="false" customHeight="false" outlineLevel="0" collapsed="false">
      <c r="A47" s="0" t="s">
        <v>112</v>
      </c>
      <c r="C47" s="3" t="n">
        <v>27</v>
      </c>
      <c r="D47" s="3" t="n">
        <v>27</v>
      </c>
      <c r="E47" s="3" t="n">
        <v>27</v>
      </c>
      <c r="F47" s="3" t="n">
        <v>27</v>
      </c>
      <c r="G47" s="3" t="n">
        <v>27</v>
      </c>
      <c r="H47" s="3" t="n">
        <v>27</v>
      </c>
      <c r="I47" s="3" t="n">
        <v>27</v>
      </c>
      <c r="J47" s="3" t="n">
        <v>27</v>
      </c>
      <c r="K47" s="3" t="n">
        <v>27</v>
      </c>
      <c r="L47" s="3" t="n">
        <v>27</v>
      </c>
    </row>
    <row r="48" customFormat="false" ht="15" hidden="false" customHeight="false" outlineLevel="0" collapsed="false">
      <c r="A48" s="0" t="s">
        <v>113</v>
      </c>
      <c r="B48" s="3" t="n">
        <v>8</v>
      </c>
    </row>
    <row r="49" customFormat="false" ht="15" hidden="false" customHeight="false" outlineLevel="0" collapsed="false">
      <c r="A49" s="0" t="s">
        <v>114</v>
      </c>
      <c r="B49" s="3" t="n">
        <v>2.5</v>
      </c>
    </row>
    <row r="50" customFormat="false" ht="15" hidden="false" customHeight="false" outlineLevel="0" collapsed="false">
      <c r="A50" s="0" t="s">
        <v>115</v>
      </c>
      <c r="B50" s="3" t="n">
        <v>15</v>
      </c>
    </row>
    <row r="51" customFormat="false" ht="15" hidden="false" customHeight="false" outlineLevel="0" collapsed="false">
      <c r="A51" s="0" t="s">
        <v>116</v>
      </c>
      <c r="B51" s="3" t="n">
        <v>-20</v>
      </c>
    </row>
    <row r="52" customFormat="false" ht="15" hidden="false" customHeight="false" outlineLevel="0" collapsed="false">
      <c r="A52" s="0" t="s">
        <v>117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-2</v>
      </c>
      <c r="D5" s="4" t="n">
        <f aca="false">Assumptions!D13</f>
        <v>-2</v>
      </c>
      <c r="E5" s="4" t="n">
        <f aca="false">Assumptions!E13</f>
        <v>-1</v>
      </c>
      <c r="F5" s="4" t="n">
        <f aca="false">Assumptions!F13</f>
        <v>0</v>
      </c>
      <c r="G5" s="4" t="n">
        <f aca="false">Assumptions!G13</f>
        <v>0.5</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13688</v>
      </c>
      <c r="C6" s="0" t="n">
        <f aca="false">B6*(1+C5/100)</f>
        <v>13414.24</v>
      </c>
      <c r="D6" s="0" t="n">
        <f aca="false">C6*(1+D5/100)</f>
        <v>13145.9552</v>
      </c>
      <c r="E6" s="0" t="n">
        <f aca="false">D6*(1+E5/100)</f>
        <v>13014.495648</v>
      </c>
      <c r="F6" s="0" t="n">
        <f aca="false">E6*(1+F5/100)</f>
        <v>13014.495648</v>
      </c>
      <c r="G6" s="0" t="n">
        <f aca="false">F6*(1+G5/100)</f>
        <v>13079.56812624</v>
      </c>
      <c r="H6" s="0" t="n">
        <f aca="false">G6*(1+H5/100)</f>
        <v>13210.3638075024</v>
      </c>
      <c r="I6" s="0" t="n">
        <f aca="false">H6*(1+I5/100)</f>
        <v>13342.4674455774</v>
      </c>
      <c r="J6" s="0" t="n">
        <f aca="false">I6*(1+J5/100)</f>
        <v>13475.8921200332</v>
      </c>
      <c r="K6" s="0" t="n">
        <f aca="false">J6*(1+K5/100)</f>
        <v>13610.6510412335</v>
      </c>
      <c r="L6" s="0" t="n">
        <f aca="false">K6*(1+L5/100)</f>
        <v>13746.7575516459</v>
      </c>
    </row>
    <row r="7" customFormat="false" ht="15" hidden="false" customHeight="false" outlineLevel="0" collapsed="false">
      <c r="A7" s="0" t="s">
        <v>107</v>
      </c>
      <c r="C7" s="4" t="n">
        <f aca="false">Assumptions!C14</f>
        <v>9.2</v>
      </c>
      <c r="D7" s="4" t="n">
        <f aca="false">Assumptions!D14</f>
        <v>9</v>
      </c>
      <c r="E7" s="4" t="n">
        <f aca="false">Assumptions!E14</f>
        <v>9</v>
      </c>
      <c r="F7" s="4" t="n">
        <f aca="false">Assumptions!F14</f>
        <v>9</v>
      </c>
      <c r="G7" s="4" t="n">
        <f aca="false">Assumptions!G14</f>
        <v>9</v>
      </c>
      <c r="H7" s="4" t="n">
        <f aca="false">Assumptions!H14</f>
        <v>9</v>
      </c>
      <c r="I7" s="4" t="n">
        <f aca="false">Assumptions!I14</f>
        <v>9</v>
      </c>
      <c r="J7" s="4" t="n">
        <f aca="false">Assumptions!J14</f>
        <v>9</v>
      </c>
      <c r="K7" s="4" t="n">
        <f aca="false">Assumptions!K14</f>
        <v>9</v>
      </c>
      <c r="L7" s="4" t="n">
        <f aca="false">Assumptions!L14</f>
        <v>9</v>
      </c>
    </row>
    <row r="8" customFormat="false" ht="15" hidden="false" customHeight="false" outlineLevel="0" collapsed="false">
      <c r="A8" s="0" t="s">
        <v>43</v>
      </c>
      <c r="C8" s="0" t="n">
        <f aca="false">C6*C7/100</f>
        <v>1234.11008</v>
      </c>
      <c r="D8" s="0" t="n">
        <f aca="false">D6*D7/100</f>
        <v>1183.135968</v>
      </c>
      <c r="E8" s="0" t="n">
        <f aca="false">E6*E7/100</f>
        <v>1171.30460832</v>
      </c>
      <c r="F8" s="0" t="n">
        <f aca="false">F6*F7/100</f>
        <v>1171.30460832</v>
      </c>
      <c r="G8" s="0" t="n">
        <f aca="false">G6*G7/100</f>
        <v>1177.1611313616</v>
      </c>
      <c r="H8" s="0" t="n">
        <f aca="false">H6*H7/100</f>
        <v>1188.93274267522</v>
      </c>
      <c r="I8" s="0" t="n">
        <f aca="false">I6*I7/100</f>
        <v>1200.82207010197</v>
      </c>
      <c r="J8" s="0" t="n">
        <f aca="false">J6*J7/100</f>
        <v>1212.83029080299</v>
      </c>
      <c r="K8" s="0" t="n">
        <f aca="false">K6*K7/100</f>
        <v>1224.95859371102</v>
      </c>
      <c r="L8" s="0" t="n">
        <f aca="false">L6*L7/100</f>
        <v>1237.20817964813</v>
      </c>
    </row>
    <row r="9" customFormat="false" ht="15" hidden="false" customHeight="false" outlineLevel="0" collapsed="false">
      <c r="A9" s="0" t="s">
        <v>108</v>
      </c>
      <c r="C9" s="4" t="n">
        <f aca="false">Assumptions!C15</f>
        <v>0.25</v>
      </c>
      <c r="D9" s="4" t="n">
        <f aca="false">Assumptions!D15</f>
        <v>0.25</v>
      </c>
      <c r="E9" s="4" t="n">
        <f aca="false">Assumptions!E15</f>
        <v>0.25</v>
      </c>
      <c r="F9" s="4" t="n">
        <f aca="false">Assumptions!F15</f>
        <v>0.25</v>
      </c>
      <c r="G9" s="4" t="n">
        <f aca="false">Assumptions!G15</f>
        <v>0.25</v>
      </c>
      <c r="H9" s="4" t="n">
        <f aca="false">Assumptions!H15</f>
        <v>0.25</v>
      </c>
      <c r="I9" s="4" t="n">
        <f aca="false">Assumptions!I15</f>
        <v>0.25</v>
      </c>
      <c r="J9" s="4" t="n">
        <f aca="false">Assumptions!J15</f>
        <v>0.25</v>
      </c>
      <c r="K9" s="4" t="n">
        <f aca="false">Assumptions!K15</f>
        <v>0.25</v>
      </c>
      <c r="L9" s="4" t="n">
        <f aca="false">Assumptions!L15</f>
        <v>0.25</v>
      </c>
    </row>
    <row r="10" customFormat="false" ht="15" hidden="false" customHeight="false" outlineLevel="0" collapsed="false">
      <c r="A10" s="0" t="s">
        <v>123</v>
      </c>
      <c r="C10" s="0" t="n">
        <f aca="false">-C6*C9/100</f>
        <v>-33.5356</v>
      </c>
      <c r="D10" s="0" t="n">
        <f aca="false">-D6*D9/100</f>
        <v>-32.864888</v>
      </c>
      <c r="E10" s="0" t="n">
        <f aca="false">-E6*E9/100</f>
        <v>-32.53623912</v>
      </c>
      <c r="F10" s="0" t="n">
        <f aca="false">-F6*F9/100</f>
        <v>-32.53623912</v>
      </c>
      <c r="G10" s="0" t="n">
        <f aca="false">-G6*G9/100</f>
        <v>-32.6989203156</v>
      </c>
      <c r="H10" s="0" t="n">
        <f aca="false">-H6*H9/100</f>
        <v>-33.025909518756</v>
      </c>
      <c r="I10" s="0" t="n">
        <f aca="false">-I6*I9/100</f>
        <v>-33.3561686139436</v>
      </c>
      <c r="J10" s="0" t="n">
        <f aca="false">-J6*J9/100</f>
        <v>-33.689730300083</v>
      </c>
      <c r="K10" s="0" t="n">
        <f aca="false">-K6*K9/100</f>
        <v>-34.0266276030838</v>
      </c>
      <c r="L10" s="0" t="n">
        <f aca="false">-L6*L9/100</f>
        <v>-34.3668938791147</v>
      </c>
    </row>
    <row r="11" customFormat="false" ht="15" hidden="false" customHeight="false" outlineLevel="0" collapsed="false">
      <c r="A11" s="0" t="s">
        <v>124</v>
      </c>
      <c r="C11" s="0" t="n">
        <f aca="false">C8+C10+C24</f>
        <v>1200.57448</v>
      </c>
      <c r="D11" s="0" t="n">
        <f aca="false">D8+D10+D24</f>
        <v>1150.27108</v>
      </c>
      <c r="E11" s="0" t="n">
        <f aca="false">E8+E10+E24</f>
        <v>1138.7683692</v>
      </c>
      <c r="F11" s="0" t="n">
        <f aca="false">F8+F10+F24</f>
        <v>1138.7683692</v>
      </c>
      <c r="G11" s="0" t="n">
        <f aca="false">G8+G10+G24</f>
        <v>1144.462211046</v>
      </c>
      <c r="H11" s="0" t="n">
        <f aca="false">H8+H10+H24</f>
        <v>1155.90683315646</v>
      </c>
      <c r="I11" s="0" t="n">
        <f aca="false">I8+I10+I24</f>
        <v>1167.46590148802</v>
      </c>
      <c r="J11" s="0" t="n">
        <f aca="false">J8+J10+J24</f>
        <v>1179.14056050291</v>
      </c>
      <c r="K11" s="0" t="n">
        <f aca="false">K8+K10+K24</f>
        <v>1190.93196610793</v>
      </c>
      <c r="L11" s="0" t="n">
        <f aca="false">L8+L10+L24</f>
        <v>1202.84128576901</v>
      </c>
    </row>
    <row r="12" customFormat="false" ht="15" hidden="false" customHeight="false" outlineLevel="0" collapsed="false">
      <c r="A12" s="0" t="s">
        <v>125</v>
      </c>
      <c r="C12" s="4" t="n">
        <f aca="false">-C6*Assumptions!C17/100</f>
        <v>-402.4272</v>
      </c>
      <c r="D12" s="4" t="n">
        <f aca="false">-D6*Assumptions!D17/100</f>
        <v>-381.2327008</v>
      </c>
      <c r="E12" s="4" t="n">
        <f aca="false">-E6*Assumptions!E17/100</f>
        <v>-364.405878144</v>
      </c>
      <c r="F12" s="4" t="n">
        <f aca="false">-F6*Assumptions!F17/100</f>
        <v>-351.391382496</v>
      </c>
      <c r="G12" s="4" t="n">
        <f aca="false">-G6*Assumptions!G17/100</f>
        <v>-340.06877128224</v>
      </c>
      <c r="H12" s="4" t="n">
        <f aca="false">-H6*Assumptions!H17/100</f>
        <v>-330.25909518756</v>
      </c>
      <c r="I12" s="4" t="n">
        <f aca="false">-I6*Assumptions!I17/100</f>
        <v>-320.219218693858</v>
      </c>
      <c r="J12" s="4" t="n">
        <f aca="false">-J6*Assumptions!J17/100</f>
        <v>-309.945518760764</v>
      </c>
      <c r="K12" s="4" t="n">
        <f aca="false">-K6*Assumptions!K17/100</f>
        <v>-313.044973948371</v>
      </c>
      <c r="L12" s="4" t="n">
        <f aca="false">-L6*Assumptions!L17/100</f>
        <v>-316.175423687855</v>
      </c>
    </row>
    <row r="13" customFormat="false" ht="15" hidden="false" customHeight="false" outlineLevel="0" collapsed="false">
      <c r="A13" s="0" t="s">
        <v>126</v>
      </c>
      <c r="C13" s="0" t="n">
        <f aca="false">C11+C12</f>
        <v>798.14728</v>
      </c>
      <c r="D13" s="0" t="n">
        <f aca="false">D11+D12</f>
        <v>769.0383792</v>
      </c>
      <c r="E13" s="0" t="n">
        <f aca="false">E11+E12</f>
        <v>774.362491056</v>
      </c>
      <c r="F13" s="0" t="n">
        <f aca="false">F11+F12</f>
        <v>787.376986704</v>
      </c>
      <c r="G13" s="0" t="n">
        <f aca="false">G11+G12</f>
        <v>804.39343976376</v>
      </c>
      <c r="H13" s="0" t="n">
        <f aca="false">H11+H12</f>
        <v>825.6477379689</v>
      </c>
      <c r="I13" s="0" t="n">
        <f aca="false">I11+I12</f>
        <v>847.246682794166</v>
      </c>
      <c r="J13" s="0" t="n">
        <f aca="false">J11+J12</f>
        <v>869.195041742141</v>
      </c>
      <c r="K13" s="0" t="n">
        <f aca="false">K11+K12</f>
        <v>877.886992159563</v>
      </c>
      <c r="L13" s="0" t="n">
        <f aca="false">L11+L12</f>
        <v>886.665862081158</v>
      </c>
    </row>
    <row r="14" customFormat="false" ht="15" hidden="false" customHeight="false" outlineLevel="0" collapsed="false">
      <c r="A14" s="0" t="s">
        <v>112</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127</v>
      </c>
      <c r="C15" s="0" t="n">
        <f aca="false">C13-MAX(0,C13)*C14/100</f>
        <v>582.6475144</v>
      </c>
      <c r="D15" s="0" t="n">
        <f aca="false">D13-MAX(0,D13)*D14/100</f>
        <v>561.398016816</v>
      </c>
      <c r="E15" s="0" t="n">
        <f aca="false">E13-MAX(0,E13)*E14/100</f>
        <v>565.28461847088</v>
      </c>
      <c r="F15" s="0" t="n">
        <f aca="false">F13-MAX(0,F13)*F14/100</f>
        <v>574.78520029392</v>
      </c>
      <c r="G15" s="0" t="n">
        <f aca="false">G13-MAX(0,G13)*G14/100</f>
        <v>587.207211027545</v>
      </c>
      <c r="H15" s="0" t="n">
        <f aca="false">H13-MAX(0,H13)*H14/100</f>
        <v>602.722848717297</v>
      </c>
      <c r="I15" s="0" t="n">
        <f aca="false">I13-MAX(0,I13)*I14/100</f>
        <v>618.490078439742</v>
      </c>
      <c r="J15" s="0" t="n">
        <f aca="false">J13-MAX(0,J13)*J14/100</f>
        <v>634.512380471763</v>
      </c>
      <c r="K15" s="0" t="n">
        <f aca="false">K13-MAX(0,K13)*K14/100</f>
        <v>640.857504276481</v>
      </c>
      <c r="L15" s="0" t="n">
        <f aca="false">L13-MAX(0,L13)*L14/100</f>
        <v>647.266079319246</v>
      </c>
    </row>
    <row r="16" customFormat="false" ht="15" hidden="false" customHeight="false" outlineLevel="0" collapsed="false">
      <c r="A16" s="0" t="s">
        <v>128</v>
      </c>
      <c r="C16" s="0" t="n">
        <f aca="false">-C12</f>
        <v>402.4272</v>
      </c>
      <c r="D16" s="0" t="n">
        <f aca="false">-D12</f>
        <v>381.2327008</v>
      </c>
      <c r="E16" s="0" t="n">
        <f aca="false">-E12</f>
        <v>364.405878144</v>
      </c>
      <c r="F16" s="0" t="n">
        <f aca="false">-F12</f>
        <v>351.391382496</v>
      </c>
      <c r="G16" s="0" t="n">
        <f aca="false">-G12</f>
        <v>340.06877128224</v>
      </c>
      <c r="H16" s="0" t="n">
        <f aca="false">-H12</f>
        <v>330.25909518756</v>
      </c>
      <c r="I16" s="0" t="n">
        <f aca="false">-I12</f>
        <v>320.219218693858</v>
      </c>
      <c r="J16" s="0" t="n">
        <f aca="false">-J12</f>
        <v>309.945518760764</v>
      </c>
      <c r="K16" s="0" t="n">
        <f aca="false">-K12</f>
        <v>313.044973948371</v>
      </c>
      <c r="L16" s="0" t="n">
        <f aca="false">-L12</f>
        <v>316.175423687855</v>
      </c>
    </row>
    <row r="17" customFormat="false" ht="15" hidden="false" customHeight="false" outlineLevel="0" collapsed="false">
      <c r="A17" s="0" t="s">
        <v>129</v>
      </c>
      <c r="C17" s="4" t="n">
        <f aca="false">-C6*Assumptions!C18/100</f>
        <v>-241.45632</v>
      </c>
      <c r="D17" s="4" t="n">
        <f aca="false">-D6*Assumptions!D18/100</f>
        <v>-249.7731488</v>
      </c>
      <c r="E17" s="4" t="n">
        <f aca="false">-E6*Assumptions!E18/100</f>
        <v>-260.28991296</v>
      </c>
      <c r="F17" s="4" t="n">
        <f aca="false">-F6*Assumptions!F18/100</f>
        <v>-260.28991296</v>
      </c>
      <c r="G17" s="4" t="n">
        <f aca="false">-G6*Assumptions!G18/100</f>
        <v>-261.5913625248</v>
      </c>
      <c r="H17" s="4" t="n">
        <f aca="false">-H6*Assumptions!H18/100</f>
        <v>-264.207276150048</v>
      </c>
      <c r="I17" s="4" t="n">
        <f aca="false">-I6*Assumptions!I18/100</f>
        <v>-266.849348911549</v>
      </c>
      <c r="J17" s="4" t="n">
        <f aca="false">-J6*Assumptions!J18/100</f>
        <v>-269.517842400664</v>
      </c>
      <c r="K17" s="4" t="n">
        <f aca="false">-K6*Assumptions!K18/100</f>
        <v>-272.213020824671</v>
      </c>
      <c r="L17" s="4" t="n">
        <f aca="false">-L6*Assumptions!L18/100</f>
        <v>-274.935151032917</v>
      </c>
    </row>
    <row r="18" customFormat="false" ht="15" hidden="false" customHeight="false" outlineLevel="0" collapsed="false">
      <c r="A18" s="0" t="s">
        <v>130</v>
      </c>
      <c r="C18" s="4" t="n">
        <f aca="false">(C6-B6)*Assumptions!$B$23/100</f>
        <v>54.752</v>
      </c>
      <c r="D18" s="4" t="n">
        <f aca="false">(D6-C6)*Assumptions!$B$23/100</f>
        <v>53.6569599999999</v>
      </c>
      <c r="E18" s="4" t="n">
        <f aca="false">(E6-D6)*Assumptions!$B$23/100</f>
        <v>26.2919104000001</v>
      </c>
      <c r="F18" s="4" t="n">
        <f aca="false">(F6-E6)*Assumptions!$B$23/100</f>
        <v>-0</v>
      </c>
      <c r="G18" s="4" t="n">
        <f aca="false">(G6-F6)*Assumptions!$B$23/100</f>
        <v>-13.0144956479999</v>
      </c>
      <c r="H18" s="4" t="n">
        <f aca="false">(H6-G6)*Assumptions!$B$23/100</f>
        <v>-26.1591362524799</v>
      </c>
      <c r="I18" s="4" t="n">
        <f aca="false">(I6-H6)*Assumptions!$B$23/100</f>
        <v>-26.4207276150049</v>
      </c>
      <c r="J18" s="4" t="n">
        <f aca="false">(J6-I6)*Assumptions!$B$23/100</f>
        <v>-26.684934891155</v>
      </c>
      <c r="K18" s="4" t="n">
        <f aca="false">(K6-J6)*Assumptions!$B$23/100</f>
        <v>-26.9517842400663</v>
      </c>
      <c r="L18" s="4" t="n">
        <f aca="false">(L6-K6)*Assumptions!$B$23/100</f>
        <v>-27.2213020824671</v>
      </c>
    </row>
    <row r="19" customFormat="false" ht="15" hidden="false" customHeight="false" outlineLevel="0" collapsed="false">
      <c r="A19" s="0" t="s">
        <v>131</v>
      </c>
      <c r="C19" s="0" t="n">
        <f aca="false">C15+C16+C17+C18</f>
        <v>798.3703944</v>
      </c>
      <c r="D19" s="0" t="n">
        <f aca="false">D15+D16+D17+D18</f>
        <v>746.514528816</v>
      </c>
      <c r="E19" s="0" t="n">
        <f aca="false">E15+E16+E17+E18</f>
        <v>695.69249405488</v>
      </c>
      <c r="F19" s="0" t="n">
        <f aca="false">F15+F16+F17+F18</f>
        <v>665.88666982992</v>
      </c>
      <c r="G19" s="0" t="n">
        <f aca="false">G15+G16+G17+G18</f>
        <v>652.670124136985</v>
      </c>
      <c r="H19" s="0" t="n">
        <f aca="false">H15+H16+H17+H18</f>
        <v>642.615531502329</v>
      </c>
      <c r="I19" s="0" t="n">
        <f aca="false">I15+I16+I17+I18</f>
        <v>645.439220607046</v>
      </c>
      <c r="J19" s="0" t="n">
        <f aca="false">J15+J16+J17+J18</f>
        <v>648.255121940708</v>
      </c>
      <c r="K19" s="0" t="n">
        <f aca="false">K15+K16+K17+K18</f>
        <v>654.737673160115</v>
      </c>
      <c r="L19" s="0" t="n">
        <f aca="false">L15+L16+L17+L18</f>
        <v>661.285049891716</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739.231846666667</v>
      </c>
      <c r="D21" s="0" t="n">
        <f aca="false">D19*D20</f>
        <v>640.015885473251</v>
      </c>
      <c r="E21" s="0" t="n">
        <f aca="false">E19*E20</f>
        <v>552.263131616496</v>
      </c>
      <c r="F21" s="0" t="n">
        <f aca="false">F19*F20</f>
        <v>489.446580904207</v>
      </c>
      <c r="G21" s="0" t="n">
        <f aca="false">G19*G20</f>
        <v>444.196319693566</v>
      </c>
      <c r="H21" s="0" t="n">
        <f aca="false">H19*H20</f>
        <v>404.956789716111</v>
      </c>
      <c r="I21" s="0" t="n">
        <f aca="false">I19*I20</f>
        <v>376.607585949689</v>
      </c>
      <c r="J21" s="0" t="n">
        <f aca="false">J19*J20</f>
        <v>350.232071603598</v>
      </c>
      <c r="K21" s="0" t="n">
        <f aca="false">K19*K20</f>
        <v>327.531844740402</v>
      </c>
      <c r="L21" s="0" t="n">
        <f aca="false">L19*L20</f>
        <v>306.302928877598</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v>
      </c>
    </row>
    <row r="28" customFormat="false" ht="15" hidden="false" customHeight="false" outlineLevel="0" collapsed="false">
      <c r="A28" s="0" t="s">
        <v>114</v>
      </c>
      <c r="B28" s="4" t="n">
        <f aca="false">Assumptions!$B$21</f>
        <v>1</v>
      </c>
    </row>
    <row r="29" customFormat="false" ht="15" hidden="false" customHeight="false" outlineLevel="0" collapsed="false">
      <c r="A29" s="0" t="s">
        <v>115</v>
      </c>
      <c r="B29" s="4" t="n">
        <f aca="false">Assumptions!$B$22</f>
        <v>12</v>
      </c>
    </row>
    <row r="30" customFormat="false" ht="15" hidden="false" customHeight="false" outlineLevel="0" collapsed="false">
      <c r="A30" s="0" t="s">
        <v>136</v>
      </c>
      <c r="B30" s="0" t="n">
        <f aca="false">SUM(C21:L21)</f>
        <v>4630.78498524159</v>
      </c>
    </row>
    <row r="31" customFormat="false" ht="15" hidden="false" customHeight="false" outlineLevel="0" collapsed="false">
      <c r="A31" s="0" t="s">
        <v>137</v>
      </c>
      <c r="B31" s="0" t="n">
        <f aca="false">L19</f>
        <v>661.285049891716</v>
      </c>
    </row>
    <row r="32" customFormat="false" ht="15" hidden="false" customHeight="false" outlineLevel="0" collapsed="false">
      <c r="A32" s="0" t="s">
        <v>138</v>
      </c>
      <c r="B32" s="0" t="n">
        <f aca="false">IF(B27&gt;B28,B31*(1+B28/100)/((B27-B28)/100),B31*B29)</f>
        <v>9541.39857700905</v>
      </c>
    </row>
    <row r="33" customFormat="false" ht="15" hidden="false" customHeight="false" outlineLevel="0" collapsed="false">
      <c r="A33" s="0" t="s">
        <v>139</v>
      </c>
      <c r="B33" s="0" t="n">
        <f aca="false">B31*B29</f>
        <v>7935.42059870059</v>
      </c>
    </row>
    <row r="34" customFormat="false" ht="15" hidden="false" customHeight="false" outlineLevel="0" collapsed="false">
      <c r="A34" s="0" t="s">
        <v>140</v>
      </c>
      <c r="B34" s="0" t="n">
        <f aca="false">MAX(0,MIN(B32,B33))</f>
        <v>7935.42059870059</v>
      </c>
    </row>
    <row r="35" customFormat="false" ht="15" hidden="false" customHeight="false" outlineLevel="0" collapsed="false">
      <c r="A35" s="0" t="s">
        <v>141</v>
      </c>
      <c r="B35" s="0" t="n">
        <f aca="false">B34/(1+B27/100)^L4</f>
        <v>3675.63514653118</v>
      </c>
    </row>
    <row r="36" customFormat="false" ht="15" hidden="false" customHeight="false" outlineLevel="0" collapsed="false">
      <c r="A36" s="0" t="s">
        <v>142</v>
      </c>
      <c r="B36" s="0" t="n">
        <f aca="false">B30+B35</f>
        <v>8306.42013177277</v>
      </c>
    </row>
    <row r="37" customFormat="false" ht="15" hidden="false" customHeight="false" outlineLevel="0" collapsed="false">
      <c r="A37" s="0" t="s">
        <v>143</v>
      </c>
      <c r="B37" s="0" t="n">
        <f aca="false">B36+Assumptions!$B$5-Assumptions!$B$4</f>
        <v>4746.42013177277</v>
      </c>
    </row>
    <row r="38" customFormat="false" ht="15" hidden="false" customHeight="false" outlineLevel="0" collapsed="false">
      <c r="A38" s="0" t="s">
        <v>144</v>
      </c>
      <c r="B38" s="0" t="n">
        <f aca="false">B37/Assumptions!$B$3*Assumptions!$B$10</f>
        <v>18.7531415716032</v>
      </c>
    </row>
    <row r="39" customFormat="false" ht="15" hidden="false" customHeight="false" outlineLevel="0" collapsed="false">
      <c r="A39" s="0" t="s">
        <v>145</v>
      </c>
      <c r="B39" s="4" t="n">
        <f aca="false">B38/Assumptions!$B$2-1</f>
        <v>-0.176771660596875</v>
      </c>
    </row>
    <row r="41" customFormat="false" ht="15" hidden="false" customHeight="false" outlineLevel="0" collapsed="false">
      <c r="A41" s="0" t="s">
        <v>146</v>
      </c>
      <c r="B41" s="0" t="n">
        <f aca="false">SUMPRODUCT(-C10:L10/(1+$B$27/100)^C4:L4)</f>
        <v>222.642333042817</v>
      </c>
    </row>
    <row r="42" customFormat="false" ht="15" hidden="false" customHeight="false" outlineLevel="0" collapsed="false">
      <c r="A42" s="0" t="s">
        <v>147</v>
      </c>
      <c r="B42" s="0" t="n">
        <f aca="false">IF(B27&gt;B28,-L10*(1+B28/100)/((B27-B28)/100),-L10*20)/(1+B27/100)^L4</f>
        <v>229.681523785833</v>
      </c>
    </row>
    <row r="43" customFormat="false" ht="15" hidden="false" customHeight="false" outlineLevel="0" collapsed="false">
      <c r="A43" s="0" t="s">
        <v>148</v>
      </c>
      <c r="B43" s="0" t="n">
        <f aca="false">(B37+B41+B42)/Assumptions!$B$3*Assumptions!$B$10</f>
        <v>20.5402765254896</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4770.69928850452</v>
      </c>
    </row>
    <row r="47" customFormat="false" ht="15" hidden="false" customHeight="false" outlineLevel="0" collapsed="false">
      <c r="A47" s="0" t="s">
        <v>150</v>
      </c>
      <c r="B47" s="0" t="n">
        <f aca="false">(SUMPRODUCT(C19:L19/(1+B45/100)^C4:L4)+B46/(1+B45/100)^L4+Assumptions!$B$5-Assumptions!$B$4)/Assumptions!$B$3*Assumptions!$B$10</f>
        <v>4.43521605147253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-0.5</v>
      </c>
      <c r="D5" s="4" t="n">
        <f aca="false">Assumptions!D27</f>
        <v>1.5</v>
      </c>
      <c r="E5" s="4" t="n">
        <f aca="false">Assumptions!E27</f>
        <v>2</v>
      </c>
      <c r="F5" s="4" t="n">
        <f aca="false">Assumptions!F27</f>
        <v>2.5</v>
      </c>
      <c r="G5" s="4" t="n">
        <f aca="false">Assumptions!G27</f>
        <v>2.5</v>
      </c>
      <c r="H5" s="4" t="n">
        <f aca="false">Assumptions!H27</f>
        <v>2.5</v>
      </c>
      <c r="I5" s="4" t="n">
        <f aca="false">Assumptions!I27</f>
        <v>2.5</v>
      </c>
      <c r="J5" s="4" t="n">
        <f aca="false">Assumptions!J27</f>
        <v>2.5</v>
      </c>
      <c r="K5" s="4" t="n">
        <f aca="false">Assumptions!K27</f>
        <v>2.5</v>
      </c>
      <c r="L5" s="4" t="n">
        <f aca="false">Assumptions!L27</f>
        <v>2</v>
      </c>
    </row>
    <row r="6" customFormat="false" ht="15" hidden="false" customHeight="false" outlineLevel="0" collapsed="false">
      <c r="A6" s="0" t="s">
        <v>37</v>
      </c>
      <c r="B6" s="3" t="n">
        <v>13688</v>
      </c>
      <c r="C6" s="0" t="n">
        <f aca="false">B6*(1+C5/100)</f>
        <v>13619.56</v>
      </c>
      <c r="D6" s="0" t="n">
        <f aca="false">C6*(1+D5/100)</f>
        <v>13823.8534</v>
      </c>
      <c r="E6" s="0" t="n">
        <f aca="false">D6*(1+E5/100)</f>
        <v>14100.330468</v>
      </c>
      <c r="F6" s="0" t="n">
        <f aca="false">E6*(1+F5/100)</f>
        <v>14452.8387297</v>
      </c>
      <c r="G6" s="0" t="n">
        <f aca="false">F6*(1+G5/100)</f>
        <v>14814.1596979425</v>
      </c>
      <c r="H6" s="0" t="n">
        <f aca="false">G6*(1+H5/100)</f>
        <v>15184.5136903911</v>
      </c>
      <c r="I6" s="0" t="n">
        <f aca="false">H6*(1+I5/100)</f>
        <v>15564.1265326508</v>
      </c>
      <c r="J6" s="0" t="n">
        <f aca="false">I6*(1+J5/100)</f>
        <v>15953.2296959671</v>
      </c>
      <c r="K6" s="0" t="n">
        <f aca="false">J6*(1+K5/100)</f>
        <v>16352.0604383663</v>
      </c>
      <c r="L6" s="0" t="n">
        <f aca="false">K6*(1+L5/100)</f>
        <v>16679.1016471336</v>
      </c>
    </row>
    <row r="7" customFormat="false" ht="15" hidden="false" customHeight="false" outlineLevel="0" collapsed="false">
      <c r="A7" s="0" t="s">
        <v>107</v>
      </c>
      <c r="C7" s="4" t="n">
        <f aca="false">Assumptions!C28</f>
        <v>9.7</v>
      </c>
      <c r="D7" s="4" t="n">
        <f aca="false">Assumptions!D28</f>
        <v>10.2</v>
      </c>
      <c r="E7" s="4" t="n">
        <f aca="false">Assumptions!E28</f>
        <v>10.6</v>
      </c>
      <c r="F7" s="4" t="n">
        <f aca="false">Assumptions!F28</f>
        <v>10.8</v>
      </c>
      <c r="G7" s="4" t="n">
        <f aca="false">Assumptions!G28</f>
        <v>11</v>
      </c>
      <c r="H7" s="4" t="n">
        <f aca="false">Assumptions!H28</f>
        <v>11</v>
      </c>
      <c r="I7" s="4" t="n">
        <f aca="false">Assumptions!I28</f>
        <v>11</v>
      </c>
      <c r="J7" s="4" t="n">
        <f aca="false">Assumptions!J28</f>
        <v>11</v>
      </c>
      <c r="K7" s="4" t="n">
        <f aca="false">Assumptions!K28</f>
        <v>11</v>
      </c>
      <c r="L7" s="4" t="n">
        <f aca="false">Assumptions!L28</f>
        <v>11</v>
      </c>
    </row>
    <row r="8" customFormat="false" ht="15" hidden="false" customHeight="false" outlineLevel="0" collapsed="false">
      <c r="A8" s="0" t="s">
        <v>43</v>
      </c>
      <c r="C8" s="0" t="n">
        <f aca="false">C6*C7/100</f>
        <v>1321.09732</v>
      </c>
      <c r="D8" s="0" t="n">
        <f aca="false">D6*D7/100</f>
        <v>1410.0330468</v>
      </c>
      <c r="E8" s="0" t="n">
        <f aca="false">E6*E7/100</f>
        <v>1494.635029608</v>
      </c>
      <c r="F8" s="0" t="n">
        <f aca="false">F6*F7/100</f>
        <v>1560.9065828076</v>
      </c>
      <c r="G8" s="0" t="n">
        <f aca="false">G6*G7/100</f>
        <v>1629.55756677367</v>
      </c>
      <c r="H8" s="0" t="n">
        <f aca="false">H6*H7/100</f>
        <v>1670.29650594302</v>
      </c>
      <c r="I8" s="0" t="n">
        <f aca="false">I6*I7/100</f>
        <v>1712.05391859159</v>
      </c>
      <c r="J8" s="0" t="n">
        <f aca="false">J6*J7/100</f>
        <v>1754.85526655638</v>
      </c>
      <c r="K8" s="0" t="n">
        <f aca="false">K6*K7/100</f>
        <v>1798.72664822029</v>
      </c>
      <c r="L8" s="0" t="n">
        <f aca="false">L6*L7/100</f>
        <v>1834.7011811847</v>
      </c>
    </row>
    <row r="9" customFormat="false" ht="15" hidden="false" customHeight="false" outlineLevel="0" collapsed="false">
      <c r="A9" s="0" t="s">
        <v>108</v>
      </c>
      <c r="C9" s="4" t="n">
        <f aca="false">Assumptions!C29</f>
        <v>0.25</v>
      </c>
      <c r="D9" s="4" t="n">
        <f aca="false">Assumptions!D29</f>
        <v>0.25</v>
      </c>
      <c r="E9" s="4" t="n">
        <f aca="false">Assumptions!E29</f>
        <v>0.25</v>
      </c>
      <c r="F9" s="4" t="n">
        <f aca="false">Assumptions!F29</f>
        <v>0.25</v>
      </c>
      <c r="G9" s="4" t="n">
        <f aca="false">Assumptions!G29</f>
        <v>0.25</v>
      </c>
      <c r="H9" s="4" t="n">
        <f aca="false">Assumptions!H29</f>
        <v>0.25</v>
      </c>
      <c r="I9" s="4" t="n">
        <f aca="false">Assumptions!I29</f>
        <v>0.25</v>
      </c>
      <c r="J9" s="4" t="n">
        <f aca="false">Assumptions!J29</f>
        <v>0.25</v>
      </c>
      <c r="K9" s="4" t="n">
        <f aca="false">Assumptions!K29</f>
        <v>0.25</v>
      </c>
      <c r="L9" s="4" t="n">
        <f aca="false">Assumptions!L29</f>
        <v>0.25</v>
      </c>
    </row>
    <row r="10" customFormat="false" ht="15" hidden="false" customHeight="false" outlineLevel="0" collapsed="false">
      <c r="A10" s="0" t="s">
        <v>123</v>
      </c>
      <c r="C10" s="0" t="n">
        <f aca="false">-C6*C9/100</f>
        <v>-34.0489</v>
      </c>
      <c r="D10" s="0" t="n">
        <f aca="false">-D6*D9/100</f>
        <v>-34.5596335</v>
      </c>
      <c r="E10" s="0" t="n">
        <f aca="false">-E6*E9/100</f>
        <v>-35.25082617</v>
      </c>
      <c r="F10" s="0" t="n">
        <f aca="false">-F6*F9/100</f>
        <v>-36.13209682425</v>
      </c>
      <c r="G10" s="0" t="n">
        <f aca="false">-G6*G9/100</f>
        <v>-37.0353992448562</v>
      </c>
      <c r="H10" s="0" t="n">
        <f aca="false">-H6*H9/100</f>
        <v>-37.9612842259776</v>
      </c>
      <c r="I10" s="0" t="n">
        <f aca="false">-I6*I9/100</f>
        <v>-38.9103163316271</v>
      </c>
      <c r="J10" s="0" t="n">
        <f aca="false">-J6*J9/100</f>
        <v>-39.8830742399178</v>
      </c>
      <c r="K10" s="0" t="n">
        <f aca="false">-K6*K9/100</f>
        <v>-40.8801510959157</v>
      </c>
      <c r="L10" s="0" t="n">
        <f aca="false">-L6*L9/100</f>
        <v>-41.697754117834</v>
      </c>
    </row>
    <row r="11" customFormat="false" ht="15" hidden="false" customHeight="false" outlineLevel="0" collapsed="false">
      <c r="A11" s="0" t="s">
        <v>124</v>
      </c>
      <c r="C11" s="0" t="n">
        <f aca="false">C8+C10+C24</f>
        <v>1287.04842</v>
      </c>
      <c r="D11" s="0" t="n">
        <f aca="false">D8+D10+D24</f>
        <v>1375.4734133</v>
      </c>
      <c r="E11" s="0" t="n">
        <f aca="false">E8+E10+E24</f>
        <v>1459.384203438</v>
      </c>
      <c r="F11" s="0" t="n">
        <f aca="false">F8+F10+F24</f>
        <v>1524.77448598335</v>
      </c>
      <c r="G11" s="0" t="n">
        <f aca="false">G8+G10+G24</f>
        <v>1592.52216752882</v>
      </c>
      <c r="H11" s="0" t="n">
        <f aca="false">H8+H10+H24</f>
        <v>1632.33522171704</v>
      </c>
      <c r="I11" s="0" t="n">
        <f aca="false">I8+I10+I24</f>
        <v>1673.14360225996</v>
      </c>
      <c r="J11" s="0" t="n">
        <f aca="false">J8+J10+J24</f>
        <v>1714.97219231646</v>
      </c>
      <c r="K11" s="0" t="n">
        <f aca="false">K8+K10+K24</f>
        <v>1757.84649712438</v>
      </c>
      <c r="L11" s="0" t="n">
        <f aca="false">L8+L10+L24</f>
        <v>1793.00342706686</v>
      </c>
    </row>
    <row r="12" customFormat="false" ht="15" hidden="false" customHeight="false" outlineLevel="0" collapsed="false">
      <c r="A12" s="0" t="s">
        <v>125</v>
      </c>
      <c r="C12" s="4" t="n">
        <f aca="false">-C6*Assumptions!C31/100</f>
        <v>-408.5868</v>
      </c>
      <c r="D12" s="4" t="n">
        <f aca="false">-D6*Assumptions!D31/100</f>
        <v>-400.8917486</v>
      </c>
      <c r="E12" s="4" t="n">
        <f aca="false">-E6*Assumptions!E31/100</f>
        <v>-394.809253104</v>
      </c>
      <c r="F12" s="4" t="n">
        <f aca="false">-F6*Assumptions!F31/100</f>
        <v>-390.2266457019</v>
      </c>
      <c r="G12" s="4" t="n">
        <f aca="false">-G6*Assumptions!G31/100</f>
        <v>-385.168152146505</v>
      </c>
      <c r="H12" s="4" t="n">
        <f aca="false">-H6*Assumptions!H31/100</f>
        <v>-379.612842259776</v>
      </c>
      <c r="I12" s="4" t="n">
        <f aca="false">-I6*Assumptions!I31/100</f>
        <v>-373.53903678362</v>
      </c>
      <c r="J12" s="4" t="n">
        <f aca="false">-J6*Assumptions!J31/100</f>
        <v>-366.924283007243</v>
      </c>
      <c r="K12" s="4" t="n">
        <f aca="false">-K6*Assumptions!K31/100</f>
        <v>-376.097390082424</v>
      </c>
      <c r="L12" s="4" t="n">
        <f aca="false">-L6*Assumptions!L31/100</f>
        <v>-383.619337884073</v>
      </c>
    </row>
    <row r="13" customFormat="false" ht="15" hidden="false" customHeight="false" outlineLevel="0" collapsed="false">
      <c r="A13" s="0" t="s">
        <v>126</v>
      </c>
      <c r="C13" s="0" t="n">
        <f aca="false">C11+C12</f>
        <v>878.46162</v>
      </c>
      <c r="D13" s="0" t="n">
        <f aca="false">D11+D12</f>
        <v>974.5816647</v>
      </c>
      <c r="E13" s="0" t="n">
        <f aca="false">E11+E12</f>
        <v>1064.574950334</v>
      </c>
      <c r="F13" s="0" t="n">
        <f aca="false">F11+F12</f>
        <v>1134.54784028145</v>
      </c>
      <c r="G13" s="0" t="n">
        <f aca="false">G11+G12</f>
        <v>1207.35401538231</v>
      </c>
      <c r="H13" s="0" t="n">
        <f aca="false">H11+H12</f>
        <v>1252.72237945726</v>
      </c>
      <c r="I13" s="0" t="n">
        <f aca="false">I11+I12</f>
        <v>1299.60456547634</v>
      </c>
      <c r="J13" s="0" t="n">
        <f aca="false">J11+J12</f>
        <v>1348.04790930922</v>
      </c>
      <c r="K13" s="0" t="n">
        <f aca="false">K11+K12</f>
        <v>1381.74910704195</v>
      </c>
      <c r="L13" s="0" t="n">
        <f aca="false">L11+L12</f>
        <v>1409.38408918279</v>
      </c>
    </row>
    <row r="14" customFormat="false" ht="15" hidden="false" customHeight="false" outlineLevel="0" collapsed="false">
      <c r="A14" s="0" t="s">
        <v>112</v>
      </c>
      <c r="C14" s="4" t="n">
        <f aca="false">Assumptions!C33</f>
        <v>27</v>
      </c>
      <c r="D14" s="4" t="n">
        <f aca="false">Assumptions!D33</f>
        <v>27</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127</v>
      </c>
      <c r="C15" s="0" t="n">
        <f aca="false">C13-MAX(0,C13)*C14/100</f>
        <v>641.2769826</v>
      </c>
      <c r="D15" s="0" t="n">
        <f aca="false">D13-MAX(0,D13)*D14/100</f>
        <v>711.444615231</v>
      </c>
      <c r="E15" s="0" t="n">
        <f aca="false">E13-MAX(0,E13)*E14/100</f>
        <v>777.13971374382</v>
      </c>
      <c r="F15" s="0" t="n">
        <f aca="false">F13-MAX(0,F13)*F14/100</f>
        <v>828.219923405458</v>
      </c>
      <c r="G15" s="0" t="n">
        <f aca="false">G13-MAX(0,G13)*G14/100</f>
        <v>881.368431229089</v>
      </c>
      <c r="H15" s="0" t="n">
        <f aca="false">H13-MAX(0,H13)*H14/100</f>
        <v>914.487337003802</v>
      </c>
      <c r="I15" s="0" t="n">
        <f aca="false">I13-MAX(0,I13)*I14/100</f>
        <v>948.711332797732</v>
      </c>
      <c r="J15" s="0" t="n">
        <f aca="false">J13-MAX(0,J13)*J14/100</f>
        <v>984.074973795731</v>
      </c>
      <c r="K15" s="0" t="n">
        <f aca="false">K13-MAX(0,K13)*K14/100</f>
        <v>1008.67684814062</v>
      </c>
      <c r="L15" s="0" t="n">
        <f aca="false">L13-MAX(0,L13)*L14/100</f>
        <v>1028.85038510344</v>
      </c>
    </row>
    <row r="16" customFormat="false" ht="15" hidden="false" customHeight="false" outlineLevel="0" collapsed="false">
      <c r="A16" s="0" t="s">
        <v>128</v>
      </c>
      <c r="C16" s="0" t="n">
        <f aca="false">-C12</f>
        <v>408.5868</v>
      </c>
      <c r="D16" s="0" t="n">
        <f aca="false">-D12</f>
        <v>400.8917486</v>
      </c>
      <c r="E16" s="0" t="n">
        <f aca="false">-E12</f>
        <v>394.809253104</v>
      </c>
      <c r="F16" s="0" t="n">
        <f aca="false">-F12</f>
        <v>390.2266457019</v>
      </c>
      <c r="G16" s="0" t="n">
        <f aca="false">-G12</f>
        <v>385.168152146505</v>
      </c>
      <c r="H16" s="0" t="n">
        <f aca="false">-H12</f>
        <v>379.612842259776</v>
      </c>
      <c r="I16" s="0" t="n">
        <f aca="false">-I12</f>
        <v>373.53903678362</v>
      </c>
      <c r="J16" s="0" t="n">
        <f aca="false">-J12</f>
        <v>366.924283007243</v>
      </c>
      <c r="K16" s="0" t="n">
        <f aca="false">-K12</f>
        <v>376.097390082424</v>
      </c>
      <c r="L16" s="0" t="n">
        <f aca="false">-L12</f>
        <v>383.619337884073</v>
      </c>
    </row>
    <row r="17" customFormat="false" ht="15" hidden="false" customHeight="false" outlineLevel="0" collapsed="false">
      <c r="A17" s="0" t="s">
        <v>129</v>
      </c>
      <c r="C17" s="4" t="n">
        <f aca="false">-C6*Assumptions!C32/100</f>
        <v>-245.15208</v>
      </c>
      <c r="D17" s="4" t="n">
        <f aca="false">-D6*Assumptions!D32/100</f>
        <v>-262.6532146</v>
      </c>
      <c r="E17" s="4" t="n">
        <f aca="false">-E6*Assumptions!E32/100</f>
        <v>-282.00660936</v>
      </c>
      <c r="F17" s="4" t="n">
        <f aca="false">-F6*Assumptions!F32/100</f>
        <v>-289.056774594</v>
      </c>
      <c r="G17" s="4" t="n">
        <f aca="false">-G6*Assumptions!G32/100</f>
        <v>-296.28319395885</v>
      </c>
      <c r="H17" s="4" t="n">
        <f aca="false">-H6*Assumptions!H32/100</f>
        <v>-303.690273807821</v>
      </c>
      <c r="I17" s="4" t="n">
        <f aca="false">-I6*Assumptions!I32/100</f>
        <v>-311.282530653017</v>
      </c>
      <c r="J17" s="4" t="n">
        <f aca="false">-J6*Assumptions!J32/100</f>
        <v>-319.064593919342</v>
      </c>
      <c r="K17" s="4" t="n">
        <f aca="false">-K6*Assumptions!K32/100</f>
        <v>-327.041208767326</v>
      </c>
      <c r="L17" s="4" t="n">
        <f aca="false">-L6*Assumptions!L32/100</f>
        <v>-333.582032942672</v>
      </c>
    </row>
    <row r="18" customFormat="false" ht="15" hidden="false" customHeight="false" outlineLevel="0" collapsed="false">
      <c r="A18" s="0" t="s">
        <v>130</v>
      </c>
      <c r="C18" s="4" t="n">
        <f aca="false">(C6-B6)*Assumptions!$B$37/100</f>
        <v>13.6880000000001</v>
      </c>
      <c r="D18" s="4" t="n">
        <f aca="false">(D6-C6)*Assumptions!$B$37/100</f>
        <v>-40.8586799999997</v>
      </c>
      <c r="E18" s="4" t="n">
        <f aca="false">(E6-D6)*Assumptions!$B$37/100</f>
        <v>-55.2954136</v>
      </c>
      <c r="F18" s="4" t="n">
        <f aca="false">(F6-E6)*Assumptions!$B$37/100</f>
        <v>-70.5016523399998</v>
      </c>
      <c r="G18" s="4" t="n">
        <f aca="false">(G6-F6)*Assumptions!$B$37/100</f>
        <v>-72.2641936484997</v>
      </c>
      <c r="H18" s="4" t="n">
        <f aca="false">(H6-G6)*Assumptions!$B$37/100</f>
        <v>-74.0707984897123</v>
      </c>
      <c r="I18" s="4" t="n">
        <f aca="false">(I6-H6)*Assumptions!$B$37/100</f>
        <v>-75.9225684519552</v>
      </c>
      <c r="J18" s="4" t="n">
        <f aca="false">(J6-I6)*Assumptions!$B$37/100</f>
        <v>-77.8206326632539</v>
      </c>
      <c r="K18" s="4" t="n">
        <f aca="false">(K6-J6)*Assumptions!$B$37/100</f>
        <v>-79.7661484798351</v>
      </c>
      <c r="L18" s="4" t="n">
        <f aca="false">(L6-K6)*Assumptions!$B$37/100</f>
        <v>-65.4082417534653</v>
      </c>
    </row>
    <row r="19" customFormat="false" ht="15" hidden="false" customHeight="false" outlineLevel="0" collapsed="false">
      <c r="A19" s="0" t="s">
        <v>131</v>
      </c>
      <c r="C19" s="0" t="n">
        <f aca="false">C15+C16+C17+C18</f>
        <v>818.3997026</v>
      </c>
      <c r="D19" s="0" t="n">
        <f aca="false">D15+D16+D17+D18</f>
        <v>808.824469231</v>
      </c>
      <c r="E19" s="0" t="n">
        <f aca="false">E15+E16+E17+E18</f>
        <v>834.64694388782</v>
      </c>
      <c r="F19" s="0" t="n">
        <f aca="false">F15+F16+F17+F18</f>
        <v>858.888142173359</v>
      </c>
      <c r="G19" s="0" t="n">
        <f aca="false">G15+G16+G17+G18</f>
        <v>897.989195768244</v>
      </c>
      <c r="H19" s="0" t="n">
        <f aca="false">H15+H16+H17+H18</f>
        <v>916.339106966045</v>
      </c>
      <c r="I19" s="0" t="n">
        <f aca="false">I15+I16+I17+I18</f>
        <v>935.04527047638</v>
      </c>
      <c r="J19" s="0" t="n">
        <f aca="false">J15+J16+J17+J18</f>
        <v>954.114030220378</v>
      </c>
      <c r="K19" s="0" t="n">
        <f aca="false">K15+K16+K17+K18</f>
        <v>977.966880975888</v>
      </c>
      <c r="L19" s="0" t="n">
        <f aca="false">L15+L16+L17+L18</f>
        <v>1013.47944829137</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757.777502407407</v>
      </c>
      <c r="D21" s="0" t="n">
        <f aca="false">D19*D20</f>
        <v>693.436616281722</v>
      </c>
      <c r="E21" s="0" t="n">
        <f aca="false">E19*E20</f>
        <v>662.569653927104</v>
      </c>
      <c r="F21" s="0" t="n">
        <f aca="false">F19*F20</f>
        <v>631.308424710303</v>
      </c>
      <c r="G21" s="0" t="n">
        <f aca="false">G19*G20</f>
        <v>611.15635775772</v>
      </c>
      <c r="H21" s="0" t="n">
        <f aca="false">H19*H20</f>
        <v>577.44907313519</v>
      </c>
      <c r="I21" s="0" t="n">
        <f aca="false">I19*I20</f>
        <v>545.589934458252</v>
      </c>
      <c r="J21" s="0" t="n">
        <f aca="false">J19*J20</f>
        <v>515.478122794848</v>
      </c>
      <c r="K21" s="0" t="n">
        <f aca="false">K19*K20</f>
        <v>489.226922096962</v>
      </c>
      <c r="L21" s="0" t="n">
        <f aca="false">L19*L20</f>
        <v>469.437080756222</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v>
      </c>
    </row>
    <row r="28" customFormat="false" ht="15" hidden="false" customHeight="false" outlineLevel="0" collapsed="false">
      <c r="A28" s="0" t="s">
        <v>114</v>
      </c>
      <c r="B28" s="4" t="n">
        <f aca="false">Assumptions!$B$35</f>
        <v>2</v>
      </c>
    </row>
    <row r="29" customFormat="false" ht="15" hidden="false" customHeight="false" outlineLevel="0" collapsed="false">
      <c r="A29" s="0" t="s">
        <v>115</v>
      </c>
      <c r="B29" s="4" t="n">
        <f aca="false">Assumptions!$B$36</f>
        <v>14</v>
      </c>
    </row>
    <row r="30" customFormat="false" ht="15" hidden="false" customHeight="false" outlineLevel="0" collapsed="false">
      <c r="A30" s="0" t="s">
        <v>136</v>
      </c>
      <c r="B30" s="0" t="n">
        <f aca="false">SUM(C21:L21)</f>
        <v>5953.42968832573</v>
      </c>
    </row>
    <row r="31" customFormat="false" ht="15" hidden="false" customHeight="false" outlineLevel="0" collapsed="false">
      <c r="A31" s="0" t="s">
        <v>137</v>
      </c>
      <c r="B31" s="0" t="n">
        <f aca="false">L19</f>
        <v>1013.47944829137</v>
      </c>
    </row>
    <row r="32" customFormat="false" ht="15" hidden="false" customHeight="false" outlineLevel="0" collapsed="false">
      <c r="A32" s="0" t="s">
        <v>138</v>
      </c>
      <c r="B32" s="0" t="n">
        <f aca="false">IF(B27&gt;B28,B31*(1+B28/100)/((B27-B28)/100),B31*B29)</f>
        <v>17229.1506209533</v>
      </c>
    </row>
    <row r="33" customFormat="false" ht="15" hidden="false" customHeight="false" outlineLevel="0" collapsed="false">
      <c r="A33" s="0" t="s">
        <v>139</v>
      </c>
      <c r="B33" s="0" t="n">
        <f aca="false">B31*B29</f>
        <v>14188.7122760792</v>
      </c>
    </row>
    <row r="34" customFormat="false" ht="15" hidden="false" customHeight="false" outlineLevel="0" collapsed="false">
      <c r="A34" s="0" t="s">
        <v>140</v>
      </c>
      <c r="B34" s="0" t="n">
        <f aca="false">MAX(0,MIN(B32,B33))</f>
        <v>14188.7122760792</v>
      </c>
    </row>
    <row r="35" customFormat="false" ht="15" hidden="false" customHeight="false" outlineLevel="0" collapsed="false">
      <c r="A35" s="0" t="s">
        <v>141</v>
      </c>
      <c r="B35" s="0" t="n">
        <f aca="false">B34/(1+B27/100)^L4</f>
        <v>6572.11913058711</v>
      </c>
    </row>
    <row r="36" customFormat="false" ht="15" hidden="false" customHeight="false" outlineLevel="0" collapsed="false">
      <c r="A36" s="0" t="s">
        <v>142</v>
      </c>
      <c r="B36" s="0" t="n">
        <f aca="false">B30+B35</f>
        <v>12525.5488189128</v>
      </c>
    </row>
    <row r="37" customFormat="false" ht="15" hidden="false" customHeight="false" outlineLevel="0" collapsed="false">
      <c r="A37" s="0" t="s">
        <v>143</v>
      </c>
      <c r="B37" s="0" t="n">
        <f aca="false">B36+Assumptions!$B$5-Assumptions!$B$4</f>
        <v>8965.54881891283</v>
      </c>
    </row>
    <row r="38" customFormat="false" ht="15" hidden="false" customHeight="false" outlineLevel="0" collapsed="false">
      <c r="A38" s="0" t="s">
        <v>144</v>
      </c>
      <c r="B38" s="0" t="n">
        <f aca="false">B37/Assumptions!$B$3*Assumptions!$B$10</f>
        <v>35.4229506871309</v>
      </c>
    </row>
    <row r="39" customFormat="false" ht="15" hidden="false" customHeight="false" outlineLevel="0" collapsed="false">
      <c r="A39" s="0" t="s">
        <v>145</v>
      </c>
      <c r="B39" s="4" t="n">
        <f aca="false">B38/Assumptions!$B$2-1</f>
        <v>0.555002225071594</v>
      </c>
    </row>
    <row r="41" customFormat="false" ht="15" hidden="false" customHeight="false" outlineLevel="0" collapsed="false">
      <c r="A41" s="0" t="s">
        <v>146</v>
      </c>
      <c r="B41" s="0" t="n">
        <f aca="false">SUMPRODUCT(-C10:L10/(1+$B$27/100)^C4:L4)</f>
        <v>248.840966981956</v>
      </c>
    </row>
    <row r="42" customFormat="false" ht="15" hidden="false" customHeight="false" outlineLevel="0" collapsed="false">
      <c r="A42" s="0" t="s">
        <v>147</v>
      </c>
      <c r="B42" s="0" t="n">
        <f aca="false">IF(B27&gt;B28,-L10*(1+B28/100)/((B27-B28)/100),-L10*20)/(1+B27/100)^L4</f>
        <v>328.34017897733</v>
      </c>
    </row>
    <row r="43" customFormat="false" ht="15" hidden="false" customHeight="false" outlineLevel="0" collapsed="false">
      <c r="A43" s="0" t="s">
        <v>148</v>
      </c>
      <c r="B43" s="0" t="n">
        <f aca="false">(B37+B41+B42)/Assumptions!$B$3*Assumptions!$B$10</f>
        <v>37.7033977276654</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7951.91567120923</v>
      </c>
    </row>
    <row r="47" customFormat="false" ht="15" hidden="false" customHeight="false" outlineLevel="0" collapsed="false">
      <c r="A47" s="0" t="s">
        <v>150</v>
      </c>
      <c r="B47" s="0" t="n">
        <f aca="false">(SUMPRODUCT(C19:L19/(1+B45/100)^C4:L4)+B46/(1+B45/100)^L4+Assumptions!$B$5-Assumptions!$B$4)/Assumptions!$B$3*Assumptions!$B$10</f>
        <v>11.0756654872457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-0.5</v>
      </c>
      <c r="D5" s="4" t="n">
        <f aca="false">Assumptions!D41</f>
        <v>2.5</v>
      </c>
      <c r="E5" s="4" t="n">
        <f aca="false">Assumptions!E41</f>
        <v>3</v>
      </c>
      <c r="F5" s="4" t="n">
        <f aca="false">Assumptions!F41</f>
        <v>3.5</v>
      </c>
      <c r="G5" s="4" t="n">
        <f aca="false">Assumptions!G41</f>
        <v>3.5</v>
      </c>
      <c r="H5" s="4" t="n">
        <f aca="false">Assumptions!H41</f>
        <v>3</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37</v>
      </c>
      <c r="B6" s="3" t="n">
        <v>13688</v>
      </c>
      <c r="C6" s="0" t="n">
        <f aca="false">B6*(1+C5/100)</f>
        <v>13619.56</v>
      </c>
      <c r="D6" s="0" t="n">
        <f aca="false">C6*(1+D5/100)</f>
        <v>13960.049</v>
      </c>
      <c r="E6" s="0" t="n">
        <f aca="false">D6*(1+E5/100)</f>
        <v>14378.85047</v>
      </c>
      <c r="F6" s="0" t="n">
        <f aca="false">E6*(1+F5/100)</f>
        <v>14882.11023645</v>
      </c>
      <c r="G6" s="0" t="n">
        <f aca="false">F6*(1+G5/100)</f>
        <v>15402.9840947257</v>
      </c>
      <c r="H6" s="0" t="n">
        <f aca="false">G6*(1+H5/100)</f>
        <v>15865.0736175675</v>
      </c>
      <c r="I6" s="0" t="n">
        <f aca="false">H6*(1+I5/100)</f>
        <v>16341.0258260945</v>
      </c>
      <c r="J6" s="0" t="n">
        <f aca="false">I6*(1+J5/100)</f>
        <v>16749.5514717469</v>
      </c>
      <c r="K6" s="0" t="n">
        <f aca="false">J6*(1+K5/100)</f>
        <v>17168.2902585406</v>
      </c>
      <c r="L6" s="0" t="n">
        <f aca="false">K6*(1+L5/100)</f>
        <v>17597.4975150041</v>
      </c>
    </row>
    <row r="7" customFormat="false" ht="15" hidden="false" customHeight="false" outlineLevel="0" collapsed="false">
      <c r="A7" s="0" t="s">
        <v>107</v>
      </c>
      <c r="C7" s="4" t="n">
        <f aca="false">Assumptions!C42</f>
        <v>9.8</v>
      </c>
      <c r="D7" s="4" t="n">
        <f aca="false">Assumptions!D42</f>
        <v>10.6</v>
      </c>
      <c r="E7" s="4" t="n">
        <f aca="false">Assumptions!E42</f>
        <v>11.2</v>
      </c>
      <c r="F7" s="4" t="n">
        <f aca="false">Assumptions!F42</f>
        <v>11.8</v>
      </c>
      <c r="G7" s="4" t="n">
        <f aca="false">Assumptions!G42</f>
        <v>12</v>
      </c>
      <c r="H7" s="4" t="n">
        <f aca="false">Assumptions!H42</f>
        <v>12</v>
      </c>
      <c r="I7" s="4" t="n">
        <f aca="false">Assumptions!I42</f>
        <v>12</v>
      </c>
      <c r="J7" s="4" t="n">
        <f aca="false">Assumptions!J42</f>
        <v>12</v>
      </c>
      <c r="K7" s="4" t="n">
        <f aca="false">Assumptions!K42</f>
        <v>12</v>
      </c>
      <c r="L7" s="4" t="n">
        <f aca="false">Assumptions!L42</f>
        <v>12</v>
      </c>
    </row>
    <row r="8" customFormat="false" ht="15" hidden="false" customHeight="false" outlineLevel="0" collapsed="false">
      <c r="A8" s="0" t="s">
        <v>43</v>
      </c>
      <c r="C8" s="0" t="n">
        <f aca="false">C6*C7/100</f>
        <v>1334.71688</v>
      </c>
      <c r="D8" s="0" t="n">
        <f aca="false">D6*D7/100</f>
        <v>1479.765194</v>
      </c>
      <c r="E8" s="0" t="n">
        <f aca="false">E6*E7/100</f>
        <v>1610.43125264</v>
      </c>
      <c r="F8" s="0" t="n">
        <f aca="false">F6*F7/100</f>
        <v>1756.0890079011</v>
      </c>
      <c r="G8" s="0" t="n">
        <f aca="false">G6*G7/100</f>
        <v>1848.35809136709</v>
      </c>
      <c r="H8" s="0" t="n">
        <f aca="false">H6*H7/100</f>
        <v>1903.8088341081</v>
      </c>
      <c r="I8" s="0" t="n">
        <f aca="false">I6*I7/100</f>
        <v>1960.92309913135</v>
      </c>
      <c r="J8" s="0" t="n">
        <f aca="false">J6*J7/100</f>
        <v>2009.94617660963</v>
      </c>
      <c r="K8" s="0" t="n">
        <f aca="false">K6*K7/100</f>
        <v>2060.19483102487</v>
      </c>
      <c r="L8" s="0" t="n">
        <f aca="false">L6*L7/100</f>
        <v>2111.69970180049</v>
      </c>
    </row>
    <row r="9" customFormat="false" ht="15" hidden="false" customHeight="false" outlineLevel="0" collapsed="false">
      <c r="A9" s="0" t="s">
        <v>108</v>
      </c>
      <c r="C9" s="4" t="n">
        <f aca="false">Assumptions!C43</f>
        <v>0.25</v>
      </c>
      <c r="D9" s="4" t="n">
        <f aca="false">Assumptions!D43</f>
        <v>0.25</v>
      </c>
      <c r="E9" s="4" t="n">
        <f aca="false">Assumptions!E43</f>
        <v>0.25</v>
      </c>
      <c r="F9" s="4" t="n">
        <f aca="false">Assumptions!F43</f>
        <v>0.25</v>
      </c>
      <c r="G9" s="4" t="n">
        <f aca="false">Assumptions!G43</f>
        <v>0.25</v>
      </c>
      <c r="H9" s="4" t="n">
        <f aca="false">Assumptions!H43</f>
        <v>0.25</v>
      </c>
      <c r="I9" s="4" t="n">
        <f aca="false">Assumptions!I43</f>
        <v>0.25</v>
      </c>
      <c r="J9" s="4" t="n">
        <f aca="false">Assumptions!J43</f>
        <v>0.25</v>
      </c>
      <c r="K9" s="4" t="n">
        <f aca="false">Assumptions!K43</f>
        <v>0.25</v>
      </c>
      <c r="L9" s="4" t="n">
        <f aca="false">Assumptions!L43</f>
        <v>0.25</v>
      </c>
    </row>
    <row r="10" customFormat="false" ht="15" hidden="false" customHeight="false" outlineLevel="0" collapsed="false">
      <c r="A10" s="0" t="s">
        <v>123</v>
      </c>
      <c r="C10" s="0" t="n">
        <f aca="false">-C6*C9/100</f>
        <v>-34.0489</v>
      </c>
      <c r="D10" s="0" t="n">
        <f aca="false">-D6*D9/100</f>
        <v>-34.9001225</v>
      </c>
      <c r="E10" s="0" t="n">
        <f aca="false">-E6*E9/100</f>
        <v>-35.947126175</v>
      </c>
      <c r="F10" s="0" t="n">
        <f aca="false">-F6*F9/100</f>
        <v>-37.205275591125</v>
      </c>
      <c r="G10" s="0" t="n">
        <f aca="false">-G6*G9/100</f>
        <v>-38.5074602368144</v>
      </c>
      <c r="H10" s="0" t="n">
        <f aca="false">-H6*H9/100</f>
        <v>-39.6626840439188</v>
      </c>
      <c r="I10" s="0" t="n">
        <f aca="false">-I6*I9/100</f>
        <v>-40.8525645652364</v>
      </c>
      <c r="J10" s="0" t="n">
        <f aca="false">-J6*J9/100</f>
        <v>-41.8738786793673</v>
      </c>
      <c r="K10" s="0" t="n">
        <f aca="false">-K6*K9/100</f>
        <v>-42.9207256463515</v>
      </c>
      <c r="L10" s="0" t="n">
        <f aca="false">-L6*L9/100</f>
        <v>-43.9937437875102</v>
      </c>
    </row>
    <row r="11" customFormat="false" ht="15" hidden="false" customHeight="false" outlineLevel="0" collapsed="false">
      <c r="A11" s="0" t="s">
        <v>124</v>
      </c>
      <c r="C11" s="0" t="n">
        <f aca="false">C8+C10+C24</f>
        <v>1300.66798</v>
      </c>
      <c r="D11" s="0" t="n">
        <f aca="false">D8+D10+D24</f>
        <v>1444.8650715</v>
      </c>
      <c r="E11" s="0" t="n">
        <f aca="false">E8+E10+E24</f>
        <v>1574.484126465</v>
      </c>
      <c r="F11" s="0" t="n">
        <f aca="false">F8+F10+F24</f>
        <v>1718.88373230998</v>
      </c>
      <c r="G11" s="0" t="n">
        <f aca="false">G8+G10+G24</f>
        <v>1809.85063113028</v>
      </c>
      <c r="H11" s="0" t="n">
        <f aca="false">H8+H10+H24</f>
        <v>1864.14615006418</v>
      </c>
      <c r="I11" s="0" t="n">
        <f aca="false">I8+I10+I24</f>
        <v>1920.07053456611</v>
      </c>
      <c r="J11" s="0" t="n">
        <f aca="false">J8+J10+J24</f>
        <v>1968.07229793026</v>
      </c>
      <c r="K11" s="0" t="n">
        <f aca="false">K8+K10+K24</f>
        <v>2017.27410537852</v>
      </c>
      <c r="L11" s="0" t="n">
        <f aca="false">L8+L10+L24</f>
        <v>2067.70595801298</v>
      </c>
    </row>
    <row r="12" customFormat="false" ht="15" hidden="false" customHeight="false" outlineLevel="0" collapsed="false">
      <c r="A12" s="0" t="s">
        <v>125</v>
      </c>
      <c r="C12" s="4" t="n">
        <f aca="false">-C6*Assumptions!C45/100</f>
        <v>-408.5868</v>
      </c>
      <c r="D12" s="4" t="n">
        <f aca="false">-D6*Assumptions!D45/100</f>
        <v>-404.841421</v>
      </c>
      <c r="E12" s="4" t="n">
        <f aca="false">-E6*Assumptions!E45/100</f>
        <v>-402.60781316</v>
      </c>
      <c r="F12" s="4" t="n">
        <f aca="false">-F6*Assumptions!F45/100</f>
        <v>-401.81697638415</v>
      </c>
      <c r="G12" s="4" t="n">
        <f aca="false">-G6*Assumptions!G45/100</f>
        <v>-400.477586462869</v>
      </c>
      <c r="H12" s="4" t="n">
        <f aca="false">-H6*Assumptions!H45/100</f>
        <v>-396.626840439188</v>
      </c>
      <c r="I12" s="4" t="n">
        <f aca="false">-I6*Assumptions!I45/100</f>
        <v>-392.184619826269</v>
      </c>
      <c r="J12" s="4" t="n">
        <f aca="false">-J6*Assumptions!J45/100</f>
        <v>-385.239683850179</v>
      </c>
      <c r="K12" s="4" t="n">
        <f aca="false">-K6*Assumptions!K45/100</f>
        <v>-394.870675946433</v>
      </c>
      <c r="L12" s="4" t="n">
        <f aca="false">-L6*Assumptions!L45/100</f>
        <v>-404.742442845094</v>
      </c>
    </row>
    <row r="13" customFormat="false" ht="15" hidden="false" customHeight="false" outlineLevel="0" collapsed="false">
      <c r="A13" s="0" t="s">
        <v>126</v>
      </c>
      <c r="C13" s="0" t="n">
        <f aca="false">C11+C12</f>
        <v>892.08118</v>
      </c>
      <c r="D13" s="0" t="n">
        <f aca="false">D11+D12</f>
        <v>1040.0236505</v>
      </c>
      <c r="E13" s="0" t="n">
        <f aca="false">E11+E12</f>
        <v>1171.876313305</v>
      </c>
      <c r="F13" s="0" t="n">
        <f aca="false">F11+F12</f>
        <v>1317.06675592583</v>
      </c>
      <c r="G13" s="0" t="n">
        <f aca="false">G11+G12</f>
        <v>1409.37304466741</v>
      </c>
      <c r="H13" s="0" t="n">
        <f aca="false">H11+H12</f>
        <v>1467.519309625</v>
      </c>
      <c r="I13" s="0" t="n">
        <f aca="false">I11+I12</f>
        <v>1527.88591473984</v>
      </c>
      <c r="J13" s="0" t="n">
        <f aca="false">J11+J12</f>
        <v>1582.83261408008</v>
      </c>
      <c r="K13" s="0" t="n">
        <f aca="false">K11+K12</f>
        <v>1622.40342943208</v>
      </c>
      <c r="L13" s="0" t="n">
        <f aca="false">L11+L12</f>
        <v>1662.96351516789</v>
      </c>
    </row>
    <row r="14" customFormat="false" ht="15" hidden="false" customHeight="false" outlineLevel="0" collapsed="false">
      <c r="A14" s="0" t="s">
        <v>112</v>
      </c>
      <c r="C14" s="4" t="n">
        <f aca="false">Assumptions!C47</f>
        <v>27</v>
      </c>
      <c r="D14" s="4" t="n">
        <f aca="false">Assumptions!D47</f>
        <v>27</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127</v>
      </c>
      <c r="C15" s="0" t="n">
        <f aca="false">C13-MAX(0,C13)*C14/100</f>
        <v>651.2192614</v>
      </c>
      <c r="D15" s="0" t="n">
        <f aca="false">D13-MAX(0,D13)*D14/100</f>
        <v>759.217264865</v>
      </c>
      <c r="E15" s="0" t="n">
        <f aca="false">E13-MAX(0,E13)*E14/100</f>
        <v>855.46970871265</v>
      </c>
      <c r="F15" s="0" t="n">
        <f aca="false">F13-MAX(0,F13)*F14/100</f>
        <v>961.458731825852</v>
      </c>
      <c r="G15" s="0" t="n">
        <f aca="false">G13-MAX(0,G13)*G14/100</f>
        <v>1028.84232260721</v>
      </c>
      <c r="H15" s="0" t="n">
        <f aca="false">H13-MAX(0,H13)*H14/100</f>
        <v>1071.28909602625</v>
      </c>
      <c r="I15" s="0" t="n">
        <f aca="false">I13-MAX(0,I13)*I14/100</f>
        <v>1115.35671776008</v>
      </c>
      <c r="J15" s="0" t="n">
        <f aca="false">J13-MAX(0,J13)*J14/100</f>
        <v>1155.46780827846</v>
      </c>
      <c r="K15" s="0" t="n">
        <f aca="false">K13-MAX(0,K13)*K14/100</f>
        <v>1184.35450348542</v>
      </c>
      <c r="L15" s="0" t="n">
        <f aca="false">L13-MAX(0,L13)*L14/100</f>
        <v>1213.96336607256</v>
      </c>
    </row>
    <row r="16" customFormat="false" ht="15" hidden="false" customHeight="false" outlineLevel="0" collapsed="false">
      <c r="A16" s="0" t="s">
        <v>128</v>
      </c>
      <c r="C16" s="0" t="n">
        <f aca="false">-C12</f>
        <v>408.5868</v>
      </c>
      <c r="D16" s="0" t="n">
        <f aca="false">-D12</f>
        <v>404.841421</v>
      </c>
      <c r="E16" s="0" t="n">
        <f aca="false">-E12</f>
        <v>402.60781316</v>
      </c>
      <c r="F16" s="0" t="n">
        <f aca="false">-F12</f>
        <v>401.81697638415</v>
      </c>
      <c r="G16" s="0" t="n">
        <f aca="false">-G12</f>
        <v>400.477586462869</v>
      </c>
      <c r="H16" s="0" t="n">
        <f aca="false">-H12</f>
        <v>396.626840439188</v>
      </c>
      <c r="I16" s="0" t="n">
        <f aca="false">-I12</f>
        <v>392.184619826269</v>
      </c>
      <c r="J16" s="0" t="n">
        <f aca="false">-J12</f>
        <v>385.239683850179</v>
      </c>
      <c r="K16" s="0" t="n">
        <f aca="false">-K12</f>
        <v>394.870675946433</v>
      </c>
      <c r="L16" s="0" t="n">
        <f aca="false">-L12</f>
        <v>404.742442845094</v>
      </c>
    </row>
    <row r="17" customFormat="false" ht="15" hidden="false" customHeight="false" outlineLevel="0" collapsed="false">
      <c r="A17" s="0" t="s">
        <v>129</v>
      </c>
      <c r="C17" s="4" t="n">
        <f aca="false">-C6*Assumptions!C46/100</f>
        <v>-245.15208</v>
      </c>
      <c r="D17" s="4" t="n">
        <f aca="false">-D6*Assumptions!D46/100</f>
        <v>-279.20098</v>
      </c>
      <c r="E17" s="4" t="n">
        <f aca="false">-E6*Assumptions!E46/100</f>
        <v>-287.5770094</v>
      </c>
      <c r="F17" s="4" t="n">
        <f aca="false">-F6*Assumptions!F46/100</f>
        <v>-297.642204729</v>
      </c>
      <c r="G17" s="4" t="n">
        <f aca="false">-G6*Assumptions!G46/100</f>
        <v>-308.059681894515</v>
      </c>
      <c r="H17" s="4" t="n">
        <f aca="false">-H6*Assumptions!H46/100</f>
        <v>-317.30147235135</v>
      </c>
      <c r="I17" s="4" t="n">
        <f aca="false">-I6*Assumptions!I46/100</f>
        <v>-326.820516521891</v>
      </c>
      <c r="J17" s="4" t="n">
        <f aca="false">-J6*Assumptions!J46/100</f>
        <v>-334.991029434938</v>
      </c>
      <c r="K17" s="4" t="n">
        <f aca="false">-K6*Assumptions!K46/100</f>
        <v>-343.365805170812</v>
      </c>
      <c r="L17" s="4" t="n">
        <f aca="false">-L6*Assumptions!L46/100</f>
        <v>-351.949950300082</v>
      </c>
    </row>
    <row r="18" customFormat="false" ht="15" hidden="false" customHeight="false" outlineLevel="0" collapsed="false">
      <c r="A18" s="0" t="s">
        <v>130</v>
      </c>
      <c r="C18" s="4" t="n">
        <f aca="false">(C6-B6)*Assumptions!$B$51/100</f>
        <v>13.6880000000001</v>
      </c>
      <c r="D18" s="4" t="n">
        <f aca="false">(D6-C6)*Assumptions!$B$51/100</f>
        <v>-68.0977999999999</v>
      </c>
      <c r="E18" s="4" t="n">
        <f aca="false">(E6-D6)*Assumptions!$B$51/100</f>
        <v>-83.7602940000001</v>
      </c>
      <c r="F18" s="4" t="n">
        <f aca="false">(F6-E6)*Assumptions!$B$51/100</f>
        <v>-100.65195329</v>
      </c>
      <c r="G18" s="4" t="n">
        <f aca="false">(G6-F6)*Assumptions!$B$51/100</f>
        <v>-104.17477165515</v>
      </c>
      <c r="H18" s="4" t="n">
        <f aca="false">(H6-G6)*Assumptions!$B$51/100</f>
        <v>-92.4179045683544</v>
      </c>
      <c r="I18" s="4" t="n">
        <f aca="false">(I6-H6)*Assumptions!$B$51/100</f>
        <v>-95.1904417054051</v>
      </c>
      <c r="J18" s="4" t="n">
        <f aca="false">(J6-I6)*Assumptions!$B$51/100</f>
        <v>-81.7051291304728</v>
      </c>
      <c r="K18" s="4" t="n">
        <f aca="false">(K6-J6)*Assumptions!$B$51/100</f>
        <v>-83.7477573587341</v>
      </c>
      <c r="L18" s="4" t="n">
        <f aca="false">(L6-K6)*Assumptions!$B$51/100</f>
        <v>-85.8414512927025</v>
      </c>
    </row>
    <row r="19" customFormat="false" ht="15" hidden="false" customHeight="false" outlineLevel="0" collapsed="false">
      <c r="A19" s="0" t="s">
        <v>131</v>
      </c>
      <c r="C19" s="0" t="n">
        <f aca="false">C15+C16+C17+C18</f>
        <v>828.3419814</v>
      </c>
      <c r="D19" s="0" t="n">
        <f aca="false">D15+D16+D17+D18</f>
        <v>816.759905865</v>
      </c>
      <c r="E19" s="0" t="n">
        <f aca="false">E15+E16+E17+E18</f>
        <v>886.74021847265</v>
      </c>
      <c r="F19" s="0" t="n">
        <f aca="false">F15+F16+F17+F18</f>
        <v>964.981550191002</v>
      </c>
      <c r="G19" s="0" t="n">
        <f aca="false">G15+G16+G17+G18</f>
        <v>1017.08545552041</v>
      </c>
      <c r="H19" s="0" t="n">
        <f aca="false">H15+H16+H17+H18</f>
        <v>1058.19655954573</v>
      </c>
      <c r="I19" s="0" t="n">
        <f aca="false">I15+I16+I17+I18</f>
        <v>1085.53037935906</v>
      </c>
      <c r="J19" s="0" t="n">
        <f aca="false">J15+J16+J17+J18</f>
        <v>1124.01133356323</v>
      </c>
      <c r="K19" s="0" t="n">
        <f aca="false">K15+K16+K17+K18</f>
        <v>1152.11161690231</v>
      </c>
      <c r="L19" s="0" t="n">
        <f aca="false">L15+L16+L17+L18</f>
        <v>1180.91440732487</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766.983316111111</v>
      </c>
      <c r="D21" s="0" t="n">
        <f aca="false">D19*D20</f>
        <v>700.239974164095</v>
      </c>
      <c r="E21" s="0" t="n">
        <f aca="false">E19*E20</f>
        <v>703.922974832859</v>
      </c>
      <c r="F21" s="0" t="n">
        <f aca="false">F19*F20</f>
        <v>709.290246788186</v>
      </c>
      <c r="G21" s="0" t="n">
        <f aca="false">G19*G20</f>
        <v>692.211270974612</v>
      </c>
      <c r="H21" s="0" t="n">
        <f aca="false">H19*H20</f>
        <v>666.843331097917</v>
      </c>
      <c r="I21" s="0" t="n">
        <f aca="false">I19*I20</f>
        <v>633.39655012127</v>
      </c>
      <c r="J21" s="0" t="n">
        <f aca="false">J19*J20</f>
        <v>607.268349351784</v>
      </c>
      <c r="K21" s="0" t="n">
        <f aca="false">K19*K20</f>
        <v>576.342646375535</v>
      </c>
      <c r="L21" s="0" t="n">
        <f aca="false">L19*L20</f>
        <v>546.991863458263</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v>
      </c>
    </row>
    <row r="28" customFormat="false" ht="15" hidden="false" customHeight="false" outlineLevel="0" collapsed="false">
      <c r="A28" s="0" t="s">
        <v>114</v>
      </c>
      <c r="B28" s="4" t="n">
        <f aca="false">Assumptions!$B$49</f>
        <v>2.5</v>
      </c>
    </row>
    <row r="29" customFormat="false" ht="15" hidden="false" customHeight="false" outlineLevel="0" collapsed="false">
      <c r="A29" s="0" t="s">
        <v>115</v>
      </c>
      <c r="B29" s="4" t="n">
        <f aca="false">Assumptions!$B$50</f>
        <v>15</v>
      </c>
    </row>
    <row r="30" customFormat="false" ht="15" hidden="false" customHeight="false" outlineLevel="0" collapsed="false">
      <c r="A30" s="0" t="s">
        <v>136</v>
      </c>
      <c r="B30" s="0" t="n">
        <f aca="false">SUM(C21:L21)</f>
        <v>6603.49052327563</v>
      </c>
    </row>
    <row r="31" customFormat="false" ht="15" hidden="false" customHeight="false" outlineLevel="0" collapsed="false">
      <c r="A31" s="0" t="s">
        <v>137</v>
      </c>
      <c r="B31" s="0" t="n">
        <f aca="false">L19</f>
        <v>1180.91440732487</v>
      </c>
    </row>
    <row r="32" customFormat="false" ht="15" hidden="false" customHeight="false" outlineLevel="0" collapsed="false">
      <c r="A32" s="0" t="s">
        <v>138</v>
      </c>
      <c r="B32" s="0" t="n">
        <f aca="false">IF(B27&gt;B28,B31*(1+B28/100)/((B27-B28)/100),B31*B29)</f>
        <v>22007.9503183271</v>
      </c>
    </row>
    <row r="33" customFormat="false" ht="15" hidden="false" customHeight="false" outlineLevel="0" collapsed="false">
      <c r="A33" s="0" t="s">
        <v>139</v>
      </c>
      <c r="B33" s="0" t="n">
        <f aca="false">B31*B29</f>
        <v>17713.716109873</v>
      </c>
    </row>
    <row r="34" customFormat="false" ht="15" hidden="false" customHeight="false" outlineLevel="0" collapsed="false">
      <c r="A34" s="0" t="s">
        <v>140</v>
      </c>
      <c r="B34" s="0" t="n">
        <f aca="false">MAX(0,MIN(B32,B33))</f>
        <v>17713.716109873</v>
      </c>
    </row>
    <row r="35" customFormat="false" ht="15" hidden="false" customHeight="false" outlineLevel="0" collapsed="false">
      <c r="A35" s="0" t="s">
        <v>141</v>
      </c>
      <c r="B35" s="0" t="n">
        <f aca="false">B34/(1+B27/100)^L4</f>
        <v>8204.87795187394</v>
      </c>
    </row>
    <row r="36" customFormat="false" ht="15" hidden="false" customHeight="false" outlineLevel="0" collapsed="false">
      <c r="A36" s="0" t="s">
        <v>142</v>
      </c>
      <c r="B36" s="0" t="n">
        <f aca="false">B30+B35</f>
        <v>14808.3684751496</v>
      </c>
    </row>
    <row r="37" customFormat="false" ht="15" hidden="false" customHeight="false" outlineLevel="0" collapsed="false">
      <c r="A37" s="0" t="s">
        <v>143</v>
      </c>
      <c r="B37" s="0" t="n">
        <f aca="false">B36+Assumptions!$B$5-Assumptions!$B$4</f>
        <v>11248.3684751496</v>
      </c>
    </row>
    <row r="38" customFormat="false" ht="15" hidden="false" customHeight="false" outlineLevel="0" collapsed="false">
      <c r="A38" s="0" t="s">
        <v>144</v>
      </c>
      <c r="B38" s="0" t="n">
        <f aca="false">B37/Assumptions!$B$3*Assumptions!$B$10</f>
        <v>44.4423882858537</v>
      </c>
    </row>
    <row r="39" customFormat="false" ht="15" hidden="false" customHeight="false" outlineLevel="0" collapsed="false">
      <c r="A39" s="0" t="s">
        <v>145</v>
      </c>
      <c r="B39" s="4" t="n">
        <f aca="false">B38/Assumptions!$B$2-1</f>
        <v>0.950938906314912</v>
      </c>
    </row>
    <row r="41" customFormat="false" ht="15" hidden="false" customHeight="false" outlineLevel="0" collapsed="false">
      <c r="A41" s="0" t="s">
        <v>146</v>
      </c>
      <c r="B41" s="0" t="n">
        <f aca="false">SUMPRODUCT(-C10:L10/(1+$B$27/100)^C4:L4)</f>
        <v>256.841611366763</v>
      </c>
    </row>
    <row r="42" customFormat="false" ht="15" hidden="false" customHeight="false" outlineLevel="0" collapsed="false">
      <c r="A42" s="0" t="s">
        <v>147</v>
      </c>
      <c r="B42" s="0" t="n">
        <f aca="false">IF(B27&gt;B28,-L10*(1+B28/100)/((B27-B28)/100),-L10*20)/(1+B27/100)^L4</f>
        <v>379.764655087487</v>
      </c>
    </row>
    <row r="43" customFormat="false" ht="15" hidden="false" customHeight="false" outlineLevel="0" collapsed="false">
      <c r="A43" s="0" t="s">
        <v>148</v>
      </c>
      <c r="B43" s="0" t="n">
        <f aca="false">(B37+B41+B42)/Assumptions!$B$3*Assumptions!$B$10</f>
        <v>46.9576244235631</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9683.49814006391</v>
      </c>
    </row>
    <row r="47" customFormat="false" ht="15" hidden="false" customHeight="false" outlineLevel="0" collapsed="false">
      <c r="A47" s="0" t="s">
        <v>150</v>
      </c>
      <c r="B47" s="0" t="n">
        <f aca="false">(SUMPRODUCT(C19:L19/(1+B45/100)^C4:L4)+B46/(1+B45/100)^L4+Assumptions!$B$5-Assumptions!$B$4)/Assumptions!$B$3*Assumptions!$B$10</f>
        <v>14.4779630722782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18.7531415716032</v>
      </c>
      <c r="C4" s="0" t="n">
        <f aca="false">B4/Assumptions!$B$2-1</f>
        <v>-0.176771660596875</v>
      </c>
      <c r="D4" s="4" t="n">
        <f aca="false">Assumptions!$B$24</f>
        <v>0.3</v>
      </c>
      <c r="E4" s="4" t="n">
        <f aca="false">DCF_Bear!$B$43</f>
        <v>20.5402765254896</v>
      </c>
      <c r="F4" s="4" t="n">
        <f aca="false">DCF_Bear!$B$47</f>
        <v>4.43521605147253</v>
      </c>
    </row>
    <row r="5" customFormat="false" ht="15" hidden="false" customHeight="false" outlineLevel="0" collapsed="false">
      <c r="A5" s="0" t="s">
        <v>159</v>
      </c>
      <c r="B5" s="4" t="n">
        <f aca="false">DCF_Base!$B$38</f>
        <v>35.4229506871309</v>
      </c>
      <c r="C5" s="0" t="n">
        <f aca="false">B5/Assumptions!$B$2-1</f>
        <v>0.555002225071594</v>
      </c>
      <c r="D5" s="4" t="n">
        <f aca="false">Assumptions!$B$38</f>
        <v>0.5</v>
      </c>
      <c r="E5" s="4" t="n">
        <f aca="false">DCF_Base!$B$43</f>
        <v>37.7033977276654</v>
      </c>
      <c r="F5" s="4" t="n">
        <f aca="false">DCF_Base!$B$47</f>
        <v>11.0756654872457</v>
      </c>
    </row>
    <row r="6" customFormat="false" ht="15" hidden="false" customHeight="false" outlineLevel="0" collapsed="false">
      <c r="A6" s="0" t="s">
        <v>160</v>
      </c>
      <c r="B6" s="4" t="n">
        <f aca="false">DCF_Bull!$B$38</f>
        <v>44.4423882858537</v>
      </c>
      <c r="C6" s="0" t="n">
        <f aca="false">B6/Assumptions!$B$2-1</f>
        <v>0.950938906314912</v>
      </c>
      <c r="D6" s="4" t="n">
        <f aca="false">Assumptions!$B$52</f>
        <v>0.2</v>
      </c>
      <c r="E6" s="4" t="n">
        <f aca="false">DCF_Bull!$B$43</f>
        <v>46.9576244235631</v>
      </c>
      <c r="F6" s="4" t="n">
        <f aca="false">DCF_Bull!$B$47</f>
        <v>14.4779630722782</v>
      </c>
    </row>
    <row r="8" customFormat="false" ht="15" hidden="false" customHeight="false" outlineLevel="0" collapsed="false">
      <c r="A8" s="0" t="s">
        <v>161</v>
      </c>
      <c r="B8" s="0" t="n">
        <f aca="false">SUMPRODUCT(B4:B6,D4:D6)</f>
        <v>32.2258954722172</v>
      </c>
    </row>
    <row r="9" customFormat="false" ht="15" hidden="false" customHeight="false" outlineLevel="0" collapsed="false">
      <c r="A9" s="0" t="s">
        <v>162</v>
      </c>
      <c r="B9" s="0" t="n">
        <f aca="false">SUMPRODUCT(E4:E6,D4:D6)</f>
        <v>34.4053067061922</v>
      </c>
    </row>
    <row r="10" customFormat="false" ht="15" hidden="false" customHeight="false" outlineLevel="0" collapsed="false">
      <c r="A10" s="0" t="s">
        <v>163</v>
      </c>
      <c r="B10" s="0" t="n">
        <f aca="false">1-Assumptions!$B$2/B8</f>
        <v>0.293115065812856</v>
      </c>
    </row>
    <row r="11" customFormat="false" ht="15" hidden="false" customHeight="false" outlineLevel="0" collapsed="false">
      <c r="A11" s="0" t="s">
        <v>164</v>
      </c>
      <c r="B11" s="0" t="n">
        <f aca="false">IF(ABS(B9-B8)&gt;0.01*ABS(B8),(Assumptions!$B$2-B8)/(B9-B8)*100,"n/a")</f>
        <v>-433.41501250265</v>
      </c>
    </row>
    <row r="12" customFormat="false" ht="15" hidden="false" customHeight="false" outlineLevel="0" collapsed="false">
      <c r="A12" s="0" t="s">
        <v>165</v>
      </c>
      <c r="B12" s="0" t="n">
        <f aca="false">SUMPRODUCT(F4:F6,D4:D6)</f>
        <v>9.76399017352024</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35.4229506871309</v>
      </c>
      <c r="C15" s="3" t="n">
        <v>8</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32.0693893772977</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27.0776496552566</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22.4476588306258</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18.7471670568968</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11.0756654872457</v>
      </c>
      <c r="C20" s="3" t="n">
        <v>15</v>
      </c>
    </row>
    <row r="22" customFormat="false" ht="15" hidden="false" customHeight="false" outlineLevel="0" collapsed="false">
      <c r="A22" s="2" t="s">
        <v>174</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43.1379189895774</v>
      </c>
      <c r="C24" s="0" t="n">
        <f aca="false">(SUMPRODUCT(DCF_Base!$C$19:$L$19/(1+$A$24/100)^DCF_Base!$C$4:$L$4)+MAX(0,MIN(IF($A$24&gt;$C$23,DCF_Base!$L$19*(1+$C$23/100)/(($A$24-$C$23)/100),DCF_Base!$L$19*DCF_Base!$B$29),DCF_Base!$L$19*DCF_Base!$B$29))/(1+$A$24/100)^DCF_Base!$L$4+Assumptions!$B$5-Assumptions!$B$4)/Assumptions!$B$3*Assumptions!$B$10</f>
        <v>43.1379189895774</v>
      </c>
      <c r="D24" s="0" t="n">
        <f aca="false">(SUMPRODUCT(DCF_Base!$C$19:$L$19/(1+$A$24/100)^DCF_Base!$C$4:$L$4)+MAX(0,MIN(IF($A$24&gt;$D$23,DCF_Base!$L$19*(1+$D$23/100)/(($A$24-$D$23)/100),DCF_Base!$L$19*DCF_Base!$B$29),DCF_Base!$L$19*DCF_Base!$B$29))/(1+$A$24/100)^DCF_Base!$L$4+Assumptions!$B$5-Assumptions!$B$4)/Assumptions!$B$3*Assumptions!$B$10</f>
        <v>43.1379189895774</v>
      </c>
      <c r="E24" s="0" t="n">
        <f aca="false">(SUMPRODUCT(DCF_Base!$C$19:$L$19/(1+$A$24/100)^DCF_Base!$C$4:$L$4)+MAX(0,MIN(IF($A$24&gt;$E$23,DCF_Base!$L$19*(1+$E$23/100)/(($A$24-$E$23)/100),DCF_Base!$L$19*DCF_Base!$B$29),DCF_Base!$L$19*DCF_Base!$B$29))/(1+$A$24/100)^DCF_Base!$L$4+Assumptions!$B$5-Assumptions!$B$4)/Assumptions!$B$3*Assumptions!$B$10</f>
        <v>43.1379189895774</v>
      </c>
      <c r="F24" s="0" t="n">
        <f aca="false">(SUMPRODUCT(DCF_Base!$C$19:$L$19/(1+$A$24/100)^DCF_Base!$C$4:$L$4)+MAX(0,MIN(IF($A$24&gt;$F$23,DCF_Base!$L$19*(1+$F$23/100)/(($A$24-$F$23)/100),DCF_Base!$L$19*DCF_Base!$B$29),DCF_Base!$L$19*DCF_Base!$B$29))/(1+$A$24/100)^DCF_Base!$L$4+Assumptions!$B$5-Assumptions!$B$4)/Assumptions!$B$3*Assumptions!$B$10</f>
        <v>43.1379189895774</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39.1003733530105</v>
      </c>
      <c r="C25" s="0" t="n">
        <f aca="false">(SUMPRODUCT(DCF_Base!$C$19:$L$19/(1+$A$25/100)^DCF_Base!$C$4:$L$4)+MAX(0,MIN(IF($A$25&gt;$C$23,DCF_Base!$L$19*(1+$C$23/100)/(($A$25-$C$23)/100),DCF_Base!$L$19*DCF_Base!$B$29),DCF_Base!$L$19*DCF_Base!$B$29))/(1+$A$25/100)^DCF_Base!$L$4+Assumptions!$B$5-Assumptions!$B$4)/Assumptions!$B$3*Assumptions!$B$10</f>
        <v>39.1003733530105</v>
      </c>
      <c r="D25" s="0" t="n">
        <f aca="false">(SUMPRODUCT(DCF_Base!$C$19:$L$19/(1+$A$25/100)^DCF_Base!$C$4:$L$4)+MAX(0,MIN(IF($A$25&gt;$D$23,DCF_Base!$L$19*(1+$D$23/100)/(($A$25-$D$23)/100),DCF_Base!$L$19*DCF_Base!$B$29),DCF_Base!$L$19*DCF_Base!$B$29))/(1+$A$25/100)^DCF_Base!$L$4+Assumptions!$B$5-Assumptions!$B$4)/Assumptions!$B$3*Assumptions!$B$10</f>
        <v>39.1003733530105</v>
      </c>
      <c r="E25" s="0" t="n">
        <f aca="false">(SUMPRODUCT(DCF_Base!$C$19:$L$19/(1+$A$25/100)^DCF_Base!$C$4:$L$4)+MAX(0,MIN(IF($A$25&gt;$E$23,DCF_Base!$L$19*(1+$E$23/100)/(($A$25-$E$23)/100),DCF_Base!$L$19*DCF_Base!$B$29),DCF_Base!$L$19*DCF_Base!$B$29))/(1+$A$25/100)^DCF_Base!$L$4+Assumptions!$B$5-Assumptions!$B$4)/Assumptions!$B$3*Assumptions!$B$10</f>
        <v>39.1003733530105</v>
      </c>
      <c r="F25" s="0" t="n">
        <f aca="false">(SUMPRODUCT(DCF_Base!$C$19:$L$19/(1+$A$25/100)^DCF_Base!$C$4:$L$4)+MAX(0,MIN(IF($A$25&gt;$F$23,DCF_Base!$L$19*(1+$F$23/100)/(($A$25-$F$23)/100),DCF_Base!$L$19*DCF_Base!$B$29),DCF_Base!$L$19*DCF_Base!$B$29))/(1+$A$25/100)^DCF_Base!$L$4+Assumptions!$B$5-Assumptions!$B$4)/Assumptions!$B$3*Assumptions!$B$10</f>
        <v>39.1003733530105</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35.4229506871309</v>
      </c>
      <c r="C26" s="0" t="n">
        <f aca="false">(SUMPRODUCT(DCF_Base!$C$19:$L$19/(1+$A$26/100)^DCF_Base!$C$4:$L$4)+MAX(0,MIN(IF($A$26&gt;$C$23,DCF_Base!$L$19*(1+$C$23/100)/(($A$26-$C$23)/100),DCF_Base!$L$19*DCF_Base!$B$29),DCF_Base!$L$19*DCF_Base!$B$29))/(1+$A$26/100)^DCF_Base!$L$4+Assumptions!$B$5-Assumptions!$B$4)/Assumptions!$B$3*Assumptions!$B$10</f>
        <v>35.4229506871309</v>
      </c>
      <c r="D26" s="0" t="n">
        <f aca="false">(SUMPRODUCT(DCF_Base!$C$19:$L$19/(1+$A$26/100)^DCF_Base!$C$4:$L$4)+MAX(0,MIN(IF($A$26&gt;$D$23,DCF_Base!$L$19*(1+$D$23/100)/(($A$26-$D$23)/100),DCF_Base!$L$19*DCF_Base!$B$29),DCF_Base!$L$19*DCF_Base!$B$29))/(1+$A$26/100)^DCF_Base!$L$4+Assumptions!$B$5-Assumptions!$B$4)/Assumptions!$B$3*Assumptions!$B$10</f>
        <v>35.4229506871309</v>
      </c>
      <c r="E26" s="0" t="n">
        <f aca="false">(SUMPRODUCT(DCF_Base!$C$19:$L$19/(1+$A$26/100)^DCF_Base!$C$4:$L$4)+MAX(0,MIN(IF($A$26&gt;$E$23,DCF_Base!$L$19*(1+$E$23/100)/(($A$26-$E$23)/100),DCF_Base!$L$19*DCF_Base!$B$29),DCF_Base!$L$19*DCF_Base!$B$29))/(1+$A$26/100)^DCF_Base!$L$4+Assumptions!$B$5-Assumptions!$B$4)/Assumptions!$B$3*Assumptions!$B$10</f>
        <v>35.4229506871309</v>
      </c>
      <c r="F26" s="0" t="n">
        <f aca="false">(SUMPRODUCT(DCF_Base!$C$19:$L$19/(1+$A$26/100)^DCF_Base!$C$4:$L$4)+MAX(0,MIN(IF($A$26&gt;$F$23,DCF_Base!$L$19*(1+$F$23/100)/(($A$26-$F$23)/100),DCF_Base!$L$19*DCF_Base!$B$29),DCF_Base!$L$19*DCF_Base!$B$29))/(1+$A$26/100)^DCF_Base!$L$4+Assumptions!$B$5-Assumptions!$B$4)/Assumptions!$B$3*Assumptions!$B$10</f>
        <v>35.4229506871309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29.743652817255</v>
      </c>
      <c r="C27" s="0" t="n">
        <f aca="false">(SUMPRODUCT(DCF_Base!$C$19:$L$19/(1+$A$27/100)^DCF_Base!$C$4:$L$4)+MAX(0,MIN(IF($A$27&gt;$C$23,DCF_Base!$L$19*(1+$C$23/100)/(($A$27-$C$23)/100),DCF_Base!$L$19*DCF_Base!$B$29),DCF_Base!$L$19*DCF_Base!$B$29))/(1+$A$27/100)^DCF_Base!$L$4+Assumptions!$B$5-Assumptions!$B$4)/Assumptions!$B$3*Assumptions!$B$10</f>
        <v>31.2800484841923</v>
      </c>
      <c r="D27" s="0" t="n">
        <f aca="false">(SUMPRODUCT(DCF_Base!$C$19:$L$19/(1+$A$27/100)^DCF_Base!$C$4:$L$4)+MAX(0,MIN(IF($A$27&gt;$D$23,DCF_Base!$L$19*(1+$D$23/100)/(($A$27-$D$23)/100),DCF_Base!$L$19*DCF_Base!$B$29),DCF_Base!$L$19*DCF_Base!$B$29))/(1+$A$27/100)^DCF_Base!$L$4+Assumptions!$B$5-Assumptions!$B$4)/Assumptions!$B$3*Assumptions!$B$10</f>
        <v>32.0693893772977</v>
      </c>
      <c r="E27" s="0" t="n">
        <f aca="false">(SUMPRODUCT(DCF_Base!$C$19:$L$19/(1+$A$27/100)^DCF_Base!$C$4:$L$4)+MAX(0,MIN(IF($A$27&gt;$E$23,DCF_Base!$L$19*(1+$E$23/100)/(($A$27-$E$23)/100),DCF_Base!$L$19*DCF_Base!$B$29),DCF_Base!$L$19*DCF_Base!$B$29))/(1+$A$27/100)^DCF_Base!$L$4+Assumptions!$B$5-Assumptions!$B$4)/Assumptions!$B$3*Assumptions!$B$10</f>
        <v>32.0693893772977</v>
      </c>
      <c r="F27" s="0" t="n">
        <f aca="false">(SUMPRODUCT(DCF_Base!$C$19:$L$19/(1+$A$27/100)^DCF_Base!$C$4:$L$4)+MAX(0,MIN(IF($A$27&gt;$F$23,DCF_Base!$L$19*(1+$F$23/100)/(($A$27-$F$23)/100),DCF_Base!$L$19*DCF_Base!$B$29),DCF_Base!$L$19*DCF_Base!$B$29))/(1+$A$27/100)^DCF_Base!$L$4+Assumptions!$B$5-Assumptions!$B$4)/Assumptions!$B$3*Assumptions!$B$10</f>
        <v>32.0693893772977</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24.7190396400571</v>
      </c>
      <c r="C28" s="0" t="n">
        <f aca="false">(SUMPRODUCT(DCF_Base!$C$19:$L$19/(1+$A$28/100)^DCF_Base!$C$4:$L$4)+MAX(0,MIN(IF($A$28&gt;$C$23,DCF_Base!$L$19*(1+$C$23/100)/(($A$28-$C$23)/100),DCF_Base!$L$19*DCF_Base!$B$29),DCF_Base!$L$19*DCF_Base!$B$29))/(1+$A$28/100)^DCF_Base!$L$4+Assumptions!$B$5-Assumptions!$B$4)/Assumptions!$B$3*Assumptions!$B$10</f>
        <v>25.8289737648568</v>
      </c>
      <c r="D28" s="0" t="n">
        <f aca="false">(SUMPRODUCT(DCF_Base!$C$19:$L$19/(1+$A$28/100)^DCF_Base!$C$4:$L$4)+MAX(0,MIN(IF($A$28&gt;$D$23,DCF_Base!$L$19*(1+$D$23/100)/(($A$28-$D$23)/100),DCF_Base!$L$19*DCF_Base!$B$29),DCF_Base!$L$19*DCF_Base!$B$29))/(1+$A$28/100)^DCF_Base!$L$4+Assumptions!$B$5-Assumptions!$B$4)/Assumptions!$B$3*Assumptions!$B$10</f>
        <v>27.0776496552566</v>
      </c>
      <c r="E28" s="0" t="n">
        <f aca="false">(SUMPRODUCT(DCF_Base!$C$19:$L$19/(1+$A$28/100)^DCF_Base!$C$4:$L$4)+MAX(0,MIN(IF($A$28&gt;$E$23,DCF_Base!$L$19*(1+$E$23/100)/(($A$28-$E$23)/100),DCF_Base!$L$19*DCF_Base!$B$29),DCF_Base!$L$19*DCF_Base!$B$29))/(1+$A$28/100)^DCF_Base!$L$4+Assumptions!$B$5-Assumptions!$B$4)/Assumptions!$B$3*Assumptions!$B$10</f>
        <v>28.4928156643762</v>
      </c>
      <c r="F28" s="0" t="n">
        <f aca="false">(SUMPRODUCT(DCF_Base!$C$19:$L$19/(1+$A$28/100)^DCF_Base!$C$4:$L$4)+MAX(0,MIN(IF($A$28&gt;$F$23,DCF_Base!$L$19*(1+$F$23/100)/(($A$28-$F$23)/100),DCF_Base!$L$19*DCF_Base!$B$29),DCF_Base!$L$19*DCF_Base!$B$29))/(1+$A$28/100)^DCF_Base!$L$4+Assumptions!$B$5-Assumptions!$B$4)/Assumptions!$B$3*Assumptions!$B$10</f>
        <v>29.0074214858743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2026-10-02T00:30:59Z</dcterms:created>
  <dc:creator>openpyxl</dc:creator>
  <dc:description/>
  <dc:language>en-NZ</dc:language>
  <cp:lastModifiedBy/>
  <dcterms:modified xsi:type="dcterms:W3CDTF">2026-10-02T00:30:59Z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