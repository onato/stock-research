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<sst xmlns="http://schemas.openxmlformats.org/spreadsheetml/2006/main" count="387" uniqueCount="174">
  <si>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</si>
  <si>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PGR</t>
  </si>
  <si>
    <t xml:space="preserve">Company</t>
  </si>
  <si>
    <t xml:space="preserve">The Progressive Corporation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</si>
  <si>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</si>
  <si>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</si>
  <si>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</si>
  <si>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</si>
  <si>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(Yahoo Finance chart API)</t>
  </si>
  <si>
    <t xml:space="preserve">Balance sheet date</t>
  </si>
  <si>
    <t xml:space="preserve">2026-06-30</t>
  </si>
  <si>
    <t xml:space="preserve">Model</t>
  </si>
  <si>
    <t xml:space="preserve">P&amp;C insurer FCFE at cost of equity, net debt held at zero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</si>
  <si>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</si>
  <si>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</si>
  <si>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</si>
  <si>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</si>
  <si>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</si>
  <si>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</si>
  <si>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</si>
  <si>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</si>
  <si>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2026-10-02T07:24:47Z</t>
  </si>
  <si>
    <t xml:space="preserve">Drivers file</t>
  </si>
  <si>
    <t xml:space="preserve">PGR_Drivers.json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</si>
  <si>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</si>
  <si>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</si>
  <si>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</si>
  <si>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PGR on what it can distribute to shareholders after funding premium growth, discounted at the cost of equity. The key judgment is the through-cycle combined ratio: every 1pt of CR is ~0.95pt of pretax margin, ~$800M of after-tax earnings on FY2025 revenue and roughly $22-25/share of base value. The base case assumes PGR's ten-year average CR (~92), not the 87-88 of 2025-26 nor its 96 ceiling.
key_risks_to_valuation: Combined ratio: a 2pt miss on the through-cycle CR (92 -&gt; 94) moves base value by ~$45/share; Soft-market growth: rate cuts plus record advertising spend could slow premium growth below 4% while compressing margin; Catastrophe/weather volatility in property and auto physical damage (Q3-2026 derecho/hurricane quarter); Loss-cost inflation (parts tariffs, used-car values, medical, litigation) outrunning rate filings and regulatory approval lag; Investment portfolio: NII is ~4% of revenue; falling yields would trim margin ~0.3-0.5pt; mark-to-market on a 3.4-year duration book hits book value not the flows; Capital intensity: if regulators or rating agencies push premiums-to-surplus below 3:1, retention per $ of growth rises and distributable FCFE falls</t>
  </si>
  <si>
    <t xml:space="preserve">Data sources</t>
  </si>
  <si>
    <t xml:space="preserve">price: Yahoo Finance chart API at inputs.price_as_of; 52-week range 189.20-247.49
financials: SEC EDGAR XBRL companyfacts (CIK 80661): FY2025 10-K (0000080661-26-000086) and Q2-2026 10-Q (0000080661-26-000308) -- pretax income, tax, investment gains, SBC, debt, dividends, NPE/NPW, statutory surplus; 10-Q cash flow statement and capital-resources MD&amp;A for buybacks, debt issuance, holdco capital; FY2025 shareholder letter (10-K exhibit 99) for CR 87.4, NPW +12%, PIF +10%; research/PGR/Reports/PGR_Metrics.csv for revenue/NI/EPS/equity history.
qualitative: research/PGR/Reports/PGR_Analysis.json</t>
  </si>
  <si>
    <t xml:space="preserve">Scenario narrative: bear</t>
  </si>
  <si>
    <t xml:space="preserve">Loss-cost inflation and competitor re-pricing push the CR to ~95-96 for two years (2022 echo), growth stalls at ~2%, and the through-cycle CR settles at ~94; the market re-rates PGR to ~12x.</t>
  </si>
  <si>
    <t xml:space="preserve">Scenario narrative: base</t>
  </si>
  <si>
    <t xml:space="preserve">Normalisation, not collapse: FY2026 is the last year of exceptional margins (~88 CR), the CR reverts to PGR's ~92 ten-year average by FY2028 as the soft market and heavy advertising bite, and growth slows to 4.5-5% before re-accelerating with the next hard cycle. Most earnings are distributed (variable dividend + buybacks); ~1.1-2% of revenue is retained to fund premium growth at a 3:1 premiums-to-surplus target.</t>
  </si>
  <si>
    <t xml:space="preserve">Scenario narrative: bull</t>
  </si>
  <si>
    <t xml:space="preserve">PGR's telematics and segmentation edge keeps it at a ~90 CR through a shallow soft market while property and small-commercial add growth; revenue compounds ~7% for four years and the market keeps paying ~17x distributable earnings.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</si>
  <si>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</si>
  <si>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</si>
  <si>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</si>
  <si>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</si>
  <si>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</si>
  <si>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</si>
  <si>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</si>
  <si>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</si>
  <si>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</si>
  <si>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</si>
  <si>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</si>
  <si>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</si>
  <si>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</si>
  <si>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</si>
  <si>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</si>
  <si>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</si>
  <si>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</si>
  <si>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</si>
  <si>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</si>
  <si>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</si>
  <si>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</si>
  <si>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</si>
  <si>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</si>
  <si>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</si>
  <si>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</si>
  <si>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</si>
  <si>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</si>
  <si>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</si>
  <si>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</si>
  <si>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</si>
  <si>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</si>
  <si>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</si>
  <si>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</si>
  <si>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</si>
  <si>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</si>
  <si>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</si>
  <si>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</si>
  <si>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</si>
  <si>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</si>
  <si>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</si>
  <si>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</si>
  <si>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</si>
  <si>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</si>
  <si>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</si>
  <si>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</si>
  <si>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</si>
  <si>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</si>
  <si>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</si>
  <si>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</si>
  <si>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</si>
  <si>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</si>
  <si>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</si>
  <si>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</si>
  <si>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</si>
  <si>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</si>
  <si>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</si>
  <si>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</si>
  <si>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</si>
  <si>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</si>
  <si>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</si>
  <si>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</si>
  <si>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</si>
  <si>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</si>
  <si>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</si>
  <si>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</si>
  <si>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</si>
  <si>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</si>
  <si>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</si>
  <si>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</si>
  <si>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</si>
  <si>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</si>
  <si>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</si>
  <si>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</si>
  <si>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</si>
  <si>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</si>
  <si>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</si>
  <si>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</si>
  <si>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</si>
  <si>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</si>
  <si>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</si>
  <si>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</si>
  <si>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</si>
  <si>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</si>
  <si>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PGR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</si>
  <si>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</si>
  <si>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</si>
  <si>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</si>
  <si>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</si>
  <si>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</si>
  <si>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</si>
  <si>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</si>
  <si>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</si>
  <si>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</si>
  <si>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</si>
  <si>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</si>
  <si>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</si>
  <si>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</si>
  <si>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</si>
  <si>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</si>
  <si>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</si>
  <si>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</si>
  <si>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</si>
  <si>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</si>
  <si>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</si>
  <si>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</si>
  <si>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</si>
  <si>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</si>
  <si>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</si>
  <si>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</si>
  <si>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</si>
  <si>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</si>
  <si>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</si>
  <si>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</si>
  <si>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</si>
  <si>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PGR owner-FCF component DCF: base case (millions, USD)</t>
  </si>
  <si>
    <t xml:space="preserve">PGR owner-FCF component DCF: bull case (millions, USD)</t>
  </si>
  <si>
    <t xml:space="preserve">PGR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</si>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</sst>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210.96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14686.8</v>
      </c>
      <c r="I2" s="0" t="n">
        <v>1182.5</v>
      </c>
      <c r="J2" s="0" t="n">
        <v>8.05144755835172</v>
      </c>
      <c r="K2" s="0" t="n">
        <v>1.66</v>
      </c>
      <c r="L2" s="0" t="n">
        <v>1791</v>
      </c>
      <c r="M2" s="0" t="n">
        <v>136.3</v>
      </c>
      <c r="N2" s="0" t="n">
        <v>1654.7</v>
      </c>
      <c r="O2" s="0" t="n">
        <v>4935.5</v>
      </c>
      <c r="T2" s="0" t="n">
        <v>718.5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12840.1</v>
      </c>
      <c r="I3" s="0" t="n">
        <v>-70</v>
      </c>
      <c r="J3" s="0" t="n">
        <v>-0.545167093714223</v>
      </c>
      <c r="K3" s="0" t="n">
        <v>-0.1</v>
      </c>
      <c r="L3" s="0" t="n">
        <v>1549.2</v>
      </c>
      <c r="M3" s="0" t="n">
        <v>98.5</v>
      </c>
      <c r="N3" s="0" t="n">
        <v>1450.7</v>
      </c>
      <c r="O3" s="0" t="n">
        <v>4215.3</v>
      </c>
      <c r="P3" s="0" t="n">
        <v>18250.5</v>
      </c>
      <c r="Q3" s="0" t="n">
        <v>14035.2</v>
      </c>
      <c r="R3" s="0" t="n">
        <v>2175.5</v>
      </c>
      <c r="T3" s="0" t="n">
        <v>673.9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14563.6</v>
      </c>
      <c r="I4" s="0" t="n">
        <v>1057.5</v>
      </c>
      <c r="J4" s="0" t="n">
        <v>7.2612540855283</v>
      </c>
      <c r="K4" s="0" t="n">
        <v>1.59</v>
      </c>
      <c r="L4" s="0" t="n">
        <v>1486.8</v>
      </c>
      <c r="M4" s="0" t="n">
        <v>66.6</v>
      </c>
      <c r="N4" s="0" t="n">
        <v>1420.2</v>
      </c>
      <c r="O4" s="0" t="n">
        <v>5748.6</v>
      </c>
      <c r="P4" s="0" t="n">
        <v>20049.3</v>
      </c>
      <c r="Q4" s="0" t="n">
        <v>14300.7</v>
      </c>
      <c r="R4" s="0" t="n">
        <v>2177.2</v>
      </c>
      <c r="T4" s="0" t="n">
        <v>672.2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15215.5</v>
      </c>
      <c r="I5" s="0" t="n">
        <v>1068.3</v>
      </c>
      <c r="J5" s="0" t="n">
        <v>7.02112976898557</v>
      </c>
      <c r="K5" s="0" t="n">
        <v>1.62</v>
      </c>
      <c r="L5" s="0" t="n">
        <v>1679.3</v>
      </c>
      <c r="M5" s="0" t="n">
        <v>64.7</v>
      </c>
      <c r="N5" s="0" t="n">
        <v>1614.6</v>
      </c>
      <c r="O5" s="0" t="n">
        <v>6048.9</v>
      </c>
      <c r="P5" s="0" t="n">
        <v>21150.3</v>
      </c>
      <c r="Q5" s="0" t="n">
        <v>15101.4</v>
      </c>
      <c r="R5" s="0" t="n">
        <v>1958.2</v>
      </c>
      <c r="T5" s="0" t="n">
        <v>663.3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15774.6</v>
      </c>
      <c r="I6" s="0" t="n">
        <v>1015.5</v>
      </c>
      <c r="J6" s="0" t="n">
        <v>6.43756418546271</v>
      </c>
      <c r="K6" s="0" t="n">
        <v>1.61</v>
      </c>
      <c r="L6" s="0" t="n">
        <v>1497.9</v>
      </c>
      <c r="M6" s="0" t="n">
        <v>78.9</v>
      </c>
      <c r="N6" s="0" t="n">
        <v>1419</v>
      </c>
      <c r="O6" s="0" t="n">
        <v>5806.7</v>
      </c>
      <c r="P6" s="0" t="n">
        <v>21844.8</v>
      </c>
      <c r="Q6" s="0" t="n">
        <v>16038.1</v>
      </c>
      <c r="R6" s="0" t="n">
        <v>2442.1</v>
      </c>
      <c r="T6" s="0" t="n">
        <v>636.9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17083.9</v>
      </c>
      <c r="I7" s="0" t="n">
        <v>902.3</v>
      </c>
      <c r="J7" s="0" t="n">
        <v>5.28158090365783</v>
      </c>
      <c r="K7" s="0" t="n">
        <v>1.5</v>
      </c>
      <c r="L7" s="0" t="n">
        <v>1691.4</v>
      </c>
      <c r="M7" s="0" t="n">
        <v>127.7</v>
      </c>
      <c r="N7" s="0" t="n">
        <v>1563.7</v>
      </c>
      <c r="O7" s="0" t="n">
        <v>6007</v>
      </c>
      <c r="P7" s="0" t="n">
        <v>22694.7</v>
      </c>
      <c r="Q7" s="0" t="n">
        <v>16687.7</v>
      </c>
      <c r="R7" s="0" t="n">
        <v>2063.1</v>
      </c>
      <c r="T7" s="0" t="n">
        <v>607.8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18170.9</v>
      </c>
      <c r="I8" s="0" t="n">
        <v>1165.4</v>
      </c>
      <c r="J8" s="0" t="n">
        <v>6.41355133757822</v>
      </c>
      <c r="K8" s="0" t="n">
        <v>1.95</v>
      </c>
      <c r="L8" s="0" t="n">
        <v>1899.9</v>
      </c>
      <c r="M8" s="0" t="n">
        <v>140.4</v>
      </c>
      <c r="N8" s="0" t="n">
        <v>1759.5</v>
      </c>
      <c r="O8" s="0" t="n">
        <v>6189.5</v>
      </c>
      <c r="P8" s="0" t="n">
        <v>24408.2</v>
      </c>
      <c r="Q8" s="0" t="n">
        <v>18218.7</v>
      </c>
      <c r="R8" s="0" t="n">
        <v>1860.9</v>
      </c>
      <c r="T8" s="0" t="n">
        <v>603.6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19391.4</v>
      </c>
      <c r="I9" s="0" t="n">
        <v>1281</v>
      </c>
      <c r="J9" s="0" t="n">
        <v>6.60602122590427</v>
      </c>
      <c r="K9" s="0" t="n">
        <v>2.17</v>
      </c>
      <c r="L9" s="0" t="n">
        <v>1725.6</v>
      </c>
      <c r="M9" s="0" t="n">
        <v>108.1</v>
      </c>
      <c r="N9" s="0" t="n">
        <v>1617.5</v>
      </c>
      <c r="O9" s="0" t="n">
        <v>6928.6</v>
      </c>
      <c r="P9" s="0" t="n">
        <v>25787.6</v>
      </c>
      <c r="Q9" s="0" t="n">
        <v>18859</v>
      </c>
      <c r="R9" s="0" t="n">
        <v>2164.7</v>
      </c>
      <c r="T9" s="0" t="n">
        <v>594.8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20853.8</v>
      </c>
      <c r="I10" s="0" t="n">
        <v>1300.5</v>
      </c>
      <c r="J10" s="0" t="n">
        <v>6.23627348492841</v>
      </c>
      <c r="K10" s="0" t="n">
        <v>2.16</v>
      </c>
      <c r="L10" s="0" t="n">
        <v>2292.9</v>
      </c>
      <c r="M10" s="0" t="n">
        <v>130.7</v>
      </c>
      <c r="N10" s="0" t="n">
        <v>2162.2</v>
      </c>
      <c r="O10" s="0" t="n">
        <v>7289.4</v>
      </c>
      <c r="P10" s="0" t="n">
        <v>29819.3</v>
      </c>
      <c r="Q10" s="0" t="n">
        <v>22065</v>
      </c>
      <c r="R10" s="0" t="n">
        <v>2707.9</v>
      </c>
      <c r="T10" s="0" t="n">
        <v>589.2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23441.4</v>
      </c>
      <c r="I11" s="0" t="n">
        <v>1057.2</v>
      </c>
      <c r="J11" s="0" t="n">
        <v>4.50996954106837</v>
      </c>
      <c r="K11" s="0" t="n">
        <v>1.77</v>
      </c>
      <c r="L11" s="0" t="n">
        <v>2732.7</v>
      </c>
      <c r="M11" s="0" t="n">
        <v>215</v>
      </c>
      <c r="N11" s="0" t="n">
        <v>2517.7</v>
      </c>
      <c r="O11" s="0" t="n">
        <v>7957.1</v>
      </c>
      <c r="P11" s="0" t="n">
        <v>33427.5</v>
      </c>
      <c r="Q11" s="0" t="n">
        <v>24986.7</v>
      </c>
      <c r="T11" s="0" t="n">
        <v>585</v>
      </c>
      <c r="V11" s="0" t="n">
        <v>0.6808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26839</v>
      </c>
      <c r="I12" s="0" t="n">
        <v>1598.1</v>
      </c>
      <c r="J12" s="0" t="n">
        <v>5.95439472409553</v>
      </c>
      <c r="K12" s="0" t="n">
        <v>2.74</v>
      </c>
      <c r="L12" s="0" t="n">
        <v>3756.8</v>
      </c>
      <c r="M12" s="0" t="n">
        <v>155.7</v>
      </c>
      <c r="N12" s="0" t="n">
        <v>3601.1</v>
      </c>
      <c r="O12" s="0" t="n">
        <v>9284.8</v>
      </c>
      <c r="P12" s="0" t="n">
        <v>38701.2</v>
      </c>
      <c r="Q12" s="0" t="n">
        <v>28912.7</v>
      </c>
      <c r="T12" s="0" t="n">
        <v>585.7</v>
      </c>
      <c r="V12" s="0" t="n">
        <v>1.1247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31979</v>
      </c>
      <c r="I13" s="0" t="n">
        <v>2621</v>
      </c>
      <c r="J13" s="0" t="n">
        <v>8.19600362738047</v>
      </c>
      <c r="K13" s="0" t="n">
        <v>4.45</v>
      </c>
      <c r="L13" s="0" t="n">
        <v>6284.8</v>
      </c>
      <c r="M13" s="0" t="n">
        <v>266</v>
      </c>
      <c r="N13" s="0" t="n">
        <v>6018.8</v>
      </c>
      <c r="O13" s="0" t="n">
        <v>10821.8</v>
      </c>
      <c r="P13" s="0" t="n">
        <v>46575</v>
      </c>
      <c r="Q13" s="0" t="n">
        <v>35538.7</v>
      </c>
      <c r="T13" s="0" t="n">
        <v>586.7</v>
      </c>
      <c r="V13" s="0" t="n">
        <v>2.514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39022.3</v>
      </c>
      <c r="I14" s="0" t="n">
        <v>3980</v>
      </c>
      <c r="J14" s="0" t="n">
        <v>10.1992962998081</v>
      </c>
      <c r="K14" s="0" t="n">
        <v>6.75</v>
      </c>
      <c r="L14" s="0" t="n">
        <v>6261.6</v>
      </c>
      <c r="M14" s="0" t="n">
        <v>363.5</v>
      </c>
      <c r="N14" s="0" t="n">
        <v>5898.1</v>
      </c>
      <c r="O14" s="0" t="n">
        <v>13673.2</v>
      </c>
      <c r="P14" s="0" t="n">
        <v>54910.5</v>
      </c>
      <c r="Q14" s="0" t="n">
        <v>41011.7</v>
      </c>
      <c r="T14" s="0" t="n">
        <v>587.2</v>
      </c>
      <c r="V14" s="0" t="n">
        <v>2.65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42658.1</v>
      </c>
      <c r="I15" s="0" t="n">
        <v>5704.6</v>
      </c>
      <c r="J15" s="0" t="n">
        <v>13.3728412657854</v>
      </c>
      <c r="K15" s="0" t="n">
        <v>9.71</v>
      </c>
      <c r="L15" s="0" t="n">
        <v>6905.6</v>
      </c>
      <c r="M15" s="0" t="n">
        <v>223.5</v>
      </c>
      <c r="N15" s="0" t="n">
        <v>6682.1</v>
      </c>
      <c r="O15" s="0" t="n">
        <v>17038.6</v>
      </c>
      <c r="P15" s="0" t="n">
        <v>64098.3</v>
      </c>
      <c r="Q15" s="0" t="n">
        <v>47059.7</v>
      </c>
      <c r="R15" s="0" t="n">
        <v>500</v>
      </c>
      <c r="T15" s="0" t="n">
        <v>587.6</v>
      </c>
      <c r="V15" s="0" t="n">
        <v>4.9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47702</v>
      </c>
      <c r="I16" s="0" t="n">
        <v>3350.9</v>
      </c>
      <c r="J16" s="0" t="n">
        <v>7.02465305437927</v>
      </c>
      <c r="K16" s="0" t="n">
        <v>5.69</v>
      </c>
      <c r="L16" s="0" t="n">
        <v>7761.7</v>
      </c>
      <c r="M16" s="0" t="n">
        <v>243.5</v>
      </c>
      <c r="N16" s="0" t="n">
        <v>7518.2</v>
      </c>
      <c r="O16" s="0" t="n">
        <v>18231.6</v>
      </c>
      <c r="P16" s="0" t="n">
        <v>71132.3</v>
      </c>
      <c r="Q16" s="0" t="n">
        <v>52900.7</v>
      </c>
      <c r="R16" s="0" t="n">
        <v>0</v>
      </c>
      <c r="T16" s="0" t="n">
        <v>587.1</v>
      </c>
      <c r="V16" s="0" t="n">
        <v>1.9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49611</v>
      </c>
      <c r="I17" s="0" t="n">
        <v>722</v>
      </c>
      <c r="J17" s="0" t="n">
        <v>1.45532240833686</v>
      </c>
      <c r="K17" s="0" t="n">
        <v>1.19</v>
      </c>
      <c r="L17" s="0" t="n">
        <v>6849</v>
      </c>
      <c r="M17" s="0" t="n">
        <v>292</v>
      </c>
      <c r="N17" s="0" t="n">
        <v>6557</v>
      </c>
      <c r="O17" s="0" t="n">
        <v>15891</v>
      </c>
      <c r="P17" s="0" t="n">
        <v>75465</v>
      </c>
      <c r="Q17" s="0" t="n">
        <v>59574</v>
      </c>
      <c r="R17" s="0" t="n">
        <v>0</v>
      </c>
      <c r="T17" s="0" t="n">
        <v>587.1</v>
      </c>
      <c r="V17" s="0" t="n">
        <v>0.4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62109</v>
      </c>
      <c r="I18" s="0" t="n">
        <v>3903</v>
      </c>
      <c r="J18" s="0" t="n">
        <v>6.28411341351495</v>
      </c>
      <c r="K18" s="0" t="n">
        <v>6.61</v>
      </c>
      <c r="L18" s="0" t="n">
        <v>10643</v>
      </c>
      <c r="M18" s="0" t="n">
        <v>252</v>
      </c>
      <c r="N18" s="0" t="n">
        <v>10391</v>
      </c>
      <c r="O18" s="0" t="n">
        <v>20277</v>
      </c>
      <c r="P18" s="0" t="n">
        <v>88691</v>
      </c>
      <c r="Q18" s="0" t="n">
        <v>68414</v>
      </c>
      <c r="R18" s="0" t="n">
        <v>0</v>
      </c>
      <c r="T18" s="0" t="n">
        <v>587.5</v>
      </c>
      <c r="U18" s="0" t="n">
        <v>121</v>
      </c>
      <c r="V18" s="0" t="n">
        <v>1.15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75372</v>
      </c>
      <c r="I19" s="0" t="n">
        <v>8480</v>
      </c>
      <c r="J19" s="0" t="n">
        <v>11.2508623892162</v>
      </c>
      <c r="K19" s="0" t="n">
        <v>14.45</v>
      </c>
      <c r="L19" s="0" t="n">
        <v>15119</v>
      </c>
      <c r="M19" s="0" t="n">
        <v>285</v>
      </c>
      <c r="N19" s="0" t="n">
        <v>14834</v>
      </c>
      <c r="O19" s="0" t="n">
        <v>25591</v>
      </c>
      <c r="P19" s="0" t="n">
        <v>105745</v>
      </c>
      <c r="Q19" s="0" t="n">
        <v>80154</v>
      </c>
      <c r="R19" s="0" t="n">
        <v>0</v>
      </c>
      <c r="T19" s="0" t="n">
        <v>587.7</v>
      </c>
      <c r="U19" s="0" t="n">
        <v>122</v>
      </c>
      <c r="V19" s="0" t="n">
        <v>4.9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87671</v>
      </c>
      <c r="I20" s="0" t="n">
        <v>11308</v>
      </c>
      <c r="J20" s="0" t="n">
        <v>12.8982217609016</v>
      </c>
      <c r="K20" s="0" t="n">
        <v>19.29</v>
      </c>
      <c r="L20" s="0" t="n">
        <v>17548</v>
      </c>
      <c r="M20" s="0" t="n">
        <v>348</v>
      </c>
      <c r="N20" s="0" t="n">
        <v>17200</v>
      </c>
      <c r="O20" s="0" t="n">
        <v>30323</v>
      </c>
      <c r="P20" s="0" t="n">
        <v>123039</v>
      </c>
      <c r="Q20" s="0" t="n">
        <v>92716</v>
      </c>
      <c r="R20" s="0" t="n">
        <v>0</v>
      </c>
      <c r="T20" s="0" t="n">
        <v>588.1</v>
      </c>
      <c r="U20" s="0" t="n">
        <v>132</v>
      </c>
      <c r="V20" s="0" t="n">
        <v>13.9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210.96</v>
      </c>
    </row>
    <row r="3" customFormat="false" ht="15" hidden="false" customHeight="false" outlineLevel="0" collapsed="false">
      <c r="A3" s="0" t="s">
        <v>85</v>
      </c>
      <c r="B3" s="3" t="n">
        <v>582.6</v>
      </c>
    </row>
    <row r="4" customFormat="false" ht="15" hidden="false" customHeight="false" outlineLevel="0" collapsed="false">
      <c r="A4" s="0" t="s">
        <v>86</v>
      </c>
      <c r="B4" s="3" t="n">
        <v>0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86944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5</v>
      </c>
      <c r="D13" s="3" t="n">
        <v>2</v>
      </c>
      <c r="E13" s="3" t="n">
        <v>2</v>
      </c>
      <c r="F13" s="3" t="n">
        <v>3</v>
      </c>
      <c r="G13" s="3" t="n">
        <v>4</v>
      </c>
      <c r="H13" s="3" t="n">
        <v>4</v>
      </c>
      <c r="I13" s="3" t="n">
        <v>4</v>
      </c>
      <c r="J13" s="3" t="n">
        <v>3.5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106</v>
      </c>
      <c r="C14" s="3" t="n">
        <v>14</v>
      </c>
      <c r="D14" s="3" t="n">
        <v>10.5</v>
      </c>
      <c r="E14" s="3" t="n">
        <v>9</v>
      </c>
      <c r="F14" s="3" t="n">
        <v>9.5</v>
      </c>
      <c r="G14" s="3" t="n">
        <v>10</v>
      </c>
      <c r="H14" s="3" t="n">
        <v>10</v>
      </c>
      <c r="I14" s="3" t="n">
        <v>10</v>
      </c>
      <c r="J14" s="3" t="n">
        <v>10</v>
      </c>
      <c r="K14" s="3" t="n">
        <v>10</v>
      </c>
      <c r="L14" s="3" t="n">
        <v>10</v>
      </c>
    </row>
    <row r="15" customFormat="false" ht="15" hidden="false" customHeight="false" outlineLevel="0" collapsed="false">
      <c r="A15" s="0" t="s">
        <v>107</v>
      </c>
      <c r="C15" s="3" t="n">
        <v>0.15</v>
      </c>
      <c r="D15" s="3" t="n">
        <v>0.15</v>
      </c>
      <c r="E15" s="3" t="n">
        <v>0.15</v>
      </c>
      <c r="F15" s="3" t="n">
        <v>0.15</v>
      </c>
      <c r="G15" s="3" t="n">
        <v>0.15</v>
      </c>
      <c r="H15" s="3" t="n">
        <v>0.15</v>
      </c>
      <c r="I15" s="3" t="n">
        <v>0.15</v>
      </c>
      <c r="J15" s="3" t="n">
        <v>0.15</v>
      </c>
      <c r="K15" s="3" t="n">
        <v>0.15</v>
      </c>
      <c r="L15" s="3" t="n">
        <v>0.15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110</v>
      </c>
      <c r="C18" s="3" t="n">
        <v>1.57</v>
      </c>
      <c r="D18" s="3" t="n">
        <v>0.65</v>
      </c>
      <c r="E18" s="3" t="n">
        <v>0.65</v>
      </c>
      <c r="F18" s="3" t="n">
        <v>0.96</v>
      </c>
      <c r="G18" s="3" t="n">
        <v>1.27</v>
      </c>
      <c r="H18" s="3" t="n">
        <v>1.27</v>
      </c>
      <c r="I18" s="3" t="n">
        <v>1.27</v>
      </c>
      <c r="J18" s="3" t="n">
        <v>1.12</v>
      </c>
      <c r="K18" s="3" t="n">
        <v>0.96</v>
      </c>
      <c r="L18" s="3" t="n">
        <v>0.96</v>
      </c>
    </row>
    <row r="19" customFormat="false" ht="15" hidden="false" customHeight="false" outlineLevel="0" collapsed="false">
      <c r="A19" s="0" t="s">
        <v>111</v>
      </c>
      <c r="C19" s="3" t="n">
        <v>21</v>
      </c>
      <c r="D19" s="3" t="n">
        <v>21</v>
      </c>
      <c r="E19" s="3" t="n">
        <v>21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112</v>
      </c>
      <c r="B20" s="3" t="n">
        <v>8.5</v>
      </c>
    </row>
    <row r="21" customFormat="false" ht="15" hidden="false" customHeight="false" outlineLevel="0" collapsed="false">
      <c r="A21" s="0" t="s">
        <v>113</v>
      </c>
      <c r="B21" s="3" t="n">
        <v>2.5</v>
      </c>
    </row>
    <row r="22" customFormat="false" ht="15" hidden="false" customHeight="false" outlineLevel="0" collapsed="false">
      <c r="A22" s="0" t="s">
        <v>114</v>
      </c>
      <c r="B22" s="3" t="n">
        <v>12</v>
      </c>
    </row>
    <row r="23" customFormat="false" ht="15" hidden="false" customHeight="false" outlineLevel="0" collapsed="false">
      <c r="A23" s="0" t="s">
        <v>115</v>
      </c>
      <c r="B23" s="3" t="n">
        <v>0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6.5</v>
      </c>
      <c r="D27" s="3" t="n">
        <v>4.5</v>
      </c>
      <c r="E27" s="3" t="n">
        <v>5</v>
      </c>
      <c r="F27" s="3" t="n">
        <v>6</v>
      </c>
      <c r="G27" s="3" t="n">
        <v>6</v>
      </c>
      <c r="H27" s="3" t="n">
        <v>5.5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106</v>
      </c>
      <c r="C28" s="3" t="n">
        <v>15</v>
      </c>
      <c r="D28" s="3" t="n">
        <v>13</v>
      </c>
      <c r="E28" s="3" t="n">
        <v>12</v>
      </c>
      <c r="F28" s="3" t="n">
        <v>11.8</v>
      </c>
      <c r="G28" s="3" t="n">
        <v>11.8</v>
      </c>
      <c r="H28" s="3" t="n">
        <v>11.8</v>
      </c>
      <c r="I28" s="3" t="n">
        <v>11.8</v>
      </c>
      <c r="J28" s="3" t="n">
        <v>11.8</v>
      </c>
      <c r="K28" s="3" t="n">
        <v>11.8</v>
      </c>
      <c r="L28" s="3" t="n">
        <v>11.8</v>
      </c>
    </row>
    <row r="29" customFormat="false" ht="15" hidden="false" customHeight="false" outlineLevel="0" collapsed="false">
      <c r="A29" s="0" t="s">
        <v>107</v>
      </c>
      <c r="C29" s="3" t="n">
        <v>0.15</v>
      </c>
      <c r="D29" s="3" t="n">
        <v>0.15</v>
      </c>
      <c r="E29" s="3" t="n">
        <v>0.15</v>
      </c>
      <c r="F29" s="3" t="n">
        <v>0.15</v>
      </c>
      <c r="G29" s="3" t="n">
        <v>0.15</v>
      </c>
      <c r="H29" s="3" t="n">
        <v>0.15</v>
      </c>
      <c r="I29" s="3" t="n">
        <v>0.15</v>
      </c>
      <c r="J29" s="3" t="n">
        <v>0.15</v>
      </c>
      <c r="K29" s="3" t="n">
        <v>0.15</v>
      </c>
      <c r="L29" s="3" t="n">
        <v>0.15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110</v>
      </c>
      <c r="C32" s="3" t="n">
        <v>2.01</v>
      </c>
      <c r="D32" s="3" t="n">
        <v>1.42</v>
      </c>
      <c r="E32" s="3" t="n">
        <v>1.57</v>
      </c>
      <c r="F32" s="3" t="n">
        <v>1.87</v>
      </c>
      <c r="G32" s="3" t="n">
        <v>1.87</v>
      </c>
      <c r="H32" s="3" t="n">
        <v>1.72</v>
      </c>
      <c r="I32" s="3" t="n">
        <v>1.57</v>
      </c>
      <c r="J32" s="3" t="n">
        <v>1.42</v>
      </c>
      <c r="K32" s="3" t="n">
        <v>1.27</v>
      </c>
      <c r="L32" s="3" t="n">
        <v>1.12</v>
      </c>
    </row>
    <row r="33" customFormat="false" ht="15" hidden="false" customHeight="false" outlineLevel="0" collapsed="false">
      <c r="A33" s="0" t="s">
        <v>111</v>
      </c>
      <c r="C33" s="3" t="n">
        <v>21</v>
      </c>
      <c r="D33" s="3" t="n">
        <v>21</v>
      </c>
      <c r="E33" s="3" t="n">
        <v>21</v>
      </c>
      <c r="F33" s="3" t="n">
        <v>21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112</v>
      </c>
      <c r="B34" s="3" t="n">
        <v>8.5</v>
      </c>
    </row>
    <row r="35" customFormat="false" ht="15" hidden="false" customHeight="false" outlineLevel="0" collapsed="false">
      <c r="A35" s="0" t="s">
        <v>113</v>
      </c>
      <c r="B35" s="3" t="n">
        <v>3</v>
      </c>
    </row>
    <row r="36" customFormat="false" ht="15" hidden="false" customHeight="false" outlineLevel="0" collapsed="false">
      <c r="A36" s="0" t="s">
        <v>114</v>
      </c>
      <c r="B36" s="3" t="n">
        <v>15</v>
      </c>
    </row>
    <row r="37" customFormat="false" ht="15" hidden="false" customHeight="false" outlineLevel="0" collapsed="false">
      <c r="A37" s="0" t="s">
        <v>115</v>
      </c>
      <c r="B37" s="3" t="n">
        <v>0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7</v>
      </c>
      <c r="D41" s="3" t="n">
        <v>7</v>
      </c>
      <c r="E41" s="3" t="n">
        <v>7</v>
      </c>
      <c r="F41" s="3" t="n">
        <v>7</v>
      </c>
      <c r="G41" s="3" t="n">
        <v>6.5</v>
      </c>
      <c r="H41" s="3" t="n">
        <v>6</v>
      </c>
      <c r="I41" s="3" t="n">
        <v>5.5</v>
      </c>
      <c r="J41" s="3" t="n">
        <v>5</v>
      </c>
      <c r="K41" s="3" t="n">
        <v>4.5</v>
      </c>
      <c r="L41" s="3" t="n">
        <v>4</v>
      </c>
    </row>
    <row r="42" customFormat="false" ht="15" hidden="false" customHeight="false" outlineLevel="0" collapsed="false">
      <c r="A42" s="0" t="s">
        <v>106</v>
      </c>
      <c r="C42" s="3" t="n">
        <v>15.5</v>
      </c>
      <c r="D42" s="3" t="n">
        <v>14.5</v>
      </c>
      <c r="E42" s="3" t="n">
        <v>13.8</v>
      </c>
      <c r="F42" s="3" t="n">
        <v>13.5</v>
      </c>
      <c r="G42" s="3" t="n">
        <v>13.5</v>
      </c>
      <c r="H42" s="3" t="n">
        <v>13.5</v>
      </c>
      <c r="I42" s="3" t="n">
        <v>13.5</v>
      </c>
      <c r="J42" s="3" t="n">
        <v>13.5</v>
      </c>
      <c r="K42" s="3" t="n">
        <v>13.5</v>
      </c>
      <c r="L42" s="3" t="n">
        <v>13.5</v>
      </c>
    </row>
    <row r="43" customFormat="false" ht="15" hidden="false" customHeight="false" outlineLevel="0" collapsed="false">
      <c r="A43" s="0" t="s">
        <v>107</v>
      </c>
      <c r="C43" s="3" t="n">
        <v>0.15</v>
      </c>
      <c r="D43" s="3" t="n">
        <v>0.15</v>
      </c>
      <c r="E43" s="3" t="n">
        <v>0.15</v>
      </c>
      <c r="F43" s="3" t="n">
        <v>0.15</v>
      </c>
      <c r="G43" s="3" t="n">
        <v>0.15</v>
      </c>
      <c r="H43" s="3" t="n">
        <v>0.15</v>
      </c>
      <c r="I43" s="3" t="n">
        <v>0.15</v>
      </c>
      <c r="J43" s="3" t="n">
        <v>0.15</v>
      </c>
      <c r="K43" s="3" t="n">
        <v>0.15</v>
      </c>
      <c r="L43" s="3" t="n">
        <v>0.15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110</v>
      </c>
      <c r="C46" s="3" t="n">
        <v>2.16</v>
      </c>
      <c r="D46" s="3" t="n">
        <v>2.16</v>
      </c>
      <c r="E46" s="3" t="n">
        <v>2.16</v>
      </c>
      <c r="F46" s="3" t="n">
        <v>2.16</v>
      </c>
      <c r="G46" s="3" t="n">
        <v>2.01</v>
      </c>
      <c r="H46" s="3" t="n">
        <v>1.87</v>
      </c>
      <c r="I46" s="3" t="n">
        <v>1.72</v>
      </c>
      <c r="J46" s="3" t="n">
        <v>1.57</v>
      </c>
      <c r="K46" s="3" t="n">
        <v>1.42</v>
      </c>
      <c r="L46" s="3" t="n">
        <v>1.27</v>
      </c>
    </row>
    <row r="47" customFormat="false" ht="15" hidden="false" customHeight="false" outlineLevel="0" collapsed="false">
      <c r="A47" s="0" t="s">
        <v>111</v>
      </c>
      <c r="C47" s="3" t="n">
        <v>21</v>
      </c>
      <c r="D47" s="3" t="n">
        <v>21</v>
      </c>
      <c r="E47" s="3" t="n">
        <v>21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112</v>
      </c>
      <c r="B48" s="3" t="n">
        <v>8.5</v>
      </c>
    </row>
    <row r="49" customFormat="false" ht="15" hidden="false" customHeight="false" outlineLevel="0" collapsed="false">
      <c r="A49" s="0" t="s">
        <v>113</v>
      </c>
      <c r="B49" s="3" t="n">
        <v>3.5</v>
      </c>
    </row>
    <row r="50" customFormat="false" ht="15" hidden="false" customHeight="false" outlineLevel="0" collapsed="false">
      <c r="A50" s="0" t="s">
        <v>114</v>
      </c>
      <c r="B50" s="3" t="n">
        <v>17</v>
      </c>
    </row>
    <row r="51" customFormat="false" ht="15" hidden="false" customHeight="false" outlineLevel="0" collapsed="false">
      <c r="A51" s="0" t="s">
        <v>115</v>
      </c>
      <c r="B51" s="3" t="n">
        <v>0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5</v>
      </c>
      <c r="D5" s="4" t="n">
        <f aca="false">Assumptions!D13</f>
        <v>2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4</v>
      </c>
      <c r="H5" s="4" t="n">
        <f aca="false">Assumptions!H13</f>
        <v>4</v>
      </c>
      <c r="I5" s="4" t="n">
        <f aca="false">Assumptions!I13</f>
        <v>4</v>
      </c>
      <c r="J5" s="4" t="n">
        <f aca="false">Assumptions!J13</f>
        <v>3.5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86944</v>
      </c>
      <c r="C6" s="0" t="n">
        <f aca="false">B6*(1+C5/100)</f>
        <v>91291.2</v>
      </c>
      <c r="D6" s="0" t="n">
        <f aca="false">C6*(1+D5/100)</f>
        <v>93117.024</v>
      </c>
      <c r="E6" s="0" t="n">
        <f aca="false">D6*(1+E5/100)</f>
        <v>94979.36448</v>
      </c>
      <c r="F6" s="0" t="n">
        <f aca="false">E6*(1+F5/100)</f>
        <v>97828.7454144</v>
      </c>
      <c r="G6" s="0" t="n">
        <f aca="false">F6*(1+G5/100)</f>
        <v>101741.895230976</v>
      </c>
      <c r="H6" s="0" t="n">
        <f aca="false">G6*(1+H5/100)</f>
        <v>105811.571040215</v>
      </c>
      <c r="I6" s="0" t="n">
        <f aca="false">H6*(1+I5/100)</f>
        <v>110044.033881824</v>
      </c>
      <c r="J6" s="0" t="n">
        <f aca="false">I6*(1+J5/100)</f>
        <v>113895.575067687</v>
      </c>
      <c r="K6" s="0" t="n">
        <f aca="false">J6*(1+K5/100)</f>
        <v>117312.442319718</v>
      </c>
      <c r="L6" s="0" t="n">
        <f aca="false">K6*(1+L5/100)</f>
        <v>120831.81558931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14</v>
      </c>
      <c r="D7" s="4" t="n">
        <f aca="false">Assumptions!D14</f>
        <v>10.5</v>
      </c>
      <c r="E7" s="4" t="n">
        <f aca="false">Assumptions!E14</f>
        <v>9</v>
      </c>
      <c r="F7" s="4" t="n">
        <f aca="false">Assumptions!F14</f>
        <v>9.5</v>
      </c>
      <c r="G7" s="4" t="n">
        <f aca="false">Assumptions!G14</f>
        <v>10</v>
      </c>
      <c r="H7" s="4" t="n">
        <f aca="false">Assumptions!H14</f>
        <v>10</v>
      </c>
      <c r="I7" s="4" t="n">
        <f aca="false">Assumptions!I14</f>
        <v>10</v>
      </c>
      <c r="J7" s="4" t="n">
        <f aca="false">Assumptions!J14</f>
        <v>10</v>
      </c>
      <c r="K7" s="4" t="n">
        <f aca="false">Assumptions!K14</f>
        <v>10</v>
      </c>
      <c r="L7" s="4" t="n">
        <f aca="false">Assumptions!L14</f>
        <v>10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12780.768</v>
      </c>
      <c r="D8" s="0" t="n">
        <f aca="false">D6*D7/100</f>
        <v>9777.28752</v>
      </c>
      <c r="E8" s="0" t="n">
        <f aca="false">E6*E7/100</f>
        <v>8548.1428032</v>
      </c>
      <c r="F8" s="0" t="n">
        <f aca="false">F6*F7/100</f>
        <v>9293.730814368</v>
      </c>
      <c r="G8" s="0" t="n">
        <f aca="false">G6*G7/100</f>
        <v>10174.1895230976</v>
      </c>
      <c r="H8" s="0" t="n">
        <f aca="false">H6*H7/100</f>
        <v>10581.1571040215</v>
      </c>
      <c r="I8" s="0" t="n">
        <f aca="false">I6*I7/100</f>
        <v>11004.4033881824</v>
      </c>
      <c r="J8" s="0" t="n">
        <f aca="false">J6*J7/100</f>
        <v>11389.5575067687</v>
      </c>
      <c r="K8" s="0" t="n">
        <f aca="false">K6*K7/100</f>
        <v>11731.2442319718</v>
      </c>
      <c r="L8" s="0" t="n">
        <f aca="false">L6*L7/100</f>
        <v>12083.181558931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0.15</v>
      </c>
      <c r="D9" s="4" t="n">
        <f aca="false">Assumptions!D15</f>
        <v>0.15</v>
      </c>
      <c r="E9" s="4" t="n">
        <f aca="false">Assumptions!E15</f>
        <v>0.15</v>
      </c>
      <c r="F9" s="4" t="n">
        <f aca="false">Assumptions!F15</f>
        <v>0.15</v>
      </c>
      <c r="G9" s="4" t="n">
        <f aca="false">Assumptions!G15</f>
        <v>0.15</v>
      </c>
      <c r="H9" s="4" t="n">
        <f aca="false">Assumptions!H15</f>
        <v>0.15</v>
      </c>
      <c r="I9" s="4" t="n">
        <f aca="false">Assumptions!I15</f>
        <v>0.15</v>
      </c>
      <c r="J9" s="4" t="n">
        <f aca="false">Assumptions!J15</f>
        <v>0.15</v>
      </c>
      <c r="K9" s="4" t="n">
        <f aca="false">Assumptions!K15</f>
        <v>0.15</v>
      </c>
      <c r="L9" s="4" t="n">
        <f aca="false">Assumptions!L15</f>
        <v>0.15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-136.9368</v>
      </c>
      <c r="D10" s="0" t="n">
        <f aca="false">-D6*D9/100</f>
        <v>-139.675536</v>
      </c>
      <c r="E10" s="0" t="n">
        <f aca="false">-E6*E9/100</f>
        <v>-142.46904672</v>
      </c>
      <c r="F10" s="0" t="n">
        <f aca="false">-F6*F9/100</f>
        <v>-146.7431181216</v>
      </c>
      <c r="G10" s="0" t="n">
        <f aca="false">-G6*G9/100</f>
        <v>-152.612842846464</v>
      </c>
      <c r="H10" s="0" t="n">
        <f aca="false">-H6*H9/100</f>
        <v>-158.717356560323</v>
      </c>
      <c r="I10" s="0" t="n">
        <f aca="false">-I6*I9/100</f>
        <v>-165.066050822735</v>
      </c>
      <c r="J10" s="0" t="n">
        <f aca="false">-J6*J9/100</f>
        <v>-170.843362601531</v>
      </c>
      <c r="K10" s="0" t="n">
        <f aca="false">-K6*K9/100</f>
        <v>-175.968663479577</v>
      </c>
      <c r="L10" s="0" t="n">
        <f aca="false">-L6*L9/100</f>
        <v>-181.247723383964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12643.8312</v>
      </c>
      <c r="D11" s="0" t="n">
        <f aca="false">D8+D10+D24</f>
        <v>9637.611984</v>
      </c>
      <c r="E11" s="0" t="n">
        <f aca="false">E8+E10+E24</f>
        <v>8405.67375648</v>
      </c>
      <c r="F11" s="0" t="n">
        <f aca="false">F8+F10+F24</f>
        <v>9146.9876962464</v>
      </c>
      <c r="G11" s="0" t="n">
        <f aca="false">G8+G10+G24</f>
        <v>10021.5766802511</v>
      </c>
      <c r="H11" s="0" t="n">
        <f aca="false">H8+H10+H24</f>
        <v>10422.4397474612</v>
      </c>
      <c r="I11" s="0" t="n">
        <f aca="false">I8+I10+I24</f>
        <v>10839.3373373596</v>
      </c>
      <c r="J11" s="0" t="n">
        <f aca="false">J8+J10+J24</f>
        <v>11218.7141441672</v>
      </c>
      <c r="K11" s="0" t="n">
        <f aca="false">K8+K10+K24</f>
        <v>11555.2755684922</v>
      </c>
      <c r="L11" s="0" t="n">
        <f aca="false">L8+L10+L24</f>
        <v>11901.933835547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12643.8312</v>
      </c>
      <c r="D13" s="0" t="n">
        <f aca="false">D11+D12</f>
        <v>9637.611984</v>
      </c>
      <c r="E13" s="0" t="n">
        <f aca="false">E11+E12</f>
        <v>8405.67375648</v>
      </c>
      <c r="F13" s="0" t="n">
        <f aca="false">F11+F12</f>
        <v>9146.9876962464</v>
      </c>
      <c r="G13" s="0" t="n">
        <f aca="false">G11+G12</f>
        <v>10021.5766802511</v>
      </c>
      <c r="H13" s="0" t="n">
        <f aca="false">H11+H12</f>
        <v>10422.4397474612</v>
      </c>
      <c r="I13" s="0" t="n">
        <f aca="false">I11+I12</f>
        <v>10839.3373373596</v>
      </c>
      <c r="J13" s="0" t="n">
        <f aca="false">J11+J12</f>
        <v>11218.7141441672</v>
      </c>
      <c r="K13" s="0" t="n">
        <f aca="false">K11+K12</f>
        <v>11555.2755684922</v>
      </c>
      <c r="L13" s="0" t="n">
        <f aca="false">L11+L12</f>
        <v>11901.933835547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21</v>
      </c>
      <c r="D14" s="4" t="n">
        <f aca="false">Assumptions!D19</f>
        <v>21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9988.626648</v>
      </c>
      <c r="D15" s="0" t="n">
        <f aca="false">D13-MAX(0,D13)*D14/100</f>
        <v>7613.71346736</v>
      </c>
      <c r="E15" s="0" t="n">
        <f aca="false">E13-MAX(0,E13)*E14/100</f>
        <v>6640.4822676192</v>
      </c>
      <c r="F15" s="0" t="n">
        <f aca="false">F13-MAX(0,F13)*F14/100</f>
        <v>7226.12028003466</v>
      </c>
      <c r="G15" s="0" t="n">
        <f aca="false">G13-MAX(0,G13)*G14/100</f>
        <v>7917.0455773984</v>
      </c>
      <c r="H15" s="0" t="n">
        <f aca="false">H13-MAX(0,H13)*H14/100</f>
        <v>8233.72740049433</v>
      </c>
      <c r="I15" s="0" t="n">
        <f aca="false">I13-MAX(0,I13)*I14/100</f>
        <v>8563.07649651411</v>
      </c>
      <c r="J15" s="0" t="n">
        <f aca="false">J13-MAX(0,J13)*J14/100</f>
        <v>8862.7841738921</v>
      </c>
      <c r="K15" s="0" t="n">
        <f aca="false">K13-MAX(0,K13)*K14/100</f>
        <v>9128.66769910886</v>
      </c>
      <c r="L15" s="0" t="n">
        <f aca="false">L13-MAX(0,L13)*L14/100</f>
        <v>9402.52773008213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-1433.27184</v>
      </c>
      <c r="D17" s="4" t="n">
        <f aca="false">-D6*Assumptions!D18/100</f>
        <v>-605.260656</v>
      </c>
      <c r="E17" s="4" t="n">
        <f aca="false">-E6*Assumptions!E18/100</f>
        <v>-617.36586912</v>
      </c>
      <c r="F17" s="4" t="n">
        <f aca="false">-F6*Assumptions!F18/100</f>
        <v>-939.15595597824</v>
      </c>
      <c r="G17" s="4" t="n">
        <f aca="false">-G6*Assumptions!G18/100</f>
        <v>-1292.1220694334</v>
      </c>
      <c r="H17" s="4" t="n">
        <f aca="false">-H6*Assumptions!H18/100</f>
        <v>-1343.80695221073</v>
      </c>
      <c r="I17" s="4" t="n">
        <f aca="false">-I6*Assumptions!I18/100</f>
        <v>-1397.55923029916</v>
      </c>
      <c r="J17" s="4" t="n">
        <f aca="false">-J6*Assumptions!J18/100</f>
        <v>-1275.6304407581</v>
      </c>
      <c r="K17" s="4" t="n">
        <f aca="false">-K6*Assumptions!K18/100</f>
        <v>-1126.19944626929</v>
      </c>
      <c r="L17" s="4" t="n">
        <f aca="false">-L6*Assumptions!L18/100</f>
        <v>-1159.98542965737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8555.354808</v>
      </c>
      <c r="D19" s="0" t="n">
        <f aca="false">D15+D16+D17+D18</f>
        <v>7008.45281136</v>
      </c>
      <c r="E19" s="0" t="n">
        <f aca="false">E15+E16+E17+E18</f>
        <v>6023.1163984992</v>
      </c>
      <c r="F19" s="0" t="n">
        <f aca="false">F15+F16+F17+F18</f>
        <v>6286.96432405642</v>
      </c>
      <c r="G19" s="0" t="n">
        <f aca="false">G15+G16+G17+G18</f>
        <v>6624.923507965</v>
      </c>
      <c r="H19" s="0" t="n">
        <f aca="false">H15+H16+H17+H18</f>
        <v>6889.9204482836</v>
      </c>
      <c r="I19" s="0" t="n">
        <f aca="false">I15+I16+I17+I18</f>
        <v>7165.51726621495</v>
      </c>
      <c r="J19" s="0" t="n">
        <f aca="false">J15+J16+J17+J18</f>
        <v>7587.153733134</v>
      </c>
      <c r="K19" s="0" t="n">
        <f aca="false">K15+K16+K17+K18</f>
        <v>8002.46825283957</v>
      </c>
      <c r="L19" s="0" t="n">
        <f aca="false">L15+L16+L17+L18</f>
        <v>8242.54230042476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7885.11963870968</v>
      </c>
      <c r="D21" s="0" t="n">
        <f aca="false">D19*D20</f>
        <v>5953.36729287944</v>
      </c>
      <c r="E21" s="0" t="n">
        <f aca="false">E19*E20</f>
        <v>4715.54660617595</v>
      </c>
      <c r="F21" s="0" t="n">
        <f aca="false">F19*F20</f>
        <v>4536.51178234917</v>
      </c>
      <c r="G21" s="0" t="n">
        <f aca="false">G19*G20</f>
        <v>4405.8750586081</v>
      </c>
      <c r="H21" s="0" t="n">
        <f aca="false">H19*H20</f>
        <v>4223.1429133202</v>
      </c>
      <c r="I21" s="0" t="n">
        <f aca="false">I19*I20</f>
        <v>4047.98952060185</v>
      </c>
      <c r="J21" s="0" t="n">
        <f aca="false">J19*J20</f>
        <v>3950.39914397341</v>
      </c>
      <c r="K21" s="0" t="n">
        <f aca="false">K19*K20</f>
        <v>3840.2218668915</v>
      </c>
      <c r="L21" s="0" t="n">
        <f aca="false">L19*L20</f>
        <v>3645.55624230253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47203.7300658118</v>
      </c>
    </row>
    <row r="31" customFormat="false" ht="15" hidden="false" customHeight="false" outlineLevel="0" collapsed="false">
      <c r="A31" s="0" t="s">
        <v>136</v>
      </c>
      <c r="B31" s="0" t="n">
        <f aca="false">L19</f>
        <v>8242.54230042476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140810.097632256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98910.5076050971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98910.5076050971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43746.6749076304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90950.4049734422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90950.4049734422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156.111234077312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-0.259996046277435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1007.8729734342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1369.45508625672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160.191783441698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67588.846863483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90.5585028417561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6.5</v>
      </c>
      <c r="D5" s="4" t="n">
        <f aca="false">Assumptions!D27</f>
        <v>4.5</v>
      </c>
      <c r="E5" s="4" t="n">
        <f aca="false">Assumptions!E27</f>
        <v>5</v>
      </c>
      <c r="F5" s="4" t="n">
        <f aca="false">Assumptions!F27</f>
        <v>6</v>
      </c>
      <c r="G5" s="4" t="n">
        <f aca="false">Assumptions!G27</f>
        <v>6</v>
      </c>
      <c r="H5" s="4" t="n">
        <f aca="false">Assumptions!H27</f>
        <v>5.5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86944</v>
      </c>
      <c r="C6" s="0" t="n">
        <f aca="false">B6*(1+C5/100)</f>
        <v>92595.36</v>
      </c>
      <c r="D6" s="0" t="n">
        <f aca="false">C6*(1+D5/100)</f>
        <v>96762.1512</v>
      </c>
      <c r="E6" s="0" t="n">
        <f aca="false">D6*(1+E5/100)</f>
        <v>101600.25876</v>
      </c>
      <c r="F6" s="0" t="n">
        <f aca="false">E6*(1+F5/100)</f>
        <v>107696.2742856</v>
      </c>
      <c r="G6" s="0" t="n">
        <f aca="false">F6*(1+G5/100)</f>
        <v>114158.050742736</v>
      </c>
      <c r="H6" s="0" t="n">
        <f aca="false">G6*(1+H5/100)</f>
        <v>120436.743533586</v>
      </c>
      <c r="I6" s="0" t="n">
        <f aca="false">H6*(1+I5/100)</f>
        <v>126458.580710266</v>
      </c>
      <c r="J6" s="0" t="n">
        <f aca="false">I6*(1+J5/100)</f>
        <v>132149.216842228</v>
      </c>
      <c r="K6" s="0" t="n">
        <f aca="false">J6*(1+K5/100)</f>
        <v>137435.185515917</v>
      </c>
      <c r="L6" s="0" t="n">
        <f aca="false">K6*(1+L5/100)</f>
        <v>142245.417008974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15</v>
      </c>
      <c r="D7" s="4" t="n">
        <f aca="false">Assumptions!D28</f>
        <v>13</v>
      </c>
      <c r="E7" s="4" t="n">
        <f aca="false">Assumptions!E28</f>
        <v>12</v>
      </c>
      <c r="F7" s="4" t="n">
        <f aca="false">Assumptions!F28</f>
        <v>11.8</v>
      </c>
      <c r="G7" s="4" t="n">
        <f aca="false">Assumptions!G28</f>
        <v>11.8</v>
      </c>
      <c r="H7" s="4" t="n">
        <f aca="false">Assumptions!H28</f>
        <v>11.8</v>
      </c>
      <c r="I7" s="4" t="n">
        <f aca="false">Assumptions!I28</f>
        <v>11.8</v>
      </c>
      <c r="J7" s="4" t="n">
        <f aca="false">Assumptions!J28</f>
        <v>11.8</v>
      </c>
      <c r="K7" s="4" t="n">
        <f aca="false">Assumptions!K28</f>
        <v>11.8</v>
      </c>
      <c r="L7" s="4" t="n">
        <f aca="false">Assumptions!L28</f>
        <v>11.8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13889.304</v>
      </c>
      <c r="D8" s="0" t="n">
        <f aca="false">D6*D7/100</f>
        <v>12579.079656</v>
      </c>
      <c r="E8" s="0" t="n">
        <f aca="false">E6*E7/100</f>
        <v>12192.0310512</v>
      </c>
      <c r="F8" s="0" t="n">
        <f aca="false">F6*F7/100</f>
        <v>12708.1603657008</v>
      </c>
      <c r="G8" s="0" t="n">
        <f aca="false">G6*G7/100</f>
        <v>13470.6499876429</v>
      </c>
      <c r="H8" s="0" t="n">
        <f aca="false">H6*H7/100</f>
        <v>14211.5357369632</v>
      </c>
      <c r="I8" s="0" t="n">
        <f aca="false">I6*I7/100</f>
        <v>14922.1125238114</v>
      </c>
      <c r="J8" s="0" t="n">
        <f aca="false">J6*J7/100</f>
        <v>15593.6075873829</v>
      </c>
      <c r="K8" s="0" t="n">
        <f aca="false">K6*K7/100</f>
        <v>16217.3518908782</v>
      </c>
      <c r="L8" s="0" t="n">
        <f aca="false">L6*L7/100</f>
        <v>16784.9592070589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0.15</v>
      </c>
      <c r="D9" s="4" t="n">
        <f aca="false">Assumptions!D29</f>
        <v>0.15</v>
      </c>
      <c r="E9" s="4" t="n">
        <f aca="false">Assumptions!E29</f>
        <v>0.15</v>
      </c>
      <c r="F9" s="4" t="n">
        <f aca="false">Assumptions!F29</f>
        <v>0.15</v>
      </c>
      <c r="G9" s="4" t="n">
        <f aca="false">Assumptions!G29</f>
        <v>0.15</v>
      </c>
      <c r="H9" s="4" t="n">
        <f aca="false">Assumptions!H29</f>
        <v>0.15</v>
      </c>
      <c r="I9" s="4" t="n">
        <f aca="false">Assumptions!I29</f>
        <v>0.15</v>
      </c>
      <c r="J9" s="4" t="n">
        <f aca="false">Assumptions!J29</f>
        <v>0.15</v>
      </c>
      <c r="K9" s="4" t="n">
        <f aca="false">Assumptions!K29</f>
        <v>0.15</v>
      </c>
      <c r="L9" s="4" t="n">
        <f aca="false">Assumptions!L29</f>
        <v>0.15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-138.89304</v>
      </c>
      <c r="D10" s="0" t="n">
        <f aca="false">-D6*D9/100</f>
        <v>-145.1432268</v>
      </c>
      <c r="E10" s="0" t="n">
        <f aca="false">-E6*E9/100</f>
        <v>-152.40038814</v>
      </c>
      <c r="F10" s="0" t="n">
        <f aca="false">-F6*F9/100</f>
        <v>-161.5444114284</v>
      </c>
      <c r="G10" s="0" t="n">
        <f aca="false">-G6*G9/100</f>
        <v>-171.237076114104</v>
      </c>
      <c r="H10" s="0" t="n">
        <f aca="false">-H6*H9/100</f>
        <v>-180.65511530038</v>
      </c>
      <c r="I10" s="0" t="n">
        <f aca="false">-I6*I9/100</f>
        <v>-189.687871065399</v>
      </c>
      <c r="J10" s="0" t="n">
        <f aca="false">-J6*J9/100</f>
        <v>-198.223825263342</v>
      </c>
      <c r="K10" s="0" t="n">
        <f aca="false">-K6*K9/100</f>
        <v>-206.152778273875</v>
      </c>
      <c r="L10" s="0" t="n">
        <f aca="false">-L6*L9/100</f>
        <v>-213.368125513461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13750.41096</v>
      </c>
      <c r="D11" s="0" t="n">
        <f aca="false">D8+D10+D24</f>
        <v>12433.9364292</v>
      </c>
      <c r="E11" s="0" t="n">
        <f aca="false">E8+E10+E24</f>
        <v>12039.63066306</v>
      </c>
      <c r="F11" s="0" t="n">
        <f aca="false">F8+F10+F24</f>
        <v>12546.6159542724</v>
      </c>
      <c r="G11" s="0" t="n">
        <f aca="false">G8+G10+G24</f>
        <v>13299.4129115287</v>
      </c>
      <c r="H11" s="0" t="n">
        <f aca="false">H8+H10+H24</f>
        <v>14030.8806216628</v>
      </c>
      <c r="I11" s="0" t="n">
        <f aca="false">I8+I10+I24</f>
        <v>14732.424652746</v>
      </c>
      <c r="J11" s="0" t="n">
        <f aca="false">J8+J10+J24</f>
        <v>15395.3837621195</v>
      </c>
      <c r="K11" s="0" t="n">
        <f aca="false">K8+K10+K24</f>
        <v>16011.1991126043</v>
      </c>
      <c r="L11" s="0" t="n">
        <f aca="false">L8+L10+L24</f>
        <v>16571.5910815455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13750.41096</v>
      </c>
      <c r="D13" s="0" t="n">
        <f aca="false">D11+D12</f>
        <v>12433.9364292</v>
      </c>
      <c r="E13" s="0" t="n">
        <f aca="false">E11+E12</f>
        <v>12039.63066306</v>
      </c>
      <c r="F13" s="0" t="n">
        <f aca="false">F11+F12</f>
        <v>12546.6159542724</v>
      </c>
      <c r="G13" s="0" t="n">
        <f aca="false">G11+G12</f>
        <v>13299.4129115287</v>
      </c>
      <c r="H13" s="0" t="n">
        <f aca="false">H11+H12</f>
        <v>14030.8806216628</v>
      </c>
      <c r="I13" s="0" t="n">
        <f aca="false">I11+I12</f>
        <v>14732.424652746</v>
      </c>
      <c r="J13" s="0" t="n">
        <f aca="false">J11+J12</f>
        <v>15395.3837621195</v>
      </c>
      <c r="K13" s="0" t="n">
        <f aca="false">K11+K12</f>
        <v>16011.1991126043</v>
      </c>
      <c r="L13" s="0" t="n">
        <f aca="false">L11+L12</f>
        <v>16571.5910815455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21</v>
      </c>
      <c r="D14" s="4" t="n">
        <f aca="false">Assumptions!D33</f>
        <v>21</v>
      </c>
      <c r="E14" s="4" t="n">
        <f aca="false">Assumptions!E33</f>
        <v>21</v>
      </c>
      <c r="F14" s="4" t="n">
        <f aca="false">Assumptions!F33</f>
        <v>21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10862.8246584</v>
      </c>
      <c r="D15" s="0" t="n">
        <f aca="false">D13-MAX(0,D13)*D14/100</f>
        <v>9822.809779068</v>
      </c>
      <c r="E15" s="0" t="n">
        <f aca="false">E13-MAX(0,E13)*E14/100</f>
        <v>9511.3082238174</v>
      </c>
      <c r="F15" s="0" t="n">
        <f aca="false">F13-MAX(0,F13)*F14/100</f>
        <v>9911.8266038752</v>
      </c>
      <c r="G15" s="0" t="n">
        <f aca="false">G13-MAX(0,G13)*G14/100</f>
        <v>10506.5362001077</v>
      </c>
      <c r="H15" s="0" t="n">
        <f aca="false">H13-MAX(0,H13)*H14/100</f>
        <v>11084.3956911136</v>
      </c>
      <c r="I15" s="0" t="n">
        <f aca="false">I13-MAX(0,I13)*I14/100</f>
        <v>11638.6154756693</v>
      </c>
      <c r="J15" s="0" t="n">
        <f aca="false">J13-MAX(0,J13)*J14/100</f>
        <v>12162.3531720744</v>
      </c>
      <c r="K15" s="0" t="n">
        <f aca="false">K13-MAX(0,K13)*K14/100</f>
        <v>12648.8472989574</v>
      </c>
      <c r="L15" s="0" t="n">
        <f aca="false">L13-MAX(0,L13)*L14/100</f>
        <v>13091.5569544209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-1861.166736</v>
      </c>
      <c r="D17" s="4" t="n">
        <f aca="false">-D6*Assumptions!D32/100</f>
        <v>-1374.02254704</v>
      </c>
      <c r="E17" s="4" t="n">
        <f aca="false">-E6*Assumptions!E32/100</f>
        <v>-1595.124062532</v>
      </c>
      <c r="F17" s="4" t="n">
        <f aca="false">-F6*Assumptions!F32/100</f>
        <v>-2013.92032914072</v>
      </c>
      <c r="G17" s="4" t="n">
        <f aca="false">-G6*Assumptions!G32/100</f>
        <v>-2134.75554888916</v>
      </c>
      <c r="H17" s="4" t="n">
        <f aca="false">-H6*Assumptions!H32/100</f>
        <v>-2071.51198877769</v>
      </c>
      <c r="I17" s="4" t="n">
        <f aca="false">-I6*Assumptions!I32/100</f>
        <v>-1985.39971715117</v>
      </c>
      <c r="J17" s="4" t="n">
        <f aca="false">-J6*Assumptions!J32/100</f>
        <v>-1876.51887915963</v>
      </c>
      <c r="K17" s="4" t="n">
        <f aca="false">-K6*Assumptions!K32/100</f>
        <v>-1745.42685605214</v>
      </c>
      <c r="L17" s="4" t="n">
        <f aca="false">-L6*Assumptions!L32/100</f>
        <v>-1593.14867050051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9001.6579224</v>
      </c>
      <c r="D19" s="0" t="n">
        <f aca="false">D15+D16+D17+D18</f>
        <v>8448.787232028</v>
      </c>
      <c r="E19" s="0" t="n">
        <f aca="false">E15+E16+E17+E18</f>
        <v>7916.1841612854</v>
      </c>
      <c r="F19" s="0" t="n">
        <f aca="false">F15+F16+F17+F18</f>
        <v>7897.90627473448</v>
      </c>
      <c r="G19" s="0" t="n">
        <f aca="false">G15+G16+G17+G18</f>
        <v>8371.78065121855</v>
      </c>
      <c r="H19" s="0" t="n">
        <f aca="false">H15+H16+H17+H18</f>
        <v>9012.88370233594</v>
      </c>
      <c r="I19" s="0" t="n">
        <f aca="false">I15+I16+I17+I18</f>
        <v>9653.21575851814</v>
      </c>
      <c r="J19" s="0" t="n">
        <f aca="false">J15+J16+J17+J18</f>
        <v>10285.8342929148</v>
      </c>
      <c r="K19" s="0" t="n">
        <f aca="false">K15+K16+K17+K18</f>
        <v>10903.4204429053</v>
      </c>
      <c r="L19" s="0" t="n">
        <f aca="false">L15+L16+L17+L18</f>
        <v>11498.4082839204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8296.45891465438</v>
      </c>
      <c r="D21" s="0" t="n">
        <f aca="false">D19*D20</f>
        <v>7176.86698127206</v>
      </c>
      <c r="E21" s="0" t="n">
        <f aca="false">E19*E20</f>
        <v>6197.64468853941</v>
      </c>
      <c r="F21" s="0" t="n">
        <f aca="false">F19*F20</f>
        <v>5698.92606740691</v>
      </c>
      <c r="G21" s="0" t="n">
        <f aca="false">G19*G20</f>
        <v>5567.61440686758</v>
      </c>
      <c r="H21" s="0" t="n">
        <f aca="false">H19*H20</f>
        <v>5524.4028173912</v>
      </c>
      <c r="I21" s="0" t="n">
        <f aca="false">I19*I20</f>
        <v>5453.35595168154</v>
      </c>
      <c r="J21" s="0" t="n">
        <f aca="false">J19*J20</f>
        <v>5355.51966059856</v>
      </c>
      <c r="K21" s="0" t="n">
        <f aca="false">K19*K20</f>
        <v>5232.32986196466</v>
      </c>
      <c r="L21" s="0" t="n">
        <f aca="false">L19*L20</f>
        <v>5085.57828011742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59588.6976304937</v>
      </c>
    </row>
    <row r="31" customFormat="false" ht="15" hidden="false" customHeight="false" outlineLevel="0" collapsed="false">
      <c r="A31" s="0" t="s">
        <v>136</v>
      </c>
      <c r="B31" s="0" t="n">
        <f aca="false">L19</f>
        <v>11498.4082839204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215333.82786251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172476.124258806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172476.124258806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76283.6742017612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135872.371832255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135872.371832255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233.217253402429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0.105504614156374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1115.46549535675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1767.28542266939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238.165332561416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98694.6711036502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118.991429815514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7</v>
      </c>
      <c r="D5" s="4" t="n">
        <f aca="false">Assumptions!D41</f>
        <v>7</v>
      </c>
      <c r="E5" s="4" t="n">
        <f aca="false">Assumptions!E41</f>
        <v>7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5.5</v>
      </c>
      <c r="J5" s="4" t="n">
        <f aca="false">Assumptions!J41</f>
        <v>5</v>
      </c>
      <c r="K5" s="4" t="n">
        <f aca="false">Assumptions!K41</f>
        <v>4.5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86944</v>
      </c>
      <c r="C6" s="0" t="n">
        <f aca="false">B6*(1+C5/100)</f>
        <v>93030.08</v>
      </c>
      <c r="D6" s="0" t="n">
        <f aca="false">C6*(1+D5/100)</f>
        <v>99542.1856</v>
      </c>
      <c r="E6" s="0" t="n">
        <f aca="false">D6*(1+E5/100)</f>
        <v>106510.138592</v>
      </c>
      <c r="F6" s="0" t="n">
        <f aca="false">E6*(1+F5/100)</f>
        <v>113965.84829344</v>
      </c>
      <c r="G6" s="0" t="n">
        <f aca="false">F6*(1+G5/100)</f>
        <v>121373.628432514</v>
      </c>
      <c r="H6" s="0" t="n">
        <f aca="false">G6*(1+H5/100)</f>
        <v>128656.046138464</v>
      </c>
      <c r="I6" s="0" t="n">
        <f aca="false">H6*(1+I5/100)</f>
        <v>135732.12867608</v>
      </c>
      <c r="J6" s="0" t="n">
        <f aca="false">I6*(1+J5/100)</f>
        <v>142518.735109884</v>
      </c>
      <c r="K6" s="0" t="n">
        <f aca="false">J6*(1+K5/100)</f>
        <v>148932.078189829</v>
      </c>
      <c r="L6" s="0" t="n">
        <f aca="false">K6*(1+L5/100)</f>
        <v>154889.361317422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15.5</v>
      </c>
      <c r="D7" s="4" t="n">
        <f aca="false">Assumptions!D42</f>
        <v>14.5</v>
      </c>
      <c r="E7" s="4" t="n">
        <f aca="false">Assumptions!E42</f>
        <v>13.8</v>
      </c>
      <c r="F7" s="4" t="n">
        <f aca="false">Assumptions!F42</f>
        <v>13.5</v>
      </c>
      <c r="G7" s="4" t="n">
        <f aca="false">Assumptions!G42</f>
        <v>13.5</v>
      </c>
      <c r="H7" s="4" t="n">
        <f aca="false">Assumptions!H42</f>
        <v>13.5</v>
      </c>
      <c r="I7" s="4" t="n">
        <f aca="false">Assumptions!I42</f>
        <v>13.5</v>
      </c>
      <c r="J7" s="4" t="n">
        <f aca="false">Assumptions!J42</f>
        <v>13.5</v>
      </c>
      <c r="K7" s="4" t="n">
        <f aca="false">Assumptions!K42</f>
        <v>13.5</v>
      </c>
      <c r="L7" s="4" t="n">
        <f aca="false">Assumptions!L42</f>
        <v>13.5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14419.6624</v>
      </c>
      <c r="D8" s="0" t="n">
        <f aca="false">D6*D7/100</f>
        <v>14433.616912</v>
      </c>
      <c r="E8" s="0" t="n">
        <f aca="false">E6*E7/100</f>
        <v>14698.399125696</v>
      </c>
      <c r="F8" s="0" t="n">
        <f aca="false">F6*F7/100</f>
        <v>15385.3895196144</v>
      </c>
      <c r="G8" s="0" t="n">
        <f aca="false">G6*G7/100</f>
        <v>16385.4398383893</v>
      </c>
      <c r="H8" s="0" t="n">
        <f aca="false">H6*H7/100</f>
        <v>17368.5662286927</v>
      </c>
      <c r="I8" s="0" t="n">
        <f aca="false">I6*I7/100</f>
        <v>18323.8373712708</v>
      </c>
      <c r="J8" s="0" t="n">
        <f aca="false">J6*J7/100</f>
        <v>19240.0292398343</v>
      </c>
      <c r="K8" s="0" t="n">
        <f aca="false">K6*K7/100</f>
        <v>20105.8305556269</v>
      </c>
      <c r="L8" s="0" t="n">
        <f aca="false">L6*L7/100</f>
        <v>20910.063777852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0.15</v>
      </c>
      <c r="D9" s="4" t="n">
        <f aca="false">Assumptions!D43</f>
        <v>0.15</v>
      </c>
      <c r="E9" s="4" t="n">
        <f aca="false">Assumptions!E43</f>
        <v>0.15</v>
      </c>
      <c r="F9" s="4" t="n">
        <f aca="false">Assumptions!F43</f>
        <v>0.15</v>
      </c>
      <c r="G9" s="4" t="n">
        <f aca="false">Assumptions!G43</f>
        <v>0.15</v>
      </c>
      <c r="H9" s="4" t="n">
        <f aca="false">Assumptions!H43</f>
        <v>0.15</v>
      </c>
      <c r="I9" s="4" t="n">
        <f aca="false">Assumptions!I43</f>
        <v>0.15</v>
      </c>
      <c r="J9" s="4" t="n">
        <f aca="false">Assumptions!J43</f>
        <v>0.15</v>
      </c>
      <c r="K9" s="4" t="n">
        <f aca="false">Assumptions!K43</f>
        <v>0.15</v>
      </c>
      <c r="L9" s="4" t="n">
        <f aca="false">Assumptions!L43</f>
        <v>0.15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-139.54512</v>
      </c>
      <c r="D10" s="0" t="n">
        <f aca="false">-D6*D9/100</f>
        <v>-149.3132784</v>
      </c>
      <c r="E10" s="0" t="n">
        <f aca="false">-E6*E9/100</f>
        <v>-159.765207888</v>
      </c>
      <c r="F10" s="0" t="n">
        <f aca="false">-F6*F9/100</f>
        <v>-170.94877244016</v>
      </c>
      <c r="G10" s="0" t="n">
        <f aca="false">-G6*G9/100</f>
        <v>-182.06044264877</v>
      </c>
      <c r="H10" s="0" t="n">
        <f aca="false">-H6*H9/100</f>
        <v>-192.984069207697</v>
      </c>
      <c r="I10" s="0" t="n">
        <f aca="false">-I6*I9/100</f>
        <v>-203.59819301412</v>
      </c>
      <c r="J10" s="0" t="n">
        <f aca="false">-J6*J9/100</f>
        <v>-213.778102664826</v>
      </c>
      <c r="K10" s="0" t="n">
        <f aca="false">-K6*K9/100</f>
        <v>-223.398117284743</v>
      </c>
      <c r="L10" s="0" t="n">
        <f aca="false">-L6*L9/100</f>
        <v>-232.334041976133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14280.11728</v>
      </c>
      <c r="D11" s="0" t="n">
        <f aca="false">D8+D10+D24</f>
        <v>14284.3036336</v>
      </c>
      <c r="E11" s="0" t="n">
        <f aca="false">E8+E10+E24</f>
        <v>14538.633917808</v>
      </c>
      <c r="F11" s="0" t="n">
        <f aca="false">F8+F10+F24</f>
        <v>15214.4407471742</v>
      </c>
      <c r="G11" s="0" t="n">
        <f aca="false">G8+G10+G24</f>
        <v>16203.3793957406</v>
      </c>
      <c r="H11" s="0" t="n">
        <f aca="false">H8+H10+H24</f>
        <v>17175.582159485</v>
      </c>
      <c r="I11" s="0" t="n">
        <f aca="false">I8+I10+I24</f>
        <v>18120.2391782567</v>
      </c>
      <c r="J11" s="0" t="n">
        <f aca="false">J8+J10+J24</f>
        <v>19026.2511371695</v>
      </c>
      <c r="K11" s="0" t="n">
        <f aca="false">K8+K10+K24</f>
        <v>19882.4324383421</v>
      </c>
      <c r="L11" s="0" t="n">
        <f aca="false">L8+L10+L24</f>
        <v>20677.7297358758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14280.11728</v>
      </c>
      <c r="D13" s="0" t="n">
        <f aca="false">D11+D12</f>
        <v>14284.3036336</v>
      </c>
      <c r="E13" s="0" t="n">
        <f aca="false">E11+E12</f>
        <v>14538.633917808</v>
      </c>
      <c r="F13" s="0" t="n">
        <f aca="false">F11+F12</f>
        <v>15214.4407471742</v>
      </c>
      <c r="G13" s="0" t="n">
        <f aca="false">G11+G12</f>
        <v>16203.3793957406</v>
      </c>
      <c r="H13" s="0" t="n">
        <f aca="false">H11+H12</f>
        <v>17175.582159485</v>
      </c>
      <c r="I13" s="0" t="n">
        <f aca="false">I11+I12</f>
        <v>18120.2391782567</v>
      </c>
      <c r="J13" s="0" t="n">
        <f aca="false">J11+J12</f>
        <v>19026.2511371695</v>
      </c>
      <c r="K13" s="0" t="n">
        <f aca="false">K11+K12</f>
        <v>19882.4324383421</v>
      </c>
      <c r="L13" s="0" t="n">
        <f aca="false">L11+L12</f>
        <v>20677.7297358758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11281.2926512</v>
      </c>
      <c r="D15" s="0" t="n">
        <f aca="false">D13-MAX(0,D13)*D14/100</f>
        <v>11284.599870544</v>
      </c>
      <c r="E15" s="0" t="n">
        <f aca="false">E13-MAX(0,E13)*E14/100</f>
        <v>11485.5207950683</v>
      </c>
      <c r="F15" s="0" t="n">
        <f aca="false">F13-MAX(0,F13)*F14/100</f>
        <v>12019.4081902677</v>
      </c>
      <c r="G15" s="0" t="n">
        <f aca="false">G13-MAX(0,G13)*G14/100</f>
        <v>12800.6697226351</v>
      </c>
      <c r="H15" s="0" t="n">
        <f aca="false">H13-MAX(0,H13)*H14/100</f>
        <v>13568.7099059932</v>
      </c>
      <c r="I15" s="0" t="n">
        <f aca="false">I13-MAX(0,I13)*I14/100</f>
        <v>14314.9889508228</v>
      </c>
      <c r="J15" s="0" t="n">
        <f aca="false">J13-MAX(0,J13)*J14/100</f>
        <v>15030.7383983639</v>
      </c>
      <c r="K15" s="0" t="n">
        <f aca="false">K13-MAX(0,K13)*K14/100</f>
        <v>15707.1216262903</v>
      </c>
      <c r="L15" s="0" t="n">
        <f aca="false">L13-MAX(0,L13)*L14/100</f>
        <v>16335.4064913419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-2009.449728</v>
      </c>
      <c r="D17" s="4" t="n">
        <f aca="false">-D6*Assumptions!D46/100</f>
        <v>-2150.11120896</v>
      </c>
      <c r="E17" s="4" t="n">
        <f aca="false">-E6*Assumptions!E46/100</f>
        <v>-2300.6189935872</v>
      </c>
      <c r="F17" s="4" t="n">
        <f aca="false">-F6*Assumptions!F46/100</f>
        <v>-2461.6623231383</v>
      </c>
      <c r="G17" s="4" t="n">
        <f aca="false">-G6*Assumptions!G46/100</f>
        <v>-2439.60993149352</v>
      </c>
      <c r="H17" s="4" t="n">
        <f aca="false">-H6*Assumptions!H46/100</f>
        <v>-2405.86806278929</v>
      </c>
      <c r="I17" s="4" t="n">
        <f aca="false">-I6*Assumptions!I46/100</f>
        <v>-2334.59261322858</v>
      </c>
      <c r="J17" s="4" t="n">
        <f aca="false">-J6*Assumptions!J46/100</f>
        <v>-2237.54414122518</v>
      </c>
      <c r="K17" s="4" t="n">
        <f aca="false">-K6*Assumptions!K46/100</f>
        <v>-2114.83551029557</v>
      </c>
      <c r="L17" s="4" t="n">
        <f aca="false">-L6*Assumptions!L46/100</f>
        <v>-1967.09488873126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9271.8429232</v>
      </c>
      <c r="D19" s="0" t="n">
        <f aca="false">D15+D16+D17+D18</f>
        <v>9134.488661584</v>
      </c>
      <c r="E19" s="0" t="n">
        <f aca="false">E15+E16+E17+E18</f>
        <v>9184.90180148112</v>
      </c>
      <c r="F19" s="0" t="n">
        <f aca="false">F15+F16+F17+F18</f>
        <v>9557.74586712935</v>
      </c>
      <c r="G19" s="0" t="n">
        <f aca="false">G15+G16+G17+G18</f>
        <v>10361.0597911415</v>
      </c>
      <c r="H19" s="0" t="n">
        <f aca="false">H15+H16+H17+H18</f>
        <v>11162.8418432039</v>
      </c>
      <c r="I19" s="0" t="n">
        <f aca="false">I15+I16+I17+I18</f>
        <v>11980.3963375942</v>
      </c>
      <c r="J19" s="0" t="n">
        <f aca="false">J15+J16+J17+J18</f>
        <v>12793.1942571387</v>
      </c>
      <c r="K19" s="0" t="n">
        <f aca="false">K15+K16+K17+K18</f>
        <v>13592.2861159947</v>
      </c>
      <c r="L19" s="0" t="n">
        <f aca="false">L15+L16+L17+L18</f>
        <v>14368.3116026106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8545.47734857143</v>
      </c>
      <c r="D21" s="0" t="n">
        <f aca="false">D19*D20</f>
        <v>7759.3396857729</v>
      </c>
      <c r="E21" s="0" t="n">
        <f aca="false">E19*E20</f>
        <v>7190.93400367057</v>
      </c>
      <c r="F21" s="0" t="n">
        <f aca="false">F19*F20</f>
        <v>6896.62363328885</v>
      </c>
      <c r="G21" s="0" t="n">
        <f aca="false">G19*G20</f>
        <v>6890.57539451651</v>
      </c>
      <c r="H21" s="0" t="n">
        <f aca="false">H19*H20</f>
        <v>6842.20910480681</v>
      </c>
      <c r="I21" s="0" t="n">
        <f aca="false">I19*I20</f>
        <v>6768.04158380816</v>
      </c>
      <c r="J21" s="0" t="n">
        <f aca="false">J19*J20</f>
        <v>6661.02538839828</v>
      </c>
      <c r="K21" s="0" t="n">
        <f aca="false">K19*K20</f>
        <v>6522.66184813256</v>
      </c>
      <c r="L21" s="0" t="n">
        <f aca="false">L19*L20</f>
        <v>6354.89466054009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70431.7826515062</v>
      </c>
    </row>
    <row r="31" customFormat="false" ht="15" hidden="false" customHeight="false" outlineLevel="0" collapsed="false">
      <c r="A31" s="0" t="s">
        <v>136</v>
      </c>
      <c r="B31" s="0" t="n">
        <f aca="false">L19</f>
        <v>14368.3116026106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297424.05017404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244261.297244381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244261.297244381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108033.209229181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178464.991880688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178464.991880688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306.325080468053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0.452052903242572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1179.53666772489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2127.0897343801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312.000717958793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129314.804423496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145.068094828998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156.111234077312</v>
      </c>
      <c r="C4" s="0" t="n">
        <f aca="false">B4/Assumptions!$B$2-1</f>
        <v>-0.259996046277435</v>
      </c>
      <c r="D4" s="4" t="n">
        <f aca="false">Assumptions!$B$24</f>
        <v>0.25</v>
      </c>
      <c r="E4" s="4" t="n">
        <f aca="false">DCF_Bear!$B$43</f>
        <v>160.191783441698</v>
      </c>
      <c r="F4" s="4" t="n">
        <f aca="false">DCF_Bear!$B$47</f>
        <v>90.5585028417561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233.217253402429</v>
      </c>
      <c r="C5" s="0" t="n">
        <f aca="false">B5/Assumptions!$B$2-1</f>
        <v>0.105504614156374</v>
      </c>
      <c r="D5" s="4" t="n">
        <f aca="false">Assumptions!$B$38</f>
        <v>0.5</v>
      </c>
      <c r="E5" s="4" t="n">
        <f aca="false">DCF_Base!$B$43</f>
        <v>238.165332561416</v>
      </c>
      <c r="F5" s="4" t="n">
        <f aca="false">DCF_Base!$B$47</f>
        <v>118.991429815514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306.325080468053</v>
      </c>
      <c r="C6" s="0" t="n">
        <f aca="false">B6/Assumptions!$B$2-1</f>
        <v>0.452052903242572</v>
      </c>
      <c r="D6" s="4" t="n">
        <f aca="false">Assumptions!$B$52</f>
        <v>0.25</v>
      </c>
      <c r="E6" s="4" t="n">
        <f aca="false">DCF_Bull!$B$43</f>
        <v>312.000717958793</v>
      </c>
      <c r="F6" s="4" t="n">
        <f aca="false">DCF_Bull!$B$47</f>
        <v>145.068094828998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232.217705337556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237.130791630831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0.091542138471548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-432.675187623972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118.402364325446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233.217253402429</v>
      </c>
      <c r="C15" s="3" t="n">
        <v>8.5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224.971493239658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207.403307123404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180.754362778016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160.088045914897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118.991429815514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270.343499411199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270.343499411199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270.343499411199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270.343499411199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270.343499411199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250.907037808777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250.907037808777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250.907037808777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250.907037808777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250.907037808777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233.217253402429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233.217253402429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233.217253402429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233.217253402429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233.217253402429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205.948406657705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214.253621539917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217.097873211907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217.097873211907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217.097873211907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180.576504708762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186.484876753192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193.181031736878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200.833780289663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202.392032257425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2026-10-02T07:24:47Z</dcterms:created>
  <dc:creator>openpyxl</dc:creator>
  <dc:description/>
  <dc:language>en-NZ</dc:language>
  <cp:lastModifiedBy/>
  <dcterms:modified xsi:type="dcterms:W3CDTF">2026-10-02T07:24:47Z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