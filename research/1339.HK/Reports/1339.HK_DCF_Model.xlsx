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<sst xmlns="http://schemas.openxmlformats.org/spreadsheetml/2006/main" count="358" uniqueCount="168">
  <si>
    <t xml:space="preserve">Ticker</t>
  </si>
  <si>
    <t xml:space="preserve">1339.HK</t>
  </si>
  <si>
    <t xml:space="preserve">Company</t>
  </si>
  <si>
    <t xml:space="preserve">The People's Insurance Company (Group) of China Limited (PICC Group)</t>
  </si>
  <si>
    <t xml:space="preserve">Valuation date</t>
  </si>
  <si>
    <t xml:space="preserve">2026-10-16</t>
  </si>
  <si>
    <t xml:space="preserve">Current price</t>
  </si>
  <si>
    <t xml:space="preserve">Price as of</t>
  </si>
  <si>
    <t xml:space="preserve">2026-10-16T08:08:14Z HKEX regular close (Friday, 16:08 HKT); 52-week range 4.63-7.63, i.e. the price sits near the bottom of its range, 34% below the high, despite H1 2026 attributable profit +40.4%, ahead of Q3 2026 results due around 29 October 2026</t>
  </si>
  <si>
    <t xml:space="preserve">Balance sheet date</t>
  </si>
  <si>
    <t xml:space="preserve">2026-06-30</t>
  </si>
  <si>
    <t xml:space="preserve">Model</t>
  </si>
  <si>
    <t xml:space="preserve">P&amp;C-led insurance group FCFE at cost of equity, net debt held at zero (engine route)</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</si>
  <si>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</si>
  <si>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</si>
  <si>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</si>
  <si>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</si>
  <si>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</si>
  <si>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</si>
  <si>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</si>
  <si>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</si>
  <si>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</si>
  <si>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2026-10-16T09:47:11Z</t>
  </si>
  <si>
    <t xml:space="preserve">Drivers file</t>
  </si>
  <si>
    <t xml:space="preserve">1339.HK_Drivers.json</t>
  </si>
  <si>
    <t xml:space="preserve">Convention</t>
  </si>
  <si>
    <t xml:space="preserve">Percents stored as percents; formulas divide by 100. Blue = input, green = link, black = formula.</t>
  </si>
  <si>
    <t xml:space="preserve">Methodology</t>
  </si>
  <si>
    <t xml:space="preserve">summary: Value a Chinese insurance group on the cash it distributes to minority shareholders, not on IFRS 17 net income (one-third investment variance) and not on OCF (premium float). Attributable profit before tax after the structurally low 16.5% effective rate is the earnings measure -- consolidated PBT scaled by the 74% attributable share, so the 26% of profit owned by minorities in PICC P&amp;C, PICC Life and PICC Health is charged once, inside the margin -- and the payout ratio, calibrated to the FY2025 dividend and the H1 2026 interim increase, sets how much of it must be retained. Debt interest is inside that measure, so net debt is zero. FY2025 and H1 2026 margins are peak-cycle and are normalised to the FY2019-25 mean ROE of ~12.4%, keeping the P&amp;C underwriting improvement but reverting the investment-yield windfall. CROSS-CHECKS: (1) Book: attributable equity RMB341,037M at H1 2026 = RMB7.71/share; the H-share price is 0.56x book, the A-share 0.98x; the base value of ~RMB5.2 is ~0.67x book, which for a 12-12.5% ROE at a 10% cost of equity is conservative (a residual-income P/B at those inputs would be above 1x). (2) Sum of parts: the Group's 68.98% of PICC P&amp;C (2328.HK, 22,242M shares at HKD15.22 = HKD338.5bn = RMB288bn) is worth RMB199bn = RMB4.50/share = HKD5.28 at market -- MORE than the Group's own H-share price of HKD5.06 -- before PICC Life (EV 147,937 x 80% = 118bn) and PICC Health (EV 40,793 x 95.45% = 39bn), which the H price therefore values at less than zero. A look-through of ~RMB356bn (RMB8.05/share, HKD9.45) is not used as the headline because holdco discounts on Chinese financial groups are persistent and the P&amp;C stake is not for sale; it is the ceiling the bull case approaches, not the base. (3) Retained earnings are charged as lost cash (the engine's retention plug), which understates value if retained capital compounds book at 12%+; the rising payout path is the compromise, and its sensitivity is stated in inputs.notes.
key_risks_to_valuation: Capital-markets leverage: 22.3% of a RMB2.0tn investment book in equities (up from 18.2%); total investment income was 46% of H1 2026 revenue growth and Q1 2026 attributable profit fell 31.4% on markets alone; Reinvestment / negative-spread risk: net investment yield 3.5% (FY2025) and 1.7% unannualised in H1 2026 against a 10-year CGB near 1.8% and legacy 3-3.5% guarantees in PICC Life and PICC Health; P&amp;C underwriting cycle: the combined ratio improved 98.8% -&gt; 97.5% -&gt; 94.0% (H1 2026); a return to 98-99% through motor price competition or a catastrophe-heavy year removes roughly a third of normalised attributable profit; Catastrophe exposure as China's largest agricultural and catastrophe insurer (480m+ people covered; agricultural and liability lines already run combined ratios above 100%); Payout policy is a state-shareholder decision (MOF 60.8%, SSF 12.7%); the rise from 21% to 40% is a judgment supported by the +46.7% interim, not guidance -- held flat at 21% the base value falls ~40%; NCI share assumed constant at 74%; a buy-in of PICC P&amp;C minorities would raise attributable profit but consume capital, and a sell-down would do the reverse; A/H structure: the H-share has traded at a 40%+ discount to the A-share; the model values the H at the H price and there is no mechanism forcing convergence; Q3 2026 results (c. 29 Oct 2026) are the first evidence on H2 2026; the base assumes a weak H2 (~12.6bn attributable) and the bear a near-zero H2 -- an H2 as strong as H1 would lift the FY2026 anchor by ~RMB20bn of attributable profit; Model risk: FCFE charges all retained earnings as lost; if retained capital compounds book at the historical 12%+ ROE, value is understated by a wide margin (see the book and sum-of-parts cross-checks)</t>
  </si>
  <si>
    <t xml:space="preserve">Data sources</t>
  </si>
  <si>
    <t xml:space="preserve">price: Yahoo Finance chart API at inputs.price_as_of (HKEX regular close); 52-week range 4.63-7.63. FX: Yahoo HKDCNY=X, inverted, same date; A-share parity from 601319.SS; PICC P&amp;C stake marked off 2328.HK same close
financials: 1339.HK_Metrics.csv (core_metrics, RMB millions, FY2018-FY2025 + H1/Q1/Q3 interims through H1 2026) and the kpis table (NetIncomeIncludingNCI, TotalEquity, DividendsPaid, ProfitBeforeTax, InsuranceRevenue); FY2025 Annual Report (consolidated income statement, dividends per 10 shares, subsidiaries table 68.98% / 80% / 95.45%, bonds payable, Note on leases); H1 2026 Interim Report (share capital table, segment PBT, income tax 12,109, investment assets 1,997,723 and yields 3.7% / 1.7% unannualised with a 5.0% three-year average, solvency 197.7% / 246.6%, PICC Life EV 147,937 and PICC Health EV 40,793, NCI 121,696, equity 341,037, interim dividend RMB0.11)
qualitative: 1339.HK_Analysis.json (2026-10-16): segment mix, P&amp;C market share and combined ratio, life/health NBV growth, Five Priorities investment mandate, solvency, bull/bear cases, sell-side targets HKD6.8-8.2</t>
  </si>
  <si>
    <t xml:space="preserve">Scenario narrative: bear</t>
  </si>
  <si>
    <t xml:space="preserve">An H2 2026 equity drawdown and catastrophe losses erase the second half, falling CGB yields expose negative-spread risk in the life/health books, motor competition compresses P&amp;C margins and the payout stays in the low 20s; the stock settles at 10x a flat dividend stream at ~0.45x book -- below today's price.</t>
  </si>
  <si>
    <t xml:space="preserve">Scenario narrative: base</t>
  </si>
  <si>
    <t xml:space="preserve">China's dominant P&amp;C insurer (31.6% share, double its nearest rival) wrapped in a state-controlled group with sub-scale but fast-improving life and health arms, valued on the dividends it can actually pay to a minority H-shareholder. Attributable profit normalises from the FY2025 / H1 2026 market-rally peak to ~12% ROE (~RMB44bn), keeping most of the structural P&amp;C underwriting gain, grows with premiums and the investment book at 4.5% fading to 3%, and the payout climbs from 24% toward 40% against the strongest solvency of the big four. Capitalised at a 10% CNY cost of equity with the terminal capped at 14x FCFE, the H-share is worth roughly 0.7x book -- above a price that discounts it at 0.56x book, ~4x FY2025 earnings and below the market value of its listed PICC P&amp;C stake alone.</t>
  </si>
  <si>
    <t xml:space="preserve">Scenario narrative: bull</t>
  </si>
  <si>
    <t xml:space="preserve">The combined ratio holds at 94-95%, investment yields stay near 5%, PICC Life and PICC Health turn EV growth into visible profit, and the payout reaches the 50% peer level; the H-share rerates toward ~0.9x book, where the A-share trades.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</si>
  <si>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</si>
  <si>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</si>
  <si>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</si>
  <si>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</si>
  <si>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</si>
  <si>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</si>
  <si>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</si>
  <si>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</si>
  <si>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</si>
  <si>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</si>
  <si>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</si>
  <si>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</si>
  <si>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</si>
  <si>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</si>
  <si>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</si>
  <si>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</si>
  <si>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</si>
  <si>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</si>
  <si>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</si>
  <si>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</si>
  <si>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</si>
  <si>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</si>
  <si>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</si>
  <si>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</si>
  <si>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</si>
  <si>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</si>
  <si>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</si>
  <si>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DilutedEPS</t>
  </si>
  <si>
    <t xml:space="preserve">GrossPremiumsWritten</t>
  </si>
  <si>
    <t xml:space="preserve">NetIncomeIncludingNCI</t>
  </si>
  <si>
    <t xml:space="preserve">RepoLiabilities</t>
  </si>
  <si>
    <t xml:space="preserve">TotalEquity</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</si>
  <si>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</si>
  <si>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</si>
  <si>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</si>
  <si>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</si>
  <si>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</si>
  <si>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</si>
  <si>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</si>
  <si>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</si>
  <si>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</si>
  <si>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</si>
  <si>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</si>
  <si>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</si>
  <si>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</si>
  <si>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</si>
  <si>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</si>
  <si>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</si>
  <si>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</si>
  <si>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</si>
  <si>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</si>
  <si>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</si>
  <si>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</si>
  <si>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</si>
  <si>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</si>
  <si>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</si>
  <si>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</si>
  <si>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</si>
  <si>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</si>
  <si>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</si>
  <si>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</si>
  <si>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</si>
  <si>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</si>
  <si>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</si>
  <si>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</si>
  <si>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</si>
  <si>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</si>
  <si>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</si>
  <si>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</si>
  <si>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</si>
  <si>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</si>
  <si>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</si>
  <si>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</si>
  <si>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</si>
  <si>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</si>
  <si>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</si>
  <si>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</si>
  <si>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1339.HK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</si>
  <si>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</si>
  <si>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</si>
  <si>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</si>
  <si>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</si>
  <si>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</si>
  <si>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</si>
  <si>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</si>
  <si>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</si>
  <si>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</si>
  <si>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</si>
  <si>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</si>
  <si>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</si>
  <si>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</si>
  <si>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</si>
  <si>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</si>
  <si>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</si>
  <si>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</si>
  <si>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</si>
  <si>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</si>
  <si>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</si>
  <si>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</si>
  <si>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</si>
  <si>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</si>
  <si>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</si>
  <si>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</si>
  <si>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</si>
  <si>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</si>
  <si>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</si>
  <si>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</si>
  <si>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</si>
  <si>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1339.HK owner-FCF component DCF: base case (millions, CNY)</t>
  </si>
  <si>
    <t xml:space="preserve">1339.HK owner-FCF component DCF: bull case (millions, CNY)</t>
  </si>
  <si>
    <t xml:space="preserve">1339.HK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</si>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</sst>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5.06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row>
    <row r="2" customFormat="false" ht="15" hidden="false" customHeight="false" outlineLevel="0" collapsed="false">
      <c r="A2" s="0" t="s">
        <v>69</v>
      </c>
      <c r="B2" s="0" t="n">
        <v>498597</v>
      </c>
      <c r="I2" s="0" t="n">
        <v>12912</v>
      </c>
      <c r="J2" s="0" t="n">
        <v>2.6</v>
      </c>
      <c r="K2" s="0" t="n">
        <v>0.3</v>
      </c>
      <c r="L2" s="0" t="n">
        <v>-16803</v>
      </c>
      <c r="M2" s="0" t="n">
        <v>5116</v>
      </c>
      <c r="N2" s="0" t="n">
        <v>-21919</v>
      </c>
      <c r="O2" s="0" t="n">
        <v>153053</v>
      </c>
      <c r="P2" s="0" t="n">
        <v>1031635</v>
      </c>
      <c r="Q2" s="0" t="n">
        <v>825334</v>
      </c>
      <c r="R2" s="0" t="n">
        <v>57732</v>
      </c>
      <c r="S2" s="0" t="n">
        <v>61601</v>
      </c>
      <c r="T2" s="0" t="n">
        <v>44224</v>
      </c>
      <c r="U2" s="0" t="n">
        <v>0</v>
      </c>
      <c r="AA2" s="0" t="s">
        <v>18</v>
      </c>
      <c r="AB2" s="0" t="s">
        <v>14</v>
      </c>
      <c r="AD2" s="0" t="n">
        <v>498608</v>
      </c>
      <c r="AE2" s="0" t="n">
        <v>18715</v>
      </c>
      <c r="AF2" s="0" t="n">
        <v>54889</v>
      </c>
      <c r="AG2" s="0" t="n">
        <v>206301</v>
      </c>
    </row>
    <row r="3" customFormat="false" ht="15" hidden="false" customHeight="false" outlineLevel="0" collapsed="false">
      <c r="A3" s="0" t="s">
        <v>70</v>
      </c>
      <c r="B3" s="0" t="n">
        <v>551212</v>
      </c>
      <c r="I3" s="0" t="n">
        <v>22135</v>
      </c>
      <c r="J3" s="0" t="n">
        <v>4</v>
      </c>
      <c r="K3" s="0" t="n">
        <v>0.5</v>
      </c>
      <c r="L3" s="0" t="n">
        <v>36808</v>
      </c>
      <c r="M3" s="0" t="n">
        <v>5254</v>
      </c>
      <c r="N3" s="0" t="n">
        <v>31554</v>
      </c>
      <c r="O3" s="0" t="n">
        <v>183452</v>
      </c>
      <c r="P3" s="0" t="n">
        <v>1133229</v>
      </c>
      <c r="Q3" s="0" t="n">
        <v>885929</v>
      </c>
      <c r="R3" s="0" t="n">
        <v>48780</v>
      </c>
      <c r="S3" s="0" t="n">
        <v>76984</v>
      </c>
      <c r="T3" s="0" t="n">
        <v>44224</v>
      </c>
      <c r="U3" s="0" t="n">
        <v>0</v>
      </c>
      <c r="AA3" s="0" t="s">
        <v>18</v>
      </c>
      <c r="AB3" s="0" t="s">
        <v>14</v>
      </c>
      <c r="AD3" s="0" t="n">
        <v>555251</v>
      </c>
      <c r="AE3" s="0" t="n">
        <v>31281</v>
      </c>
      <c r="AF3" s="0" t="n">
        <v>58263</v>
      </c>
      <c r="AG3" s="0" t="n">
        <v>247300</v>
      </c>
    </row>
    <row r="4" customFormat="false" ht="15" hidden="false" customHeight="false" outlineLevel="0" collapsed="false">
      <c r="A4" s="0" t="s">
        <v>71</v>
      </c>
      <c r="B4" s="0" t="n">
        <v>581605</v>
      </c>
      <c r="I4" s="0" t="n">
        <v>20036</v>
      </c>
      <c r="J4" s="0" t="n">
        <v>3.4</v>
      </c>
      <c r="K4" s="0" t="n">
        <v>0.45</v>
      </c>
      <c r="L4" s="0" t="n">
        <v>31867</v>
      </c>
      <c r="M4" s="0" t="n">
        <v>11616</v>
      </c>
      <c r="N4" s="0" t="n">
        <v>20251</v>
      </c>
      <c r="O4" s="0" t="n">
        <v>202480</v>
      </c>
      <c r="P4" s="0" t="n">
        <v>1256064</v>
      </c>
      <c r="Q4" s="0" t="n">
        <v>982508</v>
      </c>
      <c r="R4" s="0" t="n">
        <v>56960</v>
      </c>
      <c r="S4" s="0" t="n">
        <v>78209</v>
      </c>
      <c r="T4" s="0" t="n">
        <v>44224</v>
      </c>
      <c r="U4" s="0" t="n">
        <v>0</v>
      </c>
      <c r="AA4" s="0" t="s">
        <v>18</v>
      </c>
      <c r="AB4" s="0" t="s">
        <v>14</v>
      </c>
      <c r="AD4" s="0" t="n">
        <v>563608</v>
      </c>
      <c r="AE4" s="0" t="n">
        <v>28233</v>
      </c>
      <c r="AF4" s="0" t="n">
        <v>85826</v>
      </c>
      <c r="AG4" s="0" t="n">
        <v>273556</v>
      </c>
    </row>
    <row r="5" customFormat="false" ht="15" hidden="false" customHeight="false" outlineLevel="0" collapsed="false">
      <c r="A5" s="0" t="s">
        <v>72</v>
      </c>
      <c r="B5" s="0" t="n">
        <v>594606</v>
      </c>
      <c r="I5" s="0" t="n">
        <v>21476</v>
      </c>
      <c r="J5" s="0" t="n">
        <v>3.6</v>
      </c>
      <c r="K5" s="0" t="n">
        <v>0.49</v>
      </c>
      <c r="L5" s="0" t="n">
        <v>72731</v>
      </c>
      <c r="M5" s="0" t="n">
        <v>3655</v>
      </c>
      <c r="N5" s="0" t="n">
        <v>69076</v>
      </c>
      <c r="O5" s="0" t="n">
        <v>219256</v>
      </c>
      <c r="P5" s="0" t="n">
        <v>1376857</v>
      </c>
      <c r="Q5" s="0" t="n">
        <v>1079964</v>
      </c>
      <c r="R5" s="0" t="n">
        <v>43804</v>
      </c>
      <c r="S5" s="0" t="n">
        <v>33276</v>
      </c>
      <c r="T5" s="0" t="n">
        <v>44224</v>
      </c>
      <c r="U5" s="0" t="n">
        <v>0</v>
      </c>
      <c r="AA5" s="0" t="s">
        <v>18</v>
      </c>
      <c r="AB5" s="0" t="s">
        <v>14</v>
      </c>
      <c r="AC5" s="0" t="n">
        <v>0.49</v>
      </c>
      <c r="AE5" s="0" t="n">
        <v>30370</v>
      </c>
      <c r="AF5" s="0" t="n">
        <v>77598</v>
      </c>
      <c r="AG5" s="0" t="n">
        <v>296893</v>
      </c>
    </row>
    <row r="6" customFormat="false" ht="15" hidden="false" customHeight="false" outlineLevel="0" collapsed="false">
      <c r="A6" s="0" t="s">
        <v>73</v>
      </c>
      <c r="B6" s="0" t="n">
        <v>615732</v>
      </c>
      <c r="I6" s="0" t="n">
        <v>24477</v>
      </c>
      <c r="J6" s="0" t="n">
        <v>4</v>
      </c>
      <c r="K6" s="0" t="n">
        <v>0.55</v>
      </c>
      <c r="L6" s="0" t="n">
        <v>71651</v>
      </c>
      <c r="M6" s="0" t="n">
        <v>6576</v>
      </c>
      <c r="N6" s="0" t="n">
        <v>65075</v>
      </c>
      <c r="O6" s="0" t="n">
        <v>221771</v>
      </c>
      <c r="P6" s="0" t="n">
        <v>1509143</v>
      </c>
      <c r="Q6" s="0" t="n">
        <v>1208190</v>
      </c>
      <c r="R6" s="0" t="n">
        <v>43356</v>
      </c>
      <c r="S6" s="0" t="n">
        <v>40599</v>
      </c>
      <c r="T6" s="0" t="n">
        <v>44224</v>
      </c>
      <c r="U6" s="0" t="n">
        <v>0</v>
      </c>
      <c r="AA6" s="0" t="s">
        <v>18</v>
      </c>
      <c r="AB6" s="0" t="s">
        <v>14</v>
      </c>
      <c r="AC6" s="0" t="n">
        <v>0.53</v>
      </c>
      <c r="AE6" s="0" t="n">
        <v>34428</v>
      </c>
      <c r="AF6" s="0" t="n">
        <v>100890</v>
      </c>
      <c r="AG6" s="0" t="n">
        <v>300953</v>
      </c>
    </row>
    <row r="7" customFormat="false" ht="15" hidden="false" customHeight="false" outlineLevel="0" collapsed="false">
      <c r="A7" s="0" t="s">
        <v>74</v>
      </c>
      <c r="B7" s="0" t="n">
        <v>553467</v>
      </c>
      <c r="I7" s="0" t="n">
        <v>22322</v>
      </c>
      <c r="J7" s="0" t="n">
        <v>4</v>
      </c>
      <c r="K7" s="0" t="n">
        <v>0.5</v>
      </c>
      <c r="L7" s="0" t="n">
        <v>70549</v>
      </c>
      <c r="M7" s="0" t="n">
        <v>3573</v>
      </c>
      <c r="N7" s="0" t="n">
        <v>66976</v>
      </c>
      <c r="O7" s="0" t="n">
        <v>243206</v>
      </c>
      <c r="P7" s="0" t="n">
        <v>1556682</v>
      </c>
      <c r="Q7" s="0" t="n">
        <v>1223779</v>
      </c>
      <c r="R7" s="0" t="n">
        <v>37992</v>
      </c>
      <c r="S7" s="0" t="n">
        <v>28835</v>
      </c>
      <c r="T7" s="0" t="n">
        <v>44224</v>
      </c>
      <c r="U7" s="0" t="n">
        <v>0</v>
      </c>
      <c r="AA7" s="0" t="s">
        <v>18</v>
      </c>
      <c r="AB7" s="0" t="s">
        <v>14</v>
      </c>
      <c r="AC7" s="0" t="n">
        <v>0.48</v>
      </c>
      <c r="AE7" s="0" t="n">
        <v>30811</v>
      </c>
      <c r="AF7" s="0" t="n">
        <v>108969</v>
      </c>
      <c r="AG7" s="0" t="n">
        <v>332903</v>
      </c>
    </row>
    <row r="8" customFormat="false" ht="15" hidden="false" customHeight="false" outlineLevel="0" collapsed="false">
      <c r="A8" s="0" t="s">
        <v>75</v>
      </c>
      <c r="B8" s="0" t="n">
        <v>622220</v>
      </c>
      <c r="I8" s="0" t="n">
        <v>42151</v>
      </c>
      <c r="J8" s="0" t="n">
        <v>6.8</v>
      </c>
      <c r="K8" s="0" t="n">
        <v>0.95</v>
      </c>
      <c r="L8" s="0" t="n">
        <v>87990</v>
      </c>
      <c r="M8" s="0" t="n">
        <v>4397</v>
      </c>
      <c r="N8" s="0" t="n">
        <v>83593</v>
      </c>
      <c r="O8" s="0" t="n">
        <v>268866</v>
      </c>
      <c r="P8" s="0" t="n">
        <v>1766321</v>
      </c>
      <c r="Q8" s="0" t="n">
        <v>1398900</v>
      </c>
      <c r="R8" s="0" t="n">
        <v>50132</v>
      </c>
      <c r="S8" s="0" t="n">
        <v>44132</v>
      </c>
      <c r="T8" s="0" t="n">
        <v>44224</v>
      </c>
      <c r="U8" s="0" t="n">
        <v>0</v>
      </c>
      <c r="AA8" s="0" t="s">
        <v>18</v>
      </c>
      <c r="AB8" s="0" t="s">
        <v>14</v>
      </c>
      <c r="AC8" s="0" t="n">
        <v>0.91</v>
      </c>
      <c r="AE8" s="0" t="n">
        <v>56781</v>
      </c>
      <c r="AF8" s="0" t="n">
        <v>111236</v>
      </c>
      <c r="AG8" s="0" t="n">
        <v>367421</v>
      </c>
    </row>
    <row r="9" customFormat="false" ht="15" hidden="false" customHeight="false" outlineLevel="0" collapsed="false">
      <c r="A9" s="0" t="s">
        <v>76</v>
      </c>
      <c r="B9" s="0" t="n">
        <v>669254</v>
      </c>
      <c r="I9" s="0" t="n">
        <v>46207</v>
      </c>
      <c r="J9" s="0" t="n">
        <v>6.9</v>
      </c>
      <c r="K9" s="0" t="n">
        <v>1.04</v>
      </c>
      <c r="L9" s="0" t="n">
        <v>118689</v>
      </c>
      <c r="M9" s="0" t="n">
        <v>4784</v>
      </c>
      <c r="N9" s="0" t="n">
        <v>113905</v>
      </c>
      <c r="O9" s="0" t="n">
        <v>309183</v>
      </c>
      <c r="P9" s="0" t="n">
        <v>2027592</v>
      </c>
      <c r="Q9" s="0" t="n">
        <v>1607126</v>
      </c>
      <c r="R9" s="0" t="n">
        <v>41806</v>
      </c>
      <c r="S9" s="0" t="n">
        <v>59874</v>
      </c>
      <c r="T9" s="0" t="n">
        <v>44224</v>
      </c>
      <c r="U9" s="0" t="n">
        <v>0</v>
      </c>
      <c r="AA9" s="0" t="s">
        <v>18</v>
      </c>
      <c r="AB9" s="0" t="s">
        <v>14</v>
      </c>
      <c r="AC9" s="0" t="n">
        <v>1</v>
      </c>
      <c r="AE9" s="0" t="n">
        <v>62451</v>
      </c>
      <c r="AF9" s="0" t="n">
        <v>180763</v>
      </c>
      <c r="AG9" s="0" t="n">
        <v>420466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77</v>
      </c>
      <c r="B1" s="2" t="s">
        <v>78</v>
      </c>
    </row>
    <row r="2" customFormat="false" ht="15" hidden="false" customHeight="false" outlineLevel="0" collapsed="false">
      <c r="A2" s="0" t="s">
        <v>79</v>
      </c>
      <c r="B2" s="3" t="n">
        <v>5.06</v>
      </c>
    </row>
    <row r="3" customFormat="false" ht="15" hidden="false" customHeight="false" outlineLevel="0" collapsed="false">
      <c r="A3" s="0" t="s">
        <v>80</v>
      </c>
      <c r="B3" s="3" t="n">
        <v>44223.99</v>
      </c>
    </row>
    <row r="4" customFormat="false" ht="15" hidden="false" customHeight="false" outlineLevel="0" collapsed="false">
      <c r="A4" s="0" t="s">
        <v>81</v>
      </c>
      <c r="B4" s="3" t="n">
        <v>0</v>
      </c>
    </row>
    <row r="5" customFormat="false" ht="15" hidden="false" customHeight="false" outlineLevel="0" collapsed="false">
      <c r="A5" s="0" t="s">
        <v>82</v>
      </c>
      <c r="B5" s="3" t="n">
        <v>0</v>
      </c>
    </row>
    <row r="6" customFormat="false" ht="15" hidden="false" customHeight="false" outlineLevel="0" collapsed="false">
      <c r="A6" s="0" t="s">
        <v>83</v>
      </c>
      <c r="B6" s="3" t="n">
        <v>15</v>
      </c>
    </row>
    <row r="7" customFormat="false" ht="15" hidden="false" customHeight="false" outlineLevel="0" collapsed="false">
      <c r="A7" s="0" t="s">
        <v>84</v>
      </c>
      <c r="B7" s="3" t="n">
        <v>669254</v>
      </c>
    </row>
    <row r="8" customFormat="false" ht="15" hidden="false" customHeight="false" outlineLevel="0" collapsed="false">
      <c r="A8" s="0" t="s">
        <v>85</v>
      </c>
      <c r="B8" s="3" t="s">
        <v>76</v>
      </c>
    </row>
    <row r="9" customFormat="false" ht="15" hidden="false" customHeight="false" outlineLevel="0" collapsed="false">
      <c r="A9" s="0" t="s">
        <v>86</v>
      </c>
      <c r="B9" s="3" t="s">
        <v>87</v>
      </c>
    </row>
    <row r="10" customFormat="false" ht="15" hidden="false" customHeight="false" outlineLevel="0" collapsed="false">
      <c r="A10" s="0" t="s">
        <v>88</v>
      </c>
      <c r="B10" s="3" t="n">
        <v>1.1738</v>
      </c>
    </row>
    <row r="12" customFormat="false" ht="15" hidden="false" customHeight="false" outlineLevel="0" collapsed="false">
      <c r="A12" s="2" t="s">
        <v>89</v>
      </c>
      <c r="C12" s="2" t="s">
        <v>90</v>
      </c>
      <c r="D12" s="2" t="s">
        <v>91</v>
      </c>
      <c r="E12" s="2" t="s">
        <v>92</v>
      </c>
      <c r="F12" s="2" t="s">
        <v>93</v>
      </c>
      <c r="G12" s="2" t="s">
        <v>94</v>
      </c>
      <c r="H12" s="2" t="s">
        <v>95</v>
      </c>
      <c r="I12" s="2" t="s">
        <v>96</v>
      </c>
      <c r="J12" s="2" t="s">
        <v>97</v>
      </c>
      <c r="K12" s="2" t="s">
        <v>98</v>
      </c>
      <c r="L12" s="2" t="s">
        <v>99</v>
      </c>
    </row>
    <row r="13" customFormat="false" ht="15" hidden="false" customHeight="false" outlineLevel="0" collapsed="false">
      <c r="A13" s="0" t="s">
        <v>100</v>
      </c>
      <c r="C13" s="3" t="n">
        <v>-1</v>
      </c>
      <c r="D13" s="3" t="n">
        <v>-1</v>
      </c>
      <c r="E13" s="3" t="n">
        <v>2</v>
      </c>
      <c r="F13" s="3" t="n">
        <v>2.5</v>
      </c>
      <c r="G13" s="3" t="n">
        <v>3</v>
      </c>
      <c r="H13" s="3" t="n">
        <v>3</v>
      </c>
      <c r="I13" s="3" t="n">
        <v>3</v>
      </c>
      <c r="J13" s="3" t="n">
        <v>2.5</v>
      </c>
      <c r="K13" s="3" t="n">
        <v>2.5</v>
      </c>
      <c r="L13" s="3" t="n">
        <v>2.5</v>
      </c>
    </row>
    <row r="14" customFormat="false" ht="15" hidden="false" customHeight="false" outlineLevel="0" collapsed="false">
      <c r="A14" s="0" t="s">
        <v>101</v>
      </c>
      <c r="C14" s="3" t="n">
        <v>7</v>
      </c>
      <c r="D14" s="3" t="n">
        <v>5</v>
      </c>
      <c r="E14" s="3" t="n">
        <v>5.2</v>
      </c>
      <c r="F14" s="3" t="n">
        <v>5.5</v>
      </c>
      <c r="G14" s="3" t="n">
        <v>5.5</v>
      </c>
      <c r="H14" s="3" t="n">
        <v>5.5</v>
      </c>
      <c r="I14" s="3" t="n">
        <v>5.5</v>
      </c>
      <c r="J14" s="3" t="n">
        <v>5.5</v>
      </c>
      <c r="K14" s="3" t="n">
        <v>5.5</v>
      </c>
      <c r="L14" s="3" t="n">
        <v>5.5</v>
      </c>
    </row>
    <row r="15" customFormat="false" ht="15" hidden="false" customHeight="false" outlineLevel="0" collapsed="false">
      <c r="A15" s="0" t="s">
        <v>102</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103</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104</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105</v>
      </c>
      <c r="C18" s="3" t="n">
        <v>4.53</v>
      </c>
      <c r="D18" s="3" t="n">
        <v>3.24</v>
      </c>
      <c r="E18" s="3" t="n">
        <v>3.28</v>
      </c>
      <c r="F18" s="3" t="n">
        <v>3.42</v>
      </c>
      <c r="G18" s="3" t="n">
        <v>3.38</v>
      </c>
      <c r="H18" s="3" t="n">
        <v>3.33</v>
      </c>
      <c r="I18" s="3" t="n">
        <v>3.29</v>
      </c>
      <c r="J18" s="3" t="n">
        <v>3.29</v>
      </c>
      <c r="K18" s="3" t="n">
        <v>3.2</v>
      </c>
      <c r="L18" s="3" t="n">
        <v>3.2</v>
      </c>
    </row>
    <row r="19" customFormat="false" ht="15" hidden="false" customHeight="false" outlineLevel="0" collapsed="false">
      <c r="A19" s="0" t="s">
        <v>106</v>
      </c>
      <c r="C19" s="3" t="n">
        <v>17</v>
      </c>
      <c r="D19" s="3" t="n">
        <v>17</v>
      </c>
      <c r="E19" s="3" t="n">
        <v>17</v>
      </c>
      <c r="F19" s="3" t="n">
        <v>17</v>
      </c>
      <c r="G19" s="3" t="n">
        <v>17</v>
      </c>
      <c r="H19" s="3" t="n">
        <v>17</v>
      </c>
      <c r="I19" s="3" t="n">
        <v>17</v>
      </c>
      <c r="J19" s="3" t="n">
        <v>17</v>
      </c>
      <c r="K19" s="3" t="n">
        <v>17</v>
      </c>
      <c r="L19" s="3" t="n">
        <v>17</v>
      </c>
    </row>
    <row r="20" customFormat="false" ht="15" hidden="false" customHeight="false" outlineLevel="0" collapsed="false">
      <c r="A20" s="0" t="s">
        <v>107</v>
      </c>
      <c r="B20" s="3" t="n">
        <v>10</v>
      </c>
    </row>
    <row r="21" customFormat="false" ht="15" hidden="false" customHeight="false" outlineLevel="0" collapsed="false">
      <c r="A21" s="0" t="s">
        <v>108</v>
      </c>
      <c r="B21" s="3" t="n">
        <v>2.5</v>
      </c>
    </row>
    <row r="22" customFormat="false" ht="15" hidden="false" customHeight="false" outlineLevel="0" collapsed="false">
      <c r="A22" s="0" t="s">
        <v>109</v>
      </c>
      <c r="B22" s="3" t="n">
        <v>10</v>
      </c>
    </row>
    <row r="23" customFormat="false" ht="15" hidden="false" customHeight="false" outlineLevel="0" collapsed="false">
      <c r="A23" s="0" t="s">
        <v>110</v>
      </c>
      <c r="B23" s="3" t="n">
        <v>0</v>
      </c>
    </row>
    <row r="24" customFormat="false" ht="15" hidden="false" customHeight="false" outlineLevel="0" collapsed="false">
      <c r="A24" s="0" t="s">
        <v>111</v>
      </c>
      <c r="B24" s="3" t="n">
        <v>0.25</v>
      </c>
    </row>
    <row r="26" customFormat="false" ht="15" hidden="false" customHeight="false" outlineLevel="0" collapsed="false">
      <c r="A26" s="2" t="s">
        <v>112</v>
      </c>
      <c r="C26" s="2" t="s">
        <v>90</v>
      </c>
      <c r="D26" s="2" t="s">
        <v>91</v>
      </c>
      <c r="E26" s="2" t="s">
        <v>92</v>
      </c>
      <c r="F26" s="2" t="s">
        <v>93</v>
      </c>
      <c r="G26" s="2" t="s">
        <v>94</v>
      </c>
      <c r="H26" s="2" t="s">
        <v>95</v>
      </c>
      <c r="I26" s="2" t="s">
        <v>96</v>
      </c>
      <c r="J26" s="2" t="s">
        <v>97</v>
      </c>
      <c r="K26" s="2" t="s">
        <v>98</v>
      </c>
      <c r="L26" s="2" t="s">
        <v>99</v>
      </c>
    </row>
    <row r="27" customFormat="false" ht="15" hidden="false" customHeight="false" outlineLevel="0" collapsed="false">
      <c r="A27" s="0" t="s">
        <v>100</v>
      </c>
      <c r="C27" s="3" t="n">
        <v>3</v>
      </c>
      <c r="D27" s="3" t="n">
        <v>2</v>
      </c>
      <c r="E27" s="3" t="n">
        <v>4.5</v>
      </c>
      <c r="F27" s="3" t="n">
        <v>4.5</v>
      </c>
      <c r="G27" s="3" t="n">
        <v>4.5</v>
      </c>
      <c r="H27" s="3" t="n">
        <v>4.5</v>
      </c>
      <c r="I27" s="3" t="n">
        <v>4</v>
      </c>
      <c r="J27" s="3" t="n">
        <v>3.5</v>
      </c>
      <c r="K27" s="3" t="n">
        <v>3.5</v>
      </c>
      <c r="L27" s="3" t="n">
        <v>3</v>
      </c>
    </row>
    <row r="28" customFormat="false" ht="15" hidden="false" customHeight="false" outlineLevel="0" collapsed="false">
      <c r="A28" s="0" t="s">
        <v>101</v>
      </c>
      <c r="C28" s="3" t="n">
        <v>8.7</v>
      </c>
      <c r="D28" s="3" t="n">
        <v>7.5</v>
      </c>
      <c r="E28" s="3" t="n">
        <v>7.6</v>
      </c>
      <c r="F28" s="3" t="n">
        <v>7.7</v>
      </c>
      <c r="G28" s="3" t="n">
        <v>7.8</v>
      </c>
      <c r="H28" s="3" t="n">
        <v>7.8</v>
      </c>
      <c r="I28" s="3" t="n">
        <v>7.8</v>
      </c>
      <c r="J28" s="3" t="n">
        <v>7.8</v>
      </c>
      <c r="K28" s="3" t="n">
        <v>7.8</v>
      </c>
      <c r="L28" s="3" t="n">
        <v>7.8</v>
      </c>
    </row>
    <row r="29" customFormat="false" ht="15" hidden="false" customHeight="false" outlineLevel="0" collapsed="false">
      <c r="A29" s="0" t="s">
        <v>102</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103</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104</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105</v>
      </c>
      <c r="C32" s="3" t="n">
        <v>5.52</v>
      </c>
      <c r="D32" s="3" t="n">
        <v>4.57</v>
      </c>
      <c r="E32" s="3" t="n">
        <v>4.44</v>
      </c>
      <c r="F32" s="3" t="n">
        <v>4.37</v>
      </c>
      <c r="G32" s="3" t="n">
        <v>4.3</v>
      </c>
      <c r="H32" s="3" t="n">
        <v>4.17</v>
      </c>
      <c r="I32" s="3" t="n">
        <v>4.04</v>
      </c>
      <c r="J32" s="3" t="n">
        <v>3.91</v>
      </c>
      <c r="K32" s="3" t="n">
        <v>3.91</v>
      </c>
      <c r="L32" s="3" t="n">
        <v>3.91</v>
      </c>
    </row>
    <row r="33" customFormat="false" ht="15" hidden="false" customHeight="false" outlineLevel="0" collapsed="false">
      <c r="A33" s="0" t="s">
        <v>106</v>
      </c>
      <c r="C33" s="3" t="n">
        <v>16.5</v>
      </c>
      <c r="D33" s="3" t="n">
        <v>16.5</v>
      </c>
      <c r="E33" s="3" t="n">
        <v>16.5</v>
      </c>
      <c r="F33" s="3" t="n">
        <v>16.5</v>
      </c>
      <c r="G33" s="3" t="n">
        <v>16.5</v>
      </c>
      <c r="H33" s="3" t="n">
        <v>16.5</v>
      </c>
      <c r="I33" s="3" t="n">
        <v>16.5</v>
      </c>
      <c r="J33" s="3" t="n">
        <v>16.5</v>
      </c>
      <c r="K33" s="3" t="n">
        <v>16.5</v>
      </c>
      <c r="L33" s="3" t="n">
        <v>16.5</v>
      </c>
    </row>
    <row r="34" customFormat="false" ht="15" hidden="false" customHeight="false" outlineLevel="0" collapsed="false">
      <c r="A34" s="0" t="s">
        <v>107</v>
      </c>
      <c r="B34" s="3" t="n">
        <v>10</v>
      </c>
    </row>
    <row r="35" customFormat="false" ht="15" hidden="false" customHeight="false" outlineLevel="0" collapsed="false">
      <c r="A35" s="0" t="s">
        <v>108</v>
      </c>
      <c r="B35" s="3" t="n">
        <v>3</v>
      </c>
    </row>
    <row r="36" customFormat="false" ht="15" hidden="false" customHeight="false" outlineLevel="0" collapsed="false">
      <c r="A36" s="0" t="s">
        <v>109</v>
      </c>
      <c r="B36" s="3" t="n">
        <v>14</v>
      </c>
    </row>
    <row r="37" customFormat="false" ht="15" hidden="false" customHeight="false" outlineLevel="0" collapsed="false">
      <c r="A37" s="0" t="s">
        <v>110</v>
      </c>
      <c r="B37" s="3" t="n">
        <v>0</v>
      </c>
    </row>
    <row r="38" customFormat="false" ht="15" hidden="false" customHeight="false" outlineLevel="0" collapsed="false">
      <c r="A38" s="0" t="s">
        <v>111</v>
      </c>
      <c r="B38" s="3" t="n">
        <v>0.5</v>
      </c>
    </row>
    <row r="40" customFormat="false" ht="15" hidden="false" customHeight="false" outlineLevel="0" collapsed="false">
      <c r="A40" s="2" t="s">
        <v>113</v>
      </c>
      <c r="C40" s="2" t="s">
        <v>90</v>
      </c>
      <c r="D40" s="2" t="s">
        <v>91</v>
      </c>
      <c r="E40" s="2" t="s">
        <v>92</v>
      </c>
      <c r="F40" s="2" t="s">
        <v>93</v>
      </c>
      <c r="G40" s="2" t="s">
        <v>94</v>
      </c>
      <c r="H40" s="2" t="s">
        <v>95</v>
      </c>
      <c r="I40" s="2" t="s">
        <v>96</v>
      </c>
      <c r="J40" s="2" t="s">
        <v>97</v>
      </c>
      <c r="K40" s="2" t="s">
        <v>98</v>
      </c>
      <c r="L40" s="2" t="s">
        <v>99</v>
      </c>
    </row>
    <row r="41" customFormat="false" ht="15" hidden="false" customHeight="false" outlineLevel="0" collapsed="false">
      <c r="A41" s="0" t="s">
        <v>100</v>
      </c>
      <c r="C41" s="3" t="n">
        <v>6</v>
      </c>
      <c r="D41" s="3" t="n">
        <v>4.5</v>
      </c>
      <c r="E41" s="3" t="n">
        <v>5.5</v>
      </c>
      <c r="F41" s="3" t="n">
        <v>5.5</v>
      </c>
      <c r="G41" s="3" t="n">
        <v>5.5</v>
      </c>
      <c r="H41" s="3" t="n">
        <v>5</v>
      </c>
      <c r="I41" s="3" t="n">
        <v>4.5</v>
      </c>
      <c r="J41" s="3" t="n">
        <v>4</v>
      </c>
      <c r="K41" s="3" t="n">
        <v>3.5</v>
      </c>
      <c r="L41" s="3" t="n">
        <v>3.5</v>
      </c>
    </row>
    <row r="42" customFormat="false" ht="15" hidden="false" customHeight="false" outlineLevel="0" collapsed="false">
      <c r="A42" s="0" t="s">
        <v>101</v>
      </c>
      <c r="C42" s="3" t="n">
        <v>9.6</v>
      </c>
      <c r="D42" s="3" t="n">
        <v>8.6</v>
      </c>
      <c r="E42" s="3" t="n">
        <v>8.6</v>
      </c>
      <c r="F42" s="3" t="n">
        <v>8.7</v>
      </c>
      <c r="G42" s="3" t="n">
        <v>8.8</v>
      </c>
      <c r="H42" s="3" t="n">
        <v>8.8</v>
      </c>
      <c r="I42" s="3" t="n">
        <v>8.8</v>
      </c>
      <c r="J42" s="3" t="n">
        <v>8.8</v>
      </c>
      <c r="K42" s="3" t="n">
        <v>8.8</v>
      </c>
      <c r="L42" s="3" t="n">
        <v>8.8</v>
      </c>
    </row>
    <row r="43" customFormat="false" ht="15" hidden="false" customHeight="false" outlineLevel="0" collapsed="false">
      <c r="A43" s="0" t="s">
        <v>102</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103</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104</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105</v>
      </c>
      <c r="C46" s="3" t="n">
        <v>6.01</v>
      </c>
      <c r="D46" s="3" t="n">
        <v>5.1</v>
      </c>
      <c r="E46" s="3" t="n">
        <v>4.81</v>
      </c>
      <c r="F46" s="3" t="n">
        <v>4.58</v>
      </c>
      <c r="G46" s="3" t="n">
        <v>4.41</v>
      </c>
      <c r="H46" s="3" t="n">
        <v>4.19</v>
      </c>
      <c r="I46" s="3" t="n">
        <v>3.97</v>
      </c>
      <c r="J46" s="3" t="n">
        <v>3.82</v>
      </c>
      <c r="K46" s="3" t="n">
        <v>3.67</v>
      </c>
      <c r="L46" s="3" t="n">
        <v>3.67</v>
      </c>
    </row>
    <row r="47" customFormat="false" ht="15" hidden="false" customHeight="false" outlineLevel="0" collapsed="false">
      <c r="A47" s="0" t="s">
        <v>106</v>
      </c>
      <c r="C47" s="3" t="n">
        <v>16.5</v>
      </c>
      <c r="D47" s="3" t="n">
        <v>16.5</v>
      </c>
      <c r="E47" s="3" t="n">
        <v>16.5</v>
      </c>
      <c r="F47" s="3" t="n">
        <v>16.5</v>
      </c>
      <c r="G47" s="3" t="n">
        <v>16.5</v>
      </c>
      <c r="H47" s="3" t="n">
        <v>16.5</v>
      </c>
      <c r="I47" s="3" t="n">
        <v>16.5</v>
      </c>
      <c r="J47" s="3" t="n">
        <v>16.5</v>
      </c>
      <c r="K47" s="3" t="n">
        <v>16.5</v>
      </c>
      <c r="L47" s="3" t="n">
        <v>16.5</v>
      </c>
    </row>
    <row r="48" customFormat="false" ht="15" hidden="false" customHeight="false" outlineLevel="0" collapsed="false">
      <c r="A48" s="0" t="s">
        <v>107</v>
      </c>
      <c r="B48" s="3" t="n">
        <v>10</v>
      </c>
    </row>
    <row r="49" customFormat="false" ht="15" hidden="false" customHeight="false" outlineLevel="0" collapsed="false">
      <c r="A49" s="0" t="s">
        <v>108</v>
      </c>
      <c r="B49" s="3" t="n">
        <v>3.5</v>
      </c>
    </row>
    <row r="50" customFormat="false" ht="15" hidden="false" customHeight="false" outlineLevel="0" collapsed="false">
      <c r="A50" s="0" t="s">
        <v>109</v>
      </c>
      <c r="B50" s="3" t="n">
        <v>16</v>
      </c>
    </row>
    <row r="51" customFormat="false" ht="15" hidden="false" customHeight="false" outlineLevel="0" collapsed="false">
      <c r="A51" s="0" t="s">
        <v>110</v>
      </c>
      <c r="B51" s="3" t="n">
        <v>0</v>
      </c>
    </row>
    <row r="52" customFormat="false" ht="15" hidden="false" customHeight="false" outlineLevel="0" collapsed="false">
      <c r="A52" s="0" t="s">
        <v>111</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114</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Assumptions!C13</f>
        <v>-1</v>
      </c>
      <c r="D5" s="4" t="n">
        <f aca="false">Assumptions!D13</f>
        <v>-1</v>
      </c>
      <c r="E5" s="4" t="n">
        <f aca="false">Assumptions!E13</f>
        <v>2</v>
      </c>
      <c r="F5" s="4" t="n">
        <f aca="false">Assumptions!F13</f>
        <v>2.5</v>
      </c>
      <c r="G5" s="4" t="n">
        <f aca="false">Assumptions!G13</f>
        <v>3</v>
      </c>
      <c r="H5" s="4" t="n">
        <f aca="false">Assumptions!H13</f>
        <v>3</v>
      </c>
      <c r="I5" s="4" t="n">
        <f aca="false">Assumptions!I13</f>
        <v>3</v>
      </c>
      <c r="J5" s="4" t="n">
        <f aca="false">Assumptions!J13</f>
        <v>2.5</v>
      </c>
      <c r="K5" s="4" t="n">
        <f aca="false">Assumptions!K13</f>
        <v>2.5</v>
      </c>
      <c r="L5" s="4" t="n">
        <f aca="false">Assumptions!L13</f>
        <v>2.5</v>
      </c>
    </row>
    <row r="6" customFormat="false" ht="15" hidden="false" customHeight="false" outlineLevel="0" collapsed="false">
      <c r="A6" s="0" t="s">
        <v>38</v>
      </c>
      <c r="B6" s="3" t="n">
        <v>669254</v>
      </c>
      <c r="C6" s="0" t="n">
        <f aca="false">B6*(1+C5/100)</f>
        <v>662561.46</v>
      </c>
      <c r="D6" s="0" t="n">
        <f aca="false">C6*(1+D5/100)</f>
        <v>655935.8454</v>
      </c>
      <c r="E6" s="0" t="n">
        <f aca="false">D6*(1+E5/100)</f>
        <v>669054.562308</v>
      </c>
      <c r="F6" s="0" t="n">
        <f aca="false">E6*(1+F5/100)</f>
        <v>685780.9263657</v>
      </c>
      <c r="G6" s="0" t="n">
        <f aca="false">F6*(1+G5/100)</f>
        <v>706354.354156671</v>
      </c>
      <c r="H6" s="0" t="n">
        <f aca="false">G6*(1+H5/100)</f>
        <v>727544.984781371</v>
      </c>
      <c r="I6" s="0" t="n">
        <f aca="false">H6*(1+I5/100)</f>
        <v>749371.334324812</v>
      </c>
      <c r="J6" s="0" t="n">
        <f aca="false">I6*(1+J5/100)</f>
        <v>768105.617682933</v>
      </c>
      <c r="K6" s="0" t="n">
        <f aca="false">J6*(1+K5/100)</f>
        <v>787308.258125006</v>
      </c>
      <c r="L6" s="0" t="n">
        <f aca="false">K6*(1+L5/100)</f>
        <v>806990.964578131</v>
      </c>
    </row>
    <row r="7" customFormat="false" ht="15" hidden="false" customHeight="false" outlineLevel="0" collapsed="false">
      <c r="A7" s="0" t="s">
        <v>101</v>
      </c>
      <c r="C7" s="4" t="n">
        <f aca="false">Assumptions!C14</f>
        <v>7</v>
      </c>
      <c r="D7" s="4" t="n">
        <f aca="false">Assumptions!D14</f>
        <v>5</v>
      </c>
      <c r="E7" s="4" t="n">
        <f aca="false">Assumptions!E14</f>
        <v>5.2</v>
      </c>
      <c r="F7" s="4" t="n">
        <f aca="false">Assumptions!F14</f>
        <v>5.5</v>
      </c>
      <c r="G7" s="4" t="n">
        <f aca="false">Assumptions!G14</f>
        <v>5.5</v>
      </c>
      <c r="H7" s="4" t="n">
        <f aca="false">Assumptions!H14</f>
        <v>5.5</v>
      </c>
      <c r="I7" s="4" t="n">
        <f aca="false">Assumptions!I14</f>
        <v>5.5</v>
      </c>
      <c r="J7" s="4" t="n">
        <f aca="false">Assumptions!J14</f>
        <v>5.5</v>
      </c>
      <c r="K7" s="4" t="n">
        <f aca="false">Assumptions!K14</f>
        <v>5.5</v>
      </c>
      <c r="L7" s="4" t="n">
        <f aca="false">Assumptions!L14</f>
        <v>5.5</v>
      </c>
    </row>
    <row r="8" customFormat="false" ht="15" hidden="false" customHeight="false" outlineLevel="0" collapsed="false">
      <c r="A8" s="0" t="s">
        <v>44</v>
      </c>
      <c r="C8" s="0" t="n">
        <f aca="false">C6*C7/100</f>
        <v>46379.3022</v>
      </c>
      <c r="D8" s="0" t="n">
        <f aca="false">D6*D7/100</f>
        <v>32796.79227</v>
      </c>
      <c r="E8" s="0" t="n">
        <f aca="false">E6*E7/100</f>
        <v>34790.837240016</v>
      </c>
      <c r="F8" s="0" t="n">
        <f aca="false">F6*F7/100</f>
        <v>37717.9509501135</v>
      </c>
      <c r="G8" s="0" t="n">
        <f aca="false">G6*G7/100</f>
        <v>38849.4894786169</v>
      </c>
      <c r="H8" s="0" t="n">
        <f aca="false">H6*H7/100</f>
        <v>40014.9741629754</v>
      </c>
      <c r="I8" s="0" t="n">
        <f aca="false">I6*I7/100</f>
        <v>41215.4233878647</v>
      </c>
      <c r="J8" s="0" t="n">
        <f aca="false">J6*J7/100</f>
        <v>42245.8089725613</v>
      </c>
      <c r="K8" s="0" t="n">
        <f aca="false">K6*K7/100</f>
        <v>43301.9541968753</v>
      </c>
      <c r="L8" s="0" t="n">
        <f aca="false">L6*L7/100</f>
        <v>44384.5030517972</v>
      </c>
    </row>
    <row r="9" customFormat="false" ht="15" hidden="false" customHeight="false" outlineLevel="0" collapsed="false">
      <c r="A9" s="0" t="s">
        <v>102</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117</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118</v>
      </c>
      <c r="C11" s="0" t="n">
        <f aca="false">C8+C10+C24</f>
        <v>46379.3022</v>
      </c>
      <c r="D11" s="0" t="n">
        <f aca="false">D8+D10+D24</f>
        <v>32796.79227</v>
      </c>
      <c r="E11" s="0" t="n">
        <f aca="false">E8+E10+E24</f>
        <v>34790.837240016</v>
      </c>
      <c r="F11" s="0" t="n">
        <f aca="false">F8+F10+F24</f>
        <v>37717.9509501135</v>
      </c>
      <c r="G11" s="0" t="n">
        <f aca="false">G8+G10+G24</f>
        <v>38849.4894786169</v>
      </c>
      <c r="H11" s="0" t="n">
        <f aca="false">H8+H10+H24</f>
        <v>40014.9741629754</v>
      </c>
      <c r="I11" s="0" t="n">
        <f aca="false">I8+I10+I24</f>
        <v>41215.4233878647</v>
      </c>
      <c r="J11" s="0" t="n">
        <f aca="false">J8+J10+J24</f>
        <v>42245.8089725613</v>
      </c>
      <c r="K11" s="0" t="n">
        <f aca="false">K8+K10+K24</f>
        <v>43301.9541968753</v>
      </c>
      <c r="L11" s="0" t="n">
        <f aca="false">L8+L10+L24</f>
        <v>44384.5030517972</v>
      </c>
    </row>
    <row r="12" customFormat="false" ht="15" hidden="false" customHeight="false" outlineLevel="0" collapsed="false">
      <c r="A12" s="0" t="s">
        <v>119</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120</v>
      </c>
      <c r="C13" s="0" t="n">
        <f aca="false">C11+C12</f>
        <v>46379.3022</v>
      </c>
      <c r="D13" s="0" t="n">
        <f aca="false">D11+D12</f>
        <v>32796.79227</v>
      </c>
      <c r="E13" s="0" t="n">
        <f aca="false">E11+E12</f>
        <v>34790.837240016</v>
      </c>
      <c r="F13" s="0" t="n">
        <f aca="false">F11+F12</f>
        <v>37717.9509501135</v>
      </c>
      <c r="G13" s="0" t="n">
        <f aca="false">G11+G12</f>
        <v>38849.4894786169</v>
      </c>
      <c r="H13" s="0" t="n">
        <f aca="false">H11+H12</f>
        <v>40014.9741629754</v>
      </c>
      <c r="I13" s="0" t="n">
        <f aca="false">I11+I12</f>
        <v>41215.4233878647</v>
      </c>
      <c r="J13" s="0" t="n">
        <f aca="false">J11+J12</f>
        <v>42245.8089725613</v>
      </c>
      <c r="K13" s="0" t="n">
        <f aca="false">K11+K12</f>
        <v>43301.9541968753</v>
      </c>
      <c r="L13" s="0" t="n">
        <f aca="false">L11+L12</f>
        <v>44384.5030517972</v>
      </c>
    </row>
    <row r="14" customFormat="false" ht="15" hidden="false" customHeight="false" outlineLevel="0" collapsed="false">
      <c r="A14" s="0" t="s">
        <v>106</v>
      </c>
      <c r="C14" s="4" t="n">
        <f aca="false">Assumptions!C19</f>
        <v>17</v>
      </c>
      <c r="D14" s="4" t="n">
        <f aca="false">Assumptions!D19</f>
        <v>17</v>
      </c>
      <c r="E14" s="4" t="n">
        <f aca="false">Assumptions!E19</f>
        <v>17</v>
      </c>
      <c r="F14" s="4" t="n">
        <f aca="false">Assumptions!F19</f>
        <v>17</v>
      </c>
      <c r="G14" s="4" t="n">
        <f aca="false">Assumptions!G19</f>
        <v>17</v>
      </c>
      <c r="H14" s="4" t="n">
        <f aca="false">Assumptions!H19</f>
        <v>17</v>
      </c>
      <c r="I14" s="4" t="n">
        <f aca="false">Assumptions!I19</f>
        <v>17</v>
      </c>
      <c r="J14" s="4" t="n">
        <f aca="false">Assumptions!J19</f>
        <v>17</v>
      </c>
      <c r="K14" s="4" t="n">
        <f aca="false">Assumptions!K19</f>
        <v>17</v>
      </c>
      <c r="L14" s="4" t="n">
        <f aca="false">Assumptions!L19</f>
        <v>17</v>
      </c>
    </row>
    <row r="15" customFormat="false" ht="15" hidden="false" customHeight="false" outlineLevel="0" collapsed="false">
      <c r="A15" s="0" t="s">
        <v>121</v>
      </c>
      <c r="C15" s="0" t="n">
        <f aca="false">C13-MAX(0,C13)*C14/100</f>
        <v>38494.820826</v>
      </c>
      <c r="D15" s="0" t="n">
        <f aca="false">D13-MAX(0,D13)*D14/100</f>
        <v>27221.3375841</v>
      </c>
      <c r="E15" s="0" t="n">
        <f aca="false">E13-MAX(0,E13)*E14/100</f>
        <v>28876.3949092133</v>
      </c>
      <c r="F15" s="0" t="n">
        <f aca="false">F13-MAX(0,F13)*F14/100</f>
        <v>31305.8992885942</v>
      </c>
      <c r="G15" s="0" t="n">
        <f aca="false">G13-MAX(0,G13)*G14/100</f>
        <v>32245.076267252</v>
      </c>
      <c r="H15" s="0" t="n">
        <f aca="false">H13-MAX(0,H13)*H14/100</f>
        <v>33212.4285552696</v>
      </c>
      <c r="I15" s="0" t="n">
        <f aca="false">I13-MAX(0,I13)*I14/100</f>
        <v>34208.8014119277</v>
      </c>
      <c r="J15" s="0" t="n">
        <f aca="false">J13-MAX(0,J13)*J14/100</f>
        <v>35064.0214472259</v>
      </c>
      <c r="K15" s="0" t="n">
        <f aca="false">K13-MAX(0,K13)*K14/100</f>
        <v>35940.6219834065</v>
      </c>
      <c r="L15" s="0" t="n">
        <f aca="false">L13-MAX(0,L13)*L14/100</f>
        <v>36839.1375329917</v>
      </c>
    </row>
    <row r="16" customFormat="false" ht="15" hidden="false" customHeight="false" outlineLevel="0" collapsed="false">
      <c r="A16" s="0" t="s">
        <v>122</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123</v>
      </c>
      <c r="C17" s="4" t="n">
        <f aca="false">-C6*Assumptions!C18/100</f>
        <v>-30014.034138</v>
      </c>
      <c r="D17" s="4" t="n">
        <f aca="false">-D6*Assumptions!D18/100</f>
        <v>-21252.32139096</v>
      </c>
      <c r="E17" s="4" t="n">
        <f aca="false">-E6*Assumptions!E18/100</f>
        <v>-21944.9896437024</v>
      </c>
      <c r="F17" s="4" t="n">
        <f aca="false">-F6*Assumptions!F18/100</f>
        <v>-23453.7076817069</v>
      </c>
      <c r="G17" s="4" t="n">
        <f aca="false">-G6*Assumptions!G18/100</f>
        <v>-23874.7771704955</v>
      </c>
      <c r="H17" s="4" t="n">
        <f aca="false">-H6*Assumptions!H18/100</f>
        <v>-24227.2479932197</v>
      </c>
      <c r="I17" s="4" t="n">
        <f aca="false">-I6*Assumptions!I18/100</f>
        <v>-24654.3168992863</v>
      </c>
      <c r="J17" s="4" t="n">
        <f aca="false">-J6*Assumptions!J18/100</f>
        <v>-25270.6748217685</v>
      </c>
      <c r="K17" s="4" t="n">
        <f aca="false">-K6*Assumptions!K18/100</f>
        <v>-25193.8642600002</v>
      </c>
      <c r="L17" s="4" t="n">
        <f aca="false">-L6*Assumptions!L18/100</f>
        <v>-25823.7108665002</v>
      </c>
    </row>
    <row r="18" customFormat="false" ht="15" hidden="false" customHeight="false" outlineLevel="0" collapsed="false">
      <c r="A18" s="0" t="s">
        <v>124</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125</v>
      </c>
      <c r="C19" s="0" t="n">
        <f aca="false">C15+C16+C17+C18</f>
        <v>8480.78668799999</v>
      </c>
      <c r="D19" s="0" t="n">
        <f aca="false">D15+D16+D17+D18</f>
        <v>5969.01619314</v>
      </c>
      <c r="E19" s="0" t="n">
        <f aca="false">E15+E16+E17+E18</f>
        <v>6931.40526551088</v>
      </c>
      <c r="F19" s="0" t="n">
        <f aca="false">F15+F16+F17+F18</f>
        <v>7852.19160688726</v>
      </c>
      <c r="G19" s="0" t="n">
        <f aca="false">G15+G16+G17+G18</f>
        <v>8370.29909675655</v>
      </c>
      <c r="H19" s="0" t="n">
        <f aca="false">H15+H16+H17+H18</f>
        <v>8985.18056204994</v>
      </c>
      <c r="I19" s="0" t="n">
        <f aca="false">I15+I16+I17+I18</f>
        <v>9554.48451264136</v>
      </c>
      <c r="J19" s="0" t="n">
        <f aca="false">J15+J16+J17+J18</f>
        <v>9793.34662545738</v>
      </c>
      <c r="K19" s="0" t="n">
        <f aca="false">K15+K16+K17+K18</f>
        <v>10746.7577234063</v>
      </c>
      <c r="L19" s="0" t="n">
        <f aca="false">L15+L16+L17+L18</f>
        <v>11015.4266664915</v>
      </c>
    </row>
    <row r="20" customFormat="false" ht="15" hidden="false" customHeight="false" outlineLevel="0" collapsed="false">
      <c r="A20" s="0" t="s">
        <v>126</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127</v>
      </c>
      <c r="C21" s="0" t="n">
        <f aca="false">C19*C20</f>
        <v>7709.80607999999</v>
      </c>
      <c r="D21" s="0" t="n">
        <f aca="false">D19*D20</f>
        <v>4933.071234</v>
      </c>
      <c r="E21" s="0" t="n">
        <f aca="false">E19*E20</f>
        <v>5207.66736702546</v>
      </c>
      <c r="F21" s="0" t="n">
        <f aca="false">F19*F20</f>
        <v>5363.15252160868</v>
      </c>
      <c r="G21" s="0" t="n">
        <f aca="false">G19*G20</f>
        <v>5197.29718955893</v>
      </c>
      <c r="H21" s="0" t="n">
        <f aca="false">H19*H20</f>
        <v>5071.90018410313</v>
      </c>
      <c r="I21" s="0" t="n">
        <f aca="false">I19*I20</f>
        <v>4902.96129317147</v>
      </c>
      <c r="J21" s="0" t="n">
        <f aca="false">J19*J20</f>
        <v>4568.66847772795</v>
      </c>
      <c r="K21" s="0" t="n">
        <f aca="false">K19*K20</f>
        <v>4557.67435572273</v>
      </c>
      <c r="L21" s="0" t="n">
        <f aca="false">L19*L20</f>
        <v>4246.92383146891</v>
      </c>
    </row>
    <row r="23" customFormat="false" ht="15" hidden="false" customHeight="false" outlineLevel="0" collapsed="false">
      <c r="A23" s="0" t="s">
        <v>103</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Assumptions!$B$20</f>
        <v>10</v>
      </c>
    </row>
    <row r="28" customFormat="false" ht="15" hidden="false" customHeight="false" outlineLevel="0" collapsed="false">
      <c r="A28" s="0" t="s">
        <v>108</v>
      </c>
      <c r="B28" s="4" t="n">
        <f aca="false">Assumptions!$B$21</f>
        <v>2.5</v>
      </c>
    </row>
    <row r="29" customFormat="false" ht="15" hidden="false" customHeight="false" outlineLevel="0" collapsed="false">
      <c r="A29" s="0" t="s">
        <v>109</v>
      </c>
      <c r="B29" s="4" t="n">
        <f aca="false">Assumptions!$B$22</f>
        <v>10</v>
      </c>
    </row>
    <row r="30" customFormat="false" ht="15" hidden="false" customHeight="false" outlineLevel="0" collapsed="false">
      <c r="A30" s="0" t="s">
        <v>130</v>
      </c>
      <c r="B30" s="0" t="n">
        <f aca="false">SUM(C21:L21)</f>
        <v>51759.1225343872</v>
      </c>
    </row>
    <row r="31" customFormat="false" ht="15" hidden="false" customHeight="false" outlineLevel="0" collapsed="false">
      <c r="A31" s="0" t="s">
        <v>131</v>
      </c>
      <c r="B31" s="0" t="n">
        <f aca="false">L19</f>
        <v>11015.4266664915</v>
      </c>
    </row>
    <row r="32" customFormat="false" ht="15" hidden="false" customHeight="false" outlineLevel="0" collapsed="false">
      <c r="A32" s="0" t="s">
        <v>132</v>
      </c>
      <c r="B32" s="0" t="n">
        <f aca="false">IF(B27&gt;B28,B31*(1+B28/100)/((B27-B28)/100),B31*B29)</f>
        <v>150544.16444205</v>
      </c>
    </row>
    <row r="33" customFormat="false" ht="15" hidden="false" customHeight="false" outlineLevel="0" collapsed="false">
      <c r="A33" s="0" t="s">
        <v>133</v>
      </c>
      <c r="B33" s="0" t="n">
        <f aca="false">B31*B29</f>
        <v>110154.266664915</v>
      </c>
    </row>
    <row r="34" customFormat="false" ht="15" hidden="false" customHeight="false" outlineLevel="0" collapsed="false">
      <c r="A34" s="0" t="s">
        <v>134</v>
      </c>
      <c r="B34" s="0" t="n">
        <f aca="false">MAX(0,MIN(B32,B33))</f>
        <v>110154.266664915</v>
      </c>
    </row>
    <row r="35" customFormat="false" ht="15" hidden="false" customHeight="false" outlineLevel="0" collapsed="false">
      <c r="A35" s="0" t="s">
        <v>135</v>
      </c>
      <c r="B35" s="0" t="n">
        <f aca="false">B34/(1+B27/100)^L4</f>
        <v>42469.2383146891</v>
      </c>
    </row>
    <row r="36" customFormat="false" ht="15" hidden="false" customHeight="false" outlineLevel="0" collapsed="false">
      <c r="A36" s="0" t="s">
        <v>136</v>
      </c>
      <c r="B36" s="0" t="n">
        <f aca="false">B30+B35</f>
        <v>94228.3608490763</v>
      </c>
    </row>
    <row r="37" customFormat="false" ht="15" hidden="false" customHeight="false" outlineLevel="0" collapsed="false">
      <c r="A37" s="0" t="s">
        <v>137</v>
      </c>
      <c r="B37" s="0" t="n">
        <f aca="false">B36+Assumptions!$B$5-Assumptions!$B$4</f>
        <v>94228.3608490763</v>
      </c>
    </row>
    <row r="38" customFormat="false" ht="15" hidden="false" customHeight="false" outlineLevel="0" collapsed="false">
      <c r="A38" s="0" t="s">
        <v>138</v>
      </c>
      <c r="B38" s="0" t="n">
        <f aca="false">B37/Assumptions!$B$3*Assumptions!$B$10</f>
        <v>2.50102376480833</v>
      </c>
    </row>
    <row r="39" customFormat="false" ht="15" hidden="false" customHeight="false" outlineLevel="0" collapsed="false">
      <c r="A39" s="0" t="s">
        <v>139</v>
      </c>
      <c r="B39" s="4" t="n">
        <f aca="false">B38/Assumptions!$B$2-1</f>
        <v>-0.505726528694007</v>
      </c>
    </row>
    <row r="41" customFormat="false" ht="15" hidden="false" customHeight="false" outlineLevel="0" collapsed="false">
      <c r="A41" s="0" t="s">
        <v>140</v>
      </c>
      <c r="B41" s="0" t="n">
        <f aca="false">SUMPRODUCT(-C10:L10/(1+$B$27/100)^C4:L4)</f>
        <v>0</v>
      </c>
    </row>
    <row r="42" customFormat="false" ht="15" hidden="false" customHeight="false" outlineLevel="0" collapsed="false">
      <c r="A42" s="0" t="s">
        <v>141</v>
      </c>
      <c r="B42" s="0" t="n">
        <f aca="false">IF(B27&gt;B28,-L10*(1+B28/100)/((B27-B28)/100),-L10*20)/(1+B27/100)^L4</f>
        <v>0</v>
      </c>
    </row>
    <row r="43" customFormat="false" ht="15" hidden="false" customHeight="false" outlineLevel="0" collapsed="false">
      <c r="A43" s="0" t="s">
        <v>142</v>
      </c>
      <c r="B43" s="0" t="n">
        <f aca="false">(B37+B41+B42)/Assumptions!$B$3*Assumptions!$B$10</f>
        <v>2.50102376480833</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90326.4986652302</v>
      </c>
    </row>
    <row r="47" customFormat="false" ht="15" hidden="false" customHeight="false" outlineLevel="0" collapsed="false">
      <c r="A47" s="0" t="s">
        <v>144</v>
      </c>
      <c r="B47" s="0" t="n">
        <f aca="false">(SUMPRODUCT(C19:L19/(1+B45/100)^C4:L4)+B46/(1+B45/100)^L4+Assumptions!$B$5-Assumptions!$B$4)/Assumptions!$B$3*Assumptions!$B$10</f>
        <v>1.69550060888848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Assumptions!C27</f>
        <v>3</v>
      </c>
      <c r="D5" s="4" t="n">
        <f aca="false">Assumptions!D27</f>
        <v>2</v>
      </c>
      <c r="E5" s="4" t="n">
        <f aca="false">Assumptions!E27</f>
        <v>4.5</v>
      </c>
      <c r="F5" s="4" t="n">
        <f aca="false">Assumptions!F27</f>
        <v>4.5</v>
      </c>
      <c r="G5" s="4" t="n">
        <f aca="false">Assumptions!G27</f>
        <v>4.5</v>
      </c>
      <c r="H5" s="4" t="n">
        <f aca="false">Assumptions!H27</f>
        <v>4.5</v>
      </c>
      <c r="I5" s="4" t="n">
        <f aca="false">Assumptions!I27</f>
        <v>4</v>
      </c>
      <c r="J5" s="4" t="n">
        <f aca="false">Assumptions!J27</f>
        <v>3.5</v>
      </c>
      <c r="K5" s="4" t="n">
        <f aca="false">Assumptions!K27</f>
        <v>3.5</v>
      </c>
      <c r="L5" s="4" t="n">
        <f aca="false">Assumptions!L27</f>
        <v>3</v>
      </c>
    </row>
    <row r="6" customFormat="false" ht="15" hidden="false" customHeight="false" outlineLevel="0" collapsed="false">
      <c r="A6" s="0" t="s">
        <v>38</v>
      </c>
      <c r="B6" s="3" t="n">
        <v>669254</v>
      </c>
      <c r="C6" s="0" t="n">
        <f aca="false">B6*(1+C5/100)</f>
        <v>689331.62</v>
      </c>
      <c r="D6" s="0" t="n">
        <f aca="false">C6*(1+D5/100)</f>
        <v>703118.2524</v>
      </c>
      <c r="E6" s="0" t="n">
        <f aca="false">D6*(1+E5/100)</f>
        <v>734758.573758</v>
      </c>
      <c r="F6" s="0" t="n">
        <f aca="false">E6*(1+F5/100)</f>
        <v>767822.70957711</v>
      </c>
      <c r="G6" s="0" t="n">
        <f aca="false">F6*(1+G5/100)</f>
        <v>802374.73150808</v>
      </c>
      <c r="H6" s="0" t="n">
        <f aca="false">G6*(1+H5/100)</f>
        <v>838481.594425943</v>
      </c>
      <c r="I6" s="0" t="n">
        <f aca="false">H6*(1+I5/100)</f>
        <v>872020.858202981</v>
      </c>
      <c r="J6" s="0" t="n">
        <f aca="false">I6*(1+J5/100)</f>
        <v>902541.588240085</v>
      </c>
      <c r="K6" s="0" t="n">
        <f aca="false">J6*(1+K5/100)</f>
        <v>934130.543828488</v>
      </c>
      <c r="L6" s="0" t="n">
        <f aca="false">K6*(1+L5/100)</f>
        <v>962154.460143343</v>
      </c>
    </row>
    <row r="7" customFormat="false" ht="15" hidden="false" customHeight="false" outlineLevel="0" collapsed="false">
      <c r="A7" s="0" t="s">
        <v>101</v>
      </c>
      <c r="C7" s="4" t="n">
        <f aca="false">Assumptions!C28</f>
        <v>8.7</v>
      </c>
      <c r="D7" s="4" t="n">
        <f aca="false">Assumptions!D28</f>
        <v>7.5</v>
      </c>
      <c r="E7" s="4" t="n">
        <f aca="false">Assumptions!E28</f>
        <v>7.6</v>
      </c>
      <c r="F7" s="4" t="n">
        <f aca="false">Assumptions!F28</f>
        <v>7.7</v>
      </c>
      <c r="G7" s="4" t="n">
        <f aca="false">Assumptions!G28</f>
        <v>7.8</v>
      </c>
      <c r="H7" s="4" t="n">
        <f aca="false">Assumptions!H28</f>
        <v>7.8</v>
      </c>
      <c r="I7" s="4" t="n">
        <f aca="false">Assumptions!I28</f>
        <v>7.8</v>
      </c>
      <c r="J7" s="4" t="n">
        <f aca="false">Assumptions!J28</f>
        <v>7.8</v>
      </c>
      <c r="K7" s="4" t="n">
        <f aca="false">Assumptions!K28</f>
        <v>7.8</v>
      </c>
      <c r="L7" s="4" t="n">
        <f aca="false">Assumptions!L28</f>
        <v>7.8</v>
      </c>
    </row>
    <row r="8" customFormat="false" ht="15" hidden="false" customHeight="false" outlineLevel="0" collapsed="false">
      <c r="A8" s="0" t="s">
        <v>44</v>
      </c>
      <c r="C8" s="0" t="n">
        <f aca="false">C6*C7/100</f>
        <v>59971.85094</v>
      </c>
      <c r="D8" s="0" t="n">
        <f aca="false">D6*D7/100</f>
        <v>52733.86893</v>
      </c>
      <c r="E8" s="0" t="n">
        <f aca="false">E6*E7/100</f>
        <v>55841.651605608</v>
      </c>
      <c r="F8" s="0" t="n">
        <f aca="false">F6*F7/100</f>
        <v>59122.3486374375</v>
      </c>
      <c r="G8" s="0" t="n">
        <f aca="false">G6*G7/100</f>
        <v>62585.2290576302</v>
      </c>
      <c r="H8" s="0" t="n">
        <f aca="false">H6*H7/100</f>
        <v>65401.5643652236</v>
      </c>
      <c r="I8" s="0" t="n">
        <f aca="false">I6*I7/100</f>
        <v>68017.6269398325</v>
      </c>
      <c r="J8" s="0" t="n">
        <f aca="false">J6*J7/100</f>
        <v>70398.2438827267</v>
      </c>
      <c r="K8" s="0" t="n">
        <f aca="false">K6*K7/100</f>
        <v>72862.1824186221</v>
      </c>
      <c r="L8" s="0" t="n">
        <f aca="false">L6*L7/100</f>
        <v>75048.0478911807</v>
      </c>
    </row>
    <row r="9" customFormat="false" ht="15" hidden="false" customHeight="false" outlineLevel="0" collapsed="false">
      <c r="A9" s="0" t="s">
        <v>102</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117</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118</v>
      </c>
      <c r="C11" s="0" t="n">
        <f aca="false">C8+C10+C24</f>
        <v>59971.85094</v>
      </c>
      <c r="D11" s="0" t="n">
        <f aca="false">D8+D10+D24</f>
        <v>52733.86893</v>
      </c>
      <c r="E11" s="0" t="n">
        <f aca="false">E8+E10+E24</f>
        <v>55841.651605608</v>
      </c>
      <c r="F11" s="0" t="n">
        <f aca="false">F8+F10+F24</f>
        <v>59122.3486374375</v>
      </c>
      <c r="G11" s="0" t="n">
        <f aca="false">G8+G10+G24</f>
        <v>62585.2290576302</v>
      </c>
      <c r="H11" s="0" t="n">
        <f aca="false">H8+H10+H24</f>
        <v>65401.5643652236</v>
      </c>
      <c r="I11" s="0" t="n">
        <f aca="false">I8+I10+I24</f>
        <v>68017.6269398325</v>
      </c>
      <c r="J11" s="0" t="n">
        <f aca="false">J8+J10+J24</f>
        <v>70398.2438827267</v>
      </c>
      <c r="K11" s="0" t="n">
        <f aca="false">K8+K10+K24</f>
        <v>72862.1824186221</v>
      </c>
      <c r="L11" s="0" t="n">
        <f aca="false">L8+L10+L24</f>
        <v>75048.0478911807</v>
      </c>
    </row>
    <row r="12" customFormat="false" ht="15" hidden="false" customHeight="false" outlineLevel="0" collapsed="false">
      <c r="A12" s="0" t="s">
        <v>119</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120</v>
      </c>
      <c r="C13" s="0" t="n">
        <f aca="false">C11+C12</f>
        <v>59971.85094</v>
      </c>
      <c r="D13" s="0" t="n">
        <f aca="false">D11+D12</f>
        <v>52733.86893</v>
      </c>
      <c r="E13" s="0" t="n">
        <f aca="false">E11+E12</f>
        <v>55841.651605608</v>
      </c>
      <c r="F13" s="0" t="n">
        <f aca="false">F11+F12</f>
        <v>59122.3486374375</v>
      </c>
      <c r="G13" s="0" t="n">
        <f aca="false">G11+G12</f>
        <v>62585.2290576302</v>
      </c>
      <c r="H13" s="0" t="n">
        <f aca="false">H11+H12</f>
        <v>65401.5643652236</v>
      </c>
      <c r="I13" s="0" t="n">
        <f aca="false">I11+I12</f>
        <v>68017.6269398325</v>
      </c>
      <c r="J13" s="0" t="n">
        <f aca="false">J11+J12</f>
        <v>70398.2438827267</v>
      </c>
      <c r="K13" s="0" t="n">
        <f aca="false">K11+K12</f>
        <v>72862.1824186221</v>
      </c>
      <c r="L13" s="0" t="n">
        <f aca="false">L11+L12</f>
        <v>75048.0478911807</v>
      </c>
    </row>
    <row r="14" customFormat="false" ht="15" hidden="false" customHeight="false" outlineLevel="0" collapsed="false">
      <c r="A14" s="0" t="s">
        <v>106</v>
      </c>
      <c r="C14" s="4" t="n">
        <f aca="false">Assumptions!C33</f>
        <v>16.5</v>
      </c>
      <c r="D14" s="4" t="n">
        <f aca="false">Assumptions!D33</f>
        <v>16.5</v>
      </c>
      <c r="E14" s="4" t="n">
        <f aca="false">Assumptions!E33</f>
        <v>16.5</v>
      </c>
      <c r="F14" s="4" t="n">
        <f aca="false">Assumptions!F33</f>
        <v>16.5</v>
      </c>
      <c r="G14" s="4" t="n">
        <f aca="false">Assumptions!G33</f>
        <v>16.5</v>
      </c>
      <c r="H14" s="4" t="n">
        <f aca="false">Assumptions!H33</f>
        <v>16.5</v>
      </c>
      <c r="I14" s="4" t="n">
        <f aca="false">Assumptions!I33</f>
        <v>16.5</v>
      </c>
      <c r="J14" s="4" t="n">
        <f aca="false">Assumptions!J33</f>
        <v>16.5</v>
      </c>
      <c r="K14" s="4" t="n">
        <f aca="false">Assumptions!K33</f>
        <v>16.5</v>
      </c>
      <c r="L14" s="4" t="n">
        <f aca="false">Assumptions!L33</f>
        <v>16.5</v>
      </c>
    </row>
    <row r="15" customFormat="false" ht="15" hidden="false" customHeight="false" outlineLevel="0" collapsed="false">
      <c r="A15" s="0" t="s">
        <v>121</v>
      </c>
      <c r="C15" s="0" t="n">
        <f aca="false">C13-MAX(0,C13)*C14/100</f>
        <v>50076.4955349</v>
      </c>
      <c r="D15" s="0" t="n">
        <f aca="false">D13-MAX(0,D13)*D14/100</f>
        <v>44032.78055655</v>
      </c>
      <c r="E15" s="0" t="n">
        <f aca="false">E13-MAX(0,E13)*E14/100</f>
        <v>46627.7790906827</v>
      </c>
      <c r="F15" s="0" t="n">
        <f aca="false">F13-MAX(0,F13)*F14/100</f>
        <v>49367.1611122603</v>
      </c>
      <c r="G15" s="0" t="n">
        <f aca="false">G13-MAX(0,G13)*G14/100</f>
        <v>52258.6662631212</v>
      </c>
      <c r="H15" s="0" t="n">
        <f aca="false">H13-MAX(0,H13)*H14/100</f>
        <v>54610.3062449617</v>
      </c>
      <c r="I15" s="0" t="n">
        <f aca="false">I13-MAX(0,I13)*I14/100</f>
        <v>56794.7184947602</v>
      </c>
      <c r="J15" s="0" t="n">
        <f aca="false">J13-MAX(0,J13)*J14/100</f>
        <v>58782.5336420768</v>
      </c>
      <c r="K15" s="0" t="n">
        <f aca="false">K13-MAX(0,K13)*K14/100</f>
        <v>60839.9223195494</v>
      </c>
      <c r="L15" s="0" t="n">
        <f aca="false">L13-MAX(0,L13)*L14/100</f>
        <v>62665.1199891359</v>
      </c>
    </row>
    <row r="16" customFormat="false" ht="15" hidden="false" customHeight="false" outlineLevel="0" collapsed="false">
      <c r="A16" s="0" t="s">
        <v>122</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123</v>
      </c>
      <c r="C17" s="4" t="n">
        <f aca="false">-C6*Assumptions!C32/100</f>
        <v>-38051.105424</v>
      </c>
      <c r="D17" s="4" t="n">
        <f aca="false">-D6*Assumptions!D32/100</f>
        <v>-32132.50413468</v>
      </c>
      <c r="E17" s="4" t="n">
        <f aca="false">-E6*Assumptions!E32/100</f>
        <v>-32623.2806748552</v>
      </c>
      <c r="F17" s="4" t="n">
        <f aca="false">-F6*Assumptions!F32/100</f>
        <v>-33553.8524085197</v>
      </c>
      <c r="G17" s="4" t="n">
        <f aca="false">-G6*Assumptions!G32/100</f>
        <v>-34502.1134548474</v>
      </c>
      <c r="H17" s="4" t="n">
        <f aca="false">-H6*Assumptions!H32/100</f>
        <v>-34964.6824875618</v>
      </c>
      <c r="I17" s="4" t="n">
        <f aca="false">-I6*Assumptions!I32/100</f>
        <v>-35229.6426714004</v>
      </c>
      <c r="J17" s="4" t="n">
        <f aca="false">-J6*Assumptions!J32/100</f>
        <v>-35289.3761001873</v>
      </c>
      <c r="K17" s="4" t="n">
        <f aca="false">-K6*Assumptions!K32/100</f>
        <v>-36524.5042636939</v>
      </c>
      <c r="L17" s="4" t="n">
        <f aca="false">-L6*Assumptions!L32/100</f>
        <v>-37620.2393916047</v>
      </c>
    </row>
    <row r="18" customFormat="false" ht="15" hidden="false" customHeight="false" outlineLevel="0" collapsed="false">
      <c r="A18" s="0" t="s">
        <v>124</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125</v>
      </c>
      <c r="C19" s="0" t="n">
        <f aca="false">C15+C16+C17+C18</f>
        <v>12025.3901109</v>
      </c>
      <c r="D19" s="0" t="n">
        <f aca="false">D15+D16+D17+D18</f>
        <v>11900.27642187</v>
      </c>
      <c r="E19" s="0" t="n">
        <f aca="false">E15+E16+E17+E18</f>
        <v>14004.4984158275</v>
      </c>
      <c r="F19" s="0" t="n">
        <f aca="false">F15+F16+F17+F18</f>
        <v>15813.3087037406</v>
      </c>
      <c r="G19" s="0" t="n">
        <f aca="false">G15+G16+G17+G18</f>
        <v>17756.5528082738</v>
      </c>
      <c r="H19" s="0" t="n">
        <f aca="false">H15+H16+H17+H18</f>
        <v>19645.6237573999</v>
      </c>
      <c r="I19" s="0" t="n">
        <f aca="false">I15+I16+I17+I18</f>
        <v>21565.0758233597</v>
      </c>
      <c r="J19" s="0" t="n">
        <f aca="false">J15+J16+J17+J18</f>
        <v>23493.1575418894</v>
      </c>
      <c r="K19" s="0" t="n">
        <f aca="false">K15+K16+K17+K18</f>
        <v>24315.4180558555</v>
      </c>
      <c r="L19" s="0" t="n">
        <f aca="false">L15+L16+L17+L18</f>
        <v>25044.8805975312</v>
      </c>
    </row>
    <row r="20" customFormat="false" ht="15" hidden="false" customHeight="false" outlineLevel="0" collapsed="false">
      <c r="A20" s="0" t="s">
        <v>126</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127</v>
      </c>
      <c r="C21" s="0" t="n">
        <f aca="false">C19*C20</f>
        <v>10932.1728280909</v>
      </c>
      <c r="D21" s="0" t="n">
        <f aca="false">D19*D20</f>
        <v>9834.9391916281</v>
      </c>
      <c r="E21" s="0" t="n">
        <f aca="false">E19*E20</f>
        <v>10521.7869390139</v>
      </c>
      <c r="F21" s="0" t="n">
        <f aca="false">F19*F20</f>
        <v>10800.7026184964</v>
      </c>
      <c r="G21" s="0" t="n">
        <f aca="false">G19*G20</f>
        <v>11025.4222626831</v>
      </c>
      <c r="H21" s="0" t="n">
        <f aca="false">H19*H20</f>
        <v>11089.4424506973</v>
      </c>
      <c r="I21" s="0" t="n">
        <f aca="false">I19*I20</f>
        <v>11066.2937290178</v>
      </c>
      <c r="J21" s="0" t="n">
        <f aca="false">J19*J20</f>
        <v>10959.7313777214</v>
      </c>
      <c r="K21" s="0" t="n">
        <f aca="false">K19*K20</f>
        <v>10312.1108872196</v>
      </c>
      <c r="L21" s="0" t="n">
        <f aca="false">L19*L20</f>
        <v>9655.88564894203</v>
      </c>
    </row>
    <row r="23" customFormat="false" ht="15" hidden="false" customHeight="false" outlineLevel="0" collapsed="false">
      <c r="A23" s="0" t="s">
        <v>103</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Assumptions!$B$34</f>
        <v>10</v>
      </c>
    </row>
    <row r="28" customFormat="false" ht="15" hidden="false" customHeight="false" outlineLevel="0" collapsed="false">
      <c r="A28" s="0" t="s">
        <v>108</v>
      </c>
      <c r="B28" s="4" t="n">
        <f aca="false">Assumptions!$B$35</f>
        <v>3</v>
      </c>
    </row>
    <row r="29" customFormat="false" ht="15" hidden="false" customHeight="false" outlineLevel="0" collapsed="false">
      <c r="A29" s="0" t="s">
        <v>109</v>
      </c>
      <c r="B29" s="4" t="n">
        <f aca="false">Assumptions!$B$36</f>
        <v>14</v>
      </c>
    </row>
    <row r="30" customFormat="false" ht="15" hidden="false" customHeight="false" outlineLevel="0" collapsed="false">
      <c r="A30" s="0" t="s">
        <v>130</v>
      </c>
      <c r="B30" s="0" t="n">
        <f aca="false">SUM(C21:L21)</f>
        <v>106198.487933511</v>
      </c>
    </row>
    <row r="31" customFormat="false" ht="15" hidden="false" customHeight="false" outlineLevel="0" collapsed="false">
      <c r="A31" s="0" t="s">
        <v>131</v>
      </c>
      <c r="B31" s="0" t="n">
        <f aca="false">L19</f>
        <v>25044.8805975312</v>
      </c>
    </row>
    <row r="32" customFormat="false" ht="15" hidden="false" customHeight="false" outlineLevel="0" collapsed="false">
      <c r="A32" s="0" t="s">
        <v>132</v>
      </c>
      <c r="B32" s="0" t="n">
        <f aca="false">IF(B27&gt;B28,B31*(1+B28/100)/((B27-B28)/100),B31*B29)</f>
        <v>368517.528792245</v>
      </c>
    </row>
    <row r="33" customFormat="false" ht="15" hidden="false" customHeight="false" outlineLevel="0" collapsed="false">
      <c r="A33" s="0" t="s">
        <v>133</v>
      </c>
      <c r="B33" s="0" t="n">
        <f aca="false">B31*B29</f>
        <v>350628.328365437</v>
      </c>
    </row>
    <row r="34" customFormat="false" ht="15" hidden="false" customHeight="false" outlineLevel="0" collapsed="false">
      <c r="A34" s="0" t="s">
        <v>134</v>
      </c>
      <c r="B34" s="0" t="n">
        <f aca="false">MAX(0,MIN(B32,B33))</f>
        <v>350628.328365437</v>
      </c>
    </row>
    <row r="35" customFormat="false" ht="15" hidden="false" customHeight="false" outlineLevel="0" collapsed="false">
      <c r="A35" s="0" t="s">
        <v>135</v>
      </c>
      <c r="B35" s="0" t="n">
        <f aca="false">B34/(1+B27/100)^L4</f>
        <v>135182.399085188</v>
      </c>
    </row>
    <row r="36" customFormat="false" ht="15" hidden="false" customHeight="false" outlineLevel="0" collapsed="false">
      <c r="A36" s="0" t="s">
        <v>136</v>
      </c>
      <c r="B36" s="0" t="n">
        <f aca="false">B30+B35</f>
        <v>241380.887018699</v>
      </c>
    </row>
    <row r="37" customFormat="false" ht="15" hidden="false" customHeight="false" outlineLevel="0" collapsed="false">
      <c r="A37" s="0" t="s">
        <v>137</v>
      </c>
      <c r="B37" s="0" t="n">
        <f aca="false">B36+Assumptions!$B$5-Assumptions!$B$4</f>
        <v>241380.887018699</v>
      </c>
    </row>
    <row r="38" customFormat="false" ht="15" hidden="false" customHeight="false" outlineLevel="0" collapsed="false">
      <c r="A38" s="0" t="s">
        <v>138</v>
      </c>
      <c r="B38" s="0" t="n">
        <f aca="false">B37/Assumptions!$B$3*Assumptions!$B$10</f>
        <v>6.40676893203325</v>
      </c>
    </row>
    <row r="39" customFormat="false" ht="15" hidden="false" customHeight="false" outlineLevel="0" collapsed="false">
      <c r="A39" s="0" t="s">
        <v>139</v>
      </c>
      <c r="B39" s="4" t="n">
        <f aca="false">B38/Assumptions!$B$2-1</f>
        <v>0.26615986799076</v>
      </c>
    </row>
    <row r="41" customFormat="false" ht="15" hidden="false" customHeight="false" outlineLevel="0" collapsed="false">
      <c r="A41" s="0" t="s">
        <v>140</v>
      </c>
      <c r="B41" s="0" t="n">
        <f aca="false">SUMPRODUCT(-C10:L10/(1+$B$27/100)^C4:L4)</f>
        <v>0</v>
      </c>
    </row>
    <row r="42" customFormat="false" ht="15" hidden="false" customHeight="false" outlineLevel="0" collapsed="false">
      <c r="A42" s="0" t="s">
        <v>141</v>
      </c>
      <c r="B42" s="0" t="n">
        <f aca="false">IF(B27&gt;B28,-L10*(1+B28/100)/((B27-B28)/100),-L10*20)/(1+B27/100)^L4</f>
        <v>0</v>
      </c>
    </row>
    <row r="43" customFormat="false" ht="15" hidden="false" customHeight="false" outlineLevel="0" collapsed="false">
      <c r="A43" s="0" t="s">
        <v>142</v>
      </c>
      <c r="B43" s="0" t="n">
        <f aca="false">(B37+B41+B42)/Assumptions!$B$3*Assumptions!$B$10</f>
        <v>6.40676893203325</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214968.558462143</v>
      </c>
    </row>
    <row r="47" customFormat="false" ht="15" hidden="false" customHeight="false" outlineLevel="0" collapsed="false">
      <c r="A47" s="0" t="s">
        <v>144</v>
      </c>
      <c r="B47" s="0" t="n">
        <f aca="false">(SUMPRODUCT(C19:L19/(1+B45/100)^C4:L4)+B46/(1+B45/100)^L4+Assumptions!$B$5-Assumptions!$B$4)/Assumptions!$B$3*Assumptions!$B$10</f>
        <v>3.63767778144503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Assumptions!C41</f>
        <v>6</v>
      </c>
      <c r="D5" s="4" t="n">
        <f aca="false">Assumptions!D41</f>
        <v>4.5</v>
      </c>
      <c r="E5" s="4" t="n">
        <f aca="false">Assumptions!E41</f>
        <v>5.5</v>
      </c>
      <c r="F5" s="4" t="n">
        <f aca="false">Assumptions!F41</f>
        <v>5.5</v>
      </c>
      <c r="G5" s="4" t="n">
        <f aca="false">Assumptions!G41</f>
        <v>5.5</v>
      </c>
      <c r="H5" s="4" t="n">
        <f aca="false">Assumptions!H41</f>
        <v>5</v>
      </c>
      <c r="I5" s="4" t="n">
        <f aca="false">Assumptions!I41</f>
        <v>4.5</v>
      </c>
      <c r="J5" s="4" t="n">
        <f aca="false">Assumptions!J41</f>
        <v>4</v>
      </c>
      <c r="K5" s="4" t="n">
        <f aca="false">Assumptions!K41</f>
        <v>3.5</v>
      </c>
      <c r="L5" s="4" t="n">
        <f aca="false">Assumptions!L41</f>
        <v>3.5</v>
      </c>
    </row>
    <row r="6" customFormat="false" ht="15" hidden="false" customHeight="false" outlineLevel="0" collapsed="false">
      <c r="A6" s="0" t="s">
        <v>38</v>
      </c>
      <c r="B6" s="3" t="n">
        <v>669254</v>
      </c>
      <c r="C6" s="0" t="n">
        <f aca="false">B6*(1+C5/100)</f>
        <v>709409.24</v>
      </c>
      <c r="D6" s="0" t="n">
        <f aca="false">C6*(1+D5/100)</f>
        <v>741332.6558</v>
      </c>
      <c r="E6" s="0" t="n">
        <f aca="false">D6*(1+E5/100)</f>
        <v>782105.951869</v>
      </c>
      <c r="F6" s="0" t="n">
        <f aca="false">E6*(1+F5/100)</f>
        <v>825121.779221795</v>
      </c>
      <c r="G6" s="0" t="n">
        <f aca="false">F6*(1+G5/100)</f>
        <v>870503.477078994</v>
      </c>
      <c r="H6" s="0" t="n">
        <f aca="false">G6*(1+H5/100)</f>
        <v>914028.650932943</v>
      </c>
      <c r="I6" s="0" t="n">
        <f aca="false">H6*(1+I5/100)</f>
        <v>955159.940224926</v>
      </c>
      <c r="J6" s="0" t="n">
        <f aca="false">I6*(1+J5/100)</f>
        <v>993366.337833923</v>
      </c>
      <c r="K6" s="0" t="n">
        <f aca="false">J6*(1+K5/100)</f>
        <v>1028134.15965811</v>
      </c>
      <c r="L6" s="0" t="n">
        <f aca="false">K6*(1+L5/100)</f>
        <v>1064118.85524614</v>
      </c>
    </row>
    <row r="7" customFormat="false" ht="15" hidden="false" customHeight="false" outlineLevel="0" collapsed="false">
      <c r="A7" s="0" t="s">
        <v>101</v>
      </c>
      <c r="C7" s="4" t="n">
        <f aca="false">Assumptions!C42</f>
        <v>9.6</v>
      </c>
      <c r="D7" s="4" t="n">
        <f aca="false">Assumptions!D42</f>
        <v>8.6</v>
      </c>
      <c r="E7" s="4" t="n">
        <f aca="false">Assumptions!E42</f>
        <v>8.6</v>
      </c>
      <c r="F7" s="4" t="n">
        <f aca="false">Assumptions!F42</f>
        <v>8.7</v>
      </c>
      <c r="G7" s="4" t="n">
        <f aca="false">Assumptions!G42</f>
        <v>8.8</v>
      </c>
      <c r="H7" s="4" t="n">
        <f aca="false">Assumptions!H42</f>
        <v>8.8</v>
      </c>
      <c r="I7" s="4" t="n">
        <f aca="false">Assumptions!I42</f>
        <v>8.8</v>
      </c>
      <c r="J7" s="4" t="n">
        <f aca="false">Assumptions!J42</f>
        <v>8.8</v>
      </c>
      <c r="K7" s="4" t="n">
        <f aca="false">Assumptions!K42</f>
        <v>8.8</v>
      </c>
      <c r="L7" s="4" t="n">
        <f aca="false">Assumptions!L42</f>
        <v>8.8</v>
      </c>
    </row>
    <row r="8" customFormat="false" ht="15" hidden="false" customHeight="false" outlineLevel="0" collapsed="false">
      <c r="A8" s="0" t="s">
        <v>44</v>
      </c>
      <c r="C8" s="0" t="n">
        <f aca="false">C6*C7/100</f>
        <v>68103.28704</v>
      </c>
      <c r="D8" s="0" t="n">
        <f aca="false">D6*D7/100</f>
        <v>63754.6083988</v>
      </c>
      <c r="E8" s="0" t="n">
        <f aca="false">E6*E7/100</f>
        <v>67261.111860734</v>
      </c>
      <c r="F8" s="0" t="n">
        <f aca="false">F6*F7/100</f>
        <v>71785.5947922961</v>
      </c>
      <c r="G8" s="0" t="n">
        <f aca="false">G6*G7/100</f>
        <v>76604.3059829514</v>
      </c>
      <c r="H8" s="0" t="n">
        <f aca="false">H6*H7/100</f>
        <v>80434.521282099</v>
      </c>
      <c r="I8" s="0" t="n">
        <f aca="false">I6*I7/100</f>
        <v>84054.0747397935</v>
      </c>
      <c r="J8" s="0" t="n">
        <f aca="false">J6*J7/100</f>
        <v>87416.2377293852</v>
      </c>
      <c r="K8" s="0" t="n">
        <f aca="false">K6*K7/100</f>
        <v>90475.8060499137</v>
      </c>
      <c r="L8" s="0" t="n">
        <f aca="false">L6*L7/100</f>
        <v>93642.4592616607</v>
      </c>
    </row>
    <row r="9" customFormat="false" ht="15" hidden="false" customHeight="false" outlineLevel="0" collapsed="false">
      <c r="A9" s="0" t="s">
        <v>102</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117</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118</v>
      </c>
      <c r="C11" s="0" t="n">
        <f aca="false">C8+C10+C24</f>
        <v>68103.28704</v>
      </c>
      <c r="D11" s="0" t="n">
        <f aca="false">D8+D10+D24</f>
        <v>63754.6083988</v>
      </c>
      <c r="E11" s="0" t="n">
        <f aca="false">E8+E10+E24</f>
        <v>67261.111860734</v>
      </c>
      <c r="F11" s="0" t="n">
        <f aca="false">F8+F10+F24</f>
        <v>71785.5947922961</v>
      </c>
      <c r="G11" s="0" t="n">
        <f aca="false">G8+G10+G24</f>
        <v>76604.3059829514</v>
      </c>
      <c r="H11" s="0" t="n">
        <f aca="false">H8+H10+H24</f>
        <v>80434.521282099</v>
      </c>
      <c r="I11" s="0" t="n">
        <f aca="false">I8+I10+I24</f>
        <v>84054.0747397935</v>
      </c>
      <c r="J11" s="0" t="n">
        <f aca="false">J8+J10+J24</f>
        <v>87416.2377293852</v>
      </c>
      <c r="K11" s="0" t="n">
        <f aca="false">K8+K10+K24</f>
        <v>90475.8060499137</v>
      </c>
      <c r="L11" s="0" t="n">
        <f aca="false">L8+L10+L24</f>
        <v>93642.4592616607</v>
      </c>
    </row>
    <row r="12" customFormat="false" ht="15" hidden="false" customHeight="false" outlineLevel="0" collapsed="false">
      <c r="A12" s="0" t="s">
        <v>119</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120</v>
      </c>
      <c r="C13" s="0" t="n">
        <f aca="false">C11+C12</f>
        <v>68103.28704</v>
      </c>
      <c r="D13" s="0" t="n">
        <f aca="false">D11+D12</f>
        <v>63754.6083988</v>
      </c>
      <c r="E13" s="0" t="n">
        <f aca="false">E11+E12</f>
        <v>67261.111860734</v>
      </c>
      <c r="F13" s="0" t="n">
        <f aca="false">F11+F12</f>
        <v>71785.5947922961</v>
      </c>
      <c r="G13" s="0" t="n">
        <f aca="false">G11+G12</f>
        <v>76604.3059829514</v>
      </c>
      <c r="H13" s="0" t="n">
        <f aca="false">H11+H12</f>
        <v>80434.521282099</v>
      </c>
      <c r="I13" s="0" t="n">
        <f aca="false">I11+I12</f>
        <v>84054.0747397935</v>
      </c>
      <c r="J13" s="0" t="n">
        <f aca="false">J11+J12</f>
        <v>87416.2377293852</v>
      </c>
      <c r="K13" s="0" t="n">
        <f aca="false">K11+K12</f>
        <v>90475.8060499137</v>
      </c>
      <c r="L13" s="0" t="n">
        <f aca="false">L11+L12</f>
        <v>93642.4592616607</v>
      </c>
    </row>
    <row r="14" customFormat="false" ht="15" hidden="false" customHeight="false" outlineLevel="0" collapsed="false">
      <c r="A14" s="0" t="s">
        <v>106</v>
      </c>
      <c r="C14" s="4" t="n">
        <f aca="false">Assumptions!C47</f>
        <v>16.5</v>
      </c>
      <c r="D14" s="4" t="n">
        <f aca="false">Assumptions!D47</f>
        <v>16.5</v>
      </c>
      <c r="E14" s="4" t="n">
        <f aca="false">Assumptions!E47</f>
        <v>16.5</v>
      </c>
      <c r="F14" s="4" t="n">
        <f aca="false">Assumptions!F47</f>
        <v>16.5</v>
      </c>
      <c r="G14" s="4" t="n">
        <f aca="false">Assumptions!G47</f>
        <v>16.5</v>
      </c>
      <c r="H14" s="4" t="n">
        <f aca="false">Assumptions!H47</f>
        <v>16.5</v>
      </c>
      <c r="I14" s="4" t="n">
        <f aca="false">Assumptions!I47</f>
        <v>16.5</v>
      </c>
      <c r="J14" s="4" t="n">
        <f aca="false">Assumptions!J47</f>
        <v>16.5</v>
      </c>
      <c r="K14" s="4" t="n">
        <f aca="false">Assumptions!K47</f>
        <v>16.5</v>
      </c>
      <c r="L14" s="4" t="n">
        <f aca="false">Assumptions!L47</f>
        <v>16.5</v>
      </c>
    </row>
    <row r="15" customFormat="false" ht="15" hidden="false" customHeight="false" outlineLevel="0" collapsed="false">
      <c r="A15" s="0" t="s">
        <v>121</v>
      </c>
      <c r="C15" s="0" t="n">
        <f aca="false">C13-MAX(0,C13)*C14/100</f>
        <v>56866.2446784</v>
      </c>
      <c r="D15" s="0" t="n">
        <f aca="false">D13-MAX(0,D13)*D14/100</f>
        <v>53235.098012998</v>
      </c>
      <c r="E15" s="0" t="n">
        <f aca="false">E13-MAX(0,E13)*E14/100</f>
        <v>56163.0284037129</v>
      </c>
      <c r="F15" s="0" t="n">
        <f aca="false">F13-MAX(0,F13)*F14/100</f>
        <v>59940.9716515673</v>
      </c>
      <c r="G15" s="0" t="n">
        <f aca="false">G13-MAX(0,G13)*G14/100</f>
        <v>63964.5954957644</v>
      </c>
      <c r="H15" s="0" t="n">
        <f aca="false">H13-MAX(0,H13)*H14/100</f>
        <v>67162.8252705527</v>
      </c>
      <c r="I15" s="0" t="n">
        <f aca="false">I13-MAX(0,I13)*I14/100</f>
        <v>70185.1524077275</v>
      </c>
      <c r="J15" s="0" t="n">
        <f aca="false">J13-MAX(0,J13)*J14/100</f>
        <v>72992.5585040366</v>
      </c>
      <c r="K15" s="0" t="n">
        <f aca="false">K13-MAX(0,K13)*K14/100</f>
        <v>75547.2980516779</v>
      </c>
      <c r="L15" s="0" t="n">
        <f aca="false">L13-MAX(0,L13)*L14/100</f>
        <v>78191.4534834867</v>
      </c>
    </row>
    <row r="16" customFormat="false" ht="15" hidden="false" customHeight="false" outlineLevel="0" collapsed="false">
      <c r="A16" s="0" t="s">
        <v>122</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123</v>
      </c>
      <c r="C17" s="4" t="n">
        <f aca="false">-C6*Assumptions!C46/100</f>
        <v>-42635.495324</v>
      </c>
      <c r="D17" s="4" t="n">
        <f aca="false">-D6*Assumptions!D46/100</f>
        <v>-37807.9654458</v>
      </c>
      <c r="E17" s="4" t="n">
        <f aca="false">-E6*Assumptions!E46/100</f>
        <v>-37619.2962848989</v>
      </c>
      <c r="F17" s="4" t="n">
        <f aca="false">-F6*Assumptions!F46/100</f>
        <v>-37790.5774883582</v>
      </c>
      <c r="G17" s="4" t="n">
        <f aca="false">-G6*Assumptions!G46/100</f>
        <v>-38389.2033391836</v>
      </c>
      <c r="H17" s="4" t="n">
        <f aca="false">-H6*Assumptions!H46/100</f>
        <v>-38297.8004740903</v>
      </c>
      <c r="I17" s="4" t="n">
        <f aca="false">-I6*Assumptions!I46/100</f>
        <v>-37919.8496269296</v>
      </c>
      <c r="J17" s="4" t="n">
        <f aca="false">-J6*Assumptions!J46/100</f>
        <v>-37946.5941052559</v>
      </c>
      <c r="K17" s="4" t="n">
        <f aca="false">-K6*Assumptions!K46/100</f>
        <v>-37732.5236594526</v>
      </c>
      <c r="L17" s="4" t="n">
        <f aca="false">-L6*Assumptions!L46/100</f>
        <v>-39053.1619875335</v>
      </c>
    </row>
    <row r="18" customFormat="false" ht="15" hidden="false" customHeight="false" outlineLevel="0" collapsed="false">
      <c r="A18" s="0" t="s">
        <v>124</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125</v>
      </c>
      <c r="C19" s="0" t="n">
        <f aca="false">C15+C16+C17+C18</f>
        <v>14230.7493544</v>
      </c>
      <c r="D19" s="0" t="n">
        <f aca="false">D15+D16+D17+D18</f>
        <v>15427.132567198</v>
      </c>
      <c r="E19" s="0" t="n">
        <f aca="false">E15+E16+E17+E18</f>
        <v>18543.732118814</v>
      </c>
      <c r="F19" s="0" t="n">
        <f aca="false">F15+F16+F17+F18</f>
        <v>22150.3941632091</v>
      </c>
      <c r="G19" s="0" t="n">
        <f aca="false">G15+G16+G17+G18</f>
        <v>25575.3921565808</v>
      </c>
      <c r="H19" s="0" t="n">
        <f aca="false">H15+H16+H17+H18</f>
        <v>28865.0247964624</v>
      </c>
      <c r="I19" s="0" t="n">
        <f aca="false">I15+I16+I17+I18</f>
        <v>32265.302780798</v>
      </c>
      <c r="J19" s="0" t="n">
        <f aca="false">J15+J16+J17+J18</f>
        <v>35045.9643987808</v>
      </c>
      <c r="K19" s="0" t="n">
        <f aca="false">K15+K16+K17+K18</f>
        <v>37814.7743922253</v>
      </c>
      <c r="L19" s="0" t="n">
        <f aca="false">L15+L16+L17+L18</f>
        <v>39138.2914959532</v>
      </c>
    </row>
    <row r="20" customFormat="false" ht="15" hidden="false" customHeight="false" outlineLevel="0" collapsed="false">
      <c r="A20" s="0" t="s">
        <v>126</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127</v>
      </c>
      <c r="C21" s="0" t="n">
        <f aca="false">C19*C20</f>
        <v>12937.0448676364</v>
      </c>
      <c r="D21" s="0" t="n">
        <f aca="false">D19*D20</f>
        <v>12749.6963365273</v>
      </c>
      <c r="E21" s="0" t="n">
        <f aca="false">E19*E20</f>
        <v>13932.1804048189</v>
      </c>
      <c r="F21" s="0" t="n">
        <f aca="false">F19*F20</f>
        <v>15129.0172551117</v>
      </c>
      <c r="G21" s="0" t="n">
        <f aca="false">G19*G20</f>
        <v>15880.3063356209</v>
      </c>
      <c r="H21" s="0" t="n">
        <f aca="false">H19*H20</f>
        <v>16293.5539879588</v>
      </c>
      <c r="I21" s="0" t="n">
        <f aca="false">I19*I20</f>
        <v>16557.2020591383</v>
      </c>
      <c r="J21" s="0" t="n">
        <f aca="false">J19*J20</f>
        <v>16349.2010385988</v>
      </c>
      <c r="K21" s="0" t="n">
        <f aca="false">K19*K20</f>
        <v>16037.1557590356</v>
      </c>
      <c r="L21" s="0" t="n">
        <f aca="false">L19*L20</f>
        <v>15089.5056460016</v>
      </c>
    </row>
    <row r="23" customFormat="false" ht="15" hidden="false" customHeight="false" outlineLevel="0" collapsed="false">
      <c r="A23" s="0" t="s">
        <v>103</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Assumptions!$B$48</f>
        <v>10</v>
      </c>
    </row>
    <row r="28" customFormat="false" ht="15" hidden="false" customHeight="false" outlineLevel="0" collapsed="false">
      <c r="A28" s="0" t="s">
        <v>108</v>
      </c>
      <c r="B28" s="4" t="n">
        <f aca="false">Assumptions!$B$49</f>
        <v>3.5</v>
      </c>
    </row>
    <row r="29" customFormat="false" ht="15" hidden="false" customHeight="false" outlineLevel="0" collapsed="false">
      <c r="A29" s="0" t="s">
        <v>109</v>
      </c>
      <c r="B29" s="4" t="n">
        <f aca="false">Assumptions!$B$50</f>
        <v>16</v>
      </c>
    </row>
    <row r="30" customFormat="false" ht="15" hidden="false" customHeight="false" outlineLevel="0" collapsed="false">
      <c r="A30" s="0" t="s">
        <v>130</v>
      </c>
      <c r="B30" s="0" t="n">
        <f aca="false">SUM(C21:L21)</f>
        <v>150954.863690448</v>
      </c>
    </row>
    <row r="31" customFormat="false" ht="15" hidden="false" customHeight="false" outlineLevel="0" collapsed="false">
      <c r="A31" s="0" t="s">
        <v>131</v>
      </c>
      <c r="B31" s="0" t="n">
        <f aca="false">L19</f>
        <v>39138.2914959532</v>
      </c>
    </row>
    <row r="32" customFormat="false" ht="15" hidden="false" customHeight="false" outlineLevel="0" collapsed="false">
      <c r="A32" s="0" t="s">
        <v>132</v>
      </c>
      <c r="B32" s="0" t="n">
        <f aca="false">IF(B27&gt;B28,B31*(1+B28/100)/((B27-B28)/100),B31*B29)</f>
        <v>623202.02612787</v>
      </c>
    </row>
    <row r="33" customFormat="false" ht="15" hidden="false" customHeight="false" outlineLevel="0" collapsed="false">
      <c r="A33" s="0" t="s">
        <v>133</v>
      </c>
      <c r="B33" s="0" t="n">
        <f aca="false">B31*B29</f>
        <v>626212.663935251</v>
      </c>
    </row>
    <row r="34" customFormat="false" ht="15" hidden="false" customHeight="false" outlineLevel="0" collapsed="false">
      <c r="A34" s="0" t="s">
        <v>134</v>
      </c>
      <c r="B34" s="0" t="n">
        <f aca="false">MAX(0,MIN(B32,B33))</f>
        <v>623202.02612787</v>
      </c>
    </row>
    <row r="35" customFormat="false" ht="15" hidden="false" customHeight="false" outlineLevel="0" collapsed="false">
      <c r="A35" s="0" t="s">
        <v>135</v>
      </c>
      <c r="B35" s="0" t="n">
        <f aca="false">B34/(1+B27/100)^L4</f>
        <v>240271.359132488</v>
      </c>
    </row>
    <row r="36" customFormat="false" ht="15" hidden="false" customHeight="false" outlineLevel="0" collapsed="false">
      <c r="A36" s="0" t="s">
        <v>136</v>
      </c>
      <c r="B36" s="0" t="n">
        <f aca="false">B30+B35</f>
        <v>391226.222822936</v>
      </c>
    </row>
    <row r="37" customFormat="false" ht="15" hidden="false" customHeight="false" outlineLevel="0" collapsed="false">
      <c r="A37" s="0" t="s">
        <v>137</v>
      </c>
      <c r="B37" s="0" t="n">
        <f aca="false">B36+Assumptions!$B$5-Assumptions!$B$4</f>
        <v>391226.222822936</v>
      </c>
    </row>
    <row r="38" customFormat="false" ht="15" hidden="false" customHeight="false" outlineLevel="0" collapsed="false">
      <c r="A38" s="0" t="s">
        <v>138</v>
      </c>
      <c r="B38" s="0" t="n">
        <f aca="false">B37/Assumptions!$B$3*Assumptions!$B$10</f>
        <v>10.3839870701301</v>
      </c>
    </row>
    <row r="39" customFormat="false" ht="15" hidden="false" customHeight="false" outlineLevel="0" collapsed="false">
      <c r="A39" s="0" t="s">
        <v>139</v>
      </c>
      <c r="B39" s="4" t="n">
        <f aca="false">B38/Assumptions!$B$2-1</f>
        <v>1.05217135773322</v>
      </c>
    </row>
    <row r="41" customFormat="false" ht="15" hidden="false" customHeight="false" outlineLevel="0" collapsed="false">
      <c r="A41" s="0" t="s">
        <v>140</v>
      </c>
      <c r="B41" s="0" t="n">
        <f aca="false">SUMPRODUCT(-C10:L10/(1+$B$27/100)^C4:L4)</f>
        <v>0</v>
      </c>
    </row>
    <row r="42" customFormat="false" ht="15" hidden="false" customHeight="false" outlineLevel="0" collapsed="false">
      <c r="A42" s="0" t="s">
        <v>141</v>
      </c>
      <c r="B42" s="0" t="n">
        <f aca="false">IF(B27&gt;B28,-L10*(1+B28/100)/((B27-B28)/100),-L10*20)/(1+B27/100)^L4</f>
        <v>0</v>
      </c>
    </row>
    <row r="43" customFormat="false" ht="15" hidden="false" customHeight="false" outlineLevel="0" collapsed="false">
      <c r="A43" s="0" t="s">
        <v>142</v>
      </c>
      <c r="B43" s="0" t="n">
        <f aca="false">(B37+B41+B42)/Assumptions!$B$3*Assumptions!$B$10</f>
        <v>10.3839870701301</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352244.623463579</v>
      </c>
    </row>
    <row r="47" customFormat="false" ht="15" hidden="false" customHeight="false" outlineLevel="0" collapsed="false">
      <c r="A47" s="0" t="s">
        <v>144</v>
      </c>
      <c r="B47" s="0" t="n">
        <f aca="false">(SUMPRODUCT(C19:L19/(1+B45/100)^C4:L4)+B46/(1+B45/100)^L4+Assumptions!$B$5-Assumptions!$B$4)/Assumptions!$B$3*Assumptions!$B$10</f>
        <v>5.44568566587683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147</v>
      </c>
    </row>
    <row r="3" customFormat="false" ht="15" hidden="false" customHeight="false" outlineLevel="0" collapsed="false">
      <c r="A3" s="2" t="s">
        <v>148</v>
      </c>
      <c r="B3" s="2" t="s">
        <v>149</v>
      </c>
      <c r="C3" s="2" t="s">
        <v>139</v>
      </c>
      <c r="D3" s="2" t="s">
        <v>150</v>
      </c>
      <c r="E3" s="2" t="s">
        <v>142</v>
      </c>
      <c r="F3" s="2" t="s">
        <v>151</v>
      </c>
    </row>
    <row r="4" customFormat="false" ht="15" hidden="false" customHeight="false" outlineLevel="0" collapsed="false">
      <c r="A4" s="0" t="s">
        <v>152</v>
      </c>
      <c r="B4" s="4" t="n">
        <f aca="false">DCF_Bear!$B$38</f>
        <v>2.50102376480833</v>
      </c>
      <c r="C4" s="0" t="n">
        <f aca="false">B4/Assumptions!$B$2-1</f>
        <v>-0.505726528694007</v>
      </c>
      <c r="D4" s="4" t="n">
        <f aca="false">Assumptions!$B$24</f>
        <v>0.25</v>
      </c>
      <c r="E4" s="4" t="n">
        <f aca="false">DCF_Bear!$B$43</f>
        <v>2.50102376480833</v>
      </c>
      <c r="F4" s="4" t="n">
        <f aca="false">DCF_Bear!$B$47</f>
        <v>1.69550060888848</v>
      </c>
    </row>
    <row r="5" customFormat="false" ht="15" hidden="false" customHeight="false" outlineLevel="0" collapsed="false">
      <c r="A5" s="0" t="s">
        <v>153</v>
      </c>
      <c r="B5" s="4" t="n">
        <f aca="false">DCF_Base!$B$38</f>
        <v>6.40676893203325</v>
      </c>
      <c r="C5" s="0" t="n">
        <f aca="false">B5/Assumptions!$B$2-1</f>
        <v>0.26615986799076</v>
      </c>
      <c r="D5" s="4" t="n">
        <f aca="false">Assumptions!$B$38</f>
        <v>0.5</v>
      </c>
      <c r="E5" s="4" t="n">
        <f aca="false">DCF_Base!$B$43</f>
        <v>6.40676893203325</v>
      </c>
      <c r="F5" s="4" t="n">
        <f aca="false">DCF_Base!$B$47</f>
        <v>3.63767778144503</v>
      </c>
    </row>
    <row r="6" customFormat="false" ht="15" hidden="false" customHeight="false" outlineLevel="0" collapsed="false">
      <c r="A6" s="0" t="s">
        <v>154</v>
      </c>
      <c r="B6" s="4" t="n">
        <f aca="false">DCF_Bull!$B$38</f>
        <v>10.3839870701301</v>
      </c>
      <c r="C6" s="0" t="n">
        <f aca="false">B6/Assumptions!$B$2-1</f>
        <v>1.05217135773322</v>
      </c>
      <c r="D6" s="4" t="n">
        <f aca="false">Assumptions!$B$52</f>
        <v>0.25</v>
      </c>
      <c r="E6" s="4" t="n">
        <f aca="false">DCF_Bull!$B$43</f>
        <v>10.3839870701301</v>
      </c>
      <c r="F6" s="4" t="n">
        <f aca="false">DCF_Bull!$B$47</f>
        <v>5.44568566587683</v>
      </c>
    </row>
    <row r="8" customFormat="false" ht="15" hidden="false" customHeight="false" outlineLevel="0" collapsed="false">
      <c r="A8" s="0" t="s">
        <v>155</v>
      </c>
      <c r="B8" s="0" t="n">
        <f aca="false">SUMPRODUCT(B4:B6,D4:D6)</f>
        <v>6.42463717475123</v>
      </c>
    </row>
    <row r="9" customFormat="false" ht="15" hidden="false" customHeight="false" outlineLevel="0" collapsed="false">
      <c r="A9" s="0" t="s">
        <v>156</v>
      </c>
      <c r="B9" s="0" t="n">
        <f aca="false">SUMPRODUCT(E4:E6,D4:D6)</f>
        <v>6.42463717475123</v>
      </c>
    </row>
    <row r="10" customFormat="false" ht="15" hidden="false" customHeight="false" outlineLevel="0" collapsed="false">
      <c r="A10" s="0" t="s">
        <v>157</v>
      </c>
      <c r="B10" s="0" t="n">
        <f aca="false">1-Assumptions!$B$2/B8</f>
        <v>0.212406885810492</v>
      </c>
    </row>
    <row r="11" customFormat="false" ht="15" hidden="false" customHeight="false" outlineLevel="0" collapsed="false">
      <c r="A11" s="0" t="s">
        <v>158</v>
      </c>
      <c r="B11" s="0" t="str">
        <f aca="false">IF(ABS(B9-B8)&gt;0.01*ABS(B8),(Assumptions!$B$2-B8)/(B9-B8)*100,"n/a")</f>
        <v>n/a</v>
      </c>
    </row>
    <row r="12" customFormat="false" ht="15" hidden="false" customHeight="false" outlineLevel="0" collapsed="false">
      <c r="A12" s="0" t="s">
        <v>159</v>
      </c>
      <c r="B12" s="0" t="n">
        <f aca="false">SUMPRODUCT(F4:F6,D4:D6)</f>
        <v>3.60413545941384</v>
      </c>
    </row>
    <row r="14" customFormat="false" ht="15" hidden="false" customHeight="false" outlineLevel="0" collapsed="false">
      <c r="A14" s="2" t="s">
        <v>160</v>
      </c>
      <c r="C14" s="0" t="s">
        <v>161</v>
      </c>
    </row>
    <row r="15" customFormat="false" ht="15" hidden="false" customHeight="false" outlineLevel="0" collapsed="false">
      <c r="A15" s="0" t="s">
        <v>162</v>
      </c>
      <c r="B15" s="0" t="n">
        <f aca="false">(SUMPRODUCT(DCF_Base!$C$19:$L$19/(1+$C$15/100)^DCF_Base!$C$4:$L$4)+MAX(0,MIN(IF($C$15&gt;DCF_Base!$B$28,DCF_Base!$L$19*(1+DCF_Base!$B$28/100)/(($C$15-DCF_Base!$B$28)/100),DCF_Base!$L$19*DCF_Base!$B$29),DCF_Base!$L$19*DCF_Base!$B$29))/(1+$C$15/100)^DCF_Base!$L$4+Assumptions!$B$5-Assumptions!$B$4)/Assumptions!$B$3*Assumptions!$B$10</f>
        <v>6.89541411511804</v>
      </c>
      <c r="C15" s="3" t="n">
        <v>9</v>
      </c>
    </row>
    <row r="16" customFormat="false" ht="15" hidden="false" customHeight="false" outlineLevel="0" collapsed="false">
      <c r="A16" s="0" t="s">
        <v>163</v>
      </c>
      <c r="B16" s="0" t="n">
        <f aca="false">(SUMPRODUCT(DCF_Base!$C$19:$L$19/(1+$C$16/100)^DCF_Base!$C$4:$L$4)+MAX(0,MIN(IF($C$16&gt;DCF_Base!$B$28,DCF_Base!$L$19*(1+DCF_Base!$B$28/100)/(($C$16-DCF_Base!$B$28)/100),DCF_Base!$L$19*DCF_Base!$B$29),DCF_Base!$L$19*DCF_Base!$B$29))/(1+$C$16/100)^DCF_Base!$L$4+Assumptions!$B$5-Assumptions!$B$4)/Assumptions!$B$3*Assumptions!$B$10</f>
        <v>6.40676893203325</v>
      </c>
      <c r="C16" s="3" t="n">
        <v>10</v>
      </c>
    </row>
    <row r="17" customFormat="false" ht="15" hidden="false" customHeight="false" outlineLevel="0" collapsed="false">
      <c r="A17" s="0" t="s">
        <v>164</v>
      </c>
      <c r="B17" s="0" t="n">
        <f aca="false">(SUMPRODUCT(DCF_Base!$C$19:$L$19/(1+$C$17/100)^DCF_Base!$C$4:$L$4)+MAX(0,MIN(IF($C$17&gt;DCF_Base!$B$28,DCF_Base!$L$19*(1+DCF_Base!$B$28/100)/(($C$17-DCF_Base!$B$28)/100),DCF_Base!$L$19*DCF_Base!$B$29),DCF_Base!$L$19*DCF_Base!$B$29))/(1+$C$17/100)^DCF_Base!$L$4+Assumptions!$B$5-Assumptions!$B$4)/Assumptions!$B$3*Assumptions!$B$10</f>
        <v>5.69753924863871</v>
      </c>
      <c r="C17" s="3" t="n">
        <v>11</v>
      </c>
    </row>
    <row r="18" customFormat="false" ht="15" hidden="false" customHeight="false" outlineLevel="0" collapsed="false">
      <c r="A18" s="0" t="s">
        <v>165</v>
      </c>
      <c r="B18" s="0" t="n">
        <f aca="false">(SUMPRODUCT(DCF_Base!$C$19:$L$19/(1+$C$18/100)^DCF_Base!$C$4:$L$4)+MAX(0,MIN(IF($C$18&gt;DCF_Base!$B$28,DCF_Base!$L$19*(1+DCF_Base!$B$28/100)/(($C$18-DCF_Base!$B$28)/100),DCF_Base!$L$19*DCF_Base!$B$29),DCF_Base!$L$19*DCF_Base!$B$29))/(1+$C$18/100)^DCF_Base!$L$4+Assumptions!$B$5-Assumptions!$B$4)/Assumptions!$B$3*Assumptions!$B$10</f>
        <v>5.00668068614874</v>
      </c>
      <c r="C18" s="3" t="n">
        <v>12</v>
      </c>
    </row>
    <row r="19" customFormat="false" ht="15" hidden="false" customHeight="false" outlineLevel="0" collapsed="false">
      <c r="A19" s="0" t="s">
        <v>166</v>
      </c>
      <c r="B19" s="0" t="n">
        <f aca="false">(SUMPRODUCT(DCF_Base!$C$19:$L$19/(1+$C$19/100)^DCF_Base!$C$4:$L$4)+MAX(0,MIN(IF($C$19&gt;DCF_Base!$B$28,DCF_Base!$L$19*(1+DCF_Base!$B$28/100)/(($C$19-DCF_Base!$B$28)/100),DCF_Base!$L$19*DCF_Base!$B$29),DCF_Base!$L$19*DCF_Base!$B$29))/(1+$C$19/100)^DCF_Base!$L$4+Assumptions!$B$5-Assumptions!$B$4)/Assumptions!$B$3*Assumptions!$B$10</f>
        <v>3.63767778144503</v>
      </c>
      <c r="C19" s="3" t="n">
        <v>15</v>
      </c>
    </row>
    <row r="21" customFormat="false" ht="15" hidden="false" customHeight="false" outlineLevel="0" collapsed="false">
      <c r="A21" s="2" t="s">
        <v>167</v>
      </c>
    </row>
    <row r="22" customFormat="false" ht="15" hidden="false" customHeight="false" outlineLevel="0" collapsed="false">
      <c r="B22" s="3" t="n">
        <v>2</v>
      </c>
      <c r="C22" s="3" t="n">
        <v>2.5</v>
      </c>
      <c r="D22" s="3" t="n">
        <v>3</v>
      </c>
      <c r="E22" s="3" t="n">
        <v>3.5</v>
      </c>
      <c r="F22" s="3" t="n">
        <v>4</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7.43157345762422</v>
      </c>
      <c r="C23" s="0" t="n">
        <f aca="false">(SUMPRODUCT(DCF_Base!$C$19:$L$19/(1+$A$23/100)^DCF_Base!$C$4:$L$4)+MAX(0,MIN(IF($A$23&gt;$C$22,DCF_Base!$L$19*(1+$C$22/100)/(($A$23-$C$22)/100),DCF_Base!$L$19*DCF_Base!$B$29),DCF_Base!$L$19*DCF_Base!$B$29))/(1+$A$23/100)^DCF_Base!$L$4+Assumptions!$B$5-Assumptions!$B$4)/Assumptions!$B$3*Assumptions!$B$10</f>
        <v>7.43157345762422</v>
      </c>
      <c r="D23" s="0" t="n">
        <f aca="false">(SUMPRODUCT(DCF_Base!$C$19:$L$19/(1+$A$23/100)^DCF_Base!$C$4:$L$4)+MAX(0,MIN(IF($A$23&gt;$D$22,DCF_Base!$L$19*(1+$D$22/100)/(($A$23-$D$22)/100),DCF_Base!$L$19*DCF_Base!$B$29),DCF_Base!$L$19*DCF_Base!$B$29))/(1+$A$23/100)^DCF_Base!$L$4+Assumptions!$B$5-Assumptions!$B$4)/Assumptions!$B$3*Assumptions!$B$10</f>
        <v>7.43157345762422</v>
      </c>
      <c r="E23" s="0" t="n">
        <f aca="false">(SUMPRODUCT(DCF_Base!$C$19:$L$19/(1+$A$23/100)^DCF_Base!$C$4:$L$4)+MAX(0,MIN(IF($A$23&gt;$E$22,DCF_Base!$L$19*(1+$E$22/100)/(($A$23-$E$22)/100),DCF_Base!$L$19*DCF_Base!$B$29),DCF_Base!$L$19*DCF_Base!$B$29))/(1+$A$23/100)^DCF_Base!$L$4+Assumptions!$B$5-Assumptions!$B$4)/Assumptions!$B$3*Assumptions!$B$10</f>
        <v>7.43157345762422</v>
      </c>
      <c r="F23" s="0" t="n">
        <f aca="false">(SUMPRODUCT(DCF_Base!$C$19:$L$19/(1+$A$23/100)^DCF_Base!$C$4:$L$4)+MAX(0,MIN(IF($A$23&gt;$F$22,DCF_Base!$L$19*(1+$F$22/100)/(($A$23-$F$22)/100),DCF_Base!$L$19*DCF_Base!$B$29),DCF_Base!$L$19*DCF_Base!$B$29))/(1+$A$23/100)^DCF_Base!$L$4+Assumptions!$B$5-Assumptions!$B$4)/Assumptions!$B$3*Assumptions!$B$10</f>
        <v>7.43157345762422</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6.89541411511804</v>
      </c>
      <c r="C24" s="0" t="n">
        <f aca="false">(SUMPRODUCT(DCF_Base!$C$19:$L$19/(1+$A$24/100)^DCF_Base!$C$4:$L$4)+MAX(0,MIN(IF($A$24&gt;$C$22,DCF_Base!$L$19*(1+$C$22/100)/(($A$24-$C$22)/100),DCF_Base!$L$19*DCF_Base!$B$29),DCF_Base!$L$19*DCF_Base!$B$29))/(1+$A$24/100)^DCF_Base!$L$4+Assumptions!$B$5-Assumptions!$B$4)/Assumptions!$B$3*Assumptions!$B$10</f>
        <v>6.89541411511804</v>
      </c>
      <c r="D24" s="0" t="n">
        <f aca="false">(SUMPRODUCT(DCF_Base!$C$19:$L$19/(1+$A$24/100)^DCF_Base!$C$4:$L$4)+MAX(0,MIN(IF($A$24&gt;$D$22,DCF_Base!$L$19*(1+$D$22/100)/(($A$24-$D$22)/100),DCF_Base!$L$19*DCF_Base!$B$29),DCF_Base!$L$19*DCF_Base!$B$29))/(1+$A$24/100)^DCF_Base!$L$4+Assumptions!$B$5-Assumptions!$B$4)/Assumptions!$B$3*Assumptions!$B$10</f>
        <v>6.89541411511804</v>
      </c>
      <c r="E24" s="0" t="n">
        <f aca="false">(SUMPRODUCT(DCF_Base!$C$19:$L$19/(1+$A$24/100)^DCF_Base!$C$4:$L$4)+MAX(0,MIN(IF($A$24&gt;$E$22,DCF_Base!$L$19*(1+$E$22/100)/(($A$24-$E$22)/100),DCF_Base!$L$19*DCF_Base!$B$29),DCF_Base!$L$19*DCF_Base!$B$29))/(1+$A$24/100)^DCF_Base!$L$4+Assumptions!$B$5-Assumptions!$B$4)/Assumptions!$B$3*Assumptions!$B$10</f>
        <v>6.89541411511804</v>
      </c>
      <c r="F24" s="0" t="n">
        <f aca="false">(SUMPRODUCT(DCF_Base!$C$19:$L$19/(1+$A$24/100)^DCF_Base!$C$4:$L$4)+MAX(0,MIN(IF($A$24&gt;$F$22,DCF_Base!$L$19*(1+$F$22/100)/(($A$24-$F$22)/100),DCF_Base!$L$19*DCF_Base!$B$29),DCF_Base!$L$19*DCF_Base!$B$29))/(1+$A$24/100)^DCF_Base!$L$4+Assumptions!$B$5-Assumptions!$B$4)/Assumptions!$B$3*Assumptions!$B$10</f>
        <v>6.89541411511804</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6.08640891435031</v>
      </c>
      <c r="C25" s="0" t="n">
        <f aca="false">(SUMPRODUCT(DCF_Base!$C$19:$L$19/(1+$A$25/100)^DCF_Base!$C$4:$L$4)+MAX(0,MIN(IF($A$25&gt;$C$22,DCF_Base!$L$19*(1+$C$22/100)/(($A$25-$C$22)/100),DCF_Base!$L$19*DCF_Base!$B$29),DCF_Base!$L$19*DCF_Base!$B$29))/(1+$A$25/100)^DCF_Base!$L$4+Assumptions!$B$5-Assumptions!$B$4)/Assumptions!$B$3*Assumptions!$B$10</f>
        <v>6.32133959398446</v>
      </c>
      <c r="D25" s="0" t="n">
        <f aca="false">(SUMPRODUCT(DCF_Base!$C$19:$L$19/(1+$A$25/100)^DCF_Base!$C$4:$L$4)+MAX(0,MIN(IF($A$25&gt;$D$22,DCF_Base!$L$19*(1+$D$22/100)/(($A$25-$D$22)/100),DCF_Base!$L$19*DCF_Base!$B$29),DCF_Base!$L$19*DCF_Base!$B$29))/(1+$A$25/100)^DCF_Base!$L$4+Assumptions!$B$5-Assumptions!$B$4)/Assumptions!$B$3*Assumptions!$B$10</f>
        <v>6.40676893203325</v>
      </c>
      <c r="E25" s="0" t="n">
        <f aca="false">(SUMPRODUCT(DCF_Base!$C$19:$L$19/(1+$A$25/100)^DCF_Base!$C$4:$L$4)+MAX(0,MIN(IF($A$25&gt;$E$22,DCF_Base!$L$19*(1+$E$22/100)/(($A$25-$E$22)/100),DCF_Base!$L$19*DCF_Base!$B$29),DCF_Base!$L$19*DCF_Base!$B$29))/(1+$A$25/100)^DCF_Base!$L$4+Assumptions!$B$5-Assumptions!$B$4)/Assumptions!$B$3*Assumptions!$B$10</f>
        <v>6.40676893203325</v>
      </c>
      <c r="F25" s="0" t="n">
        <f aca="false">(SUMPRODUCT(DCF_Base!$C$19:$L$19/(1+$A$25/100)^DCF_Base!$C$4:$L$4)+MAX(0,MIN(IF($A$25&gt;$F$22,DCF_Base!$L$19*(1+$F$22/100)/(($A$25-$F$22)/100),DCF_Base!$L$19*DCF_Base!$B$29),DCF_Base!$L$19*DCF_Base!$B$29))/(1+$A$25/100)^DCF_Base!$L$4+Assumptions!$B$5-Assumptions!$B$4)/Assumptions!$B$3*Assumptions!$B$10</f>
        <v>6.40676893203325</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5.33661518201858</v>
      </c>
      <c r="C26" s="0" t="n">
        <f aca="false">(SUMPRODUCT(DCF_Base!$C$19:$L$19/(1+$A$26/100)^DCF_Base!$C$4:$L$4)+MAX(0,MIN(IF($A$26&gt;$C$22,DCF_Base!$L$19*(1+$C$22/100)/(($A$26-$C$22)/100),DCF_Base!$L$19*DCF_Base!$B$29),DCF_Base!$L$19*DCF_Base!$B$29))/(1+$A$26/100)^DCF_Base!$L$4+Assumptions!$B$5-Assumptions!$B$4)/Assumptions!$B$3*Assumptions!$B$10</f>
        <v>5.50646180160452</v>
      </c>
      <c r="D26" s="0" t="n">
        <f aca="false">(SUMPRODUCT(DCF_Base!$C$19:$L$19/(1+$A$26/100)^DCF_Base!$C$4:$L$4)+MAX(0,MIN(IF($A$26&gt;$D$22,DCF_Base!$L$19*(1+$D$22/100)/(($A$26-$D$22)/100),DCF_Base!$L$19*DCF_Base!$B$29),DCF_Base!$L$19*DCF_Base!$B$29))/(1+$A$26/100)^DCF_Base!$L$4+Assumptions!$B$5-Assumptions!$B$4)/Assumptions!$B$3*Assumptions!$B$10</f>
        <v>5.69753924863871</v>
      </c>
      <c r="E26" s="0" t="n">
        <f aca="false">(SUMPRODUCT(DCF_Base!$C$19:$L$19/(1+$A$26/100)^DCF_Base!$C$4:$L$4)+MAX(0,MIN(IF($A$26&gt;$E$22,DCF_Base!$L$19*(1+$E$22/100)/(($A$26-$E$22)/100),DCF_Base!$L$19*DCF_Base!$B$29),DCF_Base!$L$19*DCF_Base!$B$29))/(1+$A$26/100)^DCF_Base!$L$4+Assumptions!$B$5-Assumptions!$B$4)/Assumptions!$B$3*Assumptions!$B$10</f>
        <v>5.91409368861079</v>
      </c>
      <c r="F26" s="0" t="n">
        <f aca="false">(SUMPRODUCT(DCF_Base!$C$19:$L$19/(1+$A$26/100)^DCF_Base!$C$4:$L$4)+MAX(0,MIN(IF($A$26&gt;$F$22,DCF_Base!$L$19*(1+$F$22/100)/(($A$26-$F$22)/100),DCF_Base!$L$19*DCF_Base!$B$29),DCF_Base!$L$19*DCF_Base!$B$29))/(1+$A$26/100)^DCF_Base!$L$4+Assumptions!$B$5-Assumptions!$B$4)/Assumptions!$B$3*Assumptions!$B$10</f>
        <v>5.96091627022637</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4.74033207651517</v>
      </c>
      <c r="C27" s="0" t="n">
        <f aca="false">(SUMPRODUCT(DCF_Base!$C$19:$L$19/(1+$A$27/100)^DCF_Base!$C$4:$L$4)+MAX(0,MIN(IF($A$27&gt;$C$22,DCF_Base!$L$19*(1+$C$22/100)/(($A$27-$C$22)/100),DCF_Base!$L$19*DCF_Base!$B$29),DCF_Base!$L$19*DCF_Base!$B$29))/(1+$A$27/100)^DCF_Base!$L$4+Assumptions!$B$5-Assumptions!$B$4)/Assumptions!$B$3*Assumptions!$B$10</f>
        <v>4.86649720739423</v>
      </c>
      <c r="D27" s="0" t="n">
        <f aca="false">(SUMPRODUCT(DCF_Base!$C$19:$L$19/(1+$A$27/100)^DCF_Base!$C$4:$L$4)+MAX(0,MIN(IF($A$27&gt;$D$22,DCF_Base!$L$19*(1+$D$22/100)/(($A$27-$D$22)/100),DCF_Base!$L$19*DCF_Base!$B$29),DCF_Base!$L$19*DCF_Base!$B$29))/(1+$A$27/100)^DCF_Base!$L$4+Assumptions!$B$5-Assumptions!$B$4)/Assumptions!$B$3*Assumptions!$B$10</f>
        <v>5.00668068614874</v>
      </c>
      <c r="E27" s="0" t="n">
        <f aca="false">(SUMPRODUCT(DCF_Base!$C$19:$L$19/(1+$A$27/100)^DCF_Base!$C$4:$L$4)+MAX(0,MIN(IF($A$27&gt;$E$22,DCF_Base!$L$19*(1+$E$22/100)/(($A$27-$E$22)/100),DCF_Base!$L$19*DCF_Base!$B$29),DCF_Base!$L$19*DCF_Base!$B$29))/(1+$A$27/100)^DCF_Base!$L$4+Assumptions!$B$5-Assumptions!$B$4)/Assumptions!$B$3*Assumptions!$B$10</f>
        <v>5.16335633887436</v>
      </c>
      <c r="F27" s="0" t="n">
        <f aca="false">(SUMPRODUCT(DCF_Base!$C$19:$L$19/(1+$A$27/100)^DCF_Base!$C$4:$L$4)+MAX(0,MIN(IF($A$27&gt;$F$22,DCF_Base!$L$19*(1+$F$22/100)/(($A$27-$F$22)/100),DCF_Base!$L$19*DCF_Base!$B$29),DCF_Base!$L$19*DCF_Base!$B$29))/(1+$A$27/100)^DCF_Base!$L$4+Assumptions!$B$5-Assumptions!$B$4)/Assumptions!$B$3*Assumptions!$B$10</f>
        <v>5.33961644819069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2026-10-16T09:47:11Z</dcterms:created>
  <dc:creator>openpyxl</dc:creator>
  <dc:description/>
  <dc:language>en-NZ</dc:language>
  <cp:lastModifiedBy/>
  <dcterms:modified xsi:type="dcterms:W3CDTF">2026-10-16T09:47:11Z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