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_Info" sheetId="1" state="visible" r:id="rId3"/>
    <sheet name="Actuals_Data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<sst xmlns="http://schemas.openxmlformats.org/spreadsheetml/2006/main" count="292" uniqueCount="183">
  <si>
    <t xml:space="preserve">PINTEREST (PINS) - DCF MODEL</t>
  </si>
  <si>
    <t xml:space="preserve">Lineage</t>
  </si>
  <si>
    <t xml:space="preserve">PINS v1.0, built 8-Aug-2026 by Claude (Fable 5) with Stephen via claude.ai (openpyxl; recalculated in LibreOffice; key outputs hand-checked). Fresh build - no prior PINS workbook exists. First live run of the equity-deep-dive -&gt; tech-dcf-workbook pipeline.</t>
  </si>
  <si>
    <t xml:space="preserve">DATA VINTAGE</t>
  </si>
  <si>
    <t xml:space="preserve">FY0 anchors</t>
  </si>
  <si>
    <t xml:space="preserve">FY25: revenue $4,222M (+16%), adj EBITDA $1,270M (30.1%), OCF $1,284M, FCF $1,252M - Q4/FY25 press release 12-Feb-26 (Business Wire/EDGAR). FY25 SBC estimated ~$870M + ~$33M equity-award payroll tax; exact figure to be trued up from the FY25 10-K on next update.</t>
  </si>
  <si>
    <t xml:space="preserve">Q2-26 print</t>
  </si>
  <si>
    <t xml:space="preserve">Revenue $1,179.7M +18% (+17% cc); MAU 640M +11% (12th consecutive record); ARPU UCAN $8.30 +14%, Europe $1.35, RoW $0.23; adj EBITDA $311.3M (26.4%); OCF $292.9M, FCF $269.9M; SBC $324.5M (+43% y/y, guided as the 2026 peak quarter); ad impressions +16%, pricing +1%. Press release + 10-Q, 4-Aug-26 (Business Wire / SEC EDGAR).</t>
  </si>
  <si>
    <t xml:space="preserve">FY1 guidance</t>
  </si>
  <si>
    <t xml:space="preserve">Q3-26 revenue $1,190-1,210M (+13-15%; FX headwind plus ~1.5pt one-off drag: Prime Day shift into Q2 and World Cup lapping); Q3-26 adj EBITDA $335-355M; FY26 adj EBITDA margin raised to ~30% (from 29%). Q2-26 earnings call, 4-Aug-26.</t>
  </si>
  <si>
    <t xml:space="preserve">Balance sheet / shares / price</t>
  </si>
  <si>
    <t xml:space="preserve">Net cash $274.9M = cash + marketable securities $1,274.9M (30-Jun-26 10-Q) less $1,000M face of 1.75% convertible senior notes due 1-Mar-2031, sold entirely to Elliott (related party; closed 5-Mar-26; conversion price $22.72 = 44.006M shares; capped calls strike $22.72 / cap $30.59, cost $99.2M). Undrawn $500M revolver. Diluted shares 577.6M (Q2-26 weighted: 562.9M basic + 14.7M dilutive). Price $23.33, regular close ~6-Aug-26 (aggregator) - refresh at next use. Buybacks: $2,024.9M in 1H26 at avg $18.17 (~111M shares retired); Nov-24 program canceled ($499.9M unused); March-26 program $3.5B authorized, roughly $1.9-2.0B remaining (approximate - confirm from 10-Q).</t>
  </si>
  <si>
    <t xml:space="preserve">Commitments / other</t>
  </si>
  <si>
    <t xml:space="preserve">AWS cloud commitment &gt;=$4.0B through 2031 ($3,927.9M remaining per 10-Q); tvScientific acquired Q1-26 for $465.1M (goodwill + intangibles ~$558M now on B/S); restructuring &lt;15% of workforce announced 27-Jan-26, total charges ~$69.6M through Q3-26 (one-off, excluded from run-rate); unrecognized SBC $1,443.8M (10-Q). Dual-class: Class B carries 20 votes/share - founders retain voting control.</t>
  </si>
  <si>
    <t xml:space="preserve">METHODOLOGY</t>
  </si>
  <si>
    <t xml:space="preserve">Owner-FCF basis</t>
  </si>
  <si>
    <t xml:space="preserve">SBC (incl. equity-award taxes) fully expensed, projected explicitly per scenario-year as % of revenue; INTEREST INCOME EXCLUDED from flows (cash pile added separately - including both double-counts); cash tax ramps from the current sheltered rate to a normalized ~21%; D&amp;A and capex as % of revenue; working capital = -7% of the YoY revenue increase (set for this business model); diluted shares held FLAT (SBC expensing substitutes for grant dilution; never do both). TV = Gordon capped at 20x terminal owner FCF. End-of-year discounting. WACC 10.5%. Street-convention values (SBC as non-cash) shown as memos - the house/street pair is the accounting-regime price band.</t>
  </si>
  <si>
    <t xml:space="preserve">Scenario drivers</t>
  </si>
  <si>
    <t xml:space="preserve">Scenario axes, driver paths and 15/50/35 weights proposed by Claude from the 8-Aug-26 deep dive and signed off by Stephen the same day at the Stage-2 checkpoint (explicitly including Base SBC declining only to ~15% of revenue by 2030). Convertible treated as debt inside net cash in ALL scenarios; if-converted alternative for Bull (relevant above $22.72): +44.0M shares and add back $1,000M to net cash, worth roughly -$0.6/share on Bull BEFORE the capped-call offset (which neutralizes dilution up to $30.59) - immaterial at the weighted level, so the simpler debt treatment is used throughout. Cash-tax ramp to 21% by 2029 is deliberately faster than the $1.6B DTA would permit (house rule: never perpetuate a temporary shelter).</t>
  </si>
  <si>
    <t xml:space="preserve">UPDATE INSTRUCTIONS</t>
  </si>
  <si>
    <t xml:space="preserve">Each quarter</t>
  </si>
  <si>
    <t xml:space="preserve">Refresh price, net cash (+date), diluted shares, buyback pace, and the guidance-year driver columns; reassess blue rows 5/7/9/14 per scenario only where new evidence exists; add/extend the Reconciliation tab; increment the version above.</t>
  </si>
  <si>
    <t xml:space="preserve">Conventions</t>
  </si>
  <si>
    <t xml:space="preserve">Blue = hardcoded input. Yellow = key levers. Black = formula. Green = cross-sheet link. Prefilled values are working examples of the expected format.</t>
  </si>
  <si>
    <t xml:space="preserve">PINS - Reported Actuals &amp; Current Guidance</t>
  </si>
  <si>
    <t xml:space="preserve">All cells hardcoded inputs (blue). Sources noted per row. Refresh each quarter.</t>
  </si>
  <si>
    <t xml:space="preserve">QUARTERLY REVENUE ($mm)</t>
  </si>
  <si>
    <t xml:space="preserve">Q1</t>
  </si>
  <si>
    <t xml:space="preserve">Q2</t>
  </si>
  <si>
    <t xml:space="preserve">Q3</t>
  </si>
  <si>
    <t xml:space="preserve">Q4</t>
  </si>
  <si>
    <t xml:space="preserve">FY</t>
  </si>
  <si>
    <t xml:space="preserve">2025</t>
  </si>
  <si>
    <t xml:space="preserve">Q4/FY25 press release 12-Feb-26. Q3-25 derived as FY less reported quarters.</t>
  </si>
  <si>
    <t xml:space="preserve">2026</t>
  </si>
  <si>
    <t xml:space="preserve">Q1-26 release 4-May-26 (+18% rep / +15% cc); Q2-26 release 4-Aug-26 (+18% rep / +17% cc).</t>
  </si>
  <si>
    <t xml:space="preserve">Q2-26 GEO DETAIL</t>
  </si>
  <si>
    <t xml:space="preserve">UCAN</t>
  </si>
  <si>
    <t xml:space="preserve">Europe</t>
  </si>
  <si>
    <t xml:space="preserve">RoW</t>
  </si>
  <si>
    <t xml:space="preserve">Global</t>
  </si>
  <si>
    <t xml:space="preserve">Revenue ($mm)</t>
  </si>
  <si>
    <t xml:space="preserve">Press release 4-Aug-26. UCAN +18%, Europe +12% (+7% cc), RoW +38% (+32% cc).</t>
  </si>
  <si>
    <t xml:space="preserve">MAU (mm)</t>
  </si>
  <si>
    <t xml:space="preserve">UCAN +4%, Europe +8%, RoW +15%, global +11% y/y.</t>
  </si>
  <si>
    <t xml:space="preserve">ARPU ($/quarter)</t>
  </si>
  <si>
    <t xml:space="preserve">UCAN +14%, Europe +4%, RoW +21%, global +7% y/y. UCAN = 75% of revenue from 17% of users.</t>
  </si>
  <si>
    <t xml:space="preserve">PROFITABILITY &amp; CASH FLOW ($mm)</t>
  </si>
  <si>
    <t xml:space="preserve">Adj EBITDA - FY25 / margin</t>
  </si>
  <si>
    <t xml:space="preserve">FY25 release. Q4-25 alone: $542M, 41% margin (seasonality).</t>
  </si>
  <si>
    <t xml:space="preserve">Adj EBITDA - Q1-26 / Q2-26</t>
  </si>
  <si>
    <t xml:space="preserve">Q2-26 margin 26.4%, +130bps y/y. 1H26 $517.8M.</t>
  </si>
  <si>
    <t xml:space="preserve">OCF / FCF - FY25</t>
  </si>
  <si>
    <t xml:space="preserve">FY25 capex only $32M (0.8% of revenue); FCF = 99% of adj EBITDA.</t>
  </si>
  <si>
    <t xml:space="preserve">OCF / FCF / capex - 1H26</t>
  </si>
  <si>
    <t xml:space="preserve">10-Q 4-Aug-26. Capex run-rate ~1.8% of revenue on AI infrastructure.</t>
  </si>
  <si>
    <t xml:space="preserve">SBC TRAJECTORY ($mm, cash-flow-statement basis)</t>
  </si>
  <si>
    <t xml:space="preserve">FY22 / FY23 / FY24</t>
  </si>
  <si>
    <t xml:space="preserve">10-K filings (via Macrotrends). 17.7% / 21.2% / 21.0% of revenue.</t>
  </si>
  <si>
    <t xml:space="preserve">FY25 (estimated)</t>
  </si>
  <si>
    <t xml:space="preserve">Estimate: 1H25 reported $414.7M; ~21% of revenue + ~$33M equity-award payroll tax. True up from FY25 10-K.</t>
  </si>
  <si>
    <t xml:space="preserve">Q1-26 / Q2-26</t>
  </si>
  <si>
    <t xml:space="preserve">10-Q. Q2 +43% y/y = 27.5% of revenue; guided as the 2026 peak quarter. Unrecognized SBC $1,443.8M.</t>
  </si>
  <si>
    <t xml:space="preserve">BALANCE SHEET, 30-JUN-26 ($mm)</t>
  </si>
  <si>
    <t xml:space="preserve">Cash / marketable securities</t>
  </si>
  <si>
    <t xml:space="preserve">10-Q. Total $1,274.9M. Undrawn $500M revolver.</t>
  </si>
  <si>
    <t xml:space="preserve">Convertible notes (face / carrying)</t>
  </si>
  <si>
    <t xml:space="preserve">1.75% due 1-Mar-2031; issued 5-Mar-26 to Elliott (related party). Conversion $22.72 (44.006M shares); capped calls to $30.59.</t>
  </si>
  <si>
    <t xml:space="preserve">AR / AP / accrued</t>
  </si>
  <si>
    <t xml:space="preserve">Net working capital ~$322M = ~7% of revenue - basis for the negative WC capture in Assumptions.</t>
  </si>
  <si>
    <t xml:space="preserve">Deferred tax assets</t>
  </si>
  <si>
    <t xml:space="preserve">NOL/DTA shelter keeps cash taxes near zero for now; model ramps to 21% by 2029 regardless (house rule).</t>
  </si>
  <si>
    <t xml:space="preserve">Goodwill / intangibles</t>
  </si>
  <si>
    <t xml:space="preserve">Jump from Dec-25 reflects tvScientific ($465.1M, closed Q1-26).</t>
  </si>
  <si>
    <t xml:space="preserve">SHARES &amp; BUYBACK</t>
  </si>
  <si>
    <t xml:space="preserve">Shares outstanding 30-Jun-26 (mm)</t>
  </si>
  <si>
    <t xml:space="preserve">490.7M Class A + 74.8M Class B (20 votes/sh). Down from 664.5M at 31-Dec-25: ~15% retired in six months.</t>
  </si>
  <si>
    <t xml:space="preserve">Diluted weighted Q2-26 (mm)</t>
  </si>
  <si>
    <t xml:space="preserve">562.9M basic + 14.7M dilutive securities (release table) - the valuation share count.</t>
  </si>
  <si>
    <t xml:space="preserve">1H26 repurchases ($mm / avg price)</t>
  </si>
  <si>
    <t xml:space="preserve">About 111M shares retired. Nov-24 program canceled ($499.9M unused); March-26 program $3.5B authorized, roughly $1.9-2.0B remaining (approximate).</t>
  </si>
  <si>
    <t xml:space="preserve">CURRENT GUIDANCE</t>
  </si>
  <si>
    <t xml:space="preserve">Q3-26 revenue ($mm, low / high)</t>
  </si>
  <si>
    <t xml:space="preserve">Guided 4-Aug-26: +13-15% y/y incl. FX headwind and ~1.5pt one-off drag (Prime Day shift, World Cup lapping).</t>
  </si>
  <si>
    <t xml:space="preserve">Q3-26 adj EBITDA ($mm, low / high)</t>
  </si>
  <si>
    <t xml:space="preserve">Q3 cost of revenue guided roughly flat sequentially on the AWS agreement.</t>
  </si>
  <si>
    <t xml:space="preserve">FY26 adj EBITDA margin (guide)</t>
  </si>
  <si>
    <t xml:space="preserve">Raised from 29% on 4-Aug-26. Long-term Investor-Day range 30-34% reiterated as the frame for 2027+.</t>
  </si>
  <si>
    <t xml:space="preserve">PINS - Global Assumptions &amp; Scenario Parameters</t>
  </si>
  <si>
    <t xml:space="preserve">Blue = hardcoded input. Yellow = key levers. All $ in millions unless stated.</t>
  </si>
  <si>
    <t xml:space="preserve">Global inputs</t>
  </si>
  <si>
    <t xml:space="preserve">WACC / discount rate</t>
  </si>
  <si>
    <t xml:space="preserve">D&amp;A (% of revenue)</t>
  </si>
  <si>
    <t xml:space="preserve">Capex + capitalized software (% of revenue)</t>
  </si>
  <si>
    <t xml:space="preserve">Working-capital capture (% of YoY revenue incr.)</t>
  </si>
  <si>
    <t xml:space="preserve">Sign/size per business model</t>
  </si>
  <si>
    <t xml:space="preserve">Net cash ($mm)</t>
  </si>
  <si>
    <t xml:space="preserve">cash + marketable securities $1,274.9M (30-Jun-26 10-Q) LESS $1,000M face 1.75% converts due 2031 (Elliott); deviation from cash-only default documented in Model_Info</t>
  </si>
  <si>
    <t xml:space="preserve">Fully diluted shares (mm)</t>
  </si>
  <si>
    <t xml:space="preserve">Q2-26 diluted weighted-avg: 562.9M basic + 14.7M dilutive (4-Aug-26 release); convert's 44.0M underlying shares excluded - notes carried as debt in net cash</t>
  </si>
  <si>
    <t xml:space="preserve">Current share price</t>
  </si>
  <si>
    <t xml:space="preserve">regular close ~6-Aug-26 (aggregator quotes; 4-Aug post-print close $25.58, AH $23.22) - refresh with a live quote at next use</t>
  </si>
  <si>
    <t xml:space="preserve">Terminal value cap (x terminal-year owner FCF)</t>
  </si>
  <si>
    <t xml:space="preserve">Scenario parameters</t>
  </si>
  <si>
    <t xml:space="preserve">Bear</t>
  </si>
  <si>
    <t xml:space="preserve">Base</t>
  </si>
  <si>
    <t xml:space="preserve">Bull</t>
  </si>
  <si>
    <t xml:space="preserve">Terminal growth rate</t>
  </si>
  <si>
    <t xml:space="preserve">Probability weight</t>
  </si>
  <si>
    <t xml:space="preserve">must sum to 100%</t>
  </si>
  <si>
    <t xml:space="preserve">Scenario narratives</t>
  </si>
  <si>
    <t xml:space="preserve">Assistant-led shopping and AI Overviews erode discovery top-of-funnel; UCAN ARPU gains stall after the easy Performance+ harvest; Europe stagnant post cross-border-retailer crackdown. Revenue fades to ~2% (2030 ~$6.3B); adj EBITDA stuck ~28%; SBC sticky at 20-22% of revenue (AI talent war); converts stay debt.</t>
  </si>
  <si>
    <t xml:space="preserve">Clicks-to-revenue gap partially closes via Performance+ and advertiser measurement integrations. Revenue ~16% FY26 fading to ~7.5% by 2030 (~$7.2B); adj EBITDA to 32% (low end of the 30-34% Investor-Day range); SBC declines only to ~15% of revenue by 2030-31 (deliberate half-credit on comp discipline, per 8-Aug-26 checkpoint); cash tax ramps to 21% by 2029.</t>
  </si>
  <si>
    <t xml:space="preserve">UCAN ARPU compounds mid-teens for longer as the Meta monetization gap closes; Pinterest Assistant, Performance+ defaults and tvScientific/CTV open incremental budgets; international re-accelerates in 2027. Revenue ~$8.3B by 2030; adj EBITDA to 35%; SBC disciplined to ~11-12%.</t>
  </si>
  <si>
    <t xml:space="preserve">PINS DCF - Bear - AI erosion reaches the KPIs; ARPU harvest stalls</t>
  </si>
  <si>
    <t xml:space="preserve">Owner-FCF basis: SBC fully expensed, interest income excluded, share count flat. Blue rows = per-year drivers (edit).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</si>
  <si>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</si>
  <si>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</si>
  <si>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</si>
  <si>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</si>
  <si>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</si>
  <si>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</si>
  <si>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</si>
  <si>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</si>
  <si>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</si>
  <si>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</si>
  <si>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</si>
  <si>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Year index (for discounting)</t>
  </si>
  <si>
    <t xml:space="preserve">Revenue growth YoY</t>
  </si>
  <si>
    <t xml:space="preserve">Revenue</t>
  </si>
  <si>
    <t xml:space="preserve">Adj EBITDA margin</t>
  </si>
  <si>
    <t xml:space="preserve">Adjusted EBITDA</t>
  </si>
  <si>
    <t xml:space="preserve">SBC (% of revenue)</t>
  </si>
  <si>
    <t xml:space="preserve">SBC (incl. equity-award taxes)</t>
  </si>
  <si>
    <t xml:space="preserve">EBITDA less SBC ('owner EBITDA')</t>
  </si>
  <si>
    <t xml:space="preserve">D&amp;A</t>
  </si>
  <si>
    <t xml:space="preserve">EBIT (SBC expensed)</t>
  </si>
  <si>
    <t xml:space="preserve">Cash tax rate (neg = benefit)</t>
  </si>
  <si>
    <t xml:space="preserve">NOPAT</t>
  </si>
  <si>
    <t xml:space="preserve">add: D&amp;A</t>
  </si>
  <si>
    <t xml:space="preserve">less: capex + capitalized software</t>
  </si>
  <si>
    <t xml:space="preserve">add: working capital</t>
  </si>
  <si>
    <t xml:space="preserve">Unlevered owner FCF</t>
  </si>
  <si>
    <t xml:space="preserve">Discount factor</t>
  </si>
  <si>
    <t xml:space="preserve">PV of FCF</t>
  </si>
  <si>
    <t xml:space="preserve">Memo: FCF before SBC (company-style)</t>
  </si>
  <si>
    <t xml:space="preserve">Memo: implied owner FCF margin</t>
  </si>
  <si>
    <t xml:space="preserve">Valuation</t>
  </si>
  <si>
    <t xml:space="preserve">PV of FCF, explicit years</t>
  </si>
  <si>
    <t xml:space="preserve">Terminal-year owner FCF x (1+g)</t>
  </si>
  <si>
    <t xml:space="preserve">Terminal value - Gordon</t>
  </si>
  <si>
    <t xml:space="preserve">Terminal value - cap</t>
  </si>
  <si>
    <t xml:space="preserve">Terminal value used (lower of the two)</t>
  </si>
  <si>
    <t xml:space="preserve">Implied exit multiple</t>
  </si>
  <si>
    <t xml:space="preserve">PV of terminal value</t>
  </si>
  <si>
    <t xml:space="preserve">Enterprise value</t>
  </si>
  <si>
    <t xml:space="preserve">add: net cash</t>
  </si>
  <si>
    <t xml:space="preserve">Equity value</t>
  </si>
  <si>
    <t xml:space="preserve">Value per share</t>
  </si>
  <si>
    <t xml:space="preserve">Upside / (downside) vs current price</t>
  </si>
  <si>
    <t xml:space="preserve">Memo: value if SBC treated as non-cash</t>
  </si>
  <si>
    <t xml:space="preserve">  plus PV of terminal SBC</t>
  </si>
  <si>
    <t xml:space="preserve">  Value per share, SBC as non-cash</t>
  </si>
  <si>
    <t xml:space="preserve">PINS DCF - Base - monetization gap partially closes; graceful fade</t>
  </si>
  <si>
    <t xml:space="preserve">PINS DCF - Bull - Meta-gap closure runs; Assistant + CTV open budgets</t>
  </si>
  <si>
    <t xml:space="preserve">PINS - Valuation Summary &amp; Sensitivity</t>
  </si>
  <si>
    <t xml:space="preserve">Owner-FCF basis (SBC expensed) unless marked street. Green = links.</t>
  </si>
  <si>
    <t xml:space="preserve">Upside / (downside) vs price</t>
  </si>
  <si>
    <t xml:space="preserve">Probability</t>
  </si>
  <si>
    <t xml:space="preserve">Value per share, SBC as non-cash (street)</t>
  </si>
  <si>
    <t xml:space="preserve">Probability-weighted value per share</t>
  </si>
  <si>
    <t xml:space="preserve">Current price</t>
  </si>
  <si>
    <t xml:space="preserve">Margin of safety vs weighted value</t>
  </si>
  <si>
    <t xml:space="preserve">Weighted value, SBC as non-cash (street)</t>
  </si>
  <si>
    <t xml:space="preserve">Band position (0%=house, 100%=street)</t>
  </si>
  <si>
    <t xml:space="preserve">Base case - value per share at different required returns</t>
  </si>
  <si>
    <t xml:space="preserve">Required return</t>
  </si>
  <si>
    <t xml:space="preserve">Value / share</t>
  </si>
  <si>
    <t xml:space="preserve">15%-hurdle entry per scenario + weighted</t>
  </si>
  <si>
    <t xml:space="preserve">model buy-below price at a 15% hurdle</t>
  </si>
  <si>
    <t xml:space="preserve">  same, street basis</t>
  </si>
  <si>
    <t xml:space="preserve">Base case - value per share: WACC x terminal growth</t>
  </si>
  <si>
    <t xml:space="preserve">WACC \ g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</si>
</sst>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;&quot;($&quot;#,##0.0\);\-"/>
    <numFmt numFmtId="166" formatCode="#,##0.0"/>
    <numFmt numFmtId="167" formatCode="\$#,##0.00;&quot;($&quot;#,##0.00\);\-"/>
    <numFmt numFmtId="168" formatCode="0.0%"/>
    <numFmt numFmtId="169" formatCode="0\x"/>
    <numFmt numFmtId="170" formatCode="\$#,##0;&quot;($&quot;#,##0\);\-"/>
    <numFmt numFmtId="171" formatCode="0.000"/>
    <numFmt numFmtId="172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2"/>
  </cols>
  <sheetData>
    <row r="1" customFormat="false" ht="16.15" hidden="false" customHeight="false" outlineLevel="0" collapsed="false">
      <c r="A1" s="1" t="s">
        <v>0</v>
      </c>
    </row>
    <row r="3" customFormat="false" ht="22.35" hidden="false" customHeight="false" outlineLevel="0" collapsed="false">
      <c r="A3" s="2" t="s">
        <v>1</v>
      </c>
      <c r="B3" s="3" t="s">
        <v>2</v>
      </c>
    </row>
    <row r="5" customFormat="false" ht="15" hidden="false" customHeight="false" outlineLevel="0" collapsed="false">
      <c r="A5" s="4" t="s">
        <v>3</v>
      </c>
    </row>
    <row r="6" customFormat="false" ht="22.35" hidden="false" customHeight="false" outlineLevel="0" collapsed="false">
      <c r="A6" s="2" t="s">
        <v>4</v>
      </c>
      <c r="B6" s="3" t="s">
        <v>5</v>
      </c>
    </row>
    <row r="7" customFormat="false" ht="32.8" hidden="false" customHeight="false" outlineLevel="0" collapsed="false">
      <c r="A7" s="2" t="s">
        <v>6</v>
      </c>
      <c r="B7" s="3" t="s">
        <v>7</v>
      </c>
    </row>
    <row r="8" customFormat="false" ht="22.35" hidden="false" customHeight="false" outlineLevel="0" collapsed="false">
      <c r="A8" s="2" t="s">
        <v>8</v>
      </c>
      <c r="B8" s="3" t="s">
        <v>9</v>
      </c>
    </row>
    <row r="9" customFormat="false" ht="53.7" hidden="false" customHeight="false" outlineLevel="0" collapsed="false">
      <c r="A9" s="2" t="s">
        <v>10</v>
      </c>
      <c r="B9" s="3" t="s">
        <v>11</v>
      </c>
    </row>
    <row r="10" customFormat="false" ht="32.8" hidden="false" customHeight="false" outlineLevel="0" collapsed="false">
      <c r="A10" s="2" t="s">
        <v>12</v>
      </c>
      <c r="B10" s="3" t="s">
        <v>13</v>
      </c>
    </row>
    <row r="12" customFormat="false" ht="15" hidden="false" customHeight="false" outlineLevel="0" collapsed="false">
      <c r="A12" s="4" t="s">
        <v>14</v>
      </c>
    </row>
    <row r="13" customFormat="false" ht="53.7" hidden="false" customHeight="false" outlineLevel="0" collapsed="false">
      <c r="A13" s="2" t="s">
        <v>15</v>
      </c>
      <c r="B13" s="3" t="s">
        <v>16</v>
      </c>
    </row>
    <row r="14" customFormat="false" ht="53.7" hidden="false" customHeight="false" outlineLevel="0" collapsed="false">
      <c r="A14" s="2" t="s">
        <v>17</v>
      </c>
      <c r="B14" s="3" t="s">
        <v>18</v>
      </c>
    </row>
    <row r="16" customFormat="false" ht="15" hidden="false" customHeight="false" outlineLevel="0" collapsed="false">
      <c r="A16" s="4" t="s">
        <v>19</v>
      </c>
    </row>
    <row r="17" customFormat="false" ht="22.35" hidden="false" customHeight="false" outlineLevel="0" collapsed="false">
      <c r="A17" s="2" t="s">
        <v>20</v>
      </c>
      <c r="B17" s="3" t="s">
        <v>21</v>
      </c>
    </row>
    <row r="18" customFormat="false" ht="15" hidden="false" customHeight="false" outlineLevel="0" collapsed="false">
      <c r="A18" s="2" t="s">
        <v>22</v>
      </c>
      <c r="B18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86"/>
  </cols>
  <sheetData>
    <row r="1" customFormat="false" ht="16.15" hidden="false" customHeight="false" outlineLevel="0" collapsed="false">
      <c r="A1" s="1" t="s">
        <v>24</v>
      </c>
    </row>
    <row r="2" customFormat="false" ht="15" hidden="false" customHeight="false" outlineLevel="0" collapsed="false">
      <c r="A2" s="5" t="s">
        <v>25</v>
      </c>
    </row>
    <row r="4" customFormat="false" ht="15" hidden="false" customHeight="false" outlineLevel="0" collapsed="false">
      <c r="A4" s="4" t="s">
        <v>26</v>
      </c>
    </row>
    <row r="5" customFormat="false" ht="15" hidden="false" customHeight="false" outlineLevel="0" collapsed="false">
      <c r="B5" s="6" t="s">
        <v>27</v>
      </c>
      <c r="C5" s="6" t="s">
        <v>28</v>
      </c>
      <c r="D5" s="6" t="s">
        <v>29</v>
      </c>
      <c r="E5" s="6" t="s">
        <v>30</v>
      </c>
      <c r="F5" s="6" t="s">
        <v>31</v>
      </c>
    </row>
    <row r="6" customFormat="false" ht="15" hidden="false" customHeight="false" outlineLevel="0" collapsed="false">
      <c r="A6" s="2" t="s">
        <v>32</v>
      </c>
      <c r="B6" s="7" t="n">
        <v>855</v>
      </c>
      <c r="C6" s="7" t="n">
        <v>998.2</v>
      </c>
      <c r="D6" s="7" t="n">
        <v>1049.8</v>
      </c>
      <c r="E6" s="7" t="n">
        <v>1319</v>
      </c>
      <c r="F6" s="7" t="n">
        <v>4222</v>
      </c>
      <c r="G6" s="3" t="s">
        <v>33</v>
      </c>
    </row>
    <row r="7" customFormat="false" ht="15" hidden="false" customHeight="false" outlineLevel="0" collapsed="false">
      <c r="A7" s="2" t="s">
        <v>34</v>
      </c>
      <c r="B7" s="7" t="n">
        <v>1008</v>
      </c>
      <c r="C7" s="7" t="n">
        <v>1179.7</v>
      </c>
      <c r="G7" s="3" t="s">
        <v>35</v>
      </c>
    </row>
    <row r="9" customFormat="false" ht="15" hidden="false" customHeight="false" outlineLevel="0" collapsed="false">
      <c r="A9" s="4" t="s">
        <v>36</v>
      </c>
    </row>
    <row r="10" customFormat="false" ht="15" hidden="false" customHeight="false" outlineLevel="0" collapsed="false">
      <c r="B10" s="6" t="s">
        <v>37</v>
      </c>
      <c r="C10" s="6" t="s">
        <v>38</v>
      </c>
      <c r="D10" s="6" t="s">
        <v>39</v>
      </c>
      <c r="E10" s="6" t="s">
        <v>40</v>
      </c>
    </row>
    <row r="11" customFormat="false" ht="15" hidden="false" customHeight="false" outlineLevel="0" collapsed="false">
      <c r="A11" s="2" t="s">
        <v>41</v>
      </c>
      <c r="B11" s="7" t="n">
        <v>880</v>
      </c>
      <c r="C11" s="7" t="n">
        <v>213</v>
      </c>
      <c r="D11" s="7" t="n">
        <v>87</v>
      </c>
      <c r="E11" s="7" t="n">
        <v>1179.7</v>
      </c>
      <c r="G11" s="3" t="s">
        <v>42</v>
      </c>
    </row>
    <row r="12" customFormat="false" ht="15" hidden="false" customHeight="false" outlineLevel="0" collapsed="false">
      <c r="A12" s="2" t="s">
        <v>43</v>
      </c>
      <c r="B12" s="8" t="n">
        <v>106</v>
      </c>
      <c r="C12" s="8" t="n">
        <v>157</v>
      </c>
      <c r="D12" s="8" t="n">
        <v>377</v>
      </c>
      <c r="E12" s="8" t="n">
        <v>640</v>
      </c>
      <c r="G12" s="3" t="s">
        <v>44</v>
      </c>
    </row>
    <row r="13" customFormat="false" ht="15" hidden="false" customHeight="false" outlineLevel="0" collapsed="false">
      <c r="A13" s="2" t="s">
        <v>45</v>
      </c>
      <c r="B13" s="9" t="n">
        <v>8.3</v>
      </c>
      <c r="C13" s="9" t="n">
        <v>1.35</v>
      </c>
      <c r="D13" s="9" t="n">
        <v>0.23</v>
      </c>
      <c r="E13" s="9" t="n">
        <v>1.86</v>
      </c>
      <c r="G13" s="3" t="s">
        <v>46</v>
      </c>
    </row>
    <row r="15" customFormat="false" ht="15" hidden="false" customHeight="false" outlineLevel="0" collapsed="false">
      <c r="A15" s="4" t="s">
        <v>47</v>
      </c>
    </row>
    <row r="16" customFormat="false" ht="15" hidden="false" customHeight="false" outlineLevel="0" collapsed="false">
      <c r="A16" s="2" t="s">
        <v>48</v>
      </c>
      <c r="B16" s="7" t="n">
        <v>1270</v>
      </c>
      <c r="C16" s="10" t="n">
        <v>0.3008</v>
      </c>
      <c r="G16" s="3" t="s">
        <v>49</v>
      </c>
    </row>
    <row r="17" customFormat="false" ht="15" hidden="false" customHeight="false" outlineLevel="0" collapsed="false">
      <c r="A17" s="2" t="s">
        <v>50</v>
      </c>
      <c r="B17" s="7" t="n">
        <v>207</v>
      </c>
      <c r="C17" s="7" t="n">
        <v>311.3</v>
      </c>
      <c r="G17" s="3" t="s">
        <v>51</v>
      </c>
    </row>
    <row r="18" customFormat="false" ht="15" hidden="false" customHeight="false" outlineLevel="0" collapsed="false">
      <c r="A18" s="2" t="s">
        <v>52</v>
      </c>
      <c r="B18" s="7" t="n">
        <v>1284</v>
      </c>
      <c r="C18" s="7" t="n">
        <v>1252</v>
      </c>
      <c r="G18" s="3" t="s">
        <v>53</v>
      </c>
    </row>
    <row r="19" customFormat="false" ht="15" hidden="false" customHeight="false" outlineLevel="0" collapsed="false">
      <c r="A19" s="2" t="s">
        <v>54</v>
      </c>
      <c r="B19" s="7" t="n">
        <v>620.9</v>
      </c>
      <c r="C19" s="7" t="n">
        <v>581.6</v>
      </c>
      <c r="D19" s="7" t="n">
        <v>39.3</v>
      </c>
      <c r="G19" s="3" t="s">
        <v>55</v>
      </c>
    </row>
    <row r="21" customFormat="false" ht="15" hidden="false" customHeight="false" outlineLevel="0" collapsed="false">
      <c r="A21" s="4" t="s">
        <v>56</v>
      </c>
    </row>
    <row r="22" customFormat="false" ht="15" hidden="false" customHeight="false" outlineLevel="0" collapsed="false">
      <c r="A22" s="2" t="s">
        <v>57</v>
      </c>
      <c r="B22" s="7" t="n">
        <v>497</v>
      </c>
      <c r="C22" s="7" t="n">
        <v>648</v>
      </c>
      <c r="D22" s="7" t="n">
        <v>766</v>
      </c>
      <c r="G22" s="3" t="s">
        <v>58</v>
      </c>
    </row>
    <row r="23" customFormat="false" ht="15" hidden="false" customHeight="false" outlineLevel="0" collapsed="false">
      <c r="A23" s="2" t="s">
        <v>59</v>
      </c>
      <c r="B23" s="7" t="n">
        <v>870</v>
      </c>
      <c r="G23" s="3" t="s">
        <v>60</v>
      </c>
    </row>
    <row r="24" customFormat="false" ht="15" hidden="false" customHeight="false" outlineLevel="0" collapsed="false">
      <c r="A24" s="2" t="s">
        <v>61</v>
      </c>
      <c r="B24" s="7" t="n">
        <v>231.5</v>
      </c>
      <c r="C24" s="7" t="n">
        <v>324.5</v>
      </c>
      <c r="G24" s="3" t="s">
        <v>62</v>
      </c>
    </row>
    <row r="26" customFormat="false" ht="15" hidden="false" customHeight="false" outlineLevel="0" collapsed="false">
      <c r="A26" s="4" t="s">
        <v>63</v>
      </c>
    </row>
    <row r="27" customFormat="false" ht="15" hidden="false" customHeight="false" outlineLevel="0" collapsed="false">
      <c r="A27" s="2" t="s">
        <v>64</v>
      </c>
      <c r="B27" s="7" t="n">
        <v>422.5</v>
      </c>
      <c r="C27" s="7" t="n">
        <v>852.4</v>
      </c>
      <c r="G27" s="3" t="s">
        <v>65</v>
      </c>
    </row>
    <row r="28" customFormat="false" ht="22.35" hidden="false" customHeight="false" outlineLevel="0" collapsed="false">
      <c r="A28" s="2" t="s">
        <v>66</v>
      </c>
      <c r="B28" s="7" t="n">
        <v>1000</v>
      </c>
      <c r="C28" s="7" t="n">
        <v>981.1</v>
      </c>
      <c r="G28" s="3" t="s">
        <v>67</v>
      </c>
    </row>
    <row r="29" customFormat="false" ht="15" hidden="false" customHeight="false" outlineLevel="0" collapsed="false">
      <c r="A29" s="2" t="s">
        <v>68</v>
      </c>
      <c r="B29" s="7" t="n">
        <v>932</v>
      </c>
      <c r="C29" s="7" t="n">
        <v>145.1</v>
      </c>
      <c r="D29" s="7" t="n">
        <v>464.7</v>
      </c>
      <c r="G29" s="3" t="s">
        <v>69</v>
      </c>
    </row>
    <row r="30" customFormat="false" ht="15" hidden="false" customHeight="false" outlineLevel="0" collapsed="false">
      <c r="A30" s="2" t="s">
        <v>70</v>
      </c>
      <c r="B30" s="7" t="n">
        <v>1616.4</v>
      </c>
      <c r="G30" s="3" t="s">
        <v>71</v>
      </c>
    </row>
    <row r="31" customFormat="false" ht="15" hidden="false" customHeight="false" outlineLevel="0" collapsed="false">
      <c r="A31" s="2" t="s">
        <v>72</v>
      </c>
      <c r="B31" s="7" t="n">
        <v>475.3</v>
      </c>
      <c r="C31" s="7" t="n">
        <v>83</v>
      </c>
      <c r="G31" s="3" t="s">
        <v>73</v>
      </c>
    </row>
    <row r="33" customFormat="false" ht="15" hidden="false" customHeight="false" outlineLevel="0" collapsed="false">
      <c r="A33" s="4" t="s">
        <v>74</v>
      </c>
    </row>
    <row r="34" customFormat="false" ht="15" hidden="false" customHeight="false" outlineLevel="0" collapsed="false">
      <c r="A34" s="2" t="s">
        <v>75</v>
      </c>
      <c r="B34" s="8" t="n">
        <v>565.5</v>
      </c>
      <c r="G34" s="3" t="s">
        <v>76</v>
      </c>
    </row>
    <row r="35" customFormat="false" ht="15" hidden="false" customHeight="false" outlineLevel="0" collapsed="false">
      <c r="A35" s="2" t="s">
        <v>77</v>
      </c>
      <c r="B35" s="8" t="n">
        <v>577.6</v>
      </c>
      <c r="G35" s="3" t="s">
        <v>78</v>
      </c>
    </row>
    <row r="36" customFormat="false" ht="22.35" hidden="false" customHeight="false" outlineLevel="0" collapsed="false">
      <c r="A36" s="2" t="s">
        <v>79</v>
      </c>
      <c r="B36" s="7" t="n">
        <v>2024.9</v>
      </c>
      <c r="C36" s="9" t="n">
        <v>18.17</v>
      </c>
      <c r="G36" s="3" t="s">
        <v>80</v>
      </c>
    </row>
    <row r="38" customFormat="false" ht="15" hidden="false" customHeight="false" outlineLevel="0" collapsed="false">
      <c r="A38" s="4" t="s">
        <v>81</v>
      </c>
    </row>
    <row r="39" customFormat="false" ht="15" hidden="false" customHeight="false" outlineLevel="0" collapsed="false">
      <c r="A39" s="2" t="s">
        <v>82</v>
      </c>
      <c r="B39" s="7" t="n">
        <v>1190</v>
      </c>
      <c r="C39" s="7" t="n">
        <v>1210</v>
      </c>
      <c r="G39" s="3" t="s">
        <v>83</v>
      </c>
    </row>
    <row r="40" customFormat="false" ht="15" hidden="false" customHeight="false" outlineLevel="0" collapsed="false">
      <c r="A40" s="2" t="s">
        <v>84</v>
      </c>
      <c r="B40" s="7" t="n">
        <v>335</v>
      </c>
      <c r="C40" s="7" t="n">
        <v>355</v>
      </c>
      <c r="G40" s="3" t="s">
        <v>85</v>
      </c>
    </row>
    <row r="41" customFormat="false" ht="15" hidden="false" customHeight="false" outlineLevel="0" collapsed="false">
      <c r="A41" s="2" t="s">
        <v>86</v>
      </c>
      <c r="B41" s="10" t="n">
        <v>0.3</v>
      </c>
      <c r="G41" s="3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3"/>
    <col collapsed="false" customWidth="true" hidden="false" outlineLevel="0" max="8" min="8" style="0" width="62"/>
  </cols>
  <sheetData>
    <row r="1" customFormat="false" ht="16.15" hidden="false" customHeight="false" outlineLevel="0" collapsed="false">
      <c r="A1" s="1" t="s">
        <v>88</v>
      </c>
    </row>
    <row r="2" customFormat="false" ht="15" hidden="false" customHeight="false" outlineLevel="0" collapsed="false">
      <c r="A2" s="5" t="s">
        <v>89</v>
      </c>
    </row>
    <row r="4" customFormat="false" ht="15" hidden="false" customHeight="false" outlineLevel="0" collapsed="false">
      <c r="A4" s="4" t="s">
        <v>90</v>
      </c>
    </row>
    <row r="5" customFormat="false" ht="15" hidden="false" customHeight="false" outlineLevel="0" collapsed="false">
      <c r="A5" s="2" t="s">
        <v>91</v>
      </c>
      <c r="B5" s="11" t="n">
        <v>0.105</v>
      </c>
      <c r="H5" s="5"/>
    </row>
    <row r="6" customFormat="false" ht="15" hidden="false" customHeight="false" outlineLevel="0" collapsed="false">
      <c r="A6" s="2" t="s">
        <v>92</v>
      </c>
      <c r="B6" s="11" t="n">
        <v>0.01</v>
      </c>
      <c r="H6" s="5"/>
    </row>
    <row r="7" customFormat="false" ht="15" hidden="false" customHeight="false" outlineLevel="0" collapsed="false">
      <c r="A7" s="2" t="s">
        <v>93</v>
      </c>
      <c r="B7" s="11" t="n">
        <v>0.018</v>
      </c>
      <c r="H7" s="5"/>
    </row>
    <row r="8" customFormat="false" ht="15" hidden="false" customHeight="false" outlineLevel="0" collapsed="false">
      <c r="A8" s="2" t="s">
        <v>94</v>
      </c>
      <c r="B8" s="11" t="n">
        <v>-0.07</v>
      </c>
      <c r="H8" s="5" t="s">
        <v>95</v>
      </c>
    </row>
    <row r="9" customFormat="false" ht="15" hidden="false" customHeight="false" outlineLevel="0" collapsed="false">
      <c r="A9" s="2" t="s">
        <v>96</v>
      </c>
      <c r="B9" s="12" t="n">
        <v>274.9</v>
      </c>
      <c r="H9" s="5" t="s">
        <v>97</v>
      </c>
    </row>
    <row r="10" customFormat="false" ht="15" hidden="false" customHeight="false" outlineLevel="0" collapsed="false">
      <c r="A10" s="2" t="s">
        <v>98</v>
      </c>
      <c r="B10" s="13" t="n">
        <v>577.6</v>
      </c>
      <c r="H10" s="5" t="s">
        <v>99</v>
      </c>
    </row>
    <row r="11" customFormat="false" ht="15" hidden="false" customHeight="false" outlineLevel="0" collapsed="false">
      <c r="A11" s="2" t="s">
        <v>100</v>
      </c>
      <c r="B11" s="14" t="n">
        <v>23.33</v>
      </c>
      <c r="H11" s="5" t="s">
        <v>101</v>
      </c>
    </row>
    <row r="12" customFormat="false" ht="15" hidden="false" customHeight="false" outlineLevel="0" collapsed="false">
      <c r="A12" s="2" t="s">
        <v>102</v>
      </c>
      <c r="B12" s="15" t="n">
        <v>20</v>
      </c>
      <c r="H12" s="5"/>
    </row>
    <row r="14" customFormat="false" ht="15" hidden="false" customHeight="false" outlineLevel="0" collapsed="false">
      <c r="A14" s="4" t="s">
        <v>103</v>
      </c>
      <c r="C14" s="6" t="s">
        <v>104</v>
      </c>
      <c r="D14" s="6" t="s">
        <v>105</v>
      </c>
      <c r="E14" s="6" t="s">
        <v>106</v>
      </c>
    </row>
    <row r="15" customFormat="false" ht="15" hidden="false" customHeight="false" outlineLevel="0" collapsed="false">
      <c r="A15" s="2" t="s">
        <v>107</v>
      </c>
      <c r="C15" s="11" t="n">
        <v>0.015</v>
      </c>
      <c r="D15" s="11" t="n">
        <v>0.03</v>
      </c>
      <c r="E15" s="11" t="n">
        <v>0.035</v>
      </c>
    </row>
    <row r="16" customFormat="false" ht="15" hidden="false" customHeight="false" outlineLevel="0" collapsed="false">
      <c r="A16" s="2" t="s">
        <v>108</v>
      </c>
      <c r="C16" s="11" t="n">
        <v>0.15</v>
      </c>
      <c r="D16" s="11" t="n">
        <v>0.5</v>
      </c>
      <c r="E16" s="11" t="n">
        <v>0.35</v>
      </c>
      <c r="F16" s="16" t="n">
        <f aca="false">SUM(C16:E16)</f>
        <v>1</v>
      </c>
      <c r="G16" s="5" t="s">
        <v>109</v>
      </c>
    </row>
    <row r="18" customFormat="false" ht="15" hidden="false" customHeight="false" outlineLevel="0" collapsed="false">
      <c r="A18" s="4" t="s">
        <v>110</v>
      </c>
    </row>
    <row r="19" customFormat="false" ht="25.5" hidden="false" customHeight="true" outlineLevel="0" collapsed="false">
      <c r="A19" s="2" t="s">
        <v>104</v>
      </c>
      <c r="B19" s="17" t="s">
        <v>111</v>
      </c>
      <c r="C19" s="17"/>
      <c r="D19" s="17"/>
      <c r="E19" s="17"/>
      <c r="F19" s="17"/>
      <c r="G19" s="17"/>
      <c r="H19" s="17"/>
    </row>
    <row r="20" customFormat="false" ht="25.5" hidden="false" customHeight="true" outlineLevel="0" collapsed="false">
      <c r="A20" s="2" t="s">
        <v>105</v>
      </c>
      <c r="B20" s="17" t="s">
        <v>112</v>
      </c>
      <c r="C20" s="17"/>
      <c r="D20" s="17"/>
      <c r="E20" s="17"/>
      <c r="F20" s="17"/>
      <c r="G20" s="17"/>
      <c r="H20" s="17"/>
    </row>
    <row r="21" customFormat="false" ht="25.5" hidden="false" customHeight="true" outlineLevel="0" collapsed="false">
      <c r="A21" s="2" t="s">
        <v>106</v>
      </c>
      <c r="B21" s="17" t="s">
        <v>113</v>
      </c>
      <c r="C21" s="17"/>
      <c r="D21" s="17"/>
      <c r="E21" s="17"/>
      <c r="F21" s="17"/>
      <c r="G21" s="17"/>
      <c r="H21" s="17"/>
    </row>
  </sheetData>
  <mergeCells count="3">
    <mergeCell ref="B19:H19"/>
    <mergeCell ref="B20:H20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0.51"/>
  </cols>
  <sheetData>
    <row r="1" customFormat="false" ht="16.15" hidden="false" customHeight="false" outlineLevel="0" collapsed="false">
      <c r="A1" s="1" t="s">
        <v>114</v>
      </c>
    </row>
    <row r="2" customFormat="false" ht="15" hidden="false" customHeight="false" outlineLevel="0" collapsed="false">
      <c r="A2" s="5" t="s">
        <v>115</v>
      </c>
    </row>
    <row r="3" customFormat="false" ht="15" hidden="false" customHeight="false" outlineLevel="0" collapsed="false">
      <c r="B3" s="6" t="s">
        <v>116</v>
      </c>
      <c r="C3" s="6" t="s">
        <v>117</v>
      </c>
      <c r="D3" s="6" t="s">
        <v>118</v>
      </c>
      <c r="E3" s="6" t="s">
        <v>119</v>
      </c>
      <c r="F3" s="6" t="s">
        <v>120</v>
      </c>
      <c r="G3" s="6" t="s">
        <v>121</v>
      </c>
      <c r="H3" s="6" t="s">
        <v>122</v>
      </c>
      <c r="I3" s="6" t="s">
        <v>123</v>
      </c>
      <c r="J3" s="6" t="s">
        <v>124</v>
      </c>
      <c r="K3" s="6" t="s">
        <v>125</v>
      </c>
      <c r="L3" s="6" t="s">
        <v>126</v>
      </c>
    </row>
    <row r="4" customFormat="false" ht="15" hidden="false" customHeight="false" outlineLevel="0" collapsed="false">
      <c r="A4" s="18" t="s">
        <v>127</v>
      </c>
      <c r="B4" s="18" t="n">
        <v>0</v>
      </c>
      <c r="C4" s="18" t="n">
        <v>1</v>
      </c>
      <c r="D4" s="18" t="n">
        <v>2</v>
      </c>
      <c r="E4" s="18" t="n">
        <v>3</v>
      </c>
      <c r="F4" s="18" t="n">
        <v>4</v>
      </c>
      <c r="G4" s="18" t="n">
        <v>5</v>
      </c>
      <c r="H4" s="18" t="n">
        <v>6</v>
      </c>
      <c r="I4" s="18" t="n">
        <v>7</v>
      </c>
      <c r="J4" s="18" t="n">
        <v>8</v>
      </c>
      <c r="K4" s="18" t="n">
        <v>9</v>
      </c>
      <c r="L4" s="18" t="n">
        <v>10</v>
      </c>
    </row>
    <row r="5" customFormat="false" ht="15" hidden="false" customHeight="false" outlineLevel="0" collapsed="false">
      <c r="A5" s="2" t="s">
        <v>128</v>
      </c>
      <c r="C5" s="11" t="n">
        <v>0.14</v>
      </c>
      <c r="D5" s="11" t="n">
        <v>0.1</v>
      </c>
      <c r="E5" s="11" t="n">
        <v>0.08</v>
      </c>
      <c r="F5" s="11" t="n">
        <v>0.06</v>
      </c>
      <c r="G5" s="11" t="n">
        <v>0.04</v>
      </c>
      <c r="H5" s="11" t="n">
        <v>0.03</v>
      </c>
      <c r="I5" s="11" t="n">
        <v>0.025</v>
      </c>
      <c r="J5" s="11" t="n">
        <v>0.02</v>
      </c>
      <c r="K5" s="11" t="n">
        <v>0.02</v>
      </c>
      <c r="L5" s="11" t="n">
        <v>0.015</v>
      </c>
    </row>
    <row r="6" customFormat="false" ht="15" hidden="false" customHeight="false" outlineLevel="0" collapsed="false">
      <c r="A6" s="2" t="s">
        <v>129</v>
      </c>
      <c r="B6" s="19" t="n">
        <v>4222</v>
      </c>
      <c r="C6" s="20" t="n">
        <f aca="false">B6*(1+C5)</f>
        <v>4813.08</v>
      </c>
      <c r="D6" s="20" t="n">
        <f aca="false">C6*(1+D5)</f>
        <v>5294.388</v>
      </c>
      <c r="E6" s="20" t="n">
        <f aca="false">D6*(1+E5)</f>
        <v>5717.93904</v>
      </c>
      <c r="F6" s="20" t="n">
        <f aca="false">E6*(1+F5)</f>
        <v>6061.0153824</v>
      </c>
      <c r="G6" s="20" t="n">
        <f aca="false">F6*(1+G5)</f>
        <v>6303.455997696</v>
      </c>
      <c r="H6" s="20" t="n">
        <f aca="false">G6*(1+H5)</f>
        <v>6492.55967762688</v>
      </c>
      <c r="I6" s="20" t="n">
        <f aca="false">H6*(1+I5)</f>
        <v>6654.87366956755</v>
      </c>
      <c r="J6" s="20" t="n">
        <f aca="false">I6*(1+J5)</f>
        <v>6787.97114295891</v>
      </c>
      <c r="K6" s="20" t="n">
        <f aca="false">J6*(1+K5)</f>
        <v>6923.73056581808</v>
      </c>
      <c r="L6" s="20" t="n">
        <f aca="false">K6*(1+L5)</f>
        <v>7027.58652430535</v>
      </c>
    </row>
    <row r="7" customFormat="false" ht="15" hidden="false" customHeight="false" outlineLevel="0" collapsed="false">
      <c r="A7" s="2" t="s">
        <v>130</v>
      </c>
      <c r="B7" s="10" t="n">
        <v>0.3008</v>
      </c>
      <c r="C7" s="11" t="n">
        <v>0.29</v>
      </c>
      <c r="D7" s="11" t="n">
        <v>0.285</v>
      </c>
      <c r="E7" s="11" t="n">
        <v>0.28</v>
      </c>
      <c r="F7" s="11" t="n">
        <v>0.28</v>
      </c>
      <c r="G7" s="11" t="n">
        <v>0.28</v>
      </c>
      <c r="H7" s="11" t="n">
        <v>0.28</v>
      </c>
      <c r="I7" s="11" t="n">
        <v>0.28</v>
      </c>
      <c r="J7" s="11" t="n">
        <v>0.28</v>
      </c>
      <c r="K7" s="11" t="n">
        <v>0.28</v>
      </c>
      <c r="L7" s="11" t="n">
        <v>0.28</v>
      </c>
    </row>
    <row r="8" customFormat="false" ht="15" hidden="false" customHeight="false" outlineLevel="0" collapsed="false">
      <c r="A8" s="2" t="s">
        <v>131</v>
      </c>
      <c r="C8" s="20" t="n">
        <f aca="false">C6*C7</f>
        <v>1395.7932</v>
      </c>
      <c r="D8" s="20" t="n">
        <f aca="false">D6*D7</f>
        <v>1508.90058</v>
      </c>
      <c r="E8" s="20" t="n">
        <f aca="false">E6*E7</f>
        <v>1601.0229312</v>
      </c>
      <c r="F8" s="20" t="n">
        <f aca="false">F6*F7</f>
        <v>1697.084307072</v>
      </c>
      <c r="G8" s="20" t="n">
        <f aca="false">G6*G7</f>
        <v>1764.96767935488</v>
      </c>
      <c r="H8" s="20" t="n">
        <f aca="false">H6*H7</f>
        <v>1817.91670973553</v>
      </c>
      <c r="I8" s="20" t="n">
        <f aca="false">I6*I7</f>
        <v>1863.36462747892</v>
      </c>
      <c r="J8" s="20" t="n">
        <f aca="false">J6*J7</f>
        <v>1900.63192002849</v>
      </c>
      <c r="K8" s="20" t="n">
        <f aca="false">K6*K7</f>
        <v>1938.64455842906</v>
      </c>
      <c r="L8" s="20" t="n">
        <f aca="false">L6*L7</f>
        <v>1967.7242268055</v>
      </c>
    </row>
    <row r="9" customFormat="false" ht="15" hidden="false" customHeight="false" outlineLevel="0" collapsed="false">
      <c r="A9" s="2" t="s">
        <v>132</v>
      </c>
      <c r="B9" s="10" t="n">
        <v>0.214</v>
      </c>
      <c r="C9" s="11" t="n">
        <v>0.235</v>
      </c>
      <c r="D9" s="11" t="n">
        <v>0.225</v>
      </c>
      <c r="E9" s="11" t="n">
        <v>0.22</v>
      </c>
      <c r="F9" s="11" t="n">
        <v>0.215</v>
      </c>
      <c r="G9" s="11" t="n">
        <v>0.21</v>
      </c>
      <c r="H9" s="11" t="n">
        <v>0.21</v>
      </c>
      <c r="I9" s="11" t="n">
        <v>0.205</v>
      </c>
      <c r="J9" s="11" t="n">
        <v>0.205</v>
      </c>
      <c r="K9" s="11" t="n">
        <v>0.205</v>
      </c>
      <c r="L9" s="11" t="n">
        <v>0.205</v>
      </c>
    </row>
    <row r="10" customFormat="false" ht="15" hidden="false" customHeight="false" outlineLevel="0" collapsed="false">
      <c r="A10" s="2" t="s">
        <v>133</v>
      </c>
      <c r="C10" s="20" t="n">
        <f aca="false">-C6*C9</f>
        <v>-1131.0738</v>
      </c>
      <c r="D10" s="20" t="n">
        <f aca="false">-D6*D9</f>
        <v>-1191.2373</v>
      </c>
      <c r="E10" s="20" t="n">
        <f aca="false">-E6*E9</f>
        <v>-1257.9465888</v>
      </c>
      <c r="F10" s="20" t="n">
        <f aca="false">-F6*F9</f>
        <v>-1303.118307216</v>
      </c>
      <c r="G10" s="20" t="n">
        <f aca="false">-G6*G9</f>
        <v>-1323.72575951616</v>
      </c>
      <c r="H10" s="20" t="n">
        <f aca="false">-H6*H9</f>
        <v>-1363.43753230165</v>
      </c>
      <c r="I10" s="20" t="n">
        <f aca="false">-I6*I9</f>
        <v>-1364.24910226135</v>
      </c>
      <c r="J10" s="20" t="n">
        <f aca="false">-J6*J9</f>
        <v>-1391.53408430658</v>
      </c>
      <c r="K10" s="20" t="n">
        <f aca="false">-K6*K9</f>
        <v>-1419.36476599271</v>
      </c>
      <c r="L10" s="20" t="n">
        <f aca="false">-L6*L9</f>
        <v>-1440.6552374826</v>
      </c>
    </row>
    <row r="11" customFormat="false" ht="15" hidden="false" customHeight="false" outlineLevel="0" collapsed="false">
      <c r="A11" s="2" t="s">
        <v>134</v>
      </c>
      <c r="C11" s="20" t="n">
        <f aca="false">C8+C10</f>
        <v>264.7194</v>
      </c>
      <c r="D11" s="20" t="n">
        <f aca="false">D8+D10</f>
        <v>317.66328</v>
      </c>
      <c r="E11" s="20" t="n">
        <f aca="false">E8+E10</f>
        <v>343.0763424</v>
      </c>
      <c r="F11" s="20" t="n">
        <f aca="false">F8+F10</f>
        <v>393.965999856</v>
      </c>
      <c r="G11" s="20" t="n">
        <f aca="false">G8+G10</f>
        <v>441.24191983872</v>
      </c>
      <c r="H11" s="20" t="n">
        <f aca="false">H8+H10</f>
        <v>454.479177433882</v>
      </c>
      <c r="I11" s="20" t="n">
        <f aca="false">I8+I10</f>
        <v>499.115525217567</v>
      </c>
      <c r="J11" s="20" t="n">
        <f aca="false">J8+J10</f>
        <v>509.097835721918</v>
      </c>
      <c r="K11" s="20" t="n">
        <f aca="false">K8+K10</f>
        <v>519.279792436357</v>
      </c>
      <c r="L11" s="20" t="n">
        <f aca="false">L8+L10</f>
        <v>527.068989322902</v>
      </c>
    </row>
    <row r="12" customFormat="false" ht="15" hidden="false" customHeight="false" outlineLevel="0" collapsed="false">
      <c r="A12" s="2" t="s">
        <v>135</v>
      </c>
      <c r="C12" s="21" t="n">
        <f aca="false">-C6*Assumptions!$B$6</f>
        <v>-48.1308</v>
      </c>
      <c r="D12" s="21" t="n">
        <f aca="false">-D6*Assumptions!$B$6</f>
        <v>-52.94388</v>
      </c>
      <c r="E12" s="21" t="n">
        <f aca="false">-E6*Assumptions!$B$6</f>
        <v>-57.1793904</v>
      </c>
      <c r="F12" s="21" t="n">
        <f aca="false">-F6*Assumptions!$B$6</f>
        <v>-60.610153824</v>
      </c>
      <c r="G12" s="21" t="n">
        <f aca="false">-G6*Assumptions!$B$6</f>
        <v>-63.03455997696</v>
      </c>
      <c r="H12" s="21" t="n">
        <f aca="false">-H6*Assumptions!$B$6</f>
        <v>-64.9255967762688</v>
      </c>
      <c r="I12" s="21" t="n">
        <f aca="false">-I6*Assumptions!$B$6</f>
        <v>-66.5487366956755</v>
      </c>
      <c r="J12" s="21" t="n">
        <f aca="false">-J6*Assumptions!$B$6</f>
        <v>-67.8797114295891</v>
      </c>
      <c r="K12" s="21" t="n">
        <f aca="false">-K6*Assumptions!$B$6</f>
        <v>-69.2373056581808</v>
      </c>
      <c r="L12" s="21" t="n">
        <f aca="false">-L6*Assumptions!$B$6</f>
        <v>-70.2758652430535</v>
      </c>
    </row>
    <row r="13" customFormat="false" ht="15" hidden="false" customHeight="false" outlineLevel="0" collapsed="false">
      <c r="A13" s="2" t="s">
        <v>136</v>
      </c>
      <c r="C13" s="20" t="n">
        <f aca="false">C11+C12</f>
        <v>216.5886</v>
      </c>
      <c r="D13" s="20" t="n">
        <f aca="false">D11+D12</f>
        <v>264.7194</v>
      </c>
      <c r="E13" s="20" t="n">
        <f aca="false">E11+E12</f>
        <v>285.896952</v>
      </c>
      <c r="F13" s="20" t="n">
        <f aca="false">F11+F12</f>
        <v>333.355846032</v>
      </c>
      <c r="G13" s="20" t="n">
        <f aca="false">G11+G12</f>
        <v>378.20735986176</v>
      </c>
      <c r="H13" s="20" t="n">
        <f aca="false">H11+H12</f>
        <v>389.553580657613</v>
      </c>
      <c r="I13" s="20" t="n">
        <f aca="false">I11+I12</f>
        <v>432.566788521891</v>
      </c>
      <c r="J13" s="20" t="n">
        <f aca="false">J11+J12</f>
        <v>441.218124292329</v>
      </c>
      <c r="K13" s="20" t="n">
        <f aca="false">K11+K12</f>
        <v>450.042486778176</v>
      </c>
      <c r="L13" s="20" t="n">
        <f aca="false">L11+L12</f>
        <v>456.793124079848</v>
      </c>
    </row>
    <row r="14" customFormat="false" ht="15" hidden="false" customHeight="false" outlineLevel="0" collapsed="false">
      <c r="A14" s="2" t="s">
        <v>137</v>
      </c>
      <c r="C14" s="11" t="n">
        <v>0.02</v>
      </c>
      <c r="D14" s="11" t="n">
        <v>0.08</v>
      </c>
      <c r="E14" s="11" t="n">
        <v>0.14</v>
      </c>
      <c r="F14" s="11" t="n">
        <v>0.21</v>
      </c>
      <c r="G14" s="11" t="n">
        <v>0.21</v>
      </c>
      <c r="H14" s="11" t="n">
        <v>0.21</v>
      </c>
      <c r="I14" s="11" t="n">
        <v>0.21</v>
      </c>
      <c r="J14" s="11" t="n">
        <v>0.21</v>
      </c>
      <c r="K14" s="11" t="n">
        <v>0.21</v>
      </c>
      <c r="L14" s="11" t="n">
        <v>0.21</v>
      </c>
    </row>
    <row r="15" customFormat="false" ht="15" hidden="false" customHeight="false" outlineLevel="0" collapsed="false">
      <c r="A15" s="2" t="s">
        <v>138</v>
      </c>
      <c r="C15" s="20" t="n">
        <f aca="false">C13*(1-C14)</f>
        <v>212.256828</v>
      </c>
      <c r="D15" s="20" t="n">
        <f aca="false">D13*(1-D14)</f>
        <v>243.541848</v>
      </c>
      <c r="E15" s="20" t="n">
        <f aca="false">E13*(1-E14)</f>
        <v>245.87137872</v>
      </c>
      <c r="F15" s="20" t="n">
        <f aca="false">F13*(1-F14)</f>
        <v>263.35111836528</v>
      </c>
      <c r="G15" s="20" t="n">
        <f aca="false">G13*(1-G14)</f>
        <v>298.783814290791</v>
      </c>
      <c r="H15" s="20" t="n">
        <f aca="false">H13*(1-H14)</f>
        <v>307.747328719514</v>
      </c>
      <c r="I15" s="20" t="n">
        <f aca="false">I13*(1-I14)</f>
        <v>341.727762932294</v>
      </c>
      <c r="J15" s="20" t="n">
        <f aca="false">J13*(1-J14)</f>
        <v>348.56231819094</v>
      </c>
      <c r="K15" s="20" t="n">
        <f aca="false">K13*(1-K14)</f>
        <v>355.533564554759</v>
      </c>
      <c r="L15" s="20" t="n">
        <f aca="false">L13*(1-L14)</f>
        <v>360.86656802308</v>
      </c>
    </row>
    <row r="16" customFormat="false" ht="15" hidden="false" customHeight="false" outlineLevel="0" collapsed="false">
      <c r="A16" s="2" t="s">
        <v>139</v>
      </c>
      <c r="C16" s="20" t="n">
        <f aca="false">-C12</f>
        <v>48.1308</v>
      </c>
      <c r="D16" s="20" t="n">
        <f aca="false">-D12</f>
        <v>52.94388</v>
      </c>
      <c r="E16" s="20" t="n">
        <f aca="false">-E12</f>
        <v>57.1793904</v>
      </c>
      <c r="F16" s="20" t="n">
        <f aca="false">-F12</f>
        <v>60.610153824</v>
      </c>
      <c r="G16" s="20" t="n">
        <f aca="false">-G12</f>
        <v>63.03455997696</v>
      </c>
      <c r="H16" s="20" t="n">
        <f aca="false">-H12</f>
        <v>64.9255967762688</v>
      </c>
      <c r="I16" s="20" t="n">
        <f aca="false">-I12</f>
        <v>66.5487366956755</v>
      </c>
      <c r="J16" s="20" t="n">
        <f aca="false">-J12</f>
        <v>67.8797114295891</v>
      </c>
      <c r="K16" s="20" t="n">
        <f aca="false">-K12</f>
        <v>69.2373056581808</v>
      </c>
      <c r="L16" s="20" t="n">
        <f aca="false">-L12</f>
        <v>70.2758652430535</v>
      </c>
    </row>
    <row r="17" customFormat="false" ht="15" hidden="false" customHeight="false" outlineLevel="0" collapsed="false">
      <c r="A17" s="2" t="s">
        <v>140</v>
      </c>
      <c r="C17" s="21" t="n">
        <f aca="false">-C6*Assumptions!$B$7</f>
        <v>-86.63544</v>
      </c>
      <c r="D17" s="21" t="n">
        <f aca="false">-D6*Assumptions!$B$7</f>
        <v>-95.298984</v>
      </c>
      <c r="E17" s="21" t="n">
        <f aca="false">-E6*Assumptions!$B$7</f>
        <v>-102.92290272</v>
      </c>
      <c r="F17" s="21" t="n">
        <f aca="false">-F6*Assumptions!$B$7</f>
        <v>-109.0982768832</v>
      </c>
      <c r="G17" s="21" t="n">
        <f aca="false">-G6*Assumptions!$B$7</f>
        <v>-113.462207958528</v>
      </c>
      <c r="H17" s="21" t="n">
        <f aca="false">-H6*Assumptions!$B$7</f>
        <v>-116.866074197284</v>
      </c>
      <c r="I17" s="21" t="n">
        <f aca="false">-I6*Assumptions!$B$7</f>
        <v>-119.787726052216</v>
      </c>
      <c r="J17" s="21" t="n">
        <f aca="false">-J6*Assumptions!$B$7</f>
        <v>-122.18348057326</v>
      </c>
      <c r="K17" s="21" t="n">
        <f aca="false">-K6*Assumptions!$B$7</f>
        <v>-124.627150184725</v>
      </c>
      <c r="L17" s="21" t="n">
        <f aca="false">-L6*Assumptions!$B$7</f>
        <v>-126.496557437496</v>
      </c>
    </row>
    <row r="18" customFormat="false" ht="15" hidden="false" customHeight="false" outlineLevel="0" collapsed="false">
      <c r="A18" s="2" t="s">
        <v>141</v>
      </c>
      <c r="C18" s="21" t="n">
        <f aca="false">Assumptions!$B$8*(C6-B6)</f>
        <v>-41.3756000000001</v>
      </c>
      <c r="D18" s="21" t="n">
        <f aca="false">Assumptions!$B$8*(D6-C6)</f>
        <v>-33.6915600000001</v>
      </c>
      <c r="E18" s="21" t="n">
        <f aca="false">Assumptions!$B$8*(E6-D6)</f>
        <v>-29.6485728</v>
      </c>
      <c r="F18" s="21" t="n">
        <f aca="false">Assumptions!$B$8*(F6-E6)</f>
        <v>-24.015343968</v>
      </c>
      <c r="G18" s="21" t="n">
        <f aca="false">Assumptions!$B$8*(G6-F6)</f>
        <v>-16.97084307072</v>
      </c>
      <c r="H18" s="21" t="n">
        <f aca="false">Assumptions!$B$8*(H6-G6)</f>
        <v>-13.2372575951616</v>
      </c>
      <c r="I18" s="21" t="n">
        <f aca="false">Assumptions!$B$8*(I6-H6)</f>
        <v>-11.361979435847</v>
      </c>
      <c r="J18" s="21" t="n">
        <f aca="false">Assumptions!$B$8*(J6-I6)</f>
        <v>-9.31682313739456</v>
      </c>
      <c r="K18" s="21" t="n">
        <f aca="false">Assumptions!$B$8*(K6-J6)</f>
        <v>-9.50315960014246</v>
      </c>
      <c r="L18" s="21" t="n">
        <f aca="false">Assumptions!$B$8*(L6-K6)</f>
        <v>-7.26991709410897</v>
      </c>
    </row>
    <row r="19" customFormat="false" ht="15" hidden="false" customHeight="false" outlineLevel="0" collapsed="false">
      <c r="A19" s="2" t="s">
        <v>142</v>
      </c>
      <c r="C19" s="22" t="n">
        <f aca="false">C15+C16+C17+C18</f>
        <v>132.376588</v>
      </c>
      <c r="D19" s="22" t="n">
        <f aca="false">D15+D16+D17+D18</f>
        <v>167.495184</v>
      </c>
      <c r="E19" s="22" t="n">
        <f aca="false">E15+E16+E17+E18</f>
        <v>170.4792936</v>
      </c>
      <c r="F19" s="22" t="n">
        <f aca="false">F15+F16+F17+F18</f>
        <v>190.84765133808</v>
      </c>
      <c r="G19" s="22" t="n">
        <f aca="false">G15+G16+G17+G18</f>
        <v>231.385323238503</v>
      </c>
      <c r="H19" s="22" t="n">
        <f aca="false">H15+H16+H17+H18</f>
        <v>242.569593703338</v>
      </c>
      <c r="I19" s="22" t="n">
        <f aca="false">I15+I16+I17+I18</f>
        <v>277.126794139907</v>
      </c>
      <c r="J19" s="22" t="n">
        <f aca="false">J15+J16+J17+J18</f>
        <v>284.941725909874</v>
      </c>
      <c r="K19" s="22" t="n">
        <f aca="false">K15+K16+K17+K18</f>
        <v>290.640560428072</v>
      </c>
      <c r="L19" s="22" t="n">
        <f aca="false">L15+L16+L17+L18</f>
        <v>297.375958734528</v>
      </c>
    </row>
    <row r="20" customFormat="false" ht="15" hidden="false" customHeight="false" outlineLevel="0" collapsed="false">
      <c r="A20" s="2" t="s">
        <v>143</v>
      </c>
      <c r="C20" s="23" t="n">
        <f aca="false">1/(1+Assumptions!$B$5)^C4</f>
        <v>0.904977375565611</v>
      </c>
      <c r="D20" s="23" t="n">
        <f aca="false">1/(1+Assumptions!$B$5)^D4</f>
        <v>0.818984050285621</v>
      </c>
      <c r="E20" s="23" t="n">
        <f aca="false">1/(1+Assumptions!$B$5)^E4</f>
        <v>0.741162036457575</v>
      </c>
      <c r="F20" s="23" t="n">
        <f aca="false">1/(1+Assumptions!$B$5)^F4</f>
        <v>0.67073487462224</v>
      </c>
      <c r="G20" s="23" t="n">
        <f aca="false">1/(1+Assumptions!$B$5)^G4</f>
        <v>0.606999886535964</v>
      </c>
      <c r="H20" s="23" t="n">
        <f aca="false">1/(1+Assumptions!$B$5)^H4</f>
        <v>0.54932116428594</v>
      </c>
      <c r="I20" s="23" t="n">
        <f aca="false">1/(1+Assumptions!$B$5)^I4</f>
        <v>0.497123225598136</v>
      </c>
      <c r="J20" s="23" t="n">
        <f aca="false">1/(1+Assumptions!$B$5)^J4</f>
        <v>0.449885272034512</v>
      </c>
      <c r="K20" s="23" t="n">
        <f aca="false">1/(1+Assumptions!$B$5)^K4</f>
        <v>0.407135992791414</v>
      </c>
      <c r="L20" s="23" t="n">
        <f aca="false">1/(1+Assumptions!$B$5)^L4</f>
        <v>0.368448862254673</v>
      </c>
    </row>
    <row r="21" customFormat="false" ht="15" hidden="false" customHeight="false" outlineLevel="0" collapsed="false">
      <c r="A21" s="2" t="s">
        <v>144</v>
      </c>
      <c r="C21" s="20" t="n">
        <f aca="false">C19*C20</f>
        <v>119.79781719457</v>
      </c>
      <c r="D21" s="20" t="n">
        <f aca="false">D19*D20</f>
        <v>137.175884195655</v>
      </c>
      <c r="E21" s="20" t="n">
        <f aca="false">E19*E20</f>
        <v>126.352780418425</v>
      </c>
      <c r="F21" s="20" t="n">
        <f aca="false">F19*F20</f>
        <v>128.008175492196</v>
      </c>
      <c r="G21" s="20" t="n">
        <f aca="false">G19*G20</f>
        <v>140.450864951858</v>
      </c>
      <c r="H21" s="20" t="n">
        <f aca="false">H19*H20</f>
        <v>133.248611633485</v>
      </c>
      <c r="I21" s="20" t="n">
        <f aca="false">I19*I20</f>
        <v>137.766165802501</v>
      </c>
      <c r="J21" s="20" t="n">
        <f aca="false">J19*J20</f>
        <v>128.191085874947</v>
      </c>
      <c r="K21" s="20" t="n">
        <f aca="false">K19*K20</f>
        <v>118.330233115336</v>
      </c>
      <c r="L21" s="20" t="n">
        <f aca="false">L19*L20</f>
        <v>109.56783365763</v>
      </c>
    </row>
    <row r="23" customFormat="false" ht="15" hidden="false" customHeight="false" outlineLevel="0" collapsed="false">
      <c r="A23" s="2" t="s">
        <v>145</v>
      </c>
      <c r="C23" s="20" t="n">
        <f aca="false">C19-C10</f>
        <v>1263.450388</v>
      </c>
      <c r="D23" s="20" t="n">
        <f aca="false">D19-D10</f>
        <v>1358.732484</v>
      </c>
      <c r="E23" s="20" t="n">
        <f aca="false">E19-E10</f>
        <v>1428.4258824</v>
      </c>
      <c r="F23" s="20" t="n">
        <f aca="false">F19-F10</f>
        <v>1493.96595855408</v>
      </c>
      <c r="G23" s="20" t="n">
        <f aca="false">G19-G10</f>
        <v>1555.11108275466</v>
      </c>
      <c r="H23" s="20" t="n">
        <f aca="false">H19-H10</f>
        <v>1606.00712600498</v>
      </c>
      <c r="I23" s="20" t="n">
        <f aca="false">I19-I10</f>
        <v>1641.37589640126</v>
      </c>
      <c r="J23" s="20" t="n">
        <f aca="false">J19-J10</f>
        <v>1676.47581021645</v>
      </c>
      <c r="K23" s="20" t="n">
        <f aca="false">K19-K10</f>
        <v>1710.00532642078</v>
      </c>
      <c r="L23" s="20" t="n">
        <f aca="false">L19-L10</f>
        <v>1738.03119621713</v>
      </c>
    </row>
    <row r="24" customFormat="false" ht="15" hidden="false" customHeight="false" outlineLevel="0" collapsed="false">
      <c r="A24" s="2" t="s">
        <v>146</v>
      </c>
      <c r="C24" s="16" t="n">
        <f aca="false">C19/C6</f>
        <v>0.0275035087719298</v>
      </c>
      <c r="D24" s="16" t="n">
        <f aca="false">D19/D6</f>
        <v>0.0316363636363636</v>
      </c>
      <c r="E24" s="16" t="n">
        <f aca="false">E19/E6</f>
        <v>0.0298148148148149</v>
      </c>
      <c r="F24" s="16" t="n">
        <f aca="false">F19/F6</f>
        <v>0.0314877358490566</v>
      </c>
      <c r="G24" s="16" t="n">
        <f aca="false">G19/G6</f>
        <v>0.0367076923076923</v>
      </c>
      <c r="H24" s="16" t="n">
        <f aca="false">H19/H6</f>
        <v>0.0373611650485437</v>
      </c>
      <c r="I24" s="16" t="n">
        <f aca="false">I19/I6</f>
        <v>0.0416426829268293</v>
      </c>
      <c r="J24" s="16" t="n">
        <f aca="false">J19/J6</f>
        <v>0.0419774509803922</v>
      </c>
      <c r="K24" s="16" t="n">
        <f aca="false">K19/K6</f>
        <v>0.0419774509803922</v>
      </c>
      <c r="L24" s="16" t="n">
        <f aca="false">L19/L6</f>
        <v>0.0423155172413794</v>
      </c>
    </row>
    <row r="25" customFormat="false" ht="15" hidden="false" customHeight="false" outlineLevel="0" collapsed="false">
      <c r="A25" s="4" t="s">
        <v>147</v>
      </c>
    </row>
    <row r="26" customFormat="false" ht="15" hidden="false" customHeight="false" outlineLevel="0" collapsed="false">
      <c r="A26" s="2" t="s">
        <v>148</v>
      </c>
      <c r="B26" s="20" t="n">
        <f aca="false">SUM(C21:L21)</f>
        <v>1278.8894523366</v>
      </c>
    </row>
    <row r="27" customFormat="false" ht="15" hidden="false" customHeight="false" outlineLevel="0" collapsed="false">
      <c r="A27" s="2" t="s">
        <v>107</v>
      </c>
      <c r="B27" s="24" t="n">
        <f aca="false">Assumptions!$C$15</f>
        <v>0.015</v>
      </c>
    </row>
    <row r="28" customFormat="false" ht="15" hidden="false" customHeight="false" outlineLevel="0" collapsed="false">
      <c r="A28" s="2" t="s">
        <v>149</v>
      </c>
      <c r="B28" s="20" t="n">
        <f aca="false">L19*(1+B27)</f>
        <v>301.836598115546</v>
      </c>
    </row>
    <row r="29" customFormat="false" ht="15" hidden="false" customHeight="false" outlineLevel="0" collapsed="false">
      <c r="A29" s="2" t="s">
        <v>150</v>
      </c>
      <c r="B29" s="20" t="n">
        <f aca="false">B28/(Assumptions!$B$5-B27)</f>
        <v>3353.73997906163</v>
      </c>
    </row>
    <row r="30" customFormat="false" ht="15" hidden="false" customHeight="false" outlineLevel="0" collapsed="false">
      <c r="A30" s="2" t="s">
        <v>151</v>
      </c>
      <c r="B30" s="21" t="n">
        <f aca="false">Assumptions!$B$12*L19</f>
        <v>5947.51917469057</v>
      </c>
    </row>
    <row r="31" customFormat="false" ht="15" hidden="false" customHeight="false" outlineLevel="0" collapsed="false">
      <c r="A31" s="2" t="s">
        <v>152</v>
      </c>
      <c r="B31" s="20" t="n">
        <f aca="false">MIN(B29,B30)</f>
        <v>3353.73997906163</v>
      </c>
    </row>
    <row r="32" customFormat="false" ht="15" hidden="false" customHeight="false" outlineLevel="0" collapsed="false">
      <c r="A32" s="2" t="s">
        <v>153</v>
      </c>
      <c r="B32" s="25" t="n">
        <f aca="false">B31/L19</f>
        <v>11.2777777777778</v>
      </c>
    </row>
    <row r="33" customFormat="false" ht="15" hidden="false" customHeight="false" outlineLevel="0" collapsed="false">
      <c r="A33" s="2" t="s">
        <v>154</v>
      </c>
      <c r="B33" s="20" t="n">
        <f aca="false">B31*L20</f>
        <v>1235.68167958327</v>
      </c>
    </row>
    <row r="34" customFormat="false" ht="15" hidden="false" customHeight="false" outlineLevel="0" collapsed="false">
      <c r="A34" s="2" t="s">
        <v>155</v>
      </c>
      <c r="B34" s="20" t="n">
        <f aca="false">B26+B33</f>
        <v>2514.57113191987</v>
      </c>
    </row>
    <row r="35" customFormat="false" ht="15" hidden="false" customHeight="false" outlineLevel="0" collapsed="false">
      <c r="A35" s="2" t="s">
        <v>156</v>
      </c>
      <c r="B35" s="21" t="n">
        <f aca="false">Assumptions!$B$9</f>
        <v>274.9</v>
      </c>
    </row>
    <row r="36" customFormat="false" ht="15" hidden="false" customHeight="false" outlineLevel="0" collapsed="false">
      <c r="A36" s="2" t="s">
        <v>157</v>
      </c>
      <c r="B36" s="20" t="n">
        <f aca="false">B34+B35</f>
        <v>2789.47113191987</v>
      </c>
    </row>
    <row r="37" customFormat="false" ht="15" hidden="false" customHeight="false" outlineLevel="0" collapsed="false">
      <c r="A37" s="2" t="s">
        <v>98</v>
      </c>
      <c r="B37" s="26" t="n">
        <f aca="false">Assumptions!$B$10</f>
        <v>577.6</v>
      </c>
    </row>
    <row r="38" customFormat="false" ht="15" hidden="false" customHeight="false" outlineLevel="0" collapsed="false">
      <c r="A38" s="2" t="s">
        <v>158</v>
      </c>
      <c r="B38" s="27" t="n">
        <f aca="false">B36/B37</f>
        <v>4.82941677963966</v>
      </c>
    </row>
    <row r="39" customFormat="false" ht="15" hidden="false" customHeight="false" outlineLevel="0" collapsed="false">
      <c r="A39" s="2" t="s">
        <v>159</v>
      </c>
      <c r="B39" s="16" t="n">
        <f aca="false">B38/Assumptions!$B$11-1</f>
        <v>-0.792995423075882</v>
      </c>
    </row>
    <row r="41" customFormat="false" ht="15" hidden="false" customHeight="false" outlineLevel="0" collapsed="false">
      <c r="A41" s="2" t="s">
        <v>160</v>
      </c>
      <c r="B41" s="20" t="n">
        <f aca="false">SUMPRODUCT(-C10:L10/(1+Assumptions!$B$5)^C4:L4)</f>
        <v>7770.96904691117</v>
      </c>
    </row>
    <row r="42" customFormat="false" ht="15" hidden="false" customHeight="false" outlineLevel="0" collapsed="false">
      <c r="A42" s="2" t="s">
        <v>161</v>
      </c>
      <c r="B42" s="20" t="n">
        <f aca="false">(-L10*(1+B27)/(Assumptions!$B$5-B27))*L20</f>
        <v>5986.33222109971</v>
      </c>
    </row>
    <row r="43" customFormat="false" ht="15" hidden="false" customHeight="false" outlineLevel="0" collapsed="false">
      <c r="A43" s="2" t="s">
        <v>162</v>
      </c>
      <c r="B43" s="28" t="n">
        <f aca="false">(B36+B41+B42)/B37</f>
        <v>28.6474591411544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0.51"/>
  </cols>
  <sheetData>
    <row r="1" customFormat="false" ht="16.15" hidden="false" customHeight="false" outlineLevel="0" collapsed="false">
      <c r="A1" s="1" t="s">
        <v>163</v>
      </c>
    </row>
    <row r="2" customFormat="false" ht="15" hidden="false" customHeight="false" outlineLevel="0" collapsed="false">
      <c r="A2" s="5" t="s">
        <v>115</v>
      </c>
    </row>
    <row r="3" customFormat="false" ht="15" hidden="false" customHeight="false" outlineLevel="0" collapsed="false">
      <c r="B3" s="6" t="s">
        <v>116</v>
      </c>
      <c r="C3" s="6" t="s">
        <v>117</v>
      </c>
      <c r="D3" s="6" t="s">
        <v>118</v>
      </c>
      <c r="E3" s="6" t="s">
        <v>119</v>
      </c>
      <c r="F3" s="6" t="s">
        <v>120</v>
      </c>
      <c r="G3" s="6" t="s">
        <v>121</v>
      </c>
      <c r="H3" s="6" t="s">
        <v>122</v>
      </c>
      <c r="I3" s="6" t="s">
        <v>123</v>
      </c>
      <c r="J3" s="6" t="s">
        <v>124</v>
      </c>
      <c r="K3" s="6" t="s">
        <v>125</v>
      </c>
      <c r="L3" s="6" t="s">
        <v>126</v>
      </c>
    </row>
    <row r="4" customFormat="false" ht="15" hidden="false" customHeight="false" outlineLevel="0" collapsed="false">
      <c r="A4" s="18" t="s">
        <v>127</v>
      </c>
      <c r="B4" s="18" t="n">
        <v>0</v>
      </c>
      <c r="C4" s="18" t="n">
        <v>1</v>
      </c>
      <c r="D4" s="18" t="n">
        <v>2</v>
      </c>
      <c r="E4" s="18" t="n">
        <v>3</v>
      </c>
      <c r="F4" s="18" t="n">
        <v>4</v>
      </c>
      <c r="G4" s="18" t="n">
        <v>5</v>
      </c>
      <c r="H4" s="18" t="n">
        <v>6</v>
      </c>
      <c r="I4" s="18" t="n">
        <v>7</v>
      </c>
      <c r="J4" s="18" t="n">
        <v>8</v>
      </c>
      <c r="K4" s="18" t="n">
        <v>9</v>
      </c>
      <c r="L4" s="18" t="n">
        <v>10</v>
      </c>
    </row>
    <row r="5" customFormat="false" ht="15" hidden="false" customHeight="false" outlineLevel="0" collapsed="false">
      <c r="A5" s="2" t="s">
        <v>128</v>
      </c>
      <c r="C5" s="11" t="n">
        <v>0.16</v>
      </c>
      <c r="D5" s="11" t="n">
        <v>0.13</v>
      </c>
      <c r="E5" s="11" t="n">
        <v>0.11</v>
      </c>
      <c r="F5" s="11" t="n">
        <v>0.09</v>
      </c>
      <c r="G5" s="11" t="n">
        <v>0.075</v>
      </c>
      <c r="H5" s="11" t="n">
        <v>0.065</v>
      </c>
      <c r="I5" s="11" t="n">
        <v>0.055</v>
      </c>
      <c r="J5" s="11" t="n">
        <v>0.05</v>
      </c>
      <c r="K5" s="11" t="n">
        <v>0.045</v>
      </c>
      <c r="L5" s="11" t="n">
        <v>0.04</v>
      </c>
    </row>
    <row r="6" customFormat="false" ht="15" hidden="false" customHeight="false" outlineLevel="0" collapsed="false">
      <c r="A6" s="2" t="s">
        <v>129</v>
      </c>
      <c r="B6" s="19" t="n">
        <v>4222</v>
      </c>
      <c r="C6" s="20" t="n">
        <f aca="false">B6*(1+C5)</f>
        <v>4897.52</v>
      </c>
      <c r="D6" s="20" t="n">
        <f aca="false">C6*(1+D5)</f>
        <v>5534.1976</v>
      </c>
      <c r="E6" s="20" t="n">
        <f aca="false">D6*(1+E5)</f>
        <v>6142.959336</v>
      </c>
      <c r="F6" s="20" t="n">
        <f aca="false">E6*(1+F5)</f>
        <v>6695.82567624</v>
      </c>
      <c r="G6" s="20" t="n">
        <f aca="false">F6*(1+G5)</f>
        <v>7198.012601958</v>
      </c>
      <c r="H6" s="20" t="n">
        <f aca="false">G6*(1+H5)</f>
        <v>7665.88342108527</v>
      </c>
      <c r="I6" s="20" t="n">
        <f aca="false">H6*(1+I5)</f>
        <v>8087.50700924496</v>
      </c>
      <c r="J6" s="20" t="n">
        <f aca="false">I6*(1+J5)</f>
        <v>8491.88235970721</v>
      </c>
      <c r="K6" s="20" t="n">
        <f aca="false">J6*(1+K5)</f>
        <v>8874.01706589403</v>
      </c>
      <c r="L6" s="20" t="n">
        <f aca="false">K6*(1+L5)</f>
        <v>9228.97774852979</v>
      </c>
    </row>
    <row r="7" customFormat="false" ht="15" hidden="false" customHeight="false" outlineLevel="0" collapsed="false">
      <c r="A7" s="2" t="s">
        <v>130</v>
      </c>
      <c r="B7" s="10" t="n">
        <v>0.3008</v>
      </c>
      <c r="C7" s="11" t="n">
        <v>0.3</v>
      </c>
      <c r="D7" s="11" t="n">
        <v>0.305</v>
      </c>
      <c r="E7" s="11" t="n">
        <v>0.31</v>
      </c>
      <c r="F7" s="11" t="n">
        <v>0.315</v>
      </c>
      <c r="G7" s="11" t="n">
        <v>0.32</v>
      </c>
      <c r="H7" s="11" t="n">
        <v>0.32</v>
      </c>
      <c r="I7" s="11" t="n">
        <v>0.32</v>
      </c>
      <c r="J7" s="11" t="n">
        <v>0.32</v>
      </c>
      <c r="K7" s="11" t="n">
        <v>0.32</v>
      </c>
      <c r="L7" s="11" t="n">
        <v>0.32</v>
      </c>
    </row>
    <row r="8" customFormat="false" ht="15" hidden="false" customHeight="false" outlineLevel="0" collapsed="false">
      <c r="A8" s="2" t="s">
        <v>131</v>
      </c>
      <c r="C8" s="20" t="n">
        <f aca="false">C6*C7</f>
        <v>1469.256</v>
      </c>
      <c r="D8" s="20" t="n">
        <f aca="false">D6*D7</f>
        <v>1687.930268</v>
      </c>
      <c r="E8" s="20" t="n">
        <f aca="false">E6*E7</f>
        <v>1904.31739416</v>
      </c>
      <c r="F8" s="20" t="n">
        <f aca="false">F6*F7</f>
        <v>2109.1850880156</v>
      </c>
      <c r="G8" s="20" t="n">
        <f aca="false">G6*G7</f>
        <v>2303.36403262656</v>
      </c>
      <c r="H8" s="20" t="n">
        <f aca="false">H6*H7</f>
        <v>2453.08269474729</v>
      </c>
      <c r="I8" s="20" t="n">
        <f aca="false">I6*I7</f>
        <v>2588.00224295839</v>
      </c>
      <c r="J8" s="20" t="n">
        <f aca="false">J6*J7</f>
        <v>2717.40235510631</v>
      </c>
      <c r="K8" s="20" t="n">
        <f aca="false">K6*K7</f>
        <v>2839.68546108609</v>
      </c>
      <c r="L8" s="20" t="n">
        <f aca="false">L6*L7</f>
        <v>2953.27287952953</v>
      </c>
    </row>
    <row r="9" customFormat="false" ht="15" hidden="false" customHeight="false" outlineLevel="0" collapsed="false">
      <c r="A9" s="2" t="s">
        <v>132</v>
      </c>
      <c r="B9" s="10" t="n">
        <v>0.214</v>
      </c>
      <c r="C9" s="11" t="n">
        <v>0.235</v>
      </c>
      <c r="D9" s="11" t="n">
        <v>0.21</v>
      </c>
      <c r="E9" s="11" t="n">
        <v>0.19</v>
      </c>
      <c r="F9" s="11" t="n">
        <v>0.17</v>
      </c>
      <c r="G9" s="11" t="n">
        <v>0.155</v>
      </c>
      <c r="H9" s="11" t="n">
        <v>0.15</v>
      </c>
      <c r="I9" s="11" t="n">
        <v>0.145</v>
      </c>
      <c r="J9" s="11" t="n">
        <v>0.14</v>
      </c>
      <c r="K9" s="11" t="n">
        <v>0.14</v>
      </c>
      <c r="L9" s="11" t="n">
        <v>0.14</v>
      </c>
    </row>
    <row r="10" customFormat="false" ht="15" hidden="false" customHeight="false" outlineLevel="0" collapsed="false">
      <c r="A10" s="2" t="s">
        <v>133</v>
      </c>
      <c r="C10" s="20" t="n">
        <f aca="false">-C6*C9</f>
        <v>-1150.9172</v>
      </c>
      <c r="D10" s="20" t="n">
        <f aca="false">-D6*D9</f>
        <v>-1162.181496</v>
      </c>
      <c r="E10" s="20" t="n">
        <f aca="false">-E6*E9</f>
        <v>-1167.16227384</v>
      </c>
      <c r="F10" s="20" t="n">
        <f aca="false">-F6*F9</f>
        <v>-1138.2903649608</v>
      </c>
      <c r="G10" s="20" t="n">
        <f aca="false">-G6*G9</f>
        <v>-1115.69195330349</v>
      </c>
      <c r="H10" s="20" t="n">
        <f aca="false">-H6*H9</f>
        <v>-1149.88251316279</v>
      </c>
      <c r="I10" s="20" t="n">
        <f aca="false">-I6*I9</f>
        <v>-1172.68851634052</v>
      </c>
      <c r="J10" s="20" t="n">
        <f aca="false">-J6*J9</f>
        <v>-1188.86353035901</v>
      </c>
      <c r="K10" s="20" t="n">
        <f aca="false">-K6*K9</f>
        <v>-1242.36238922516</v>
      </c>
      <c r="L10" s="20" t="n">
        <f aca="false">-L6*L9</f>
        <v>-1292.05688479417</v>
      </c>
    </row>
    <row r="11" customFormat="false" ht="15" hidden="false" customHeight="false" outlineLevel="0" collapsed="false">
      <c r="A11" s="2" t="s">
        <v>134</v>
      </c>
      <c r="C11" s="20" t="n">
        <f aca="false">C8+C10</f>
        <v>318.3388</v>
      </c>
      <c r="D11" s="20" t="n">
        <f aca="false">D8+D10</f>
        <v>525.748772</v>
      </c>
      <c r="E11" s="20" t="n">
        <f aca="false">E8+E10</f>
        <v>737.15512032</v>
      </c>
      <c r="F11" s="20" t="n">
        <f aca="false">F8+F10</f>
        <v>970.8947230548</v>
      </c>
      <c r="G11" s="20" t="n">
        <f aca="false">G8+G10</f>
        <v>1187.67207932307</v>
      </c>
      <c r="H11" s="20" t="n">
        <f aca="false">H8+H10</f>
        <v>1303.2001815845</v>
      </c>
      <c r="I11" s="20" t="n">
        <f aca="false">I8+I10</f>
        <v>1415.31372661787</v>
      </c>
      <c r="J11" s="20" t="n">
        <f aca="false">J8+J10</f>
        <v>1528.5388247473</v>
      </c>
      <c r="K11" s="20" t="n">
        <f aca="false">K8+K10</f>
        <v>1597.32307186093</v>
      </c>
      <c r="L11" s="20" t="n">
        <f aca="false">L8+L10</f>
        <v>1661.21599473536</v>
      </c>
    </row>
    <row r="12" customFormat="false" ht="15" hidden="false" customHeight="false" outlineLevel="0" collapsed="false">
      <c r="A12" s="2" t="s">
        <v>135</v>
      </c>
      <c r="C12" s="21" t="n">
        <f aca="false">-C6*Assumptions!$B$6</f>
        <v>-48.9752</v>
      </c>
      <c r="D12" s="21" t="n">
        <f aca="false">-D6*Assumptions!$B$6</f>
        <v>-55.341976</v>
      </c>
      <c r="E12" s="21" t="n">
        <f aca="false">-E6*Assumptions!$B$6</f>
        <v>-61.42959336</v>
      </c>
      <c r="F12" s="21" t="n">
        <f aca="false">-F6*Assumptions!$B$6</f>
        <v>-66.9582567624</v>
      </c>
      <c r="G12" s="21" t="n">
        <f aca="false">-G6*Assumptions!$B$6</f>
        <v>-71.98012601958</v>
      </c>
      <c r="H12" s="21" t="n">
        <f aca="false">-H6*Assumptions!$B$6</f>
        <v>-76.6588342108527</v>
      </c>
      <c r="I12" s="21" t="n">
        <f aca="false">-I6*Assumptions!$B$6</f>
        <v>-80.8750700924496</v>
      </c>
      <c r="J12" s="21" t="n">
        <f aca="false">-J6*Assumptions!$B$6</f>
        <v>-84.9188235970721</v>
      </c>
      <c r="K12" s="21" t="n">
        <f aca="false">-K6*Assumptions!$B$6</f>
        <v>-88.7401706589403</v>
      </c>
      <c r="L12" s="21" t="n">
        <f aca="false">-L6*Assumptions!$B$6</f>
        <v>-92.2897774852979</v>
      </c>
    </row>
    <row r="13" customFormat="false" ht="15" hidden="false" customHeight="false" outlineLevel="0" collapsed="false">
      <c r="A13" s="2" t="s">
        <v>136</v>
      </c>
      <c r="C13" s="20" t="n">
        <f aca="false">C11+C12</f>
        <v>269.3636</v>
      </c>
      <c r="D13" s="20" t="n">
        <f aca="false">D11+D12</f>
        <v>470.406796</v>
      </c>
      <c r="E13" s="20" t="n">
        <f aca="false">E11+E12</f>
        <v>675.72552696</v>
      </c>
      <c r="F13" s="20" t="n">
        <f aca="false">F11+F12</f>
        <v>903.9364662924</v>
      </c>
      <c r="G13" s="20" t="n">
        <f aca="false">G11+G12</f>
        <v>1115.69195330349</v>
      </c>
      <c r="H13" s="20" t="n">
        <f aca="false">H11+H12</f>
        <v>1226.54134737364</v>
      </c>
      <c r="I13" s="20" t="n">
        <f aca="false">I11+I12</f>
        <v>1334.43865652542</v>
      </c>
      <c r="J13" s="20" t="n">
        <f aca="false">J11+J12</f>
        <v>1443.62000115023</v>
      </c>
      <c r="K13" s="20" t="n">
        <f aca="false">K11+K12</f>
        <v>1508.58290120199</v>
      </c>
      <c r="L13" s="20" t="n">
        <f aca="false">L11+L12</f>
        <v>1568.92621725006</v>
      </c>
    </row>
    <row r="14" customFormat="false" ht="15" hidden="false" customHeight="false" outlineLevel="0" collapsed="false">
      <c r="A14" s="2" t="s">
        <v>137</v>
      </c>
      <c r="C14" s="11" t="n">
        <v>0.02</v>
      </c>
      <c r="D14" s="11" t="n">
        <v>0.08</v>
      </c>
      <c r="E14" s="11" t="n">
        <v>0.14</v>
      </c>
      <c r="F14" s="11" t="n">
        <v>0.21</v>
      </c>
      <c r="G14" s="11" t="n">
        <v>0.21</v>
      </c>
      <c r="H14" s="11" t="n">
        <v>0.21</v>
      </c>
      <c r="I14" s="11" t="n">
        <v>0.21</v>
      </c>
      <c r="J14" s="11" t="n">
        <v>0.21</v>
      </c>
      <c r="K14" s="11" t="n">
        <v>0.21</v>
      </c>
      <c r="L14" s="11" t="n">
        <v>0.21</v>
      </c>
    </row>
    <row r="15" customFormat="false" ht="15" hidden="false" customHeight="false" outlineLevel="0" collapsed="false">
      <c r="A15" s="2" t="s">
        <v>138</v>
      </c>
      <c r="C15" s="20" t="n">
        <f aca="false">C13*(1-C14)</f>
        <v>263.976328</v>
      </c>
      <c r="D15" s="20" t="n">
        <f aca="false">D13*(1-D14)</f>
        <v>432.77425232</v>
      </c>
      <c r="E15" s="20" t="n">
        <f aca="false">E13*(1-E14)</f>
        <v>581.1239531856</v>
      </c>
      <c r="F15" s="20" t="n">
        <f aca="false">F13*(1-F14)</f>
        <v>714.109808370996</v>
      </c>
      <c r="G15" s="20" t="n">
        <f aca="false">G13*(1-G14)</f>
        <v>881.396643109757</v>
      </c>
      <c r="H15" s="20" t="n">
        <f aca="false">H13*(1-H14)</f>
        <v>968.967664425178</v>
      </c>
      <c r="I15" s="20" t="n">
        <f aca="false">I13*(1-I14)</f>
        <v>1054.20653865508</v>
      </c>
      <c r="J15" s="20" t="n">
        <f aca="false">J13*(1-J14)</f>
        <v>1140.45980090868</v>
      </c>
      <c r="K15" s="20" t="n">
        <f aca="false">K13*(1-K14)</f>
        <v>1191.78049194957</v>
      </c>
      <c r="L15" s="20" t="n">
        <f aca="false">L13*(1-L14)</f>
        <v>1239.45171162755</v>
      </c>
    </row>
    <row r="16" customFormat="false" ht="15" hidden="false" customHeight="false" outlineLevel="0" collapsed="false">
      <c r="A16" s="2" t="s">
        <v>139</v>
      </c>
      <c r="C16" s="20" t="n">
        <f aca="false">-C12</f>
        <v>48.9752</v>
      </c>
      <c r="D16" s="20" t="n">
        <f aca="false">-D12</f>
        <v>55.341976</v>
      </c>
      <c r="E16" s="20" t="n">
        <f aca="false">-E12</f>
        <v>61.42959336</v>
      </c>
      <c r="F16" s="20" t="n">
        <f aca="false">-F12</f>
        <v>66.9582567624</v>
      </c>
      <c r="G16" s="20" t="n">
        <f aca="false">-G12</f>
        <v>71.98012601958</v>
      </c>
      <c r="H16" s="20" t="n">
        <f aca="false">-H12</f>
        <v>76.6588342108527</v>
      </c>
      <c r="I16" s="20" t="n">
        <f aca="false">-I12</f>
        <v>80.8750700924496</v>
      </c>
      <c r="J16" s="20" t="n">
        <f aca="false">-J12</f>
        <v>84.9188235970721</v>
      </c>
      <c r="K16" s="20" t="n">
        <f aca="false">-K12</f>
        <v>88.7401706589403</v>
      </c>
      <c r="L16" s="20" t="n">
        <f aca="false">-L12</f>
        <v>92.2897774852979</v>
      </c>
    </row>
    <row r="17" customFormat="false" ht="15" hidden="false" customHeight="false" outlineLevel="0" collapsed="false">
      <c r="A17" s="2" t="s">
        <v>140</v>
      </c>
      <c r="C17" s="21" t="n">
        <f aca="false">-C6*Assumptions!$B$7</f>
        <v>-88.15536</v>
      </c>
      <c r="D17" s="21" t="n">
        <f aca="false">-D6*Assumptions!$B$7</f>
        <v>-99.6155568</v>
      </c>
      <c r="E17" s="21" t="n">
        <f aca="false">-E6*Assumptions!$B$7</f>
        <v>-110.573268048</v>
      </c>
      <c r="F17" s="21" t="n">
        <f aca="false">-F6*Assumptions!$B$7</f>
        <v>-120.52486217232</v>
      </c>
      <c r="G17" s="21" t="n">
        <f aca="false">-G6*Assumptions!$B$7</f>
        <v>-129.564226835244</v>
      </c>
      <c r="H17" s="21" t="n">
        <f aca="false">-H6*Assumptions!$B$7</f>
        <v>-137.985901579535</v>
      </c>
      <c r="I17" s="21" t="n">
        <f aca="false">-I6*Assumptions!$B$7</f>
        <v>-145.575126166409</v>
      </c>
      <c r="J17" s="21" t="n">
        <f aca="false">-J6*Assumptions!$B$7</f>
        <v>-152.85388247473</v>
      </c>
      <c r="K17" s="21" t="n">
        <f aca="false">-K6*Assumptions!$B$7</f>
        <v>-159.732307186093</v>
      </c>
      <c r="L17" s="21" t="n">
        <f aca="false">-L6*Assumptions!$B$7</f>
        <v>-166.121599473536</v>
      </c>
    </row>
    <row r="18" customFormat="false" ht="15" hidden="false" customHeight="false" outlineLevel="0" collapsed="false">
      <c r="A18" s="2" t="s">
        <v>141</v>
      </c>
      <c r="C18" s="21" t="n">
        <f aca="false">Assumptions!$B$8*(C6-B6)</f>
        <v>-47.2864</v>
      </c>
      <c r="D18" s="21" t="n">
        <f aca="false">Assumptions!$B$8*(D6-C6)</f>
        <v>-44.5674319999999</v>
      </c>
      <c r="E18" s="21" t="n">
        <f aca="false">Assumptions!$B$8*(E6-D6)</f>
        <v>-42.61332152</v>
      </c>
      <c r="F18" s="21" t="n">
        <f aca="false">Assumptions!$B$8*(F6-E6)</f>
        <v>-38.7006438168001</v>
      </c>
      <c r="G18" s="21" t="n">
        <f aca="false">Assumptions!$B$8*(G6-F6)</f>
        <v>-35.15308480026</v>
      </c>
      <c r="H18" s="21" t="n">
        <f aca="false">Assumptions!$B$8*(H6-G6)</f>
        <v>-32.7509573389089</v>
      </c>
      <c r="I18" s="21" t="n">
        <f aca="false">Assumptions!$B$8*(I6-H6)</f>
        <v>-29.5136511711783</v>
      </c>
      <c r="J18" s="21" t="n">
        <f aca="false">Assumptions!$B$8*(J6-I6)</f>
        <v>-28.3062745323574</v>
      </c>
      <c r="K18" s="21" t="n">
        <f aca="false">Assumptions!$B$8*(K6-J6)</f>
        <v>-26.7494294330777</v>
      </c>
      <c r="L18" s="21" t="n">
        <f aca="false">Assumptions!$B$8*(L6-K6)</f>
        <v>-24.8472477845033</v>
      </c>
    </row>
    <row r="19" customFormat="false" ht="15" hidden="false" customHeight="false" outlineLevel="0" collapsed="false">
      <c r="A19" s="2" t="s">
        <v>142</v>
      </c>
      <c r="C19" s="22" t="n">
        <f aca="false">C15+C16+C17+C18</f>
        <v>177.509768</v>
      </c>
      <c r="D19" s="22" t="n">
        <f aca="false">D15+D16+D17+D18</f>
        <v>343.93323952</v>
      </c>
      <c r="E19" s="22" t="n">
        <f aca="false">E15+E16+E17+E18</f>
        <v>489.3669569776</v>
      </c>
      <c r="F19" s="22" t="n">
        <f aca="false">F15+F16+F17+F18</f>
        <v>621.842559144276</v>
      </c>
      <c r="G19" s="22" t="n">
        <f aca="false">G15+G16+G17+G18</f>
        <v>788.659457493833</v>
      </c>
      <c r="H19" s="22" t="n">
        <f aca="false">H15+H16+H17+H18</f>
        <v>874.889639717587</v>
      </c>
      <c r="I19" s="22" t="n">
        <f aca="false">I15+I16+I17+I18</f>
        <v>959.992831409943</v>
      </c>
      <c r="J19" s="22" t="n">
        <f aca="false">J15+J16+J17+J18</f>
        <v>1044.21846749866</v>
      </c>
      <c r="K19" s="22" t="n">
        <f aca="false">K15+K16+K17+K18</f>
        <v>1094.03892598934</v>
      </c>
      <c r="L19" s="22" t="n">
        <f aca="false">L15+L16+L17+L18</f>
        <v>1140.77264185481</v>
      </c>
    </row>
    <row r="20" customFormat="false" ht="15" hidden="false" customHeight="false" outlineLevel="0" collapsed="false">
      <c r="A20" s="2" t="s">
        <v>143</v>
      </c>
      <c r="C20" s="23" t="n">
        <f aca="false">1/(1+Assumptions!$B$5)^C4</f>
        <v>0.904977375565611</v>
      </c>
      <c r="D20" s="23" t="n">
        <f aca="false">1/(1+Assumptions!$B$5)^D4</f>
        <v>0.818984050285621</v>
      </c>
      <c r="E20" s="23" t="n">
        <f aca="false">1/(1+Assumptions!$B$5)^E4</f>
        <v>0.741162036457575</v>
      </c>
      <c r="F20" s="23" t="n">
        <f aca="false">1/(1+Assumptions!$B$5)^F4</f>
        <v>0.67073487462224</v>
      </c>
      <c r="G20" s="23" t="n">
        <f aca="false">1/(1+Assumptions!$B$5)^G4</f>
        <v>0.606999886535964</v>
      </c>
      <c r="H20" s="23" t="n">
        <f aca="false">1/(1+Assumptions!$B$5)^H4</f>
        <v>0.54932116428594</v>
      </c>
      <c r="I20" s="23" t="n">
        <f aca="false">1/(1+Assumptions!$B$5)^I4</f>
        <v>0.497123225598136</v>
      </c>
      <c r="J20" s="23" t="n">
        <f aca="false">1/(1+Assumptions!$B$5)^J4</f>
        <v>0.449885272034512</v>
      </c>
      <c r="K20" s="23" t="n">
        <f aca="false">1/(1+Assumptions!$B$5)^K4</f>
        <v>0.407135992791414</v>
      </c>
      <c r="L20" s="23" t="n">
        <f aca="false">1/(1+Assumptions!$B$5)^L4</f>
        <v>0.368448862254673</v>
      </c>
    </row>
    <row r="21" customFormat="false" ht="15" hidden="false" customHeight="false" outlineLevel="0" collapsed="false">
      <c r="A21" s="2" t="s">
        <v>144</v>
      </c>
      <c r="C21" s="20" t="n">
        <f aca="false">C19*C20</f>
        <v>160.642323981901</v>
      </c>
      <c r="D21" s="20" t="n">
        <f aca="false">D19*D20</f>
        <v>281.675837529944</v>
      </c>
      <c r="E21" s="20" t="n">
        <f aca="false">E19*E20</f>
        <v>362.700210408565</v>
      </c>
      <c r="F21" s="20" t="n">
        <f aca="false">F19*F20</f>
        <v>417.091490942409</v>
      </c>
      <c r="G21" s="20" t="n">
        <f aca="false">G19*G20</f>
        <v>478.716201214272</v>
      </c>
      <c r="H21" s="20" t="n">
        <f aca="false">H19*H20</f>
        <v>480.595395511372</v>
      </c>
      <c r="I21" s="20" t="n">
        <f aca="false">I19*I20</f>
        <v>477.234732901598</v>
      </c>
      <c r="J21" s="20" t="n">
        <f aca="false">J19*J20</f>
        <v>469.778509314097</v>
      </c>
      <c r="K21" s="20" t="n">
        <f aca="false">K19*K20</f>
        <v>445.422624285121</v>
      </c>
      <c r="L21" s="20" t="n">
        <f aca="false">L19*L20</f>
        <v>420.316381982662</v>
      </c>
    </row>
    <row r="23" customFormat="false" ht="15" hidden="false" customHeight="false" outlineLevel="0" collapsed="false">
      <c r="A23" s="2" t="s">
        <v>145</v>
      </c>
      <c r="C23" s="20" t="n">
        <f aca="false">C19-C10</f>
        <v>1328.426968</v>
      </c>
      <c r="D23" s="20" t="n">
        <f aca="false">D19-D10</f>
        <v>1506.11473552</v>
      </c>
      <c r="E23" s="20" t="n">
        <f aca="false">E19-E10</f>
        <v>1656.5292308176</v>
      </c>
      <c r="F23" s="20" t="n">
        <f aca="false">F19-F10</f>
        <v>1760.13292410508</v>
      </c>
      <c r="G23" s="20" t="n">
        <f aca="false">G19-G10</f>
        <v>1904.35141079732</v>
      </c>
      <c r="H23" s="20" t="n">
        <f aca="false">H19-H10</f>
        <v>2024.77215288038</v>
      </c>
      <c r="I23" s="20" t="n">
        <f aca="false">I19-I10</f>
        <v>2132.68134775046</v>
      </c>
      <c r="J23" s="20" t="n">
        <f aca="false">J19-J10</f>
        <v>2233.08199785767</v>
      </c>
      <c r="K23" s="20" t="n">
        <f aca="false">K19-K10</f>
        <v>2336.4013152145</v>
      </c>
      <c r="L23" s="20" t="n">
        <f aca="false">L19-L10</f>
        <v>2432.82952664898</v>
      </c>
    </row>
    <row r="24" customFormat="false" ht="15" hidden="false" customHeight="false" outlineLevel="0" collapsed="false">
      <c r="A24" s="2" t="s">
        <v>146</v>
      </c>
      <c r="C24" s="16" t="n">
        <f aca="false">C19/C6</f>
        <v>0.0362448275862069</v>
      </c>
      <c r="D24" s="16" t="n">
        <f aca="false">D19/D6</f>
        <v>0.0621469026548673</v>
      </c>
      <c r="E24" s="16" t="n">
        <f aca="false">E19/E6</f>
        <v>0.0796630630630631</v>
      </c>
      <c r="F24" s="16" t="n">
        <f aca="false">F19/F6</f>
        <v>0.0928701834862385</v>
      </c>
      <c r="G24" s="16" t="n">
        <f aca="false">G19/G6</f>
        <v>0.109566279069767</v>
      </c>
      <c r="H24" s="16" t="n">
        <f aca="false">H19/H6</f>
        <v>0.114127699530516</v>
      </c>
      <c r="I24" s="16" t="n">
        <f aca="false">I19/I6</f>
        <v>0.118700710900474</v>
      </c>
      <c r="J24" s="16" t="n">
        <f aca="false">J19/J6</f>
        <v>0.122966666666667</v>
      </c>
      <c r="K24" s="16" t="n">
        <f aca="false">K19/K6</f>
        <v>0.123285645933014</v>
      </c>
      <c r="L24" s="16" t="n">
        <f aca="false">L19/L6</f>
        <v>0.123607692307692</v>
      </c>
    </row>
    <row r="25" customFormat="false" ht="15" hidden="false" customHeight="false" outlineLevel="0" collapsed="false">
      <c r="A25" s="4" t="s">
        <v>147</v>
      </c>
    </row>
    <row r="26" customFormat="false" ht="15" hidden="false" customHeight="false" outlineLevel="0" collapsed="false">
      <c r="A26" s="2" t="s">
        <v>148</v>
      </c>
      <c r="B26" s="20" t="n">
        <f aca="false">SUM(C21:L21)</f>
        <v>3994.17370807194</v>
      </c>
    </row>
    <row r="27" customFormat="false" ht="15" hidden="false" customHeight="false" outlineLevel="0" collapsed="false">
      <c r="A27" s="2" t="s">
        <v>107</v>
      </c>
      <c r="B27" s="24" t="n">
        <f aca="false">Assumptions!$D$15</f>
        <v>0.03</v>
      </c>
    </row>
    <row r="28" customFormat="false" ht="15" hidden="false" customHeight="false" outlineLevel="0" collapsed="false">
      <c r="A28" s="2" t="s">
        <v>149</v>
      </c>
      <c r="B28" s="20" t="n">
        <f aca="false">L19*(1+B27)</f>
        <v>1174.99582111045</v>
      </c>
    </row>
    <row r="29" customFormat="false" ht="15" hidden="false" customHeight="false" outlineLevel="0" collapsed="false">
      <c r="A29" s="2" t="s">
        <v>150</v>
      </c>
      <c r="B29" s="20" t="n">
        <f aca="false">B28/(Assumptions!$B$5-B27)</f>
        <v>15666.6109481394</v>
      </c>
    </row>
    <row r="30" customFormat="false" ht="15" hidden="false" customHeight="false" outlineLevel="0" collapsed="false">
      <c r="A30" s="2" t="s">
        <v>151</v>
      </c>
      <c r="B30" s="21" t="n">
        <f aca="false">Assumptions!$B$12*L19</f>
        <v>22815.4528370962</v>
      </c>
    </row>
    <row r="31" customFormat="false" ht="15" hidden="false" customHeight="false" outlineLevel="0" collapsed="false">
      <c r="A31" s="2" t="s">
        <v>152</v>
      </c>
      <c r="B31" s="20" t="n">
        <f aca="false">MIN(B29,B30)</f>
        <v>15666.6109481394</v>
      </c>
    </row>
    <row r="32" customFormat="false" ht="15" hidden="false" customHeight="false" outlineLevel="0" collapsed="false">
      <c r="A32" s="2" t="s">
        <v>153</v>
      </c>
      <c r="B32" s="25" t="n">
        <f aca="false">B31/L19</f>
        <v>13.7333333333333</v>
      </c>
    </row>
    <row r="33" customFormat="false" ht="15" hidden="false" customHeight="false" outlineLevel="0" collapsed="false">
      <c r="A33" s="2" t="s">
        <v>154</v>
      </c>
      <c r="B33" s="20" t="n">
        <f aca="false">B31*L20</f>
        <v>5772.34497922856</v>
      </c>
    </row>
    <row r="34" customFormat="false" ht="15" hidden="false" customHeight="false" outlineLevel="0" collapsed="false">
      <c r="A34" s="2" t="s">
        <v>155</v>
      </c>
      <c r="B34" s="20" t="n">
        <f aca="false">B26+B33</f>
        <v>9766.5186873005</v>
      </c>
    </row>
    <row r="35" customFormat="false" ht="15" hidden="false" customHeight="false" outlineLevel="0" collapsed="false">
      <c r="A35" s="2" t="s">
        <v>156</v>
      </c>
      <c r="B35" s="21" t="n">
        <f aca="false">Assumptions!$B$9</f>
        <v>274.9</v>
      </c>
    </row>
    <row r="36" customFormat="false" ht="15" hidden="false" customHeight="false" outlineLevel="0" collapsed="false">
      <c r="A36" s="2" t="s">
        <v>157</v>
      </c>
      <c r="B36" s="20" t="n">
        <f aca="false">B34+B35</f>
        <v>10041.4186873005</v>
      </c>
    </row>
    <row r="37" customFormat="false" ht="15" hidden="false" customHeight="false" outlineLevel="0" collapsed="false">
      <c r="A37" s="2" t="s">
        <v>98</v>
      </c>
      <c r="B37" s="26" t="n">
        <f aca="false">Assumptions!$B$10</f>
        <v>577.6</v>
      </c>
    </row>
    <row r="38" customFormat="false" ht="15" hidden="false" customHeight="false" outlineLevel="0" collapsed="false">
      <c r="A38" s="2" t="s">
        <v>158</v>
      </c>
      <c r="B38" s="27" t="n">
        <f aca="false">B36/B37</f>
        <v>17.3847276442183</v>
      </c>
    </row>
    <row r="39" customFormat="false" ht="15" hidden="false" customHeight="false" outlineLevel="0" collapsed="false">
      <c r="A39" s="2" t="s">
        <v>159</v>
      </c>
      <c r="B39" s="16" t="n">
        <f aca="false">B38/Assumptions!$B$11-1</f>
        <v>-0.254833791503715</v>
      </c>
    </row>
    <row r="41" customFormat="false" ht="15" hidden="false" customHeight="false" outlineLevel="0" collapsed="false">
      <c r="A41" s="2" t="s">
        <v>160</v>
      </c>
      <c r="B41" s="20" t="n">
        <f aca="false">SUMPRODUCT(-C10:L10/(1+Assumptions!$B$5)^C4:L4)</f>
        <v>7030.47946342593</v>
      </c>
    </row>
    <row r="42" customFormat="false" ht="15" hidden="false" customHeight="false" outlineLevel="0" collapsed="false">
      <c r="A42" s="2" t="s">
        <v>161</v>
      </c>
      <c r="B42" s="20" t="n">
        <f aca="false">(-L10*(1+B27)/(Assumptions!$B$5-B27))*L20</f>
        <v>6537.84794461135</v>
      </c>
    </row>
    <row r="43" customFormat="false" ht="15" hidden="false" customHeight="false" outlineLevel="0" collapsed="false">
      <c r="A43" s="2" t="s">
        <v>162</v>
      </c>
      <c r="B43" s="28" t="n">
        <f aca="false">(B36+B41+B42)/B37</f>
        <v>40.8755991955294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0.51"/>
  </cols>
  <sheetData>
    <row r="1" customFormat="false" ht="16.15" hidden="false" customHeight="false" outlineLevel="0" collapsed="false">
      <c r="A1" s="1" t="s">
        <v>164</v>
      </c>
    </row>
    <row r="2" customFormat="false" ht="15" hidden="false" customHeight="false" outlineLevel="0" collapsed="false">
      <c r="A2" s="5" t="s">
        <v>115</v>
      </c>
    </row>
    <row r="3" customFormat="false" ht="15" hidden="false" customHeight="false" outlineLevel="0" collapsed="false">
      <c r="B3" s="6" t="s">
        <v>116</v>
      </c>
      <c r="C3" s="6" t="s">
        <v>117</v>
      </c>
      <c r="D3" s="6" t="s">
        <v>118</v>
      </c>
      <c r="E3" s="6" t="s">
        <v>119</v>
      </c>
      <c r="F3" s="6" t="s">
        <v>120</v>
      </c>
      <c r="G3" s="6" t="s">
        <v>121</v>
      </c>
      <c r="H3" s="6" t="s">
        <v>122</v>
      </c>
      <c r="I3" s="6" t="s">
        <v>123</v>
      </c>
      <c r="J3" s="6" t="s">
        <v>124</v>
      </c>
      <c r="K3" s="6" t="s">
        <v>125</v>
      </c>
      <c r="L3" s="6" t="s">
        <v>126</v>
      </c>
    </row>
    <row r="4" customFormat="false" ht="15" hidden="false" customHeight="false" outlineLevel="0" collapsed="false">
      <c r="A4" s="18" t="s">
        <v>127</v>
      </c>
      <c r="B4" s="18" t="n">
        <v>0</v>
      </c>
      <c r="C4" s="18" t="n">
        <v>1</v>
      </c>
      <c r="D4" s="18" t="n">
        <v>2</v>
      </c>
      <c r="E4" s="18" t="n">
        <v>3</v>
      </c>
      <c r="F4" s="18" t="n">
        <v>4</v>
      </c>
      <c r="G4" s="18" t="n">
        <v>5</v>
      </c>
      <c r="H4" s="18" t="n">
        <v>6</v>
      </c>
      <c r="I4" s="18" t="n">
        <v>7</v>
      </c>
      <c r="J4" s="18" t="n">
        <v>8</v>
      </c>
      <c r="K4" s="18" t="n">
        <v>9</v>
      </c>
      <c r="L4" s="18" t="n">
        <v>10</v>
      </c>
    </row>
    <row r="5" customFormat="false" ht="15" hidden="false" customHeight="false" outlineLevel="0" collapsed="false">
      <c r="A5" s="2" t="s">
        <v>128</v>
      </c>
      <c r="C5" s="11" t="n">
        <v>0.175</v>
      </c>
      <c r="D5" s="11" t="n">
        <v>0.16</v>
      </c>
      <c r="E5" s="11" t="n">
        <v>0.15</v>
      </c>
      <c r="F5" s="11" t="n">
        <v>0.13</v>
      </c>
      <c r="G5" s="11" t="n">
        <v>0.11</v>
      </c>
      <c r="H5" s="11" t="n">
        <v>0.1</v>
      </c>
      <c r="I5" s="11" t="n">
        <v>0.09</v>
      </c>
      <c r="J5" s="11" t="n">
        <v>0.08</v>
      </c>
      <c r="K5" s="11" t="n">
        <v>0.07</v>
      </c>
      <c r="L5" s="11" t="n">
        <v>0.06</v>
      </c>
    </row>
    <row r="6" customFormat="false" ht="15" hidden="false" customHeight="false" outlineLevel="0" collapsed="false">
      <c r="A6" s="2" t="s">
        <v>129</v>
      </c>
      <c r="B6" s="19" t="n">
        <v>4222</v>
      </c>
      <c r="C6" s="20" t="n">
        <f aca="false">B6*(1+C5)</f>
        <v>4960.85</v>
      </c>
      <c r="D6" s="20" t="n">
        <f aca="false">C6*(1+D5)</f>
        <v>5754.586</v>
      </c>
      <c r="E6" s="20" t="n">
        <f aca="false">D6*(1+E5)</f>
        <v>6617.7739</v>
      </c>
      <c r="F6" s="20" t="n">
        <f aca="false">E6*(1+F5)</f>
        <v>7478.084507</v>
      </c>
      <c r="G6" s="20" t="n">
        <f aca="false">F6*(1+G5)</f>
        <v>8300.67380277</v>
      </c>
      <c r="H6" s="20" t="n">
        <f aca="false">G6*(1+H5)</f>
        <v>9130.741183047</v>
      </c>
      <c r="I6" s="20" t="n">
        <f aca="false">H6*(1+I5)</f>
        <v>9952.50788952123</v>
      </c>
      <c r="J6" s="20" t="n">
        <f aca="false">I6*(1+J5)</f>
        <v>10748.7085206829</v>
      </c>
      <c r="K6" s="20" t="n">
        <f aca="false">J6*(1+K5)</f>
        <v>11501.1181171307</v>
      </c>
      <c r="L6" s="20" t="n">
        <f aca="false">K6*(1+L5)</f>
        <v>12191.1852041586</v>
      </c>
    </row>
    <row r="7" customFormat="false" ht="15" hidden="false" customHeight="false" outlineLevel="0" collapsed="false">
      <c r="A7" s="2" t="s">
        <v>130</v>
      </c>
      <c r="B7" s="10" t="n">
        <v>0.3008</v>
      </c>
      <c r="C7" s="11" t="n">
        <v>0.305</v>
      </c>
      <c r="D7" s="11" t="n">
        <v>0.315</v>
      </c>
      <c r="E7" s="11" t="n">
        <v>0.325</v>
      </c>
      <c r="F7" s="11" t="n">
        <v>0.335</v>
      </c>
      <c r="G7" s="11" t="n">
        <v>0.345</v>
      </c>
      <c r="H7" s="11" t="n">
        <v>0.35</v>
      </c>
      <c r="I7" s="11" t="n">
        <v>0.35</v>
      </c>
      <c r="J7" s="11" t="n">
        <v>0.35</v>
      </c>
      <c r="K7" s="11" t="n">
        <v>0.35</v>
      </c>
      <c r="L7" s="11" t="n">
        <v>0.35</v>
      </c>
    </row>
    <row r="8" customFormat="false" ht="15" hidden="false" customHeight="false" outlineLevel="0" collapsed="false">
      <c r="A8" s="2" t="s">
        <v>131</v>
      </c>
      <c r="C8" s="20" t="n">
        <f aca="false">C6*C7</f>
        <v>1513.05925</v>
      </c>
      <c r="D8" s="20" t="n">
        <f aca="false">D6*D7</f>
        <v>1812.69459</v>
      </c>
      <c r="E8" s="20" t="n">
        <f aca="false">E6*E7</f>
        <v>2150.7765175</v>
      </c>
      <c r="F8" s="20" t="n">
        <f aca="false">F6*F7</f>
        <v>2505.158309845</v>
      </c>
      <c r="G8" s="20" t="n">
        <f aca="false">G6*G7</f>
        <v>2863.73246195565</v>
      </c>
      <c r="H8" s="20" t="n">
        <f aca="false">H6*H7</f>
        <v>3195.75941406645</v>
      </c>
      <c r="I8" s="20" t="n">
        <f aca="false">I6*I7</f>
        <v>3483.37776133243</v>
      </c>
      <c r="J8" s="20" t="n">
        <f aca="false">J6*J7</f>
        <v>3762.04798223903</v>
      </c>
      <c r="K8" s="20" t="n">
        <f aca="false">K6*K7</f>
        <v>4025.39134099576</v>
      </c>
      <c r="L8" s="20" t="n">
        <f aca="false">L6*L7</f>
        <v>4266.9148214555</v>
      </c>
    </row>
    <row r="9" customFormat="false" ht="15" hidden="false" customHeight="false" outlineLevel="0" collapsed="false">
      <c r="A9" s="2" t="s">
        <v>132</v>
      </c>
      <c r="B9" s="10" t="n">
        <v>0.214</v>
      </c>
      <c r="C9" s="11" t="n">
        <v>0.23</v>
      </c>
      <c r="D9" s="11" t="n">
        <v>0.195</v>
      </c>
      <c r="E9" s="11" t="n">
        <v>0.17</v>
      </c>
      <c r="F9" s="11" t="n">
        <v>0.145</v>
      </c>
      <c r="G9" s="11" t="n">
        <v>0.125</v>
      </c>
      <c r="H9" s="11" t="n">
        <v>0.115</v>
      </c>
      <c r="I9" s="11" t="n">
        <v>0.11</v>
      </c>
      <c r="J9" s="11" t="n">
        <v>0.11</v>
      </c>
      <c r="K9" s="11" t="n">
        <v>0.11</v>
      </c>
      <c r="L9" s="11" t="n">
        <v>0.11</v>
      </c>
    </row>
    <row r="10" customFormat="false" ht="15" hidden="false" customHeight="false" outlineLevel="0" collapsed="false">
      <c r="A10" s="2" t="s">
        <v>133</v>
      </c>
      <c r="C10" s="20" t="n">
        <f aca="false">-C6*C9</f>
        <v>-1140.9955</v>
      </c>
      <c r="D10" s="20" t="n">
        <f aca="false">-D6*D9</f>
        <v>-1122.14427</v>
      </c>
      <c r="E10" s="20" t="n">
        <f aca="false">-E6*E9</f>
        <v>-1125.021563</v>
      </c>
      <c r="F10" s="20" t="n">
        <f aca="false">-F6*F9</f>
        <v>-1084.322253515</v>
      </c>
      <c r="G10" s="20" t="n">
        <f aca="false">-G6*G9</f>
        <v>-1037.58422534625</v>
      </c>
      <c r="H10" s="20" t="n">
        <f aca="false">-H6*H9</f>
        <v>-1050.03523605041</v>
      </c>
      <c r="I10" s="20" t="n">
        <f aca="false">-I6*I9</f>
        <v>-1094.77586784734</v>
      </c>
      <c r="J10" s="20" t="n">
        <f aca="false">-J6*J9</f>
        <v>-1182.35793727512</v>
      </c>
      <c r="K10" s="20" t="n">
        <f aca="false">-K6*K9</f>
        <v>-1265.12299288438</v>
      </c>
      <c r="L10" s="20" t="n">
        <f aca="false">-L6*L9</f>
        <v>-1341.03037245744</v>
      </c>
    </row>
    <row r="11" customFormat="false" ht="15" hidden="false" customHeight="false" outlineLevel="0" collapsed="false">
      <c r="A11" s="2" t="s">
        <v>134</v>
      </c>
      <c r="C11" s="20" t="n">
        <f aca="false">C8+C10</f>
        <v>372.06375</v>
      </c>
      <c r="D11" s="20" t="n">
        <f aca="false">D8+D10</f>
        <v>690.55032</v>
      </c>
      <c r="E11" s="20" t="n">
        <f aca="false">E8+E10</f>
        <v>1025.7549545</v>
      </c>
      <c r="F11" s="20" t="n">
        <f aca="false">F8+F10</f>
        <v>1420.83605633</v>
      </c>
      <c r="G11" s="20" t="n">
        <f aca="false">G8+G10</f>
        <v>1826.1482366094</v>
      </c>
      <c r="H11" s="20" t="n">
        <f aca="false">H8+H10</f>
        <v>2145.72417801605</v>
      </c>
      <c r="I11" s="20" t="n">
        <f aca="false">I8+I10</f>
        <v>2388.6018934851</v>
      </c>
      <c r="J11" s="20" t="n">
        <f aca="false">J8+J10</f>
        <v>2579.6900449639</v>
      </c>
      <c r="K11" s="20" t="n">
        <f aca="false">K8+K10</f>
        <v>2760.26834811138</v>
      </c>
      <c r="L11" s="20" t="n">
        <f aca="false">L8+L10</f>
        <v>2925.88444899806</v>
      </c>
    </row>
    <row r="12" customFormat="false" ht="15" hidden="false" customHeight="false" outlineLevel="0" collapsed="false">
      <c r="A12" s="2" t="s">
        <v>135</v>
      </c>
      <c r="C12" s="21" t="n">
        <f aca="false">-C6*Assumptions!$B$6</f>
        <v>-49.6085</v>
      </c>
      <c r="D12" s="21" t="n">
        <f aca="false">-D6*Assumptions!$B$6</f>
        <v>-57.54586</v>
      </c>
      <c r="E12" s="21" t="n">
        <f aca="false">-E6*Assumptions!$B$6</f>
        <v>-66.177739</v>
      </c>
      <c r="F12" s="21" t="n">
        <f aca="false">-F6*Assumptions!$B$6</f>
        <v>-74.78084507</v>
      </c>
      <c r="G12" s="21" t="n">
        <f aca="false">-G6*Assumptions!$B$6</f>
        <v>-83.0067380277</v>
      </c>
      <c r="H12" s="21" t="n">
        <f aca="false">-H6*Assumptions!$B$6</f>
        <v>-91.30741183047</v>
      </c>
      <c r="I12" s="21" t="n">
        <f aca="false">-I6*Assumptions!$B$6</f>
        <v>-99.5250788952123</v>
      </c>
      <c r="J12" s="21" t="n">
        <f aca="false">-J6*Assumptions!$B$6</f>
        <v>-107.487085206829</v>
      </c>
      <c r="K12" s="21" t="n">
        <f aca="false">-K6*Assumptions!$B$6</f>
        <v>-115.011181171307</v>
      </c>
      <c r="L12" s="21" t="n">
        <f aca="false">-L6*Assumptions!$B$6</f>
        <v>-121.911852041586</v>
      </c>
    </row>
    <row r="13" customFormat="false" ht="15" hidden="false" customHeight="false" outlineLevel="0" collapsed="false">
      <c r="A13" s="2" t="s">
        <v>136</v>
      </c>
      <c r="C13" s="20" t="n">
        <f aca="false">C11+C12</f>
        <v>322.45525</v>
      </c>
      <c r="D13" s="20" t="n">
        <f aca="false">D11+D12</f>
        <v>633.00446</v>
      </c>
      <c r="E13" s="20" t="n">
        <f aca="false">E11+E12</f>
        <v>959.5772155</v>
      </c>
      <c r="F13" s="20" t="n">
        <f aca="false">F11+F12</f>
        <v>1346.05521126</v>
      </c>
      <c r="G13" s="20" t="n">
        <f aca="false">G11+G12</f>
        <v>1743.1414985817</v>
      </c>
      <c r="H13" s="20" t="n">
        <f aca="false">H11+H12</f>
        <v>2054.41676618558</v>
      </c>
      <c r="I13" s="20" t="n">
        <f aca="false">I11+I12</f>
        <v>2289.07681458988</v>
      </c>
      <c r="J13" s="20" t="n">
        <f aca="false">J11+J12</f>
        <v>2472.20295975707</v>
      </c>
      <c r="K13" s="20" t="n">
        <f aca="false">K11+K12</f>
        <v>2645.25716694007</v>
      </c>
      <c r="L13" s="20" t="n">
        <f aca="false">L11+L12</f>
        <v>2803.97259695647</v>
      </c>
    </row>
    <row r="14" customFormat="false" ht="15" hidden="false" customHeight="false" outlineLevel="0" collapsed="false">
      <c r="A14" s="2" t="s">
        <v>137</v>
      </c>
      <c r="C14" s="11" t="n">
        <v>0.02</v>
      </c>
      <c r="D14" s="11" t="n">
        <v>0.08</v>
      </c>
      <c r="E14" s="11" t="n">
        <v>0.14</v>
      </c>
      <c r="F14" s="11" t="n">
        <v>0.21</v>
      </c>
      <c r="G14" s="11" t="n">
        <v>0.21</v>
      </c>
      <c r="H14" s="11" t="n">
        <v>0.21</v>
      </c>
      <c r="I14" s="11" t="n">
        <v>0.21</v>
      </c>
      <c r="J14" s="11" t="n">
        <v>0.21</v>
      </c>
      <c r="K14" s="11" t="n">
        <v>0.21</v>
      </c>
      <c r="L14" s="11" t="n">
        <v>0.21</v>
      </c>
    </row>
    <row r="15" customFormat="false" ht="15" hidden="false" customHeight="false" outlineLevel="0" collapsed="false">
      <c r="A15" s="2" t="s">
        <v>138</v>
      </c>
      <c r="C15" s="20" t="n">
        <f aca="false">C13*(1-C14)</f>
        <v>316.006145</v>
      </c>
      <c r="D15" s="20" t="n">
        <f aca="false">D13*(1-D14)</f>
        <v>582.3641032</v>
      </c>
      <c r="E15" s="20" t="n">
        <f aca="false">E13*(1-E14)</f>
        <v>825.23640533</v>
      </c>
      <c r="F15" s="20" t="n">
        <f aca="false">F13*(1-F14)</f>
        <v>1063.3836168954</v>
      </c>
      <c r="G15" s="20" t="n">
        <f aca="false">G13*(1-G14)</f>
        <v>1377.08178387954</v>
      </c>
      <c r="H15" s="20" t="n">
        <f aca="false">H13*(1-H14)</f>
        <v>1622.9892452866</v>
      </c>
      <c r="I15" s="20" t="n">
        <f aca="false">I13*(1-I14)</f>
        <v>1808.37068352601</v>
      </c>
      <c r="J15" s="20" t="n">
        <f aca="false">J13*(1-J14)</f>
        <v>1953.04033820809</v>
      </c>
      <c r="K15" s="20" t="n">
        <f aca="false">K13*(1-K14)</f>
        <v>2089.75316188265</v>
      </c>
      <c r="L15" s="20" t="n">
        <f aca="false">L13*(1-L14)</f>
        <v>2215.13835159561</v>
      </c>
    </row>
    <row r="16" customFormat="false" ht="15" hidden="false" customHeight="false" outlineLevel="0" collapsed="false">
      <c r="A16" s="2" t="s">
        <v>139</v>
      </c>
      <c r="C16" s="20" t="n">
        <f aca="false">-C12</f>
        <v>49.6085</v>
      </c>
      <c r="D16" s="20" t="n">
        <f aca="false">-D12</f>
        <v>57.54586</v>
      </c>
      <c r="E16" s="20" t="n">
        <f aca="false">-E12</f>
        <v>66.177739</v>
      </c>
      <c r="F16" s="20" t="n">
        <f aca="false">-F12</f>
        <v>74.78084507</v>
      </c>
      <c r="G16" s="20" t="n">
        <f aca="false">-G12</f>
        <v>83.0067380277</v>
      </c>
      <c r="H16" s="20" t="n">
        <f aca="false">-H12</f>
        <v>91.30741183047</v>
      </c>
      <c r="I16" s="20" t="n">
        <f aca="false">-I12</f>
        <v>99.5250788952123</v>
      </c>
      <c r="J16" s="20" t="n">
        <f aca="false">-J12</f>
        <v>107.487085206829</v>
      </c>
      <c r="K16" s="20" t="n">
        <f aca="false">-K12</f>
        <v>115.011181171307</v>
      </c>
      <c r="L16" s="20" t="n">
        <f aca="false">-L12</f>
        <v>121.911852041586</v>
      </c>
    </row>
    <row r="17" customFormat="false" ht="15" hidden="false" customHeight="false" outlineLevel="0" collapsed="false">
      <c r="A17" s="2" t="s">
        <v>140</v>
      </c>
      <c r="C17" s="21" t="n">
        <f aca="false">-C6*Assumptions!$B$7</f>
        <v>-89.2953</v>
      </c>
      <c r="D17" s="21" t="n">
        <f aca="false">-D6*Assumptions!$B$7</f>
        <v>-103.582548</v>
      </c>
      <c r="E17" s="21" t="n">
        <f aca="false">-E6*Assumptions!$B$7</f>
        <v>-119.1199302</v>
      </c>
      <c r="F17" s="21" t="n">
        <f aca="false">-F6*Assumptions!$B$7</f>
        <v>-134.605521126</v>
      </c>
      <c r="G17" s="21" t="n">
        <f aca="false">-G6*Assumptions!$B$7</f>
        <v>-149.41212844986</v>
      </c>
      <c r="H17" s="21" t="n">
        <f aca="false">-H6*Assumptions!$B$7</f>
        <v>-164.353341294846</v>
      </c>
      <c r="I17" s="21" t="n">
        <f aca="false">-I6*Assumptions!$B$7</f>
        <v>-179.145142011382</v>
      </c>
      <c r="J17" s="21" t="n">
        <f aca="false">-J6*Assumptions!$B$7</f>
        <v>-193.476753372293</v>
      </c>
      <c r="K17" s="21" t="n">
        <f aca="false">-K6*Assumptions!$B$7</f>
        <v>-207.020126108353</v>
      </c>
      <c r="L17" s="21" t="n">
        <f aca="false">-L6*Assumptions!$B$7</f>
        <v>-219.441333674854</v>
      </c>
    </row>
    <row r="18" customFormat="false" ht="15" hidden="false" customHeight="false" outlineLevel="0" collapsed="false">
      <c r="A18" s="2" t="s">
        <v>141</v>
      </c>
      <c r="C18" s="21" t="n">
        <f aca="false">Assumptions!$B$8*(C6-B6)</f>
        <v>-51.7195</v>
      </c>
      <c r="D18" s="21" t="n">
        <f aca="false">Assumptions!$B$8*(D6-C6)</f>
        <v>-55.56152</v>
      </c>
      <c r="E18" s="21" t="n">
        <f aca="false">Assumptions!$B$8*(E6-D6)</f>
        <v>-60.423153</v>
      </c>
      <c r="F18" s="21" t="n">
        <f aca="false">Assumptions!$B$8*(F6-E6)</f>
        <v>-60.22174249</v>
      </c>
      <c r="G18" s="21" t="n">
        <f aca="false">Assumptions!$B$8*(G6-F6)</f>
        <v>-57.5812507039</v>
      </c>
      <c r="H18" s="21" t="n">
        <f aca="false">Assumptions!$B$8*(H6-G6)</f>
        <v>-58.1047166193901</v>
      </c>
      <c r="I18" s="21" t="n">
        <f aca="false">Assumptions!$B$8*(I6-H6)</f>
        <v>-57.5236694531962</v>
      </c>
      <c r="J18" s="21" t="n">
        <f aca="false">Assumptions!$B$8*(J6-I6)</f>
        <v>-55.7340441813189</v>
      </c>
      <c r="K18" s="21" t="n">
        <f aca="false">Assumptions!$B$8*(K6-J6)</f>
        <v>-52.6686717513464</v>
      </c>
      <c r="L18" s="21" t="n">
        <f aca="false">Assumptions!$B$8*(L6-K6)</f>
        <v>-48.3046960919491</v>
      </c>
    </row>
    <row r="19" customFormat="false" ht="15" hidden="false" customHeight="false" outlineLevel="0" collapsed="false">
      <c r="A19" s="2" t="s">
        <v>142</v>
      </c>
      <c r="C19" s="22" t="n">
        <f aca="false">C15+C16+C17+C18</f>
        <v>224.599845</v>
      </c>
      <c r="D19" s="22" t="n">
        <f aca="false">D15+D16+D17+D18</f>
        <v>480.7658952</v>
      </c>
      <c r="E19" s="22" t="n">
        <f aca="false">E15+E16+E17+E18</f>
        <v>711.87106113</v>
      </c>
      <c r="F19" s="22" t="n">
        <f aca="false">F15+F16+F17+F18</f>
        <v>943.3371983494</v>
      </c>
      <c r="G19" s="22" t="n">
        <f aca="false">G15+G16+G17+G18</f>
        <v>1253.09514275348</v>
      </c>
      <c r="H19" s="22" t="n">
        <f aca="false">H15+H16+H17+H18</f>
        <v>1491.83859920284</v>
      </c>
      <c r="I19" s="22" t="n">
        <f aca="false">I15+I16+I17+I18</f>
        <v>1671.22695095664</v>
      </c>
      <c r="J19" s="22" t="n">
        <f aca="false">J15+J16+J17+J18</f>
        <v>1811.31662586131</v>
      </c>
      <c r="K19" s="22" t="n">
        <f aca="false">K15+K16+K17+K18</f>
        <v>1945.07554519426</v>
      </c>
      <c r="L19" s="22" t="n">
        <f aca="false">L15+L16+L17+L18</f>
        <v>2069.3041738704</v>
      </c>
    </row>
    <row r="20" customFormat="false" ht="15" hidden="false" customHeight="false" outlineLevel="0" collapsed="false">
      <c r="A20" s="2" t="s">
        <v>143</v>
      </c>
      <c r="C20" s="23" t="n">
        <f aca="false">1/(1+Assumptions!$B$5)^C4</f>
        <v>0.904977375565611</v>
      </c>
      <c r="D20" s="23" t="n">
        <f aca="false">1/(1+Assumptions!$B$5)^D4</f>
        <v>0.818984050285621</v>
      </c>
      <c r="E20" s="23" t="n">
        <f aca="false">1/(1+Assumptions!$B$5)^E4</f>
        <v>0.741162036457575</v>
      </c>
      <c r="F20" s="23" t="n">
        <f aca="false">1/(1+Assumptions!$B$5)^F4</f>
        <v>0.67073487462224</v>
      </c>
      <c r="G20" s="23" t="n">
        <f aca="false">1/(1+Assumptions!$B$5)^G4</f>
        <v>0.606999886535964</v>
      </c>
      <c r="H20" s="23" t="n">
        <f aca="false">1/(1+Assumptions!$B$5)^H4</f>
        <v>0.54932116428594</v>
      </c>
      <c r="I20" s="23" t="n">
        <f aca="false">1/(1+Assumptions!$B$5)^I4</f>
        <v>0.497123225598136</v>
      </c>
      <c r="J20" s="23" t="n">
        <f aca="false">1/(1+Assumptions!$B$5)^J4</f>
        <v>0.449885272034512</v>
      </c>
      <c r="K20" s="23" t="n">
        <f aca="false">1/(1+Assumptions!$B$5)^K4</f>
        <v>0.407135992791414</v>
      </c>
      <c r="L20" s="23" t="n">
        <f aca="false">1/(1+Assumptions!$B$5)^L4</f>
        <v>0.368448862254673</v>
      </c>
    </row>
    <row r="21" customFormat="false" ht="15" hidden="false" customHeight="false" outlineLevel="0" collapsed="false">
      <c r="A21" s="2" t="s">
        <v>144</v>
      </c>
      <c r="C21" s="20" t="n">
        <f aca="false">C19*C20</f>
        <v>203.257778280543</v>
      </c>
      <c r="D21" s="20" t="n">
        <f aca="false">D19*D20</f>
        <v>393.739600090088</v>
      </c>
      <c r="E21" s="20" t="n">
        <f aca="false">E19*E20</f>
        <v>527.611805362326</v>
      </c>
      <c r="F21" s="20" t="n">
        <f aca="false">F19*F20</f>
        <v>632.72915746138</v>
      </c>
      <c r="G21" s="20" t="n">
        <f aca="false">G19*G20</f>
        <v>760.628609470132</v>
      </c>
      <c r="H21" s="20" t="n">
        <f aca="false">H19*H20</f>
        <v>819.498516240809</v>
      </c>
      <c r="I21" s="20" t="n">
        <f aca="false">I19*I20</f>
        <v>830.805732566104</v>
      </c>
      <c r="J21" s="20" t="n">
        <f aca="false">J19*J20</f>
        <v>814.884672966248</v>
      </c>
      <c r="K21" s="20" t="n">
        <f aca="false">K19*K20</f>
        <v>791.910263146966</v>
      </c>
      <c r="L21" s="20" t="n">
        <f aca="false">L19*L20</f>
        <v>762.432768521394</v>
      </c>
    </row>
    <row r="23" customFormat="false" ht="15" hidden="false" customHeight="false" outlineLevel="0" collapsed="false">
      <c r="A23" s="2" t="s">
        <v>145</v>
      </c>
      <c r="C23" s="20" t="n">
        <f aca="false">C19-C10</f>
        <v>1365.595345</v>
      </c>
      <c r="D23" s="20" t="n">
        <f aca="false">D19-D10</f>
        <v>1602.9101652</v>
      </c>
      <c r="E23" s="20" t="n">
        <f aca="false">E19-E10</f>
        <v>1836.89262413</v>
      </c>
      <c r="F23" s="20" t="n">
        <f aca="false">F19-F10</f>
        <v>2027.6594518644</v>
      </c>
      <c r="G23" s="20" t="n">
        <f aca="false">G19-G10</f>
        <v>2290.67936809973</v>
      </c>
      <c r="H23" s="20" t="n">
        <f aca="false">H19-H10</f>
        <v>2541.87383525324</v>
      </c>
      <c r="I23" s="20" t="n">
        <f aca="false">I19-I10</f>
        <v>2766.00281880398</v>
      </c>
      <c r="J23" s="20" t="n">
        <f aca="false">J19-J10</f>
        <v>2993.67456313643</v>
      </c>
      <c r="K23" s="20" t="n">
        <f aca="false">K19-K10</f>
        <v>3210.19853807864</v>
      </c>
      <c r="L23" s="20" t="n">
        <f aca="false">L19-L10</f>
        <v>3410.33454632784</v>
      </c>
    </row>
    <row r="24" customFormat="false" ht="15" hidden="false" customHeight="false" outlineLevel="0" collapsed="false">
      <c r="A24" s="2" t="s">
        <v>146</v>
      </c>
      <c r="C24" s="16" t="n">
        <f aca="false">C19/C6</f>
        <v>0.0452744680851063</v>
      </c>
      <c r="D24" s="16" t="n">
        <f aca="false">D19/D6</f>
        <v>0.083544827586207</v>
      </c>
      <c r="E24" s="16" t="n">
        <f aca="false">E19/E6</f>
        <v>0.107569565217391</v>
      </c>
      <c r="F24" s="16" t="n">
        <f aca="false">F19/F6</f>
        <v>0.126146902654867</v>
      </c>
      <c r="G24" s="16" t="n">
        <f aca="false">G19/G6</f>
        <v>0.150963063063063</v>
      </c>
      <c r="H24" s="16" t="n">
        <f aca="false">H19/H6</f>
        <v>0.163386363636364</v>
      </c>
      <c r="I24" s="16" t="n">
        <f aca="false">I19/I6</f>
        <v>0.167920183486239</v>
      </c>
      <c r="J24" s="16" t="n">
        <f aca="false">J19/J6</f>
        <v>0.168514814814815</v>
      </c>
      <c r="K24" s="16" t="n">
        <f aca="false">K19/K6</f>
        <v>0.169120560747664</v>
      </c>
      <c r="L24" s="16" t="n">
        <f aca="false">L19/L6</f>
        <v>0.169737735849057</v>
      </c>
    </row>
    <row r="25" customFormat="false" ht="15" hidden="false" customHeight="false" outlineLevel="0" collapsed="false">
      <c r="A25" s="4" t="s">
        <v>147</v>
      </c>
    </row>
    <row r="26" customFormat="false" ht="15" hidden="false" customHeight="false" outlineLevel="0" collapsed="false">
      <c r="A26" s="2" t="s">
        <v>148</v>
      </c>
      <c r="B26" s="20" t="n">
        <f aca="false">SUM(C21:L21)</f>
        <v>6537.49890410599</v>
      </c>
    </row>
    <row r="27" customFormat="false" ht="15" hidden="false" customHeight="false" outlineLevel="0" collapsed="false">
      <c r="A27" s="2" t="s">
        <v>107</v>
      </c>
      <c r="B27" s="24" t="n">
        <f aca="false">Assumptions!$E$15</f>
        <v>0.035</v>
      </c>
    </row>
    <row r="28" customFormat="false" ht="15" hidden="false" customHeight="false" outlineLevel="0" collapsed="false">
      <c r="A28" s="2" t="s">
        <v>149</v>
      </c>
      <c r="B28" s="20" t="n">
        <f aca="false">L19*(1+B27)</f>
        <v>2141.72981995586</v>
      </c>
    </row>
    <row r="29" customFormat="false" ht="15" hidden="false" customHeight="false" outlineLevel="0" collapsed="false">
      <c r="A29" s="2" t="s">
        <v>150</v>
      </c>
      <c r="B29" s="20" t="n">
        <f aca="false">B28/(Assumptions!$B$5-B27)</f>
        <v>30596.1402850837</v>
      </c>
    </row>
    <row r="30" customFormat="false" ht="15" hidden="false" customHeight="false" outlineLevel="0" collapsed="false">
      <c r="A30" s="2" t="s">
        <v>151</v>
      </c>
      <c r="B30" s="21" t="n">
        <f aca="false">Assumptions!$B$12*L19</f>
        <v>41386.0834774079</v>
      </c>
    </row>
    <row r="31" customFormat="false" ht="15" hidden="false" customHeight="false" outlineLevel="0" collapsed="false">
      <c r="A31" s="2" t="s">
        <v>152</v>
      </c>
      <c r="B31" s="20" t="n">
        <f aca="false">MIN(B29,B30)</f>
        <v>30596.1402850837</v>
      </c>
    </row>
    <row r="32" customFormat="false" ht="15" hidden="false" customHeight="false" outlineLevel="0" collapsed="false">
      <c r="A32" s="2" t="s">
        <v>153</v>
      </c>
      <c r="B32" s="25" t="n">
        <f aca="false">B31/L19</f>
        <v>14.7857142857143</v>
      </c>
    </row>
    <row r="33" customFormat="false" ht="15" hidden="false" customHeight="false" outlineLevel="0" collapsed="false">
      <c r="A33" s="2" t="s">
        <v>154</v>
      </c>
      <c r="B33" s="20" t="n">
        <f aca="false">B31*L20</f>
        <v>11273.1130774235</v>
      </c>
    </row>
    <row r="34" customFormat="false" ht="15" hidden="false" customHeight="false" outlineLevel="0" collapsed="false">
      <c r="A34" s="2" t="s">
        <v>155</v>
      </c>
      <c r="B34" s="20" t="n">
        <f aca="false">B26+B33</f>
        <v>17810.6119815295</v>
      </c>
    </row>
    <row r="35" customFormat="false" ht="15" hidden="false" customHeight="false" outlineLevel="0" collapsed="false">
      <c r="A35" s="2" t="s">
        <v>156</v>
      </c>
      <c r="B35" s="21" t="n">
        <f aca="false">Assumptions!$B$9</f>
        <v>274.9</v>
      </c>
    </row>
    <row r="36" customFormat="false" ht="15" hidden="false" customHeight="false" outlineLevel="0" collapsed="false">
      <c r="A36" s="2" t="s">
        <v>157</v>
      </c>
      <c r="B36" s="20" t="n">
        <f aca="false">B34+B35</f>
        <v>18085.5119815295</v>
      </c>
    </row>
    <row r="37" customFormat="false" ht="15" hidden="false" customHeight="false" outlineLevel="0" collapsed="false">
      <c r="A37" s="2" t="s">
        <v>98</v>
      </c>
      <c r="B37" s="26" t="n">
        <f aca="false">Assumptions!$B$10</f>
        <v>577.6</v>
      </c>
    </row>
    <row r="38" customFormat="false" ht="15" hidden="false" customHeight="false" outlineLevel="0" collapsed="false">
      <c r="A38" s="2" t="s">
        <v>158</v>
      </c>
      <c r="B38" s="27" t="n">
        <f aca="false">B36/B37</f>
        <v>31.3114819624817</v>
      </c>
    </row>
    <row r="39" customFormat="false" ht="15" hidden="false" customHeight="false" outlineLevel="0" collapsed="false">
      <c r="A39" s="2" t="s">
        <v>159</v>
      </c>
      <c r="B39" s="16" t="n">
        <f aca="false">B38/Assumptions!$B$11-1</f>
        <v>0.342112385875772</v>
      </c>
    </row>
    <row r="41" customFormat="false" ht="15" hidden="false" customHeight="false" outlineLevel="0" collapsed="false">
      <c r="A41" s="2" t="s">
        <v>160</v>
      </c>
      <c r="B41" s="20" t="n">
        <f aca="false">SUMPRODUCT(-C10:L10/(1+Assumptions!$B$5)^C4:L4)</f>
        <v>6804.67163496656</v>
      </c>
    </row>
    <row r="42" customFormat="false" ht="15" hidden="false" customHeight="false" outlineLevel="0" collapsed="false">
      <c r="A42" s="2" t="s">
        <v>161</v>
      </c>
      <c r="B42" s="20" t="n">
        <f aca="false">(-L10*(1+B27)/(Assumptions!$B$5-B27))*L20</f>
        <v>7305.63791436053</v>
      </c>
    </row>
    <row r="43" customFormat="false" ht="15" hidden="false" customHeight="false" outlineLevel="0" collapsed="false">
      <c r="A43" s="2" t="s">
        <v>162</v>
      </c>
      <c r="B43" s="28" t="n">
        <f aca="false">(B36+B41+B42)/B37</f>
        <v>55.7406882459428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3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" t="s">
        <v>165</v>
      </c>
    </row>
    <row r="2" customFormat="false" ht="15" hidden="false" customHeight="false" outlineLevel="0" collapsed="false">
      <c r="A2" s="5" t="s">
        <v>166</v>
      </c>
    </row>
    <row r="4" customFormat="false" ht="15" hidden="false" customHeight="false" outlineLevel="0" collapsed="false">
      <c r="B4" s="6" t="s">
        <v>104</v>
      </c>
      <c r="C4" s="6" t="s">
        <v>105</v>
      </c>
      <c r="D4" s="6" t="s">
        <v>106</v>
      </c>
    </row>
    <row r="5" customFormat="false" ht="15" hidden="false" customHeight="false" outlineLevel="0" collapsed="false">
      <c r="A5" s="2" t="s">
        <v>158</v>
      </c>
      <c r="B5" s="29" t="n">
        <f aca="false">DCF_Bear!$B$38</f>
        <v>4.82941677963966</v>
      </c>
      <c r="C5" s="29" t="n">
        <f aca="false">DCF_Base!$B$38</f>
        <v>17.3847276442183</v>
      </c>
      <c r="D5" s="29" t="n">
        <f aca="false">DCF_Bull!$B$38</f>
        <v>31.3114819624817</v>
      </c>
    </row>
    <row r="6" customFormat="false" ht="15" hidden="false" customHeight="false" outlineLevel="0" collapsed="false">
      <c r="A6" s="2" t="s">
        <v>167</v>
      </c>
      <c r="B6" s="16" t="n">
        <f aca="false">B5/Assumptions!$B$11-1</f>
        <v>-0.792995423075882</v>
      </c>
      <c r="C6" s="16" t="n">
        <f aca="false">C5/Assumptions!$B$11-1</f>
        <v>-0.254833791503715</v>
      </c>
      <c r="D6" s="16" t="n">
        <f aca="false">D5/Assumptions!$B$11-1</f>
        <v>0.342112385875772</v>
      </c>
    </row>
    <row r="7" customFormat="false" ht="15" hidden="false" customHeight="false" outlineLevel="0" collapsed="false">
      <c r="A7" s="2" t="s">
        <v>168</v>
      </c>
      <c r="B7" s="24" t="n">
        <f aca="false">Assumptions!$C$16</f>
        <v>0.15</v>
      </c>
      <c r="C7" s="24" t="n">
        <f aca="false">Assumptions!$D$16</f>
        <v>0.5</v>
      </c>
      <c r="D7" s="24" t="n">
        <f aca="false">Assumptions!$E$16</f>
        <v>0.35</v>
      </c>
    </row>
    <row r="8" customFormat="false" ht="15" hidden="false" customHeight="false" outlineLevel="0" collapsed="false">
      <c r="A8" s="2" t="s">
        <v>169</v>
      </c>
      <c r="B8" s="29" t="n">
        <f aca="false">DCF_Bear!$B$43</f>
        <v>28.6474591411544</v>
      </c>
      <c r="C8" s="29" t="n">
        <f aca="false">DCF_Base!$B$43</f>
        <v>40.8755991955294</v>
      </c>
      <c r="D8" s="29" t="n">
        <f aca="false">DCF_Bull!$B$43</f>
        <v>55.7406882459428</v>
      </c>
    </row>
    <row r="10" customFormat="false" ht="15" hidden="false" customHeight="false" outlineLevel="0" collapsed="false">
      <c r="A10" s="2" t="s">
        <v>170</v>
      </c>
      <c r="B10" s="27" t="n">
        <f aca="false">SUMPRODUCT(B5:D5,B7:D7)</f>
        <v>20.3757950259237</v>
      </c>
    </row>
    <row r="11" customFormat="false" ht="15" hidden="false" customHeight="false" outlineLevel="0" collapsed="false">
      <c r="A11" s="2" t="s">
        <v>171</v>
      </c>
      <c r="B11" s="29" t="n">
        <f aca="false">Assumptions!$B$11</f>
        <v>23.33</v>
      </c>
    </row>
    <row r="12" customFormat="false" ht="15" hidden="false" customHeight="false" outlineLevel="0" collapsed="false">
      <c r="A12" s="2" t="s">
        <v>172</v>
      </c>
      <c r="B12" s="16" t="n">
        <f aca="false">1-B11/B10</f>
        <v>-0.144985997862547</v>
      </c>
    </row>
    <row r="13" customFormat="false" ht="15" hidden="false" customHeight="false" outlineLevel="0" collapsed="false">
      <c r="A13" s="2" t="s">
        <v>173</v>
      </c>
      <c r="B13" s="28" t="n">
        <f aca="false">SUMPRODUCT(B8:D8,B7:D7)</f>
        <v>44.2441593550178</v>
      </c>
    </row>
    <row r="14" customFormat="false" ht="15" hidden="false" customHeight="false" outlineLevel="0" collapsed="false">
      <c r="A14" s="2" t="s">
        <v>174</v>
      </c>
      <c r="B14" s="16" t="n">
        <f aca="false">(Assumptions!$B$11-B10)/(B13-B10)</f>
        <v>0.123770734070591</v>
      </c>
    </row>
    <row r="17" customFormat="false" ht="15" hidden="false" customHeight="false" outlineLevel="0" collapsed="false">
      <c r="A17" s="4" t="s">
        <v>175</v>
      </c>
    </row>
    <row r="18" customFormat="false" ht="15" hidden="false" customHeight="false" outlineLevel="0" collapsed="false">
      <c r="A18" s="6" t="s">
        <v>176</v>
      </c>
      <c r="B18" s="6" t="s">
        <v>177</v>
      </c>
    </row>
    <row r="19" customFormat="false" ht="15" hidden="false" customHeight="false" outlineLevel="0" collapsed="false">
      <c r="A19" s="10" t="n">
        <v>0.09</v>
      </c>
      <c r="B19" s="28" t="n">
        <f aca="false">(SUMPRODUCT(DCF_Base!$C$19:$L$19/(1+$A19)^DCF_Base!$C$4:$L$4)+MIN(DCF_Base!$L$19*(1+Assumptions!$D$15)/($A19-Assumptions!$D$15),Assumptions!$B$12*DCF_Base!$L$19)/(1+$A19)^10+Assumptions!$B$9)/Assumptions!$B$10</f>
        <v>22.3110754912543</v>
      </c>
    </row>
    <row r="20" customFormat="false" ht="15" hidden="false" customHeight="false" outlineLevel="0" collapsed="false">
      <c r="A20" s="10" t="n">
        <v>0.1</v>
      </c>
      <c r="B20" s="28" t="n">
        <f aca="false">(SUMPRODUCT(DCF_Base!$C$19:$L$19/(1+$A20)^DCF_Base!$C$4:$L$4)+MIN(DCF_Base!$L$19*(1+Assumptions!$D$15)/($A20-Assumptions!$D$15),Assumptions!$B$12*DCF_Base!$L$19)/(1+$A20)^10+Assumptions!$B$9)/Assumptions!$B$10</f>
        <v>18.787422029271</v>
      </c>
    </row>
    <row r="21" customFormat="false" ht="15" hidden="false" customHeight="false" outlineLevel="0" collapsed="false">
      <c r="A21" s="10" t="n">
        <v>0.105</v>
      </c>
      <c r="B21" s="28" t="n">
        <f aca="false">(SUMPRODUCT(DCF_Base!$C$19:$L$19/(1+$A21)^DCF_Base!$C$4:$L$4)+MIN(DCF_Base!$L$19*(1+Assumptions!$D$15)/($A21-Assumptions!$D$15),Assumptions!$B$12*DCF_Base!$L$19)/(1+$A21)^10+Assumptions!$B$9)/Assumptions!$B$10</f>
        <v>17.3847276442183</v>
      </c>
    </row>
    <row r="22" customFormat="false" ht="15" hidden="false" customHeight="false" outlineLevel="0" collapsed="false">
      <c r="A22" s="10" t="n">
        <v>0.11</v>
      </c>
      <c r="B22" s="28" t="n">
        <f aca="false">(SUMPRODUCT(DCF_Base!$C$19:$L$19/(1+$A22)^DCF_Base!$C$4:$L$4)+MIN(DCF_Base!$L$19*(1+Assumptions!$D$15)/($A22-Assumptions!$D$15),Assumptions!$B$12*DCF_Base!$L$19)/(1+$A22)^10+Assumptions!$B$9)/Assumptions!$B$10</f>
        <v>16.16142033025</v>
      </c>
    </row>
    <row r="23" customFormat="false" ht="15" hidden="false" customHeight="false" outlineLevel="0" collapsed="false">
      <c r="A23" s="10" t="n">
        <v>0.12</v>
      </c>
      <c r="B23" s="28" t="n">
        <f aca="false">(SUMPRODUCT(DCF_Base!$C$19:$L$19/(1+$A23)^DCF_Base!$C$4:$L$4)+MIN(DCF_Base!$L$19*(1+Assumptions!$D$15)/($A23-Assumptions!$D$15),Assumptions!$B$12*DCF_Base!$L$19)/(1+$A23)^10+Assumptions!$B$9)/Assumptions!$B$10</f>
        <v>14.1329253045464</v>
      </c>
    </row>
    <row r="24" customFormat="false" ht="15" hidden="false" customHeight="false" outlineLevel="0" collapsed="false">
      <c r="A24" s="10" t="n">
        <v>0.15</v>
      </c>
      <c r="B24" s="28" t="n">
        <f aca="false">(SUMPRODUCT(DCF_Base!$C$19:$L$19/(1+$A24)^DCF_Base!$C$4:$L$4)+MIN(DCF_Base!$L$19*(1+Assumptions!$D$15)/($A24-Assumptions!$D$15),Assumptions!$B$12*DCF_Base!$L$19)/(1+$A24)^10+Assumptions!$B$9)/Assumptions!$B$10</f>
        <v>10.1325131849457</v>
      </c>
    </row>
    <row r="25" customFormat="false" ht="15" hidden="false" customHeight="false" outlineLevel="0" collapsed="false">
      <c r="A25" s="2" t="s">
        <v>178</v>
      </c>
      <c r="B25" s="28" t="n">
        <f aca="false">(SUMPRODUCT(DCF_Bear!$C$19:$L$19/(1+0.15)^DCF_Bear!$C$4:$L$4)+MIN(DCF_Bear!$L$19*(1+Assumptions!$C$15)/(0.15-Assumptions!$C$15),Assumptions!$B$12*DCF_Bear!$L$19)/(1+0.15)^10+Assumptions!$B$9)/Assumptions!$B$10</f>
        <v>3.22696919514223</v>
      </c>
      <c r="C25" s="28" t="n">
        <f aca="false">(SUMPRODUCT(DCF_Base!$C$19:$L$19/(1+0.15)^DCF_Base!$C$4:$L$4)+MIN(DCF_Base!$L$19*(1+Assumptions!$D$15)/(0.15-Assumptions!$D$15),Assumptions!$B$12*DCF_Base!$L$19)/(1+0.15)^10+Assumptions!$B$9)/Assumptions!$B$10</f>
        <v>10.1325131849457</v>
      </c>
      <c r="D25" s="28" t="n">
        <f aca="false">(SUMPRODUCT(DCF_Bull!$C$19:$L$19/(1+0.15)^DCF_Bull!$C$4:$L$4)+MIN(DCF_Bull!$L$19*(1+Assumptions!$E$15)/(0.15-Assumptions!$E$15),Assumptions!$B$12*DCF_Bull!$L$19)/(1+0.15)^10+Assumptions!$B$9)/Assumptions!$B$10</f>
        <v>17.3085906652721</v>
      </c>
      <c r="E25" s="27" t="n">
        <f aca="false">SUMPRODUCT(B25:D25,$B$7:$D$7)</f>
        <v>11.6083087045894</v>
      </c>
      <c r="G25" s="5" t="s">
        <v>179</v>
      </c>
    </row>
    <row r="26" customFormat="false" ht="15" hidden="false" customHeight="false" outlineLevel="0" collapsed="false">
      <c r="A26" s="2" t="s">
        <v>180</v>
      </c>
      <c r="B26" s="28" t="n">
        <f aca="false">B25+(SUMPRODUCT(-DCF_Bear!$C$10:$L$10/(1+0.15)^DCF_Bear!$C$4:$L$4)+(-DCF_Bear!$L$10*(1+Assumptions!$C$15)/(0.15-Assumptions!$C$15))/(1+0.15)^10)/Assumptions!$B$10</f>
        <v>18.9970515993199</v>
      </c>
      <c r="C26" s="28" t="n">
        <f aca="false">C25+(SUMPRODUCT(-DCF_Base!$C$10:$L$10/(1+0.15)^DCF_Base!$C$4:$L$4)+(-DCF_Base!$L$10*(1+Assumptions!$D$15)/(0.15-Assumptions!$D$15))/(1+0.15)^10)/Assumptions!$B$10</f>
        <v>25.0095805058938</v>
      </c>
      <c r="D26" s="28" t="n">
        <f aca="false">D25+(SUMPRODUCT(-DCF_Bull!$C$10:$L$10/(1+0.15)^DCF_Bull!$C$4:$L$4)+(-DCF_Bull!$L$10*(1+Assumptions!$E$15)/(0.15-Assumptions!$E$15))/(1+0.15)^10)/Assumptions!$B$10</f>
        <v>32.2717304550225</v>
      </c>
      <c r="E26" s="28" t="n">
        <f aca="false">SUMPRODUCT(B26:D26,$B$7:$D$7)</f>
        <v>26.6494536521028</v>
      </c>
    </row>
    <row r="28" customFormat="false" ht="15" hidden="false" customHeight="false" outlineLevel="0" collapsed="false">
      <c r="A28" s="4" t="s">
        <v>181</v>
      </c>
    </row>
    <row r="29" customFormat="false" ht="15" hidden="false" customHeight="false" outlineLevel="0" collapsed="false">
      <c r="A29" s="6" t="s">
        <v>182</v>
      </c>
      <c r="B29" s="30" t="n">
        <v>0.02</v>
      </c>
      <c r="C29" s="30" t="n">
        <v>0.025</v>
      </c>
      <c r="D29" s="30" t="n">
        <v>0.03</v>
      </c>
      <c r="E29" s="30" t="n">
        <v>0.035</v>
      </c>
      <c r="F29" s="30" t="n">
        <v>0.04</v>
      </c>
    </row>
    <row r="30" customFormat="false" ht="15" hidden="false" customHeight="false" outlineLevel="0" collapsed="false">
      <c r="A30" s="30" t="n">
        <v>0.095</v>
      </c>
      <c r="B30" s="28" t="n">
        <f aca="false">IF($A30&gt;B$29,(SUMPRODUCT(DCF_Base!$C$19:$L$19/(1+$A30)^DCF_Base!$C$4:$L$4)+MIN(DCF_Base!$L$19*(1+B$29)/($A30-B$29),Assumptions!$B$12*DCF_Base!$L$19)/(1+$A30)^10+Assumptions!$B$9)/Assumptions!$B$10,"n/a")</f>
        <v>18.6209933248622</v>
      </c>
      <c r="C30" s="28" t="n">
        <f aca="false">IF($A30&gt;C$29,(SUMPRODUCT(DCF_Base!$C$19:$L$19/(1+$A30)^DCF_Base!$C$4:$L$4)+MIN(DCF_Base!$L$19*(1+C$29)/($A30-C$29),Assumptions!$B$12*DCF_Base!$L$19)/(1+$A30)^10+Assumptions!$B$9)/Assumptions!$B$10,"n/a")</f>
        <v>19.4520976474973</v>
      </c>
      <c r="D30" s="28" t="n">
        <f aca="false">IF($A30&gt;D$29,(SUMPRODUCT(DCF_Base!$C$19:$L$19/(1+$A30)^DCF_Base!$C$4:$L$4)+MIN(DCF_Base!$L$19*(1+D$29)/($A30-D$29),Assumptions!$B$12*DCF_Base!$L$19)/(1+$A30)^10+Assumptions!$B$9)/Assumptions!$B$10,"n/a")</f>
        <v>20.4110641736148</v>
      </c>
      <c r="E30" s="28" t="n">
        <f aca="false">IF($A30&gt;E$29,(SUMPRODUCT(DCF_Base!$C$19:$L$19/(1+$A30)^DCF_Base!$C$4:$L$4)+MIN(DCF_Base!$L$19*(1+E$29)/($A30-E$29),Assumptions!$B$12*DCF_Base!$L$19)/(1+$A30)^10+Assumptions!$B$9)/Assumptions!$B$10,"n/a")</f>
        <v>21.5298584540852</v>
      </c>
      <c r="F30" s="28" t="n">
        <f aca="false">IF($A30&gt;F$29,(SUMPRODUCT(DCF_Base!$C$19:$L$19/(1+$A30)^DCF_Base!$C$4:$L$4)+MIN(DCF_Base!$L$19*(1+F$29)/($A30-F$29),Assumptions!$B$12*DCF_Base!$L$19)/(1+$A30)^10+Assumptions!$B$9)/Assumptions!$B$10,"n/a")</f>
        <v>22.8520698764592</v>
      </c>
    </row>
    <row r="31" customFormat="false" ht="15" hidden="false" customHeight="false" outlineLevel="0" collapsed="false">
      <c r="A31" s="30" t="n">
        <v>0.1</v>
      </c>
      <c r="B31" s="28" t="n">
        <f aca="false">IF($A31&gt;B$29,(SUMPRODUCT(DCF_Base!$C$19:$L$19/(1+$A31)^DCF_Base!$C$4:$L$4)+MIN(DCF_Base!$L$19*(1+B$29)/($A31-B$29),Assumptions!$B$12*DCF_Base!$L$19)/(1+$A31)^10+Assumptions!$B$9)/Assumptions!$B$10,"n/a")</f>
        <v>17.2917040320315</v>
      </c>
      <c r="C31" s="28" t="n">
        <f aca="false">IF($A31&gt;C$29,(SUMPRODUCT(DCF_Base!$C$19:$L$19/(1+$A31)^DCF_Base!$C$4:$L$4)+MIN(DCF_Base!$L$19*(1+C$29)/($A31-C$29),Assumptions!$B$12*DCF_Base!$L$19)/(1+$A31)^10+Assumptions!$B$9)/Assumptions!$B$10,"n/a")</f>
        <v>17.9897057640766</v>
      </c>
      <c r="D31" s="28" t="n">
        <f aca="false">IF($A31&gt;D$29,(SUMPRODUCT(DCF_Base!$C$19:$L$19/(1+$A31)^DCF_Base!$C$4:$L$4)+MIN(DCF_Base!$L$19*(1+D$29)/($A31-D$29),Assumptions!$B$12*DCF_Base!$L$19)/(1+$A31)^10+Assumptions!$B$9)/Assumptions!$B$10,"n/a")</f>
        <v>18.787422029271</v>
      </c>
      <c r="E31" s="28" t="n">
        <f aca="false">IF($A31&gt;E$29,(SUMPRODUCT(DCF_Base!$C$19:$L$19/(1+$A31)^DCF_Base!$C$4:$L$4)+MIN(DCF_Base!$L$19*(1+E$29)/($A31-E$29),Assumptions!$B$12*DCF_Base!$L$19)/(1+$A31)^10+Assumptions!$B$9)/Assumptions!$B$10,"n/a")</f>
        <v>19.7078638737261</v>
      </c>
      <c r="F31" s="28" t="n">
        <f aca="false">IF($A31&gt;F$29,(SUMPRODUCT(DCF_Base!$C$19:$L$19/(1+$A31)^DCF_Base!$C$4:$L$4)+MIN(DCF_Base!$L$19*(1+F$29)/($A31-F$29),Assumptions!$B$12*DCF_Base!$L$19)/(1+$A31)^10+Assumptions!$B$9)/Assumptions!$B$10,"n/a")</f>
        <v>20.7817126922571</v>
      </c>
    </row>
    <row r="32" customFormat="false" ht="15" hidden="false" customHeight="false" outlineLevel="0" collapsed="false">
      <c r="A32" s="30" t="n">
        <v>0.105</v>
      </c>
      <c r="B32" s="28" t="n">
        <f aca="false">IF($A32&gt;B$29,(SUMPRODUCT(DCF_Base!$C$19:$L$19/(1+$A32)^DCF_Base!$C$4:$L$4)+MIN(DCF_Base!$L$19*(1+B$29)/($A32-B$29),Assumptions!$B$12*DCF_Base!$L$19)/(1+$A32)^10+Assumptions!$B$9)/Assumptions!$B$10,"n/a")</f>
        <v>16.1233903945012</v>
      </c>
      <c r="C32" s="28" t="n">
        <f aca="false">IF($A32&gt;C$29,(SUMPRODUCT(DCF_Base!$C$19:$L$19/(1+$A32)^DCF_Base!$C$4:$L$4)+MIN(DCF_Base!$L$19*(1+C$29)/($A32-C$29),Assumptions!$B$12*DCF_Base!$L$19)/(1+$A32)^10+Assumptions!$B$9)/Assumptions!$B$10,"n/a")</f>
        <v>16.7146422303061</v>
      </c>
      <c r="D32" s="27" t="n">
        <f aca="false">IF($A32&gt;D$29,(SUMPRODUCT(DCF_Base!$C$19:$L$19/(1+$A32)^DCF_Base!$C$4:$L$4)+MIN(DCF_Base!$L$19*(1+D$29)/($A32-D$29),Assumptions!$B$12*DCF_Base!$L$19)/(1+$A32)^10+Assumptions!$B$9)/Assumptions!$B$10,"n/a")</f>
        <v>17.3847276442183</v>
      </c>
      <c r="E32" s="28" t="n">
        <f aca="false">IF($A32&gt;E$29,(SUMPRODUCT(DCF_Base!$C$19:$L$19/(1+$A32)^DCF_Base!$C$4:$L$4)+MIN(DCF_Base!$L$19*(1+E$29)/($A32-E$29),Assumptions!$B$12*DCF_Base!$L$19)/(1+$A32)^10+Assumptions!$B$9)/Assumptions!$B$10,"n/a")</f>
        <v>18.1505395458323</v>
      </c>
      <c r="F32" s="28" t="n">
        <f aca="false">IF($A32&gt;F$29,(SUMPRODUCT(DCF_Base!$C$19:$L$19/(1+$A32)^DCF_Base!$C$4:$L$4)+MIN(DCF_Base!$L$19*(1+F$29)/($A32-F$29),Assumptions!$B$12*DCF_Base!$L$19)/(1+$A32)^10+Assumptions!$B$9)/Assumptions!$B$10,"n/a")</f>
        <v>19.0341686630792</v>
      </c>
    </row>
    <row r="33" customFormat="false" ht="15" hidden="false" customHeight="false" outlineLevel="0" collapsed="false">
      <c r="A33" s="30" t="n">
        <v>0.11</v>
      </c>
      <c r="B33" s="28" t="n">
        <f aca="false">IF($A33&gt;B$29,(SUMPRODUCT(DCF_Base!$C$19:$L$19/(1+$A33)^DCF_Base!$C$4:$L$4)+MIN(DCF_Base!$L$19*(1+B$29)/($A33-B$29),Assumptions!$B$12*DCF_Base!$L$19)/(1+$A33)^10+Assumptions!$B$9)/Assumptions!$B$10,"n/a")</f>
        <v>15.0890800806499</v>
      </c>
      <c r="C33" s="28" t="n">
        <f aca="false">IF($A33&gt;C$29,(SUMPRODUCT(DCF_Base!$C$19:$L$19/(1+$A33)^DCF_Base!$C$4:$L$4)+MIN(DCF_Base!$L$19*(1+C$29)/($A33-C$29),Assumptions!$B$12*DCF_Base!$L$19)/(1+$A33)^10+Assumptions!$B$9)/Assumptions!$B$10,"n/a")</f>
        <v>15.5937107863441</v>
      </c>
      <c r="D33" s="28" t="n">
        <f aca="false">IF($A33&gt;D$29,(SUMPRODUCT(DCF_Base!$C$19:$L$19/(1+$A33)^DCF_Base!$C$4:$L$4)+MIN(DCF_Base!$L$19*(1+D$29)/($A33-D$29),Assumptions!$B$12*DCF_Base!$L$19)/(1+$A33)^10+Assumptions!$B$9)/Assumptions!$B$10,"n/a")</f>
        <v>16.16142033025</v>
      </c>
      <c r="E33" s="28" t="n">
        <f aca="false">IF($A33&gt;E$29,(SUMPRODUCT(DCF_Base!$C$19:$L$19/(1+$A33)^DCF_Base!$C$4:$L$4)+MIN(DCF_Base!$L$19*(1+E$29)/($A33-E$29),Assumptions!$B$12*DCF_Base!$L$19)/(1+$A33)^10+Assumptions!$B$9)/Assumptions!$B$10,"n/a")</f>
        <v>16.8048244800101</v>
      </c>
      <c r="F33" s="28" t="n">
        <f aca="false">IF($A33&gt;F$29,(SUMPRODUCT(DCF_Base!$C$19:$L$19/(1+$A33)^DCF_Base!$C$4:$L$4)+MIN(DCF_Base!$L$19*(1+F$29)/($A33-F$29),Assumptions!$B$12*DCF_Base!$L$19)/(1+$A33)^10+Assumptions!$B$9)/Assumptions!$B$10,"n/a")</f>
        <v>17.5401435083073</v>
      </c>
    </row>
    <row r="34" customFormat="false" ht="15" hidden="false" customHeight="false" outlineLevel="0" collapsed="false">
      <c r="A34" s="30" t="n">
        <v>0.115</v>
      </c>
      <c r="B34" s="28" t="n">
        <f aca="false">IF($A34&gt;B$29,(SUMPRODUCT(DCF_Base!$C$19:$L$19/(1+$A34)^DCF_Base!$C$4:$L$4)+MIN(DCF_Base!$L$19*(1+B$29)/($A34-B$29),Assumptions!$B$12*DCF_Base!$L$19)/(1+$A34)^10+Assumptions!$B$9)/Assumptions!$B$10,"n/a")</f>
        <v>14.1674845499886</v>
      </c>
      <c r="C34" s="28" t="n">
        <f aca="false">IF($A34&gt;C$29,(SUMPRODUCT(DCF_Base!$C$19:$L$19/(1+$A34)^DCF_Base!$C$4:$L$4)+MIN(DCF_Base!$L$19*(1+C$29)/($A34-C$29),Assumptions!$B$12*DCF_Base!$L$19)/(1+$A34)^10+Assumptions!$B$9)/Assumptions!$B$10,"n/a")</f>
        <v>14.6010972522193</v>
      </c>
      <c r="D34" s="28" t="n">
        <f aca="false">IF($A34&gt;D$29,(SUMPRODUCT(DCF_Base!$C$19:$L$19/(1+$A34)^DCF_Base!$C$4:$L$4)+MIN(DCF_Base!$L$19*(1+D$29)/($A34-D$29),Assumptions!$B$12*DCF_Base!$L$19)/(1+$A34)^10+Assumptions!$B$9)/Assumptions!$B$10,"n/a")</f>
        <v>15.085723213536</v>
      </c>
      <c r="E34" s="28" t="n">
        <f aca="false">IF($A34&gt;E$29,(SUMPRODUCT(DCF_Base!$C$19:$L$19/(1+$A34)^DCF_Base!$C$4:$L$4)+MIN(DCF_Base!$L$19*(1+E$29)/($A34-E$29),Assumptions!$B$12*DCF_Base!$L$19)/(1+$A34)^10+Assumptions!$B$9)/Assumptions!$B$10,"n/a")</f>
        <v>15.6309274200172</v>
      </c>
      <c r="F34" s="28" t="n">
        <f aca="false">IF($A34&gt;F$29,(SUMPRODUCT(DCF_Base!$C$19:$L$19/(1+$A34)^DCF_Base!$C$4:$L$4)+MIN(DCF_Base!$L$19*(1+F$29)/($A34-F$29),Assumptions!$B$12*DCF_Base!$L$19)/(1+$A34)^10+Assumptions!$B$9)/Assumptions!$B$10,"n/a")</f>
        <v>16.248825520696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2026-08-08T11:20:44Z</dcterms:created>
  <dc:creator>openpyxl</dc:creator>
  <dc:description/>
  <dc:language>en-US</dc:language>
  <cp:lastModifiedBy/>
  <dcterms:modified xsi:type="dcterms:W3CDTF">2026-08-08T11:20:44Z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