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<sst xmlns="http://schemas.openxmlformats.org/spreadsheetml/2006/main" count="137" uniqueCount="130">
  <si>
    <t>PINS DCF Valuation Model (10-Year Component Build)</t>
  </si>
  <si>
    <t>Gray cells are INPUTS - adjust to see valuation change. Owner FCF is NEGATIVE at the trailing base year (SBC economics) -- see FCF Quality tab.</t>
  </si>
  <si>
    <t>KEY INPUTS</t>
  </si>
  <si>
    <t>Current Stock Price</t>
  </si>
  <si>
    <t>Shares Outstanding (M)</t>
  </si>
  <si>
    <t>Cash + Marketable Securities (M)</t>
  </si>
  <si>
    <t>Total Debt (M)</t>
  </si>
  <si>
    <t>Net Debt (M) [negative = net cash]</t>
  </si>
  <si>
    <t>Revenue, Base Year FY2025 (M)</t>
  </si>
  <si>
    <t>WACC</t>
  </si>
  <si>
    <t>Terminal Growth Rate</t>
  </si>
  <si>
    <t>Terminal Cap Multiple (x FCF)</t>
  </si>
  <si>
    <t>D&amp;A % of Revenue</t>
  </si>
  <si>
    <t>Working Capital Capture % (of YoY revenue growth)</t>
  </si>
  <si>
    <t>Annual Share Growth (uncovered dilution)</t>
  </si>
  <si>
    <t>ANNUAL ASSUMPTIONS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</si>
  <si>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</si>
  <si>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</si>
  <si>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</si>
  <si>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</si>
  <si>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</si>
  <si>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</si>
  <si>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</si>
  <si>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</si>
  <si>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</si>
  <si>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</si>
  <si>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 %</t>
  </si>
  <si>
    <t>Adj EBITDA Margin %</t>
  </si>
  <si>
    <t>SBC % of Revenue</t>
  </si>
  <si>
    <t>Capex % of Revenue</t>
  </si>
  <si>
    <t>Cash Tax Rate %</t>
  </si>
  <si>
    <t>PROJECTIONS (component build)</t>
  </si>
  <si>
    <t>Revenue</t>
  </si>
  <si>
    <t>Adjusted EBITDA</t>
  </si>
  <si>
    <t>Less: Stock-Based Comp</t>
  </si>
  <si>
    <t>Owner EBITDA (Adj EBITDA - SBC)</t>
  </si>
  <si>
    <t>Less: D&amp;A</t>
  </si>
  <si>
    <t>EBIT</t>
  </si>
  <si>
    <t>NOPAT (EBIT x (1-tax))</t>
  </si>
  <si>
    <t>Less: Capex</t>
  </si>
  <si>
    <t>+/- Working Capital (capture % x Δrev)</t>
  </si>
  <si>
    <t>Owner FCF (NOPAT+D&amp;A-Capex+/-WC)</t>
  </si>
  <si>
    <t>Owner FCF Margin %</t>
  </si>
  <si>
    <t>Discount Factor</t>
  </si>
  <si>
    <t>PV of FCF</t>
  </si>
  <si>
    <t>VALUATION</t>
  </si>
  <si>
    <t>Sum of PV of FCF (Yrs 1-10)</t>
  </si>
  <si>
    <t>Terminal FCF (Year 10 x (1+g))</t>
  </si>
  <si>
    <t>Terminal Value - Gordon Growth</t>
  </si>
  <si>
    <t>Terminal Value - Cap (20x FCF10)</t>
  </si>
  <si>
    <t>Terminal Value (lower of the two)</t>
  </si>
  <si>
    <t>PV of Terminal Value</t>
  </si>
  <si>
    <t>Enterprise Value</t>
  </si>
  <si>
    <t>Less: Net Debt</t>
  </si>
  <si>
    <t>Equity Value</t>
  </si>
  <si>
    <t>INTRINSIC VALUE/SHARE</t>
  </si>
  <si>
    <t>ENTRY PRICE (15% IRR Target)</t>
  </si>
  <si>
    <t>PV of Yrs 1-10 FCF @15%</t>
  </si>
  <si>
    <t>PV of Terminal Value @15%</t>
  </si>
  <si>
    <t>Entry Price (15% IRR)</t>
  </si>
  <si>
    <t>Upside to Intrinsic Value</t>
  </si>
  <si>
    <t>Upside to Entry Price (discount needed)</t>
  </si>
  <si>
    <t>Sensitivity Analysis (Base Case, Year-10 IV)</t>
  </si>
  <si>
    <t>Intrinsic Value by WACC &amp; Terminal Growth (hardcoded from JSON -- change DCF Model inputs to recompute manually)</t>
  </si>
  <si>
    <t>WACC \ Term G</t>
  </si>
  <si>
    <t>Current Price:</t>
  </si>
  <si>
    <t>Base Case IV:</t>
  </si>
  <si>
    <t>Historical Growth Rates</t>
  </si>
  <si>
    <t>Metric</t>
  </si>
  <si>
    <t>3-Year CAGR</t>
  </si>
  <si>
    <t>4-5-Year CAGR</t>
  </si>
  <si>
    <t>n/m</t>
  </si>
  <si>
    <t>EPS</t>
  </si>
  <si>
    <t>Equity (Book Value)</t>
  </si>
  <si>
    <t>FCF (reported, not usable)</t>
  </si>
  <si>
    <t>Selected Growth Rate:</t>
  </si>
  <si>
    <t>Source:</t>
  </si>
  <si>
    <t>equity_3yr_cagr, cross-checked against revenue_3yr_cagr (14.6%); used as the anchor for Year-1 base-case revenue growth, then decelerated per Q3-2026 guidance (13-15%) toward a 4% terminal rate</t>
  </si>
  <si>
    <t>Notes:</t>
  </si>
  <si>
    <t>Reported FCF 3yr CAGR (41.7%) is NOT a usable base-case anchor: it is inflated by working-capital timing and by SBC growing slower than cash flow in FY2022-23, then reverses sign entirely once SBC + equity-award cash taxes are deducted (owner FCF is negative in both FY2024 and FY2025, so no CAGR is computable). Revenue (14.6%) and equity (13.1%) CAGRs are closely aligned and used as the growth anchor instead; the forward margin path is built bottom-up per Step 1c rather than extrapolating any FCF trend.</t>
  </si>
  <si>
    <t>FCF Quality: Reported vs Owner FCF Reconciliation</t>
  </si>
  <si>
    <t>Pinterest owner FCF is NEGATIVE once the full cash cost of equity compensation is charged.</t>
  </si>
  <si>
    <t>FY2024</t>
  </si>
  <si>
    <t>FY2025</t>
  </si>
  <si>
    <t>TTM (Q3-25 to Q2-26)</t>
  </si>
  <si>
    <t>Free Cash Flow (company definition)</t>
  </si>
  <si>
    <t xml:space="preserve">  Reported FCF margin %</t>
  </si>
  <si>
    <t>Less: SBC (cash-flow add-back)</t>
  </si>
  <si>
    <t>Less: Equity-award cash tax withholding</t>
  </si>
  <si>
    <t>Less: Interest income (net)</t>
  </si>
  <si>
    <t xml:space="preserve">  Owner FCF margin %</t>
  </si>
  <si>
    <t>Memo: SBC as % of revenue</t>
  </si>
  <si>
    <t>Memo: Equity-award tax as % of SBC expense</t>
  </si>
  <si>
    <t>Memo: Buyback cash (financing outflow)</t>
  </si>
  <si>
    <t>Memo: Cash taxes paid (income statement basis)</t>
  </si>
  <si>
    <t>Note: Equity-award cash tax withholding is the "shares repurchased for tax withholdings on</t>
  </si>
  <si>
    <t>release of restricted stock units and restricted stock awards" line in financing activities -- a real cash outflow Pinterest pays to tax authorities on employees' behalf when RSUs net-settle. It is separate from, and additive to, the SBC expense recognized in the income statement / cash-flow add-back (confirmed via Note 7 of the 10-Q: SBC expense and income-tax benefits on SBC are disclosed distinctly from the tax-withholding financing cash flow). Both are real costs to shareholders and are charged exactly once in the owner-FCF DCF.</t>
  </si>
  <si>
    <t>PINS DCF Model - Provenance &amp; Methodology</t>
  </si>
  <si>
    <t>Built by</t>
  </si>
  <si>
    <t>dcf-analyst agent (Claude), Stock Research Project</t>
  </si>
  <si>
    <t>Valuation date</t>
  </si>
  <si>
    <t>2026-08-08</t>
  </si>
  <si>
    <t>Share price source/date</t>
  </si>
  <si>
    <t>Yahoo Finance live quote, 2026-08-08 (~5.9% after-hours drop post Q2-2026 earnings Aug 4, then partial recovery) = $23.68</t>
  </si>
  <si>
    <t>Data vintage</t>
  </si>
  <si>
    <t>FY2025 10-K (via Q4-2025 earnings presentation) + Q1-2026 10-Q + Q2-2026 10-Q (reported Aug 4, 2026); PINS_Metrics.csv 45 periods FY2016-Q2 2026</t>
  </si>
  <si>
    <t>Horizon</t>
  </si>
  <si>
    <t>10-year explicit component build. A 10-year horizon (not 5) was required because owner FCF margin is negative at the base year and does not mature (per Step 1c) until roughly Year 8-10 in the base case.</t>
  </si>
  <si>
    <t>Core methodology choice</t>
  </si>
  <si>
    <t>Owner FCF = reported FCF - SBC (cash-flow add-back) - equity-award cash tax withholding (financing-activity outflow) - interest income. Pinterest does NOT disclose a single combined "SBC expense related to equity awards" reconciliation line, so SBC and the RSU tax-withholding cash outflow are summed per the sbc-expense-policy methodology.</t>
  </si>
  <si>
    <t>Key finding</t>
  </si>
  <si>
    <t>Owner FCF is NEGATIVE in FY2024 (-$343.1M), FY2025 (-$138.0M) and TTM (-$201.7M) despite reported FCF of $940M-$1,280M over the same periods. The gap is driven almost entirely by the equity-award cash tax withholding ($390-399M/yr, ~45% of the SBC expense itself) which sits in financing activities and is invisible to both reported FCF and Adjusted EBITDA.</t>
  </si>
  <si>
    <t>Net debt treatment</t>
  </si>
  <si>
    <t>Cash ($422.5M) + marketable securities ($852.4M) = $1,274.9M total liquid assets, less $981.1M of 1.75% convertible notes (issued to Elliott, March 2026, PINS' first-ever debt) = net cash of $293.8M. Interest income ($110.5M FY2025) is stripped from FCF because it would otherwise be double-counted (once in FCF, once via net cash added to enterprise value) -- even though net cash has fallen well below 1x FCF post-buybacks, interest income is still material and clearly disclosed on the income statement.</t>
  </si>
  <si>
    <t>Share count / dilution</t>
  </si>
  <si>
    <t>Buybacks ($927.0M FY2025, $2.72B TTM under the new $3.5B program funded partly by the Elliott convertible) have fully absorbed SBC (uncovered_dilution = 0); share count has fallen from 698.4M (FY2024) to 562.9M (Q2-2026). Projected shares held flat at 562.9M for the full 10-year horizon -- a conservative choice that does NOT assume further buyback-driven share shrinkage.</t>
  </si>
  <si>
    <t>SBC glide path</t>
  </si>
  <si>
    <t>SBC-as-%-of-revenue starts at 19.5% (base case Year 1, close to the FY2025 actual 20.9%) and declines toward 7% by Year 10, reflecting still-large unrecognized SBC backlog ($1.44B at Q2-2026, ~2.1yr weighted-average recognition period) and no management commitment to a faster decline. This is a modeling ASSUMPTION, not a guarantee -- see the warnings block in the JSON.</t>
  </si>
  <si>
    <t>Cash tax ramp</t>
  </si>
  <si>
    <t>Pinterest paid only $11.6M of cash income tax in H1-2026 on $2.19B of revenue (large NOL/R&amp;D-credit deferred tax assets). Cash tax rate is ramped from ~2% (Year 1) to the 21% statutory rate by Year 9-10.</t>
  </si>
  <si>
    <t>Working capital</t>
  </si>
  <si>
    <t>Modeled as a capture rate (8% base case) on the YoY CHANGE in revenue, not as a fixed % of revenue -- Pinterest is ad-supported (accounts-receivable driven), not a prepaid/subscription business, so this tailwind is modest relative to companies with deferred-revenue float.</t>
  </si>
  <si>
    <t>Terminal value</t>
  </si>
  <si>
    <t>Lower of Gordon Growth and 20x terminal-year FCF cap. Base case is Gordon-bound (implied exit multiple 13.7x, below the current market EV/reported-FCF multiple of ~10.2x is NOT correct -- rather 13.7x vs 10.2x shows the model DOES assume some multiple expansion off the reported-FCF basis, but the DCF is valuing owner FCF, a smaller and more conservative base, so the comparison is not apples-to-apples; see valuation.base.implied_exit_multiple in the JSON).</t>
  </si>
  <si>
    <t>Refresh triggers</t>
  </si>
  <si>
    <t>Re-run after Q3-2026 earnings (guided revenue $1.19-1.21B, 13-15% growth, Adj EBITDA $335-355M) to update the growth deceleration path; after the FY2025 10-K is added to Extracted/ (currently absent, so FY2025 annuals were reconstructed from the Q4-2025 earnings presentation, cross-checked against the 9-month Q3-2025 10-Q); and if Pinterest discloses a combined SBC-related-to-equity-awards reconciliation line, replace the summed sbc+eq_tax approximation with it.</t>
  </si>
  <si>
    <t>Colour conventions</t>
  </si>
  <si>
    <t>Gray/blue-gray cells = editable inputs. White cells = formulas (do not hardcode). Green result cells = key valuation outputs.</t>
  </si>
  <si>
    <t>Staleness warning</t>
  </si>
  <si>
    <t>All figures are point-in-time as of the valuation date above. Share price, guidance, buyback pace and SBC glide assumptions must be re-verified before relying on this model after any subsequent earnings release.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</si>
</sst>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5" fontId="0" fillId="0" borderId="2" xfId="0" applyNumberFormat="1" applyBorder="1"/>
    <xf numFmtId="166" fontId="4" fillId="4" borderId="2" xfId="0" applyNumberFormat="1" applyFont="1" applyFill="1" applyBorder="1"/>
    <xf numFmtId="165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23.68</v>
      </c>
    </row>
    <row r="6" spans="1:2">
      <c r="A6" t="s">
        <v>4</v>
      </c>
      <c r="B6" s="4">
        <v>562.913</v>
      </c>
    </row>
    <row r="7" spans="1:2">
      <c r="A7" t="s">
        <v>5</v>
      </c>
      <c r="B7" s="4">
        <v>1274.901</v>
      </c>
    </row>
    <row r="8" spans="1:2">
      <c r="A8" t="s">
        <v>6</v>
      </c>
      <c r="B8" s="4">
        <v>981.128</v>
      </c>
    </row>
    <row r="9" spans="1:2">
      <c r="A9" t="s">
        <v>7</v>
      </c>
      <c r="B9" s="5">
        <f>B8-B7</f>
        <v>0</v>
      </c>
    </row>
    <row r="10" spans="1:2">
      <c r="A10" t="s">
        <v>8</v>
      </c>
      <c r="B10" s="4">
        <v>4221.74672489083</v>
      </c>
    </row>
    <row r="11" spans="1:2">
      <c r="A11" t="s">
        <v>9</v>
      </c>
      <c r="B11" s="6">
        <v>0.105</v>
      </c>
    </row>
    <row r="12" spans="1:2">
      <c r="A12" t="s">
        <v>10</v>
      </c>
      <c r="B12" s="6">
        <v>0.03</v>
      </c>
    </row>
    <row r="13" spans="1:2">
      <c r="A13" t="s">
        <v>11</v>
      </c>
      <c r="B13" s="4">
        <v>20</v>
      </c>
    </row>
    <row r="14" spans="1:2">
      <c r="A14" t="s">
        <v>12</v>
      </c>
      <c r="B14" s="6">
        <v>0.006999999999999999</v>
      </c>
    </row>
    <row r="15" spans="1:2">
      <c r="A15" t="s">
        <v>13</v>
      </c>
      <c r="B15" s="6">
        <v>0.08</v>
      </c>
    </row>
    <row r="16" spans="1:2">
      <c r="A16" t="s">
        <v>14</v>
      </c>
      <c r="B16" s="6">
        <v>0</v>
      </c>
    </row>
    <row r="18" spans="1:11">
      <c r="A18" s="3" t="s">
        <v>15</v>
      </c>
    </row>
    <row r="19" spans="1:11">
      <c r="A19" s="7"/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22</v>
      </c>
      <c r="I19" s="7" t="s">
        <v>23</v>
      </c>
      <c r="J19" s="7" t="s">
        <v>24</v>
      </c>
      <c r="K19" s="7" t="s">
        <v>25</v>
      </c>
    </row>
    <row r="20" spans="1:11">
      <c r="A20" t="s">
        <v>26</v>
      </c>
      <c r="B20" s="6">
        <v>0.145</v>
      </c>
      <c r="C20" s="6">
        <v>0.135</v>
      </c>
      <c r="D20" s="6">
        <v>0.125</v>
      </c>
      <c r="E20" s="6">
        <v>0.115</v>
      </c>
      <c r="F20" s="6">
        <v>0.105</v>
      </c>
      <c r="G20" s="6">
        <v>0.095</v>
      </c>
      <c r="H20" s="6">
        <v>0.08500000000000001</v>
      </c>
      <c r="I20" s="6">
        <v>0.07000000000000001</v>
      </c>
      <c r="J20" s="6">
        <v>0.055</v>
      </c>
      <c r="K20" s="6">
        <v>0.04</v>
      </c>
    </row>
    <row r="21" spans="1:11">
      <c r="A21" t="s">
        <v>27</v>
      </c>
      <c r="B21" s="6">
        <v>0.305</v>
      </c>
      <c r="C21" s="6">
        <v>0.31</v>
      </c>
      <c r="D21" s="6">
        <v>0.315</v>
      </c>
      <c r="E21" s="6">
        <v>0.32</v>
      </c>
      <c r="F21" s="6">
        <v>0.325</v>
      </c>
      <c r="G21" s="6">
        <v>0.33</v>
      </c>
      <c r="H21" s="6">
        <v>0.33</v>
      </c>
      <c r="I21" s="6">
        <v>0.33</v>
      </c>
      <c r="J21" s="6">
        <v>0.33</v>
      </c>
      <c r="K21" s="6">
        <v>0.33</v>
      </c>
    </row>
    <row r="22" spans="1:11">
      <c r="A22" t="s">
        <v>28</v>
      </c>
      <c r="B22" s="6">
        <v>0.195</v>
      </c>
      <c r="C22" s="6">
        <v>0.18</v>
      </c>
      <c r="D22" s="6">
        <v>0.165</v>
      </c>
      <c r="E22" s="6">
        <v>0.15</v>
      </c>
      <c r="F22" s="6">
        <v>0.135</v>
      </c>
      <c r="G22" s="6">
        <v>0.12</v>
      </c>
      <c r="H22" s="6">
        <v>0.105</v>
      </c>
      <c r="I22" s="6">
        <v>0.09</v>
      </c>
      <c r="J22" s="6">
        <v>0.08</v>
      </c>
      <c r="K22" s="6">
        <v>0.07000000000000001</v>
      </c>
    </row>
    <row r="23" spans="1:11">
      <c r="A23" t="s">
        <v>29</v>
      </c>
      <c r="B23" s="6">
        <v>0.01</v>
      </c>
      <c r="C23" s="6">
        <v>0.012</v>
      </c>
      <c r="D23" s="6">
        <v>0.014</v>
      </c>
      <c r="E23" s="6">
        <v>0.015</v>
      </c>
      <c r="F23" s="6">
        <v>0.016</v>
      </c>
      <c r="G23" s="6">
        <v>0.016</v>
      </c>
      <c r="H23" s="6">
        <v>0.016</v>
      </c>
      <c r="I23" s="6">
        <v>0.016</v>
      </c>
      <c r="J23" s="6">
        <v>0.016</v>
      </c>
      <c r="K23" s="6">
        <v>0.016</v>
      </c>
    </row>
    <row r="24" spans="1:11">
      <c r="A24" t="s">
        <v>30</v>
      </c>
      <c r="B24" s="6">
        <v>0.02</v>
      </c>
      <c r="C24" s="6">
        <v>0.05</v>
      </c>
      <c r="D24" s="6">
        <v>0.08</v>
      </c>
      <c r="E24" s="6">
        <v>0.11</v>
      </c>
      <c r="F24" s="6">
        <v>0.14</v>
      </c>
      <c r="G24" s="6">
        <v>0.17</v>
      </c>
      <c r="H24" s="6">
        <v>0.19</v>
      </c>
      <c r="I24" s="6">
        <v>0.2</v>
      </c>
      <c r="J24" s="6">
        <v>0.21</v>
      </c>
      <c r="K24" s="6">
        <v>0.21</v>
      </c>
    </row>
    <row r="26" spans="1:11">
      <c r="A26" s="3" t="s">
        <v>31</v>
      </c>
    </row>
    <row r="27" spans="1:11">
      <c r="A27" t="s">
        <v>32</v>
      </c>
      <c r="B27" s="5">
        <f>$B$10*(1+B20)</f>
        <v>0</v>
      </c>
      <c r="C27" s="5">
        <f>B27*(1+C20)</f>
        <v>0</v>
      </c>
      <c r="D27" s="5">
        <f>C27*(1+D20)</f>
        <v>0</v>
      </c>
      <c r="E27" s="5">
        <f>D27*(1+E20)</f>
        <v>0</v>
      </c>
      <c r="F27" s="5">
        <f>E27*(1+F20)</f>
        <v>0</v>
      </c>
      <c r="G27" s="5">
        <f>F27*(1+G20)</f>
        <v>0</v>
      </c>
      <c r="H27" s="5">
        <f>G27*(1+H20)</f>
        <v>0</v>
      </c>
      <c r="I27" s="5">
        <f>H27*(1+I20)</f>
        <v>0</v>
      </c>
      <c r="J27" s="5">
        <f>I27*(1+J20)</f>
        <v>0</v>
      </c>
      <c r="K27" s="5">
        <f>J27*(1+K20)</f>
        <v>0</v>
      </c>
    </row>
    <row r="28" spans="1:11">
      <c r="A28" t="s">
        <v>33</v>
      </c>
      <c r="B28" s="5">
        <f>B27*B21</f>
        <v>0</v>
      </c>
      <c r="C28" s="5">
        <f>C27*C21</f>
        <v>0</v>
      </c>
      <c r="D28" s="5">
        <f>D27*D21</f>
        <v>0</v>
      </c>
      <c r="E28" s="5">
        <f>E27*E21</f>
        <v>0</v>
      </c>
      <c r="F28" s="5">
        <f>F27*F21</f>
        <v>0</v>
      </c>
      <c r="G28" s="5">
        <f>G27*G21</f>
        <v>0</v>
      </c>
      <c r="H28" s="5">
        <f>H27*H21</f>
        <v>0</v>
      </c>
      <c r="I28" s="5">
        <f>I27*I21</f>
        <v>0</v>
      </c>
      <c r="J28" s="5">
        <f>J27*J21</f>
        <v>0</v>
      </c>
      <c r="K28" s="5">
        <f>K27*K21</f>
        <v>0</v>
      </c>
    </row>
    <row r="29" spans="1:11">
      <c r="A29" t="s">
        <v>34</v>
      </c>
      <c r="B29" s="5">
        <f>B27*B22</f>
        <v>0</v>
      </c>
      <c r="C29" s="5">
        <f>C27*C22</f>
        <v>0</v>
      </c>
      <c r="D29" s="5">
        <f>D27*D22</f>
        <v>0</v>
      </c>
      <c r="E29" s="5">
        <f>E27*E22</f>
        <v>0</v>
      </c>
      <c r="F29" s="5">
        <f>F27*F22</f>
        <v>0</v>
      </c>
      <c r="G29" s="5">
        <f>G27*G22</f>
        <v>0</v>
      </c>
      <c r="H29" s="5">
        <f>H27*H22</f>
        <v>0</v>
      </c>
      <c r="I29" s="5">
        <f>I27*I22</f>
        <v>0</v>
      </c>
      <c r="J29" s="5">
        <f>J27*J22</f>
        <v>0</v>
      </c>
      <c r="K29" s="5">
        <f>K27*K22</f>
        <v>0</v>
      </c>
    </row>
    <row r="30" spans="1:11">
      <c r="A30" t="s">
        <v>35</v>
      </c>
      <c r="B30" s="5">
        <f>B28-B29</f>
        <v>0</v>
      </c>
      <c r="C30" s="5">
        <f>C28-C29</f>
        <v>0</v>
      </c>
      <c r="D30" s="5">
        <f>D28-D29</f>
        <v>0</v>
      </c>
      <c r="E30" s="5">
        <f>E28-E29</f>
        <v>0</v>
      </c>
      <c r="F30" s="5">
        <f>F28-F29</f>
        <v>0</v>
      </c>
      <c r="G30" s="5">
        <f>G28-G29</f>
        <v>0</v>
      </c>
      <c r="H30" s="5">
        <f>H28-H29</f>
        <v>0</v>
      </c>
      <c r="I30" s="5">
        <f>I28-I29</f>
        <v>0</v>
      </c>
      <c r="J30" s="5">
        <f>J28-J29</f>
        <v>0</v>
      </c>
      <c r="K30" s="5">
        <f>K28-K29</f>
        <v>0</v>
      </c>
    </row>
    <row r="31" spans="1:11">
      <c r="A31" t="s">
        <v>36</v>
      </c>
      <c r="B31" s="5">
        <f>B27*$B$14</f>
        <v>0</v>
      </c>
      <c r="C31" s="5">
        <f>C27*$B$14</f>
        <v>0</v>
      </c>
      <c r="D31" s="5">
        <f>D27*$B$14</f>
        <v>0</v>
      </c>
      <c r="E31" s="5">
        <f>E27*$B$14</f>
        <v>0</v>
      </c>
      <c r="F31" s="5">
        <f>F27*$B$14</f>
        <v>0</v>
      </c>
      <c r="G31" s="5">
        <f>G27*$B$14</f>
        <v>0</v>
      </c>
      <c r="H31" s="5">
        <f>H27*$B$14</f>
        <v>0</v>
      </c>
      <c r="I31" s="5">
        <f>I27*$B$14</f>
        <v>0</v>
      </c>
      <c r="J31" s="5">
        <f>J27*$B$14</f>
        <v>0</v>
      </c>
      <c r="K31" s="5">
        <f>K27*$B$14</f>
        <v>0</v>
      </c>
    </row>
    <row r="32" spans="1:11">
      <c r="A32" t="s">
        <v>37</v>
      </c>
      <c r="B32" s="5">
        <f>B30-B31</f>
        <v>0</v>
      </c>
      <c r="C32" s="5">
        <f>C30-C31</f>
        <v>0</v>
      </c>
      <c r="D32" s="5">
        <f>D30-D31</f>
        <v>0</v>
      </c>
      <c r="E32" s="5">
        <f>E30-E31</f>
        <v>0</v>
      </c>
      <c r="F32" s="5">
        <f>F30-F31</f>
        <v>0</v>
      </c>
      <c r="G32" s="5">
        <f>G30-G31</f>
        <v>0</v>
      </c>
      <c r="H32" s="5">
        <f>H30-H31</f>
        <v>0</v>
      </c>
      <c r="I32" s="5">
        <f>I30-I31</f>
        <v>0</v>
      </c>
      <c r="J32" s="5">
        <f>J30-J31</f>
        <v>0</v>
      </c>
      <c r="K32" s="5">
        <f>K30-K31</f>
        <v>0</v>
      </c>
    </row>
    <row r="33" spans="1:11">
      <c r="A33" t="s">
        <v>38</v>
      </c>
      <c r="B33" s="5">
        <f>B32*(1-B24)</f>
        <v>0</v>
      </c>
      <c r="C33" s="5">
        <f>C32*(1-C24)</f>
        <v>0</v>
      </c>
      <c r="D33" s="5">
        <f>D32*(1-D24)</f>
        <v>0</v>
      </c>
      <c r="E33" s="5">
        <f>E32*(1-E24)</f>
        <v>0</v>
      </c>
      <c r="F33" s="5">
        <f>F32*(1-F24)</f>
        <v>0</v>
      </c>
      <c r="G33" s="5">
        <f>G32*(1-G24)</f>
        <v>0</v>
      </c>
      <c r="H33" s="5">
        <f>H32*(1-H24)</f>
        <v>0</v>
      </c>
      <c r="I33" s="5">
        <f>I32*(1-I24)</f>
        <v>0</v>
      </c>
      <c r="J33" s="5">
        <f>J32*(1-J24)</f>
        <v>0</v>
      </c>
      <c r="K33" s="5">
        <f>K32*(1-K24)</f>
        <v>0</v>
      </c>
    </row>
    <row r="34" spans="1:11">
      <c r="A34" t="s">
        <v>39</v>
      </c>
      <c r="B34" s="5">
        <f>B27*B23</f>
        <v>0</v>
      </c>
      <c r="C34" s="5">
        <f>C27*C23</f>
        <v>0</v>
      </c>
      <c r="D34" s="5">
        <f>D27*D23</f>
        <v>0</v>
      </c>
      <c r="E34" s="5">
        <f>E27*E23</f>
        <v>0</v>
      </c>
      <c r="F34" s="5">
        <f>F27*F23</f>
        <v>0</v>
      </c>
      <c r="G34" s="5">
        <f>G27*G23</f>
        <v>0</v>
      </c>
      <c r="H34" s="5">
        <f>H27*H23</f>
        <v>0</v>
      </c>
      <c r="I34" s="5">
        <f>I27*I23</f>
        <v>0</v>
      </c>
      <c r="J34" s="5">
        <f>J27*J23</f>
        <v>0</v>
      </c>
      <c r="K34" s="5">
        <f>K27*K23</f>
        <v>0</v>
      </c>
    </row>
    <row r="35" spans="1:11">
      <c r="A35" t="s">
        <v>40</v>
      </c>
      <c r="B35" s="5">
        <f>$B$15*(B27-$B$10)</f>
        <v>0</v>
      </c>
      <c r="C35" s="5">
        <f>$B$15*(C27-B27)</f>
        <v>0</v>
      </c>
      <c r="D35" s="5">
        <f>$B$15*(D27-C27)</f>
        <v>0</v>
      </c>
      <c r="E35" s="5">
        <f>$B$15*(E27-D27)</f>
        <v>0</v>
      </c>
      <c r="F35" s="5">
        <f>$B$15*(F27-E27)</f>
        <v>0</v>
      </c>
      <c r="G35" s="5">
        <f>$B$15*(G27-F27)</f>
        <v>0</v>
      </c>
      <c r="H35" s="5">
        <f>$B$15*(H27-G27)</f>
        <v>0</v>
      </c>
      <c r="I35" s="5">
        <f>$B$15*(I27-H27)</f>
        <v>0</v>
      </c>
      <c r="J35" s="5">
        <f>$B$15*(J27-I27)</f>
        <v>0</v>
      </c>
      <c r="K35" s="5">
        <f>$B$15*(K27-J27)</f>
        <v>0</v>
      </c>
    </row>
    <row r="36" spans="1:11">
      <c r="A36" s="8" t="s">
        <v>41</v>
      </c>
      <c r="B36" s="5">
        <f>B33+B31-B34+B35</f>
        <v>0</v>
      </c>
      <c r="C36" s="5">
        <f>C33+C31-C34+C35</f>
        <v>0</v>
      </c>
      <c r="D36" s="5">
        <f>D33+D31-D34+D35</f>
        <v>0</v>
      </c>
      <c r="E36" s="5">
        <f>E33+E31-E34+E35</f>
        <v>0</v>
      </c>
      <c r="F36" s="5">
        <f>F33+F31-F34+F35</f>
        <v>0</v>
      </c>
      <c r="G36" s="5">
        <f>G33+G31-G34+G35</f>
        <v>0</v>
      </c>
      <c r="H36" s="5">
        <f>H33+H31-H34+H35</f>
        <v>0</v>
      </c>
      <c r="I36" s="5">
        <f>I33+I31-I34+I35</f>
        <v>0</v>
      </c>
      <c r="J36" s="5">
        <f>J33+J31-J34+J35</f>
        <v>0</v>
      </c>
      <c r="K36" s="5">
        <f>K33+K31-K34+K35</f>
        <v>0</v>
      </c>
    </row>
    <row r="37" spans="1:11">
      <c r="A37" t="s">
        <v>42</v>
      </c>
      <c r="B37" s="9">
        <f>B36/B27</f>
        <v>0</v>
      </c>
      <c r="C37" s="9">
        <f>C36/C27</f>
        <v>0</v>
      </c>
      <c r="D37" s="9">
        <f>D36/D27</f>
        <v>0</v>
      </c>
      <c r="E37" s="9">
        <f>E36/E27</f>
        <v>0</v>
      </c>
      <c r="F37" s="9">
        <f>F36/F27</f>
        <v>0</v>
      </c>
      <c r="G37" s="9">
        <f>G36/G27</f>
        <v>0</v>
      </c>
      <c r="H37" s="9">
        <f>H36/H27</f>
        <v>0</v>
      </c>
      <c r="I37" s="9">
        <f>I36/I27</f>
        <v>0</v>
      </c>
      <c r="J37" s="9">
        <f>J36/J27</f>
        <v>0</v>
      </c>
      <c r="K37" s="9">
        <f>K36/K27</f>
        <v>0</v>
      </c>
    </row>
    <row r="38" spans="1:11">
      <c r="A38" t="s">
        <v>43</v>
      </c>
      <c r="B38" s="5">
        <f>1/(1+$B$11)^1</f>
        <v>0</v>
      </c>
      <c r="C38" s="5">
        <f>1/(1+$B$11)^2</f>
        <v>0</v>
      </c>
      <c r="D38" s="5">
        <f>1/(1+$B$11)^3</f>
        <v>0</v>
      </c>
      <c r="E38" s="5">
        <f>1/(1+$B$11)^4</f>
        <v>0</v>
      </c>
      <c r="F38" s="5">
        <f>1/(1+$B$11)^5</f>
        <v>0</v>
      </c>
      <c r="G38" s="5">
        <f>1/(1+$B$11)^6</f>
        <v>0</v>
      </c>
      <c r="H38" s="5">
        <f>1/(1+$B$11)^7</f>
        <v>0</v>
      </c>
      <c r="I38" s="5">
        <f>1/(1+$B$11)^8</f>
        <v>0</v>
      </c>
      <c r="J38" s="5">
        <f>1/(1+$B$11)^9</f>
        <v>0</v>
      </c>
      <c r="K38" s="5">
        <f>1/(1+$B$11)^10</f>
        <v>0</v>
      </c>
    </row>
    <row r="39" spans="1:11">
      <c r="A39" t="s">
        <v>44</v>
      </c>
      <c r="B39" s="5">
        <f>B36*B38</f>
        <v>0</v>
      </c>
      <c r="C39" s="5">
        <f>C36*C38</f>
        <v>0</v>
      </c>
      <c r="D39" s="5">
        <f>D36*D38</f>
        <v>0</v>
      </c>
      <c r="E39" s="5">
        <f>E36*E38</f>
        <v>0</v>
      </c>
      <c r="F39" s="5">
        <f>F36*F38</f>
        <v>0</v>
      </c>
      <c r="G39" s="5">
        <f>G36*G38</f>
        <v>0</v>
      </c>
      <c r="H39" s="5">
        <f>H36*H38</f>
        <v>0</v>
      </c>
      <c r="I39" s="5">
        <f>I36*I38</f>
        <v>0</v>
      </c>
      <c r="J39" s="5">
        <f>J36*J38</f>
        <v>0</v>
      </c>
      <c r="K39" s="5">
        <f>K36*K38</f>
        <v>0</v>
      </c>
    </row>
    <row r="41" spans="1:11">
      <c r="A41" s="3" t="s">
        <v>45</v>
      </c>
    </row>
    <row r="42" spans="1:11">
      <c r="A42" t="s">
        <v>46</v>
      </c>
      <c r="B42" s="5">
        <f>SUM(B39:K39)</f>
        <v>0</v>
      </c>
    </row>
    <row r="43" spans="1:11">
      <c r="A43" t="s">
        <v>47</v>
      </c>
      <c r="B43" s="5">
        <f>K36*(1+$B$12)</f>
        <v>0</v>
      </c>
    </row>
    <row r="44" spans="1:11">
      <c r="A44" t="s">
        <v>48</v>
      </c>
      <c r="B44" s="5">
        <f>B43/($B$11-$B$12)</f>
        <v>0</v>
      </c>
    </row>
    <row r="45" spans="1:11">
      <c r="A45" t="s">
        <v>49</v>
      </c>
      <c r="B45" s="5">
        <f>$B$13*K36</f>
        <v>0</v>
      </c>
    </row>
    <row r="46" spans="1:11">
      <c r="A46" t="s">
        <v>50</v>
      </c>
      <c r="B46" s="5">
        <f>MIN(B44,B45)</f>
        <v>0</v>
      </c>
    </row>
    <row r="47" spans="1:11">
      <c r="A47" t="s">
        <v>51</v>
      </c>
      <c r="B47" s="5">
        <f>B46*K38</f>
        <v>0</v>
      </c>
    </row>
    <row r="48" spans="1:11">
      <c r="A48" t="s">
        <v>52</v>
      </c>
      <c r="B48" s="5">
        <f>B42+B47</f>
        <v>0</v>
      </c>
    </row>
    <row r="49" spans="1:2">
      <c r="A49" t="s">
        <v>53</v>
      </c>
      <c r="B49" s="5">
        <f>B9</f>
        <v>0</v>
      </c>
    </row>
    <row r="50" spans="1:2">
      <c r="A50" t="s">
        <v>54</v>
      </c>
      <c r="B50" s="5">
        <f>B48-B49</f>
        <v>0</v>
      </c>
    </row>
    <row r="51" spans="1:2">
      <c r="A51" s="8" t="s">
        <v>55</v>
      </c>
      <c r="B51" s="10">
        <f>B50/$B$6</f>
        <v>0</v>
      </c>
    </row>
    <row r="53" spans="1:2">
      <c r="A53" s="3" t="s">
        <v>56</v>
      </c>
    </row>
    <row r="54" spans="1:2">
      <c r="A54" t="s">
        <v>57</v>
      </c>
      <c r="B54" s="5">
        <f>NPV(0.15,B36:K36)</f>
        <v>0</v>
      </c>
    </row>
    <row r="55" spans="1:2">
      <c r="A55" t="s">
        <v>58</v>
      </c>
      <c r="B55" s="5">
        <f>B46/(1.15^10)</f>
        <v>0</v>
      </c>
    </row>
    <row r="56" spans="1:2">
      <c r="A56" t="s">
        <v>53</v>
      </c>
      <c r="B56" s="5">
        <f>B9</f>
        <v>0</v>
      </c>
    </row>
    <row r="57" spans="1:2">
      <c r="A57" t="s">
        <v>59</v>
      </c>
      <c r="B57" s="10">
        <f>(B54+B55-B56)/$B$6</f>
        <v>0</v>
      </c>
    </row>
    <row r="59" spans="1:2">
      <c r="A59" t="s">
        <v>60</v>
      </c>
      <c r="B59" s="9">
        <f>(B51-B5)/B5</f>
        <v>0</v>
      </c>
    </row>
    <row r="60" spans="1:2">
      <c r="A60" t="s">
        <v>61</v>
      </c>
      <c r="B60" s="9">
        <f>(B5-B57)/B5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62</v>
      </c>
    </row>
    <row r="2" spans="1:6">
      <c r="A2" t="s">
        <v>63</v>
      </c>
    </row>
    <row r="4" spans="1:6">
      <c r="A4" s="7" t="s">
        <v>64</v>
      </c>
      <c r="B4" s="11">
        <v>0.02</v>
      </c>
      <c r="C4" s="11">
        <v>0.025</v>
      </c>
      <c r="D4" s="11">
        <v>0.03</v>
      </c>
      <c r="E4" s="11">
        <v>0.035</v>
      </c>
      <c r="F4" s="11">
        <v>0.04</v>
      </c>
    </row>
    <row r="5" spans="1:6">
      <c r="A5" s="11">
        <v>0.08500000000000001</v>
      </c>
      <c r="B5" s="12">
        <v>39.54</v>
      </c>
      <c r="C5" s="12">
        <v>41.79</v>
      </c>
      <c r="D5" s="12">
        <v>44.44</v>
      </c>
      <c r="E5" s="12">
        <v>46.5</v>
      </c>
      <c r="F5" s="12">
        <v>46.5</v>
      </c>
    </row>
    <row r="6" spans="1:6">
      <c r="A6" s="11">
        <v>0.095</v>
      </c>
      <c r="B6" s="12">
        <v>33.5</v>
      </c>
      <c r="C6" s="12">
        <v>35.04</v>
      </c>
      <c r="D6" s="12">
        <v>36.81</v>
      </c>
      <c r="E6" s="12">
        <v>38.88</v>
      </c>
      <c r="F6" s="12">
        <v>41.33</v>
      </c>
    </row>
    <row r="7" spans="1:6">
      <c r="A7" s="11">
        <v>0.105</v>
      </c>
      <c r="B7" s="12">
        <v>28.92</v>
      </c>
      <c r="C7" s="12">
        <v>30.02</v>
      </c>
      <c r="D7" s="12">
        <v>31.26</v>
      </c>
      <c r="E7" s="12">
        <v>32.67</v>
      </c>
      <c r="F7" s="12">
        <v>34.31</v>
      </c>
    </row>
    <row r="8" spans="1:6">
      <c r="A8" s="11">
        <v>0.115</v>
      </c>
      <c r="B8" s="12">
        <v>25.35</v>
      </c>
      <c r="C8" s="12">
        <v>26.15</v>
      </c>
      <c r="D8" s="12">
        <v>27.04</v>
      </c>
      <c r="E8" s="12">
        <v>28.05</v>
      </c>
      <c r="F8" s="12">
        <v>29.2</v>
      </c>
    </row>
    <row r="9" spans="1:6">
      <c r="A9" s="11">
        <v>0.125</v>
      </c>
      <c r="B9" s="12">
        <v>22.48</v>
      </c>
      <c r="C9" s="12">
        <v>23.08</v>
      </c>
      <c r="D9" s="12">
        <v>23.75</v>
      </c>
      <c r="E9" s="12">
        <v>24.49</v>
      </c>
      <c r="F9" s="12">
        <v>25.32</v>
      </c>
    </row>
    <row r="12" spans="1:6">
      <c r="A12" s="8" t="s">
        <v>65</v>
      </c>
      <c r="B12" s="12">
        <v>23.68</v>
      </c>
    </row>
    <row r="13" spans="1:6">
      <c r="A13" s="8" t="s">
        <v>66</v>
      </c>
      <c r="B13" s="12">
        <v>31.26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24.7109375" customWidth="1"/>
    <col min="2" max="3" width="15.7109375" customWidth="1"/>
  </cols>
  <sheetData>
    <row r="1" spans="1:4">
      <c r="A1" s="1" t="s">
        <v>67</v>
      </c>
    </row>
    <row r="3" spans="1:4">
      <c r="A3" s="7" t="s">
        <v>68</v>
      </c>
      <c r="B3" s="7" t="s">
        <v>69</v>
      </c>
      <c r="C3" s="7" t="s">
        <v>70</v>
      </c>
    </row>
    <row r="4" spans="1:4">
      <c r="A4" t="s">
        <v>32</v>
      </c>
      <c r="B4" s="9">
        <v>0.146</v>
      </c>
      <c r="C4" t="s">
        <v>71</v>
      </c>
    </row>
    <row r="5" spans="1:4">
      <c r="A5" t="s">
        <v>72</v>
      </c>
      <c r="B5" t="s">
        <v>71</v>
      </c>
      <c r="C5" t="s">
        <v>71</v>
      </c>
    </row>
    <row r="6" spans="1:4">
      <c r="A6" t="s">
        <v>73</v>
      </c>
      <c r="B6" s="9">
        <v>0.131</v>
      </c>
      <c r="C6" s="9">
        <v>0.118</v>
      </c>
    </row>
    <row r="7" spans="1:4">
      <c r="A7" t="s">
        <v>74</v>
      </c>
      <c r="B7" s="9">
        <v>0.417</v>
      </c>
      <c r="C7" t="s">
        <v>71</v>
      </c>
    </row>
    <row r="9" spans="1:4">
      <c r="A9" s="8" t="s">
        <v>75</v>
      </c>
      <c r="B9" s="9">
        <v>0.131</v>
      </c>
    </row>
    <row r="10" spans="1:4" ht="45" customHeight="1">
      <c r="A10" t="s">
        <v>76</v>
      </c>
      <c r="B10" s="13" t="s">
        <v>77</v>
      </c>
    </row>
    <row r="12" spans="1:4">
      <c r="A12" s="8" t="s">
        <v>78</v>
      </c>
    </row>
    <row r="13" spans="1:4" ht="80" customHeight="1">
      <c r="A13" s="13" t="s">
        <v>79</v>
      </c>
      <c r="B13" s="13"/>
      <c r="C13" s="13"/>
      <c r="D13" s="13"/>
    </row>
  </sheetData>
  <mergeCells count="1"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32.7109375" customWidth="1"/>
    <col min="2" max="4" width="14.7109375" customWidth="1"/>
  </cols>
  <sheetData>
    <row r="1" spans="1:4">
      <c r="A1" s="1" t="s">
        <v>80</v>
      </c>
    </row>
    <row r="2" spans="1:4">
      <c r="A2" s="2" t="s">
        <v>81</v>
      </c>
    </row>
    <row r="4" spans="1:4">
      <c r="A4" s="7"/>
      <c r="B4" s="7" t="s">
        <v>82</v>
      </c>
      <c r="C4" s="7" t="s">
        <v>83</v>
      </c>
      <c r="D4" s="7" t="s">
        <v>84</v>
      </c>
    </row>
    <row r="6" spans="1:4">
      <c r="A6" t="s">
        <v>32</v>
      </c>
      <c r="B6" s="5">
        <v>3646.166</v>
      </c>
      <c r="C6" s="5">
        <v>4221.767</v>
      </c>
      <c r="D6" s="5">
        <v>4555.72</v>
      </c>
    </row>
    <row r="7" spans="1:4">
      <c r="A7" t="s">
        <v>85</v>
      </c>
      <c r="B7" s="5">
        <v>939.9880000000001</v>
      </c>
      <c r="C7" s="5">
        <v>1251.889</v>
      </c>
      <c r="D7" s="5">
        <v>1280.404</v>
      </c>
    </row>
    <row r="8" spans="1:4">
      <c r="A8" t="s">
        <v>86</v>
      </c>
      <c r="B8" s="9">
        <v>0.2578017566945663</v>
      </c>
      <c r="C8" s="9">
        <v>0.2965319971471661</v>
      </c>
      <c r="D8" s="9">
        <v>0.2810541473137067</v>
      </c>
    </row>
    <row r="9" spans="1:4">
      <c r="A9" t="s">
        <v>87</v>
      </c>
      <c r="B9" s="5">
        <v>765.795</v>
      </c>
      <c r="C9" s="5">
        <v>880.463</v>
      </c>
      <c r="D9" s="5">
        <v>1021.766</v>
      </c>
    </row>
    <row r="10" spans="1:4">
      <c r="A10" t="s">
        <v>88</v>
      </c>
      <c r="B10" s="5">
        <v>390.254</v>
      </c>
      <c r="C10" s="5">
        <v>398.982</v>
      </c>
      <c r="D10" s="5">
        <v>380.046</v>
      </c>
    </row>
    <row r="11" spans="1:4">
      <c r="A11" t="s">
        <v>89</v>
      </c>
      <c r="B11" s="5">
        <v>127.003</v>
      </c>
      <c r="C11" s="5">
        <v>110.493</v>
      </c>
      <c r="D11" s="5">
        <v>80.298</v>
      </c>
    </row>
    <row r="12" spans="1:4">
      <c r="A12" t="inlineStr">
        <is>
          <t>= Owner FCF</t>
        </is>
      </c>
      <c r="B12" s="5">
        <v>-343.064</v>
      </c>
      <c r="C12" s="5">
        <v>-138.049</v>
      </c>
      <c r="D12" s="5">
        <v>-201.706</v>
      </c>
    </row>
    <row r="13" spans="1:4">
      <c r="A13" t="s">
        <v>90</v>
      </c>
      <c r="B13" s="9">
        <v>-0.09408896907052504</v>
      </c>
      <c r="C13" s="9">
        <v>-0.03269934129477065</v>
      </c>
      <c r="D13" s="9">
        <v>-0.04427532859789451</v>
      </c>
    </row>
    <row r="14" spans="1:4">
      <c r="A14" t="s">
        <v>91</v>
      </c>
      <c r="B14" s="9">
        <v>0.2100274644654138</v>
      </c>
      <c r="C14" s="9">
        <v>0.208553195853774</v>
      </c>
      <c r="D14" s="9">
        <v>0.2242820015277497</v>
      </c>
    </row>
    <row r="15" spans="1:4">
      <c r="A15" t="s">
        <v>92</v>
      </c>
      <c r="B15" s="9">
        <v>0.5096063567926142</v>
      </c>
      <c r="C15" s="9">
        <v>0.4531502175559905</v>
      </c>
      <c r="D15" s="9">
        <v>0.371950133396492</v>
      </c>
    </row>
    <row r="16" spans="1:4">
      <c r="A16" t="s">
        <v>93</v>
      </c>
      <c r="B16" s="5">
        <v>600.198</v>
      </c>
      <c r="C16" s="5">
        <v>927.013</v>
      </c>
      <c r="D16" s="5">
        <v>2724.273</v>
      </c>
    </row>
    <row r="17" spans="1:4">
      <c r="A17" t="s">
        <v>94</v>
      </c>
      <c r="D17" s="5">
        <v>11.6</v>
      </c>
    </row>
    <row r="19" spans="1:4">
      <c r="A19" s="13" t="s">
        <v>96</v>
      </c>
      <c r="B19" s="13"/>
      <c r="C19" s="13"/>
      <c r="D19" s="13"/>
    </row>
    <row r="20" spans="1:4">
      <c r="A20" s="13"/>
      <c r="B20" s="13"/>
      <c r="C20" s="13"/>
      <c r="D20" s="13"/>
    </row>
    <row r="21" spans="1:4">
      <c r="A21" s="13"/>
      <c r="B21" s="13"/>
      <c r="C21" s="13"/>
      <c r="D21" s="13"/>
    </row>
  </sheetData>
  <mergeCells count="1">
    <mergeCell ref="A19:D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97</v>
      </c>
    </row>
    <row r="4" spans="1:2" ht="20" customHeight="1">
      <c r="A4" s="8" t="s">
        <v>98</v>
      </c>
      <c r="B4" s="13" t="s">
        <v>99</v>
      </c>
    </row>
    <row r="5" spans="1:2" ht="20" customHeight="1">
      <c r="A5" s="8" t="s">
        <v>100</v>
      </c>
      <c r="B5" s="13" t="s">
        <v>101</v>
      </c>
    </row>
    <row r="6" spans="1:2" ht="28" customHeight="1">
      <c r="A6" s="8" t="s">
        <v>102</v>
      </c>
      <c r="B6" s="13" t="s">
        <v>103</v>
      </c>
    </row>
    <row r="7" spans="1:2" ht="28" customHeight="1">
      <c r="A7" s="8" t="s">
        <v>104</v>
      </c>
      <c r="B7" s="13" t="s">
        <v>105</v>
      </c>
    </row>
    <row r="8" spans="1:2" ht="42" customHeight="1">
      <c r="A8" s="8" t="s">
        <v>106</v>
      </c>
      <c r="B8" s="13" t="s">
        <v>107</v>
      </c>
    </row>
    <row r="9" spans="1:2" ht="70" customHeight="1">
      <c r="A9" s="8" t="s">
        <v>108</v>
      </c>
      <c r="B9" s="13" t="s">
        <v>109</v>
      </c>
    </row>
    <row r="10" spans="1:2" ht="70" customHeight="1">
      <c r="A10" s="8" t="s">
        <v>110</v>
      </c>
      <c r="B10" s="13" t="s">
        <v>111</v>
      </c>
    </row>
    <row r="11" spans="1:2" ht="84" customHeight="1">
      <c r="A11" s="8" t="s">
        <v>112</v>
      </c>
      <c r="B11" s="13" t="s">
        <v>113</v>
      </c>
    </row>
    <row r="12" spans="1:2" ht="70" customHeight="1">
      <c r="A12" s="8" t="s">
        <v>114</v>
      </c>
      <c r="B12" s="13" t="s">
        <v>115</v>
      </c>
    </row>
    <row r="13" spans="1:2" ht="70" customHeight="1">
      <c r="A13" s="8" t="s">
        <v>116</v>
      </c>
      <c r="B13" s="13" t="s">
        <v>117</v>
      </c>
    </row>
    <row r="14" spans="1:2" ht="42" customHeight="1">
      <c r="A14" s="8" t="s">
        <v>118</v>
      </c>
      <c r="B14" s="13" t="s">
        <v>119</v>
      </c>
    </row>
    <row r="15" spans="1:2" ht="56" customHeight="1">
      <c r="A15" s="8" t="s">
        <v>120</v>
      </c>
      <c r="B15" s="13" t="s">
        <v>121</v>
      </c>
    </row>
    <row r="16" spans="1:2" ht="84" customHeight="1">
      <c r="A16" s="8" t="s">
        <v>122</v>
      </c>
      <c r="B16" s="13" t="s">
        <v>123</v>
      </c>
    </row>
    <row r="17" spans="1:2" ht="84" customHeight="1">
      <c r="A17" s="8" t="s">
        <v>124</v>
      </c>
      <c r="B17" s="13" t="s">
        <v>125</v>
      </c>
    </row>
    <row r="18" spans="1:2" ht="28" customHeight="1">
      <c r="A18" s="8" t="s">
        <v>126</v>
      </c>
      <c r="B18" s="13" t="s">
        <v>127</v>
      </c>
    </row>
    <row r="19" spans="1:2" ht="42" customHeight="1">
      <c r="A19" s="8" t="s">
        <v>128</v>
      </c>
      <c r="B19" s="1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2026-08-08T06:21:02Z</dcterms:created>
  <dcterms:modified xsi:type="dcterms:W3CDTF">2026-08-08T06:21:02Z</dcterms:modified>
</cp:coreProperties>
</file>