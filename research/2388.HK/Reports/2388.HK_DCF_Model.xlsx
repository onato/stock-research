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<sst xmlns="http://schemas.openxmlformats.org/spreadsheetml/2006/main" count="370" uniqueCount="178">
  <si>
    <t xml:space="preserve">Ticker</t>
  </si>
  <si>
    <t xml:space="preserve">2388.HK</t>
  </si>
  <si>
    <t xml:space="preserve">Company</t>
  </si>
  <si>
    <t xml:space="preserve">BOC Hong Kong (Holdings) Limited</t>
  </si>
  <si>
    <t xml:space="preserve">Valuation date</t>
  </si>
  <si>
    <t xml:space="preserve">2026-10-18</t>
  </si>
  <si>
    <t xml:space="preserve">Current price</t>
  </si>
  <si>
    <t xml:space="preserve">Price as of</t>
  </si>
  <si>
    <t xml:space="preserve">2026-10-16T08:08:14Z HKEX regular close (Friday); valuation dated Sunday 2026-10-18</t>
  </si>
  <si>
    <t xml:space="preserve">Balance sheet date</t>
  </si>
  <si>
    <t xml:space="preserve">2026-06-30</t>
  </si>
  <si>
    <t xml:space="preserve">Model</t>
  </si>
  <si>
    <t xml:space="preserve">Bank FCFE at cost of equity (engine route), net debt zero, CET1 retention on risk-weighted-asset growth</t>
  </si>
  <si>
    <t xml:space="preserve">Currency (model)</t>
  </si>
  <si>
    <t xml:space="preserve">HKD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</si>
  <si>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</si>
  <si>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</si>
  <si>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</si>
  <si>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</si>
  <si>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</si>
  <si>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</si>
  <si>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2026-10-18T04:05:55Z</t>
  </si>
  <si>
    <t xml:space="preserve">Drivers file</t>
  </si>
  <si>
    <t xml:space="preserve">2388.HK_Drivers.json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</si>
  <si>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</si>
  <si>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</si>
  <si>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</si>
  <si>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BOCHK on the equity cash it can distribute: profit to ordinary shareholders less the CET1 needed to grow its risk-weighted assets, discounted at a HKD cost of equity of 9.5%. Deposits are funding, not debt; net debt is zero. The large surplus capital stock is treated as optionality, not value, until management commits to a CET1 target or buybacks.
key_risks_to_valuation: Commercial real estate: Stage-2 loans HK$63.6bn at FY2025 (+29.3bn); a migration to Stage 3 is the bear case's margin cut; NIM and HKD rates follow the Fed via the peg; each ~5bp of NIM is roughly HK$2bn of pre-tax profit on ~HK$3.8tn of interest-earning assets; Net trading gain (HK$16.8bn FY2025, &gt;30% of PBT by management's attribution) is volatile and partly FX-swap funding arbitrage; Surplus capital (~HK$7-9/share above a 16-18% CET1) is not valued; a formal target or buyback would lift value, a regulatory change or parent-driven use would not; Geopolitical/sanctions spillover from the Bank of China parent; minority holders' limited influence over a ~66% controlling shareholder; Cost of equity: at 8.5% the base value rises ~16% (18x terminal cap binds above 3% growth); at 10.5% it falls ~14% (see sensitivity grid)</t>
  </si>
  <si>
    <t xml:space="preserve">Data sources</t>
  </si>
  <si>
    <t xml:space="preserve">price: Yahoo Finance chart API at inputs.price_as_of; 52-week range 36.26-53.85
financials: 2388.HK_Metrics.csv (core_metrics) and kpis table; FY2025 Annual Report (capital ratios lines 1290-1310, income summary line 742, ETR line 12114); H1 2026 Interim Report (results lines 32-36 and 257-264, capital lines 787-798, dividends lines 4472-4490)
qualitative: 2388.HK_Analysis.json (2026-10-18)</t>
  </si>
  <si>
    <t xml:space="preserve">Scenario narrative: bear</t>
  </si>
  <si>
    <t xml:space="preserve">Fed cuts compress NIM, trading income mean-reverts, CRE Stage-2 loans migrate to Stage 3 (impairment ~0.6% of loans for two years), revenue flat in FY2027, CET1 held at 23.8% with no release.</t>
  </si>
  <si>
    <t xml:space="preserve">Scenario narrative: base</t>
  </si>
  <si>
    <t xml:space="preserve">NIM holds ~1.55%, loans/RWA grow 4-5% on GBA and Southeast Asia, CRE impairments ease from the FY2025 peak, cost-to-income ~24%, ROE ~12%, payout drifts to ~60% with the HK$10.5bn 2026-28 programme funded from FCFE.</t>
  </si>
  <si>
    <t xml:space="preserve">Scenario narrative: bull</t>
  </si>
  <si>
    <t xml:space="preserve">Higher-for-longer HIBOR, RMB internationalisation and wealth/IPO fees lift revenue growth to ~5.5%, CRE losses run off to pre-2023 levels (margin 67%), and capital is returned faster at a 20% marginal CET1.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</si>
  <si>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</si>
  <si>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</si>
  <si>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</si>
  <si>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</si>
  <si>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</si>
  <si>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</si>
  <si>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</si>
  <si>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</si>
  <si>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</si>
  <si>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</si>
  <si>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</si>
  <si>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</si>
  <si>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</si>
  <si>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</si>
  <si>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</si>
  <si>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</si>
  <si>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</si>
  <si>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</si>
  <si>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</si>
  <si>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</si>
  <si>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</si>
  <si>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</si>
  <si>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</si>
  <si>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</si>
  <si>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</si>
  <si>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</si>
  <si>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</si>
  <si>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CostToIncomeRatio</t>
  </si>
  <si>
    <t xml:space="preserve">CreditImpairmentCharge</t>
  </si>
  <si>
    <t xml:space="preserve">CustomerDeposits</t>
  </si>
  <si>
    <t xml:space="preserve">GrossInterestIncome</t>
  </si>
  <si>
    <t xml:space="preserve">NetFeeAndCommissionIncome</t>
  </si>
  <si>
    <t xml:space="preserve">NetIncomeInclNCI</t>
  </si>
  <si>
    <t xml:space="preserve">NetInterestIncome</t>
  </si>
  <si>
    <t xml:space="preserve">OperatingExpenses</t>
  </si>
  <si>
    <t xml:space="preserve">OtherEquityInstruments</t>
  </si>
  <si>
    <t xml:space="preserve">ROAA</t>
  </si>
  <si>
    <t xml:space="preserve">ROE</t>
  </si>
  <si>
    <t xml:space="preserve">TotalCapitalRatio</t>
  </si>
  <si>
    <t xml:space="preserve">TotalEquity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</si>
  <si>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</si>
  <si>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</si>
  <si>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</si>
  <si>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</si>
  <si>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</si>
  <si>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</si>
  <si>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</si>
  <si>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</si>
  <si>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</si>
  <si>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</si>
  <si>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</si>
  <si>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</si>
  <si>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</si>
  <si>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</si>
  <si>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</si>
  <si>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</si>
  <si>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</si>
  <si>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</si>
  <si>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FY2026E (year ending 2026-12-31, unreported: H1 2026 actual + H2 estimate)</t>
  </si>
  <si>
    <t xml:space="preserve">Currency / units</t>
  </si>
  <si>
    <t xml:space="preserve">HKD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</si>
  <si>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</si>
  <si>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</si>
  <si>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</si>
  <si>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</si>
  <si>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</si>
  <si>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</si>
  <si>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</si>
  <si>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</si>
  <si>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</si>
  <si>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</si>
  <si>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</si>
  <si>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</si>
  <si>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</si>
  <si>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</si>
  <si>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</si>
  <si>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</si>
  <si>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</si>
  <si>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</si>
  <si>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</si>
  <si>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</si>
  <si>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</si>
  <si>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</si>
  <si>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</si>
  <si>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</si>
  <si>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</si>
  <si>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</si>
  <si>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2388.HK owner-FCF component DCF: bear case (millions, HKD)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</si>
  <si>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</si>
  <si>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</si>
  <si>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</si>
  <si>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</si>
  <si>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</si>
  <si>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</si>
  <si>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</si>
  <si>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</si>
  <si>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</si>
  <si>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</si>
  <si>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</si>
  <si>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</si>
  <si>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</si>
  <si>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</si>
  <si>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</si>
  <si>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</si>
  <si>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</si>
  <si>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</si>
  <si>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</si>
  <si>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</si>
  <si>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</si>
  <si>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</si>
  <si>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</si>
  <si>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</si>
  <si>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</si>
  <si>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</si>
  <si>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</si>
  <si>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</si>
  <si>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</si>
  <si>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</si>
  <si>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2388.HK owner-FCF component DCF: base case (millions, HKD)</t>
  </si>
  <si>
    <t xml:space="preserve">2388.HK owner-FCF component DCF: bull case (millions, HKD)</t>
  </si>
  <si>
    <t xml:space="preserve">2388.HK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</si>
  <si>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</si>
  <si>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</si>
  <si>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</si>
  <si>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</si>
  <si>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</si>
  <si>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</si>
  <si>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</si>
  <si>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</si>
  <si>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</si>
  <si>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</si>
  <si>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</si>
  <si>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</si>
  <si>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</si>
  <si>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</si>
  <si>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</si>
  <si>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9.5%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</si>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</sst>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50.15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  <c r="AD1" s="2" t="s">
        <v>64</v>
      </c>
      <c r="AE1" s="2" t="s">
        <v>65</v>
      </c>
      <c r="AF1" s="2" t="s">
        <v>66</v>
      </c>
      <c r="AG1" s="2" t="s">
        <v>67</v>
      </c>
      <c r="AH1" s="2" t="s">
        <v>68</v>
      </c>
      <c r="AI1" s="2" t="s">
        <v>69</v>
      </c>
      <c r="AJ1" s="2" t="s">
        <v>70</v>
      </c>
      <c r="AK1" s="2" t="s">
        <v>71</v>
      </c>
      <c r="AL1" s="2" t="s">
        <v>72</v>
      </c>
      <c r="AM1" s="2" t="s">
        <v>73</v>
      </c>
      <c r="AN1" s="2" t="s">
        <v>74</v>
      </c>
      <c r="AO1" s="2" t="s">
        <v>75</v>
      </c>
    </row>
    <row r="2" customFormat="false" ht="15" hidden="false" customHeight="false" outlineLevel="0" collapsed="false">
      <c r="A2" s="0" t="s">
        <v>76</v>
      </c>
      <c r="B2" s="0" t="n">
        <v>49006</v>
      </c>
      <c r="F2" s="0" t="n">
        <v>34103</v>
      </c>
      <c r="G2" s="0" t="n">
        <v>69.6</v>
      </c>
      <c r="I2" s="0" t="n">
        <v>31163</v>
      </c>
      <c r="J2" s="0" t="n">
        <v>63.6</v>
      </c>
      <c r="K2" s="0" t="n">
        <v>2.9475</v>
      </c>
      <c r="L2" s="0" t="n">
        <v>131826</v>
      </c>
      <c r="M2" s="0" t="n">
        <v>1526</v>
      </c>
      <c r="O2" s="0" t="n">
        <v>244018</v>
      </c>
      <c r="P2" s="0" t="n">
        <v>2651086</v>
      </c>
      <c r="Q2" s="0" t="n">
        <v>2402463</v>
      </c>
      <c r="R2" s="0" t="n">
        <v>40621</v>
      </c>
      <c r="S2" s="0" t="n">
        <v>380922</v>
      </c>
      <c r="T2" s="0" t="n">
        <v>10572.780266</v>
      </c>
      <c r="U2" s="0" t="n">
        <v>0</v>
      </c>
      <c r="AA2" s="0" t="s">
        <v>17</v>
      </c>
      <c r="AB2" s="0" t="s">
        <v>14</v>
      </c>
      <c r="AF2" s="0" t="n">
        <v>49077</v>
      </c>
      <c r="AH2" s="0" t="n">
        <v>31930</v>
      </c>
      <c r="AI2" s="0" t="n">
        <v>34818</v>
      </c>
      <c r="AK2" s="0" t="n">
        <v>0</v>
      </c>
      <c r="AO2" s="0" t="n">
        <v>248623</v>
      </c>
    </row>
    <row r="3" customFormat="false" ht="15" hidden="false" customHeight="false" outlineLevel="0" collapsed="false">
      <c r="A3" s="0" t="s">
        <v>77</v>
      </c>
      <c r="B3" s="0" t="n">
        <v>54535</v>
      </c>
      <c r="F3" s="0" t="n">
        <v>38087</v>
      </c>
      <c r="G3" s="0" t="n">
        <v>69.8</v>
      </c>
      <c r="I3" s="0" t="n">
        <v>32070</v>
      </c>
      <c r="J3" s="0" t="n">
        <v>58.8</v>
      </c>
      <c r="K3" s="0" t="n">
        <v>3.0333</v>
      </c>
      <c r="L3" s="0" t="n">
        <v>266347</v>
      </c>
      <c r="M3" s="0" t="n">
        <v>1175</v>
      </c>
      <c r="O3" s="0" t="n">
        <v>257536</v>
      </c>
      <c r="P3" s="0" t="n">
        <v>2956004</v>
      </c>
      <c r="Q3" s="0" t="n">
        <v>2670631</v>
      </c>
      <c r="R3" s="0" t="n">
        <v>22699</v>
      </c>
      <c r="S3" s="0" t="n">
        <v>626126</v>
      </c>
      <c r="T3" s="0" t="n">
        <v>10572.780266</v>
      </c>
      <c r="U3" s="0" t="n">
        <v>0</v>
      </c>
      <c r="V3" s="0" t="n">
        <v>1.468</v>
      </c>
      <c r="AA3" s="0" t="s">
        <v>17</v>
      </c>
      <c r="AB3" s="0" t="s">
        <v>14</v>
      </c>
      <c r="AC3" s="0" t="n">
        <v>27.88</v>
      </c>
      <c r="AD3" s="0" t="n">
        <v>1242</v>
      </c>
      <c r="AE3" s="0" t="n">
        <v>1895796</v>
      </c>
      <c r="AF3" s="0" t="n">
        <v>61865</v>
      </c>
      <c r="AG3" s="0" t="n">
        <v>11312</v>
      </c>
      <c r="AH3" s="0" t="n">
        <v>32654</v>
      </c>
      <c r="AI3" s="0" t="n">
        <v>39501</v>
      </c>
      <c r="AJ3" s="0" t="n">
        <v>15206</v>
      </c>
      <c r="AK3" s="0" t="n">
        <v>23476</v>
      </c>
      <c r="AL3" s="0" t="n">
        <v>1.16</v>
      </c>
      <c r="AN3" s="0" t="n">
        <v>23.1</v>
      </c>
      <c r="AO3" s="0" t="n">
        <v>285373</v>
      </c>
    </row>
    <row r="4" customFormat="false" ht="15" hidden="false" customHeight="false" outlineLevel="0" collapsed="false">
      <c r="A4" s="0" t="s">
        <v>78</v>
      </c>
      <c r="B4" s="0" t="n">
        <v>58444</v>
      </c>
      <c r="F4" s="0" t="n">
        <v>39755</v>
      </c>
      <c r="G4" s="0" t="n">
        <v>68</v>
      </c>
      <c r="I4" s="0" t="n">
        <v>32184</v>
      </c>
      <c r="J4" s="0" t="n">
        <v>55.1</v>
      </c>
      <c r="K4" s="0" t="n">
        <v>3.044</v>
      </c>
      <c r="L4" s="0" t="n">
        <v>-268703</v>
      </c>
      <c r="M4" s="0" t="n">
        <v>1450</v>
      </c>
      <c r="O4" s="0" t="n">
        <v>278783</v>
      </c>
      <c r="P4" s="0" t="n">
        <v>3026056</v>
      </c>
      <c r="Q4" s="0" t="n">
        <v>2718564</v>
      </c>
      <c r="R4" s="0" t="n">
        <v>13070</v>
      </c>
      <c r="S4" s="0" t="n">
        <v>331652</v>
      </c>
      <c r="T4" s="0" t="n">
        <v>10572.780266</v>
      </c>
      <c r="U4" s="0" t="n">
        <v>0</v>
      </c>
      <c r="V4" s="0" t="n">
        <v>1.537</v>
      </c>
      <c r="AA4" s="0" t="s">
        <v>17</v>
      </c>
      <c r="AB4" s="0" t="s">
        <v>14</v>
      </c>
      <c r="AC4" s="0" t="n">
        <v>28.52</v>
      </c>
      <c r="AD4" s="0" t="n">
        <v>2022</v>
      </c>
      <c r="AE4" s="0" t="n">
        <v>2009273</v>
      </c>
      <c r="AF4" s="0" t="n">
        <v>67784</v>
      </c>
      <c r="AG4" s="0" t="n">
        <v>10919</v>
      </c>
      <c r="AH4" s="0" t="n">
        <v>34074</v>
      </c>
      <c r="AI4" s="0" t="n">
        <v>40523</v>
      </c>
      <c r="AJ4" s="0" t="n">
        <v>16667</v>
      </c>
      <c r="AK4" s="0" t="n">
        <v>23476</v>
      </c>
      <c r="AL4" s="0" t="n">
        <v>1.15</v>
      </c>
      <c r="AN4" s="0" t="n">
        <v>22.89</v>
      </c>
      <c r="AO4" s="0" t="n">
        <v>307492</v>
      </c>
    </row>
    <row r="5" customFormat="false" ht="15" hidden="false" customHeight="false" outlineLevel="0" collapsed="false">
      <c r="A5" s="0" t="s">
        <v>79</v>
      </c>
      <c r="B5" s="0" t="n">
        <v>54474</v>
      </c>
      <c r="F5" s="0" t="n">
        <v>35420</v>
      </c>
      <c r="G5" s="0" t="n">
        <v>65</v>
      </c>
      <c r="I5" s="0" t="n">
        <v>26487</v>
      </c>
      <c r="J5" s="0" t="n">
        <v>48.6</v>
      </c>
      <c r="K5" s="0" t="n">
        <v>2.5052</v>
      </c>
      <c r="L5" s="0" t="n">
        <v>142620</v>
      </c>
      <c r="M5" s="0" t="n">
        <v>1323</v>
      </c>
      <c r="O5" s="0" t="n">
        <v>290302</v>
      </c>
      <c r="P5" s="0" t="n">
        <v>3320981</v>
      </c>
      <c r="Q5" s="0" t="n">
        <v>3001326</v>
      </c>
      <c r="R5" s="0" t="n">
        <v>426</v>
      </c>
      <c r="S5" s="0" t="n">
        <v>456058</v>
      </c>
      <c r="T5" s="0" t="n">
        <v>10572.780266</v>
      </c>
      <c r="U5" s="0" t="n">
        <v>0</v>
      </c>
      <c r="V5" s="0" t="n">
        <v>1.242</v>
      </c>
      <c r="AA5" s="0" t="s">
        <v>17</v>
      </c>
      <c r="AB5" s="0" t="s">
        <v>14</v>
      </c>
      <c r="AC5" s="0" t="n">
        <v>30.01</v>
      </c>
      <c r="AD5" s="0" t="n">
        <v>2707</v>
      </c>
      <c r="AE5" s="0" t="n">
        <v>2183709</v>
      </c>
      <c r="AG5" s="0" t="n">
        <v>10842</v>
      </c>
      <c r="AH5" s="0" t="n">
        <v>28468</v>
      </c>
      <c r="AI5" s="0" t="n">
        <v>34738</v>
      </c>
      <c r="AJ5" s="0" t="n">
        <v>16347</v>
      </c>
      <c r="AK5" s="0" t="n">
        <v>23476</v>
      </c>
      <c r="AL5" s="0" t="n">
        <v>0.86</v>
      </c>
      <c r="AM5" s="0" t="n">
        <v>9.05</v>
      </c>
      <c r="AN5" s="0" t="n">
        <v>22.1</v>
      </c>
      <c r="AO5" s="0" t="n">
        <v>319655</v>
      </c>
    </row>
    <row r="6" customFormat="false" ht="15" hidden="false" customHeight="false" outlineLevel="0" collapsed="false">
      <c r="A6" s="0" t="s">
        <v>80</v>
      </c>
      <c r="B6" s="0" t="n">
        <v>48982</v>
      </c>
      <c r="F6" s="0" t="n">
        <v>30430</v>
      </c>
      <c r="G6" s="0" t="n">
        <v>62.1</v>
      </c>
      <c r="I6" s="0" t="n">
        <v>22970</v>
      </c>
      <c r="J6" s="0" t="n">
        <v>46.9</v>
      </c>
      <c r="K6" s="0" t="n">
        <v>2.1726</v>
      </c>
      <c r="L6" s="0" t="n">
        <v>88000</v>
      </c>
      <c r="M6" s="0" t="n">
        <v>1165</v>
      </c>
      <c r="O6" s="0" t="n">
        <v>297999</v>
      </c>
      <c r="P6" s="0" t="n">
        <v>3639430</v>
      </c>
      <c r="Q6" s="0" t="n">
        <v>3311969</v>
      </c>
      <c r="R6" s="0" t="n">
        <v>2423</v>
      </c>
      <c r="S6" s="0" t="n">
        <v>531915</v>
      </c>
      <c r="T6" s="0" t="n">
        <v>10572.780266</v>
      </c>
      <c r="U6" s="0" t="n">
        <v>0</v>
      </c>
      <c r="V6" s="0" t="n">
        <v>1.13</v>
      </c>
      <c r="AA6" s="0" t="s">
        <v>17</v>
      </c>
      <c r="AB6" s="0" t="s">
        <v>14</v>
      </c>
      <c r="AC6" s="0" t="n">
        <v>33.5</v>
      </c>
      <c r="AD6" s="0" t="n">
        <v>2145</v>
      </c>
      <c r="AE6" s="0" t="n">
        <v>2331155</v>
      </c>
      <c r="AG6" s="0" t="n">
        <v>11872</v>
      </c>
      <c r="AH6" s="0" t="n">
        <v>24999</v>
      </c>
      <c r="AI6" s="0" t="n">
        <v>31941</v>
      </c>
      <c r="AJ6" s="0" t="n">
        <v>16407</v>
      </c>
      <c r="AK6" s="0" t="n">
        <v>23476</v>
      </c>
      <c r="AL6" s="0" t="n">
        <v>0.7</v>
      </c>
      <c r="AM6" s="0" t="n">
        <v>7.67</v>
      </c>
      <c r="AN6" s="0" t="n">
        <v>21.44</v>
      </c>
      <c r="AO6" s="0" t="n">
        <v>327461</v>
      </c>
    </row>
    <row r="7" customFormat="false" ht="15" hidden="false" customHeight="false" outlineLevel="0" collapsed="false">
      <c r="A7" s="0" t="s">
        <v>81</v>
      </c>
      <c r="B7" s="0" t="n">
        <v>54215</v>
      </c>
      <c r="F7" s="0" t="n">
        <v>34917</v>
      </c>
      <c r="G7" s="0" t="n">
        <v>64.4</v>
      </c>
      <c r="I7" s="0" t="n">
        <v>25940</v>
      </c>
      <c r="J7" s="0" t="n">
        <v>47.8</v>
      </c>
      <c r="K7" s="0" t="n">
        <v>2.4535</v>
      </c>
      <c r="L7" s="0" t="n">
        <v>-25820</v>
      </c>
      <c r="M7" s="0" t="n">
        <v>1254</v>
      </c>
      <c r="O7" s="0" t="n">
        <v>299788</v>
      </c>
      <c r="P7" s="0" t="n">
        <v>3666505</v>
      </c>
      <c r="Q7" s="0" t="n">
        <v>3340670</v>
      </c>
      <c r="R7" s="0" t="n">
        <v>80029</v>
      </c>
      <c r="S7" s="0" t="n">
        <v>540925</v>
      </c>
      <c r="T7" s="0" t="n">
        <v>10572.780266</v>
      </c>
      <c r="U7" s="0" t="n">
        <v>0</v>
      </c>
      <c r="V7" s="0" t="n">
        <v>1.357</v>
      </c>
      <c r="AA7" s="0" t="s">
        <v>17</v>
      </c>
      <c r="AB7" s="0" t="s">
        <v>14</v>
      </c>
      <c r="AC7" s="0" t="n">
        <v>31.26</v>
      </c>
      <c r="AD7" s="0" t="n">
        <v>2348</v>
      </c>
      <c r="AE7" s="0" t="n">
        <v>2377207</v>
      </c>
      <c r="AF7" s="0" t="n">
        <v>63770</v>
      </c>
      <c r="AG7" s="0" t="n">
        <v>9800</v>
      </c>
      <c r="AH7" s="0" t="n">
        <v>27230</v>
      </c>
      <c r="AI7" s="0" t="n">
        <v>38750</v>
      </c>
      <c r="AJ7" s="0" t="n">
        <v>16950</v>
      </c>
      <c r="AK7" s="0" t="n">
        <v>23476</v>
      </c>
      <c r="AL7" s="0" t="n">
        <v>0.75</v>
      </c>
      <c r="AM7" s="0" t="n">
        <v>8.5</v>
      </c>
      <c r="AN7" s="0" t="n">
        <v>21.52</v>
      </c>
      <c r="AO7" s="0" t="n">
        <v>325835</v>
      </c>
    </row>
    <row r="8" customFormat="false" ht="15" hidden="false" customHeight="false" outlineLevel="0" collapsed="false">
      <c r="A8" s="0" t="s">
        <v>82</v>
      </c>
      <c r="B8" s="0" t="n">
        <v>65498</v>
      </c>
      <c r="F8" s="0" t="n">
        <v>42558</v>
      </c>
      <c r="G8" s="0" t="n">
        <v>65</v>
      </c>
      <c r="I8" s="0" t="n">
        <v>32723</v>
      </c>
      <c r="J8" s="0" t="n">
        <v>50</v>
      </c>
      <c r="K8" s="0" t="n">
        <v>3.095</v>
      </c>
      <c r="L8" s="0" t="n">
        <v>197117</v>
      </c>
      <c r="M8" s="0" t="n">
        <v>1293</v>
      </c>
      <c r="O8" s="0" t="n">
        <v>320145</v>
      </c>
      <c r="P8" s="0" t="n">
        <v>3868783</v>
      </c>
      <c r="Q8" s="0" t="n">
        <v>3545354</v>
      </c>
      <c r="R8" s="0" t="n">
        <v>77322</v>
      </c>
      <c r="S8" s="0" t="n">
        <v>686930</v>
      </c>
      <c r="T8" s="0" t="n">
        <v>10572.780266</v>
      </c>
      <c r="U8" s="0" t="n">
        <v>0</v>
      </c>
      <c r="V8" s="0" t="n">
        <v>1.672</v>
      </c>
      <c r="AA8" s="0" t="s">
        <v>17</v>
      </c>
      <c r="AB8" s="0" t="s">
        <v>14</v>
      </c>
      <c r="AC8" s="0" t="n">
        <v>25.35</v>
      </c>
      <c r="AD8" s="0" t="n">
        <v>6333</v>
      </c>
      <c r="AE8" s="0" t="n">
        <v>2501682</v>
      </c>
      <c r="AF8" s="0" t="n">
        <v>128489</v>
      </c>
      <c r="AG8" s="0" t="n">
        <v>9167</v>
      </c>
      <c r="AH8" s="0" t="n">
        <v>34857</v>
      </c>
      <c r="AI8" s="0" t="n">
        <v>51078</v>
      </c>
      <c r="AJ8" s="0" t="n">
        <v>16607</v>
      </c>
      <c r="AK8" s="0" t="n">
        <v>0</v>
      </c>
      <c r="AL8" s="0" t="n">
        <v>0.9</v>
      </c>
      <c r="AM8" s="0" t="n">
        <v>10.6</v>
      </c>
      <c r="AN8" s="0" t="n">
        <v>21.18</v>
      </c>
      <c r="AO8" s="0" t="n">
        <v>323429</v>
      </c>
    </row>
    <row r="9" customFormat="false" ht="15" hidden="false" customHeight="false" outlineLevel="0" collapsed="false">
      <c r="A9" s="0" t="s">
        <v>83</v>
      </c>
      <c r="B9" s="0" t="n">
        <v>71253</v>
      </c>
      <c r="F9" s="0" t="n">
        <v>48677</v>
      </c>
      <c r="G9" s="0" t="n">
        <v>68.3</v>
      </c>
      <c r="I9" s="0" t="n">
        <v>38233</v>
      </c>
      <c r="J9" s="0" t="n">
        <v>53.7</v>
      </c>
      <c r="K9" s="0" t="n">
        <v>3.6162</v>
      </c>
      <c r="L9" s="0" t="n">
        <v>1875</v>
      </c>
      <c r="M9" s="0" t="n">
        <v>2198</v>
      </c>
      <c r="O9" s="0" t="n">
        <v>338716</v>
      </c>
      <c r="P9" s="0" t="n">
        <v>4194408</v>
      </c>
      <c r="Q9" s="0" t="n">
        <v>3852178</v>
      </c>
      <c r="R9" s="0" t="n">
        <v>77278</v>
      </c>
      <c r="S9" s="0" t="n">
        <v>649288</v>
      </c>
      <c r="T9" s="0" t="n">
        <v>10572.780266</v>
      </c>
      <c r="U9" s="0" t="n">
        <v>0</v>
      </c>
      <c r="V9" s="0" t="n">
        <v>1.989</v>
      </c>
      <c r="AA9" s="0" t="s">
        <v>17</v>
      </c>
      <c r="AB9" s="0" t="s">
        <v>14</v>
      </c>
      <c r="AC9" s="0" t="n">
        <v>24.55</v>
      </c>
      <c r="AD9" s="0" t="n">
        <v>5082</v>
      </c>
      <c r="AE9" s="0" t="n">
        <v>2713410</v>
      </c>
      <c r="AF9" s="0" t="n">
        <v>139439</v>
      </c>
      <c r="AG9" s="0" t="n">
        <v>9893</v>
      </c>
      <c r="AH9" s="0" t="n">
        <v>39118</v>
      </c>
      <c r="AI9" s="0" t="n">
        <v>52334</v>
      </c>
      <c r="AJ9" s="0" t="n">
        <v>17494</v>
      </c>
      <c r="AL9" s="0" t="n">
        <v>0.95</v>
      </c>
      <c r="AM9" s="0" t="n">
        <v>11.61</v>
      </c>
      <c r="AN9" s="0" t="n">
        <v>22</v>
      </c>
      <c r="AO9" s="0" t="n">
        <v>342230</v>
      </c>
    </row>
    <row r="10" customFormat="false" ht="15" hidden="false" customHeight="false" outlineLevel="0" collapsed="false">
      <c r="A10" s="0" t="s">
        <v>84</v>
      </c>
      <c r="B10" s="0" t="n">
        <v>77019</v>
      </c>
      <c r="F10" s="0" t="n">
        <v>50532</v>
      </c>
      <c r="G10" s="0" t="n">
        <v>65.6</v>
      </c>
      <c r="I10" s="0" t="n">
        <v>40121</v>
      </c>
      <c r="J10" s="0" t="n">
        <v>52.1</v>
      </c>
      <c r="K10" s="0" t="n">
        <v>3.7947</v>
      </c>
      <c r="L10" s="0" t="n">
        <v>-87083</v>
      </c>
      <c r="M10" s="0" t="n">
        <v>1505</v>
      </c>
      <c r="O10" s="0" t="n">
        <v>358528</v>
      </c>
      <c r="P10" s="0" t="n">
        <v>4489809</v>
      </c>
      <c r="Q10" s="0" t="n">
        <v>4126334</v>
      </c>
      <c r="R10" s="0" t="n">
        <v>87008</v>
      </c>
      <c r="S10" s="0" t="n">
        <v>548518</v>
      </c>
      <c r="T10" s="0" t="n">
        <v>10572.780266</v>
      </c>
      <c r="U10" s="0" t="n">
        <v>0</v>
      </c>
      <c r="V10" s="0" t="n">
        <v>2.125</v>
      </c>
      <c r="AA10" s="0" t="s">
        <v>17</v>
      </c>
      <c r="AB10" s="0" t="s">
        <v>14</v>
      </c>
      <c r="AC10" s="0" t="n">
        <v>23.62</v>
      </c>
      <c r="AD10" s="0" t="n">
        <v>8294</v>
      </c>
      <c r="AE10" s="0" t="n">
        <v>2933502</v>
      </c>
      <c r="AF10" s="0" t="n">
        <v>120355</v>
      </c>
      <c r="AG10" s="0" t="n">
        <v>11269</v>
      </c>
      <c r="AH10" s="0" t="n">
        <v>41189</v>
      </c>
      <c r="AI10" s="0" t="n">
        <v>52911</v>
      </c>
      <c r="AJ10" s="0" t="n">
        <v>18193</v>
      </c>
      <c r="AL10" s="0" t="n">
        <v>0.95</v>
      </c>
      <c r="AM10" s="0" t="n">
        <v>11.51</v>
      </c>
      <c r="AN10" s="0" t="n">
        <v>25.98</v>
      </c>
      <c r="AO10" s="0" t="n">
        <v>363475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85</v>
      </c>
      <c r="B1" s="2" t="s">
        <v>86</v>
      </c>
    </row>
    <row r="2" customFormat="false" ht="15" hidden="false" customHeight="false" outlineLevel="0" collapsed="false">
      <c r="A2" s="0" t="s">
        <v>87</v>
      </c>
      <c r="B2" s="3" t="n">
        <v>50.15</v>
      </c>
    </row>
    <row r="3" customFormat="false" ht="15" hidden="false" customHeight="false" outlineLevel="0" collapsed="false">
      <c r="A3" s="0" t="s">
        <v>88</v>
      </c>
      <c r="B3" s="3" t="n">
        <v>10572.78</v>
      </c>
    </row>
    <row r="4" customFormat="false" ht="15" hidden="false" customHeight="false" outlineLevel="0" collapsed="false">
      <c r="A4" s="0" t="s">
        <v>89</v>
      </c>
      <c r="B4" s="3" t="n">
        <v>0</v>
      </c>
    </row>
    <row r="5" customFormat="false" ht="15" hidden="false" customHeight="false" outlineLevel="0" collapsed="false">
      <c r="A5" s="0" t="s">
        <v>90</v>
      </c>
      <c r="B5" s="3" t="n">
        <v>0</v>
      </c>
    </row>
    <row r="6" customFormat="false" ht="15" hidden="false" customHeight="false" outlineLevel="0" collapsed="false">
      <c r="A6" s="0" t="s">
        <v>91</v>
      </c>
      <c r="B6" s="3" t="n">
        <v>15</v>
      </c>
    </row>
    <row r="7" customFormat="false" ht="15" hidden="false" customHeight="false" outlineLevel="0" collapsed="false">
      <c r="A7" s="0" t="s">
        <v>92</v>
      </c>
      <c r="B7" s="3" t="n">
        <v>78200</v>
      </c>
    </row>
    <row r="8" customFormat="false" ht="15" hidden="false" customHeight="false" outlineLevel="0" collapsed="false">
      <c r="A8" s="0" t="s">
        <v>93</v>
      </c>
      <c r="B8" s="3" t="s">
        <v>94</v>
      </c>
    </row>
    <row r="9" customFormat="false" ht="15" hidden="false" customHeight="false" outlineLevel="0" collapsed="false">
      <c r="A9" s="0" t="s">
        <v>95</v>
      </c>
      <c r="B9" s="3" t="s">
        <v>96</v>
      </c>
    </row>
    <row r="10" customFormat="false" ht="15" hidden="false" customHeight="false" outlineLevel="0" collapsed="false">
      <c r="A10" s="0" t="s">
        <v>97</v>
      </c>
      <c r="B10" s="3" t="n">
        <v>1</v>
      </c>
    </row>
    <row r="12" customFormat="false" ht="15" hidden="false" customHeight="false" outlineLevel="0" collapsed="false">
      <c r="A12" s="2" t="s">
        <v>98</v>
      </c>
      <c r="C12" s="2" t="s">
        <v>99</v>
      </c>
      <c r="D12" s="2" t="s">
        <v>100</v>
      </c>
      <c r="E12" s="2" t="s">
        <v>101</v>
      </c>
      <c r="F12" s="2" t="s">
        <v>102</v>
      </c>
      <c r="G12" s="2" t="s">
        <v>103</v>
      </c>
      <c r="H12" s="2" t="s">
        <v>104</v>
      </c>
      <c r="I12" s="2" t="s">
        <v>105</v>
      </c>
      <c r="J12" s="2" t="s">
        <v>106</v>
      </c>
      <c r="K12" s="2" t="s">
        <v>107</v>
      </c>
      <c r="L12" s="2" t="s">
        <v>108</v>
      </c>
    </row>
    <row r="13" customFormat="false" ht="15" hidden="false" customHeight="false" outlineLevel="0" collapsed="false">
      <c r="A13" s="0" t="s">
        <v>109</v>
      </c>
      <c r="C13" s="3" t="n">
        <v>1</v>
      </c>
      <c r="D13" s="3" t="n">
        <v>2</v>
      </c>
      <c r="E13" s="3" t="n">
        <v>2.5</v>
      </c>
      <c r="F13" s="3" t="n">
        <v>3</v>
      </c>
      <c r="G13" s="3" t="n">
        <v>3</v>
      </c>
      <c r="H13" s="3" t="n">
        <v>3</v>
      </c>
      <c r="I13" s="3" t="n">
        <v>2.5</v>
      </c>
      <c r="J13" s="3" t="n">
        <v>2.5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110</v>
      </c>
      <c r="C14" s="3" t="n">
        <v>58</v>
      </c>
      <c r="D14" s="3" t="n">
        <v>58</v>
      </c>
      <c r="E14" s="3" t="n">
        <v>60</v>
      </c>
      <c r="F14" s="3" t="n">
        <v>60</v>
      </c>
      <c r="G14" s="3" t="n">
        <v>61</v>
      </c>
      <c r="H14" s="3" t="n">
        <v>61</v>
      </c>
      <c r="I14" s="3" t="n">
        <v>61</v>
      </c>
      <c r="J14" s="3" t="n">
        <v>61</v>
      </c>
      <c r="K14" s="3" t="n">
        <v>61</v>
      </c>
      <c r="L14" s="3" t="n">
        <v>61</v>
      </c>
    </row>
    <row r="15" customFormat="false" ht="15" hidden="false" customHeight="false" outlineLevel="0" collapsed="false">
      <c r="A15" s="0" t="s">
        <v>111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112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113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 customFormat="false" ht="15" hidden="false" customHeight="false" outlineLevel="0" collapsed="false">
      <c r="A18" s="0" t="s">
        <v>114</v>
      </c>
      <c r="C18" s="3" t="n">
        <v>16.15</v>
      </c>
      <c r="D18" s="3" t="n">
        <v>16.47</v>
      </c>
      <c r="E18" s="3" t="n">
        <v>14.62</v>
      </c>
      <c r="F18" s="3" t="n">
        <v>14.69</v>
      </c>
      <c r="G18" s="3" t="n">
        <v>12.65</v>
      </c>
      <c r="H18" s="3" t="n">
        <v>12.65</v>
      </c>
      <c r="I18" s="3" t="n">
        <v>10.6</v>
      </c>
      <c r="J18" s="3" t="n">
        <v>10.6</v>
      </c>
      <c r="K18" s="3" t="n">
        <v>10.6</v>
      </c>
      <c r="L18" s="3" t="n">
        <v>10.6</v>
      </c>
    </row>
    <row r="19" customFormat="false" ht="15" hidden="false" customHeight="false" outlineLevel="0" collapsed="false">
      <c r="A19" s="0" t="s">
        <v>115</v>
      </c>
      <c r="C19" s="3" t="n">
        <v>17.5</v>
      </c>
      <c r="D19" s="3" t="n">
        <v>17.5</v>
      </c>
      <c r="E19" s="3" t="n">
        <v>17.5</v>
      </c>
      <c r="F19" s="3" t="n">
        <v>17.5</v>
      </c>
      <c r="G19" s="3" t="n">
        <v>17.5</v>
      </c>
      <c r="H19" s="3" t="n">
        <v>17.5</v>
      </c>
      <c r="I19" s="3" t="n">
        <v>17.5</v>
      </c>
      <c r="J19" s="3" t="n">
        <v>17.5</v>
      </c>
      <c r="K19" s="3" t="n">
        <v>17.5</v>
      </c>
      <c r="L19" s="3" t="n">
        <v>17.5</v>
      </c>
    </row>
    <row r="20" customFormat="false" ht="15" hidden="false" customHeight="false" outlineLevel="0" collapsed="false">
      <c r="A20" s="0" t="s">
        <v>116</v>
      </c>
      <c r="B20" s="3" t="n">
        <v>9.5</v>
      </c>
    </row>
    <row r="21" customFormat="false" ht="15" hidden="false" customHeight="false" outlineLevel="0" collapsed="false">
      <c r="A21" s="0" t="s">
        <v>117</v>
      </c>
      <c r="B21" s="3" t="n">
        <v>2.5</v>
      </c>
    </row>
    <row r="22" customFormat="false" ht="15" hidden="false" customHeight="false" outlineLevel="0" collapsed="false">
      <c r="A22" s="0" t="s">
        <v>118</v>
      </c>
      <c r="B22" s="3" t="n">
        <v>18</v>
      </c>
    </row>
    <row r="23" customFormat="false" ht="15" hidden="false" customHeight="false" outlineLevel="0" collapsed="false">
      <c r="A23" s="0" t="s">
        <v>119</v>
      </c>
      <c r="B23" s="3" t="n">
        <v>0</v>
      </c>
    </row>
    <row r="24" customFormat="false" ht="15" hidden="false" customHeight="false" outlineLevel="0" collapsed="false">
      <c r="A24" s="0" t="s">
        <v>120</v>
      </c>
      <c r="B24" s="3" t="n">
        <v>0.25</v>
      </c>
    </row>
    <row r="26" customFormat="false" ht="15" hidden="false" customHeight="false" outlineLevel="0" collapsed="false">
      <c r="A26" s="2" t="s">
        <v>121</v>
      </c>
      <c r="C26" s="2" t="s">
        <v>99</v>
      </c>
      <c r="D26" s="2" t="s">
        <v>100</v>
      </c>
      <c r="E26" s="2" t="s">
        <v>101</v>
      </c>
      <c r="F26" s="2" t="s">
        <v>102</v>
      </c>
      <c r="G26" s="2" t="s">
        <v>103</v>
      </c>
      <c r="H26" s="2" t="s">
        <v>104</v>
      </c>
      <c r="I26" s="2" t="s">
        <v>105</v>
      </c>
      <c r="J26" s="2" t="s">
        <v>106</v>
      </c>
      <c r="K26" s="2" t="s">
        <v>107</v>
      </c>
      <c r="L26" s="2" t="s">
        <v>108</v>
      </c>
    </row>
    <row r="27" customFormat="false" ht="15" hidden="false" customHeight="false" outlineLevel="0" collapsed="false">
      <c r="A27" s="0" t="s">
        <v>109</v>
      </c>
      <c r="C27" s="3" t="n">
        <v>4</v>
      </c>
      <c r="D27" s="3" t="n">
        <v>4</v>
      </c>
      <c r="E27" s="3" t="n">
        <v>4</v>
      </c>
      <c r="F27" s="3" t="n">
        <v>3.5</v>
      </c>
      <c r="G27" s="3" t="n">
        <v>3.5</v>
      </c>
      <c r="H27" s="3" t="n">
        <v>3.5</v>
      </c>
      <c r="I27" s="3" t="n">
        <v>3</v>
      </c>
      <c r="J27" s="3" t="n">
        <v>3</v>
      </c>
      <c r="K27" s="3" t="n">
        <v>3</v>
      </c>
      <c r="L27" s="3" t="n">
        <v>3</v>
      </c>
    </row>
    <row r="28" customFormat="false" ht="15" hidden="false" customHeight="false" outlineLevel="0" collapsed="false">
      <c r="A28" s="0" t="s">
        <v>110</v>
      </c>
      <c r="C28" s="3" t="n">
        <v>64.5</v>
      </c>
      <c r="D28" s="3" t="n">
        <v>64.5</v>
      </c>
      <c r="E28" s="3" t="n">
        <v>64.5</v>
      </c>
      <c r="F28" s="3" t="n">
        <v>64.5</v>
      </c>
      <c r="G28" s="3" t="n">
        <v>64.5</v>
      </c>
      <c r="H28" s="3" t="n">
        <v>64.5</v>
      </c>
      <c r="I28" s="3" t="n">
        <v>64.5</v>
      </c>
      <c r="J28" s="3" t="n">
        <v>64.5</v>
      </c>
      <c r="K28" s="3" t="n">
        <v>64.5</v>
      </c>
      <c r="L28" s="3" t="n">
        <v>64.5</v>
      </c>
    </row>
    <row r="29" customFormat="false" ht="15" hidden="false" customHeight="false" outlineLevel="0" collapsed="false">
      <c r="A29" s="0" t="s">
        <v>111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112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113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 customFormat="false" ht="15" hidden="false" customHeight="false" outlineLevel="0" collapsed="false">
      <c r="A32" s="0" t="s">
        <v>114</v>
      </c>
      <c r="C32" s="3" t="n">
        <v>18.12</v>
      </c>
      <c r="D32" s="3" t="n">
        <v>18.3</v>
      </c>
      <c r="E32" s="3" t="n">
        <v>16.63</v>
      </c>
      <c r="F32" s="3" t="n">
        <v>16.79</v>
      </c>
      <c r="G32" s="3" t="n">
        <v>15.07</v>
      </c>
      <c r="H32" s="3" t="n">
        <v>15.14</v>
      </c>
      <c r="I32" s="3" t="n">
        <v>13.38</v>
      </c>
      <c r="J32" s="3" t="n">
        <v>13.44</v>
      </c>
      <c r="K32" s="3" t="n">
        <v>11.58</v>
      </c>
      <c r="L32" s="3" t="n">
        <v>11.58</v>
      </c>
    </row>
    <row r="33" customFormat="false" ht="15" hidden="false" customHeight="false" outlineLevel="0" collapsed="false">
      <c r="A33" s="0" t="s">
        <v>115</v>
      </c>
      <c r="C33" s="3" t="n">
        <v>17.5</v>
      </c>
      <c r="D33" s="3" t="n">
        <v>17.5</v>
      </c>
      <c r="E33" s="3" t="n">
        <v>17.5</v>
      </c>
      <c r="F33" s="3" t="n">
        <v>17.5</v>
      </c>
      <c r="G33" s="3" t="n">
        <v>17.5</v>
      </c>
      <c r="H33" s="3" t="n">
        <v>17.5</v>
      </c>
      <c r="I33" s="3" t="n">
        <v>17.5</v>
      </c>
      <c r="J33" s="3" t="n">
        <v>17.5</v>
      </c>
      <c r="K33" s="3" t="n">
        <v>17.5</v>
      </c>
      <c r="L33" s="3" t="n">
        <v>17.5</v>
      </c>
    </row>
    <row r="34" customFormat="false" ht="15" hidden="false" customHeight="false" outlineLevel="0" collapsed="false">
      <c r="A34" s="0" t="s">
        <v>116</v>
      </c>
      <c r="B34" s="3" t="n">
        <v>9.5</v>
      </c>
    </row>
    <row r="35" customFormat="false" ht="15" hidden="false" customHeight="false" outlineLevel="0" collapsed="false">
      <c r="A35" s="0" t="s">
        <v>117</v>
      </c>
      <c r="B35" s="3" t="n">
        <v>3</v>
      </c>
    </row>
    <row r="36" customFormat="false" ht="15" hidden="false" customHeight="false" outlineLevel="0" collapsed="false">
      <c r="A36" s="0" t="s">
        <v>118</v>
      </c>
      <c r="B36" s="3" t="n">
        <v>18</v>
      </c>
    </row>
    <row r="37" customFormat="false" ht="15" hidden="false" customHeight="false" outlineLevel="0" collapsed="false">
      <c r="A37" s="0" t="s">
        <v>119</v>
      </c>
      <c r="B37" s="3" t="n">
        <v>0</v>
      </c>
    </row>
    <row r="38" customFormat="false" ht="15" hidden="false" customHeight="false" outlineLevel="0" collapsed="false">
      <c r="A38" s="0" t="s">
        <v>120</v>
      </c>
      <c r="B38" s="3" t="n">
        <v>0.5</v>
      </c>
    </row>
    <row r="40" customFormat="false" ht="15" hidden="false" customHeight="false" outlineLevel="0" collapsed="false">
      <c r="A40" s="2" t="s">
        <v>122</v>
      </c>
      <c r="C40" s="2" t="s">
        <v>99</v>
      </c>
      <c r="D40" s="2" t="s">
        <v>100</v>
      </c>
      <c r="E40" s="2" t="s">
        <v>101</v>
      </c>
      <c r="F40" s="2" t="s">
        <v>102</v>
      </c>
      <c r="G40" s="2" t="s">
        <v>103</v>
      </c>
      <c r="H40" s="2" t="s">
        <v>104</v>
      </c>
      <c r="I40" s="2" t="s">
        <v>105</v>
      </c>
      <c r="J40" s="2" t="s">
        <v>106</v>
      </c>
      <c r="K40" s="2" t="s">
        <v>107</v>
      </c>
      <c r="L40" s="2" t="s">
        <v>108</v>
      </c>
    </row>
    <row r="41" customFormat="false" ht="15" hidden="false" customHeight="false" outlineLevel="0" collapsed="false">
      <c r="A41" s="0" t="s">
        <v>109</v>
      </c>
      <c r="C41" s="3" t="n">
        <v>5.5</v>
      </c>
      <c r="D41" s="3" t="n">
        <v>5.5</v>
      </c>
      <c r="E41" s="3" t="n">
        <v>5</v>
      </c>
      <c r="F41" s="3" t="n">
        <v>5</v>
      </c>
      <c r="G41" s="3" t="n">
        <v>4.5</v>
      </c>
      <c r="H41" s="3" t="n">
        <v>4</v>
      </c>
      <c r="I41" s="3" t="n">
        <v>4</v>
      </c>
      <c r="J41" s="3" t="n">
        <v>3.5</v>
      </c>
      <c r="K41" s="3" t="n">
        <v>3.5</v>
      </c>
      <c r="L41" s="3" t="n">
        <v>3.5</v>
      </c>
    </row>
    <row r="42" customFormat="false" ht="15" hidden="false" customHeight="false" outlineLevel="0" collapsed="false">
      <c r="A42" s="0" t="s">
        <v>110</v>
      </c>
      <c r="C42" s="3" t="n">
        <v>66</v>
      </c>
      <c r="D42" s="3" t="n">
        <v>66.5</v>
      </c>
      <c r="E42" s="3" t="n">
        <v>67</v>
      </c>
      <c r="F42" s="3" t="n">
        <v>67</v>
      </c>
      <c r="G42" s="3" t="n">
        <v>67</v>
      </c>
      <c r="H42" s="3" t="n">
        <v>67</v>
      </c>
      <c r="I42" s="3" t="n">
        <v>67</v>
      </c>
      <c r="J42" s="3" t="n">
        <v>67</v>
      </c>
      <c r="K42" s="3" t="n">
        <v>67</v>
      </c>
      <c r="L42" s="3" t="n">
        <v>67</v>
      </c>
    </row>
    <row r="43" customFormat="false" ht="15" hidden="false" customHeight="false" outlineLevel="0" collapsed="false">
      <c r="A43" s="0" t="s">
        <v>111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112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113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 customFormat="false" ht="15" hidden="false" customHeight="false" outlineLevel="0" collapsed="false">
      <c r="A46" s="0" t="s">
        <v>114</v>
      </c>
      <c r="C46" s="3" t="n">
        <v>17.87</v>
      </c>
      <c r="D46" s="3" t="n">
        <v>17.87</v>
      </c>
      <c r="E46" s="3" t="n">
        <v>16.32</v>
      </c>
      <c r="F46" s="3" t="n">
        <v>16.32</v>
      </c>
      <c r="G46" s="3" t="n">
        <v>14.76</v>
      </c>
      <c r="H46" s="3" t="n">
        <v>13.18</v>
      </c>
      <c r="I46" s="3" t="n">
        <v>13.18</v>
      </c>
      <c r="J46" s="3" t="n">
        <v>11.59</v>
      </c>
      <c r="K46" s="3" t="n">
        <v>11.59</v>
      </c>
      <c r="L46" s="3" t="n">
        <v>11.59</v>
      </c>
    </row>
    <row r="47" customFormat="false" ht="15" hidden="false" customHeight="false" outlineLevel="0" collapsed="false">
      <c r="A47" s="0" t="s">
        <v>115</v>
      </c>
      <c r="C47" s="3" t="n">
        <v>17.5</v>
      </c>
      <c r="D47" s="3" t="n">
        <v>17.5</v>
      </c>
      <c r="E47" s="3" t="n">
        <v>17.5</v>
      </c>
      <c r="F47" s="3" t="n">
        <v>17.5</v>
      </c>
      <c r="G47" s="3" t="n">
        <v>17.5</v>
      </c>
      <c r="H47" s="3" t="n">
        <v>17.5</v>
      </c>
      <c r="I47" s="3" t="n">
        <v>17.5</v>
      </c>
      <c r="J47" s="3" t="n">
        <v>17.5</v>
      </c>
      <c r="K47" s="3" t="n">
        <v>17.5</v>
      </c>
      <c r="L47" s="3" t="n">
        <v>17.5</v>
      </c>
    </row>
    <row r="48" customFormat="false" ht="15" hidden="false" customHeight="false" outlineLevel="0" collapsed="false">
      <c r="A48" s="0" t="s">
        <v>116</v>
      </c>
      <c r="B48" s="3" t="n">
        <v>9.5</v>
      </c>
    </row>
    <row r="49" customFormat="false" ht="15" hidden="false" customHeight="false" outlineLevel="0" collapsed="false">
      <c r="A49" s="0" t="s">
        <v>117</v>
      </c>
      <c r="B49" s="3" t="n">
        <v>3.5</v>
      </c>
    </row>
    <row r="50" customFormat="false" ht="15" hidden="false" customHeight="false" outlineLevel="0" collapsed="false">
      <c r="A50" s="0" t="s">
        <v>118</v>
      </c>
      <c r="B50" s="3" t="n">
        <v>18</v>
      </c>
    </row>
    <row r="51" customFormat="false" ht="15" hidden="false" customHeight="false" outlineLevel="0" collapsed="false">
      <c r="A51" s="0" t="s">
        <v>119</v>
      </c>
      <c r="B51" s="3" t="n">
        <v>0</v>
      </c>
    </row>
    <row r="52" customFormat="false" ht="15" hidden="false" customHeight="false" outlineLevel="0" collapsed="false">
      <c r="A52" s="0" t="s">
        <v>120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123</v>
      </c>
    </row>
    <row r="3" customFormat="false" ht="15" hidden="false" customHeight="false" outlineLevel="0" collapsed="false">
      <c r="A3" s="0" t="s">
        <v>124</v>
      </c>
      <c r="B3" s="0" t="s">
        <v>94</v>
      </c>
      <c r="C3" s="2" t="s">
        <v>99</v>
      </c>
      <c r="D3" s="2" t="s">
        <v>100</v>
      </c>
      <c r="E3" s="2" t="s">
        <v>101</v>
      </c>
      <c r="F3" s="2" t="s">
        <v>102</v>
      </c>
      <c r="G3" s="2" t="s">
        <v>103</v>
      </c>
      <c r="H3" s="2" t="s">
        <v>104</v>
      </c>
      <c r="I3" s="2" t="s">
        <v>105</v>
      </c>
      <c r="J3" s="2" t="s">
        <v>106</v>
      </c>
      <c r="K3" s="2" t="s">
        <v>107</v>
      </c>
      <c r="L3" s="2" t="s">
        <v>108</v>
      </c>
    </row>
    <row r="4" customFormat="false" ht="15" hidden="false" customHeight="false" outlineLevel="0" collapsed="false">
      <c r="A4" s="0" t="s">
        <v>125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109</v>
      </c>
      <c r="C5" s="4" t="n">
        <f aca="false">Assumptions!C13</f>
        <v>1</v>
      </c>
      <c r="D5" s="4" t="n">
        <f aca="false">Assumptions!D13</f>
        <v>2</v>
      </c>
      <c r="E5" s="4" t="n">
        <f aca="false">Assumptions!E13</f>
        <v>2.5</v>
      </c>
      <c r="F5" s="4" t="n">
        <f aca="false">Assumptions!F13</f>
        <v>3</v>
      </c>
      <c r="G5" s="4" t="n">
        <f aca="false">Assumptions!G13</f>
        <v>3</v>
      </c>
      <c r="H5" s="4" t="n">
        <f aca="false">Assumptions!H13</f>
        <v>3</v>
      </c>
      <c r="I5" s="4" t="n">
        <f aca="false">Assumptions!I13</f>
        <v>2.5</v>
      </c>
      <c r="J5" s="4" t="n">
        <f aca="false">Assumptions!J13</f>
        <v>2.5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37</v>
      </c>
      <c r="B6" s="3" t="n">
        <v>78200</v>
      </c>
      <c r="C6" s="0" t="n">
        <f aca="false">B6*(1+C5/100)</f>
        <v>78982</v>
      </c>
      <c r="D6" s="0" t="n">
        <f aca="false">C6*(1+D5/100)</f>
        <v>80561.64</v>
      </c>
      <c r="E6" s="0" t="n">
        <f aca="false">D6*(1+E5/100)</f>
        <v>82575.681</v>
      </c>
      <c r="F6" s="0" t="n">
        <f aca="false">E6*(1+F5/100)</f>
        <v>85052.95143</v>
      </c>
      <c r="G6" s="0" t="n">
        <f aca="false">F6*(1+G5/100)</f>
        <v>87604.5399729</v>
      </c>
      <c r="H6" s="0" t="n">
        <f aca="false">G6*(1+H5/100)</f>
        <v>90232.676172087</v>
      </c>
      <c r="I6" s="0" t="n">
        <f aca="false">H6*(1+I5/100)</f>
        <v>92488.4930763892</v>
      </c>
      <c r="J6" s="0" t="n">
        <f aca="false">I6*(1+J5/100)</f>
        <v>94800.7054032989</v>
      </c>
      <c r="K6" s="0" t="n">
        <f aca="false">J6*(1+K5/100)</f>
        <v>97170.7230383814</v>
      </c>
      <c r="L6" s="0" t="n">
        <f aca="false">K6*(1+L5/100)</f>
        <v>99599.9911143409</v>
      </c>
    </row>
    <row r="7" customFormat="false" ht="15" hidden="false" customHeight="false" outlineLevel="0" collapsed="false">
      <c r="A7" s="0" t="s">
        <v>110</v>
      </c>
      <c r="C7" s="4" t="n">
        <f aca="false">Assumptions!C14</f>
        <v>58</v>
      </c>
      <c r="D7" s="4" t="n">
        <f aca="false">Assumptions!D14</f>
        <v>58</v>
      </c>
      <c r="E7" s="4" t="n">
        <f aca="false">Assumptions!E14</f>
        <v>60</v>
      </c>
      <c r="F7" s="4" t="n">
        <f aca="false">Assumptions!F14</f>
        <v>60</v>
      </c>
      <c r="G7" s="4" t="n">
        <f aca="false">Assumptions!G14</f>
        <v>61</v>
      </c>
      <c r="H7" s="4" t="n">
        <f aca="false">Assumptions!H14</f>
        <v>61</v>
      </c>
      <c r="I7" s="4" t="n">
        <f aca="false">Assumptions!I14</f>
        <v>61</v>
      </c>
      <c r="J7" s="4" t="n">
        <f aca="false">Assumptions!J14</f>
        <v>61</v>
      </c>
      <c r="K7" s="4" t="n">
        <f aca="false">Assumptions!K14</f>
        <v>61</v>
      </c>
      <c r="L7" s="4" t="n">
        <f aca="false">Assumptions!L14</f>
        <v>61</v>
      </c>
    </row>
    <row r="8" customFormat="false" ht="15" hidden="false" customHeight="false" outlineLevel="0" collapsed="false">
      <c r="A8" s="0" t="s">
        <v>43</v>
      </c>
      <c r="C8" s="0" t="n">
        <f aca="false">C6*C7/100</f>
        <v>45809.56</v>
      </c>
      <c r="D8" s="0" t="n">
        <f aca="false">D6*D7/100</f>
        <v>46725.7512</v>
      </c>
      <c r="E8" s="0" t="n">
        <f aca="false">E6*E7/100</f>
        <v>49545.4086</v>
      </c>
      <c r="F8" s="0" t="n">
        <f aca="false">F6*F7/100</f>
        <v>51031.770858</v>
      </c>
      <c r="G8" s="0" t="n">
        <f aca="false">G6*G7/100</f>
        <v>53438.769383469</v>
      </c>
      <c r="H8" s="0" t="n">
        <f aca="false">H6*H7/100</f>
        <v>55041.9324649731</v>
      </c>
      <c r="I8" s="0" t="n">
        <f aca="false">I6*I7/100</f>
        <v>56417.9807765974</v>
      </c>
      <c r="J8" s="0" t="n">
        <f aca="false">J6*J7/100</f>
        <v>57828.4302960123</v>
      </c>
      <c r="K8" s="0" t="n">
        <f aca="false">K6*K7/100</f>
        <v>59274.1410534126</v>
      </c>
      <c r="L8" s="0" t="n">
        <f aca="false">L6*L7/100</f>
        <v>60755.9945797479</v>
      </c>
    </row>
    <row r="9" customFormat="false" ht="15" hidden="false" customHeight="false" outlineLevel="0" collapsed="false">
      <c r="A9" s="0" t="s">
        <v>111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126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127</v>
      </c>
      <c r="C11" s="0" t="n">
        <f aca="false">C8+C10+C24</f>
        <v>45809.56</v>
      </c>
      <c r="D11" s="0" t="n">
        <f aca="false">D8+D10+D24</f>
        <v>46725.7512</v>
      </c>
      <c r="E11" s="0" t="n">
        <f aca="false">E8+E10+E24</f>
        <v>49545.4086</v>
      </c>
      <c r="F11" s="0" t="n">
        <f aca="false">F8+F10+F24</f>
        <v>51031.770858</v>
      </c>
      <c r="G11" s="0" t="n">
        <f aca="false">G8+G10+G24</f>
        <v>53438.769383469</v>
      </c>
      <c r="H11" s="0" t="n">
        <f aca="false">H8+H10+H24</f>
        <v>55041.9324649731</v>
      </c>
      <c r="I11" s="0" t="n">
        <f aca="false">I8+I10+I24</f>
        <v>56417.9807765974</v>
      </c>
      <c r="J11" s="0" t="n">
        <f aca="false">J8+J10+J24</f>
        <v>57828.4302960123</v>
      </c>
      <c r="K11" s="0" t="n">
        <f aca="false">K8+K10+K24</f>
        <v>59274.1410534126</v>
      </c>
      <c r="L11" s="0" t="n">
        <f aca="false">L8+L10+L24</f>
        <v>60755.9945797479</v>
      </c>
    </row>
    <row r="12" customFormat="false" ht="15" hidden="false" customHeight="false" outlineLevel="0" collapsed="false">
      <c r="A12" s="0" t="s">
        <v>128</v>
      </c>
      <c r="C12" s="4" t="n">
        <f aca="false">-C6*Assumptions!C17/100</f>
        <v>-0</v>
      </c>
      <c r="D12" s="4" t="n">
        <f aca="false">-D6*Assumptions!D17/100</f>
        <v>-0</v>
      </c>
      <c r="E12" s="4" t="n">
        <f aca="false">-E6*Assumptions!E17/100</f>
        <v>-0</v>
      </c>
      <c r="F12" s="4" t="n">
        <f aca="false">-F6*Assumptions!F17/100</f>
        <v>-0</v>
      </c>
      <c r="G12" s="4" t="n">
        <f aca="false">-G6*Assumptions!G17/100</f>
        <v>-0</v>
      </c>
      <c r="H12" s="4" t="n">
        <f aca="false">-H6*Assumptions!H17/100</f>
        <v>-0</v>
      </c>
      <c r="I12" s="4" t="n">
        <f aca="false">-I6*Assumptions!I17/100</f>
        <v>-0</v>
      </c>
      <c r="J12" s="4" t="n">
        <f aca="false">-J6*Assumptions!J17/100</f>
        <v>-0</v>
      </c>
      <c r="K12" s="4" t="n">
        <f aca="false">-K6*Assumptions!K17/100</f>
        <v>-0</v>
      </c>
      <c r="L12" s="4" t="n">
        <f aca="false">-L6*Assumptions!L17/100</f>
        <v>-0</v>
      </c>
    </row>
    <row r="13" customFormat="false" ht="15" hidden="false" customHeight="false" outlineLevel="0" collapsed="false">
      <c r="A13" s="0" t="s">
        <v>129</v>
      </c>
      <c r="C13" s="0" t="n">
        <f aca="false">C11+C12</f>
        <v>45809.56</v>
      </c>
      <c r="D13" s="0" t="n">
        <f aca="false">D11+D12</f>
        <v>46725.7512</v>
      </c>
      <c r="E13" s="0" t="n">
        <f aca="false">E11+E12</f>
        <v>49545.4086</v>
      </c>
      <c r="F13" s="0" t="n">
        <f aca="false">F11+F12</f>
        <v>51031.770858</v>
      </c>
      <c r="G13" s="0" t="n">
        <f aca="false">G11+G12</f>
        <v>53438.769383469</v>
      </c>
      <c r="H13" s="0" t="n">
        <f aca="false">H11+H12</f>
        <v>55041.9324649731</v>
      </c>
      <c r="I13" s="0" t="n">
        <f aca="false">I11+I12</f>
        <v>56417.9807765974</v>
      </c>
      <c r="J13" s="0" t="n">
        <f aca="false">J11+J12</f>
        <v>57828.4302960123</v>
      </c>
      <c r="K13" s="0" t="n">
        <f aca="false">K11+K12</f>
        <v>59274.1410534126</v>
      </c>
      <c r="L13" s="0" t="n">
        <f aca="false">L11+L12</f>
        <v>60755.9945797479</v>
      </c>
    </row>
    <row r="14" customFormat="false" ht="15" hidden="false" customHeight="false" outlineLevel="0" collapsed="false">
      <c r="A14" s="0" t="s">
        <v>115</v>
      </c>
      <c r="C14" s="4" t="n">
        <f aca="false">Assumptions!C19</f>
        <v>17.5</v>
      </c>
      <c r="D14" s="4" t="n">
        <f aca="false">Assumptions!D19</f>
        <v>17.5</v>
      </c>
      <c r="E14" s="4" t="n">
        <f aca="false">Assumptions!E19</f>
        <v>17.5</v>
      </c>
      <c r="F14" s="4" t="n">
        <f aca="false">Assumptions!F19</f>
        <v>17.5</v>
      </c>
      <c r="G14" s="4" t="n">
        <f aca="false">Assumptions!G19</f>
        <v>17.5</v>
      </c>
      <c r="H14" s="4" t="n">
        <f aca="false">Assumptions!H19</f>
        <v>17.5</v>
      </c>
      <c r="I14" s="4" t="n">
        <f aca="false">Assumptions!I19</f>
        <v>17.5</v>
      </c>
      <c r="J14" s="4" t="n">
        <f aca="false">Assumptions!J19</f>
        <v>17.5</v>
      </c>
      <c r="K14" s="4" t="n">
        <f aca="false">Assumptions!K19</f>
        <v>17.5</v>
      </c>
      <c r="L14" s="4" t="n">
        <f aca="false">Assumptions!L19</f>
        <v>17.5</v>
      </c>
    </row>
    <row r="15" customFormat="false" ht="15" hidden="false" customHeight="false" outlineLevel="0" collapsed="false">
      <c r="A15" s="0" t="s">
        <v>130</v>
      </c>
      <c r="C15" s="0" t="n">
        <f aca="false">C13-MAX(0,C13)*C14/100</f>
        <v>37792.887</v>
      </c>
      <c r="D15" s="0" t="n">
        <f aca="false">D13-MAX(0,D13)*D14/100</f>
        <v>38548.74474</v>
      </c>
      <c r="E15" s="0" t="n">
        <f aca="false">E13-MAX(0,E13)*E14/100</f>
        <v>40874.962095</v>
      </c>
      <c r="F15" s="0" t="n">
        <f aca="false">F13-MAX(0,F13)*F14/100</f>
        <v>42101.21095785</v>
      </c>
      <c r="G15" s="0" t="n">
        <f aca="false">G13-MAX(0,G13)*G14/100</f>
        <v>44086.9847413619</v>
      </c>
      <c r="H15" s="0" t="n">
        <f aca="false">H13-MAX(0,H13)*H14/100</f>
        <v>45409.5942836028</v>
      </c>
      <c r="I15" s="0" t="n">
        <f aca="false">I13-MAX(0,I13)*I14/100</f>
        <v>46544.8341406929</v>
      </c>
      <c r="J15" s="0" t="n">
        <f aca="false">J13-MAX(0,J13)*J14/100</f>
        <v>47708.4549942102</v>
      </c>
      <c r="K15" s="0" t="n">
        <f aca="false">K13-MAX(0,K13)*K14/100</f>
        <v>48901.1663690654</v>
      </c>
      <c r="L15" s="0" t="n">
        <f aca="false">L13-MAX(0,L13)*L14/100</f>
        <v>50123.695528292</v>
      </c>
    </row>
    <row r="16" customFormat="false" ht="15" hidden="false" customHeight="false" outlineLevel="0" collapsed="false">
      <c r="A16" s="0" t="s">
        <v>131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132</v>
      </c>
      <c r="C17" s="4" t="n">
        <f aca="false">-C6*Assumptions!C18/100</f>
        <v>-12755.593</v>
      </c>
      <c r="D17" s="4" t="n">
        <f aca="false">-D6*Assumptions!D18/100</f>
        <v>-13268.502108</v>
      </c>
      <c r="E17" s="4" t="n">
        <f aca="false">-E6*Assumptions!E18/100</f>
        <v>-12072.5645622</v>
      </c>
      <c r="F17" s="4" t="n">
        <f aca="false">-F6*Assumptions!F18/100</f>
        <v>-12494.278565067</v>
      </c>
      <c r="G17" s="4" t="n">
        <f aca="false">-G6*Assumptions!G18/100</f>
        <v>-11081.9743065719</v>
      </c>
      <c r="H17" s="4" t="n">
        <f aca="false">-H6*Assumptions!H18/100</f>
        <v>-11414.433535769</v>
      </c>
      <c r="I17" s="4" t="n">
        <f aca="false">-I6*Assumptions!I18/100</f>
        <v>-9803.78026609725</v>
      </c>
      <c r="J17" s="4" t="n">
        <f aca="false">-J6*Assumptions!J18/100</f>
        <v>-10048.8747727497</v>
      </c>
      <c r="K17" s="4" t="n">
        <f aca="false">-K6*Assumptions!K18/100</f>
        <v>-10300.0966420684</v>
      </c>
      <c r="L17" s="4" t="n">
        <f aca="false">-L6*Assumptions!L18/100</f>
        <v>-10557.5990581201</v>
      </c>
    </row>
    <row r="18" customFormat="false" ht="15" hidden="false" customHeight="false" outlineLevel="0" collapsed="false">
      <c r="A18" s="0" t="s">
        <v>133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134</v>
      </c>
      <c r="C19" s="0" t="n">
        <f aca="false">C15+C16+C17+C18</f>
        <v>25037.294</v>
      </c>
      <c r="D19" s="0" t="n">
        <f aca="false">D15+D16+D17+D18</f>
        <v>25280.242632</v>
      </c>
      <c r="E19" s="0" t="n">
        <f aca="false">E15+E16+E17+E18</f>
        <v>28802.3975328</v>
      </c>
      <c r="F19" s="0" t="n">
        <f aca="false">F15+F16+F17+F18</f>
        <v>29606.932392783</v>
      </c>
      <c r="G19" s="0" t="n">
        <f aca="false">G15+G16+G17+G18</f>
        <v>33005.0104347901</v>
      </c>
      <c r="H19" s="0" t="n">
        <f aca="false">H15+H16+H17+H18</f>
        <v>33995.1607478338</v>
      </c>
      <c r="I19" s="0" t="n">
        <f aca="false">I15+I16+I17+I18</f>
        <v>36741.0538745956</v>
      </c>
      <c r="J19" s="0" t="n">
        <f aca="false">J15+J16+J17+J18</f>
        <v>37659.5802214605</v>
      </c>
      <c r="K19" s="0" t="n">
        <f aca="false">K15+K16+K17+K18</f>
        <v>38601.069726997</v>
      </c>
      <c r="L19" s="0" t="n">
        <f aca="false">L15+L16+L17+L18</f>
        <v>39566.0964701719</v>
      </c>
    </row>
    <row r="20" customFormat="false" ht="15" hidden="false" customHeight="false" outlineLevel="0" collapsed="false">
      <c r="A20" s="0" t="s">
        <v>135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136</v>
      </c>
      <c r="C21" s="0" t="n">
        <f aca="false">C19*C20</f>
        <v>22865.1086757991</v>
      </c>
      <c r="D21" s="0" t="n">
        <f aca="false">D19*D20</f>
        <v>21083.9996096829</v>
      </c>
      <c r="E21" s="0" t="n">
        <f aca="false">E19*E20</f>
        <v>21937.4570093909</v>
      </c>
      <c r="F21" s="0" t="n">
        <f aca="false">F19*F20</f>
        <v>20593.8210813279</v>
      </c>
      <c r="G21" s="0" t="n">
        <f aca="false">G19*G20</f>
        <v>20965.6957210952</v>
      </c>
      <c r="H21" s="0" t="n">
        <f aca="false">H19*H20</f>
        <v>19721.1567056877</v>
      </c>
      <c r="I21" s="0" t="n">
        <f aca="false">I19*I20</f>
        <v>19464.9268136648</v>
      </c>
      <c r="J21" s="0" t="n">
        <f aca="false">J19*J20</f>
        <v>18220.5935926999</v>
      </c>
      <c r="K21" s="0" t="n">
        <f aca="false">K19*K20</f>
        <v>17055.8067876872</v>
      </c>
      <c r="L21" s="0" t="n">
        <f aca="false">L19*L20</f>
        <v>15965.4812396158</v>
      </c>
    </row>
    <row r="23" customFormat="false" ht="15" hidden="false" customHeight="false" outlineLevel="0" collapsed="false">
      <c r="A23" s="0" t="s">
        <v>112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137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138</v>
      </c>
    </row>
    <row r="27" customFormat="false" ht="15" hidden="false" customHeight="false" outlineLevel="0" collapsed="false">
      <c r="A27" s="0" t="s">
        <v>116</v>
      </c>
      <c r="B27" s="4" t="n">
        <f aca="false">Assumptions!$B$20</f>
        <v>9.5</v>
      </c>
    </row>
    <row r="28" customFormat="false" ht="15" hidden="false" customHeight="false" outlineLevel="0" collapsed="false">
      <c r="A28" s="0" t="s">
        <v>117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118</v>
      </c>
      <c r="B29" s="4" t="n">
        <f aca="false">Assumptions!$B$22</f>
        <v>18</v>
      </c>
    </row>
    <row r="30" customFormat="false" ht="15" hidden="false" customHeight="false" outlineLevel="0" collapsed="false">
      <c r="A30" s="0" t="s">
        <v>139</v>
      </c>
      <c r="B30" s="0" t="n">
        <f aca="false">SUM(C21:L21)</f>
        <v>197874.047236651</v>
      </c>
    </row>
    <row r="31" customFormat="false" ht="15" hidden="false" customHeight="false" outlineLevel="0" collapsed="false">
      <c r="A31" s="0" t="s">
        <v>140</v>
      </c>
      <c r="B31" s="0" t="n">
        <f aca="false">L19</f>
        <v>39566.0964701719</v>
      </c>
    </row>
    <row r="32" customFormat="false" ht="15" hidden="false" customHeight="false" outlineLevel="0" collapsed="false">
      <c r="A32" s="0" t="s">
        <v>141</v>
      </c>
      <c r="B32" s="0" t="n">
        <f aca="false">IF(B27&gt;B28,B31*(1+B28/100)/((B27-B28)/100),B31*B29)</f>
        <v>579360.698313231</v>
      </c>
    </row>
    <row r="33" customFormat="false" ht="15" hidden="false" customHeight="false" outlineLevel="0" collapsed="false">
      <c r="A33" s="0" t="s">
        <v>142</v>
      </c>
      <c r="B33" s="0" t="n">
        <f aca="false">B31*B29</f>
        <v>712189.736463094</v>
      </c>
    </row>
    <row r="34" customFormat="false" ht="15" hidden="false" customHeight="false" outlineLevel="0" collapsed="false">
      <c r="A34" s="0" t="s">
        <v>143</v>
      </c>
      <c r="B34" s="0" t="n">
        <f aca="false">MAX(0,MIN(B32,B33))</f>
        <v>579360.698313231</v>
      </c>
    </row>
    <row r="35" customFormat="false" ht="15" hidden="false" customHeight="false" outlineLevel="0" collapsed="false">
      <c r="A35" s="0" t="s">
        <v>144</v>
      </c>
      <c r="B35" s="0" t="n">
        <f aca="false">B34/(1+B27/100)^L4</f>
        <v>233780.26100866</v>
      </c>
    </row>
    <row r="36" customFormat="false" ht="15" hidden="false" customHeight="false" outlineLevel="0" collapsed="false">
      <c r="A36" s="0" t="s">
        <v>145</v>
      </c>
      <c r="B36" s="0" t="n">
        <f aca="false">B30+B35</f>
        <v>431654.308245312</v>
      </c>
    </row>
    <row r="37" customFormat="false" ht="15" hidden="false" customHeight="false" outlineLevel="0" collapsed="false">
      <c r="A37" s="0" t="s">
        <v>146</v>
      </c>
      <c r="B37" s="0" t="n">
        <f aca="false">B36+Assumptions!$B$5-Assumptions!$B$4</f>
        <v>431654.308245312</v>
      </c>
    </row>
    <row r="38" customFormat="false" ht="15" hidden="false" customHeight="false" outlineLevel="0" collapsed="false">
      <c r="A38" s="0" t="s">
        <v>147</v>
      </c>
      <c r="B38" s="0" t="n">
        <f aca="false">B37/Assumptions!$B$3*Assumptions!$B$10</f>
        <v>40.8269450650928</v>
      </c>
    </row>
    <row r="39" customFormat="false" ht="15" hidden="false" customHeight="false" outlineLevel="0" collapsed="false">
      <c r="A39" s="0" t="s">
        <v>148</v>
      </c>
      <c r="B39" s="4" t="n">
        <f aca="false">B38/Assumptions!$B$2-1</f>
        <v>-0.185903388532547</v>
      </c>
    </row>
    <row r="41" customFormat="false" ht="15" hidden="false" customHeight="false" outlineLevel="0" collapsed="false">
      <c r="A41" s="0" t="s">
        <v>149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150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151</v>
      </c>
      <c r="B43" s="0" t="n">
        <f aca="false">(B37+B41+B42)/Assumptions!$B$3*Assumptions!$B$10</f>
        <v>40.8269450650928</v>
      </c>
    </row>
    <row r="45" customFormat="false" ht="15" hidden="false" customHeight="false" outlineLevel="0" collapsed="false">
      <c r="A45" s="0" t="s">
        <v>91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152</v>
      </c>
      <c r="B46" s="0" t="n">
        <f aca="false">MAX(0,MIN(IF(B45&gt;B28,B31*(1+B28/100)/((B45-B28)/100),B31*B29),B31*B29))</f>
        <v>324441.99105541</v>
      </c>
    </row>
    <row r="47" customFormat="false" ht="15" hidden="false" customHeight="false" outlineLevel="0" collapsed="false">
      <c r="A47" s="0" t="s">
        <v>153</v>
      </c>
      <c r="B47" s="0" t="n">
        <f aca="false">(SUMPRODUCT(C19:L19/(1+B45/100)^C4:L4)+B46/(1+B45/100)^L4+Assumptions!$B$5-Assumptions!$B$4)/Assumptions!$B$3*Assumptions!$B$10</f>
        <v>22.2205229249446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154</v>
      </c>
    </row>
    <row r="3" customFormat="false" ht="15" hidden="false" customHeight="false" outlineLevel="0" collapsed="false">
      <c r="A3" s="0" t="s">
        <v>124</v>
      </c>
      <c r="B3" s="0" t="s">
        <v>94</v>
      </c>
      <c r="C3" s="2" t="s">
        <v>99</v>
      </c>
      <c r="D3" s="2" t="s">
        <v>100</v>
      </c>
      <c r="E3" s="2" t="s">
        <v>101</v>
      </c>
      <c r="F3" s="2" t="s">
        <v>102</v>
      </c>
      <c r="G3" s="2" t="s">
        <v>103</v>
      </c>
      <c r="H3" s="2" t="s">
        <v>104</v>
      </c>
      <c r="I3" s="2" t="s">
        <v>105</v>
      </c>
      <c r="J3" s="2" t="s">
        <v>106</v>
      </c>
      <c r="K3" s="2" t="s">
        <v>107</v>
      </c>
      <c r="L3" s="2" t="s">
        <v>108</v>
      </c>
    </row>
    <row r="4" customFormat="false" ht="15" hidden="false" customHeight="false" outlineLevel="0" collapsed="false">
      <c r="A4" s="0" t="s">
        <v>125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109</v>
      </c>
      <c r="C5" s="4" t="n">
        <f aca="false">Assumptions!C27</f>
        <v>4</v>
      </c>
      <c r="D5" s="4" t="n">
        <f aca="false">Assumptions!D27</f>
        <v>4</v>
      </c>
      <c r="E5" s="4" t="n">
        <f aca="false">Assumptions!E27</f>
        <v>4</v>
      </c>
      <c r="F5" s="4" t="n">
        <f aca="false">Assumptions!F27</f>
        <v>3.5</v>
      </c>
      <c r="G5" s="4" t="n">
        <f aca="false">Assumptions!G27</f>
        <v>3.5</v>
      </c>
      <c r="H5" s="4" t="n">
        <f aca="false">Assumptions!H27</f>
        <v>3.5</v>
      </c>
      <c r="I5" s="4" t="n">
        <f aca="false">Assumptions!I27</f>
        <v>3</v>
      </c>
      <c r="J5" s="4" t="n">
        <f aca="false">Assumptions!J27</f>
        <v>3</v>
      </c>
      <c r="K5" s="4" t="n">
        <f aca="false">Assumptions!K27</f>
        <v>3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37</v>
      </c>
      <c r="B6" s="3" t="n">
        <v>78200</v>
      </c>
      <c r="C6" s="0" t="n">
        <f aca="false">B6*(1+C5/100)</f>
        <v>81328</v>
      </c>
      <c r="D6" s="0" t="n">
        <f aca="false">C6*(1+D5/100)</f>
        <v>84581.12</v>
      </c>
      <c r="E6" s="0" t="n">
        <f aca="false">D6*(1+E5/100)</f>
        <v>87964.3648</v>
      </c>
      <c r="F6" s="0" t="n">
        <f aca="false">E6*(1+F5/100)</f>
        <v>91043.117568</v>
      </c>
      <c r="G6" s="0" t="n">
        <f aca="false">F6*(1+G5/100)</f>
        <v>94229.62668288</v>
      </c>
      <c r="H6" s="0" t="n">
        <f aca="false">G6*(1+H5/100)</f>
        <v>97527.6636167808</v>
      </c>
      <c r="I6" s="0" t="n">
        <f aca="false">H6*(1+I5/100)</f>
        <v>100453.493525284</v>
      </c>
      <c r="J6" s="0" t="n">
        <f aca="false">I6*(1+J5/100)</f>
        <v>103467.098331043</v>
      </c>
      <c r="K6" s="0" t="n">
        <f aca="false">J6*(1+K5/100)</f>
        <v>106571.111280974</v>
      </c>
      <c r="L6" s="0" t="n">
        <f aca="false">K6*(1+L5/100)</f>
        <v>109768.244619403</v>
      </c>
    </row>
    <row r="7" customFormat="false" ht="15" hidden="false" customHeight="false" outlineLevel="0" collapsed="false">
      <c r="A7" s="0" t="s">
        <v>110</v>
      </c>
      <c r="C7" s="4" t="n">
        <f aca="false">Assumptions!C28</f>
        <v>64.5</v>
      </c>
      <c r="D7" s="4" t="n">
        <f aca="false">Assumptions!D28</f>
        <v>64.5</v>
      </c>
      <c r="E7" s="4" t="n">
        <f aca="false">Assumptions!E28</f>
        <v>64.5</v>
      </c>
      <c r="F7" s="4" t="n">
        <f aca="false">Assumptions!F28</f>
        <v>64.5</v>
      </c>
      <c r="G7" s="4" t="n">
        <f aca="false">Assumptions!G28</f>
        <v>64.5</v>
      </c>
      <c r="H7" s="4" t="n">
        <f aca="false">Assumptions!H28</f>
        <v>64.5</v>
      </c>
      <c r="I7" s="4" t="n">
        <f aca="false">Assumptions!I28</f>
        <v>64.5</v>
      </c>
      <c r="J7" s="4" t="n">
        <f aca="false">Assumptions!J28</f>
        <v>64.5</v>
      </c>
      <c r="K7" s="4" t="n">
        <f aca="false">Assumptions!K28</f>
        <v>64.5</v>
      </c>
      <c r="L7" s="4" t="n">
        <f aca="false">Assumptions!L28</f>
        <v>64.5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52456.56</v>
      </c>
      <c r="D8" s="0" t="n">
        <f aca="false">D6*D7/100</f>
        <v>54554.8224</v>
      </c>
      <c r="E8" s="0" t="n">
        <f aca="false">E6*E7/100</f>
        <v>56737.015296</v>
      </c>
      <c r="F8" s="0" t="n">
        <f aca="false">F6*F7/100</f>
        <v>58722.81083136</v>
      </c>
      <c r="G8" s="0" t="n">
        <f aca="false">G6*G7/100</f>
        <v>60778.1092104576</v>
      </c>
      <c r="H8" s="0" t="n">
        <f aca="false">H6*H7/100</f>
        <v>62905.3430328236</v>
      </c>
      <c r="I8" s="0" t="n">
        <f aca="false">I6*I7/100</f>
        <v>64792.5033238083</v>
      </c>
      <c r="J8" s="0" t="n">
        <f aca="false">J6*J7/100</f>
        <v>66736.2784235226</v>
      </c>
      <c r="K8" s="0" t="n">
        <f aca="false">K6*K7/100</f>
        <v>68738.3667762282</v>
      </c>
      <c r="L8" s="0" t="n">
        <f aca="false">L6*L7/100</f>
        <v>70800.5177795151</v>
      </c>
    </row>
    <row r="9" customFormat="false" ht="15" hidden="false" customHeight="false" outlineLevel="0" collapsed="false">
      <c r="A9" s="0" t="s">
        <v>111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126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127</v>
      </c>
      <c r="C11" s="0" t="n">
        <f aca="false">C8+C10+C24</f>
        <v>52456.56</v>
      </c>
      <c r="D11" s="0" t="n">
        <f aca="false">D8+D10+D24</f>
        <v>54554.8224</v>
      </c>
      <c r="E11" s="0" t="n">
        <f aca="false">E8+E10+E24</f>
        <v>56737.015296</v>
      </c>
      <c r="F11" s="0" t="n">
        <f aca="false">F8+F10+F24</f>
        <v>58722.81083136</v>
      </c>
      <c r="G11" s="0" t="n">
        <f aca="false">G8+G10+G24</f>
        <v>60778.1092104576</v>
      </c>
      <c r="H11" s="0" t="n">
        <f aca="false">H8+H10+H24</f>
        <v>62905.3430328236</v>
      </c>
      <c r="I11" s="0" t="n">
        <f aca="false">I8+I10+I24</f>
        <v>64792.5033238083</v>
      </c>
      <c r="J11" s="0" t="n">
        <f aca="false">J8+J10+J24</f>
        <v>66736.2784235226</v>
      </c>
      <c r="K11" s="0" t="n">
        <f aca="false">K8+K10+K24</f>
        <v>68738.3667762282</v>
      </c>
      <c r="L11" s="0" t="n">
        <f aca="false">L8+L10+L24</f>
        <v>70800.5177795151</v>
      </c>
    </row>
    <row r="12" customFormat="false" ht="15" hidden="false" customHeight="false" outlineLevel="0" collapsed="false">
      <c r="A12" s="0" t="s">
        <v>128</v>
      </c>
      <c r="C12" s="4" t="n">
        <f aca="false">-C6*Assumptions!C31/100</f>
        <v>-0</v>
      </c>
      <c r="D12" s="4" t="n">
        <f aca="false">-D6*Assumptions!D31/100</f>
        <v>-0</v>
      </c>
      <c r="E12" s="4" t="n">
        <f aca="false">-E6*Assumptions!E31/100</f>
        <v>-0</v>
      </c>
      <c r="F12" s="4" t="n">
        <f aca="false">-F6*Assumptions!F31/100</f>
        <v>-0</v>
      </c>
      <c r="G12" s="4" t="n">
        <f aca="false">-G6*Assumptions!G31/100</f>
        <v>-0</v>
      </c>
      <c r="H12" s="4" t="n">
        <f aca="false">-H6*Assumptions!H31/100</f>
        <v>-0</v>
      </c>
      <c r="I12" s="4" t="n">
        <f aca="false">-I6*Assumptions!I31/100</f>
        <v>-0</v>
      </c>
      <c r="J12" s="4" t="n">
        <f aca="false">-J6*Assumptions!J31/100</f>
        <v>-0</v>
      </c>
      <c r="K12" s="4" t="n">
        <f aca="false">-K6*Assumptions!K31/100</f>
        <v>-0</v>
      </c>
      <c r="L12" s="4" t="n">
        <f aca="false">-L6*Assumptions!L31/100</f>
        <v>-0</v>
      </c>
    </row>
    <row r="13" customFormat="false" ht="15" hidden="false" customHeight="false" outlineLevel="0" collapsed="false">
      <c r="A13" s="0" t="s">
        <v>129</v>
      </c>
      <c r="C13" s="0" t="n">
        <f aca="false">C11+C12</f>
        <v>52456.56</v>
      </c>
      <c r="D13" s="0" t="n">
        <f aca="false">D11+D12</f>
        <v>54554.8224</v>
      </c>
      <c r="E13" s="0" t="n">
        <f aca="false">E11+E12</f>
        <v>56737.015296</v>
      </c>
      <c r="F13" s="0" t="n">
        <f aca="false">F11+F12</f>
        <v>58722.81083136</v>
      </c>
      <c r="G13" s="0" t="n">
        <f aca="false">G11+G12</f>
        <v>60778.1092104576</v>
      </c>
      <c r="H13" s="0" t="n">
        <f aca="false">H11+H12</f>
        <v>62905.3430328236</v>
      </c>
      <c r="I13" s="0" t="n">
        <f aca="false">I11+I12</f>
        <v>64792.5033238083</v>
      </c>
      <c r="J13" s="0" t="n">
        <f aca="false">J11+J12</f>
        <v>66736.2784235226</v>
      </c>
      <c r="K13" s="0" t="n">
        <f aca="false">K11+K12</f>
        <v>68738.3667762282</v>
      </c>
      <c r="L13" s="0" t="n">
        <f aca="false">L11+L12</f>
        <v>70800.5177795151</v>
      </c>
    </row>
    <row r="14" customFormat="false" ht="15" hidden="false" customHeight="false" outlineLevel="0" collapsed="false">
      <c r="A14" s="0" t="s">
        <v>115</v>
      </c>
      <c r="C14" s="4" t="n">
        <f aca="false">Assumptions!C33</f>
        <v>17.5</v>
      </c>
      <c r="D14" s="4" t="n">
        <f aca="false">Assumptions!D33</f>
        <v>17.5</v>
      </c>
      <c r="E14" s="4" t="n">
        <f aca="false">Assumptions!E33</f>
        <v>17.5</v>
      </c>
      <c r="F14" s="4" t="n">
        <f aca="false">Assumptions!F33</f>
        <v>17.5</v>
      </c>
      <c r="G14" s="4" t="n">
        <f aca="false">Assumptions!G33</f>
        <v>17.5</v>
      </c>
      <c r="H14" s="4" t="n">
        <f aca="false">Assumptions!H33</f>
        <v>17.5</v>
      </c>
      <c r="I14" s="4" t="n">
        <f aca="false">Assumptions!I33</f>
        <v>17.5</v>
      </c>
      <c r="J14" s="4" t="n">
        <f aca="false">Assumptions!J33</f>
        <v>17.5</v>
      </c>
      <c r="K14" s="4" t="n">
        <f aca="false">Assumptions!K33</f>
        <v>17.5</v>
      </c>
      <c r="L14" s="4" t="n">
        <f aca="false">Assumptions!L33</f>
        <v>17.5</v>
      </c>
    </row>
    <row r="15" customFormat="false" ht="15" hidden="false" customHeight="false" outlineLevel="0" collapsed="false">
      <c r="A15" s="0" t="s">
        <v>130</v>
      </c>
      <c r="C15" s="0" t="n">
        <f aca="false">C13-MAX(0,C13)*C14/100</f>
        <v>43276.662</v>
      </c>
      <c r="D15" s="0" t="n">
        <f aca="false">D13-MAX(0,D13)*D14/100</f>
        <v>45007.72848</v>
      </c>
      <c r="E15" s="0" t="n">
        <f aca="false">E13-MAX(0,E13)*E14/100</f>
        <v>46808.0376192</v>
      </c>
      <c r="F15" s="0" t="n">
        <f aca="false">F13-MAX(0,F13)*F14/100</f>
        <v>48446.318935872</v>
      </c>
      <c r="G15" s="0" t="n">
        <f aca="false">G13-MAX(0,G13)*G14/100</f>
        <v>50141.9400986275</v>
      </c>
      <c r="H15" s="0" t="n">
        <f aca="false">H13-MAX(0,H13)*H14/100</f>
        <v>51896.9080020795</v>
      </c>
      <c r="I15" s="0" t="n">
        <f aca="false">I13-MAX(0,I13)*I14/100</f>
        <v>53453.8152421419</v>
      </c>
      <c r="J15" s="0" t="n">
        <f aca="false">J13-MAX(0,J13)*J14/100</f>
        <v>55057.4296994061</v>
      </c>
      <c r="K15" s="0" t="n">
        <f aca="false">K13-MAX(0,K13)*K14/100</f>
        <v>56709.1525903883</v>
      </c>
      <c r="L15" s="0" t="n">
        <f aca="false">L13-MAX(0,L13)*L14/100</f>
        <v>58410.4271681</v>
      </c>
    </row>
    <row r="16" customFormat="false" ht="15" hidden="false" customHeight="false" outlineLevel="0" collapsed="false">
      <c r="A16" s="0" t="s">
        <v>131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132</v>
      </c>
      <c r="C17" s="4" t="n">
        <f aca="false">-C6*Assumptions!C32/100</f>
        <v>-14736.6336</v>
      </c>
      <c r="D17" s="4" t="n">
        <f aca="false">-D6*Assumptions!D32/100</f>
        <v>-15478.34496</v>
      </c>
      <c r="E17" s="4" t="n">
        <f aca="false">-E6*Assumptions!E32/100</f>
        <v>-14628.47386624</v>
      </c>
      <c r="F17" s="4" t="n">
        <f aca="false">-F6*Assumptions!F32/100</f>
        <v>-15286.1394396672</v>
      </c>
      <c r="G17" s="4" t="n">
        <f aca="false">-G6*Assumptions!G32/100</f>
        <v>-14200.40474111</v>
      </c>
      <c r="H17" s="4" t="n">
        <f aca="false">-H6*Assumptions!H32/100</f>
        <v>-14765.6882715806</v>
      </c>
      <c r="I17" s="4" t="n">
        <f aca="false">-I6*Assumptions!I32/100</f>
        <v>-13440.677433683</v>
      </c>
      <c r="J17" s="4" t="n">
        <f aca="false">-J6*Assumptions!J32/100</f>
        <v>-13905.9780156921</v>
      </c>
      <c r="K17" s="4" t="n">
        <f aca="false">-K6*Assumptions!K32/100</f>
        <v>-12340.9346863368</v>
      </c>
      <c r="L17" s="4" t="n">
        <f aca="false">-L6*Assumptions!L32/100</f>
        <v>-12711.1627269269</v>
      </c>
    </row>
    <row r="18" customFormat="false" ht="15" hidden="false" customHeight="false" outlineLevel="0" collapsed="false">
      <c r="A18" s="0" t="s">
        <v>133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134</v>
      </c>
      <c r="C19" s="0" t="n">
        <f aca="false">C15+C16+C17+C18</f>
        <v>28540.0284</v>
      </c>
      <c r="D19" s="0" t="n">
        <f aca="false">D15+D16+D17+D18</f>
        <v>29529.38352</v>
      </c>
      <c r="E19" s="0" t="n">
        <f aca="false">E15+E16+E17+E18</f>
        <v>32179.56375296</v>
      </c>
      <c r="F19" s="0" t="n">
        <f aca="false">F15+F16+F17+F18</f>
        <v>33160.1794962048</v>
      </c>
      <c r="G19" s="0" t="n">
        <f aca="false">G15+G16+G17+G18</f>
        <v>35941.5353575175</v>
      </c>
      <c r="H19" s="0" t="n">
        <f aca="false">H15+H16+H17+H18</f>
        <v>37131.2197304989</v>
      </c>
      <c r="I19" s="0" t="n">
        <f aca="false">I15+I16+I17+I18</f>
        <v>40013.1378084588</v>
      </c>
      <c r="J19" s="0" t="n">
        <f aca="false">J15+J16+J17+J18</f>
        <v>41151.451683714</v>
      </c>
      <c r="K19" s="0" t="n">
        <f aca="false">K15+K16+K17+K18</f>
        <v>44368.2179040515</v>
      </c>
      <c r="L19" s="0" t="n">
        <f aca="false">L15+L16+L17+L18</f>
        <v>45699.2644411731</v>
      </c>
    </row>
    <row r="20" customFormat="false" ht="15" hidden="false" customHeight="false" outlineLevel="0" collapsed="false">
      <c r="A20" s="0" t="s">
        <v>135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136</v>
      </c>
      <c r="C21" s="0" t="n">
        <f aca="false">C19*C20</f>
        <v>26063.9528767123</v>
      </c>
      <c r="D21" s="0" t="n">
        <f aca="false">D19*D20</f>
        <v>24627.8297116407</v>
      </c>
      <c r="E21" s="0" t="n">
        <f aca="false">E19*E20</f>
        <v>24509.6886676742</v>
      </c>
      <c r="F21" s="0" t="n">
        <f aca="false">F19*F20</f>
        <v>23065.3684248633</v>
      </c>
      <c r="G21" s="0" t="n">
        <f aca="false">G19*G20</f>
        <v>22831.0575918013</v>
      </c>
      <c r="H21" s="0" t="n">
        <f aca="false">H19*H20</f>
        <v>21540.4365465503</v>
      </c>
      <c r="I21" s="0" t="n">
        <f aca="false">I19*I20</f>
        <v>21198.4338197024</v>
      </c>
      <c r="J21" s="0" t="n">
        <f aca="false">J19*J20</f>
        <v>19910.0434064664</v>
      </c>
      <c r="K21" s="0" t="n">
        <f aca="false">K19*K20</f>
        <v>19604.0098742718</v>
      </c>
      <c r="L21" s="0" t="n">
        <f aca="false">L19*L20</f>
        <v>18440.3015255708</v>
      </c>
    </row>
    <row r="23" customFormat="false" ht="15" hidden="false" customHeight="false" outlineLevel="0" collapsed="false">
      <c r="A23" s="0" t="s">
        <v>112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137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138</v>
      </c>
    </row>
    <row r="27" customFormat="false" ht="15" hidden="false" customHeight="false" outlineLevel="0" collapsed="false">
      <c r="A27" s="0" t="s">
        <v>116</v>
      </c>
      <c r="B27" s="4" t="n">
        <f aca="false">Assumptions!$B$34</f>
        <v>9.5</v>
      </c>
    </row>
    <row r="28" customFormat="false" ht="15" hidden="false" customHeight="false" outlineLevel="0" collapsed="false">
      <c r="A28" s="0" t="s">
        <v>117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118</v>
      </c>
      <c r="B29" s="4" t="n">
        <f aca="false">Assumptions!$B$36</f>
        <v>18</v>
      </c>
    </row>
    <row r="30" customFormat="false" ht="15" hidden="false" customHeight="false" outlineLevel="0" collapsed="false">
      <c r="A30" s="0" t="s">
        <v>139</v>
      </c>
      <c r="B30" s="0" t="n">
        <f aca="false">SUM(C21:L21)</f>
        <v>221791.122445253</v>
      </c>
    </row>
    <row r="31" customFormat="false" ht="15" hidden="false" customHeight="false" outlineLevel="0" collapsed="false">
      <c r="A31" s="0" t="s">
        <v>140</v>
      </c>
      <c r="B31" s="0" t="n">
        <f aca="false">L19</f>
        <v>45699.2644411731</v>
      </c>
    </row>
    <row r="32" customFormat="false" ht="15" hidden="false" customHeight="false" outlineLevel="0" collapsed="false">
      <c r="A32" s="0" t="s">
        <v>141</v>
      </c>
      <c r="B32" s="0" t="n">
        <f aca="false">IF(B27&gt;B28,B31*(1+B28/100)/((B27-B28)/100),B31*B29)</f>
        <v>724157.574990896</v>
      </c>
    </row>
    <row r="33" customFormat="false" ht="15" hidden="false" customHeight="false" outlineLevel="0" collapsed="false">
      <c r="A33" s="0" t="s">
        <v>142</v>
      </c>
      <c r="B33" s="0" t="n">
        <f aca="false">B31*B29</f>
        <v>822586.759941115</v>
      </c>
    </row>
    <row r="34" customFormat="false" ht="15" hidden="false" customHeight="false" outlineLevel="0" collapsed="false">
      <c r="A34" s="0" t="s">
        <v>143</v>
      </c>
      <c r="B34" s="0" t="n">
        <f aca="false">MAX(0,MIN(B32,B33))</f>
        <v>724157.574990896</v>
      </c>
    </row>
    <row r="35" customFormat="false" ht="15" hidden="false" customHeight="false" outlineLevel="0" collapsed="false">
      <c r="A35" s="0" t="s">
        <v>144</v>
      </c>
      <c r="B35" s="0" t="n">
        <f aca="false">B34/(1+B27/100)^L4</f>
        <v>292207.85494366</v>
      </c>
    </row>
    <row r="36" customFormat="false" ht="15" hidden="false" customHeight="false" outlineLevel="0" collapsed="false">
      <c r="A36" s="0" t="s">
        <v>145</v>
      </c>
      <c r="B36" s="0" t="n">
        <f aca="false">B30+B35</f>
        <v>513998.977388913</v>
      </c>
    </row>
    <row r="37" customFormat="false" ht="15" hidden="false" customHeight="false" outlineLevel="0" collapsed="false">
      <c r="A37" s="0" t="s">
        <v>146</v>
      </c>
      <c r="B37" s="0" t="n">
        <f aca="false">B36+Assumptions!$B$5-Assumptions!$B$4</f>
        <v>513998.977388913</v>
      </c>
    </row>
    <row r="38" customFormat="false" ht="15" hidden="false" customHeight="false" outlineLevel="0" collapsed="false">
      <c r="A38" s="0" t="s">
        <v>147</v>
      </c>
      <c r="B38" s="0" t="n">
        <f aca="false">B37/Assumptions!$B$3*Assumptions!$B$10</f>
        <v>48.6153100120227</v>
      </c>
    </row>
    <row r="39" customFormat="false" ht="15" hidden="false" customHeight="false" outlineLevel="0" collapsed="false">
      <c r="A39" s="0" t="s">
        <v>148</v>
      </c>
      <c r="B39" s="4" t="n">
        <f aca="false">B38/Assumptions!$B$2-1</f>
        <v>-0.0306019937782118</v>
      </c>
    </row>
    <row r="41" customFormat="false" ht="15" hidden="false" customHeight="false" outlineLevel="0" collapsed="false">
      <c r="A41" s="0" t="s">
        <v>149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150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151</v>
      </c>
      <c r="B43" s="0" t="n">
        <f aca="false">(B37+B41+B42)/Assumptions!$B$3*Assumptions!$B$10</f>
        <v>48.6153100120227</v>
      </c>
    </row>
    <row r="45" customFormat="false" ht="15" hidden="false" customHeight="false" outlineLevel="0" collapsed="false">
      <c r="A45" s="0" t="s">
        <v>91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152</v>
      </c>
      <c r="B46" s="0" t="n">
        <f aca="false">MAX(0,MIN(IF(B45&gt;B28,B31*(1+B28/100)/((B45-B28)/100),B31*B29),B31*B29))</f>
        <v>392252.019786735</v>
      </c>
    </row>
    <row r="47" customFormat="false" ht="15" hidden="false" customHeight="false" outlineLevel="0" collapsed="false">
      <c r="A47" s="0" t="s">
        <v>153</v>
      </c>
      <c r="B47" s="0" t="n">
        <f aca="false">(SUMPRODUCT(C19:L19/(1+B45/100)^C4:L4)+B46/(1+B45/100)^L4+Assumptions!$B$5-Assumptions!$B$4)/Assumptions!$B$3*Assumptions!$B$10</f>
        <v>25.5891093500276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155</v>
      </c>
    </row>
    <row r="3" customFormat="false" ht="15" hidden="false" customHeight="false" outlineLevel="0" collapsed="false">
      <c r="A3" s="0" t="s">
        <v>124</v>
      </c>
      <c r="B3" s="0" t="s">
        <v>94</v>
      </c>
      <c r="C3" s="2" t="s">
        <v>99</v>
      </c>
      <c r="D3" s="2" t="s">
        <v>100</v>
      </c>
      <c r="E3" s="2" t="s">
        <v>101</v>
      </c>
      <c r="F3" s="2" t="s">
        <v>102</v>
      </c>
      <c r="G3" s="2" t="s">
        <v>103</v>
      </c>
      <c r="H3" s="2" t="s">
        <v>104</v>
      </c>
      <c r="I3" s="2" t="s">
        <v>105</v>
      </c>
      <c r="J3" s="2" t="s">
        <v>106</v>
      </c>
      <c r="K3" s="2" t="s">
        <v>107</v>
      </c>
      <c r="L3" s="2" t="s">
        <v>108</v>
      </c>
    </row>
    <row r="4" customFormat="false" ht="15" hidden="false" customHeight="false" outlineLevel="0" collapsed="false">
      <c r="A4" s="0" t="s">
        <v>125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109</v>
      </c>
      <c r="C5" s="4" t="n">
        <f aca="false">Assumptions!C41</f>
        <v>5.5</v>
      </c>
      <c r="D5" s="4" t="n">
        <f aca="false">Assumptions!D41</f>
        <v>5.5</v>
      </c>
      <c r="E5" s="4" t="n">
        <f aca="false">Assumptions!E41</f>
        <v>5</v>
      </c>
      <c r="F5" s="4" t="n">
        <f aca="false">Assumptions!F41</f>
        <v>5</v>
      </c>
      <c r="G5" s="4" t="n">
        <f aca="false">Assumptions!G41</f>
        <v>4.5</v>
      </c>
      <c r="H5" s="4" t="n">
        <f aca="false">Assumptions!H41</f>
        <v>4</v>
      </c>
      <c r="I5" s="4" t="n">
        <f aca="false">Assumptions!I41</f>
        <v>4</v>
      </c>
      <c r="J5" s="4" t="n">
        <f aca="false">Assumptions!J41</f>
        <v>3.5</v>
      </c>
      <c r="K5" s="4" t="n">
        <f aca="false">Assumptions!K41</f>
        <v>3.5</v>
      </c>
      <c r="L5" s="4" t="n">
        <f aca="false">Assumptions!L41</f>
        <v>3.5</v>
      </c>
    </row>
    <row r="6" customFormat="false" ht="15" hidden="false" customHeight="false" outlineLevel="0" collapsed="false">
      <c r="A6" s="0" t="s">
        <v>37</v>
      </c>
      <c r="B6" s="3" t="n">
        <v>78200</v>
      </c>
      <c r="C6" s="0" t="n">
        <f aca="false">B6*(1+C5/100)</f>
        <v>82501</v>
      </c>
      <c r="D6" s="0" t="n">
        <f aca="false">C6*(1+D5/100)</f>
        <v>87038.555</v>
      </c>
      <c r="E6" s="0" t="n">
        <f aca="false">D6*(1+E5/100)</f>
        <v>91390.48275</v>
      </c>
      <c r="F6" s="0" t="n">
        <f aca="false">E6*(1+F5/100)</f>
        <v>95960.0068875</v>
      </c>
      <c r="G6" s="0" t="n">
        <f aca="false">F6*(1+G5/100)</f>
        <v>100278.207197438</v>
      </c>
      <c r="H6" s="0" t="n">
        <f aca="false">G6*(1+H5/100)</f>
        <v>104289.335485335</v>
      </c>
      <c r="I6" s="0" t="n">
        <f aca="false">H6*(1+I5/100)</f>
        <v>108460.908904748</v>
      </c>
      <c r="J6" s="0" t="n">
        <f aca="false">I6*(1+J5/100)</f>
        <v>112257.040716415</v>
      </c>
      <c r="K6" s="0" t="n">
        <f aca="false">J6*(1+K5/100)</f>
        <v>116186.037141489</v>
      </c>
      <c r="L6" s="0" t="n">
        <f aca="false">K6*(1+L5/100)</f>
        <v>120252.548441441</v>
      </c>
    </row>
    <row r="7" customFormat="false" ht="15" hidden="false" customHeight="false" outlineLevel="0" collapsed="false">
      <c r="A7" s="0" t="s">
        <v>110</v>
      </c>
      <c r="C7" s="4" t="n">
        <f aca="false">Assumptions!C42</f>
        <v>66</v>
      </c>
      <c r="D7" s="4" t="n">
        <f aca="false">Assumptions!D42</f>
        <v>66.5</v>
      </c>
      <c r="E7" s="4" t="n">
        <f aca="false">Assumptions!E42</f>
        <v>67</v>
      </c>
      <c r="F7" s="4" t="n">
        <f aca="false">Assumptions!F42</f>
        <v>67</v>
      </c>
      <c r="G7" s="4" t="n">
        <f aca="false">Assumptions!G42</f>
        <v>67</v>
      </c>
      <c r="H7" s="4" t="n">
        <f aca="false">Assumptions!H42</f>
        <v>67</v>
      </c>
      <c r="I7" s="4" t="n">
        <f aca="false">Assumptions!I42</f>
        <v>67</v>
      </c>
      <c r="J7" s="4" t="n">
        <f aca="false">Assumptions!J42</f>
        <v>67</v>
      </c>
      <c r="K7" s="4" t="n">
        <f aca="false">Assumptions!K42</f>
        <v>67</v>
      </c>
      <c r="L7" s="4" t="n">
        <f aca="false">Assumptions!L42</f>
        <v>67</v>
      </c>
    </row>
    <row r="8" customFormat="false" ht="15" hidden="false" customHeight="false" outlineLevel="0" collapsed="false">
      <c r="A8" s="0" t="s">
        <v>43</v>
      </c>
      <c r="C8" s="0" t="n">
        <f aca="false">C6*C7/100</f>
        <v>54450.66</v>
      </c>
      <c r="D8" s="0" t="n">
        <f aca="false">D6*D7/100</f>
        <v>57880.639075</v>
      </c>
      <c r="E8" s="0" t="n">
        <f aca="false">E6*E7/100</f>
        <v>61231.6234425</v>
      </c>
      <c r="F8" s="0" t="n">
        <f aca="false">F6*F7/100</f>
        <v>64293.204614625</v>
      </c>
      <c r="G8" s="0" t="n">
        <f aca="false">G6*G7/100</f>
        <v>67186.3988222831</v>
      </c>
      <c r="H8" s="0" t="n">
        <f aca="false">H6*H7/100</f>
        <v>69873.8547751745</v>
      </c>
      <c r="I8" s="0" t="n">
        <f aca="false">I6*I7/100</f>
        <v>72668.8089661814</v>
      </c>
      <c r="J8" s="0" t="n">
        <f aca="false">J6*J7/100</f>
        <v>75212.2172799978</v>
      </c>
      <c r="K8" s="0" t="n">
        <f aca="false">K6*K7/100</f>
        <v>77844.6448847977</v>
      </c>
      <c r="L8" s="0" t="n">
        <f aca="false">L6*L7/100</f>
        <v>80569.2074557656</v>
      </c>
    </row>
    <row r="9" customFormat="false" ht="15" hidden="false" customHeight="false" outlineLevel="0" collapsed="false">
      <c r="A9" s="0" t="s">
        <v>111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126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127</v>
      </c>
      <c r="C11" s="0" t="n">
        <f aca="false">C8+C10+C24</f>
        <v>54450.66</v>
      </c>
      <c r="D11" s="0" t="n">
        <f aca="false">D8+D10+D24</f>
        <v>57880.639075</v>
      </c>
      <c r="E11" s="0" t="n">
        <f aca="false">E8+E10+E24</f>
        <v>61231.6234425</v>
      </c>
      <c r="F11" s="0" t="n">
        <f aca="false">F8+F10+F24</f>
        <v>64293.204614625</v>
      </c>
      <c r="G11" s="0" t="n">
        <f aca="false">G8+G10+G24</f>
        <v>67186.3988222831</v>
      </c>
      <c r="H11" s="0" t="n">
        <f aca="false">H8+H10+H24</f>
        <v>69873.8547751745</v>
      </c>
      <c r="I11" s="0" t="n">
        <f aca="false">I8+I10+I24</f>
        <v>72668.8089661814</v>
      </c>
      <c r="J11" s="0" t="n">
        <f aca="false">J8+J10+J24</f>
        <v>75212.2172799978</v>
      </c>
      <c r="K11" s="0" t="n">
        <f aca="false">K8+K10+K24</f>
        <v>77844.6448847977</v>
      </c>
      <c r="L11" s="0" t="n">
        <f aca="false">L8+L10+L24</f>
        <v>80569.2074557656</v>
      </c>
    </row>
    <row r="12" customFormat="false" ht="15" hidden="false" customHeight="false" outlineLevel="0" collapsed="false">
      <c r="A12" s="0" t="s">
        <v>128</v>
      </c>
      <c r="C12" s="4" t="n">
        <f aca="false">-C6*Assumptions!C45/100</f>
        <v>-0</v>
      </c>
      <c r="D12" s="4" t="n">
        <f aca="false">-D6*Assumptions!D45/100</f>
        <v>-0</v>
      </c>
      <c r="E12" s="4" t="n">
        <f aca="false">-E6*Assumptions!E45/100</f>
        <v>-0</v>
      </c>
      <c r="F12" s="4" t="n">
        <f aca="false">-F6*Assumptions!F45/100</f>
        <v>-0</v>
      </c>
      <c r="G12" s="4" t="n">
        <f aca="false">-G6*Assumptions!G45/100</f>
        <v>-0</v>
      </c>
      <c r="H12" s="4" t="n">
        <f aca="false">-H6*Assumptions!H45/100</f>
        <v>-0</v>
      </c>
      <c r="I12" s="4" t="n">
        <f aca="false">-I6*Assumptions!I45/100</f>
        <v>-0</v>
      </c>
      <c r="J12" s="4" t="n">
        <f aca="false">-J6*Assumptions!J45/100</f>
        <v>-0</v>
      </c>
      <c r="K12" s="4" t="n">
        <f aca="false">-K6*Assumptions!K45/100</f>
        <v>-0</v>
      </c>
      <c r="L12" s="4" t="n">
        <f aca="false">-L6*Assumptions!L45/100</f>
        <v>-0</v>
      </c>
    </row>
    <row r="13" customFormat="false" ht="15" hidden="false" customHeight="false" outlineLevel="0" collapsed="false">
      <c r="A13" s="0" t="s">
        <v>129</v>
      </c>
      <c r="C13" s="0" t="n">
        <f aca="false">C11+C12</f>
        <v>54450.66</v>
      </c>
      <c r="D13" s="0" t="n">
        <f aca="false">D11+D12</f>
        <v>57880.639075</v>
      </c>
      <c r="E13" s="0" t="n">
        <f aca="false">E11+E12</f>
        <v>61231.6234425</v>
      </c>
      <c r="F13" s="0" t="n">
        <f aca="false">F11+F12</f>
        <v>64293.204614625</v>
      </c>
      <c r="G13" s="0" t="n">
        <f aca="false">G11+G12</f>
        <v>67186.3988222831</v>
      </c>
      <c r="H13" s="0" t="n">
        <f aca="false">H11+H12</f>
        <v>69873.8547751745</v>
      </c>
      <c r="I13" s="0" t="n">
        <f aca="false">I11+I12</f>
        <v>72668.8089661814</v>
      </c>
      <c r="J13" s="0" t="n">
        <f aca="false">J11+J12</f>
        <v>75212.2172799978</v>
      </c>
      <c r="K13" s="0" t="n">
        <f aca="false">K11+K12</f>
        <v>77844.6448847977</v>
      </c>
      <c r="L13" s="0" t="n">
        <f aca="false">L11+L12</f>
        <v>80569.2074557656</v>
      </c>
    </row>
    <row r="14" customFormat="false" ht="15" hidden="false" customHeight="false" outlineLevel="0" collapsed="false">
      <c r="A14" s="0" t="s">
        <v>115</v>
      </c>
      <c r="C14" s="4" t="n">
        <f aca="false">Assumptions!C47</f>
        <v>17.5</v>
      </c>
      <c r="D14" s="4" t="n">
        <f aca="false">Assumptions!D47</f>
        <v>17.5</v>
      </c>
      <c r="E14" s="4" t="n">
        <f aca="false">Assumptions!E47</f>
        <v>17.5</v>
      </c>
      <c r="F14" s="4" t="n">
        <f aca="false">Assumptions!F47</f>
        <v>17.5</v>
      </c>
      <c r="G14" s="4" t="n">
        <f aca="false">Assumptions!G47</f>
        <v>17.5</v>
      </c>
      <c r="H14" s="4" t="n">
        <f aca="false">Assumptions!H47</f>
        <v>17.5</v>
      </c>
      <c r="I14" s="4" t="n">
        <f aca="false">Assumptions!I47</f>
        <v>17.5</v>
      </c>
      <c r="J14" s="4" t="n">
        <f aca="false">Assumptions!J47</f>
        <v>17.5</v>
      </c>
      <c r="K14" s="4" t="n">
        <f aca="false">Assumptions!K47</f>
        <v>17.5</v>
      </c>
      <c r="L14" s="4" t="n">
        <f aca="false">Assumptions!L47</f>
        <v>17.5</v>
      </c>
    </row>
    <row r="15" customFormat="false" ht="15" hidden="false" customHeight="false" outlineLevel="0" collapsed="false">
      <c r="A15" s="0" t="s">
        <v>130</v>
      </c>
      <c r="C15" s="0" t="n">
        <f aca="false">C13-MAX(0,C13)*C14/100</f>
        <v>44921.7945</v>
      </c>
      <c r="D15" s="0" t="n">
        <f aca="false">D13-MAX(0,D13)*D14/100</f>
        <v>47751.527236875</v>
      </c>
      <c r="E15" s="0" t="n">
        <f aca="false">E13-MAX(0,E13)*E14/100</f>
        <v>50516.0893400625</v>
      </c>
      <c r="F15" s="0" t="n">
        <f aca="false">F13-MAX(0,F13)*F14/100</f>
        <v>53041.8938070656</v>
      </c>
      <c r="G15" s="0" t="n">
        <f aca="false">G13-MAX(0,G13)*G14/100</f>
        <v>55428.7790283836</v>
      </c>
      <c r="H15" s="0" t="n">
        <f aca="false">H13-MAX(0,H13)*H14/100</f>
        <v>57645.9301895189</v>
      </c>
      <c r="I15" s="0" t="n">
        <f aca="false">I13-MAX(0,I13)*I14/100</f>
        <v>59951.7673970997</v>
      </c>
      <c r="J15" s="0" t="n">
        <f aca="false">J13-MAX(0,J13)*J14/100</f>
        <v>62050.0792559982</v>
      </c>
      <c r="K15" s="0" t="n">
        <f aca="false">K13-MAX(0,K13)*K14/100</f>
        <v>64221.8320299581</v>
      </c>
      <c r="L15" s="0" t="n">
        <f aca="false">L13-MAX(0,L13)*L14/100</f>
        <v>66469.5961510066</v>
      </c>
    </row>
    <row r="16" customFormat="false" ht="15" hidden="false" customHeight="false" outlineLevel="0" collapsed="false">
      <c r="A16" s="0" t="s">
        <v>131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132</v>
      </c>
      <c r="C17" s="4" t="n">
        <f aca="false">-C6*Assumptions!C46/100</f>
        <v>-14742.9287</v>
      </c>
      <c r="D17" s="4" t="n">
        <f aca="false">-D6*Assumptions!D46/100</f>
        <v>-15553.7897785</v>
      </c>
      <c r="E17" s="4" t="n">
        <f aca="false">-E6*Assumptions!E46/100</f>
        <v>-14914.9267848</v>
      </c>
      <c r="F17" s="4" t="n">
        <f aca="false">-F6*Assumptions!F46/100</f>
        <v>-15660.67312404</v>
      </c>
      <c r="G17" s="4" t="n">
        <f aca="false">-G6*Assumptions!G46/100</f>
        <v>-14801.0633823418</v>
      </c>
      <c r="H17" s="4" t="n">
        <f aca="false">-H6*Assumptions!H46/100</f>
        <v>-13745.3344169672</v>
      </c>
      <c r="I17" s="4" t="n">
        <f aca="false">-I6*Assumptions!I46/100</f>
        <v>-14295.1477936458</v>
      </c>
      <c r="J17" s="4" t="n">
        <f aca="false">-J6*Assumptions!J46/100</f>
        <v>-13010.5910190325</v>
      </c>
      <c r="K17" s="4" t="n">
        <f aca="false">-K6*Assumptions!K46/100</f>
        <v>-13465.9617046986</v>
      </c>
      <c r="L17" s="4" t="n">
        <f aca="false">-L6*Assumptions!L46/100</f>
        <v>-13937.270364363</v>
      </c>
    </row>
    <row r="18" customFormat="false" ht="15" hidden="false" customHeight="false" outlineLevel="0" collapsed="false">
      <c r="A18" s="0" t="s">
        <v>133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134</v>
      </c>
      <c r="C19" s="0" t="n">
        <f aca="false">C15+C16+C17+C18</f>
        <v>30178.8658</v>
      </c>
      <c r="D19" s="0" t="n">
        <f aca="false">D15+D16+D17+D18</f>
        <v>32197.737458375</v>
      </c>
      <c r="E19" s="0" t="n">
        <f aca="false">E15+E16+E17+E18</f>
        <v>35601.1625552625</v>
      </c>
      <c r="F19" s="0" t="n">
        <f aca="false">F15+F16+F17+F18</f>
        <v>37381.2206830256</v>
      </c>
      <c r="G19" s="0" t="n">
        <f aca="false">G15+G16+G17+G18</f>
        <v>40627.7156460418</v>
      </c>
      <c r="H19" s="0" t="n">
        <f aca="false">H15+H16+H17+H18</f>
        <v>43900.5957725518</v>
      </c>
      <c r="I19" s="0" t="n">
        <f aca="false">I15+I16+I17+I18</f>
        <v>45656.6196034538</v>
      </c>
      <c r="J19" s="0" t="n">
        <f aca="false">J15+J16+J17+J18</f>
        <v>49039.4882369657</v>
      </c>
      <c r="K19" s="0" t="n">
        <f aca="false">K15+K16+K17+K18</f>
        <v>50755.8703252595</v>
      </c>
      <c r="L19" s="0" t="n">
        <f aca="false">L15+L16+L17+L18</f>
        <v>52532.3257866436</v>
      </c>
    </row>
    <row r="20" customFormat="false" ht="15" hidden="false" customHeight="false" outlineLevel="0" collapsed="false">
      <c r="A20" s="0" t="s">
        <v>135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136</v>
      </c>
      <c r="C21" s="0" t="n">
        <f aca="false">C19*C20</f>
        <v>27560.6080365297</v>
      </c>
      <c r="D21" s="0" t="n">
        <f aca="false">D19*D20</f>
        <v>26853.2661607348</v>
      </c>
      <c r="E21" s="0" t="n">
        <f aca="false">E19*E20</f>
        <v>27115.7625732723</v>
      </c>
      <c r="F21" s="0" t="n">
        <f aca="false">F19*F20</f>
        <v>26001.4161661515</v>
      </c>
      <c r="G21" s="0" t="n">
        <f aca="false">G19*G20</f>
        <v>25807.8489555705</v>
      </c>
      <c r="H21" s="0" t="n">
        <f aca="false">H19*H20</f>
        <v>25467.463887745</v>
      </c>
      <c r="I21" s="0" t="n">
        <f aca="false">I19*I20</f>
        <v>24188.2762038857</v>
      </c>
      <c r="J21" s="0" t="n">
        <f aca="false">J19*J20</f>
        <v>23726.4616308856</v>
      </c>
      <c r="K21" s="0" t="n">
        <f aca="false">K19*K20</f>
        <v>22426.381541522</v>
      </c>
      <c r="L21" s="0" t="n">
        <f aca="false">L19*L20</f>
        <v>21197.538717329</v>
      </c>
    </row>
    <row r="23" customFormat="false" ht="15" hidden="false" customHeight="false" outlineLevel="0" collapsed="false">
      <c r="A23" s="0" t="s">
        <v>112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137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138</v>
      </c>
    </row>
    <row r="27" customFormat="false" ht="15" hidden="false" customHeight="false" outlineLevel="0" collapsed="false">
      <c r="A27" s="0" t="s">
        <v>116</v>
      </c>
      <c r="B27" s="4" t="n">
        <f aca="false">Assumptions!$B$48</f>
        <v>9.5</v>
      </c>
    </row>
    <row r="28" customFormat="false" ht="15" hidden="false" customHeight="false" outlineLevel="0" collapsed="false">
      <c r="A28" s="0" t="s">
        <v>117</v>
      </c>
      <c r="B28" s="4" t="n">
        <f aca="false">Assumptions!$B$49</f>
        <v>3.5</v>
      </c>
    </row>
    <row r="29" customFormat="false" ht="15" hidden="false" customHeight="false" outlineLevel="0" collapsed="false">
      <c r="A29" s="0" t="s">
        <v>118</v>
      </c>
      <c r="B29" s="4" t="n">
        <f aca="false">Assumptions!$B$50</f>
        <v>18</v>
      </c>
    </row>
    <row r="30" customFormat="false" ht="15" hidden="false" customHeight="false" outlineLevel="0" collapsed="false">
      <c r="A30" s="0" t="s">
        <v>139</v>
      </c>
      <c r="B30" s="0" t="n">
        <f aca="false">SUM(C21:L21)</f>
        <v>250345.023873626</v>
      </c>
    </row>
    <row r="31" customFormat="false" ht="15" hidden="false" customHeight="false" outlineLevel="0" collapsed="false">
      <c r="A31" s="0" t="s">
        <v>140</v>
      </c>
      <c r="B31" s="0" t="n">
        <f aca="false">L19</f>
        <v>52532.3257866436</v>
      </c>
    </row>
    <row r="32" customFormat="false" ht="15" hidden="false" customHeight="false" outlineLevel="0" collapsed="false">
      <c r="A32" s="0" t="s">
        <v>141</v>
      </c>
      <c r="B32" s="0" t="n">
        <f aca="false">IF(B27&gt;B28,B31*(1+B28/100)/((B27-B28)/100),B31*B29)</f>
        <v>906182.619819602</v>
      </c>
    </row>
    <row r="33" customFormat="false" ht="15" hidden="false" customHeight="false" outlineLevel="0" collapsed="false">
      <c r="A33" s="0" t="s">
        <v>142</v>
      </c>
      <c r="B33" s="0" t="n">
        <f aca="false">B31*B29</f>
        <v>945581.864159585</v>
      </c>
    </row>
    <row r="34" customFormat="false" ht="15" hidden="false" customHeight="false" outlineLevel="0" collapsed="false">
      <c r="A34" s="0" t="s">
        <v>143</v>
      </c>
      <c r="B34" s="0" t="n">
        <f aca="false">MAX(0,MIN(B32,B33))</f>
        <v>906182.619819602</v>
      </c>
    </row>
    <row r="35" customFormat="false" ht="15" hidden="false" customHeight="false" outlineLevel="0" collapsed="false">
      <c r="A35" s="0" t="s">
        <v>144</v>
      </c>
      <c r="B35" s="0" t="n">
        <f aca="false">B34/(1+B27/100)^L4</f>
        <v>365657.542873926</v>
      </c>
    </row>
    <row r="36" customFormat="false" ht="15" hidden="false" customHeight="false" outlineLevel="0" collapsed="false">
      <c r="A36" s="0" t="s">
        <v>145</v>
      </c>
      <c r="B36" s="0" t="n">
        <f aca="false">B30+B35</f>
        <v>616002.566747552</v>
      </c>
    </row>
    <row r="37" customFormat="false" ht="15" hidden="false" customHeight="false" outlineLevel="0" collapsed="false">
      <c r="A37" s="0" t="s">
        <v>146</v>
      </c>
      <c r="B37" s="0" t="n">
        <f aca="false">B36+Assumptions!$B$5-Assumptions!$B$4</f>
        <v>616002.566747552</v>
      </c>
    </row>
    <row r="38" customFormat="false" ht="15" hidden="false" customHeight="false" outlineLevel="0" collapsed="false">
      <c r="A38" s="0" t="s">
        <v>147</v>
      </c>
      <c r="B38" s="0" t="n">
        <f aca="false">B37/Assumptions!$B$3*Assumptions!$B$10</f>
        <v>58.2630648464786</v>
      </c>
    </row>
    <row r="39" customFormat="false" ht="15" hidden="false" customHeight="false" outlineLevel="0" collapsed="false">
      <c r="A39" s="0" t="s">
        <v>148</v>
      </c>
      <c r="B39" s="4" t="n">
        <f aca="false">B38/Assumptions!$B$2-1</f>
        <v>0.161775969022505</v>
      </c>
    </row>
    <row r="41" customFormat="false" ht="15" hidden="false" customHeight="false" outlineLevel="0" collapsed="false">
      <c r="A41" s="0" t="s">
        <v>149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150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151</v>
      </c>
      <c r="B43" s="0" t="n">
        <f aca="false">(B37+B41+B42)/Assumptions!$B$3*Assumptions!$B$10</f>
        <v>58.2630648464786</v>
      </c>
    </row>
    <row r="45" customFormat="false" ht="15" hidden="false" customHeight="false" outlineLevel="0" collapsed="false">
      <c r="A45" s="0" t="s">
        <v>91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152</v>
      </c>
      <c r="B46" s="0" t="n">
        <f aca="false">MAX(0,MIN(IF(B45&gt;B28,B31*(1+B28/100)/((B45-B28)/100),B31*B29),B31*B29))</f>
        <v>472790.932079792</v>
      </c>
    </row>
    <row r="47" customFormat="false" ht="15" hidden="false" customHeight="false" outlineLevel="0" collapsed="false">
      <c r="A47" s="0" t="s">
        <v>153</v>
      </c>
      <c r="B47" s="0" t="n">
        <f aca="false">(SUMPRODUCT(C19:L19/(1+B45/100)^C4:L4)+B46/(1+B45/100)^L4+Assumptions!$B$5-Assumptions!$B$4)/Assumptions!$B$3*Assumptions!$B$10</f>
        <v>29.5119494796088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156</v>
      </c>
    </row>
    <row r="3" customFormat="false" ht="15" hidden="false" customHeight="false" outlineLevel="0" collapsed="false">
      <c r="A3" s="2" t="s">
        <v>157</v>
      </c>
      <c r="B3" s="2" t="s">
        <v>158</v>
      </c>
      <c r="C3" s="2" t="s">
        <v>148</v>
      </c>
      <c r="D3" s="2" t="s">
        <v>159</v>
      </c>
      <c r="E3" s="2" t="s">
        <v>151</v>
      </c>
      <c r="F3" s="2" t="s">
        <v>160</v>
      </c>
    </row>
    <row r="4" customFormat="false" ht="15" hidden="false" customHeight="false" outlineLevel="0" collapsed="false">
      <c r="A4" s="0" t="s">
        <v>161</v>
      </c>
      <c r="B4" s="4" t="n">
        <f aca="false">DCF_Bear!$B$38</f>
        <v>40.8269450650928</v>
      </c>
      <c r="C4" s="0" t="n">
        <f aca="false">B4/Assumptions!$B$2-1</f>
        <v>-0.185903388532547</v>
      </c>
      <c r="D4" s="4" t="n">
        <f aca="false">Assumptions!$B$24</f>
        <v>0.25</v>
      </c>
      <c r="E4" s="4" t="n">
        <f aca="false">DCF_Bear!$B$43</f>
        <v>40.8269450650928</v>
      </c>
      <c r="F4" s="4" t="n">
        <f aca="false">DCF_Bear!$B$47</f>
        <v>22.2205229249446</v>
      </c>
    </row>
    <row r="5" customFormat="false" ht="15" hidden="false" customHeight="false" outlineLevel="0" collapsed="false">
      <c r="A5" s="0" t="s">
        <v>162</v>
      </c>
      <c r="B5" s="4" t="n">
        <f aca="false">DCF_Base!$B$38</f>
        <v>48.6153100120227</v>
      </c>
      <c r="C5" s="0" t="n">
        <f aca="false">B5/Assumptions!$B$2-1</f>
        <v>-0.0306019937782118</v>
      </c>
      <c r="D5" s="4" t="n">
        <f aca="false">Assumptions!$B$38</f>
        <v>0.5</v>
      </c>
      <c r="E5" s="4" t="n">
        <f aca="false">DCF_Base!$B$43</f>
        <v>48.6153100120227</v>
      </c>
      <c r="F5" s="4" t="n">
        <f aca="false">DCF_Base!$B$47</f>
        <v>25.5891093500276</v>
      </c>
    </row>
    <row r="6" customFormat="false" ht="15" hidden="false" customHeight="false" outlineLevel="0" collapsed="false">
      <c r="A6" s="0" t="s">
        <v>163</v>
      </c>
      <c r="B6" s="4" t="n">
        <f aca="false">DCF_Bull!$B$38</f>
        <v>58.2630648464786</v>
      </c>
      <c r="C6" s="0" t="n">
        <f aca="false">B6/Assumptions!$B$2-1</f>
        <v>0.161775969022505</v>
      </c>
      <c r="D6" s="4" t="n">
        <f aca="false">Assumptions!$B$52</f>
        <v>0.25</v>
      </c>
      <c r="E6" s="4" t="n">
        <f aca="false">DCF_Bull!$B$43</f>
        <v>58.2630648464786</v>
      </c>
      <c r="F6" s="4" t="n">
        <f aca="false">DCF_Bull!$B$47</f>
        <v>29.5119494796088</v>
      </c>
    </row>
    <row r="8" customFormat="false" ht="15" hidden="false" customHeight="false" outlineLevel="0" collapsed="false">
      <c r="A8" s="0" t="s">
        <v>164</v>
      </c>
      <c r="B8" s="0" t="n">
        <f aca="false">SUMPRODUCT(B4:B6,D4:D6)</f>
        <v>49.0801574839042</v>
      </c>
    </row>
    <row r="9" customFormat="false" ht="15" hidden="false" customHeight="false" outlineLevel="0" collapsed="false">
      <c r="A9" s="0" t="s">
        <v>165</v>
      </c>
      <c r="B9" s="0" t="n">
        <f aca="false">SUMPRODUCT(E4:E6,D4:D6)</f>
        <v>49.0801574839042</v>
      </c>
    </row>
    <row r="10" customFormat="false" ht="15" hidden="false" customHeight="false" outlineLevel="0" collapsed="false">
      <c r="A10" s="0" t="s">
        <v>166</v>
      </c>
      <c r="B10" s="0" t="n">
        <f aca="false">1-Assumptions!$B$2/B8</f>
        <v>-0.0217978623325867</v>
      </c>
    </row>
    <row r="11" customFormat="false" ht="15" hidden="false" customHeight="false" outlineLevel="0" collapsed="false">
      <c r="A11" s="0" t="s">
        <v>167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168</v>
      </c>
      <c r="B12" s="0" t="n">
        <f aca="false">SUMPRODUCT(F4:F6,D4:D6)</f>
        <v>25.7276727761521</v>
      </c>
    </row>
    <row r="14" customFormat="false" ht="15" hidden="false" customHeight="false" outlineLevel="0" collapsed="false">
      <c r="A14" s="2" t="s">
        <v>169</v>
      </c>
      <c r="C14" s="0" t="s">
        <v>170</v>
      </c>
    </row>
    <row r="15" customFormat="false" ht="15" hidden="false" customHeight="false" outlineLevel="0" collapsed="false">
      <c r="A15" s="0" t="s">
        <v>171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52.827524407445</v>
      </c>
      <c r="C15" s="3" t="n">
        <v>9</v>
      </c>
    </row>
    <row r="16" customFormat="false" ht="15" hidden="false" customHeight="false" outlineLevel="0" collapsed="false">
      <c r="A16" s="0" t="s">
        <v>172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48.6153100120227</v>
      </c>
      <c r="C16" s="3" t="n">
        <v>9.5</v>
      </c>
    </row>
    <row r="17" customFormat="false" ht="15" hidden="false" customHeight="false" outlineLevel="0" collapsed="false">
      <c r="A17" s="0" t="s">
        <v>173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45.0089676563948</v>
      </c>
      <c r="C17" s="3" t="n">
        <v>10</v>
      </c>
    </row>
    <row r="18" customFormat="false" ht="15" hidden="false" customHeight="false" outlineLevel="0" collapsed="false">
      <c r="A18" s="0" t="s">
        <v>174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39.1589637787845</v>
      </c>
      <c r="C18" s="3" t="n">
        <v>11</v>
      </c>
    </row>
    <row r="19" customFormat="false" ht="15" hidden="false" customHeight="false" outlineLevel="0" collapsed="false">
      <c r="A19" s="0" t="s">
        <v>175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34.6204341685401</v>
      </c>
      <c r="C19" s="3" t="n">
        <v>12</v>
      </c>
    </row>
    <row r="20" customFormat="false" ht="15" hidden="false" customHeight="false" outlineLevel="0" collapsed="false">
      <c r="A20" s="0" t="s">
        <v>176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25.5891093500276</v>
      </c>
      <c r="C20" s="3" t="n">
        <v>15</v>
      </c>
    </row>
    <row r="22" customFormat="false" ht="15" hidden="false" customHeight="false" outlineLevel="0" collapsed="false">
      <c r="A22" s="2" t="s">
        <v>177</v>
      </c>
    </row>
    <row r="23" customFormat="false" ht="15" hidden="false" customHeight="false" outlineLevel="0" collapsed="false">
      <c r="B23" s="3" t="n">
        <v>2</v>
      </c>
      <c r="C23" s="3" t="n">
        <v>2.5</v>
      </c>
      <c r="D23" s="3" t="n">
        <v>3</v>
      </c>
      <c r="E23" s="3" t="n">
        <v>3.5</v>
      </c>
      <c r="F23" s="3" t="n">
        <v>4</v>
      </c>
    </row>
    <row r="24" customFormat="false" ht="15" hidden="false" customHeight="false" outlineLevel="0" collapsed="false">
      <c r="A24" s="3" t="n">
        <v>7.5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60.8686544504061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60.8686544504061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60.8686544504061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60.8686544504061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60.8686544504061</v>
      </c>
    </row>
    <row r="25" customFormat="false" ht="15" hidden="false" customHeight="false" outlineLevel="0" collapsed="false">
      <c r="A25" s="3" t="n">
        <v>8.5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52.0090715530836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54.6683129817826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56.4207163195889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56.4207163195889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56.4207163195889</v>
      </c>
    </row>
    <row r="26" customFormat="false" ht="15" hidden="false" customHeight="false" outlineLevel="0" collapsed="false">
      <c r="A26" s="3" t="n">
        <v>9.5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44.6977259711274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46.5166042758288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48.6153100120227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51.0638000375823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52.3718974484977</v>
      </c>
    </row>
    <row r="27" customFormat="false" ht="15" hidden="false" customHeight="false" outlineLevel="0" collapsed="false">
      <c r="A27" s="3" t="n">
        <v>10.5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39.1267332876758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40.4206925506365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41.8871797153254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43.5631650463983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45.4969942745594</v>
      </c>
    </row>
    <row r="28" customFormat="false" ht="15" hidden="false" customHeight="false" outlineLevel="0" collapsed="false">
      <c r="A28" s="3" t="n">
        <v>11.5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34.7451777729922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35.6941425602643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36.7547502636861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37.9479339300356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39.3002087518984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2026-10-18T04:05:55Z</dcterms:created>
  <dc:creator>openpyxl</dc:creator>
  <dc:description/>
  <dc:language>en-NZ</dc:language>
  <cp:lastModifiedBy/>
  <dcterms:modified xsi:type="dcterms:W3CDTF">2026-10-18T04:05:55Z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