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<sst xmlns="http://schemas.openxmlformats.org/spreadsheetml/2006/main" count="365" uniqueCount="174">
  <si>
    <t xml:space="preserve">Ticker</t>
  </si>
  <si>
    <t xml:space="preserve">1398.HK</t>
  </si>
  <si>
    <t xml:space="preserve">Company</t>
  </si>
  <si>
    <t xml:space="preserve">Industrial and Commercial Bank of China Limited</t>
  </si>
  <si>
    <t xml:space="preserve">Valuation date</t>
  </si>
  <si>
    <t xml:space="preserve">2026-10-17</t>
  </si>
  <si>
    <t xml:space="preserve">Current price</t>
  </si>
  <si>
    <t xml:space="preserve">Price as of</t>
  </si>
  <si>
    <t xml:space="preserve">2026-10-16T08:08:14Z HKEX regular close (Friday); valuation dated the following Saturday</t>
  </si>
  <si>
    <t xml:space="preserve">Balance sheet date</t>
  </si>
  <si>
    <t xml:space="preserve">2026-06-30</t>
  </si>
  <si>
    <t xml:space="preserve">Model</t>
  </si>
  <si>
    <t xml:space="preserve">Bank FCFE at cost of equity (engine route), net debt zero, CET1 retention on risk-weighted-asset growth, AT1 and preference distributions charged in the flow</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</si>
  <si>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</si>
  <si>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</si>
  <si>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</si>
  <si>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</si>
  <si>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</si>
  <si>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</si>
  <si>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</si>
  <si>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</si>
  <si>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</si>
  <si>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2026-10-16T11:40:12Z</t>
  </si>
  <si>
    <t xml:space="preserve">Drivers file</t>
  </si>
  <si>
    <t xml:space="preserve">1398.HK_Drivers.json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</si>
  <si>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</si>
  <si>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</si>
  <si>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</si>
  <si>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its own capital requirement, discounted at the cost of equity. For ICBC that flow is net profit to ordinary shareholders (after tax, NCI, preference dividends and perpetual-bond coupons) less the equity retained to hold CET1 at 13.2% on growing risk-weighted assets. Today that FCFE (~RMB13bn) is a small fraction of the ~RMB128bn the Bank pays out, so the headline 4.8% dividend yield is financed by capital-ratio drift and, from September 2026, by state equity issued at 0.76x book; the model credits only the FCFE and lets it rise as RWA growth decelerates. Net debt is zero by construction; deposits are operating funding. The H share trades at 0.58x book; the model's base terminal P/B is ~0.7x, consistent with a ~7.6% ROE at a 9.5% cost of equity.
key_risks_to_valuation: Credit cycle: real-estate loan NPL 5.39% (FY2025) rising to ~6.27% (mid-2026), personal NPL 1.77% up from 1.63% in six months, H1 2026 impairment +22%; a credit cost of ~0.7% of loans takes the pre-tax margin to ~44% and FCFE to a third of the dividend (bear case).; Capital: CET1 13.21% at H1 2026, down 89bp in 18 months with the dividend far exceeding FCFE; the September 2026 placement is priced at ~0.76x book and a further round on the same terms is the dilution the flat post-placement share count does not model.; NIM: 2.11% (FY2021) to 1.28% (FY2025), 1.29% H1 2026; the FY2026 revenue jump is a one-time deposit-repricing benefit, and further LPR cuts without matching deposit repricing resume the compression (bear revenue path).; Policy-directed lending ('Five Priorities', LGFV resolution, property stabilisation) allocates RWA to state objectives rather than return; RWA grew 10% in FY2025 on ~8% loan growth and return on RWA has fallen from 1.68% to 1.37%.; Governance and currency: majority Huijin/MOF control, no buyback lever, payout set by policy (~30-31%); RMB flows against an HKD quote - a 10% RMB move is a 10% move in the HKD value; 10% H-share dividend withholding tax is not modelled.; The placement assumption (RMB100bn at CNY 8.48, ~11.8bn new shares, proceeds bridged) rests on external reporting in 1398.HK_Analysis.json, not on a filing; if only the MOF's RMB70bn is issued, or it is priced at a premium as in the 2025 round, the share count and bridge both shrink proportionally and the per-share value is roughly unchanged.</t>
  </si>
  <si>
    <t xml:space="preserve">Data sources</t>
  </si>
  <si>
    <t xml:space="preserve">price: Yahoo Finance chart API (1398.HK, HKD) at inputs.price_as_of; 52-week range 5.78-7.77. FX CNYHKD=X, USDCNY=X, USDHKD=X and 601398.SS from the same API on the same date.
financials: 1398.HK_Metrics.csv / metrics_normalized (FY2017-FY2025 annual, H1 2023-H1 2026 interim, Q1/Q3 2024-2026 quarterly, RMB millions) built from the HKEX annual, interim and quarterly reports in Extracted/; kpis table for ordinary shareholders' equity, BVPS, other equity instruments, dividends paid, credit impairment, NII, fee income, opex, cash taxes. FY2025 annual report: financial highlights (lines 544-597: RWA, ROE 9.45%, NIM 1.28%, cost-to-income 29.48%, coverage 213.60%), PBT 424,435 (line 508), EPS note (ordinary profit 356,798; preference dividends 4,997; perpetual coupons 6,767; lines 11839-11856), capital adequacy table (lines 5335-5342), dividend table (payout 31.0%, line ~8555), preference dividend table (line 6447). H1 2026 interim: income statement summary (lines 600-610: PBT 210,010, tax 33,535, NCI 2,793), NIM table (lines 615-660), capital table (lines 4116-4123: CET1 13.21%, RWA 29,832,780), ordinary profit 169,268 (line 6434), share capital 86,795m H + 269,612m A (lines 7948-7949), interim dividend RMB1.511/10 shares (line 206), outlook (line 4202).
qualitative: 1398.HK_Analysis.json (2026-10-17), read after the drivers were drafted and before the build; it supplied the September 2026 RMB300bn special-treasury-bond recapitalisation (ICBC placement up to RMB100bn, MOF RMB70bn, at market, 5-year lock-up), G-SIB bucket 3, real-estate NPL ~6.27% mid-2026, and confirmed NIM-stabilisation and ~30% payout guidance. Outlook and risk context also taken directly from the FY2025 annual report chairman/president statements (lines 764-875) and the H1 2026 interim outlook (line 4202).</t>
  </si>
  <si>
    <t xml:space="preserve">Scenario narrative: bear</t>
  </si>
  <si>
    <t xml:space="preserve">Credit cost rises to ~0.7% on property/LGFV/retail losses while NIM compresses toward 1.1%; profit falls ~15%; RWA keeps growing on policy lending so FCFE is ~RMB35-45bn for two years, a third of the dividend. Either the dividend is cut, CET1 drifts toward the minimum, or a second discounted capital raise dilutes; terminal ROE ~5.9%.</t>
  </si>
  <si>
    <t xml:space="preserve">Scenario narrative: base</t>
  </si>
  <si>
    <t xml:space="preserve">NIM stabilises at ~1.28%, credit cost ~0.45%, operating income grows 3-4% and RWA growth slows from 7% to 3%. FCFE rises from ~RMB13bn (FY2026E, far below the RMB115bn dividend) to ~RMB85bn in FY2027 and ~RMB300bn by FY2036 as capital retention falls; terminal ROE ~7.6%, terminal P/B ~0.7x. CET1 held at 13.2% after the RMB100bn placement.</t>
  </si>
  <si>
    <t xml:space="preserve">Scenario narrative: bull</t>
  </si>
  <si>
    <t xml:space="preserve">The Chinese credit cycle turns: NIM recovers 5-10bp, credit cost falls to ~0.4%, cost-to-income ~28%, RWA growth 3.5-6.5%. FCFE ~RMB120bn in FY2027 rising to ~RMB400bn; terminal ROE ~8.8%; payout can rise above 30% without further state equity.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</si>
  <si>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</si>
  <si>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</si>
  <si>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</si>
  <si>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</si>
  <si>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</si>
  <si>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</si>
  <si>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</si>
  <si>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</si>
  <si>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</si>
  <si>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</si>
  <si>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</si>
  <si>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</si>
  <si>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</si>
  <si>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</si>
  <si>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</si>
  <si>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</si>
  <si>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</si>
  <si>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</si>
  <si>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</si>
  <si>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</si>
  <si>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</si>
  <si>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</si>
  <si>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</si>
  <si>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</si>
  <si>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</si>
  <si>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</si>
  <si>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</si>
  <si>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</si>
  <si>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CreditImpairmentCharge</t>
  </si>
  <si>
    <t xml:space="preserve">NetFeeAndCommissionIncome</t>
  </si>
  <si>
    <t xml:space="preserve">NetIncomeInclNCI</t>
  </si>
  <si>
    <t xml:space="preserve">NetInterestIncome</t>
  </si>
  <si>
    <t xml:space="preserve">OperatingExpenses</t>
  </si>
  <si>
    <t xml:space="preserve">OrdinaryShareholdersEquity</t>
  </si>
  <si>
    <t xml:space="preserve">OtherEquityInstruments</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</si>
  <si>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</si>
  <si>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</si>
  <si>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</si>
  <si>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</si>
  <si>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</si>
  <si>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</si>
  <si>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</si>
  <si>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</si>
  <si>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</si>
  <si>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</si>
  <si>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</si>
  <si>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</si>
  <si>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</si>
  <si>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</si>
  <si>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</si>
  <si>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</si>
  <si>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</si>
  <si>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</si>
  <si>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</si>
  <si>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</si>
  <si>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</si>
  <si>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</si>
  <si>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</si>
  <si>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</si>
  <si>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</si>
  <si>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</si>
  <si>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</si>
  <si>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</si>
  <si>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</si>
  <si>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</si>
  <si>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</si>
  <si>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</si>
  <si>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</si>
  <si>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</si>
  <si>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</si>
  <si>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</si>
  <si>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</si>
  <si>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</si>
  <si>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</si>
  <si>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</si>
  <si>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</si>
  <si>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</si>
  <si>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</si>
  <si>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</si>
  <si>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</si>
  <si>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</si>
  <si>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</si>
  <si>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1398.HK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</si>
  <si>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</si>
  <si>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</si>
  <si>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</si>
  <si>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</si>
  <si>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</si>
  <si>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</si>
  <si>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</si>
  <si>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</si>
  <si>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</si>
  <si>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</si>
  <si>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</si>
  <si>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</si>
  <si>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</si>
  <si>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</si>
  <si>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</si>
  <si>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</si>
  <si>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</si>
  <si>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</si>
  <si>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</si>
  <si>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</si>
  <si>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</si>
  <si>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</si>
  <si>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</si>
  <si>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</si>
  <si>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</si>
  <si>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</si>
  <si>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</si>
  <si>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</si>
  <si>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</si>
  <si>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</si>
  <si>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1398.HK owner-FCF component DCF: base case (millions, CNY)</t>
  </si>
  <si>
    <t xml:space="preserve">1398.HK owner-FCF component DCF: bull case (millions, CNY)</t>
  </si>
  <si>
    <t xml:space="preserve">1398.HK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</si>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</sst>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7.59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row>
    <row r="2" customFormat="false" ht="15" hidden="false" customHeight="false" outlineLevel="0" collapsed="false">
      <c r="A2" s="0" t="s">
        <v>72</v>
      </c>
      <c r="B2" s="0" t="n">
        <v>675654</v>
      </c>
      <c r="F2" s="0" t="n">
        <v>361691</v>
      </c>
      <c r="G2" s="0" t="n">
        <v>53.5</v>
      </c>
      <c r="I2" s="0" t="n">
        <v>286049</v>
      </c>
      <c r="J2" s="0" t="n">
        <v>42.3</v>
      </c>
      <c r="K2" s="0" t="n">
        <v>0.79</v>
      </c>
      <c r="L2" s="0" t="n">
        <v>839363</v>
      </c>
      <c r="M2" s="0" t="n">
        <v>13096</v>
      </c>
      <c r="O2" s="0" t="n">
        <v>2127491</v>
      </c>
      <c r="P2" s="0" t="n">
        <v>26087043</v>
      </c>
      <c r="Q2" s="0" t="n">
        <v>23945987</v>
      </c>
      <c r="R2" s="0" t="n">
        <v>526940</v>
      </c>
      <c r="S2" s="0" t="n">
        <v>1520330</v>
      </c>
      <c r="T2" s="0" t="n">
        <v>356407</v>
      </c>
      <c r="U2" s="0" t="n">
        <v>0</v>
      </c>
      <c r="AA2" s="0" t="s">
        <v>18</v>
      </c>
      <c r="AB2" s="0" t="s">
        <v>14</v>
      </c>
      <c r="AC2" s="0" t="n">
        <v>5.73</v>
      </c>
      <c r="AE2" s="0" t="n">
        <v>139625</v>
      </c>
      <c r="AF2" s="0" t="n">
        <v>287451</v>
      </c>
      <c r="AG2" s="0" t="n">
        <v>522078</v>
      </c>
      <c r="AH2" s="0" t="n">
        <v>186194</v>
      </c>
      <c r="AI2" s="0" t="n">
        <v>2041440</v>
      </c>
      <c r="AJ2" s="0" t="n">
        <v>86051</v>
      </c>
    </row>
    <row r="3" customFormat="false" ht="15" hidden="false" customHeight="false" outlineLevel="0" collapsed="false">
      <c r="A3" s="0" t="s">
        <v>73</v>
      </c>
      <c r="B3" s="0" t="n">
        <v>725121</v>
      </c>
      <c r="F3" s="0" t="n">
        <v>369324</v>
      </c>
      <c r="G3" s="0" t="n">
        <v>50.9</v>
      </c>
      <c r="I3" s="0" t="n">
        <v>297676</v>
      </c>
      <c r="J3" s="0" t="n">
        <v>41.1</v>
      </c>
      <c r="K3" s="0" t="n">
        <v>0.82</v>
      </c>
      <c r="L3" s="0" t="n">
        <v>791914</v>
      </c>
      <c r="M3" s="0" t="n">
        <v>60496</v>
      </c>
      <c r="O3" s="0" t="n">
        <v>2330001</v>
      </c>
      <c r="P3" s="0" t="n">
        <v>27699540</v>
      </c>
      <c r="Q3" s="0" t="n">
        <v>25354657</v>
      </c>
      <c r="R3" s="0" t="n">
        <v>617842</v>
      </c>
      <c r="S3" s="0" t="n">
        <v>1509523</v>
      </c>
      <c r="T3" s="0" t="n">
        <v>356407</v>
      </c>
      <c r="U3" s="0" t="n">
        <v>0</v>
      </c>
      <c r="AA3" s="0" t="s">
        <v>18</v>
      </c>
      <c r="AB3" s="0" t="s">
        <v>14</v>
      </c>
      <c r="AC3" s="0" t="n">
        <v>6.3</v>
      </c>
      <c r="AE3" s="0" t="n">
        <v>145301</v>
      </c>
      <c r="AF3" s="0" t="n">
        <v>298723</v>
      </c>
      <c r="AG3" s="0" t="n">
        <v>572518</v>
      </c>
      <c r="AH3" s="0" t="n">
        <v>194203</v>
      </c>
      <c r="AI3" s="0" t="n">
        <v>2243950</v>
      </c>
      <c r="AJ3" s="0" t="n">
        <v>86051</v>
      </c>
    </row>
    <row r="4" customFormat="false" ht="15" hidden="false" customHeight="false" outlineLevel="0" collapsed="false">
      <c r="A4" s="0" t="s">
        <v>74</v>
      </c>
      <c r="B4" s="0" t="n">
        <v>776002</v>
      </c>
      <c r="F4" s="0" t="n">
        <v>389269</v>
      </c>
      <c r="G4" s="0" t="n">
        <v>50.2</v>
      </c>
      <c r="I4" s="0" t="n">
        <v>312224</v>
      </c>
      <c r="J4" s="0" t="n">
        <v>40.2</v>
      </c>
      <c r="K4" s="0" t="n">
        <v>0.86</v>
      </c>
      <c r="L4" s="0" t="n">
        <v>767360</v>
      </c>
      <c r="M4" s="0" t="n">
        <v>34159</v>
      </c>
      <c r="O4" s="0" t="n">
        <v>2676186</v>
      </c>
      <c r="P4" s="0" t="n">
        <v>30109436</v>
      </c>
      <c r="Q4" s="0" t="n">
        <v>27417433</v>
      </c>
      <c r="R4" s="0" t="n">
        <v>742875</v>
      </c>
      <c r="S4" s="0" t="n">
        <v>1450413</v>
      </c>
      <c r="T4" s="0" t="n">
        <v>356407</v>
      </c>
      <c r="U4" s="0" t="n">
        <v>0</v>
      </c>
      <c r="AA4" s="0" t="s">
        <v>18</v>
      </c>
      <c r="AB4" s="0" t="s">
        <v>14</v>
      </c>
      <c r="AC4" s="0" t="n">
        <v>6.93</v>
      </c>
      <c r="AE4" s="0" t="n">
        <v>155600</v>
      </c>
      <c r="AF4" s="0" t="n">
        <v>313361</v>
      </c>
      <c r="AG4" s="0" t="n">
        <v>606926</v>
      </c>
      <c r="AH4" s="0" t="n">
        <v>207776</v>
      </c>
      <c r="AI4" s="0" t="n">
        <v>2470054</v>
      </c>
      <c r="AJ4" s="0" t="n">
        <v>206132</v>
      </c>
    </row>
    <row r="5" customFormat="false" ht="15" hidden="false" customHeight="false" outlineLevel="0" collapsed="false">
      <c r="A5" s="0" t="s">
        <v>75</v>
      </c>
      <c r="B5" s="0" t="n">
        <v>800075</v>
      </c>
      <c r="F5" s="0" t="n">
        <v>390822</v>
      </c>
      <c r="G5" s="0" t="n">
        <v>48.8</v>
      </c>
      <c r="I5" s="0" t="n">
        <v>315906</v>
      </c>
      <c r="J5" s="0" t="n">
        <v>39.5</v>
      </c>
      <c r="K5" s="0" t="n">
        <v>0.86</v>
      </c>
      <c r="L5" s="0" t="n">
        <v>1642168</v>
      </c>
      <c r="M5" s="0" t="n">
        <v>38005</v>
      </c>
      <c r="O5" s="0" t="n">
        <v>2893502</v>
      </c>
      <c r="P5" s="0" t="n">
        <v>33345058</v>
      </c>
      <c r="Q5" s="0" t="n">
        <v>30435543</v>
      </c>
      <c r="R5" s="0" t="n">
        <v>798127</v>
      </c>
      <c r="S5" s="0" t="n">
        <v>1791122</v>
      </c>
      <c r="T5" s="0" t="n">
        <v>356407</v>
      </c>
      <c r="U5" s="0" t="n">
        <v>0</v>
      </c>
      <c r="AA5" s="0" t="s">
        <v>18</v>
      </c>
      <c r="AB5" s="0" t="s">
        <v>14</v>
      </c>
      <c r="AC5" s="0" t="n">
        <v>7.48</v>
      </c>
      <c r="AE5" s="0" t="n">
        <v>131215</v>
      </c>
      <c r="AF5" s="0" t="n">
        <v>317685</v>
      </c>
      <c r="AG5" s="0" t="n">
        <v>646765</v>
      </c>
      <c r="AH5" s="0" t="n">
        <v>206585</v>
      </c>
      <c r="AI5" s="0" t="n">
        <v>2667683</v>
      </c>
      <c r="AJ5" s="0" t="n">
        <v>225819</v>
      </c>
    </row>
    <row r="6" customFormat="false" ht="15" hidden="false" customHeight="false" outlineLevel="0" collapsed="false">
      <c r="A6" s="0" t="s">
        <v>76</v>
      </c>
      <c r="B6" s="0" t="n">
        <v>860880</v>
      </c>
      <c r="F6" s="0" t="n">
        <v>422030</v>
      </c>
      <c r="G6" s="0" t="n">
        <v>49</v>
      </c>
      <c r="I6" s="0" t="n">
        <v>348338</v>
      </c>
      <c r="J6" s="0" t="n">
        <v>40.5</v>
      </c>
      <c r="K6" s="0" t="n">
        <v>0.95</v>
      </c>
      <c r="L6" s="0" t="n">
        <v>443536</v>
      </c>
      <c r="M6" s="0" t="n">
        <v>27584</v>
      </c>
      <c r="O6" s="0" t="n">
        <v>3257755</v>
      </c>
      <c r="P6" s="0" t="n">
        <v>35171383</v>
      </c>
      <c r="Q6" s="0" t="n">
        <v>31896125</v>
      </c>
      <c r="R6" s="0" t="n">
        <v>791375</v>
      </c>
      <c r="S6" s="0" t="n">
        <v>1436757</v>
      </c>
      <c r="T6" s="0" t="n">
        <v>356407</v>
      </c>
      <c r="U6" s="0" t="n">
        <v>0</v>
      </c>
      <c r="AA6" s="0" t="s">
        <v>18</v>
      </c>
      <c r="AB6" s="0" t="s">
        <v>14</v>
      </c>
      <c r="AC6" s="0" t="n">
        <v>8.15</v>
      </c>
      <c r="AE6" s="0" t="n">
        <v>133024</v>
      </c>
      <c r="AF6" s="0" t="n">
        <v>350216</v>
      </c>
      <c r="AG6" s="0" t="n">
        <v>690680</v>
      </c>
      <c r="AH6" s="0" t="n">
        <v>236227</v>
      </c>
      <c r="AI6" s="0" t="n">
        <v>2903424</v>
      </c>
      <c r="AJ6" s="0" t="n">
        <v>354331</v>
      </c>
    </row>
    <row r="7" customFormat="false" ht="15" hidden="false" customHeight="false" outlineLevel="0" collapsed="false">
      <c r="A7" s="0" t="s">
        <v>77</v>
      </c>
      <c r="B7" s="0" t="n">
        <v>841441</v>
      </c>
      <c r="F7" s="0" t="n">
        <v>418138</v>
      </c>
      <c r="G7" s="0" t="n">
        <v>49.7</v>
      </c>
      <c r="I7" s="0" t="n">
        <v>360483</v>
      </c>
      <c r="J7" s="0" t="n">
        <v>42.8</v>
      </c>
      <c r="K7" s="0" t="n">
        <v>0.97</v>
      </c>
      <c r="L7" s="0" t="n">
        <v>1493153</v>
      </c>
      <c r="M7" s="0" t="n">
        <v>23128</v>
      </c>
      <c r="O7" s="0" t="n">
        <v>3495171</v>
      </c>
      <c r="P7" s="0" t="n">
        <v>39609657</v>
      </c>
      <c r="Q7" s="0" t="n">
        <v>36095831</v>
      </c>
      <c r="R7" s="0" t="n">
        <v>905953</v>
      </c>
      <c r="S7" s="0" t="n">
        <v>1926851</v>
      </c>
      <c r="T7" s="0" t="n">
        <v>356407</v>
      </c>
      <c r="U7" s="0" t="n">
        <v>0</v>
      </c>
      <c r="AA7" s="0" t="s">
        <v>18</v>
      </c>
      <c r="AB7" s="0" t="s">
        <v>14</v>
      </c>
      <c r="AC7" s="0" t="n">
        <v>8.81</v>
      </c>
      <c r="AE7" s="0" t="n">
        <v>129265</v>
      </c>
      <c r="AF7" s="0" t="n">
        <v>361038</v>
      </c>
      <c r="AG7" s="0" t="n">
        <v>693687</v>
      </c>
      <c r="AH7" s="0" t="n">
        <v>240884</v>
      </c>
      <c r="AI7" s="0" t="n">
        <v>3140840</v>
      </c>
      <c r="AJ7" s="0" t="n">
        <v>354331</v>
      </c>
    </row>
    <row r="8" customFormat="false" ht="15" hidden="false" customHeight="false" outlineLevel="0" collapsed="false">
      <c r="A8" s="0" t="s">
        <v>78</v>
      </c>
      <c r="B8" s="0" t="n">
        <v>806458</v>
      </c>
      <c r="F8" s="0" t="n">
        <v>416944</v>
      </c>
      <c r="G8" s="0" t="n">
        <v>51.7</v>
      </c>
      <c r="I8" s="0" t="n">
        <v>363993</v>
      </c>
      <c r="J8" s="0" t="n">
        <v>45.1</v>
      </c>
      <c r="K8" s="0" t="n">
        <v>0.98</v>
      </c>
      <c r="L8" s="0" t="n">
        <v>1504322</v>
      </c>
      <c r="M8" s="0" t="n">
        <v>31201</v>
      </c>
      <c r="O8" s="0" t="n">
        <v>3756887</v>
      </c>
      <c r="P8" s="0" t="n">
        <v>44697079</v>
      </c>
      <c r="Q8" s="0" t="n">
        <v>40920491</v>
      </c>
      <c r="R8" s="0" t="n">
        <v>1369777</v>
      </c>
      <c r="S8" s="0" t="n">
        <v>2755732</v>
      </c>
      <c r="T8" s="0" t="n">
        <v>356407</v>
      </c>
      <c r="U8" s="0" t="n">
        <v>0</v>
      </c>
      <c r="AA8" s="0" t="s">
        <v>18</v>
      </c>
      <c r="AB8" s="0" t="s">
        <v>14</v>
      </c>
      <c r="AC8" s="0" t="n">
        <v>9.55</v>
      </c>
      <c r="AD8" s="0" t="n">
        <v>148808</v>
      </c>
      <c r="AE8" s="0" t="n">
        <v>119357</v>
      </c>
      <c r="AF8" s="0" t="n">
        <v>365116</v>
      </c>
      <c r="AG8" s="0" t="n">
        <v>655013</v>
      </c>
      <c r="AH8" s="0" t="n">
        <v>238698</v>
      </c>
      <c r="AI8" s="0" t="n">
        <v>3402556</v>
      </c>
      <c r="AJ8" s="0" t="n">
        <v>354331</v>
      </c>
    </row>
    <row r="9" customFormat="false" ht="15" hidden="false" customHeight="false" outlineLevel="0" collapsed="false">
      <c r="A9" s="0" t="s">
        <v>79</v>
      </c>
      <c r="B9" s="0" t="n">
        <v>786126</v>
      </c>
      <c r="F9" s="0" t="n">
        <v>417308</v>
      </c>
      <c r="G9" s="0" t="n">
        <v>53.1</v>
      </c>
      <c r="I9" s="0" t="n">
        <v>365863</v>
      </c>
      <c r="J9" s="0" t="n">
        <v>46.5</v>
      </c>
      <c r="K9" s="0" t="n">
        <v>0.98</v>
      </c>
      <c r="L9" s="0" t="n">
        <v>664497</v>
      </c>
      <c r="M9" s="0" t="n">
        <v>43297</v>
      </c>
      <c r="O9" s="0" t="n">
        <v>3969841</v>
      </c>
      <c r="P9" s="0" t="n">
        <v>48821746</v>
      </c>
      <c r="Q9" s="0" t="n">
        <v>44834480</v>
      </c>
      <c r="R9" s="0" t="n">
        <v>2028722</v>
      </c>
      <c r="S9" s="0" t="n">
        <v>2290404</v>
      </c>
      <c r="T9" s="0" t="n">
        <v>356407</v>
      </c>
      <c r="U9" s="0" t="n">
        <v>0</v>
      </c>
      <c r="AA9" s="0" t="s">
        <v>18</v>
      </c>
      <c r="AB9" s="0" t="s">
        <v>14</v>
      </c>
      <c r="AC9" s="0" t="n">
        <v>10.23</v>
      </c>
      <c r="AD9" s="0" t="n">
        <v>125739</v>
      </c>
      <c r="AE9" s="0" t="n">
        <v>109397</v>
      </c>
      <c r="AF9" s="0" t="n">
        <v>366946</v>
      </c>
      <c r="AG9" s="0" t="n">
        <v>637405</v>
      </c>
      <c r="AH9" s="0" t="n">
        <v>242155</v>
      </c>
      <c r="AI9" s="0" t="n">
        <v>3645497</v>
      </c>
      <c r="AJ9" s="0" t="n">
        <v>324344</v>
      </c>
    </row>
    <row r="10" customFormat="false" ht="15" hidden="false" customHeight="false" outlineLevel="0" collapsed="false">
      <c r="A10" s="0" t="s">
        <v>80</v>
      </c>
      <c r="B10" s="0" t="n">
        <v>801395</v>
      </c>
      <c r="F10" s="0" t="n">
        <v>419661</v>
      </c>
      <c r="G10" s="0" t="n">
        <v>52.4</v>
      </c>
      <c r="I10" s="0" t="n">
        <v>368562</v>
      </c>
      <c r="J10" s="0" t="n">
        <v>46</v>
      </c>
      <c r="K10" s="0" t="n">
        <v>1</v>
      </c>
      <c r="L10" s="0" t="n">
        <v>1956738</v>
      </c>
      <c r="M10" s="0" t="n">
        <v>48979</v>
      </c>
      <c r="O10" s="0" t="n">
        <v>4244259</v>
      </c>
      <c r="P10" s="0" t="n">
        <v>53477773</v>
      </c>
      <c r="Q10" s="0" t="n">
        <v>49205749</v>
      </c>
      <c r="R10" s="0" t="n">
        <v>2216807</v>
      </c>
      <c r="S10" s="0" t="n">
        <v>1769010</v>
      </c>
      <c r="T10" s="0" t="n">
        <v>356407</v>
      </c>
      <c r="U10" s="0" t="n">
        <v>0</v>
      </c>
      <c r="AA10" s="0" t="s">
        <v>18</v>
      </c>
      <c r="AB10" s="0" t="s">
        <v>14</v>
      </c>
      <c r="AC10" s="0" t="n">
        <v>10.83</v>
      </c>
      <c r="AD10" s="0" t="n">
        <v>132973</v>
      </c>
      <c r="AE10" s="0" t="n">
        <v>111171</v>
      </c>
      <c r="AF10" s="0" t="n">
        <v>370766</v>
      </c>
      <c r="AG10" s="0" t="n">
        <v>635126</v>
      </c>
      <c r="AH10" s="0" t="n">
        <v>246874</v>
      </c>
      <c r="AI10" s="0" t="n">
        <v>3859602</v>
      </c>
      <c r="AJ10" s="0" t="n">
        <v>384657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81</v>
      </c>
      <c r="B1" s="2" t="s">
        <v>82</v>
      </c>
    </row>
    <row r="2" customFormat="false" ht="15" hidden="false" customHeight="false" outlineLevel="0" collapsed="false">
      <c r="A2" s="0" t="s">
        <v>83</v>
      </c>
      <c r="B2" s="3" t="n">
        <v>7.59</v>
      </c>
    </row>
    <row r="3" customFormat="false" ht="15" hidden="false" customHeight="false" outlineLevel="0" collapsed="false">
      <c r="A3" s="0" t="s">
        <v>84</v>
      </c>
      <c r="B3" s="3" t="n">
        <v>368200</v>
      </c>
    </row>
    <row r="4" customFormat="false" ht="15" hidden="false" customHeight="false" outlineLevel="0" collapsed="false">
      <c r="A4" s="0" t="s">
        <v>85</v>
      </c>
      <c r="B4" s="3" t="n">
        <v>0</v>
      </c>
    </row>
    <row r="5" customFormat="false" ht="15" hidden="false" customHeight="false" outlineLevel="0" collapsed="false">
      <c r="A5" s="0" t="s">
        <v>86</v>
      </c>
      <c r="B5" s="3" t="n">
        <v>100000</v>
      </c>
    </row>
    <row r="6" customFormat="false" ht="15" hidden="false" customHeight="false" outlineLevel="0" collapsed="false">
      <c r="A6" s="0" t="s">
        <v>87</v>
      </c>
      <c r="B6" s="3" t="n">
        <v>15</v>
      </c>
    </row>
    <row r="7" customFormat="false" ht="15" hidden="false" customHeight="false" outlineLevel="0" collapsed="false">
      <c r="A7" s="0" t="s">
        <v>88</v>
      </c>
      <c r="B7" s="3" t="n">
        <v>855000</v>
      </c>
    </row>
    <row r="8" customFormat="false" ht="15" hidden="false" customHeight="false" outlineLevel="0" collapsed="false">
      <c r="A8" s="0" t="s">
        <v>89</v>
      </c>
      <c r="B8" s="3" t="s">
        <v>90</v>
      </c>
    </row>
    <row r="9" customFormat="false" ht="15" hidden="false" customHeight="false" outlineLevel="0" collapsed="false">
      <c r="A9" s="0" t="s">
        <v>91</v>
      </c>
      <c r="B9" s="3" t="s">
        <v>92</v>
      </c>
    </row>
    <row r="10" customFormat="false" ht="15" hidden="false" customHeight="false" outlineLevel="0" collapsed="false">
      <c r="A10" s="0" t="s">
        <v>93</v>
      </c>
      <c r="B10" s="3" t="n">
        <v>1.1727</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0</v>
      </c>
      <c r="D13" s="3" t="n">
        <v>0</v>
      </c>
      <c r="E13" s="3" t="n">
        <v>1</v>
      </c>
      <c r="F13" s="3" t="n">
        <v>1</v>
      </c>
      <c r="G13" s="3" t="n">
        <v>1.5</v>
      </c>
      <c r="H13" s="3" t="n">
        <v>2</v>
      </c>
      <c r="I13" s="3" t="n">
        <v>2</v>
      </c>
      <c r="J13" s="3" t="n">
        <v>2</v>
      </c>
      <c r="K13" s="3" t="n">
        <v>2</v>
      </c>
      <c r="L13" s="3" t="n">
        <v>2</v>
      </c>
    </row>
    <row r="14" customFormat="false" ht="15" hidden="false" customHeight="false" outlineLevel="0" collapsed="false">
      <c r="A14" s="0" t="s">
        <v>106</v>
      </c>
      <c r="C14" s="3" t="n">
        <v>46</v>
      </c>
      <c r="D14" s="3" t="n">
        <v>44</v>
      </c>
      <c r="E14" s="3" t="n">
        <v>44</v>
      </c>
      <c r="F14" s="3" t="n">
        <v>45</v>
      </c>
      <c r="G14" s="3" t="n">
        <v>46</v>
      </c>
      <c r="H14" s="3" t="n">
        <v>47</v>
      </c>
      <c r="I14" s="3" t="n">
        <v>47</v>
      </c>
      <c r="J14" s="3" t="n">
        <v>47</v>
      </c>
      <c r="K14" s="3" t="n">
        <v>47</v>
      </c>
      <c r="L14" s="3" t="n">
        <v>47</v>
      </c>
    </row>
    <row r="15" customFormat="false" ht="15" hidden="false" customHeight="false" outlineLevel="0" collapsed="false">
      <c r="A15" s="0" t="s">
        <v>107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110</v>
      </c>
      <c r="C18" s="3" t="n">
        <v>33.39</v>
      </c>
      <c r="D18" s="3" t="n">
        <v>30.63</v>
      </c>
      <c r="E18" s="3" t="n">
        <v>26.79</v>
      </c>
      <c r="F18" s="3" t="n">
        <v>27.85</v>
      </c>
      <c r="G18" s="3" t="n">
        <v>25.93</v>
      </c>
      <c r="H18" s="3" t="n">
        <v>23.61</v>
      </c>
      <c r="I18" s="3" t="n">
        <v>21.06</v>
      </c>
      <c r="J18" s="3" t="n">
        <v>18.32</v>
      </c>
      <c r="K18" s="3" t="n">
        <v>15.42</v>
      </c>
      <c r="L18" s="3" t="n">
        <v>15.49</v>
      </c>
    </row>
    <row r="19" customFormat="false" ht="15" hidden="false" customHeight="false" outlineLevel="0" collapsed="false">
      <c r="A19" s="0" t="s">
        <v>111</v>
      </c>
      <c r="C19" s="3" t="n">
        <v>18</v>
      </c>
      <c r="D19" s="3" t="n">
        <v>18</v>
      </c>
      <c r="E19" s="3" t="n">
        <v>18</v>
      </c>
      <c r="F19" s="3" t="n">
        <v>18</v>
      </c>
      <c r="G19" s="3" t="n">
        <v>18</v>
      </c>
      <c r="H19" s="3" t="n">
        <v>18</v>
      </c>
      <c r="I19" s="3" t="n">
        <v>18</v>
      </c>
      <c r="J19" s="3" t="n">
        <v>18</v>
      </c>
      <c r="K19" s="3" t="n">
        <v>18</v>
      </c>
      <c r="L19" s="3" t="n">
        <v>18</v>
      </c>
    </row>
    <row r="20" customFormat="false" ht="15" hidden="false" customHeight="false" outlineLevel="0" collapsed="false">
      <c r="A20" s="0" t="s">
        <v>112</v>
      </c>
      <c r="B20" s="3" t="n">
        <v>9.5</v>
      </c>
    </row>
    <row r="21" customFormat="false" ht="15" hidden="false" customHeight="false" outlineLevel="0" collapsed="false">
      <c r="A21" s="0" t="s">
        <v>113</v>
      </c>
      <c r="B21" s="3" t="n">
        <v>2.5</v>
      </c>
    </row>
    <row r="22" customFormat="false" ht="15" hidden="false" customHeight="false" outlineLevel="0" collapsed="false">
      <c r="A22" s="0" t="s">
        <v>114</v>
      </c>
      <c r="B22" s="3" t="n">
        <v>18</v>
      </c>
    </row>
    <row r="23" customFormat="false" ht="15" hidden="false" customHeight="false" outlineLevel="0" collapsed="false">
      <c r="A23" s="0" t="s">
        <v>115</v>
      </c>
      <c r="B23" s="3" t="n">
        <v>0</v>
      </c>
    </row>
    <row r="24" customFormat="false" ht="15" hidden="false" customHeight="false" outlineLevel="0" collapsed="false">
      <c r="A24" s="0" t="s">
        <v>116</v>
      </c>
      <c r="B24" s="3" t="n">
        <v>0.3</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4</v>
      </c>
      <c r="D27" s="3" t="n">
        <v>4</v>
      </c>
      <c r="E27" s="3" t="n">
        <v>3.5</v>
      </c>
      <c r="F27" s="3" t="n">
        <v>3.5</v>
      </c>
      <c r="G27" s="3" t="n">
        <v>3</v>
      </c>
      <c r="H27" s="3" t="n">
        <v>3</v>
      </c>
      <c r="I27" s="3" t="n">
        <v>3</v>
      </c>
      <c r="J27" s="3" t="n">
        <v>3</v>
      </c>
      <c r="K27" s="3" t="n">
        <v>3</v>
      </c>
      <c r="L27" s="3" t="n">
        <v>3</v>
      </c>
    </row>
    <row r="28" customFormat="false" ht="15" hidden="false" customHeight="false" outlineLevel="0" collapsed="false">
      <c r="A28" s="0" t="s">
        <v>106</v>
      </c>
      <c r="C28" s="3" t="n">
        <v>50.5</v>
      </c>
      <c r="D28" s="3" t="n">
        <v>50.5</v>
      </c>
      <c r="E28" s="3" t="n">
        <v>50.5</v>
      </c>
      <c r="F28" s="3" t="n">
        <v>50.5</v>
      </c>
      <c r="G28" s="3" t="n">
        <v>50.5</v>
      </c>
      <c r="H28" s="3" t="n">
        <v>50.5</v>
      </c>
      <c r="I28" s="3" t="n">
        <v>50.5</v>
      </c>
      <c r="J28" s="3" t="n">
        <v>50.5</v>
      </c>
      <c r="K28" s="3" t="n">
        <v>50.5</v>
      </c>
      <c r="L28" s="3" t="n">
        <v>50.5</v>
      </c>
    </row>
    <row r="29" customFormat="false" ht="15" hidden="false" customHeight="false" outlineLevel="0" collapsed="false">
      <c r="A29" s="0" t="s">
        <v>107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110</v>
      </c>
      <c r="C32" s="3" t="n">
        <v>32.11</v>
      </c>
      <c r="D32" s="3" t="n">
        <v>30.68</v>
      </c>
      <c r="E32" s="3" t="n">
        <v>29.14</v>
      </c>
      <c r="F32" s="3" t="n">
        <v>27.35</v>
      </c>
      <c r="G32" s="3" t="n">
        <v>25.47</v>
      </c>
      <c r="H32" s="3" t="n">
        <v>23.37</v>
      </c>
      <c r="I32" s="3" t="n">
        <v>21.07</v>
      </c>
      <c r="J32" s="3" t="n">
        <v>18.62</v>
      </c>
      <c r="K32" s="3" t="n">
        <v>16.04</v>
      </c>
      <c r="L32" s="3" t="n">
        <v>16.04</v>
      </c>
    </row>
    <row r="33" customFormat="false" ht="15" hidden="false" customHeight="false" outlineLevel="0" collapsed="false">
      <c r="A33" s="0" t="s">
        <v>111</v>
      </c>
      <c r="C33" s="3" t="n">
        <v>17.5</v>
      </c>
      <c r="D33" s="3" t="n">
        <v>17.5</v>
      </c>
      <c r="E33" s="3" t="n">
        <v>17.5</v>
      </c>
      <c r="F33" s="3" t="n">
        <v>17.5</v>
      </c>
      <c r="G33" s="3" t="n">
        <v>17.5</v>
      </c>
      <c r="H33" s="3" t="n">
        <v>17.5</v>
      </c>
      <c r="I33" s="3" t="n">
        <v>17.5</v>
      </c>
      <c r="J33" s="3" t="n">
        <v>17.5</v>
      </c>
      <c r="K33" s="3" t="n">
        <v>17.5</v>
      </c>
      <c r="L33" s="3" t="n">
        <v>17.5</v>
      </c>
    </row>
    <row r="34" customFormat="false" ht="15" hidden="false" customHeight="false" outlineLevel="0" collapsed="false">
      <c r="A34" s="0" t="s">
        <v>112</v>
      </c>
      <c r="B34" s="3" t="n">
        <v>9.5</v>
      </c>
    </row>
    <row r="35" customFormat="false" ht="15" hidden="false" customHeight="false" outlineLevel="0" collapsed="false">
      <c r="A35" s="0" t="s">
        <v>113</v>
      </c>
      <c r="B35" s="3" t="n">
        <v>3</v>
      </c>
    </row>
    <row r="36" customFormat="false" ht="15" hidden="false" customHeight="false" outlineLevel="0" collapsed="false">
      <c r="A36" s="0" t="s">
        <v>114</v>
      </c>
      <c r="B36" s="3" t="n">
        <v>18</v>
      </c>
    </row>
    <row r="37" customFormat="false" ht="15" hidden="false" customHeight="false" outlineLevel="0" collapsed="false">
      <c r="A37" s="0" t="s">
        <v>115</v>
      </c>
      <c r="B37" s="3" t="n">
        <v>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5</v>
      </c>
      <c r="D41" s="3" t="n">
        <v>5</v>
      </c>
      <c r="E41" s="3" t="n">
        <v>4.5</v>
      </c>
      <c r="F41" s="3" t="n">
        <v>4.5</v>
      </c>
      <c r="G41" s="3" t="n">
        <v>4</v>
      </c>
      <c r="H41" s="3" t="n">
        <v>4</v>
      </c>
      <c r="I41" s="3" t="n">
        <v>3.5</v>
      </c>
      <c r="J41" s="3" t="n">
        <v>3.5</v>
      </c>
      <c r="K41" s="3" t="n">
        <v>3.5</v>
      </c>
      <c r="L41" s="3" t="n">
        <v>3.5</v>
      </c>
    </row>
    <row r="42" customFormat="false" ht="15" hidden="false" customHeight="false" outlineLevel="0" collapsed="false">
      <c r="A42" s="0" t="s">
        <v>106</v>
      </c>
      <c r="C42" s="3" t="n">
        <v>52</v>
      </c>
      <c r="D42" s="3" t="n">
        <v>52.5</v>
      </c>
      <c r="E42" s="3" t="n">
        <v>53</v>
      </c>
      <c r="F42" s="3" t="n">
        <v>53.5</v>
      </c>
      <c r="G42" s="3" t="n">
        <v>53.5</v>
      </c>
      <c r="H42" s="3" t="n">
        <v>53.5</v>
      </c>
      <c r="I42" s="3" t="n">
        <v>53.5</v>
      </c>
      <c r="J42" s="3" t="n">
        <v>53.5</v>
      </c>
      <c r="K42" s="3" t="n">
        <v>53.5</v>
      </c>
      <c r="L42" s="3" t="n">
        <v>53.5</v>
      </c>
    </row>
    <row r="43" customFormat="false" ht="15" hidden="false" customHeight="false" outlineLevel="0" collapsed="false">
      <c r="A43" s="0" t="s">
        <v>107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110</v>
      </c>
      <c r="C46" s="3" t="n">
        <v>29.53</v>
      </c>
      <c r="D46" s="3" t="n">
        <v>27.65</v>
      </c>
      <c r="E46" s="3" t="n">
        <v>25.71</v>
      </c>
      <c r="F46" s="3" t="n">
        <v>23.6</v>
      </c>
      <c r="G46" s="3" t="n">
        <v>21.44</v>
      </c>
      <c r="H46" s="3" t="n">
        <v>19.15</v>
      </c>
      <c r="I46" s="3" t="n">
        <v>16.84</v>
      </c>
      <c r="J46" s="3" t="n">
        <v>16.84</v>
      </c>
      <c r="K46" s="3" t="n">
        <v>16.84</v>
      </c>
      <c r="L46" s="3" t="n">
        <v>16.84</v>
      </c>
    </row>
    <row r="47" customFormat="false" ht="15" hidden="false" customHeight="false" outlineLevel="0" collapsed="false">
      <c r="A47" s="0" t="s">
        <v>111</v>
      </c>
      <c r="C47" s="3" t="n">
        <v>17</v>
      </c>
      <c r="D47" s="3" t="n">
        <v>17</v>
      </c>
      <c r="E47" s="3" t="n">
        <v>17</v>
      </c>
      <c r="F47" s="3" t="n">
        <v>17</v>
      </c>
      <c r="G47" s="3" t="n">
        <v>17</v>
      </c>
      <c r="H47" s="3" t="n">
        <v>17</v>
      </c>
      <c r="I47" s="3" t="n">
        <v>17</v>
      </c>
      <c r="J47" s="3" t="n">
        <v>17</v>
      </c>
      <c r="K47" s="3" t="n">
        <v>17</v>
      </c>
      <c r="L47" s="3" t="n">
        <v>17</v>
      </c>
    </row>
    <row r="48" customFormat="false" ht="15" hidden="false" customHeight="false" outlineLevel="0" collapsed="false">
      <c r="A48" s="0" t="s">
        <v>112</v>
      </c>
      <c r="B48" s="3" t="n">
        <v>9.5</v>
      </c>
    </row>
    <row r="49" customFormat="false" ht="15" hidden="false" customHeight="false" outlineLevel="0" collapsed="false">
      <c r="A49" s="0" t="s">
        <v>113</v>
      </c>
      <c r="B49" s="3" t="n">
        <v>3.5</v>
      </c>
    </row>
    <row r="50" customFormat="false" ht="15" hidden="false" customHeight="false" outlineLevel="0" collapsed="false">
      <c r="A50" s="0" t="s">
        <v>114</v>
      </c>
      <c r="B50" s="3" t="n">
        <v>18</v>
      </c>
    </row>
    <row r="51" customFormat="false" ht="15" hidden="false" customHeight="false" outlineLevel="0" collapsed="false">
      <c r="A51" s="0" t="s">
        <v>115</v>
      </c>
      <c r="B51" s="3" t="n">
        <v>0</v>
      </c>
    </row>
    <row r="52" customFormat="false" ht="15" hidden="false" customHeight="false" outlineLevel="0" collapsed="false">
      <c r="A52" s="0" t="s">
        <v>116</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0</v>
      </c>
      <c r="D5" s="4" t="n">
        <f aca="false">Assumptions!D13</f>
        <v>0</v>
      </c>
      <c r="E5" s="4" t="n">
        <f aca="false">Assumptions!E13</f>
        <v>1</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855000</v>
      </c>
      <c r="C6" s="0" t="n">
        <f aca="false">B6*(1+C5/100)</f>
        <v>855000</v>
      </c>
      <c r="D6" s="0" t="n">
        <f aca="false">C6*(1+D5/100)</f>
        <v>855000</v>
      </c>
      <c r="E6" s="0" t="n">
        <f aca="false">D6*(1+E5/100)</f>
        <v>863550</v>
      </c>
      <c r="F6" s="0" t="n">
        <f aca="false">E6*(1+F5/100)</f>
        <v>872185.5</v>
      </c>
      <c r="G6" s="0" t="n">
        <f aca="false">F6*(1+G5/100)</f>
        <v>885268.2825</v>
      </c>
      <c r="H6" s="0" t="n">
        <f aca="false">G6*(1+H5/100)</f>
        <v>902973.64815</v>
      </c>
      <c r="I6" s="0" t="n">
        <f aca="false">H6*(1+I5/100)</f>
        <v>921033.121113</v>
      </c>
      <c r="J6" s="0" t="n">
        <f aca="false">I6*(1+J5/100)</f>
        <v>939453.78353526</v>
      </c>
      <c r="K6" s="0" t="n">
        <f aca="false">J6*(1+K5/100)</f>
        <v>958242.859205965</v>
      </c>
      <c r="L6" s="0" t="n">
        <f aca="false">K6*(1+L5/100)</f>
        <v>977407.716390085</v>
      </c>
    </row>
    <row r="7" customFormat="false" ht="15" hidden="false" customHeight="false" outlineLevel="0" collapsed="false">
      <c r="A7" s="0" t="s">
        <v>106</v>
      </c>
      <c r="C7" s="4" t="n">
        <f aca="false">Assumptions!C14</f>
        <v>46</v>
      </c>
      <c r="D7" s="4" t="n">
        <f aca="false">Assumptions!D14</f>
        <v>44</v>
      </c>
      <c r="E7" s="4" t="n">
        <f aca="false">Assumptions!E14</f>
        <v>44</v>
      </c>
      <c r="F7" s="4" t="n">
        <f aca="false">Assumptions!F14</f>
        <v>45</v>
      </c>
      <c r="G7" s="4" t="n">
        <f aca="false">Assumptions!G14</f>
        <v>46</v>
      </c>
      <c r="H7" s="4" t="n">
        <f aca="false">Assumptions!H14</f>
        <v>47</v>
      </c>
      <c r="I7" s="4" t="n">
        <f aca="false">Assumptions!I14</f>
        <v>47</v>
      </c>
      <c r="J7" s="4" t="n">
        <f aca="false">Assumptions!J14</f>
        <v>47</v>
      </c>
      <c r="K7" s="4" t="n">
        <f aca="false">Assumptions!K14</f>
        <v>47</v>
      </c>
      <c r="L7" s="4" t="n">
        <f aca="false">Assumptions!L14</f>
        <v>47</v>
      </c>
    </row>
    <row r="8" customFormat="false" ht="15" hidden="false" customHeight="false" outlineLevel="0" collapsed="false">
      <c r="A8" s="0" t="s">
        <v>44</v>
      </c>
      <c r="C8" s="0" t="n">
        <f aca="false">C6*C7/100</f>
        <v>393300</v>
      </c>
      <c r="D8" s="0" t="n">
        <f aca="false">D6*D7/100</f>
        <v>376200</v>
      </c>
      <c r="E8" s="0" t="n">
        <f aca="false">E6*E7/100</f>
        <v>379962</v>
      </c>
      <c r="F8" s="0" t="n">
        <f aca="false">F6*F7/100</f>
        <v>392483.475</v>
      </c>
      <c r="G8" s="0" t="n">
        <f aca="false">G6*G7/100</f>
        <v>407223.40995</v>
      </c>
      <c r="H8" s="0" t="n">
        <f aca="false">H6*H7/100</f>
        <v>424397.6146305</v>
      </c>
      <c r="I8" s="0" t="n">
        <f aca="false">I6*I7/100</f>
        <v>432885.56692311</v>
      </c>
      <c r="J8" s="0" t="n">
        <f aca="false">J6*J7/100</f>
        <v>441543.278261572</v>
      </c>
      <c r="K8" s="0" t="n">
        <f aca="false">K6*K7/100</f>
        <v>450374.143826804</v>
      </c>
      <c r="L8" s="0" t="n">
        <f aca="false">L6*L7/100</f>
        <v>459381.62670334</v>
      </c>
    </row>
    <row r="9" customFormat="false" ht="15" hidden="false" customHeight="false" outlineLevel="0" collapsed="false">
      <c r="A9" s="0" t="s">
        <v>107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123</v>
      </c>
      <c r="C11" s="0" t="n">
        <f aca="false">C8+C10+C24</f>
        <v>393300</v>
      </c>
      <c r="D11" s="0" t="n">
        <f aca="false">D8+D10+D24</f>
        <v>376200</v>
      </c>
      <c r="E11" s="0" t="n">
        <f aca="false">E8+E10+E24</f>
        <v>379962</v>
      </c>
      <c r="F11" s="0" t="n">
        <f aca="false">F8+F10+F24</f>
        <v>392483.475</v>
      </c>
      <c r="G11" s="0" t="n">
        <f aca="false">G8+G10+G24</f>
        <v>407223.40995</v>
      </c>
      <c r="H11" s="0" t="n">
        <f aca="false">H8+H10+H24</f>
        <v>424397.6146305</v>
      </c>
      <c r="I11" s="0" t="n">
        <f aca="false">I8+I10+I24</f>
        <v>432885.56692311</v>
      </c>
      <c r="J11" s="0" t="n">
        <f aca="false">J8+J10+J24</f>
        <v>441543.278261572</v>
      </c>
      <c r="K11" s="0" t="n">
        <f aca="false">K8+K10+K24</f>
        <v>450374.143826804</v>
      </c>
      <c r="L11" s="0" t="n">
        <f aca="false">L8+L10+L24</f>
        <v>459381.62670334</v>
      </c>
    </row>
    <row r="12" customFormat="false" ht="15" hidden="false" customHeight="false" outlineLevel="0" collapsed="false">
      <c r="A12" s="0" t="s">
        <v>124</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125</v>
      </c>
      <c r="C13" s="0" t="n">
        <f aca="false">C11+C12</f>
        <v>393300</v>
      </c>
      <c r="D13" s="0" t="n">
        <f aca="false">D11+D12</f>
        <v>376200</v>
      </c>
      <c r="E13" s="0" t="n">
        <f aca="false">E11+E12</f>
        <v>379962</v>
      </c>
      <c r="F13" s="0" t="n">
        <f aca="false">F11+F12</f>
        <v>392483.475</v>
      </c>
      <c r="G13" s="0" t="n">
        <f aca="false">G11+G12</f>
        <v>407223.40995</v>
      </c>
      <c r="H13" s="0" t="n">
        <f aca="false">H11+H12</f>
        <v>424397.6146305</v>
      </c>
      <c r="I13" s="0" t="n">
        <f aca="false">I11+I12</f>
        <v>432885.56692311</v>
      </c>
      <c r="J13" s="0" t="n">
        <f aca="false">J11+J12</f>
        <v>441543.278261572</v>
      </c>
      <c r="K13" s="0" t="n">
        <f aca="false">K11+K12</f>
        <v>450374.143826804</v>
      </c>
      <c r="L13" s="0" t="n">
        <f aca="false">L11+L12</f>
        <v>459381.62670334</v>
      </c>
    </row>
    <row r="14" customFormat="false" ht="15" hidden="false" customHeight="false" outlineLevel="0" collapsed="false">
      <c r="A14" s="0" t="s">
        <v>111</v>
      </c>
      <c r="C14" s="4" t="n">
        <f aca="false">Assumptions!C19</f>
        <v>18</v>
      </c>
      <c r="D14" s="4" t="n">
        <f aca="false">Assumptions!D19</f>
        <v>18</v>
      </c>
      <c r="E14" s="4" t="n">
        <f aca="false">Assumptions!E19</f>
        <v>18</v>
      </c>
      <c r="F14" s="4" t="n">
        <f aca="false">Assumptions!F19</f>
        <v>18</v>
      </c>
      <c r="G14" s="4" t="n">
        <f aca="false">Assumptions!G19</f>
        <v>18</v>
      </c>
      <c r="H14" s="4" t="n">
        <f aca="false">Assumptions!H19</f>
        <v>18</v>
      </c>
      <c r="I14" s="4" t="n">
        <f aca="false">Assumptions!I19</f>
        <v>18</v>
      </c>
      <c r="J14" s="4" t="n">
        <f aca="false">Assumptions!J19</f>
        <v>18</v>
      </c>
      <c r="K14" s="4" t="n">
        <f aca="false">Assumptions!K19</f>
        <v>18</v>
      </c>
      <c r="L14" s="4" t="n">
        <f aca="false">Assumptions!L19</f>
        <v>18</v>
      </c>
    </row>
    <row r="15" customFormat="false" ht="15" hidden="false" customHeight="false" outlineLevel="0" collapsed="false">
      <c r="A15" s="0" t="s">
        <v>126</v>
      </c>
      <c r="C15" s="0" t="n">
        <f aca="false">C13-MAX(0,C13)*C14/100</f>
        <v>322506</v>
      </c>
      <c r="D15" s="0" t="n">
        <f aca="false">D13-MAX(0,D13)*D14/100</f>
        <v>308484</v>
      </c>
      <c r="E15" s="0" t="n">
        <f aca="false">E13-MAX(0,E13)*E14/100</f>
        <v>311568.84</v>
      </c>
      <c r="F15" s="0" t="n">
        <f aca="false">F13-MAX(0,F13)*F14/100</f>
        <v>321836.4495</v>
      </c>
      <c r="G15" s="0" t="n">
        <f aca="false">G13-MAX(0,G13)*G14/100</f>
        <v>333923.196159</v>
      </c>
      <c r="H15" s="0" t="n">
        <f aca="false">H13-MAX(0,H13)*H14/100</f>
        <v>348006.04399701</v>
      </c>
      <c r="I15" s="0" t="n">
        <f aca="false">I13-MAX(0,I13)*I14/100</f>
        <v>354966.16487695</v>
      </c>
      <c r="J15" s="0" t="n">
        <f aca="false">J13-MAX(0,J13)*J14/100</f>
        <v>362065.488174489</v>
      </c>
      <c r="K15" s="0" t="n">
        <f aca="false">K13-MAX(0,K13)*K14/100</f>
        <v>369306.797937979</v>
      </c>
      <c r="L15" s="0" t="n">
        <f aca="false">L13-MAX(0,L13)*L14/100</f>
        <v>376692.933896739</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-C6*Assumptions!C18/100</f>
        <v>-285484.5</v>
      </c>
      <c r="D17" s="4" t="n">
        <f aca="false">-D6*Assumptions!D18/100</f>
        <v>-261886.5</v>
      </c>
      <c r="E17" s="4" t="n">
        <f aca="false">-E6*Assumptions!E18/100</f>
        <v>-231345.045</v>
      </c>
      <c r="F17" s="4" t="n">
        <f aca="false">-F6*Assumptions!F18/100</f>
        <v>-242903.66175</v>
      </c>
      <c r="G17" s="4" t="n">
        <f aca="false">-G6*Assumptions!G18/100</f>
        <v>-229550.06565225</v>
      </c>
      <c r="H17" s="4" t="n">
        <f aca="false">-H6*Assumptions!H18/100</f>
        <v>-213192.078328215</v>
      </c>
      <c r="I17" s="4" t="n">
        <f aca="false">-I6*Assumptions!I18/100</f>
        <v>-193969.575306398</v>
      </c>
      <c r="J17" s="4" t="n">
        <f aca="false">-J6*Assumptions!J18/100</f>
        <v>-172107.93314366</v>
      </c>
      <c r="K17" s="4" t="n">
        <f aca="false">-K6*Assumptions!K18/100</f>
        <v>-147761.04888956</v>
      </c>
      <c r="L17" s="4" t="n">
        <f aca="false">-L6*Assumptions!L18/100</f>
        <v>-151400.455268824</v>
      </c>
    </row>
    <row r="18" customFormat="false" ht="15" hidden="false" customHeight="false" outlineLevel="0" collapsed="false">
      <c r="A18" s="0" t="s">
        <v>129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130</v>
      </c>
      <c r="C19" s="0" t="n">
        <f aca="false">C15+C16+C17+C18</f>
        <v>37021.5</v>
      </c>
      <c r="D19" s="0" t="n">
        <f aca="false">D15+D16+D17+D18</f>
        <v>46597.5</v>
      </c>
      <c r="E19" s="0" t="n">
        <f aca="false">E15+E16+E17+E18</f>
        <v>80223.795</v>
      </c>
      <c r="F19" s="0" t="n">
        <f aca="false">F15+F16+F17+F18</f>
        <v>78932.78775</v>
      </c>
      <c r="G19" s="0" t="n">
        <f aca="false">G15+G16+G17+G18</f>
        <v>104373.13050675</v>
      </c>
      <c r="H19" s="0" t="n">
        <f aca="false">H15+H16+H17+H18</f>
        <v>134813.965668795</v>
      </c>
      <c r="I19" s="0" t="n">
        <f aca="false">I15+I16+I17+I18</f>
        <v>160996.589570553</v>
      </c>
      <c r="J19" s="0" t="n">
        <f aca="false">J15+J16+J17+J18</f>
        <v>189957.55503083</v>
      </c>
      <c r="K19" s="0" t="n">
        <f aca="false">K15+K16+K17+K18</f>
        <v>221545.749048419</v>
      </c>
      <c r="L19" s="0" t="n">
        <f aca="false">L15+L16+L17+L18</f>
        <v>225292.478627914</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33809.5890410959</v>
      </c>
      <c r="D21" s="0" t="n">
        <f aca="false">D19*D20</f>
        <v>38862.8260461625</v>
      </c>
      <c r="E21" s="0" t="n">
        <f aca="false">E19*E20</f>
        <v>61102.7624328328</v>
      </c>
      <c r="F21" s="0" t="n">
        <f aca="false">F19*F20</f>
        <v>54903.6180719002</v>
      </c>
      <c r="G21" s="0" t="n">
        <f aca="false">G19*G20</f>
        <v>66300.7000099619</v>
      </c>
      <c r="H21" s="0" t="n">
        <f aca="false">H19*H20</f>
        <v>78207.8179535869</v>
      </c>
      <c r="I21" s="0" t="n">
        <f aca="false">I19*I20</f>
        <v>85293.8743656255</v>
      </c>
      <c r="J21" s="0" t="n">
        <f aca="false">J19*J20</f>
        <v>91905.9476958093</v>
      </c>
      <c r="K21" s="0" t="n">
        <f aca="false">K19*K20</f>
        <v>97889.5537643751</v>
      </c>
      <c r="L21" s="0" t="n">
        <f aca="false">L19*L20</f>
        <v>90908.7112920566</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9.5</v>
      </c>
    </row>
    <row r="28" customFormat="false" ht="15" hidden="false" customHeight="false" outlineLevel="0" collapsed="false">
      <c r="A28" s="0" t="s">
        <v>113</v>
      </c>
      <c r="B28" s="4" t="n">
        <f aca="false">Assumptions!$B$21</f>
        <v>2.5</v>
      </c>
    </row>
    <row r="29" customFormat="false" ht="15" hidden="false" customHeight="false" outlineLevel="0" collapsed="false">
      <c r="A29" s="0" t="s">
        <v>114</v>
      </c>
      <c r="B29" s="4" t="n">
        <f aca="false">Assumptions!$B$22</f>
        <v>18</v>
      </c>
    </row>
    <row r="30" customFormat="false" ht="15" hidden="false" customHeight="false" outlineLevel="0" collapsed="false">
      <c r="A30" s="0" t="s">
        <v>135</v>
      </c>
      <c r="B30" s="0" t="n">
        <f aca="false">SUM(C21:L21)</f>
        <v>699185.400673407</v>
      </c>
    </row>
    <row r="31" customFormat="false" ht="15" hidden="false" customHeight="false" outlineLevel="0" collapsed="false">
      <c r="A31" s="0" t="s">
        <v>136</v>
      </c>
      <c r="B31" s="0" t="n">
        <f aca="false">L19</f>
        <v>225292.478627914</v>
      </c>
    </row>
    <row r="32" customFormat="false" ht="15" hidden="false" customHeight="false" outlineLevel="0" collapsed="false">
      <c r="A32" s="0" t="s">
        <v>137</v>
      </c>
      <c r="B32" s="0" t="n">
        <f aca="false">IF(B27&gt;B28,B31*(1+B28/100)/((B27-B28)/100),B31*B29)</f>
        <v>3298925.57990875</v>
      </c>
    </row>
    <row r="33" customFormat="false" ht="15" hidden="false" customHeight="false" outlineLevel="0" collapsed="false">
      <c r="A33" s="0" t="s">
        <v>138</v>
      </c>
      <c r="B33" s="0" t="n">
        <f aca="false">B31*B29</f>
        <v>4055264.61530246</v>
      </c>
    </row>
    <row r="34" customFormat="false" ht="15" hidden="false" customHeight="false" outlineLevel="0" collapsed="false">
      <c r="A34" s="0" t="s">
        <v>139</v>
      </c>
      <c r="B34" s="0" t="n">
        <f aca="false">MAX(0,MIN(B32,B33))</f>
        <v>3298925.57990875</v>
      </c>
    </row>
    <row r="35" customFormat="false" ht="15" hidden="false" customHeight="false" outlineLevel="0" collapsed="false">
      <c r="A35" s="0" t="s">
        <v>140</v>
      </c>
      <c r="B35" s="0" t="n">
        <f aca="false">B34/(1+B27/100)^L4</f>
        <v>1331163.27249083</v>
      </c>
    </row>
    <row r="36" customFormat="false" ht="15" hidden="false" customHeight="false" outlineLevel="0" collapsed="false">
      <c r="A36" s="0" t="s">
        <v>141</v>
      </c>
      <c r="B36" s="0" t="n">
        <f aca="false">B30+B35</f>
        <v>2030348.67316424</v>
      </c>
    </row>
    <row r="37" customFormat="false" ht="15" hidden="false" customHeight="false" outlineLevel="0" collapsed="false">
      <c r="A37" s="0" t="s">
        <v>142</v>
      </c>
      <c r="B37" s="0" t="n">
        <f aca="false">B36+Assumptions!$B$5-Assumptions!$B$4</f>
        <v>2130348.67316424</v>
      </c>
    </row>
    <row r="38" customFormat="false" ht="15" hidden="false" customHeight="false" outlineLevel="0" collapsed="false">
      <c r="A38" s="0" t="s">
        <v>143</v>
      </c>
      <c r="B38" s="0" t="n">
        <f aca="false">B37/Assumptions!$B$3*Assumptions!$B$10</f>
        <v>6.78506216463797</v>
      </c>
    </row>
    <row r="39" customFormat="false" ht="15" hidden="false" customHeight="false" outlineLevel="0" collapsed="false">
      <c r="A39" s="0" t="s">
        <v>144</v>
      </c>
      <c r="B39" s="4" t="n">
        <f aca="false">B38/Assumptions!$B$2-1</f>
        <v>-0.106052415726223</v>
      </c>
    </row>
    <row r="41" customFormat="false" ht="15" hidden="false" customHeight="false" outlineLevel="0" collapsed="false">
      <c r="A41" s="0" t="s">
        <v>145</v>
      </c>
      <c r="B41" s="0" t="n">
        <f aca="false">SUMPRODUCT(-C10:L10/(1+$B$27/100)^C4:L4)</f>
        <v>0</v>
      </c>
    </row>
    <row r="42" customFormat="false" ht="15" hidden="false" customHeight="false" outlineLevel="0" collapsed="false">
      <c r="A42" s="0" t="s">
        <v>146</v>
      </c>
      <c r="B42" s="0" t="n">
        <f aca="false">IF(B27&gt;B28,-L10*(1+B28/100)/((B27-B28)/100),-L10*20)/(1+B27/100)^L4</f>
        <v>0</v>
      </c>
    </row>
    <row r="43" customFormat="false" ht="15" hidden="false" customHeight="false" outlineLevel="0" collapsed="false">
      <c r="A43" s="0" t="s">
        <v>147</v>
      </c>
      <c r="B43" s="0" t="n">
        <f aca="false">(B37+B41+B42)/Assumptions!$B$3*Assumptions!$B$10</f>
        <v>6.78506216463797</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1847398.3247489</v>
      </c>
    </row>
    <row r="47" customFormat="false" ht="15" hidden="false" customHeight="false" outlineLevel="0" collapsed="false">
      <c r="A47" s="0" t="s">
        <v>149</v>
      </c>
      <c r="B47" s="0" t="n">
        <f aca="false">(SUMPRODUCT(C19:L19/(1+B45/100)^C4:L4)+B46/(1+B45/100)^L4+Assumptions!$B$5-Assumptions!$B$4)/Assumptions!$B$3*Assumptions!$B$10</f>
        <v>3.41878634715862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4</v>
      </c>
      <c r="D5" s="4" t="n">
        <f aca="false">Assumptions!D27</f>
        <v>4</v>
      </c>
      <c r="E5" s="4" t="n">
        <f aca="false">Assumptions!E27</f>
        <v>3.5</v>
      </c>
      <c r="F5" s="4" t="n">
        <f aca="false">Assumptions!F27</f>
        <v>3.5</v>
      </c>
      <c r="G5" s="4" t="n">
        <f aca="false">Assumptions!G27</f>
        <v>3</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38</v>
      </c>
      <c r="B6" s="3" t="n">
        <v>855000</v>
      </c>
      <c r="C6" s="0" t="n">
        <f aca="false">B6*(1+C5/100)</f>
        <v>889200</v>
      </c>
      <c r="D6" s="0" t="n">
        <f aca="false">C6*(1+D5/100)</f>
        <v>924768</v>
      </c>
      <c r="E6" s="0" t="n">
        <f aca="false">D6*(1+E5/100)</f>
        <v>957134.88</v>
      </c>
      <c r="F6" s="0" t="n">
        <f aca="false">E6*(1+F5/100)</f>
        <v>990634.6008</v>
      </c>
      <c r="G6" s="0" t="n">
        <f aca="false">F6*(1+G5/100)</f>
        <v>1020353.638824</v>
      </c>
      <c r="H6" s="0" t="n">
        <f aca="false">G6*(1+H5/100)</f>
        <v>1050964.24798872</v>
      </c>
      <c r="I6" s="0" t="n">
        <f aca="false">H6*(1+I5/100)</f>
        <v>1082493.17542838</v>
      </c>
      <c r="J6" s="0" t="n">
        <f aca="false">I6*(1+J5/100)</f>
        <v>1114967.97069123</v>
      </c>
      <c r="K6" s="0" t="n">
        <f aca="false">J6*(1+K5/100)</f>
        <v>1148417.00981197</v>
      </c>
      <c r="L6" s="0" t="n">
        <f aca="false">K6*(1+L5/100)</f>
        <v>1182869.52010633</v>
      </c>
    </row>
    <row r="7" customFormat="false" ht="15" hidden="false" customHeight="false" outlineLevel="0" collapsed="false">
      <c r="A7" s="0" t="s">
        <v>106</v>
      </c>
      <c r="C7" s="4" t="n">
        <f aca="false">Assumptions!C28</f>
        <v>50.5</v>
      </c>
      <c r="D7" s="4" t="n">
        <f aca="false">Assumptions!D28</f>
        <v>50.5</v>
      </c>
      <c r="E7" s="4" t="n">
        <f aca="false">Assumptions!E28</f>
        <v>50.5</v>
      </c>
      <c r="F7" s="4" t="n">
        <f aca="false">Assumptions!F28</f>
        <v>50.5</v>
      </c>
      <c r="G7" s="4" t="n">
        <f aca="false">Assumptions!G28</f>
        <v>50.5</v>
      </c>
      <c r="H7" s="4" t="n">
        <f aca="false">Assumptions!H28</f>
        <v>50.5</v>
      </c>
      <c r="I7" s="4" t="n">
        <f aca="false">Assumptions!I28</f>
        <v>50.5</v>
      </c>
      <c r="J7" s="4" t="n">
        <f aca="false">Assumptions!J28</f>
        <v>50.5</v>
      </c>
      <c r="K7" s="4" t="n">
        <f aca="false">Assumptions!K28</f>
        <v>50.5</v>
      </c>
      <c r="L7" s="4" t="n">
        <f aca="false">Assumptions!L28</f>
        <v>50.5</v>
      </c>
    </row>
    <row r="8" customFormat="false" ht="15" hidden="false" customHeight="false" outlineLevel="0" collapsed="false">
      <c r="A8" s="0" t="s">
        <v>44</v>
      </c>
      <c r="C8" s="0" t="n">
        <f aca="false">C6*C7/100</f>
        <v>449046</v>
      </c>
      <c r="D8" s="0" t="n">
        <f aca="false">D6*D7/100</f>
        <v>467007.84</v>
      </c>
      <c r="E8" s="0" t="n">
        <f aca="false">E6*E7/100</f>
        <v>483353.1144</v>
      </c>
      <c r="F8" s="0" t="n">
        <f aca="false">F6*F7/100</f>
        <v>500270.473404</v>
      </c>
      <c r="G8" s="0" t="n">
        <f aca="false">G6*G7/100</f>
        <v>515278.58760612</v>
      </c>
      <c r="H8" s="0" t="n">
        <f aca="false">H6*H7/100</f>
        <v>530736.945234304</v>
      </c>
      <c r="I8" s="0" t="n">
        <f aca="false">I6*I7/100</f>
        <v>546659.053591333</v>
      </c>
      <c r="J8" s="0" t="n">
        <f aca="false">J6*J7/100</f>
        <v>563058.825199073</v>
      </c>
      <c r="K8" s="0" t="n">
        <f aca="false">K6*K7/100</f>
        <v>579950.589955045</v>
      </c>
      <c r="L8" s="0" t="n">
        <f aca="false">L6*L7/100</f>
        <v>597349.107653696</v>
      </c>
    </row>
    <row r="9" customFormat="false" ht="15" hidden="false" customHeight="false" outlineLevel="0" collapsed="false">
      <c r="A9" s="0" t="s">
        <v>107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123</v>
      </c>
      <c r="C11" s="0" t="n">
        <f aca="false">C8+C10+C24</f>
        <v>449046</v>
      </c>
      <c r="D11" s="0" t="n">
        <f aca="false">D8+D10+D24</f>
        <v>467007.84</v>
      </c>
      <c r="E11" s="0" t="n">
        <f aca="false">E8+E10+E24</f>
        <v>483353.1144</v>
      </c>
      <c r="F11" s="0" t="n">
        <f aca="false">F8+F10+F24</f>
        <v>500270.473404</v>
      </c>
      <c r="G11" s="0" t="n">
        <f aca="false">G8+G10+G24</f>
        <v>515278.58760612</v>
      </c>
      <c r="H11" s="0" t="n">
        <f aca="false">H8+H10+H24</f>
        <v>530736.945234304</v>
      </c>
      <c r="I11" s="0" t="n">
        <f aca="false">I8+I10+I24</f>
        <v>546659.053591333</v>
      </c>
      <c r="J11" s="0" t="n">
        <f aca="false">J8+J10+J24</f>
        <v>563058.825199073</v>
      </c>
      <c r="K11" s="0" t="n">
        <f aca="false">K8+K10+K24</f>
        <v>579950.589955045</v>
      </c>
      <c r="L11" s="0" t="n">
        <f aca="false">L8+L10+L24</f>
        <v>597349.107653696</v>
      </c>
    </row>
    <row r="12" customFormat="false" ht="15" hidden="false" customHeight="false" outlineLevel="0" collapsed="false">
      <c r="A12" s="0" t="s">
        <v>124</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125</v>
      </c>
      <c r="C13" s="0" t="n">
        <f aca="false">C11+C12</f>
        <v>449046</v>
      </c>
      <c r="D13" s="0" t="n">
        <f aca="false">D11+D12</f>
        <v>467007.84</v>
      </c>
      <c r="E13" s="0" t="n">
        <f aca="false">E11+E12</f>
        <v>483353.1144</v>
      </c>
      <c r="F13" s="0" t="n">
        <f aca="false">F11+F12</f>
        <v>500270.473404</v>
      </c>
      <c r="G13" s="0" t="n">
        <f aca="false">G11+G12</f>
        <v>515278.58760612</v>
      </c>
      <c r="H13" s="0" t="n">
        <f aca="false">H11+H12</f>
        <v>530736.945234304</v>
      </c>
      <c r="I13" s="0" t="n">
        <f aca="false">I11+I12</f>
        <v>546659.053591333</v>
      </c>
      <c r="J13" s="0" t="n">
        <f aca="false">J11+J12</f>
        <v>563058.825199073</v>
      </c>
      <c r="K13" s="0" t="n">
        <f aca="false">K11+K12</f>
        <v>579950.589955045</v>
      </c>
      <c r="L13" s="0" t="n">
        <f aca="false">L11+L12</f>
        <v>597349.107653696</v>
      </c>
    </row>
    <row r="14" customFormat="false" ht="15" hidden="false" customHeight="false" outlineLevel="0" collapsed="false">
      <c r="A14" s="0" t="s">
        <v>111</v>
      </c>
      <c r="C14" s="4" t="n">
        <f aca="false">Assumptions!C33</f>
        <v>17.5</v>
      </c>
      <c r="D14" s="4" t="n">
        <f aca="false">Assumptions!D33</f>
        <v>17.5</v>
      </c>
      <c r="E14" s="4" t="n">
        <f aca="false">Assumptions!E33</f>
        <v>17.5</v>
      </c>
      <c r="F14" s="4" t="n">
        <f aca="false">Assumptions!F33</f>
        <v>17.5</v>
      </c>
      <c r="G14" s="4" t="n">
        <f aca="false">Assumptions!G33</f>
        <v>17.5</v>
      </c>
      <c r="H14" s="4" t="n">
        <f aca="false">Assumptions!H33</f>
        <v>17.5</v>
      </c>
      <c r="I14" s="4" t="n">
        <f aca="false">Assumptions!I33</f>
        <v>17.5</v>
      </c>
      <c r="J14" s="4" t="n">
        <f aca="false">Assumptions!J33</f>
        <v>17.5</v>
      </c>
      <c r="K14" s="4" t="n">
        <f aca="false">Assumptions!K33</f>
        <v>17.5</v>
      </c>
      <c r="L14" s="4" t="n">
        <f aca="false">Assumptions!L33</f>
        <v>17.5</v>
      </c>
    </row>
    <row r="15" customFormat="false" ht="15" hidden="false" customHeight="false" outlineLevel="0" collapsed="false">
      <c r="A15" s="0" t="s">
        <v>126</v>
      </c>
      <c r="C15" s="0" t="n">
        <f aca="false">C13-MAX(0,C13)*C14/100</f>
        <v>370462.95</v>
      </c>
      <c r="D15" s="0" t="n">
        <f aca="false">D13-MAX(0,D13)*D14/100</f>
        <v>385281.468</v>
      </c>
      <c r="E15" s="0" t="n">
        <f aca="false">E13-MAX(0,E13)*E14/100</f>
        <v>398766.31938</v>
      </c>
      <c r="F15" s="0" t="n">
        <f aca="false">F13-MAX(0,F13)*F14/100</f>
        <v>412723.1405583</v>
      </c>
      <c r="G15" s="0" t="n">
        <f aca="false">G13-MAX(0,G13)*G14/100</f>
        <v>425104.834775049</v>
      </c>
      <c r="H15" s="0" t="n">
        <f aca="false">H13-MAX(0,H13)*H14/100</f>
        <v>437857.9798183</v>
      </c>
      <c r="I15" s="0" t="n">
        <f aca="false">I13-MAX(0,I13)*I14/100</f>
        <v>450993.719212849</v>
      </c>
      <c r="J15" s="0" t="n">
        <f aca="false">J13-MAX(0,J13)*J14/100</f>
        <v>464523.530789235</v>
      </c>
      <c r="K15" s="0" t="n">
        <f aca="false">K13-MAX(0,K13)*K14/100</f>
        <v>478459.236712912</v>
      </c>
      <c r="L15" s="0" t="n">
        <f aca="false">L13-MAX(0,L13)*L14/100</f>
        <v>492813.013814299</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-C6*Assumptions!C32/100</f>
        <v>-285522.12</v>
      </c>
      <c r="D17" s="4" t="n">
        <f aca="false">-D6*Assumptions!D32/100</f>
        <v>-283718.8224</v>
      </c>
      <c r="E17" s="4" t="n">
        <f aca="false">-E6*Assumptions!E32/100</f>
        <v>-278909.104032</v>
      </c>
      <c r="F17" s="4" t="n">
        <f aca="false">-F6*Assumptions!F32/100</f>
        <v>-270938.5633188</v>
      </c>
      <c r="G17" s="4" t="n">
        <f aca="false">-G6*Assumptions!G32/100</f>
        <v>-259884.071808473</v>
      </c>
      <c r="H17" s="4" t="n">
        <f aca="false">-H6*Assumptions!H32/100</f>
        <v>-245610.344754964</v>
      </c>
      <c r="I17" s="4" t="n">
        <f aca="false">-I6*Assumptions!I32/100</f>
        <v>-228081.31206276</v>
      </c>
      <c r="J17" s="4" t="n">
        <f aca="false">-J6*Assumptions!J32/100</f>
        <v>-207607.036142708</v>
      </c>
      <c r="K17" s="4" t="n">
        <f aca="false">-K6*Assumptions!K32/100</f>
        <v>-184206.08837384</v>
      </c>
      <c r="L17" s="4" t="n">
        <f aca="false">-L6*Assumptions!L32/100</f>
        <v>-189732.271025055</v>
      </c>
    </row>
    <row r="18" customFormat="false" ht="15" hidden="false" customHeight="false" outlineLevel="0" collapsed="false">
      <c r="A18" s="0" t="s">
        <v>129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130</v>
      </c>
      <c r="C19" s="0" t="n">
        <f aca="false">C15+C16+C17+C18</f>
        <v>84940.83</v>
      </c>
      <c r="D19" s="0" t="n">
        <f aca="false">D15+D16+D17+D18</f>
        <v>101562.6456</v>
      </c>
      <c r="E19" s="0" t="n">
        <f aca="false">E15+E16+E17+E18</f>
        <v>119857.215348</v>
      </c>
      <c r="F19" s="0" t="n">
        <f aca="false">F15+F16+F17+F18</f>
        <v>141784.5772395</v>
      </c>
      <c r="G19" s="0" t="n">
        <f aca="false">G15+G16+G17+G18</f>
        <v>165220.762966576</v>
      </c>
      <c r="H19" s="0" t="n">
        <f aca="false">H15+H16+H17+H18</f>
        <v>192247.635063337</v>
      </c>
      <c r="I19" s="0" t="n">
        <f aca="false">I15+I16+I17+I18</f>
        <v>222912.407150089</v>
      </c>
      <c r="J19" s="0" t="n">
        <f aca="false">J15+J16+J17+J18</f>
        <v>256916.494646527</v>
      </c>
      <c r="K19" s="0" t="n">
        <f aca="false">K15+K16+K17+K18</f>
        <v>294253.148339072</v>
      </c>
      <c r="L19" s="0" t="n">
        <f aca="false">L15+L16+L17+L18</f>
        <v>303080.742789244</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77571.5342465754</v>
      </c>
      <c r="D21" s="0" t="n">
        <f aca="false">D19*D20</f>
        <v>84704.3602927378</v>
      </c>
      <c r="E21" s="0" t="n">
        <f aca="false">E19*E20</f>
        <v>91289.7096836386</v>
      </c>
      <c r="F21" s="0" t="n">
        <f aca="false">F19*F20</f>
        <v>98621.7071402415</v>
      </c>
      <c r="G21" s="0" t="n">
        <f aca="false">G19*G20</f>
        <v>104952.799515346</v>
      </c>
      <c r="H21" s="0" t="n">
        <f aca="false">H19*H20</f>
        <v>111526.042353646</v>
      </c>
      <c r="I21" s="0" t="n">
        <f aca="false">I19*I20</f>
        <v>118096.059678748</v>
      </c>
      <c r="J21" s="0" t="n">
        <f aca="false">J19*J20</f>
        <v>124302.262762554</v>
      </c>
      <c r="K21" s="0" t="n">
        <f aca="false">K19*K20</f>
        <v>130015.17523308</v>
      </c>
      <c r="L21" s="0" t="n">
        <f aca="false">L19*L20</f>
        <v>122297.379442989</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9.5</v>
      </c>
    </row>
    <row r="28" customFormat="false" ht="15" hidden="false" customHeight="false" outlineLevel="0" collapsed="false">
      <c r="A28" s="0" t="s">
        <v>113</v>
      </c>
      <c r="B28" s="4" t="n">
        <f aca="false">Assumptions!$B$35</f>
        <v>3</v>
      </c>
    </row>
    <row r="29" customFormat="false" ht="15" hidden="false" customHeight="false" outlineLevel="0" collapsed="false">
      <c r="A29" s="0" t="s">
        <v>114</v>
      </c>
      <c r="B29" s="4" t="n">
        <f aca="false">Assumptions!$B$36</f>
        <v>18</v>
      </c>
    </row>
    <row r="30" customFormat="false" ht="15" hidden="false" customHeight="false" outlineLevel="0" collapsed="false">
      <c r="A30" s="0" t="s">
        <v>135</v>
      </c>
      <c r="B30" s="0" t="n">
        <f aca="false">SUM(C21:L21)</f>
        <v>1063377.03034956</v>
      </c>
    </row>
    <row r="31" customFormat="false" ht="15" hidden="false" customHeight="false" outlineLevel="0" collapsed="false">
      <c r="A31" s="0" t="s">
        <v>136</v>
      </c>
      <c r="B31" s="0" t="n">
        <f aca="false">L19</f>
        <v>303080.742789244</v>
      </c>
    </row>
    <row r="32" customFormat="false" ht="15" hidden="false" customHeight="false" outlineLevel="0" collapsed="false">
      <c r="A32" s="0" t="s">
        <v>137</v>
      </c>
      <c r="B32" s="0" t="n">
        <f aca="false">IF(B27&gt;B28,B31*(1+B28/100)/((B27-B28)/100),B31*B29)</f>
        <v>4802664.07804495</v>
      </c>
    </row>
    <row r="33" customFormat="false" ht="15" hidden="false" customHeight="false" outlineLevel="0" collapsed="false">
      <c r="A33" s="0" t="s">
        <v>138</v>
      </c>
      <c r="B33" s="0" t="n">
        <f aca="false">B31*B29</f>
        <v>5455453.3702064</v>
      </c>
    </row>
    <row r="34" customFormat="false" ht="15" hidden="false" customHeight="false" outlineLevel="0" collapsed="false">
      <c r="A34" s="0" t="s">
        <v>139</v>
      </c>
      <c r="B34" s="0" t="n">
        <f aca="false">MAX(0,MIN(B32,B33))</f>
        <v>4802664.07804495</v>
      </c>
    </row>
    <row r="35" customFormat="false" ht="15" hidden="false" customHeight="false" outlineLevel="0" collapsed="false">
      <c r="A35" s="0" t="s">
        <v>140</v>
      </c>
      <c r="B35" s="0" t="n">
        <f aca="false">B34/(1+B27/100)^L4</f>
        <v>1937943.08963505</v>
      </c>
    </row>
    <row r="36" customFormat="false" ht="15" hidden="false" customHeight="false" outlineLevel="0" collapsed="false">
      <c r="A36" s="0" t="s">
        <v>141</v>
      </c>
      <c r="B36" s="0" t="n">
        <f aca="false">B30+B35</f>
        <v>3001320.11998461</v>
      </c>
    </row>
    <row r="37" customFormat="false" ht="15" hidden="false" customHeight="false" outlineLevel="0" collapsed="false">
      <c r="A37" s="0" t="s">
        <v>142</v>
      </c>
      <c r="B37" s="0" t="n">
        <f aca="false">B36+Assumptions!$B$5-Assumptions!$B$4</f>
        <v>3101320.11998461</v>
      </c>
    </row>
    <row r="38" customFormat="false" ht="15" hidden="false" customHeight="false" outlineLevel="0" collapsed="false">
      <c r="A38" s="0" t="s">
        <v>143</v>
      </c>
      <c r="B38" s="0" t="n">
        <f aca="false">B37/Assumptions!$B$3*Assumptions!$B$10</f>
        <v>9.87756139246591</v>
      </c>
    </row>
    <row r="39" customFormat="false" ht="15" hidden="false" customHeight="false" outlineLevel="0" collapsed="false">
      <c r="A39" s="0" t="s">
        <v>144</v>
      </c>
      <c r="B39" s="4" t="n">
        <f aca="false">B38/Assumptions!$B$2-1</f>
        <v>0.30139148780842</v>
      </c>
    </row>
    <row r="41" customFormat="false" ht="15" hidden="false" customHeight="false" outlineLevel="0" collapsed="false">
      <c r="A41" s="0" t="s">
        <v>145</v>
      </c>
      <c r="B41" s="0" t="n">
        <f aca="false">SUMPRODUCT(-C10:L10/(1+$B$27/100)^C4:L4)</f>
        <v>0</v>
      </c>
    </row>
    <row r="42" customFormat="false" ht="15" hidden="false" customHeight="false" outlineLevel="0" collapsed="false">
      <c r="A42" s="0" t="s">
        <v>146</v>
      </c>
      <c r="B42" s="0" t="n">
        <f aca="false">IF(B27&gt;B28,-L10*(1+B28/100)/((B27-B28)/100),-L10*20)/(1+B27/100)^L4</f>
        <v>0</v>
      </c>
    </row>
    <row r="43" customFormat="false" ht="15" hidden="false" customHeight="false" outlineLevel="0" collapsed="false">
      <c r="A43" s="0" t="s">
        <v>147</v>
      </c>
      <c r="B43" s="0" t="n">
        <f aca="false">(B37+B41+B42)/Assumptions!$B$3*Assumptions!$B$10</f>
        <v>9.87756139246591</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2601443.04227435</v>
      </c>
    </row>
    <row r="47" customFormat="false" ht="15" hidden="false" customHeight="false" outlineLevel="0" collapsed="false">
      <c r="A47" s="0" t="s">
        <v>149</v>
      </c>
      <c r="B47" s="0" t="n">
        <f aca="false">(SUMPRODUCT(C19:L19/(1+B45/100)^C4:L4)+B46/(1+B45/100)^L4+Assumptions!$B$5-Assumptions!$B$4)/Assumptions!$B$3*Assumptions!$B$10</f>
        <v>4.9213133685383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5</v>
      </c>
      <c r="D5" s="4" t="n">
        <f aca="false">Assumptions!D41</f>
        <v>5</v>
      </c>
      <c r="E5" s="4" t="n">
        <f aca="false">Assumptions!E41</f>
        <v>4.5</v>
      </c>
      <c r="F5" s="4" t="n">
        <f aca="false">Assumptions!F41</f>
        <v>4.5</v>
      </c>
      <c r="G5" s="4" t="n">
        <f aca="false">Assumptions!G41</f>
        <v>4</v>
      </c>
      <c r="H5" s="4" t="n">
        <f aca="false">Assumptions!H41</f>
        <v>4</v>
      </c>
      <c r="I5" s="4" t="n">
        <f aca="false">Assumptions!I41</f>
        <v>3.5</v>
      </c>
      <c r="J5" s="4" t="n">
        <f aca="false">Assumptions!J41</f>
        <v>3.5</v>
      </c>
      <c r="K5" s="4" t="n">
        <f aca="false">Assumptions!K41</f>
        <v>3.5</v>
      </c>
      <c r="L5" s="4" t="n">
        <f aca="false">Assumptions!L41</f>
        <v>3.5</v>
      </c>
    </row>
    <row r="6" customFormat="false" ht="15" hidden="false" customHeight="false" outlineLevel="0" collapsed="false">
      <c r="A6" s="0" t="s">
        <v>38</v>
      </c>
      <c r="B6" s="3" t="n">
        <v>855000</v>
      </c>
      <c r="C6" s="0" t="n">
        <f aca="false">B6*(1+C5/100)</f>
        <v>897750</v>
      </c>
      <c r="D6" s="0" t="n">
        <f aca="false">C6*(1+D5/100)</f>
        <v>942637.5</v>
      </c>
      <c r="E6" s="0" t="n">
        <f aca="false">D6*(1+E5/100)</f>
        <v>985056.1875</v>
      </c>
      <c r="F6" s="0" t="n">
        <f aca="false">E6*(1+F5/100)</f>
        <v>1029383.7159375</v>
      </c>
      <c r="G6" s="0" t="n">
        <f aca="false">F6*(1+G5/100)</f>
        <v>1070559.064575</v>
      </c>
      <c r="H6" s="0" t="n">
        <f aca="false">G6*(1+H5/100)</f>
        <v>1113381.427158</v>
      </c>
      <c r="I6" s="0" t="n">
        <f aca="false">H6*(1+I5/100)</f>
        <v>1152349.77710853</v>
      </c>
      <c r="J6" s="0" t="n">
        <f aca="false">I6*(1+J5/100)</f>
        <v>1192682.01930733</v>
      </c>
      <c r="K6" s="0" t="n">
        <f aca="false">J6*(1+K5/100)</f>
        <v>1234425.88998308</v>
      </c>
      <c r="L6" s="0" t="n">
        <f aca="false">K6*(1+L5/100)</f>
        <v>1277630.79613249</v>
      </c>
    </row>
    <row r="7" customFormat="false" ht="15" hidden="false" customHeight="false" outlineLevel="0" collapsed="false">
      <c r="A7" s="0" t="s">
        <v>106</v>
      </c>
      <c r="C7" s="4" t="n">
        <f aca="false">Assumptions!C42</f>
        <v>52</v>
      </c>
      <c r="D7" s="4" t="n">
        <f aca="false">Assumptions!D42</f>
        <v>52.5</v>
      </c>
      <c r="E7" s="4" t="n">
        <f aca="false">Assumptions!E42</f>
        <v>53</v>
      </c>
      <c r="F7" s="4" t="n">
        <f aca="false">Assumptions!F42</f>
        <v>53.5</v>
      </c>
      <c r="G7" s="4" t="n">
        <f aca="false">Assumptions!G42</f>
        <v>53.5</v>
      </c>
      <c r="H7" s="4" t="n">
        <f aca="false">Assumptions!H42</f>
        <v>53.5</v>
      </c>
      <c r="I7" s="4" t="n">
        <f aca="false">Assumptions!I42</f>
        <v>53.5</v>
      </c>
      <c r="J7" s="4" t="n">
        <f aca="false">Assumptions!J42</f>
        <v>53.5</v>
      </c>
      <c r="K7" s="4" t="n">
        <f aca="false">Assumptions!K42</f>
        <v>53.5</v>
      </c>
      <c r="L7" s="4" t="n">
        <f aca="false">Assumptions!L42</f>
        <v>53.5</v>
      </c>
    </row>
    <row r="8" customFormat="false" ht="15" hidden="false" customHeight="false" outlineLevel="0" collapsed="false">
      <c r="A8" s="0" t="s">
        <v>44</v>
      </c>
      <c r="C8" s="0" t="n">
        <f aca="false">C6*C7/100</f>
        <v>466830</v>
      </c>
      <c r="D8" s="0" t="n">
        <f aca="false">D6*D7/100</f>
        <v>494884.6875</v>
      </c>
      <c r="E8" s="0" t="n">
        <f aca="false">E6*E7/100</f>
        <v>522079.779375</v>
      </c>
      <c r="F8" s="0" t="n">
        <f aca="false">F6*F7/100</f>
        <v>550720.288026562</v>
      </c>
      <c r="G8" s="0" t="n">
        <f aca="false">G6*G7/100</f>
        <v>572749.099547625</v>
      </c>
      <c r="H8" s="0" t="n">
        <f aca="false">H6*H7/100</f>
        <v>595659.06352953</v>
      </c>
      <c r="I8" s="0" t="n">
        <f aca="false">I6*I7/100</f>
        <v>616507.130753063</v>
      </c>
      <c r="J8" s="0" t="n">
        <f aca="false">J6*J7/100</f>
        <v>638084.88032942</v>
      </c>
      <c r="K8" s="0" t="n">
        <f aca="false">K6*K7/100</f>
        <v>660417.85114095</v>
      </c>
      <c r="L8" s="0" t="n">
        <f aca="false">L6*L7/100</f>
        <v>683532.475930883</v>
      </c>
    </row>
    <row r="9" customFormat="false" ht="15" hidden="false" customHeight="false" outlineLevel="0" collapsed="false">
      <c r="A9" s="0" t="s">
        <v>107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123</v>
      </c>
      <c r="C11" s="0" t="n">
        <f aca="false">C8+C10+C24</f>
        <v>466830</v>
      </c>
      <c r="D11" s="0" t="n">
        <f aca="false">D8+D10+D24</f>
        <v>494884.6875</v>
      </c>
      <c r="E11" s="0" t="n">
        <f aca="false">E8+E10+E24</f>
        <v>522079.779375</v>
      </c>
      <c r="F11" s="0" t="n">
        <f aca="false">F8+F10+F24</f>
        <v>550720.288026562</v>
      </c>
      <c r="G11" s="0" t="n">
        <f aca="false">G8+G10+G24</f>
        <v>572749.099547625</v>
      </c>
      <c r="H11" s="0" t="n">
        <f aca="false">H8+H10+H24</f>
        <v>595659.06352953</v>
      </c>
      <c r="I11" s="0" t="n">
        <f aca="false">I8+I10+I24</f>
        <v>616507.130753063</v>
      </c>
      <c r="J11" s="0" t="n">
        <f aca="false">J8+J10+J24</f>
        <v>638084.88032942</v>
      </c>
      <c r="K11" s="0" t="n">
        <f aca="false">K8+K10+K24</f>
        <v>660417.85114095</v>
      </c>
      <c r="L11" s="0" t="n">
        <f aca="false">L8+L10+L24</f>
        <v>683532.475930883</v>
      </c>
    </row>
    <row r="12" customFormat="false" ht="15" hidden="false" customHeight="false" outlineLevel="0" collapsed="false">
      <c r="A12" s="0" t="s">
        <v>124</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125</v>
      </c>
      <c r="C13" s="0" t="n">
        <f aca="false">C11+C12</f>
        <v>466830</v>
      </c>
      <c r="D13" s="0" t="n">
        <f aca="false">D11+D12</f>
        <v>494884.6875</v>
      </c>
      <c r="E13" s="0" t="n">
        <f aca="false">E11+E12</f>
        <v>522079.779375</v>
      </c>
      <c r="F13" s="0" t="n">
        <f aca="false">F11+F12</f>
        <v>550720.288026562</v>
      </c>
      <c r="G13" s="0" t="n">
        <f aca="false">G11+G12</f>
        <v>572749.099547625</v>
      </c>
      <c r="H13" s="0" t="n">
        <f aca="false">H11+H12</f>
        <v>595659.06352953</v>
      </c>
      <c r="I13" s="0" t="n">
        <f aca="false">I11+I12</f>
        <v>616507.130753063</v>
      </c>
      <c r="J13" s="0" t="n">
        <f aca="false">J11+J12</f>
        <v>638084.88032942</v>
      </c>
      <c r="K13" s="0" t="n">
        <f aca="false">K11+K12</f>
        <v>660417.85114095</v>
      </c>
      <c r="L13" s="0" t="n">
        <f aca="false">L11+L12</f>
        <v>683532.475930883</v>
      </c>
    </row>
    <row r="14" customFormat="false" ht="15" hidden="false" customHeight="false" outlineLevel="0" collapsed="false">
      <c r="A14" s="0" t="s">
        <v>111</v>
      </c>
      <c r="C14" s="4" t="n">
        <f aca="false">Assumptions!C47</f>
        <v>17</v>
      </c>
      <c r="D14" s="4" t="n">
        <f aca="false">Assumptions!D47</f>
        <v>17</v>
      </c>
      <c r="E14" s="4" t="n">
        <f aca="false">Assumptions!E47</f>
        <v>17</v>
      </c>
      <c r="F14" s="4" t="n">
        <f aca="false">Assumptions!F47</f>
        <v>17</v>
      </c>
      <c r="G14" s="4" t="n">
        <f aca="false">Assumptions!G47</f>
        <v>17</v>
      </c>
      <c r="H14" s="4" t="n">
        <f aca="false">Assumptions!H47</f>
        <v>17</v>
      </c>
      <c r="I14" s="4" t="n">
        <f aca="false">Assumptions!I47</f>
        <v>17</v>
      </c>
      <c r="J14" s="4" t="n">
        <f aca="false">Assumptions!J47</f>
        <v>17</v>
      </c>
      <c r="K14" s="4" t="n">
        <f aca="false">Assumptions!K47</f>
        <v>17</v>
      </c>
      <c r="L14" s="4" t="n">
        <f aca="false">Assumptions!L47</f>
        <v>17</v>
      </c>
    </row>
    <row r="15" customFormat="false" ht="15" hidden="false" customHeight="false" outlineLevel="0" collapsed="false">
      <c r="A15" s="0" t="s">
        <v>126</v>
      </c>
      <c r="C15" s="0" t="n">
        <f aca="false">C13-MAX(0,C13)*C14/100</f>
        <v>387468.9</v>
      </c>
      <c r="D15" s="0" t="n">
        <f aca="false">D13-MAX(0,D13)*D14/100</f>
        <v>410754.290625</v>
      </c>
      <c r="E15" s="0" t="n">
        <f aca="false">E13-MAX(0,E13)*E14/100</f>
        <v>433326.21688125</v>
      </c>
      <c r="F15" s="0" t="n">
        <f aca="false">F13-MAX(0,F13)*F14/100</f>
        <v>457097.839062047</v>
      </c>
      <c r="G15" s="0" t="n">
        <f aca="false">G13-MAX(0,G13)*G14/100</f>
        <v>475381.752624529</v>
      </c>
      <c r="H15" s="0" t="n">
        <f aca="false">H13-MAX(0,H13)*H14/100</f>
        <v>494397.02272951</v>
      </c>
      <c r="I15" s="0" t="n">
        <f aca="false">I13-MAX(0,I13)*I14/100</f>
        <v>511700.918525043</v>
      </c>
      <c r="J15" s="0" t="n">
        <f aca="false">J13-MAX(0,J13)*J14/100</f>
        <v>529610.450673419</v>
      </c>
      <c r="K15" s="0" t="n">
        <f aca="false">K13-MAX(0,K13)*K14/100</f>
        <v>548146.816446989</v>
      </c>
      <c r="L15" s="0" t="n">
        <f aca="false">L13-MAX(0,L13)*L14/100</f>
        <v>567331.955022633</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-C6*Assumptions!C46/100</f>
        <v>-265105.575</v>
      </c>
      <c r="D17" s="4" t="n">
        <f aca="false">-D6*Assumptions!D46/100</f>
        <v>-260639.26875</v>
      </c>
      <c r="E17" s="4" t="n">
        <f aca="false">-E6*Assumptions!E46/100</f>
        <v>-253257.94580625</v>
      </c>
      <c r="F17" s="4" t="n">
        <f aca="false">-F6*Assumptions!F46/100</f>
        <v>-242934.55696125</v>
      </c>
      <c r="G17" s="4" t="n">
        <f aca="false">-G6*Assumptions!G46/100</f>
        <v>-229527.86344488</v>
      </c>
      <c r="H17" s="4" t="n">
        <f aca="false">-H6*Assumptions!H46/100</f>
        <v>-213212.543300757</v>
      </c>
      <c r="I17" s="4" t="n">
        <f aca="false">-I6*Assumptions!I46/100</f>
        <v>-194055.702465076</v>
      </c>
      <c r="J17" s="4" t="n">
        <f aca="false">-J6*Assumptions!J46/100</f>
        <v>-200847.652051354</v>
      </c>
      <c r="K17" s="4" t="n">
        <f aca="false">-K6*Assumptions!K46/100</f>
        <v>-207877.319873151</v>
      </c>
      <c r="L17" s="4" t="n">
        <f aca="false">-L6*Assumptions!L46/100</f>
        <v>-215153.026068712</v>
      </c>
    </row>
    <row r="18" customFormat="false" ht="15" hidden="false" customHeight="false" outlineLevel="0" collapsed="false">
      <c r="A18" s="0" t="s">
        <v>129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130</v>
      </c>
      <c r="C19" s="0" t="n">
        <f aca="false">C15+C16+C17+C18</f>
        <v>122363.325</v>
      </c>
      <c r="D19" s="0" t="n">
        <f aca="false">D15+D16+D17+D18</f>
        <v>150115.021875</v>
      </c>
      <c r="E19" s="0" t="n">
        <f aca="false">E15+E16+E17+E18</f>
        <v>180068.271075</v>
      </c>
      <c r="F19" s="0" t="n">
        <f aca="false">F15+F16+F17+F18</f>
        <v>214163.282100797</v>
      </c>
      <c r="G19" s="0" t="n">
        <f aca="false">G15+G16+G17+G18</f>
        <v>245853.889179649</v>
      </c>
      <c r="H19" s="0" t="n">
        <f aca="false">H15+H16+H17+H18</f>
        <v>281184.479428753</v>
      </c>
      <c r="I19" s="0" t="n">
        <f aca="false">I15+I16+I17+I18</f>
        <v>317645.216059966</v>
      </c>
      <c r="J19" s="0" t="n">
        <f aca="false">J15+J16+J17+J18</f>
        <v>328762.798622065</v>
      </c>
      <c r="K19" s="0" t="n">
        <f aca="false">K15+K16+K17+K18</f>
        <v>340269.496573837</v>
      </c>
      <c r="L19" s="0" t="n">
        <f aca="false">L15+L16+L17+L18</f>
        <v>352178.928953922</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111747.328767123</v>
      </c>
      <c r="D21" s="0" t="n">
        <f aca="false">D19*D20</f>
        <v>125197.574591856</v>
      </c>
      <c r="E21" s="0" t="n">
        <f aca="false">E19*E20</f>
        <v>137149.692172836</v>
      </c>
      <c r="F21" s="0" t="n">
        <f aca="false">F19*F20</f>
        <v>148966.473637399</v>
      </c>
      <c r="G21" s="0" t="n">
        <f aca="false">G19*G20</f>
        <v>156173.192024054</v>
      </c>
      <c r="H21" s="0" t="n">
        <f aca="false">H19*H20</f>
        <v>163119.781169883</v>
      </c>
      <c r="I21" s="0" t="n">
        <f aca="false">I19*I20</f>
        <v>168284.255112049</v>
      </c>
      <c r="J21" s="0" t="n">
        <f aca="false">J19*J20</f>
        <v>159063.200037416</v>
      </c>
      <c r="K21" s="0" t="n">
        <f aca="false">K19*K20</f>
        <v>150347.408254544</v>
      </c>
      <c r="L21" s="0" t="n">
        <f aca="false">L19*L20</f>
        <v>142109.19410361</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9.5</v>
      </c>
    </row>
    <row r="28" customFormat="false" ht="15" hidden="false" customHeight="false" outlineLevel="0" collapsed="false">
      <c r="A28" s="0" t="s">
        <v>113</v>
      </c>
      <c r="B28" s="4" t="n">
        <f aca="false">Assumptions!$B$49</f>
        <v>3.5</v>
      </c>
    </row>
    <row r="29" customFormat="false" ht="15" hidden="false" customHeight="false" outlineLevel="0" collapsed="false">
      <c r="A29" s="0" t="s">
        <v>114</v>
      </c>
      <c r="B29" s="4" t="n">
        <f aca="false">Assumptions!$B$50</f>
        <v>18</v>
      </c>
    </row>
    <row r="30" customFormat="false" ht="15" hidden="false" customHeight="false" outlineLevel="0" collapsed="false">
      <c r="A30" s="0" t="s">
        <v>135</v>
      </c>
      <c r="B30" s="0" t="n">
        <f aca="false">SUM(C21:L21)</f>
        <v>1462158.09987077</v>
      </c>
    </row>
    <row r="31" customFormat="false" ht="15" hidden="false" customHeight="false" outlineLevel="0" collapsed="false">
      <c r="A31" s="0" t="s">
        <v>136</v>
      </c>
      <c r="B31" s="0" t="n">
        <f aca="false">L19</f>
        <v>352178.928953922</v>
      </c>
    </row>
    <row r="32" customFormat="false" ht="15" hidden="false" customHeight="false" outlineLevel="0" collapsed="false">
      <c r="A32" s="0" t="s">
        <v>137</v>
      </c>
      <c r="B32" s="0" t="n">
        <f aca="false">IF(B27&gt;B28,B31*(1+B28/100)/((B27-B28)/100),B31*B29)</f>
        <v>6075086.52445515</v>
      </c>
    </row>
    <row r="33" customFormat="false" ht="15" hidden="false" customHeight="false" outlineLevel="0" collapsed="false">
      <c r="A33" s="0" t="s">
        <v>138</v>
      </c>
      <c r="B33" s="0" t="n">
        <f aca="false">B31*B29</f>
        <v>6339220.72117059</v>
      </c>
    </row>
    <row r="34" customFormat="false" ht="15" hidden="false" customHeight="false" outlineLevel="0" collapsed="false">
      <c r="A34" s="0" t="s">
        <v>139</v>
      </c>
      <c r="B34" s="0" t="n">
        <f aca="false">MAX(0,MIN(B32,B33))</f>
        <v>6075086.52445515</v>
      </c>
    </row>
    <row r="35" customFormat="false" ht="15" hidden="false" customHeight="false" outlineLevel="0" collapsed="false">
      <c r="A35" s="0" t="s">
        <v>140</v>
      </c>
      <c r="B35" s="0" t="n">
        <f aca="false">B34/(1+B27/100)^L4</f>
        <v>2451383.59828728</v>
      </c>
    </row>
    <row r="36" customFormat="false" ht="15" hidden="false" customHeight="false" outlineLevel="0" collapsed="false">
      <c r="A36" s="0" t="s">
        <v>141</v>
      </c>
      <c r="B36" s="0" t="n">
        <f aca="false">B30+B35</f>
        <v>3913541.69815805</v>
      </c>
    </row>
    <row r="37" customFormat="false" ht="15" hidden="false" customHeight="false" outlineLevel="0" collapsed="false">
      <c r="A37" s="0" t="s">
        <v>142</v>
      </c>
      <c r="B37" s="0" t="n">
        <f aca="false">B36+Assumptions!$B$5-Assumptions!$B$4</f>
        <v>4013541.69815805</v>
      </c>
    </row>
    <row r="38" customFormat="false" ht="15" hidden="false" customHeight="false" outlineLevel="0" collapsed="false">
      <c r="A38" s="0" t="s">
        <v>143</v>
      </c>
      <c r="B38" s="0" t="n">
        <f aca="false">B37/Assumptions!$B$3*Assumptions!$B$10</f>
        <v>12.7829450011677</v>
      </c>
    </row>
    <row r="39" customFormat="false" ht="15" hidden="false" customHeight="false" outlineLevel="0" collapsed="false">
      <c r="A39" s="0" t="s">
        <v>144</v>
      </c>
      <c r="B39" s="4" t="n">
        <f aca="false">B38/Assumptions!$B$2-1</f>
        <v>0.684182477097192</v>
      </c>
    </row>
    <row r="41" customFormat="false" ht="15" hidden="false" customHeight="false" outlineLevel="0" collapsed="false">
      <c r="A41" s="0" t="s">
        <v>145</v>
      </c>
      <c r="B41" s="0" t="n">
        <f aca="false">SUMPRODUCT(-C10:L10/(1+$B$27/100)^C4:L4)</f>
        <v>0</v>
      </c>
    </row>
    <row r="42" customFormat="false" ht="15" hidden="false" customHeight="false" outlineLevel="0" collapsed="false">
      <c r="A42" s="0" t="s">
        <v>146</v>
      </c>
      <c r="B42" s="0" t="n">
        <f aca="false">IF(B27&gt;B28,-L10*(1+B28/100)/((B27-B28)/100),-L10*20)/(1+B27/100)^L4</f>
        <v>0</v>
      </c>
    </row>
    <row r="43" customFormat="false" ht="15" hidden="false" customHeight="false" outlineLevel="0" collapsed="false">
      <c r="A43" s="0" t="s">
        <v>147</v>
      </c>
      <c r="B43" s="0" t="n">
        <f aca="false">(B37+B41+B42)/Assumptions!$B$3*Assumptions!$B$10</f>
        <v>12.7829450011677</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3169610.36058529</v>
      </c>
    </row>
    <row r="47" customFormat="false" ht="15" hidden="false" customHeight="false" outlineLevel="0" collapsed="false">
      <c r="A47" s="0" t="s">
        <v>149</v>
      </c>
      <c r="B47" s="0" t="n">
        <f aca="false">(SUMPRODUCT(C19:L19/(1+B45/100)^C4:L4)+B46/(1+B45/100)^L4+Assumptions!$B$5-Assumptions!$B$4)/Assumptions!$B$3*Assumptions!$B$10</f>
        <v>6.36576863290112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6.78506216463797</v>
      </c>
      <c r="C4" s="0" t="n">
        <f aca="false">B4/Assumptions!$B$2-1</f>
        <v>-0.106052415726223</v>
      </c>
      <c r="D4" s="4" t="n">
        <f aca="false">Assumptions!$B$24</f>
        <v>0.3</v>
      </c>
      <c r="E4" s="4" t="n">
        <f aca="false">DCF_Bear!$B$43</f>
        <v>6.78506216463797</v>
      </c>
      <c r="F4" s="4" t="n">
        <f aca="false">DCF_Bear!$B$47</f>
        <v>3.41878634715862</v>
      </c>
    </row>
    <row r="5" customFormat="false" ht="15" hidden="false" customHeight="false" outlineLevel="0" collapsed="false">
      <c r="A5" s="0" t="s">
        <v>158</v>
      </c>
      <c r="B5" s="4" t="n">
        <f aca="false">DCF_Base!$B$38</f>
        <v>9.87756139246591</v>
      </c>
      <c r="C5" s="0" t="n">
        <f aca="false">B5/Assumptions!$B$2-1</f>
        <v>0.30139148780842</v>
      </c>
      <c r="D5" s="4" t="n">
        <f aca="false">Assumptions!$B$38</f>
        <v>0.5</v>
      </c>
      <c r="E5" s="4" t="n">
        <f aca="false">DCF_Base!$B$43</f>
        <v>9.87756139246591</v>
      </c>
      <c r="F5" s="4" t="n">
        <f aca="false">DCF_Base!$B$47</f>
        <v>4.9213133685383</v>
      </c>
    </row>
    <row r="6" customFormat="false" ht="15" hidden="false" customHeight="false" outlineLevel="0" collapsed="false">
      <c r="A6" s="0" t="s">
        <v>159</v>
      </c>
      <c r="B6" s="4" t="n">
        <f aca="false">DCF_Bull!$B$38</f>
        <v>12.7829450011677</v>
      </c>
      <c r="C6" s="0" t="n">
        <f aca="false">B6/Assumptions!$B$2-1</f>
        <v>0.684182477097192</v>
      </c>
      <c r="D6" s="4" t="n">
        <f aca="false">Assumptions!$B$52</f>
        <v>0.2</v>
      </c>
      <c r="E6" s="4" t="n">
        <f aca="false">DCF_Bull!$B$43</f>
        <v>12.7829450011677</v>
      </c>
      <c r="F6" s="4" t="n">
        <f aca="false">DCF_Bull!$B$47</f>
        <v>6.36576863290112</v>
      </c>
    </row>
    <row r="8" customFormat="false" ht="15" hidden="false" customHeight="false" outlineLevel="0" collapsed="false">
      <c r="A8" s="0" t="s">
        <v>160</v>
      </c>
      <c r="B8" s="0" t="n">
        <f aca="false">SUMPRODUCT(B4:B6,D4:D6)</f>
        <v>9.53088834585788</v>
      </c>
    </row>
    <row r="9" customFormat="false" ht="15" hidden="false" customHeight="false" outlineLevel="0" collapsed="false">
      <c r="A9" s="0" t="s">
        <v>161</v>
      </c>
      <c r="B9" s="0" t="n">
        <f aca="false">SUMPRODUCT(E4:E6,D4:D6)</f>
        <v>9.53088834585788</v>
      </c>
    </row>
    <row r="10" customFormat="false" ht="15" hidden="false" customHeight="false" outlineLevel="0" collapsed="false">
      <c r="A10" s="0" t="s">
        <v>162</v>
      </c>
      <c r="B10" s="0" t="n">
        <f aca="false">1-Assumptions!$B$2/B8</f>
        <v>0.203641914103567</v>
      </c>
    </row>
    <row r="11" customFormat="false" ht="15" hidden="false" customHeight="false" outlineLevel="0" collapsed="false">
      <c r="A11" s="0" t="s">
        <v>163</v>
      </c>
      <c r="B11" s="0" t="str">
        <f aca="false">IF(ABS(B9-B8)&gt;0.01*ABS(B8),(Assumptions!$B$2-B8)/(B9-B8)*100,"n/a")</f>
        <v>n/a</v>
      </c>
    </row>
    <row r="12" customFormat="false" ht="15" hidden="false" customHeight="false" outlineLevel="0" collapsed="false">
      <c r="A12" s="0" t="s">
        <v>164</v>
      </c>
      <c r="B12" s="0" t="n">
        <f aca="false">SUMPRODUCT(F4:F6,D4:D6)</f>
        <v>4.75944631499696</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10.7987768877138</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9.87756139246591</v>
      </c>
      <c r="C16" s="3" t="n">
        <v>9.5</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9.09117992939226</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7.82137917052603</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6.84274450146471</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4.9213133685383</v>
      </c>
      <c r="C20" s="3" t="n">
        <v>15</v>
      </c>
    </row>
    <row r="22" customFormat="false" ht="15" hidden="false" customHeight="false" outlineLevel="0" collapsed="false">
      <c r="A22" s="2" t="s">
        <v>173</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12.533119703048</v>
      </c>
      <c r="C24" s="0" t="n">
        <f aca="false">(SUMPRODUCT(DCF_Base!$C$19:$L$19/(1+$A$24/100)^DCF_Base!$C$4:$L$4)+MAX(0,MIN(IF($A$24&gt;$C$23,DCF_Base!$L$19*(1+$C$23/100)/(($A$24-$C$23)/100),DCF_Base!$L$19*DCF_Base!$B$29),DCF_Base!$L$19*DCF_Base!$B$29))/(1+$A$24/100)^DCF_Base!$L$4+Assumptions!$B$5-Assumptions!$B$4)/Assumptions!$B$3*Assumptions!$B$10</f>
        <v>12.533119703048</v>
      </c>
      <c r="D24" s="0" t="n">
        <f aca="false">(SUMPRODUCT(DCF_Base!$C$19:$L$19/(1+$A$24/100)^DCF_Base!$C$4:$L$4)+MAX(0,MIN(IF($A$24&gt;$D$23,DCF_Base!$L$19*(1+$D$23/100)/(($A$24-$D$23)/100),DCF_Base!$L$19*DCF_Base!$B$29),DCF_Base!$L$19*DCF_Base!$B$29))/(1+$A$24/100)^DCF_Base!$L$4+Assumptions!$B$5-Assumptions!$B$4)/Assumptions!$B$3*Assumptions!$B$10</f>
        <v>12.533119703048</v>
      </c>
      <c r="E24" s="0" t="n">
        <f aca="false">(SUMPRODUCT(DCF_Base!$C$19:$L$19/(1+$A$24/100)^DCF_Base!$C$4:$L$4)+MAX(0,MIN(IF($A$24&gt;$E$23,DCF_Base!$L$19*(1+$E$23/100)/(($A$24-$E$23)/100),DCF_Base!$L$19*DCF_Base!$B$29),DCF_Base!$L$19*DCF_Base!$B$29))/(1+$A$24/100)^DCF_Base!$L$4+Assumptions!$B$5-Assumptions!$B$4)/Assumptions!$B$3*Assumptions!$B$10</f>
        <v>12.533119703048</v>
      </c>
      <c r="F24" s="0" t="n">
        <f aca="false">(SUMPRODUCT(DCF_Base!$C$19:$L$19/(1+$A$24/100)^DCF_Base!$C$4:$L$4)+MAX(0,MIN(IF($A$24&gt;$F$23,DCF_Base!$L$19*(1+$F$23/100)/(($A$24-$F$23)/100),DCF_Base!$L$19*DCF_Base!$B$29),DCF_Base!$L$19*DCF_Base!$B$29))/(1+$A$24/100)^DCF_Base!$L$4+Assumptions!$B$5-Assumptions!$B$4)/Assumptions!$B$3*Assumptions!$B$10</f>
        <v>12.533119703048</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10.5960187132519</v>
      </c>
      <c r="C25" s="0" t="n">
        <f aca="false">(SUMPRODUCT(DCF_Base!$C$19:$L$19/(1+$A$25/100)^DCF_Base!$C$4:$L$4)+MAX(0,MIN(IF($A$25&gt;$C$23,DCF_Base!$L$19*(1+$C$23/100)/(($A$25-$C$23)/100),DCF_Base!$L$19*DCF_Base!$B$29),DCF_Base!$L$19*DCF_Base!$B$29))/(1+$A$25/100)^DCF_Base!$L$4+Assumptions!$B$5-Assumptions!$B$4)/Assumptions!$B$3*Assumptions!$B$10</f>
        <v>11.1898994485623</v>
      </c>
      <c r="D25" s="0" t="n">
        <f aca="false">(SUMPRODUCT(DCF_Base!$C$19:$L$19/(1+$A$25/100)^DCF_Base!$C$4:$L$4)+MAX(0,MIN(IF($A$25&gt;$D$23,DCF_Base!$L$19*(1+$D$23/100)/(($A$25-$D$23)/100),DCF_Base!$L$19*DCF_Base!$B$29),DCF_Base!$L$19*DCF_Base!$B$29))/(1+$A$25/100)^DCF_Base!$L$4+Assumptions!$B$5-Assumptions!$B$4)/Assumptions!$B$3*Assumptions!$B$10</f>
        <v>11.5812586427991</v>
      </c>
      <c r="E25" s="0" t="n">
        <f aca="false">(SUMPRODUCT(DCF_Base!$C$19:$L$19/(1+$A$25/100)^DCF_Base!$C$4:$L$4)+MAX(0,MIN(IF($A$25&gt;$E$23,DCF_Base!$L$19*(1+$E$23/100)/(($A$25-$E$23)/100),DCF_Base!$L$19*DCF_Base!$B$29),DCF_Base!$L$19*DCF_Base!$B$29))/(1+$A$25/100)^DCF_Base!$L$4+Assumptions!$B$5-Assumptions!$B$4)/Assumptions!$B$3*Assumptions!$B$10</f>
        <v>11.5812586427991</v>
      </c>
      <c r="F25" s="0" t="n">
        <f aca="false">(SUMPRODUCT(DCF_Base!$C$19:$L$19/(1+$A$25/100)^DCF_Base!$C$4:$L$4)+MAX(0,MIN(IF($A$25&gt;$F$23,DCF_Base!$L$19*(1+$F$23/100)/(($A$25-$F$23)/100),DCF_Base!$L$19*DCF_Base!$B$29),DCF_Base!$L$19*DCF_Base!$B$29))/(1+$A$25/100)^DCF_Base!$L$4+Assumptions!$B$5-Assumptions!$B$4)/Assumptions!$B$3*Assumptions!$B$10</f>
        <v>11.5812586427991</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9.00265862292479</v>
      </c>
      <c r="C26" s="0" t="n">
        <f aca="false">(SUMPRODUCT(DCF_Base!$C$19:$L$19/(1+$A$26/100)^DCF_Base!$C$4:$L$4)+MAX(0,MIN(IF($A$26&gt;$C$23,DCF_Base!$L$19*(1+$C$23/100)/(($A$26-$C$23)/100),DCF_Base!$L$19*DCF_Base!$B$29),DCF_Base!$L$19*DCF_Base!$B$29))/(1+$A$26/100)^DCF_Base!$L$4+Assumptions!$B$5-Assumptions!$B$4)/Assumptions!$B$3*Assumptions!$B$10</f>
        <v>9.40886348021174</v>
      </c>
      <c r="D26" s="0" t="n">
        <f aca="false">(SUMPRODUCT(DCF_Base!$C$19:$L$19/(1+$A$26/100)^DCF_Base!$C$4:$L$4)+MAX(0,MIN(IF($A$26&gt;$D$23,DCF_Base!$L$19*(1+$D$23/100)/(($A$26-$D$23)/100),DCF_Base!$L$19*DCF_Base!$B$29),DCF_Base!$L$19*DCF_Base!$B$29))/(1+$A$26/100)^DCF_Base!$L$4+Assumptions!$B$5-Assumptions!$B$4)/Assumptions!$B$3*Assumptions!$B$10</f>
        <v>9.87756139246591</v>
      </c>
      <c r="E26" s="0" t="n">
        <f aca="false">(SUMPRODUCT(DCF_Base!$C$19:$L$19/(1+$A$26/100)^DCF_Base!$C$4:$L$4)+MAX(0,MIN(IF($A$26&gt;$E$23,DCF_Base!$L$19*(1+$E$23/100)/(($A$26-$E$23)/100),DCF_Base!$L$19*DCF_Base!$B$29),DCF_Base!$L$19*DCF_Base!$B$29))/(1+$A$26/100)^DCF_Base!$L$4+Assumptions!$B$5-Assumptions!$B$4)/Assumptions!$B$3*Assumptions!$B$10</f>
        <v>10.4243756234291</v>
      </c>
      <c r="F26" s="0" t="n">
        <f aca="false">(SUMPRODUCT(DCF_Base!$C$19:$L$19/(1+$A$26/100)^DCF_Base!$C$4:$L$4)+MAX(0,MIN(IF($A$26&gt;$F$23,DCF_Base!$L$19*(1+$F$23/100)/(($A$26-$F$23)/100),DCF_Base!$L$19*DCF_Base!$B$29),DCF_Base!$L$19*DCF_Base!$B$29))/(1+$A$26/100)^DCF_Base!$L$4+Assumptions!$B$5-Assumptions!$B$4)/Assumptions!$B$3*Assumptions!$B$10</f>
        <v>10.7165092536697</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7.79607143317061</v>
      </c>
      <c r="C27" s="0" t="n">
        <f aca="false">(SUMPRODUCT(DCF_Base!$C$19:$L$19/(1+$A$27/100)^DCF_Base!$C$4:$L$4)+MAX(0,MIN(IF($A$27&gt;$C$23,DCF_Base!$L$19*(1+$C$23/100)/(($A$27-$C$23)/100),DCF_Base!$L$19*DCF_Base!$B$29),DCF_Base!$L$19*DCF_Base!$B$29))/(1+$A$27/100)^DCF_Base!$L$4+Assumptions!$B$5-Assumptions!$B$4)/Assumptions!$B$3*Assumptions!$B$10</f>
        <v>8.08504763151631</v>
      </c>
      <c r="D27" s="0" t="n">
        <f aca="false">(SUMPRODUCT(DCF_Base!$C$19:$L$19/(1+$A$27/100)^DCF_Base!$C$4:$L$4)+MAX(0,MIN(IF($A$27&gt;$D$23,DCF_Base!$L$19*(1+$D$23/100)/(($A$27-$D$23)/100),DCF_Base!$L$19*DCF_Base!$B$29),DCF_Base!$L$19*DCF_Base!$B$29))/(1+$A$27/100)^DCF_Base!$L$4+Assumptions!$B$5-Assumptions!$B$4)/Assumptions!$B$3*Assumptions!$B$10</f>
        <v>8.41255398964144</v>
      </c>
      <c r="E27" s="0" t="n">
        <f aca="false">(SUMPRODUCT(DCF_Base!$C$19:$L$19/(1+$A$27/100)^DCF_Base!$C$4:$L$4)+MAX(0,MIN(IF($A$27&gt;$E$23,DCF_Base!$L$19*(1+$E$23/100)/(($A$27-$E$23)/100),DCF_Base!$L$19*DCF_Base!$B$29),DCF_Base!$L$19*DCF_Base!$B$29))/(1+$A$27/100)^DCF_Base!$L$4+Assumptions!$B$5-Assumptions!$B$4)/Assumptions!$B$3*Assumptions!$B$10</f>
        <v>8.78684697035587</v>
      </c>
      <c r="F27" s="0" t="n">
        <f aca="false">(SUMPRODUCT(DCF_Base!$C$19:$L$19/(1+$A$27/100)^DCF_Base!$C$4:$L$4)+MAX(0,MIN(IF($A$27&gt;$F$23,DCF_Base!$L$19*(1+$F$23/100)/(($A$27-$F$23)/100),DCF_Base!$L$19*DCF_Base!$B$29),DCF_Base!$L$19*DCF_Base!$B$29))/(1+$A$27/100)^DCF_Base!$L$4+Assumptions!$B$5-Assumptions!$B$4)/Assumptions!$B$3*Assumptions!$B$10</f>
        <v>9.21872348656483</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6.85334054807734</v>
      </c>
      <c r="C28" s="0" t="n">
        <f aca="false">(SUMPRODUCT(DCF_Base!$C$19:$L$19/(1+$A$28/100)^DCF_Base!$C$4:$L$4)+MAX(0,MIN(IF($A$28&gt;$C$23,DCF_Base!$L$19*(1+$C$23/100)/(($A$28-$C$23)/100),DCF_Base!$L$19*DCF_Base!$B$29),DCF_Base!$L$19*DCF_Base!$B$29))/(1+$A$28/100)^DCF_Base!$L$4+Assumptions!$B$5-Assumptions!$B$4)/Assumptions!$B$3*Assumptions!$B$10</f>
        <v>7.06527012301803</v>
      </c>
      <c r="D28" s="0" t="n">
        <f aca="false">(SUMPRODUCT(DCF_Base!$C$19:$L$19/(1+$A$28/100)^DCF_Base!$C$4:$L$4)+MAX(0,MIN(IF($A$28&gt;$D$23,DCF_Base!$L$19*(1+$D$23/100)/(($A$28-$D$23)/100),DCF_Base!$L$19*DCF_Base!$B$29),DCF_Base!$L$19*DCF_Base!$B$29))/(1+$A$28/100)^DCF_Base!$L$4+Assumptions!$B$5-Assumptions!$B$4)/Assumptions!$B$3*Assumptions!$B$10</f>
        <v>7.30213258912821</v>
      </c>
      <c r="E28" s="0" t="n">
        <f aca="false">(SUMPRODUCT(DCF_Base!$C$19:$L$19/(1+$A$28/100)^DCF_Base!$C$4:$L$4)+MAX(0,MIN(IF($A$28&gt;$E$23,DCF_Base!$L$19*(1+$E$23/100)/(($A$28-$E$23)/100),DCF_Base!$L$19*DCF_Base!$B$29),DCF_Base!$L$19*DCF_Base!$B$29))/(1+$A$28/100)^DCF_Base!$L$4+Assumptions!$B$5-Assumptions!$B$4)/Assumptions!$B$3*Assumptions!$B$10</f>
        <v>7.56860286350217</v>
      </c>
      <c r="F28" s="0" t="n">
        <f aca="false">(SUMPRODUCT(DCF_Base!$C$19:$L$19/(1+$A$28/100)^DCF_Base!$C$4:$L$4)+MAX(0,MIN(IF($A$28&gt;$F$23,DCF_Base!$L$19*(1+$F$23/100)/(($A$28-$F$23)/100),DCF_Base!$L$19*DCF_Base!$B$29),DCF_Base!$L$19*DCF_Base!$B$29))/(1+$A$28/100)^DCF_Base!$L$4+Assumptions!$B$5-Assumptions!$B$4)/Assumptions!$B$3*Assumptions!$B$10</f>
        <v>7.87060250779265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2026-10-16T11:40:12Z</dcterms:created>
  <dc:creator>openpyxl</dc:creator>
  <dc:description/>
  <dc:language>en-NZ</dc:language>
  <cp:lastModifiedBy/>
  <dcterms:modified xsi:type="dcterms:W3CDTF">2026-10-16T11:40:12Z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