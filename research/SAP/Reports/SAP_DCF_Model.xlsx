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<sst xmlns="http://schemas.openxmlformats.org/spreadsheetml/2006/main" count="363" uniqueCount="168">
  <si>
    <t xml:space="preserve">Ticker</t>
  </si>
  <si>
    <t xml:space="preserve">SAP</t>
  </si>
  <si>
    <t xml:space="preserve">Company</t>
  </si>
  <si>
    <t xml:space="preserve">SAP SE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</si>
  <si>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</si>
  <si>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</si>
  <si>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</si>
  <si>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</si>
  <si>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valuation dated Saturday 2026-10-04, no newer session)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</si>
  <si>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</si>
  <si>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</si>
  <si>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</si>
  <si>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</si>
  <si>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</si>
  <si>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</si>
  <si>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</si>
  <si>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</si>
  <si>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</si>
  <si>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</si>
  <si>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</si>
  <si>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</si>
  <si>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</si>
  <si>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2026-10-04T07:37:36Z</t>
  </si>
  <si>
    <t xml:space="preserve">Drivers file</t>
  </si>
  <si>
    <t xml:space="preserve">SAP_Drivers.json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</si>
  <si>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</si>
  <si>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</si>
  <si>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</si>
  <si>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SAP is valued as a stream of owner free cash flow in EUR -- SBC charged once in the flows at the IFRS 2 expense, leases as an operating cost, share count flat, WACC built from Bund yields -- and converted to USD at spot for comparison with the NYSE ADR. The business is a high-switching-cost systems-of-record franchise mid-way through a forced on-premise-to-cloud migration that ends in Dec-2027, so the near-term path is unusually visible (backlog, guidance) and the long-term question is what the franchise earns once the migration is done and whether agentic AI changes how enterprise software is priced. The scenarios differ on three axes: how much of the ECC base SAP keeps, where pre-SBC margins plateau (37% / 41% / 44%), and the terminal growth and cap that follow from the AI-pricing debate. One discount rate across all scenarios; risk is in the weights and the flows.
key_risks_to_valuation: Margin plateau assumption: each 1pp of mature pre-SBC EBITDA margin is worth roughly EUR 4-5/share; management has declined to raise FY2026 profit guidance despite revenue beats; Terminal value is the majority of EV at an 8.5% WACC; a 1pp move in WACC or 0.5pp in terminal growth moves the base value by double digits (see sensitivity grid); Balance-sheet anchors are FY2025 (2025-12-31); H1-2026 acquisitions, dividend, Teradata settlement and buybacks are only partly reflected via equity_bridge until the H1 report is extracted; SBC settlement mechanics: SAP's awards are largely cash-settled and mark-to-market, so the IFRS 2 expense (and hence the 4.5% SBC charge) swings with the share price; the house last_fcf also double-counts the cash-settled portion for FY2025 (see inputs.notes); D&amp;A split, lease payments and the diluted share count are reasoned from XBRL totals and public disclosure, not read off extracted filing text -- each could be off by a few tenths of a percent of revenue; EUR/USD: the ADR value moves 1:1 with the rate; at 1.20 (the 52-week high) the same EUR value is ~6.6% higher in USD; Regulatory outcomes (EU Commission, DOJ, Celonis) could force changes to maintenance and data-access practices that the bear case only partly prices</t>
  </si>
  <si>
    <t xml:space="preserve">Data sources</t>
  </si>
  <si>
    <t xml:space="preserve">price: Yahoo Finance chart API, NYSE ADR regular close at inputs.price_as_of; 52-week range 144.97-281.37 USD. Frankfurt SAP.DE close and Yahoo EURUSD=X used for the parity check recorded in inputs.fx_note.
financials: research/SAP/Reports/SAP_Metrics.csv -- SEC XBRL IFRS taxonomy data from the 20-F filings, FY2015-FY2025, EUR, converted from whole euros to millions here. No extracted filing text exists for this ticker.
qualitative: research/SAP/Reports/SAP_Analysis.json (2026-10-04): business model, revenue mix, Q2-2026 guidance, recent developments, bull/bear cases, risks.</t>
  </si>
  <si>
    <t xml:space="preserve">Scenario narrative: bear</t>
  </si>
  <si>
    <t xml:space="preserve">Agentic AI compresses per-seat SaaS economics industry-wide and SAP's cloud pricing power erodes; SI capacity bottlenecks ahead of 2027 push a meaningful minority of ECC customers to extended maintenance, third-party support (helped by an adverse EU Commission or DOJ outcome on maintenance practices) or to Oracle/Workday/Microsoft, so cloud growth fades to the low teens by FY2028 while the legacy decline continues unabated. Total revenue growth drops from 9% to 3% within four years and sits at 2.5% by year 8. The AI investment phase is not temporary: margins stall at ~37% pre-SBC EBITDA, SBC stays at 4.6% of revenue, and continued bolt-on M&amp;A dilutes further. The Celonis antitrust trial forces changes to data-access and bundling practices. Terminal growth 2.0% and a 15x cap reflect a mature, slower franchise.</t>
  </si>
  <si>
    <t xml:space="preserve">Scenario narrative: base</t>
  </si>
  <si>
    <t xml:space="preserve">SAP converts the bulk of its ~35,000-customer ECC base to S/4HANA Cloud through the Dec-2027 maintenance cliff: cloud grows ~24% in FY2026 and stays above 15% through FY2028 while support (-7%/yr) and licences (-25%/yr) shrink to a remainder, so total revenue compounds ~10% for two years then decelerates to GDP-plus by year 8. The +27% current cloud backlog underwrites the first two years. Operating leverage arrives as management says it will -- the AI/R&amp;D investment phase is temporary -- taking pre-SBC EBITDA from 34.5% to 41% by FY2032, but no faster, because the cloud mix dilutes gross margin and SAP has to keep buying data/AI capabilities (Dremio, Reltio, Prior Labs) to stay credible in agentic workflows. Business AI/Joule and Business Data Cloud expand wallet share modestly rather than transformatively. Regulatory matters (EU probe, DOJ, Celonis trial Dec-2026) cost money and management time but do not change the maintenance model.</t>
  </si>
  <si>
    <t xml:space="preserve">Scenario narrative: bull</t>
  </si>
  <si>
    <t xml:space="preserve">The migration wave is larger and stickier than the base assumes: SI capacity holds, agent-led migration tooling cuts conversion effort ~35%, and the ~60% of ECC customers who had not started by 2025 overwhelmingly stay with SAP rather than defecting to Oracle Fusion or Workday. Business AI/BDC, already in &gt;90% of top-50 deals, becomes a priced layer on top of core ERP, so cloud growth holds above 20% into FY2028 and total revenue compounds 11-12% for three years. Margins expand ~1.5pp/yr to a 44% pre-SBC EBITDA plateau -- still shy of Oracle/Microsoft -- as AI tooling costs normalise and R&amp;D ratios revert. Deferred-revenue capture runs at 15% on the stronger bookings. Terminal growth 3.0% reflects a durable recurring base with pricing power. The SaaSpocalypse narrative proves wrong for systems-of-record ERP, where seats are not the pricing unit.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</si>
  <si>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</si>
  <si>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</si>
  <si>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</si>
  <si>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</si>
  <si>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</si>
  <si>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</si>
  <si>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</si>
  <si>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</si>
  <si>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</si>
  <si>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</si>
  <si>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</si>
  <si>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</si>
  <si>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</si>
  <si>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</si>
  <si>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</si>
  <si>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</si>
  <si>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</si>
  <si>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</si>
  <si>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</si>
  <si>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</si>
  <si>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</si>
  <si>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</si>
  <si>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</si>
  <si>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</si>
  <si>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</si>
  <si>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</si>
  <si>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</si>
  <si>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</si>
  <si>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absolute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</si>
  <si>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</si>
  <si>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</si>
  <si>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</si>
  <si>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</si>
  <si>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</si>
  <si>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</si>
  <si>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</si>
  <si>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</si>
  <si>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</si>
  <si>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</si>
  <si>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</si>
  <si>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</si>
  <si>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</si>
  <si>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</si>
  <si>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</si>
  <si>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</si>
  <si>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</si>
  <si>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</si>
  <si>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</si>
  <si>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</si>
  <si>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</si>
  <si>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</si>
  <si>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</si>
  <si>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</si>
  <si>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</si>
  <si>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</si>
  <si>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</si>
  <si>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</si>
  <si>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</si>
  <si>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</si>
  <si>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</si>
  <si>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</si>
  <si>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</si>
  <si>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</si>
  <si>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</si>
  <si>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</si>
  <si>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</si>
  <si>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</si>
  <si>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</si>
  <si>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</si>
  <si>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</si>
  <si>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</si>
  <si>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</si>
  <si>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</si>
  <si>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</si>
  <si>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</si>
  <si>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</si>
  <si>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SAP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</si>
  <si>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</si>
  <si>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</si>
  <si>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</si>
  <si>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</si>
  <si>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</si>
  <si>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</si>
  <si>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</si>
  <si>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</si>
  <si>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</si>
  <si>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</si>
  <si>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</si>
  <si>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</si>
  <si>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</si>
  <si>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</si>
  <si>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</si>
  <si>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</si>
  <si>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</si>
  <si>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</si>
  <si>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</si>
  <si>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</si>
  <si>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</si>
  <si>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</si>
  <si>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</si>
  <si>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</si>
  <si>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</si>
  <si>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</si>
  <si>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</si>
  <si>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</si>
  <si>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</si>
  <si>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</si>
  <si>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SAP owner-FCF component DCF: base case (millions, EUR)</t>
  </si>
  <si>
    <t xml:space="preserve">SAP owner-FCF component DCF: bull case (millions, EUR)</t>
  </si>
  <si>
    <t xml:space="preserve">SAP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</si>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</sst>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208.57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20793000000</v>
      </c>
      <c r="C2" s="0" t="n">
        <v>6245000000</v>
      </c>
      <c r="D2" s="0" t="n">
        <v>14548000000</v>
      </c>
      <c r="F2" s="0" t="n">
        <v>4252000000</v>
      </c>
      <c r="I2" s="0" t="n">
        <v>3064000000</v>
      </c>
      <c r="K2" s="0" t="n">
        <v>2.56</v>
      </c>
      <c r="L2" s="0" t="n">
        <v>3638000000</v>
      </c>
      <c r="M2" s="0" t="n">
        <v>636000000</v>
      </c>
      <c r="N2" s="0" t="n">
        <v>3002000000</v>
      </c>
      <c r="S2" s="0" t="n">
        <v>3411000000</v>
      </c>
      <c r="T2" s="0" t="n">
        <v>1229000000</v>
      </c>
      <c r="AA2" s="0" t="s">
        <v>65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22062000000</v>
      </c>
      <c r="C3" s="0" t="n">
        <v>6583000000</v>
      </c>
      <c r="D3" s="0" t="n">
        <v>15479000000</v>
      </c>
      <c r="F3" s="0" t="n">
        <v>5135000000</v>
      </c>
      <c r="I3" s="0" t="n">
        <v>3642000000</v>
      </c>
      <c r="K3" s="0" t="n">
        <v>3.04</v>
      </c>
      <c r="L3" s="0" t="n">
        <v>4628000000</v>
      </c>
      <c r="M3" s="0" t="n">
        <v>1001000000</v>
      </c>
      <c r="N3" s="0" t="n">
        <v>3627000000</v>
      </c>
      <c r="O3" s="0" t="n">
        <v>26376000000</v>
      </c>
      <c r="P3" s="0" t="n">
        <v>44277000000</v>
      </c>
      <c r="Q3" s="0" t="n">
        <v>17880000000</v>
      </c>
      <c r="R3" s="0" t="n">
        <v>7825000000</v>
      </c>
      <c r="S3" s="0" t="n">
        <v>3702000000</v>
      </c>
      <c r="T3" s="0" t="n">
        <v>1229000000</v>
      </c>
      <c r="V3" s="0" t="n">
        <v>1.15</v>
      </c>
      <c r="AA3" s="0" t="s">
        <v>65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23461000000</v>
      </c>
      <c r="C4" s="0" t="n">
        <v>7051000000</v>
      </c>
      <c r="D4" s="0" t="n">
        <v>16410000000</v>
      </c>
      <c r="F4" s="0" t="n">
        <v>4877000000</v>
      </c>
      <c r="I4" s="0" t="n">
        <v>4008000000</v>
      </c>
      <c r="K4" s="0" t="n">
        <v>3.35</v>
      </c>
      <c r="L4" s="0" t="n">
        <v>5045000000</v>
      </c>
      <c r="M4" s="0" t="n">
        <v>1275000000</v>
      </c>
      <c r="N4" s="0" t="n">
        <v>3770000000</v>
      </c>
      <c r="O4" s="0" t="n">
        <v>25484000000</v>
      </c>
      <c r="P4" s="0" t="n">
        <v>42484000000</v>
      </c>
      <c r="Q4" s="0" t="n">
        <v>16969000000</v>
      </c>
      <c r="R4" s="0" t="n">
        <v>6264000000</v>
      </c>
      <c r="S4" s="0" t="n">
        <v>4011000000</v>
      </c>
      <c r="T4" s="0" t="n">
        <v>1229000000</v>
      </c>
      <c r="U4" s="0" t="n">
        <v>1120000000</v>
      </c>
      <c r="V4" s="0" t="n">
        <v>1.25</v>
      </c>
      <c r="AA4" s="0" t="s">
        <v>65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24708000000</v>
      </c>
      <c r="C5" s="0" t="n">
        <v>7462000000</v>
      </c>
      <c r="D5" s="0" t="n">
        <v>17246000000</v>
      </c>
      <c r="F5" s="0" t="n">
        <v>5703000000</v>
      </c>
      <c r="I5" s="0" t="n">
        <v>4083000000</v>
      </c>
      <c r="K5" s="0" t="n">
        <v>3.42</v>
      </c>
      <c r="L5" s="0" t="n">
        <v>4303000000</v>
      </c>
      <c r="M5" s="0" t="n">
        <v>1458000000</v>
      </c>
      <c r="N5" s="0" t="n">
        <v>2845000000</v>
      </c>
      <c r="O5" s="0" t="n">
        <v>28832000000</v>
      </c>
      <c r="P5" s="0" t="n">
        <v>51502000000</v>
      </c>
      <c r="Q5" s="0" t="n">
        <v>22624000000</v>
      </c>
      <c r="R5" s="0" t="n">
        <v>11331000000</v>
      </c>
      <c r="S5" s="0" t="n">
        <v>8627000000</v>
      </c>
      <c r="T5" s="0" t="n">
        <v>1229000000</v>
      </c>
      <c r="U5" s="0" t="n">
        <v>830000000</v>
      </c>
      <c r="V5" s="0" t="n">
        <v>1.4</v>
      </c>
      <c r="AA5" s="0" t="s">
        <v>65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27553000000</v>
      </c>
      <c r="C6" s="0" t="n">
        <v>8355000000</v>
      </c>
      <c r="D6" s="0" t="n">
        <v>19199000000</v>
      </c>
      <c r="F6" s="0" t="n">
        <v>4473000000</v>
      </c>
      <c r="I6" s="0" t="n">
        <v>3321000000</v>
      </c>
      <c r="K6" s="0" t="n">
        <v>2.78</v>
      </c>
      <c r="L6" s="0" t="n">
        <v>3496000000</v>
      </c>
      <c r="M6" s="0" t="n">
        <v>817000000</v>
      </c>
      <c r="N6" s="0" t="n">
        <v>2679000000</v>
      </c>
      <c r="O6" s="0" t="n">
        <v>30746000000</v>
      </c>
      <c r="P6" s="0" t="n">
        <v>60212000000</v>
      </c>
      <c r="Q6" s="0" t="n">
        <v>29390000000</v>
      </c>
      <c r="R6" s="0" t="n">
        <v>13668000000</v>
      </c>
      <c r="S6" s="0" t="n">
        <v>5314000000</v>
      </c>
      <c r="T6" s="0" t="n">
        <v>1229000000</v>
      </c>
      <c r="U6" s="0" t="n">
        <v>1835000000</v>
      </c>
      <c r="V6" s="0" t="n">
        <v>1.5</v>
      </c>
      <c r="AA6" s="0" t="s">
        <v>65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27338000000</v>
      </c>
      <c r="C7" s="0" t="n">
        <v>7886000000</v>
      </c>
      <c r="D7" s="0" t="n">
        <v>19453000000</v>
      </c>
      <c r="F7" s="0" t="n">
        <v>6623000000</v>
      </c>
      <c r="I7" s="0" t="n">
        <v>5145000000</v>
      </c>
      <c r="K7" s="0" t="n">
        <v>4.35</v>
      </c>
      <c r="L7" s="0" t="n">
        <v>7194000000</v>
      </c>
      <c r="M7" s="0" t="n">
        <v>816000000</v>
      </c>
      <c r="N7" s="0" t="n">
        <v>6378000000</v>
      </c>
      <c r="O7" s="0" t="n">
        <v>29716000000</v>
      </c>
      <c r="P7" s="0" t="n">
        <v>58464000000</v>
      </c>
      <c r="Q7" s="0" t="n">
        <v>28537000000</v>
      </c>
      <c r="R7" s="0" t="n">
        <v>13283000000</v>
      </c>
      <c r="S7" s="0" t="n">
        <v>5311000000</v>
      </c>
      <c r="T7" s="0" t="n">
        <v>1229000000</v>
      </c>
      <c r="U7" s="0" t="n">
        <v>1084000000</v>
      </c>
      <c r="V7" s="0" t="n">
        <v>1.58</v>
      </c>
      <c r="AA7" s="0" t="s">
        <v>65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26953000000</v>
      </c>
      <c r="C8" s="0" t="n">
        <v>7219000000</v>
      </c>
      <c r="D8" s="0" t="n">
        <v>19734000000</v>
      </c>
      <c r="F8" s="0" t="n">
        <v>6308000000</v>
      </c>
      <c r="I8" s="0" t="n">
        <v>5256000000</v>
      </c>
      <c r="K8" s="0" t="n">
        <v>4.46</v>
      </c>
      <c r="L8" s="0" t="n">
        <v>6223000000</v>
      </c>
      <c r="M8" s="0" t="n">
        <v>701000000</v>
      </c>
      <c r="N8" s="0" t="n">
        <v>5522000000</v>
      </c>
      <c r="O8" s="0" t="n">
        <v>38853000000</v>
      </c>
      <c r="P8" s="0" t="n">
        <v>71174000000</v>
      </c>
      <c r="Q8" s="0" t="n">
        <v>29651000000</v>
      </c>
      <c r="R8" s="0" t="n">
        <v>13094000000</v>
      </c>
      <c r="S8" s="0" t="n">
        <v>8898000000</v>
      </c>
      <c r="T8" s="0" t="n">
        <v>1229000000</v>
      </c>
      <c r="U8" s="0" t="n">
        <v>1335000000</v>
      </c>
      <c r="V8" s="0" t="n">
        <v>1.85</v>
      </c>
      <c r="AA8" s="0" t="s">
        <v>65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29520000000</v>
      </c>
      <c r="C9" s="0" t="n">
        <v>8038000000</v>
      </c>
      <c r="D9" s="0" t="n">
        <v>21482000000</v>
      </c>
      <c r="F9" s="0" t="n">
        <v>5914000000</v>
      </c>
      <c r="I9" s="0" t="n">
        <v>2284000000</v>
      </c>
      <c r="K9" s="0" t="n">
        <v>1.95</v>
      </c>
      <c r="L9" s="0" t="n">
        <v>5647000000</v>
      </c>
      <c r="M9" s="0" t="n">
        <v>877000000</v>
      </c>
      <c r="N9" s="0" t="n">
        <v>4770000000</v>
      </c>
      <c r="O9" s="0" t="n">
        <v>40186000000</v>
      </c>
      <c r="P9" s="0" t="n">
        <v>72159000000</v>
      </c>
      <c r="Q9" s="0" t="n">
        <v>29311000000</v>
      </c>
      <c r="R9" s="0" t="n">
        <v>11764000000</v>
      </c>
      <c r="S9" s="0" t="n">
        <v>9008000000</v>
      </c>
      <c r="T9" s="0" t="n">
        <v>1229000000</v>
      </c>
      <c r="U9" s="0" t="n">
        <v>1431000000</v>
      </c>
      <c r="V9" s="0" t="n">
        <v>2.45</v>
      </c>
      <c r="AA9" s="0" t="s">
        <v>65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31207000000</v>
      </c>
      <c r="C10" s="0" t="n">
        <v>8674000000</v>
      </c>
      <c r="D10" s="0" t="n">
        <v>22534000000</v>
      </c>
      <c r="F10" s="0" t="n">
        <v>5799000000</v>
      </c>
      <c r="I10" s="0" t="n">
        <v>6139000000</v>
      </c>
      <c r="K10" s="0" t="n">
        <v>5.26</v>
      </c>
      <c r="L10" s="0" t="n">
        <v>6246000000</v>
      </c>
      <c r="M10" s="0" t="n">
        <v>785000000</v>
      </c>
      <c r="N10" s="0" t="n">
        <v>5461000000</v>
      </c>
      <c r="O10" s="0" t="n">
        <v>43157000000</v>
      </c>
      <c r="P10" s="0" t="n">
        <v>68331000000</v>
      </c>
      <c r="Q10" s="0" t="n">
        <v>24925000000</v>
      </c>
      <c r="R10" s="0" t="n">
        <v>7755000000</v>
      </c>
      <c r="S10" s="0" t="n">
        <v>8124000000</v>
      </c>
      <c r="T10" s="0" t="n">
        <v>1229000000</v>
      </c>
      <c r="U10" s="0" t="n">
        <v>2220000000</v>
      </c>
      <c r="V10" s="0" t="n">
        <v>2.05</v>
      </c>
      <c r="AA10" s="0" t="s">
        <v>65</v>
      </c>
      <c r="AB10" s="0" t="s">
        <v>14</v>
      </c>
    </row>
    <row r="11" customFormat="false" ht="15" hidden="false" customHeight="false" outlineLevel="0" collapsed="false">
      <c r="A11" s="0" t="s">
        <v>74</v>
      </c>
      <c r="B11" s="0" t="n">
        <v>34176000000</v>
      </c>
      <c r="C11" s="0" t="n">
        <v>9243000000</v>
      </c>
      <c r="D11" s="0" t="n">
        <v>24932000000</v>
      </c>
      <c r="F11" s="0" t="n">
        <v>4665000000</v>
      </c>
      <c r="I11" s="0" t="n">
        <v>3124000000</v>
      </c>
      <c r="K11" s="0" t="n">
        <v>2.68</v>
      </c>
      <c r="L11" s="0" t="n">
        <v>5207000000</v>
      </c>
      <c r="M11" s="0" t="n">
        <v>797000000</v>
      </c>
      <c r="N11" s="0" t="n">
        <v>4410000000</v>
      </c>
      <c r="O11" s="0" t="n">
        <v>45438000000</v>
      </c>
      <c r="P11" s="0" t="n">
        <v>74237000000</v>
      </c>
      <c r="Q11" s="0" t="n">
        <v>28431000000</v>
      </c>
      <c r="R11" s="0" t="n">
        <v>9385000000</v>
      </c>
      <c r="S11" s="0" t="n">
        <v>9609000000</v>
      </c>
      <c r="T11" s="0" t="n">
        <v>1229000000</v>
      </c>
      <c r="U11" s="0" t="n">
        <v>2385000000</v>
      </c>
      <c r="V11" s="0" t="n">
        <v>2.2</v>
      </c>
      <c r="AA11" s="0" t="s">
        <v>65</v>
      </c>
      <c r="AB11" s="0" t="s">
        <v>14</v>
      </c>
    </row>
    <row r="12" customFormat="false" ht="15" hidden="false" customHeight="false" outlineLevel="0" collapsed="false">
      <c r="A12" s="0" t="s">
        <v>75</v>
      </c>
      <c r="B12" s="0" t="n">
        <v>36800000000</v>
      </c>
      <c r="C12" s="0" t="n">
        <v>9986000000</v>
      </c>
      <c r="D12" s="0" t="n">
        <v>26814000000</v>
      </c>
      <c r="F12" s="0" t="n">
        <v>9617000000</v>
      </c>
      <c r="I12" s="0" t="n">
        <v>7161000000</v>
      </c>
      <c r="K12" s="0" t="n">
        <v>6.14</v>
      </c>
      <c r="L12" s="0" t="n">
        <v>9156000000</v>
      </c>
      <c r="M12" s="0" t="n">
        <v>739000000</v>
      </c>
      <c r="N12" s="0" t="n">
        <v>8417000000</v>
      </c>
      <c r="O12" s="0" t="n">
        <v>44586000000</v>
      </c>
      <c r="P12" s="0" t="n">
        <v>70362000000</v>
      </c>
      <c r="Q12" s="0" t="n">
        <v>25288000000</v>
      </c>
      <c r="R12" s="0" t="n">
        <v>6150000000</v>
      </c>
      <c r="S12" s="0" t="n">
        <v>8220000000</v>
      </c>
      <c r="T12" s="0" t="n">
        <v>1229000000</v>
      </c>
      <c r="U12" s="0" t="n">
        <v>1695000000</v>
      </c>
      <c r="V12" s="0" t="n">
        <v>2.35</v>
      </c>
      <c r="AA12" s="0" t="s">
        <v>65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208.57</v>
      </c>
    </row>
    <row r="3" customFormat="false" ht="15" hidden="false" customHeight="false" outlineLevel="0" collapsed="false">
      <c r="A3" s="0" t="s">
        <v>79</v>
      </c>
      <c r="B3" s="3" t="n">
        <v>1167</v>
      </c>
    </row>
    <row r="4" customFormat="false" ht="15" hidden="false" customHeight="false" outlineLevel="0" collapsed="false">
      <c r="A4" s="0" t="s">
        <v>80</v>
      </c>
      <c r="B4" s="3" t="n">
        <v>-2070</v>
      </c>
    </row>
    <row r="5" customFormat="false" ht="15" hidden="false" customHeight="false" outlineLevel="0" collapsed="false">
      <c r="A5" s="0" t="s">
        <v>81</v>
      </c>
      <c r="B5" s="3" t="n">
        <v>-2076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36800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1.1257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9</v>
      </c>
      <c r="D13" s="3" t="n">
        <v>7</v>
      </c>
      <c r="E13" s="3" t="n">
        <v>5</v>
      </c>
      <c r="F13" s="3" t="n">
        <v>4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100</v>
      </c>
      <c r="C14" s="3" t="n">
        <v>36</v>
      </c>
      <c r="D14" s="3" t="n">
        <v>36.5</v>
      </c>
      <c r="E14" s="3" t="n">
        <v>36.5</v>
      </c>
      <c r="F14" s="3" t="n">
        <v>37</v>
      </c>
      <c r="G14" s="3" t="n">
        <v>37</v>
      </c>
      <c r="H14" s="3" t="n">
        <v>37</v>
      </c>
      <c r="I14" s="3" t="n">
        <v>37</v>
      </c>
      <c r="J14" s="3" t="n">
        <v>37</v>
      </c>
      <c r="K14" s="3" t="n">
        <v>37</v>
      </c>
      <c r="L14" s="3" t="n">
        <v>37</v>
      </c>
    </row>
    <row r="15" customFormat="false" ht="15" hidden="false" customHeight="false" outlineLevel="0" collapsed="false">
      <c r="A15" s="0" t="s">
        <v>101</v>
      </c>
      <c r="C15" s="3" t="n">
        <v>4.6</v>
      </c>
      <c r="D15" s="3" t="n">
        <v>4.6</v>
      </c>
      <c r="E15" s="3" t="n">
        <v>4.6</v>
      </c>
      <c r="F15" s="3" t="n">
        <v>4.6</v>
      </c>
      <c r="G15" s="3" t="n">
        <v>4.6</v>
      </c>
      <c r="H15" s="3" t="n">
        <v>4.6</v>
      </c>
      <c r="I15" s="3" t="n">
        <v>4.6</v>
      </c>
      <c r="J15" s="3" t="n">
        <v>4.6</v>
      </c>
      <c r="K15" s="3" t="n">
        <v>4.6</v>
      </c>
      <c r="L15" s="3" t="n">
        <v>4.6</v>
      </c>
    </row>
    <row r="16" customFormat="false" ht="15" hidden="false" customHeight="false" outlineLevel="0" collapsed="false">
      <c r="A16" s="0" t="s">
        <v>102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103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104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105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106</v>
      </c>
      <c r="B20" s="3" t="n">
        <v>8.5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15</v>
      </c>
    </row>
    <row r="23" customFormat="false" ht="15" hidden="false" customHeight="false" outlineLevel="0" collapsed="false">
      <c r="A23" s="0" t="s">
        <v>109</v>
      </c>
      <c r="B23" s="3" t="n">
        <v>5</v>
      </c>
    </row>
    <row r="24" customFormat="false" ht="15" hidden="false" customHeight="false" outlineLevel="0" collapsed="false">
      <c r="A24" s="0" t="s">
        <v>110</v>
      </c>
      <c r="B24" s="3" t="n">
        <v>0.2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10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100</v>
      </c>
      <c r="C28" s="3" t="n">
        <v>36.5</v>
      </c>
      <c r="D28" s="3" t="n">
        <v>37.5</v>
      </c>
      <c r="E28" s="3" t="n">
        <v>38.5</v>
      </c>
      <c r="F28" s="3" t="n">
        <v>39.5</v>
      </c>
      <c r="G28" s="3" t="n">
        <v>40</v>
      </c>
      <c r="H28" s="3" t="n">
        <v>40.5</v>
      </c>
      <c r="I28" s="3" t="n">
        <v>41</v>
      </c>
      <c r="J28" s="3" t="n">
        <v>41</v>
      </c>
      <c r="K28" s="3" t="n">
        <v>41</v>
      </c>
      <c r="L28" s="3" t="n">
        <v>41</v>
      </c>
    </row>
    <row r="29" customFormat="false" ht="15" hidden="false" customHeight="false" outlineLevel="0" collapsed="false">
      <c r="A29" s="0" t="s">
        <v>101</v>
      </c>
      <c r="C29" s="3" t="n">
        <v>4.5</v>
      </c>
      <c r="D29" s="3" t="n">
        <v>4.4</v>
      </c>
      <c r="E29" s="3" t="n">
        <v>4.3</v>
      </c>
      <c r="F29" s="3" t="n">
        <v>4.2</v>
      </c>
      <c r="G29" s="3" t="n">
        <v>4.1</v>
      </c>
      <c r="H29" s="3" t="n">
        <v>4</v>
      </c>
      <c r="I29" s="3" t="n">
        <v>3.9</v>
      </c>
      <c r="J29" s="3" t="n">
        <v>3.8</v>
      </c>
      <c r="K29" s="3" t="n">
        <v>3.7</v>
      </c>
      <c r="L29" s="3" t="n">
        <v>3.6</v>
      </c>
    </row>
    <row r="30" customFormat="false" ht="15" hidden="false" customHeight="false" outlineLevel="0" collapsed="false">
      <c r="A30" s="0" t="s">
        <v>102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103</v>
      </c>
      <c r="C31" s="3" t="n">
        <v>2.8</v>
      </c>
      <c r="D31" s="3" t="n">
        <v>2.8</v>
      </c>
      <c r="E31" s="3" t="n">
        <v>2.8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104</v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105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106</v>
      </c>
      <c r="B34" s="3" t="n">
        <v>8.5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20</v>
      </c>
    </row>
    <row r="37" customFormat="false" ht="15" hidden="false" customHeight="false" outlineLevel="0" collapsed="false">
      <c r="A37" s="0" t="s">
        <v>109</v>
      </c>
      <c r="B37" s="3" t="n">
        <v>10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11.5</v>
      </c>
      <c r="D41" s="3" t="n">
        <v>12</v>
      </c>
      <c r="E41" s="3" t="n">
        <v>11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100</v>
      </c>
      <c r="C42" s="3" t="n">
        <v>37</v>
      </c>
      <c r="D42" s="3" t="n">
        <v>38.5</v>
      </c>
      <c r="E42" s="3" t="n">
        <v>40</v>
      </c>
      <c r="F42" s="3" t="n">
        <v>41.5</v>
      </c>
      <c r="G42" s="3" t="n">
        <v>42.5</v>
      </c>
      <c r="H42" s="3" t="n">
        <v>43.5</v>
      </c>
      <c r="I42" s="3" t="n">
        <v>44</v>
      </c>
      <c r="J42" s="3" t="n">
        <v>44</v>
      </c>
      <c r="K42" s="3" t="n">
        <v>44</v>
      </c>
      <c r="L42" s="3" t="n">
        <v>44</v>
      </c>
    </row>
    <row r="43" customFormat="false" ht="15" hidden="false" customHeight="false" outlineLevel="0" collapsed="false">
      <c r="A43" s="0" t="s">
        <v>101</v>
      </c>
      <c r="C43" s="3" t="n">
        <v>4.5</v>
      </c>
      <c r="D43" s="3" t="n">
        <v>4.3</v>
      </c>
      <c r="E43" s="3" t="n">
        <v>4.1</v>
      </c>
      <c r="F43" s="3" t="n">
        <v>3.9</v>
      </c>
      <c r="G43" s="3" t="n">
        <v>3.7</v>
      </c>
      <c r="H43" s="3" t="n">
        <v>3.6</v>
      </c>
      <c r="I43" s="3" t="n">
        <v>3.5</v>
      </c>
      <c r="J43" s="3" t="n">
        <v>3.4</v>
      </c>
      <c r="K43" s="3" t="n">
        <v>3.3</v>
      </c>
      <c r="L43" s="3" t="n">
        <v>3.3</v>
      </c>
    </row>
    <row r="44" customFormat="false" ht="15" hidden="false" customHeight="false" outlineLevel="0" collapsed="false">
      <c r="A44" s="0" t="s">
        <v>102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103</v>
      </c>
      <c r="C45" s="3" t="n">
        <v>2.8</v>
      </c>
      <c r="D45" s="3" t="n">
        <v>2.8</v>
      </c>
      <c r="E45" s="3" t="n">
        <v>2.8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104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105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106</v>
      </c>
      <c r="B48" s="3" t="n">
        <v>8.5</v>
      </c>
    </row>
    <row r="49" customFormat="false" ht="15" hidden="false" customHeight="false" outlineLevel="0" collapsed="false">
      <c r="A49" s="0" t="s">
        <v>107</v>
      </c>
      <c r="B49" s="3" t="n">
        <v>3</v>
      </c>
    </row>
    <row r="50" customFormat="false" ht="15" hidden="false" customHeight="false" outlineLevel="0" collapsed="false">
      <c r="A50" s="0" t="s">
        <v>108</v>
      </c>
      <c r="B50" s="3" t="n">
        <v>20</v>
      </c>
    </row>
    <row r="51" customFormat="false" ht="15" hidden="false" customHeight="false" outlineLevel="0" collapsed="false">
      <c r="A51" s="0" t="s">
        <v>109</v>
      </c>
      <c r="B51" s="3" t="n">
        <v>15</v>
      </c>
    </row>
    <row r="52" customFormat="false" ht="15" hidden="false" customHeight="false" outlineLevel="0" collapsed="false">
      <c r="A52" s="0" t="s">
        <v>110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9</v>
      </c>
      <c r="D5" s="4" t="n">
        <f aca="false">Assumptions!D13</f>
        <v>7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36800</v>
      </c>
      <c r="C6" s="0" t="n">
        <f aca="false">B6*(1+C5/100)</f>
        <v>40112</v>
      </c>
      <c r="D6" s="0" t="n">
        <f aca="false">C6*(1+D5/100)</f>
        <v>42919.84</v>
      </c>
      <c r="E6" s="0" t="n">
        <f aca="false">D6*(1+E5/100)</f>
        <v>45065.832</v>
      </c>
      <c r="F6" s="0" t="n">
        <f aca="false">E6*(1+F5/100)</f>
        <v>46868.46528</v>
      </c>
      <c r="G6" s="0" t="n">
        <f aca="false">F6*(1+G5/100)</f>
        <v>48508.8615648</v>
      </c>
      <c r="H6" s="0" t="n">
        <f aca="false">G6*(1+H5/100)</f>
        <v>49964.127411744</v>
      </c>
      <c r="I6" s="0" t="n">
        <f aca="false">H6*(1+I5/100)</f>
        <v>51463.0512340963</v>
      </c>
      <c r="J6" s="0" t="n">
        <f aca="false">I6*(1+J5/100)</f>
        <v>52749.6275149487</v>
      </c>
      <c r="K6" s="0" t="n">
        <f aca="false">J6*(1+K5/100)</f>
        <v>54068.3682028224</v>
      </c>
      <c r="L6" s="0" t="n">
        <f aca="false">K6*(1+L5/100)</f>
        <v>55420.077407893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36</v>
      </c>
      <c r="D7" s="4" t="n">
        <f aca="false">Assumptions!D14</f>
        <v>36.5</v>
      </c>
      <c r="E7" s="4" t="n">
        <f aca="false">Assumptions!E14</f>
        <v>36.5</v>
      </c>
      <c r="F7" s="4" t="n">
        <f aca="false">Assumptions!F14</f>
        <v>37</v>
      </c>
      <c r="G7" s="4" t="n">
        <f aca="false">Assumptions!G14</f>
        <v>37</v>
      </c>
      <c r="H7" s="4" t="n">
        <f aca="false">Assumptions!H14</f>
        <v>37</v>
      </c>
      <c r="I7" s="4" t="n">
        <f aca="false">Assumptions!I14</f>
        <v>37</v>
      </c>
      <c r="J7" s="4" t="n">
        <f aca="false">Assumptions!J14</f>
        <v>37</v>
      </c>
      <c r="K7" s="4" t="n">
        <f aca="false">Assumptions!K14</f>
        <v>37</v>
      </c>
      <c r="L7" s="4" t="n">
        <f aca="false">Assumptions!L14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14440.32</v>
      </c>
      <c r="D8" s="0" t="n">
        <f aca="false">D6*D7/100</f>
        <v>15665.7416</v>
      </c>
      <c r="E8" s="0" t="n">
        <f aca="false">E6*E7/100</f>
        <v>16449.02868</v>
      </c>
      <c r="F8" s="0" t="n">
        <f aca="false">F6*F7/100</f>
        <v>17341.3321536</v>
      </c>
      <c r="G8" s="0" t="n">
        <f aca="false">G6*G7/100</f>
        <v>17948.278778976</v>
      </c>
      <c r="H8" s="0" t="n">
        <f aca="false">H6*H7/100</f>
        <v>18486.7271423453</v>
      </c>
      <c r="I8" s="0" t="n">
        <f aca="false">I6*I7/100</f>
        <v>19041.3289566156</v>
      </c>
      <c r="J8" s="0" t="n">
        <f aca="false">J6*J7/100</f>
        <v>19517.362180531</v>
      </c>
      <c r="K8" s="0" t="n">
        <f aca="false">K6*K7/100</f>
        <v>20005.2962350443</v>
      </c>
      <c r="L8" s="0" t="n">
        <f aca="false">L6*L7/100</f>
        <v>20505.4286409204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4.6</v>
      </c>
      <c r="D9" s="4" t="n">
        <f aca="false">Assumptions!D15</f>
        <v>4.6</v>
      </c>
      <c r="E9" s="4" t="n">
        <f aca="false">Assumptions!E15</f>
        <v>4.6</v>
      </c>
      <c r="F9" s="4" t="n">
        <f aca="false">Assumptions!F15</f>
        <v>4.6</v>
      </c>
      <c r="G9" s="4" t="n">
        <f aca="false">Assumptions!G15</f>
        <v>4.6</v>
      </c>
      <c r="H9" s="4" t="n">
        <f aca="false">Assumptions!H15</f>
        <v>4.6</v>
      </c>
      <c r="I9" s="4" t="n">
        <f aca="false">Assumptions!I15</f>
        <v>4.6</v>
      </c>
      <c r="J9" s="4" t="n">
        <f aca="false">Assumptions!J15</f>
        <v>4.6</v>
      </c>
      <c r="K9" s="4" t="n">
        <f aca="false">Assumptions!K15</f>
        <v>4.6</v>
      </c>
      <c r="L9" s="4" t="n">
        <f aca="false">Assumptions!L15</f>
        <v>4.6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-1845.152</v>
      </c>
      <c r="D10" s="0" t="n">
        <f aca="false">-D6*D9/100</f>
        <v>-1974.31264</v>
      </c>
      <c r="E10" s="0" t="n">
        <f aca="false">-E6*E9/100</f>
        <v>-2073.028272</v>
      </c>
      <c r="F10" s="0" t="n">
        <f aca="false">-F6*F9/100</f>
        <v>-2155.94940288</v>
      </c>
      <c r="G10" s="0" t="n">
        <f aca="false">-G6*G9/100</f>
        <v>-2231.4076319808</v>
      </c>
      <c r="H10" s="0" t="n">
        <f aca="false">-H6*H9/100</f>
        <v>-2298.34986094022</v>
      </c>
      <c r="I10" s="0" t="n">
        <f aca="false">-I6*I9/100</f>
        <v>-2367.30035676843</v>
      </c>
      <c r="J10" s="0" t="n">
        <f aca="false">-J6*J9/100</f>
        <v>-2426.48286568764</v>
      </c>
      <c r="K10" s="0" t="n">
        <f aca="false">-K6*K9/100</f>
        <v>-2487.14493732983</v>
      </c>
      <c r="L10" s="0" t="n">
        <f aca="false">-L6*L9/100</f>
        <v>-2549.32356076308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12194.048</v>
      </c>
      <c r="D11" s="0" t="n">
        <f aca="false">D8+D10+D24</f>
        <v>13262.23056</v>
      </c>
      <c r="E11" s="0" t="n">
        <f aca="false">E8+E10+E24</f>
        <v>13925.342088</v>
      </c>
      <c r="F11" s="0" t="n">
        <f aca="false">F8+F10+F24</f>
        <v>14716.69809792</v>
      </c>
      <c r="G11" s="0" t="n">
        <f aca="false">G8+G10+G24</f>
        <v>15231.7825313472</v>
      </c>
      <c r="H11" s="0" t="n">
        <f aca="false">H8+H10+H24</f>
        <v>15688.7360072876</v>
      </c>
      <c r="I11" s="0" t="n">
        <f aca="false">I8+I10+I24</f>
        <v>16159.3980875062</v>
      </c>
      <c r="J11" s="0" t="n">
        <f aca="false">J8+J10+J24</f>
        <v>16563.3830396939</v>
      </c>
      <c r="K11" s="0" t="n">
        <f aca="false">K8+K10+K24</f>
        <v>16977.4676156862</v>
      </c>
      <c r="L11" s="0" t="n">
        <f aca="false">L8+L10+L24</f>
        <v>17401.9043060784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-1123.136</v>
      </c>
      <c r="D12" s="4" t="n">
        <f aca="false">-D6*Assumptions!D17/100</f>
        <v>-1201.75552</v>
      </c>
      <c r="E12" s="4" t="n">
        <f aca="false">-E6*Assumptions!E17/100</f>
        <v>-1261.843296</v>
      </c>
      <c r="F12" s="4" t="n">
        <f aca="false">-F6*Assumptions!F17/100</f>
        <v>-1312.31702784</v>
      </c>
      <c r="G12" s="4" t="n">
        <f aca="false">-G6*Assumptions!G17/100</f>
        <v>-1358.2481238144</v>
      </c>
      <c r="H12" s="4" t="n">
        <f aca="false">-H6*Assumptions!H17/100</f>
        <v>-1398.99556752883</v>
      </c>
      <c r="I12" s="4" t="n">
        <f aca="false">-I6*Assumptions!I17/100</f>
        <v>-1440.9654345547</v>
      </c>
      <c r="J12" s="4" t="n">
        <f aca="false">-J6*Assumptions!J17/100</f>
        <v>-1476.98957041856</v>
      </c>
      <c r="K12" s="4" t="n">
        <f aca="false">-K6*Assumptions!K17/100</f>
        <v>-1513.91430967903</v>
      </c>
      <c r="L12" s="4" t="n">
        <f aca="false">-L6*Assumptions!L17/100</f>
        <v>-1551.762167421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11070.912</v>
      </c>
      <c r="D13" s="0" t="n">
        <f aca="false">D11+D12</f>
        <v>12060.47504</v>
      </c>
      <c r="E13" s="0" t="n">
        <f aca="false">E11+E12</f>
        <v>12663.498792</v>
      </c>
      <c r="F13" s="0" t="n">
        <f aca="false">F11+F12</f>
        <v>13404.38107008</v>
      </c>
      <c r="G13" s="0" t="n">
        <f aca="false">G11+G12</f>
        <v>13873.5344075328</v>
      </c>
      <c r="H13" s="0" t="n">
        <f aca="false">H11+H12</f>
        <v>14289.7404397588</v>
      </c>
      <c r="I13" s="0" t="n">
        <f aca="false">I11+I12</f>
        <v>14718.4326529516</v>
      </c>
      <c r="J13" s="0" t="n">
        <f aca="false">J11+J12</f>
        <v>15086.3934692753</v>
      </c>
      <c r="K13" s="0" t="n">
        <f aca="false">K11+K12</f>
        <v>15463.5533060072</v>
      </c>
      <c r="L13" s="0" t="n">
        <f aca="false">L11+L12</f>
        <v>15850.1421386574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8081.76576</v>
      </c>
      <c r="D15" s="0" t="n">
        <f aca="false">D13-MAX(0,D13)*D14/100</f>
        <v>8804.1467792</v>
      </c>
      <c r="E15" s="0" t="n">
        <f aca="false">E13-MAX(0,E13)*E14/100</f>
        <v>9244.35411816</v>
      </c>
      <c r="F15" s="0" t="n">
        <f aca="false">F13-MAX(0,F13)*F14/100</f>
        <v>9785.1981811584</v>
      </c>
      <c r="G15" s="0" t="n">
        <f aca="false">G13-MAX(0,G13)*G14/100</f>
        <v>10127.6801174989</v>
      </c>
      <c r="H15" s="0" t="n">
        <f aca="false">H13-MAX(0,H13)*H14/100</f>
        <v>10431.5105210239</v>
      </c>
      <c r="I15" s="0" t="n">
        <f aca="false">I13-MAX(0,I13)*I14/100</f>
        <v>10744.4558366546</v>
      </c>
      <c r="J15" s="0" t="n">
        <f aca="false">J13-MAX(0,J13)*J14/100</f>
        <v>11013.067232571</v>
      </c>
      <c r="K15" s="0" t="n">
        <f aca="false">K13-MAX(0,K13)*K14/100</f>
        <v>11288.3939133853</v>
      </c>
      <c r="L15" s="0" t="n">
        <f aca="false">L13-MAX(0,L13)*L14/100</f>
        <v>11570.6037612199</v>
      </c>
    </row>
    <row r="16" customFormat="false" ht="15" hidden="false" customHeight="false" outlineLevel="0" collapsed="false">
      <c r="A16" s="0" t="s">
        <v>121</v>
      </c>
      <c r="C16" s="0" t="n">
        <f aca="false">-C12</f>
        <v>1123.136</v>
      </c>
      <c r="D16" s="0" t="n">
        <f aca="false">-D12</f>
        <v>1201.75552</v>
      </c>
      <c r="E16" s="0" t="n">
        <f aca="false">-E12</f>
        <v>1261.843296</v>
      </c>
      <c r="F16" s="0" t="n">
        <f aca="false">-F12</f>
        <v>1312.31702784</v>
      </c>
      <c r="G16" s="0" t="n">
        <f aca="false">-G12</f>
        <v>1358.2481238144</v>
      </c>
      <c r="H16" s="0" t="n">
        <f aca="false">-H12</f>
        <v>1398.99556752883</v>
      </c>
      <c r="I16" s="0" t="n">
        <f aca="false">-I12</f>
        <v>1440.9654345547</v>
      </c>
      <c r="J16" s="0" t="n">
        <f aca="false">-J12</f>
        <v>1476.98957041856</v>
      </c>
      <c r="K16" s="0" t="n">
        <f aca="false">-K12</f>
        <v>1513.91430967903</v>
      </c>
      <c r="L16" s="0" t="n">
        <f aca="false">-L12</f>
        <v>1551.762167421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-802.24</v>
      </c>
      <c r="D17" s="4" t="n">
        <f aca="false">-D6*Assumptions!D18/100</f>
        <v>-858.3968</v>
      </c>
      <c r="E17" s="4" t="n">
        <f aca="false">-E6*Assumptions!E18/100</f>
        <v>-901.31664</v>
      </c>
      <c r="F17" s="4" t="n">
        <f aca="false">-F6*Assumptions!F18/100</f>
        <v>-937.3693056</v>
      </c>
      <c r="G17" s="4" t="n">
        <f aca="false">-G6*Assumptions!G18/100</f>
        <v>-970.177231296</v>
      </c>
      <c r="H17" s="4" t="n">
        <f aca="false">-H6*Assumptions!H18/100</f>
        <v>-999.28254823488</v>
      </c>
      <c r="I17" s="4" t="n">
        <f aca="false">-I6*Assumptions!I18/100</f>
        <v>-1029.26102468193</v>
      </c>
      <c r="J17" s="4" t="n">
        <f aca="false">-J6*Assumptions!J18/100</f>
        <v>-1054.99255029897</v>
      </c>
      <c r="K17" s="4" t="n">
        <f aca="false">-K6*Assumptions!K18/100</f>
        <v>-1081.36736405645</v>
      </c>
      <c r="L17" s="4" t="n">
        <f aca="false">-L6*Assumptions!L18/100</f>
        <v>-1108.40154815786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165.6</v>
      </c>
      <c r="D18" s="4" t="n">
        <f aca="false">(D6-C6)*Assumptions!$B$23/100</f>
        <v>140.392</v>
      </c>
      <c r="E18" s="4" t="n">
        <f aca="false">(E6-D6)*Assumptions!$B$23/100</f>
        <v>107.2996</v>
      </c>
      <c r="F18" s="4" t="n">
        <f aca="false">(F6-E6)*Assumptions!$B$23/100</f>
        <v>90.1316640000001</v>
      </c>
      <c r="G18" s="4" t="n">
        <f aca="false">(G6-F6)*Assumptions!$B$23/100</f>
        <v>82.0198142399997</v>
      </c>
      <c r="H18" s="4" t="n">
        <f aca="false">(H6-G6)*Assumptions!$B$23/100</f>
        <v>72.7632923472</v>
      </c>
      <c r="I18" s="4" t="n">
        <f aca="false">(I6-H6)*Assumptions!$B$23/100</f>
        <v>74.946191117616</v>
      </c>
      <c r="J18" s="4" t="n">
        <f aca="false">(J6-I6)*Assumptions!$B$23/100</f>
        <v>64.3288140426201</v>
      </c>
      <c r="K18" s="4" t="n">
        <f aca="false">(K6-J6)*Assumptions!$B$23/100</f>
        <v>65.9370343936858</v>
      </c>
      <c r="L18" s="4" t="n">
        <f aca="false">(L6-K6)*Assumptions!$B$23/100</f>
        <v>67.5854602535277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8568.26176</v>
      </c>
      <c r="D19" s="0" t="n">
        <f aca="false">D15+D16+D17+D18</f>
        <v>9287.8974992</v>
      </c>
      <c r="E19" s="0" t="n">
        <f aca="false">E15+E16+E17+E18</f>
        <v>9712.18037416</v>
      </c>
      <c r="F19" s="0" t="n">
        <f aca="false">F15+F16+F17+F18</f>
        <v>10250.2775673984</v>
      </c>
      <c r="G19" s="0" t="n">
        <f aca="false">G15+G16+G17+G18</f>
        <v>10597.7708242573</v>
      </c>
      <c r="H19" s="0" t="n">
        <f aca="false">H15+H16+H17+H18</f>
        <v>10903.9868326651</v>
      </c>
      <c r="I19" s="0" t="n">
        <f aca="false">I15+I16+I17+I18</f>
        <v>11231.106437645</v>
      </c>
      <c r="J19" s="0" t="n">
        <f aca="false">J15+J16+J17+J18</f>
        <v>11499.3930667332</v>
      </c>
      <c r="K19" s="0" t="n">
        <f aca="false">K15+K16+K17+K18</f>
        <v>11786.8778934015</v>
      </c>
      <c r="L19" s="0" t="n">
        <f aca="false">L15+L16+L17+L18</f>
        <v>12081.5498407366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7897.01544700461</v>
      </c>
      <c r="D21" s="0" t="n">
        <f aca="false">D19*D20</f>
        <v>7889.65363392725</v>
      </c>
      <c r="E21" s="0" t="n">
        <f aca="false">E19*E20</f>
        <v>7603.74466834986</v>
      </c>
      <c r="F21" s="0" t="n">
        <f aca="false">F19*F20</f>
        <v>7396.33669924336</v>
      </c>
      <c r="G21" s="0" t="n">
        <f aca="false">G19*G20</f>
        <v>7047.99898373206</v>
      </c>
      <c r="H21" s="0" t="n">
        <f aca="false">H19*H20</f>
        <v>6683.54519692283</v>
      </c>
      <c r="I21" s="0" t="n">
        <f aca="false">I19*I20</f>
        <v>6344.747974959</v>
      </c>
      <c r="J21" s="0" t="n">
        <f aca="false">J19*J20</f>
        <v>5987.38263713448</v>
      </c>
      <c r="K21" s="0" t="n">
        <f aca="false">K19*K20</f>
        <v>5656.28313646345</v>
      </c>
      <c r="L21" s="0" t="n">
        <f aca="false">L19*L20</f>
        <v>5343.49328559911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</v>
      </c>
      <c r="D23" s="4" t="n">
        <f aca="false">Assumptions!D16</f>
        <v>1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-401.12</v>
      </c>
      <c r="D24" s="0" t="n">
        <f aca="false">-D6*D23/100</f>
        <v>-429.1984</v>
      </c>
      <c r="E24" s="0" t="n">
        <f aca="false">-E6*E23/100</f>
        <v>-450.65832</v>
      </c>
      <c r="F24" s="0" t="n">
        <f aca="false">-F6*F23/100</f>
        <v>-468.6846528</v>
      </c>
      <c r="G24" s="0" t="n">
        <f aca="false">-G6*G23/100</f>
        <v>-485.088615648</v>
      </c>
      <c r="H24" s="0" t="n">
        <f aca="false">-H6*H23/100</f>
        <v>-499.64127411744</v>
      </c>
      <c r="I24" s="0" t="n">
        <f aca="false">-I6*I23/100</f>
        <v>-514.630512340963</v>
      </c>
      <c r="J24" s="0" t="n">
        <f aca="false">-J6*J23/100</f>
        <v>-527.496275149487</v>
      </c>
      <c r="K24" s="0" t="n">
        <f aca="false">-K6*K23/100</f>
        <v>-540.683682028224</v>
      </c>
      <c r="L24" s="0" t="n">
        <f aca="false">-L6*L23/100</f>
        <v>-554.20077407893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67850.201663336</v>
      </c>
    </row>
    <row r="31" customFormat="false" ht="15" hidden="false" customHeight="false" outlineLevel="0" collapsed="false">
      <c r="A31" s="0" t="s">
        <v>130</v>
      </c>
      <c r="B31" s="0" t="n">
        <f aca="false">L19</f>
        <v>12081.5498407366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189587.397500789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181223.247611049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181223.247611049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80152.3992839867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148002.600947323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147996.600947323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142.759017726136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-0.315534267986113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14370.9139775079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17693.5261802791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173.688700918614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94793.6987503946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71.8124318497121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10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36800</v>
      </c>
      <c r="C6" s="0" t="n">
        <f aca="false">B6*(1+C5/100)</f>
        <v>40480</v>
      </c>
      <c r="D6" s="0" t="n">
        <f aca="false">C6*(1+D5/100)</f>
        <v>44528</v>
      </c>
      <c r="E6" s="0" t="n">
        <f aca="false">D6*(1+E5/100)</f>
        <v>48535.52</v>
      </c>
      <c r="F6" s="0" t="n">
        <f aca="false">E6*(1+F5/100)</f>
        <v>52418.3616</v>
      </c>
      <c r="G6" s="0" t="n">
        <f aca="false">F6*(1+G5/100)</f>
        <v>56087.646912</v>
      </c>
      <c r="H6" s="0" t="n">
        <f aca="false">G6*(1+H5/100)</f>
        <v>59452.90572672</v>
      </c>
      <c r="I6" s="0" t="n">
        <f aca="false">H6*(1+I5/100)</f>
        <v>62425.551013056</v>
      </c>
      <c r="J6" s="0" t="n">
        <f aca="false">I6*(1+J5/100)</f>
        <v>65234.7008086435</v>
      </c>
      <c r="K6" s="0" t="n">
        <f aca="false">J6*(1+K5/100)</f>
        <v>67844.0888409893</v>
      </c>
      <c r="L6" s="0" t="n">
        <f aca="false">K6*(1+L5/100)</f>
        <v>70218.6319504239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36.5</v>
      </c>
      <c r="D7" s="4" t="n">
        <f aca="false">Assumptions!D28</f>
        <v>37.5</v>
      </c>
      <c r="E7" s="4" t="n">
        <f aca="false">Assumptions!E28</f>
        <v>38.5</v>
      </c>
      <c r="F7" s="4" t="n">
        <f aca="false">Assumptions!F28</f>
        <v>39.5</v>
      </c>
      <c r="G7" s="4" t="n">
        <f aca="false">Assumptions!G28</f>
        <v>40</v>
      </c>
      <c r="H7" s="4" t="n">
        <f aca="false">Assumptions!H28</f>
        <v>40.5</v>
      </c>
      <c r="I7" s="4" t="n">
        <f aca="false">Assumptions!I28</f>
        <v>41</v>
      </c>
      <c r="J7" s="4" t="n">
        <f aca="false">Assumptions!J28</f>
        <v>41</v>
      </c>
      <c r="K7" s="4" t="n">
        <f aca="false">Assumptions!K28</f>
        <v>41</v>
      </c>
      <c r="L7" s="4" t="n">
        <f aca="false">Assumptions!L28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14775.2</v>
      </c>
      <c r="D8" s="0" t="n">
        <f aca="false">D6*D7/100</f>
        <v>16698</v>
      </c>
      <c r="E8" s="0" t="n">
        <f aca="false">E6*E7/100</f>
        <v>18686.1752</v>
      </c>
      <c r="F8" s="0" t="n">
        <f aca="false">F6*F7/100</f>
        <v>20705.252832</v>
      </c>
      <c r="G8" s="0" t="n">
        <f aca="false">G6*G7/100</f>
        <v>22435.0587648</v>
      </c>
      <c r="H8" s="0" t="n">
        <f aca="false">H6*H7/100</f>
        <v>24078.4268193216</v>
      </c>
      <c r="I8" s="0" t="n">
        <f aca="false">I6*I7/100</f>
        <v>25594.475915353</v>
      </c>
      <c r="J8" s="0" t="n">
        <f aca="false">J6*J7/100</f>
        <v>26746.2273315439</v>
      </c>
      <c r="K8" s="0" t="n">
        <f aca="false">K6*K7/100</f>
        <v>27816.0764248056</v>
      </c>
      <c r="L8" s="0" t="n">
        <f aca="false">L6*L7/100</f>
        <v>28789.6390996738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4.5</v>
      </c>
      <c r="D9" s="4" t="n">
        <f aca="false">Assumptions!D29</f>
        <v>4.4</v>
      </c>
      <c r="E9" s="4" t="n">
        <f aca="false">Assumptions!E29</f>
        <v>4.3</v>
      </c>
      <c r="F9" s="4" t="n">
        <f aca="false">Assumptions!F29</f>
        <v>4.2</v>
      </c>
      <c r="G9" s="4" t="n">
        <f aca="false">Assumptions!G29</f>
        <v>4.1</v>
      </c>
      <c r="H9" s="4" t="n">
        <f aca="false">Assumptions!H29</f>
        <v>4</v>
      </c>
      <c r="I9" s="4" t="n">
        <f aca="false">Assumptions!I29</f>
        <v>3.9</v>
      </c>
      <c r="J9" s="4" t="n">
        <f aca="false">Assumptions!J29</f>
        <v>3.8</v>
      </c>
      <c r="K9" s="4" t="n">
        <f aca="false">Assumptions!K29</f>
        <v>3.7</v>
      </c>
      <c r="L9" s="4" t="n">
        <f aca="false">Assumptions!L29</f>
        <v>3.6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-1821.6</v>
      </c>
      <c r="D10" s="0" t="n">
        <f aca="false">-D6*D9/100</f>
        <v>-1959.232</v>
      </c>
      <c r="E10" s="0" t="n">
        <f aca="false">-E6*E9/100</f>
        <v>-2087.02736</v>
      </c>
      <c r="F10" s="0" t="n">
        <f aca="false">-F6*F9/100</f>
        <v>-2201.5711872</v>
      </c>
      <c r="G10" s="0" t="n">
        <f aca="false">-G6*G9/100</f>
        <v>-2299.593523392</v>
      </c>
      <c r="H10" s="0" t="n">
        <f aca="false">-H6*H9/100</f>
        <v>-2378.1162290688</v>
      </c>
      <c r="I10" s="0" t="n">
        <f aca="false">-I6*I9/100</f>
        <v>-2434.59648950919</v>
      </c>
      <c r="J10" s="0" t="n">
        <f aca="false">-J6*J9/100</f>
        <v>-2478.91863072846</v>
      </c>
      <c r="K10" s="0" t="n">
        <f aca="false">-K6*K9/100</f>
        <v>-2510.2312871166</v>
      </c>
      <c r="L10" s="0" t="n">
        <f aca="false">-L6*L9/100</f>
        <v>-2527.87075021526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12548.8</v>
      </c>
      <c r="D11" s="0" t="n">
        <f aca="false">D8+D10+D24</f>
        <v>14293.488</v>
      </c>
      <c r="E11" s="0" t="n">
        <f aca="false">E8+E10+E24</f>
        <v>16113.79264</v>
      </c>
      <c r="F11" s="0" t="n">
        <f aca="false">F8+F10+F24</f>
        <v>17979.4980288</v>
      </c>
      <c r="G11" s="0" t="n">
        <f aca="false">G8+G10+G24</f>
        <v>19574.588772288</v>
      </c>
      <c r="H11" s="0" t="n">
        <f aca="false">H8+H10+H24</f>
        <v>21105.7815329856</v>
      </c>
      <c r="I11" s="0" t="n">
        <f aca="false">I8+I10+I24</f>
        <v>22535.6239157132</v>
      </c>
      <c r="J11" s="0" t="n">
        <f aca="false">J8+J10+J24</f>
        <v>23614.961692729</v>
      </c>
      <c r="K11" s="0" t="n">
        <f aca="false">K8+K10+K24</f>
        <v>24627.4042492791</v>
      </c>
      <c r="L11" s="0" t="n">
        <f aca="false">L8+L10+L24</f>
        <v>25559.5820299543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-1133.44</v>
      </c>
      <c r="D12" s="4" t="n">
        <f aca="false">-D6*Assumptions!D31/100</f>
        <v>-1246.784</v>
      </c>
      <c r="E12" s="4" t="n">
        <f aca="false">-E6*Assumptions!E31/100</f>
        <v>-1358.99456</v>
      </c>
      <c r="F12" s="4" t="n">
        <f aca="false">-F6*Assumptions!F31/100</f>
        <v>-1467.7141248</v>
      </c>
      <c r="G12" s="4" t="n">
        <f aca="false">-G6*Assumptions!G31/100</f>
        <v>-1570.454113536</v>
      </c>
      <c r="H12" s="4" t="n">
        <f aca="false">-H6*Assumptions!H31/100</f>
        <v>-1664.68136034816</v>
      </c>
      <c r="I12" s="4" t="n">
        <f aca="false">-I6*Assumptions!I31/100</f>
        <v>-1747.91542836557</v>
      </c>
      <c r="J12" s="4" t="n">
        <f aca="false">-J6*Assumptions!J31/100</f>
        <v>-1826.57162264202</v>
      </c>
      <c r="K12" s="4" t="n">
        <f aca="false">-K6*Assumptions!K31/100</f>
        <v>-1899.6344875477</v>
      </c>
      <c r="L12" s="4" t="n">
        <f aca="false">-L6*Assumptions!L31/100</f>
        <v>-1966.12169461187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11415.36</v>
      </c>
      <c r="D13" s="0" t="n">
        <f aca="false">D11+D12</f>
        <v>13046.704</v>
      </c>
      <c r="E13" s="0" t="n">
        <f aca="false">E11+E12</f>
        <v>14754.79808</v>
      </c>
      <c r="F13" s="0" t="n">
        <f aca="false">F11+F12</f>
        <v>16511.783904</v>
      </c>
      <c r="G13" s="0" t="n">
        <f aca="false">G11+G12</f>
        <v>18004.134658752</v>
      </c>
      <c r="H13" s="0" t="n">
        <f aca="false">H11+H12</f>
        <v>19441.1001726375</v>
      </c>
      <c r="I13" s="0" t="n">
        <f aca="false">I11+I12</f>
        <v>20787.7084873477</v>
      </c>
      <c r="J13" s="0" t="n">
        <f aca="false">J11+J12</f>
        <v>21788.3900700869</v>
      </c>
      <c r="K13" s="0" t="n">
        <f aca="false">K11+K12</f>
        <v>22727.7697617314</v>
      </c>
      <c r="L13" s="0" t="n">
        <f aca="false">L11+L12</f>
        <v>23593.4603353424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8333.2128</v>
      </c>
      <c r="D15" s="0" t="n">
        <f aca="false">D13-MAX(0,D13)*D14/100</f>
        <v>9524.09392</v>
      </c>
      <c r="E15" s="0" t="n">
        <f aca="false">E13-MAX(0,E13)*E14/100</f>
        <v>10771.0025984</v>
      </c>
      <c r="F15" s="0" t="n">
        <f aca="false">F13-MAX(0,F13)*F14/100</f>
        <v>12053.60224992</v>
      </c>
      <c r="G15" s="0" t="n">
        <f aca="false">G13-MAX(0,G13)*G14/100</f>
        <v>13143.018300889</v>
      </c>
      <c r="H15" s="0" t="n">
        <f aca="false">H13-MAX(0,H13)*H14/100</f>
        <v>14192.0031260253</v>
      </c>
      <c r="I15" s="0" t="n">
        <f aca="false">I13-MAX(0,I13)*I14/100</f>
        <v>15175.0271957638</v>
      </c>
      <c r="J15" s="0" t="n">
        <f aca="false">J13-MAX(0,J13)*J14/100</f>
        <v>15905.5247511635</v>
      </c>
      <c r="K15" s="0" t="n">
        <f aca="false">K13-MAX(0,K13)*K14/100</f>
        <v>16591.2719260639</v>
      </c>
      <c r="L15" s="0" t="n">
        <f aca="false">L13-MAX(0,L13)*L14/100</f>
        <v>17223.2260448</v>
      </c>
    </row>
    <row r="16" customFormat="false" ht="15" hidden="false" customHeight="false" outlineLevel="0" collapsed="false">
      <c r="A16" s="0" t="s">
        <v>121</v>
      </c>
      <c r="C16" s="0" t="n">
        <f aca="false">-C12</f>
        <v>1133.44</v>
      </c>
      <c r="D16" s="0" t="n">
        <f aca="false">-D12</f>
        <v>1246.784</v>
      </c>
      <c r="E16" s="0" t="n">
        <f aca="false">-E12</f>
        <v>1358.99456</v>
      </c>
      <c r="F16" s="0" t="n">
        <f aca="false">-F12</f>
        <v>1467.7141248</v>
      </c>
      <c r="G16" s="0" t="n">
        <f aca="false">-G12</f>
        <v>1570.454113536</v>
      </c>
      <c r="H16" s="0" t="n">
        <f aca="false">-H12</f>
        <v>1664.68136034816</v>
      </c>
      <c r="I16" s="0" t="n">
        <f aca="false">-I12</f>
        <v>1747.91542836557</v>
      </c>
      <c r="J16" s="0" t="n">
        <f aca="false">-J12</f>
        <v>1826.57162264202</v>
      </c>
      <c r="K16" s="0" t="n">
        <f aca="false">-K12</f>
        <v>1899.6344875477</v>
      </c>
      <c r="L16" s="0" t="n">
        <f aca="false">-L12</f>
        <v>1966.12169461187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-809.6</v>
      </c>
      <c r="D17" s="4" t="n">
        <f aca="false">-D6*Assumptions!D32/100</f>
        <v>-890.56</v>
      </c>
      <c r="E17" s="4" t="n">
        <f aca="false">-E6*Assumptions!E32/100</f>
        <v>-970.7104</v>
      </c>
      <c r="F17" s="4" t="n">
        <f aca="false">-F6*Assumptions!F32/100</f>
        <v>-1048.367232</v>
      </c>
      <c r="G17" s="4" t="n">
        <f aca="false">-G6*Assumptions!G32/100</f>
        <v>-1121.75293824</v>
      </c>
      <c r="H17" s="4" t="n">
        <f aca="false">-H6*Assumptions!H32/100</f>
        <v>-1189.0581145344</v>
      </c>
      <c r="I17" s="4" t="n">
        <f aca="false">-I6*Assumptions!I32/100</f>
        <v>-1248.51102026112</v>
      </c>
      <c r="J17" s="4" t="n">
        <f aca="false">-J6*Assumptions!J32/100</f>
        <v>-1304.69401617287</v>
      </c>
      <c r="K17" s="4" t="n">
        <f aca="false">-K6*Assumptions!K32/100</f>
        <v>-1356.88177681979</v>
      </c>
      <c r="L17" s="4" t="n">
        <f aca="false">-L6*Assumptions!L32/100</f>
        <v>-1404.37263900848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368</v>
      </c>
      <c r="D18" s="4" t="n">
        <f aca="false">(D6-C6)*Assumptions!$B$37/100</f>
        <v>404.8</v>
      </c>
      <c r="E18" s="4" t="n">
        <f aca="false">(E6-D6)*Assumptions!$B$37/100</f>
        <v>400.752</v>
      </c>
      <c r="F18" s="4" t="n">
        <f aca="false">(F6-E6)*Assumptions!$B$37/100</f>
        <v>388.284160000001</v>
      </c>
      <c r="G18" s="4" t="n">
        <f aca="false">(G6-F6)*Assumptions!$B$37/100</f>
        <v>366.928531200001</v>
      </c>
      <c r="H18" s="4" t="n">
        <f aca="false">(H6-G6)*Assumptions!$B$37/100</f>
        <v>336.525881472001</v>
      </c>
      <c r="I18" s="4" t="n">
        <f aca="false">(I6-H6)*Assumptions!$B$37/100</f>
        <v>297.2645286336</v>
      </c>
      <c r="J18" s="4" t="n">
        <f aca="false">(J6-I6)*Assumptions!$B$37/100</f>
        <v>280.914979558752</v>
      </c>
      <c r="K18" s="4" t="n">
        <f aca="false">(K6-J6)*Assumptions!$B$37/100</f>
        <v>260.938803234575</v>
      </c>
      <c r="L18" s="4" t="n">
        <f aca="false">(L6-K6)*Assumptions!$B$37/100</f>
        <v>237.454310943461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9025.0528</v>
      </c>
      <c r="D19" s="0" t="n">
        <f aca="false">D15+D16+D17+D18</f>
        <v>10285.11792</v>
      </c>
      <c r="E19" s="0" t="n">
        <f aca="false">E15+E16+E17+E18</f>
        <v>11560.0387584</v>
      </c>
      <c r="F19" s="0" t="n">
        <f aca="false">F15+F16+F17+F18</f>
        <v>12861.23330272</v>
      </c>
      <c r="G19" s="0" t="n">
        <f aca="false">G15+G16+G17+G18</f>
        <v>13958.648007385</v>
      </c>
      <c r="H19" s="0" t="n">
        <f aca="false">H15+H16+H17+H18</f>
        <v>15004.1522533111</v>
      </c>
      <c r="I19" s="0" t="n">
        <f aca="false">I15+I16+I17+I18</f>
        <v>15971.6961325018</v>
      </c>
      <c r="J19" s="0" t="n">
        <f aca="false">J15+J16+J17+J18</f>
        <v>16708.3173371914</v>
      </c>
      <c r="K19" s="0" t="n">
        <f aca="false">K15+K16+K17+K18</f>
        <v>17394.9634400264</v>
      </c>
      <c r="L19" s="0" t="n">
        <f aca="false">L15+L16+L17+L18</f>
        <v>18022.4294113468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8318.02101382489</v>
      </c>
      <c r="D21" s="0" t="n">
        <f aca="false">D19*D20</f>
        <v>8736.74779247807</v>
      </c>
      <c r="E21" s="0" t="n">
        <f aca="false">E19*E20</f>
        <v>9050.44796212448</v>
      </c>
      <c r="F21" s="0" t="n">
        <f aca="false">F19*F20</f>
        <v>9280.33521521335</v>
      </c>
      <c r="G21" s="0" t="n">
        <f aca="false">G19*G20</f>
        <v>9283.13497260562</v>
      </c>
      <c r="H21" s="0" t="n">
        <f aca="false">H19*H20</f>
        <v>9196.72146210822</v>
      </c>
      <c r="I21" s="0" t="n">
        <f aca="false">I19*I20</f>
        <v>9022.83201178532</v>
      </c>
      <c r="J21" s="0" t="n">
        <f aca="false">J19*J20</f>
        <v>8699.51036023261</v>
      </c>
      <c r="K21" s="0" t="n">
        <f aca="false">K19*K20</f>
        <v>8347.48940771672</v>
      </c>
      <c r="L21" s="0" t="n">
        <f aca="false">L19*L20</f>
        <v>7971.05767217068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</v>
      </c>
      <c r="D23" s="4" t="n">
        <f aca="false">Assumptions!D30</f>
        <v>1</v>
      </c>
      <c r="E23" s="4" t="n">
        <f aca="false">Assumptions!E30</f>
        <v>1</v>
      </c>
      <c r="F23" s="4" t="n">
        <f aca="false">Assumptions!F30</f>
        <v>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-404.8</v>
      </c>
      <c r="D24" s="0" t="n">
        <f aca="false">-D6*D23/100</f>
        <v>-445.28</v>
      </c>
      <c r="E24" s="0" t="n">
        <f aca="false">-E6*E23/100</f>
        <v>-485.3552</v>
      </c>
      <c r="F24" s="0" t="n">
        <f aca="false">-F6*F23/100</f>
        <v>-524.183616</v>
      </c>
      <c r="G24" s="0" t="n">
        <f aca="false">-G6*G23/100</f>
        <v>-560.87646912</v>
      </c>
      <c r="H24" s="0" t="n">
        <f aca="false">-H6*H23/100</f>
        <v>-594.5290572672</v>
      </c>
      <c r="I24" s="0" t="n">
        <f aca="false">-I6*I23/100</f>
        <v>-624.25551013056</v>
      </c>
      <c r="J24" s="0" t="n">
        <f aca="false">-J6*J23/100</f>
        <v>-652.347008086436</v>
      </c>
      <c r="K24" s="0" t="n">
        <f aca="false">-K6*K23/100</f>
        <v>-678.440888409893</v>
      </c>
      <c r="L24" s="0" t="n">
        <f aca="false">-L6*L23/100</f>
        <v>-702.186319504239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87906.29787026</v>
      </c>
    </row>
    <row r="31" customFormat="false" ht="15" hidden="false" customHeight="false" outlineLevel="0" collapsed="false">
      <c r="A31" s="0" t="s">
        <v>130</v>
      </c>
      <c r="B31" s="0" t="n">
        <f aca="false">L19</f>
        <v>18022.4294113468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307883.169110508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360448.588226937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307883.169110508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136172.235232916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224078.533103176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224072.533103176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216.142631117605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0.0363073841760797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14541.4248245149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19099.8562169425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248.593350970534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147783.921173044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97.8073627741809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11.5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36800</v>
      </c>
      <c r="C6" s="0" t="n">
        <f aca="false">B6*(1+C5/100)</f>
        <v>41032</v>
      </c>
      <c r="D6" s="0" t="n">
        <f aca="false">C6*(1+D5/100)</f>
        <v>45955.84</v>
      </c>
      <c r="E6" s="0" t="n">
        <f aca="false">D6*(1+E5/100)</f>
        <v>51010.9824</v>
      </c>
      <c r="F6" s="0" t="n">
        <f aca="false">E6*(1+F5/100)</f>
        <v>56112.08064</v>
      </c>
      <c r="G6" s="0" t="n">
        <f aca="false">F6*(1+G5/100)</f>
        <v>61162.1678976</v>
      </c>
      <c r="H6" s="0" t="n">
        <f aca="false">G6*(1+H5/100)</f>
        <v>66055.141329408</v>
      </c>
      <c r="I6" s="0" t="n">
        <f aca="false">H6*(1+I5/100)</f>
        <v>70679.0012224666</v>
      </c>
      <c r="J6" s="0" t="n">
        <f aca="false">I6*(1+J5/100)</f>
        <v>74919.7412958146</v>
      </c>
      <c r="K6" s="0" t="n">
        <f aca="false">J6*(1+K5/100)</f>
        <v>78665.7283606053</v>
      </c>
      <c r="L6" s="0" t="n">
        <f aca="false">K6*(1+L5/100)</f>
        <v>81812.3574950296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37</v>
      </c>
      <c r="D7" s="4" t="n">
        <f aca="false">Assumptions!D42</f>
        <v>38.5</v>
      </c>
      <c r="E7" s="4" t="n">
        <f aca="false">Assumptions!E42</f>
        <v>40</v>
      </c>
      <c r="F7" s="4" t="n">
        <f aca="false">Assumptions!F42</f>
        <v>41.5</v>
      </c>
      <c r="G7" s="4" t="n">
        <f aca="false">Assumptions!G42</f>
        <v>42.5</v>
      </c>
      <c r="H7" s="4" t="n">
        <f aca="false">Assumptions!H42</f>
        <v>43.5</v>
      </c>
      <c r="I7" s="4" t="n">
        <f aca="false">Assumptions!I42</f>
        <v>44</v>
      </c>
      <c r="J7" s="4" t="n">
        <f aca="false">Assumptions!J42</f>
        <v>44</v>
      </c>
      <c r="K7" s="4" t="n">
        <f aca="false">Assumptions!K42</f>
        <v>44</v>
      </c>
      <c r="L7" s="4" t="n">
        <f aca="false">Assumptions!L42</f>
        <v>44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15181.84</v>
      </c>
      <c r="D8" s="0" t="n">
        <f aca="false">D6*D7/100</f>
        <v>17692.9984</v>
      </c>
      <c r="E8" s="0" t="n">
        <f aca="false">E6*E7/100</f>
        <v>20404.39296</v>
      </c>
      <c r="F8" s="0" t="n">
        <f aca="false">F6*F7/100</f>
        <v>23286.5134656</v>
      </c>
      <c r="G8" s="0" t="n">
        <f aca="false">G6*G7/100</f>
        <v>25993.92135648</v>
      </c>
      <c r="H8" s="0" t="n">
        <f aca="false">H6*H7/100</f>
        <v>28733.9864782925</v>
      </c>
      <c r="I8" s="0" t="n">
        <f aca="false">I6*I7/100</f>
        <v>31098.7605378853</v>
      </c>
      <c r="J8" s="0" t="n">
        <f aca="false">J6*J7/100</f>
        <v>32964.6861701584</v>
      </c>
      <c r="K8" s="0" t="n">
        <f aca="false">K6*K7/100</f>
        <v>34612.9204786664</v>
      </c>
      <c r="L8" s="0" t="n">
        <f aca="false">L6*L7/100</f>
        <v>35997.437297813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4.5</v>
      </c>
      <c r="D9" s="4" t="n">
        <f aca="false">Assumptions!D43</f>
        <v>4.3</v>
      </c>
      <c r="E9" s="4" t="n">
        <f aca="false">Assumptions!E43</f>
        <v>4.1</v>
      </c>
      <c r="F9" s="4" t="n">
        <f aca="false">Assumptions!F43</f>
        <v>3.9</v>
      </c>
      <c r="G9" s="4" t="n">
        <f aca="false">Assumptions!G43</f>
        <v>3.7</v>
      </c>
      <c r="H9" s="4" t="n">
        <f aca="false">Assumptions!H43</f>
        <v>3.6</v>
      </c>
      <c r="I9" s="4" t="n">
        <f aca="false">Assumptions!I43</f>
        <v>3.5</v>
      </c>
      <c r="J9" s="4" t="n">
        <f aca="false">Assumptions!J43</f>
        <v>3.4</v>
      </c>
      <c r="K9" s="4" t="n">
        <f aca="false">Assumptions!K43</f>
        <v>3.3</v>
      </c>
      <c r="L9" s="4" t="n">
        <f aca="false">Assumptions!L43</f>
        <v>3.3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-1846.44</v>
      </c>
      <c r="D10" s="0" t="n">
        <f aca="false">-D6*D9/100</f>
        <v>-1976.10112</v>
      </c>
      <c r="E10" s="0" t="n">
        <f aca="false">-E6*E9/100</f>
        <v>-2091.4502784</v>
      </c>
      <c r="F10" s="0" t="n">
        <f aca="false">-F6*F9/100</f>
        <v>-2188.37114496</v>
      </c>
      <c r="G10" s="0" t="n">
        <f aca="false">-G6*G9/100</f>
        <v>-2263.0002122112</v>
      </c>
      <c r="H10" s="0" t="n">
        <f aca="false">-H6*H9/100</f>
        <v>-2377.98508785869</v>
      </c>
      <c r="I10" s="0" t="n">
        <f aca="false">-I6*I9/100</f>
        <v>-2473.76504278633</v>
      </c>
      <c r="J10" s="0" t="n">
        <f aca="false">-J6*J9/100</f>
        <v>-2547.2712040577</v>
      </c>
      <c r="K10" s="0" t="n">
        <f aca="false">-K6*K9/100</f>
        <v>-2595.96903589998</v>
      </c>
      <c r="L10" s="0" t="n">
        <f aca="false">-L6*L9/100</f>
        <v>-2699.80779733598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12925.08</v>
      </c>
      <c r="D11" s="0" t="n">
        <f aca="false">D8+D10+D24</f>
        <v>15257.33888</v>
      </c>
      <c r="E11" s="0" t="n">
        <f aca="false">E8+E10+E24</f>
        <v>17802.8328576</v>
      </c>
      <c r="F11" s="0" t="n">
        <f aca="false">F8+F10+F24</f>
        <v>20537.02151424</v>
      </c>
      <c r="G11" s="0" t="n">
        <f aca="false">G8+G10+G24</f>
        <v>23119.2994652928</v>
      </c>
      <c r="H11" s="0" t="n">
        <f aca="false">H8+H10+H24</f>
        <v>25695.4499771397</v>
      </c>
      <c r="I11" s="0" t="n">
        <f aca="false">I8+I10+I24</f>
        <v>27918.2054828743</v>
      </c>
      <c r="J11" s="0" t="n">
        <f aca="false">J8+J10+J24</f>
        <v>29668.2175531426</v>
      </c>
      <c r="K11" s="0" t="n">
        <f aca="false">K8+K10+K24</f>
        <v>31230.2941591603</v>
      </c>
      <c r="L11" s="0" t="n">
        <f aca="false">L8+L10+L24</f>
        <v>32479.5059255267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-1148.896</v>
      </c>
      <c r="D12" s="4" t="n">
        <f aca="false">-D6*Assumptions!D45/100</f>
        <v>-1286.76352</v>
      </c>
      <c r="E12" s="4" t="n">
        <f aca="false">-E6*Assumptions!E45/100</f>
        <v>-1428.3075072</v>
      </c>
      <c r="F12" s="4" t="n">
        <f aca="false">-F6*Assumptions!F45/100</f>
        <v>-1571.13825792</v>
      </c>
      <c r="G12" s="4" t="n">
        <f aca="false">-G6*Assumptions!G45/100</f>
        <v>-1712.5407011328</v>
      </c>
      <c r="H12" s="4" t="n">
        <f aca="false">-H6*Assumptions!H45/100</f>
        <v>-1849.54395722342</v>
      </c>
      <c r="I12" s="4" t="n">
        <f aca="false">-I6*Assumptions!I45/100</f>
        <v>-1979.01203422906</v>
      </c>
      <c r="J12" s="4" t="n">
        <f aca="false">-J6*Assumptions!J45/100</f>
        <v>-2097.75275628281</v>
      </c>
      <c r="K12" s="4" t="n">
        <f aca="false">-K6*Assumptions!K45/100</f>
        <v>-2202.64039409695</v>
      </c>
      <c r="L12" s="4" t="n">
        <f aca="false">-L6*Assumptions!L45/100</f>
        <v>-2290.74600986083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11776.184</v>
      </c>
      <c r="D13" s="0" t="n">
        <f aca="false">D11+D12</f>
        <v>13970.57536</v>
      </c>
      <c r="E13" s="0" t="n">
        <f aca="false">E11+E12</f>
        <v>16374.5253504</v>
      </c>
      <c r="F13" s="0" t="n">
        <f aca="false">F11+F12</f>
        <v>18965.88325632</v>
      </c>
      <c r="G13" s="0" t="n">
        <f aca="false">G11+G12</f>
        <v>21406.75876416</v>
      </c>
      <c r="H13" s="0" t="n">
        <f aca="false">H11+H12</f>
        <v>23845.9060199163</v>
      </c>
      <c r="I13" s="0" t="n">
        <f aca="false">I11+I12</f>
        <v>25939.1934486452</v>
      </c>
      <c r="J13" s="0" t="n">
        <f aca="false">J11+J12</f>
        <v>27570.4647968598</v>
      </c>
      <c r="K13" s="0" t="n">
        <f aca="false">K11+K12</f>
        <v>29027.6537650634</v>
      </c>
      <c r="L13" s="0" t="n">
        <f aca="false">L11+L12</f>
        <v>30188.7599156659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8596.61432</v>
      </c>
      <c r="D15" s="0" t="n">
        <f aca="false">D13-MAX(0,D13)*D14/100</f>
        <v>10198.5200128</v>
      </c>
      <c r="E15" s="0" t="n">
        <f aca="false">E13-MAX(0,E13)*E14/100</f>
        <v>11953.403505792</v>
      </c>
      <c r="F15" s="0" t="n">
        <f aca="false">F13-MAX(0,F13)*F14/100</f>
        <v>13845.0947771136</v>
      </c>
      <c r="G15" s="0" t="n">
        <f aca="false">G13-MAX(0,G13)*G14/100</f>
        <v>15626.9338978368</v>
      </c>
      <c r="H15" s="0" t="n">
        <f aca="false">H13-MAX(0,H13)*H14/100</f>
        <v>17407.5113945389</v>
      </c>
      <c r="I15" s="0" t="n">
        <f aca="false">I13-MAX(0,I13)*I14/100</f>
        <v>18935.611217511</v>
      </c>
      <c r="J15" s="0" t="n">
        <f aca="false">J13-MAX(0,J13)*J14/100</f>
        <v>20126.4393017076</v>
      </c>
      <c r="K15" s="0" t="n">
        <f aca="false">K13-MAX(0,K13)*K14/100</f>
        <v>21190.1872484963</v>
      </c>
      <c r="L15" s="0" t="n">
        <f aca="false">L13-MAX(0,L13)*L14/100</f>
        <v>22037.7947384361</v>
      </c>
    </row>
    <row r="16" customFormat="false" ht="15" hidden="false" customHeight="false" outlineLevel="0" collapsed="false">
      <c r="A16" s="0" t="s">
        <v>121</v>
      </c>
      <c r="C16" s="0" t="n">
        <f aca="false">-C12</f>
        <v>1148.896</v>
      </c>
      <c r="D16" s="0" t="n">
        <f aca="false">-D12</f>
        <v>1286.76352</v>
      </c>
      <c r="E16" s="0" t="n">
        <f aca="false">-E12</f>
        <v>1428.3075072</v>
      </c>
      <c r="F16" s="0" t="n">
        <f aca="false">-F12</f>
        <v>1571.13825792</v>
      </c>
      <c r="G16" s="0" t="n">
        <f aca="false">-G12</f>
        <v>1712.5407011328</v>
      </c>
      <c r="H16" s="0" t="n">
        <f aca="false">-H12</f>
        <v>1849.54395722342</v>
      </c>
      <c r="I16" s="0" t="n">
        <f aca="false">-I12</f>
        <v>1979.01203422906</v>
      </c>
      <c r="J16" s="0" t="n">
        <f aca="false">-J12</f>
        <v>2097.75275628281</v>
      </c>
      <c r="K16" s="0" t="n">
        <f aca="false">-K12</f>
        <v>2202.64039409695</v>
      </c>
      <c r="L16" s="0" t="n">
        <f aca="false">-L12</f>
        <v>2290.74600986083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-820.64</v>
      </c>
      <c r="D17" s="4" t="n">
        <f aca="false">-D6*Assumptions!D46/100</f>
        <v>-919.1168</v>
      </c>
      <c r="E17" s="4" t="n">
        <f aca="false">-E6*Assumptions!E46/100</f>
        <v>-1020.219648</v>
      </c>
      <c r="F17" s="4" t="n">
        <f aca="false">-F6*Assumptions!F46/100</f>
        <v>-1122.2416128</v>
      </c>
      <c r="G17" s="4" t="n">
        <f aca="false">-G6*Assumptions!G46/100</f>
        <v>-1223.243357952</v>
      </c>
      <c r="H17" s="4" t="n">
        <f aca="false">-H6*Assumptions!H46/100</f>
        <v>-1321.10282658816</v>
      </c>
      <c r="I17" s="4" t="n">
        <f aca="false">-I6*Assumptions!I46/100</f>
        <v>-1413.58002444933</v>
      </c>
      <c r="J17" s="4" t="n">
        <f aca="false">-J6*Assumptions!J46/100</f>
        <v>-1498.39482591629</v>
      </c>
      <c r="K17" s="4" t="n">
        <f aca="false">-K6*Assumptions!K46/100</f>
        <v>-1573.31456721211</v>
      </c>
      <c r="L17" s="4" t="n">
        <f aca="false">-L6*Assumptions!L46/100</f>
        <v>-1636.24714990059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634.8</v>
      </c>
      <c r="D18" s="4" t="n">
        <f aca="false">(D6-C6)*Assumptions!$B$51/100</f>
        <v>738.576000000001</v>
      </c>
      <c r="E18" s="4" t="n">
        <f aca="false">(E6-D6)*Assumptions!$B$51/100</f>
        <v>758.271360000001</v>
      </c>
      <c r="F18" s="4" t="n">
        <f aca="false">(F6-E6)*Assumptions!$B$51/100</f>
        <v>765.164736000001</v>
      </c>
      <c r="G18" s="4" t="n">
        <f aca="false">(G6-F6)*Assumptions!$B$51/100</f>
        <v>757.513088640001</v>
      </c>
      <c r="H18" s="4" t="n">
        <f aca="false">(H6-G6)*Assumptions!$B$51/100</f>
        <v>733.946014771201</v>
      </c>
      <c r="I18" s="4" t="n">
        <f aca="false">(I6-H6)*Assumptions!$B$51/100</f>
        <v>693.578983958786</v>
      </c>
      <c r="J18" s="4" t="n">
        <f aca="false">(J6-I6)*Assumptions!$B$51/100</f>
        <v>636.1110110022</v>
      </c>
      <c r="K18" s="4" t="n">
        <f aca="false">(K6-J6)*Assumptions!$B$51/100</f>
        <v>561.898059718611</v>
      </c>
      <c r="L18" s="4" t="n">
        <f aca="false">(L6-K6)*Assumptions!$B$51/100</f>
        <v>471.994370163633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9559.67032</v>
      </c>
      <c r="D19" s="0" t="n">
        <f aca="false">D15+D16+D17+D18</f>
        <v>11304.7427328</v>
      </c>
      <c r="E19" s="0" t="n">
        <f aca="false">E15+E16+E17+E18</f>
        <v>13119.762724992</v>
      </c>
      <c r="F19" s="0" t="n">
        <f aca="false">F15+F16+F17+F18</f>
        <v>15059.1561582336</v>
      </c>
      <c r="G19" s="0" t="n">
        <f aca="false">G15+G16+G17+G18</f>
        <v>16873.7443296576</v>
      </c>
      <c r="H19" s="0" t="n">
        <f aca="false">H15+H16+H17+H18</f>
        <v>18669.8985399454</v>
      </c>
      <c r="I19" s="0" t="n">
        <f aca="false">I15+I16+I17+I18</f>
        <v>20194.6222112495</v>
      </c>
      <c r="J19" s="0" t="n">
        <f aca="false">J15+J16+J17+J18</f>
        <v>21361.9082430764</v>
      </c>
      <c r="K19" s="0" t="n">
        <f aca="false">K15+K16+K17+K18</f>
        <v>22381.4111350997</v>
      </c>
      <c r="L19" s="0" t="n">
        <f aca="false">L15+L16+L17+L18</f>
        <v>23164.28796856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8810.75605529954</v>
      </c>
      <c r="D21" s="0" t="n">
        <f aca="false">D19*D20</f>
        <v>9602.87348026079</v>
      </c>
      <c r="E21" s="0" t="n">
        <f aca="false">E19*E20</f>
        <v>10271.5684868859</v>
      </c>
      <c r="F21" s="0" t="n">
        <f aca="false">F19*F20</f>
        <v>10866.2998265568</v>
      </c>
      <c r="G21" s="0" t="n">
        <f aca="false">G19*G20</f>
        <v>11221.806440178</v>
      </c>
      <c r="H21" s="0" t="n">
        <f aca="false">H19*H20</f>
        <v>11443.6226518434</v>
      </c>
      <c r="I21" s="0" t="n">
        <f aca="false">I19*I20</f>
        <v>11408.4742310353</v>
      </c>
      <c r="J21" s="0" t="n">
        <f aca="false">J19*J20</f>
        <v>11122.4929670997</v>
      </c>
      <c r="K21" s="0" t="n">
        <f aca="false">K19*K20</f>
        <v>10740.3843086039</v>
      </c>
      <c r="L21" s="0" t="n">
        <f aca="false">L19*L20</f>
        <v>10245.2267182087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-410.32</v>
      </c>
      <c r="D24" s="0" t="n">
        <f aca="false">-D6*D23/100</f>
        <v>-459.5584</v>
      </c>
      <c r="E24" s="0" t="n">
        <f aca="false">-E6*E23/100</f>
        <v>-510.109824</v>
      </c>
      <c r="F24" s="0" t="n">
        <f aca="false">-F6*F23/100</f>
        <v>-561.1208064</v>
      </c>
      <c r="G24" s="0" t="n">
        <f aca="false">-G6*G23/100</f>
        <v>-611.621678976</v>
      </c>
      <c r="H24" s="0" t="n">
        <f aca="false">-H6*H23/100</f>
        <v>-660.55141329408</v>
      </c>
      <c r="I24" s="0" t="n">
        <f aca="false">-I6*I23/100</f>
        <v>-706.790012224666</v>
      </c>
      <c r="J24" s="0" t="n">
        <f aca="false">-J6*J23/100</f>
        <v>-749.197412958146</v>
      </c>
      <c r="K24" s="0" t="n">
        <f aca="false">-K6*K23/100</f>
        <v>-786.657283606053</v>
      </c>
      <c r="L24" s="0" t="n">
        <f aca="false">-L6*L23/100</f>
        <v>-818.123574950296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105733.505165972</v>
      </c>
    </row>
    <row r="31" customFormat="false" ht="15" hidden="false" customHeight="false" outlineLevel="0" collapsed="false">
      <c r="A31" s="0" t="s">
        <v>130</v>
      </c>
      <c r="B31" s="0" t="n">
        <f aca="false">L19</f>
        <v>23164.28796856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433803.938320305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463285.7593712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433803.938320305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191865.154904636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297598.660070608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297592.660070608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287.060888981562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0.376328757642817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14723.0752237846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22361.9669187187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322.833495613795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198826.805063473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121.890293886748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142.759017726136</v>
      </c>
      <c r="C4" s="0" t="n">
        <f aca="false">B4/Assumptions!$B$2-1</f>
        <v>-0.315534267986113</v>
      </c>
      <c r="D4" s="4" t="n">
        <f aca="false">Assumptions!$B$24</f>
        <v>0.2</v>
      </c>
      <c r="E4" s="4" t="n">
        <f aca="false">DCF_Bear!$B$43</f>
        <v>173.688700918614</v>
      </c>
      <c r="F4" s="4" t="n">
        <f aca="false">DCF_Bear!$B$47</f>
        <v>71.8124318497121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216.142631117605</v>
      </c>
      <c r="C5" s="0" t="n">
        <f aca="false">B5/Assumptions!$B$2-1</f>
        <v>0.0363073841760797</v>
      </c>
      <c r="D5" s="4" t="n">
        <f aca="false">Assumptions!$B$38</f>
        <v>0.5</v>
      </c>
      <c r="E5" s="4" t="n">
        <f aca="false">DCF_Base!$B$43</f>
        <v>248.593350970534</v>
      </c>
      <c r="F5" s="4" t="n">
        <f aca="false">DCF_Base!$B$47</f>
        <v>97.8073627741809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287.060888981562</v>
      </c>
      <c r="C6" s="0" t="n">
        <f aca="false">B6/Assumptions!$B$2-1</f>
        <v>0.376328757642817</v>
      </c>
      <c r="D6" s="4" t="n">
        <f aca="false">Assumptions!$B$52</f>
        <v>0.3</v>
      </c>
      <c r="E6" s="4" t="n">
        <f aca="false">DCF_Bull!$B$43</f>
        <v>322.833495613795</v>
      </c>
      <c r="F6" s="4" t="n">
        <f aca="false">DCF_Bull!$B$47</f>
        <v>121.890293886748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222.741385798498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255.884464353128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0.0636225986818564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-42.7582059860239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99.8332559230572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216.142631117605</v>
      </c>
      <c r="C15" s="3" t="n">
        <v>8.5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198.497923478433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170.333717873859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148.871215688868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131.989716824127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97.8073627741809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279.195334228705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279.195334228705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279.195334228705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279.195334228705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279.195334228705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231.900765236442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245.639445911038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257.908407257655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257.908407257655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257.908407257655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196.279477142424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205.44708666943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216.142631117605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228.782820010902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238.568772702487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169.681494823199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176.082627435991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183.398207564897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191.839261559789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201.687157887163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149.091737926194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153.71781868634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158.922159541504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164.82041251069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171.561273046903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2026-10-04T07:37:36Z</dcterms:created>
  <dc:creator>openpyxl</dc:creator>
  <dc:description/>
  <dc:language>en-NZ</dc:language>
  <cp:lastModifiedBy/>
  <dcterms:modified xsi:type="dcterms:W3CDTF">2026-10-04T07:37:36Z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