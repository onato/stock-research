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<sst xmlns="http://schemas.openxmlformats.org/spreadsheetml/2006/main" count="384" uniqueCount="174">
  <si>
    <t xml:space="preserve">Ticker</t>
  </si>
  <si>
    <t xml:space="preserve">KKR</t>
  </si>
  <si>
    <t xml:space="preserve">Company</t>
  </si>
  <si>
    <t xml:space="preserve">KKR &amp; Co. Inc.</t>
  </si>
  <si>
    <t xml:space="preserve">Valuation date</t>
  </si>
  <si>
    <t xml:space="preserve">2026-09-29</t>
  </si>
  <si>
    <t xml:space="preserve">Current price</t>
  </si>
  <si>
    <t xml:space="preserve">Price as of</t>
  </si>
  <si>
    <t xml:space="preserve">2026-09-28T20:00:03Z regular close</t>
  </si>
  <si>
    <t xml:space="preserve">Balance sheet date</t>
  </si>
  <si>
    <t xml:space="preserve">2026-06-30</t>
  </si>
  <si>
    <t xml:space="preserve">Model</t>
  </si>
  <si>
    <t xml:space="preserve">Alternative asset manager and insurer: Adjusted Net Income (FRE + insurance operating earnings + strategic holdings + realised investing earnings, after interest, preferred and tax) less SBC and balance-sheet reinvestment, capitalised at cost of equity with net debt held at zero (engine route)</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</si>
  <si>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</si>
  <si>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</si>
  <si>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</si>
  <si>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</si>
  <si>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</si>
  <si>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</si>
  <si>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</si>
  <si>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</si>
  <si>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2026-09-28T22:31:20Z</t>
  </si>
  <si>
    <t xml:space="preserve">Drivers file</t>
  </si>
  <si>
    <t xml:space="preserve">KKR_Drivers.json</t>
  </si>
  <si>
    <t xml:space="preserve">Convention</t>
  </si>
  <si>
    <t xml:space="preserve">Percents stored as percents; formulas divide by 100. Blue = input, green = link, black = formula.</t>
  </si>
  <si>
    <t xml:space="preserve">Methodology</t>
  </si>
  <si>
    <t xml:space="preserve">summary: Value KKR on what it can actually distribute -- Adjusted Net Income after interest, preferred dividends and tax -- rather than on consolidated GAAP cash flow, which is dominated by consolidated funds and the insurance general account. The house basis charges the ~$740M/yr of equity compensation KKR adds back and retains a share of earnings as growth capital; the street basis is KKR's own ANI. Discount at cost of equity, hold net debt at zero (the flow is already post-interest), and give no credit in the bridge for the $4.6B of AM-segment net cash and investments, the $2.6B embedded gains or the $2.5B net unrealised carry, since their income is already in the flows at the LTM realisation rate. Global Atlantic is valued through its operating earnings inside the same stream, not on book.
key_risks_to_valuation: Realised carry and investment income (~$1.1B LTM, 16% of TSE) are lumpy; holding them flat is a modelling convention, not a forecast -- a two-year exit drought is the bear case; Global Atlantic credit losses, reserve strengthening or spread compression flow straight into insurance operating earnings; GA leverage is inside the equity; Fee-paying AUM growth (+15% LTM) is the single most important driver; LP allocation pauses or fee-rate pressure would cut the FRE path; The balance-sheet reinvestment charge (20% of TSE fading to 11%) is a judgment; charging the full ~$3.8B/yr KKR actually retains would cut the base value by roughly a third, charging nothing would lift it by a similar amount; Series D preferred conversion (by Mar-2028) is proxied by leaving its dividend in the flows; if the stock rises the conversion is less dilutive than the proxy, and vice versa; Carried-interest and Section 199A tax treatment: the 18.4% adjusted tax rate could step up to the mid-20s under reform</t>
  </si>
  <si>
    <t xml:space="preserve">Data sources</t>
  </si>
  <si>
    <t xml:space="preserve">price: Yahoo Finance chart API at inputs.price_as_of (regular close); 52-week range 82.67-144.84
financials: SEC EDGAR: KKR Q2 2026 earnings release (8-K filed 2026-07-30, acc. 0001404912-26-000022, EX-99.1) for LTM 2Q'26 segment earnings, ANI reconciliation, SBC add-backs, adjusted shares, AM-segment cash/investments/debt; 10-Q for 2026-06-30 (acc. 0001404912-26-000027) segment note; FY2025 10-K (acc. 0001404912-26-000007) three-year segment table for FY2023-FY2025 FRE/IOE/SH/TSE/ANI; KKR_Metrics.csv (XBRL) for GAAP equity history only.
qualitative: KKR_Analysis.json (2026-09-29): business model, Q2 2026 guidance (FRE double-digit growth, SH OE &gt;= $350M FY26, $1.1B by 2030), bull/bear axes</t>
  </si>
  <si>
    <t xml:space="preserve">Scenario narrative: bear</t>
  </si>
  <si>
    <t xml:space="preserve">The 2026 'private credit meltdown' narrative turns into losses: credit impairments in Global Atlantic's general account and KKR's credit funds, LP allocations to alternatives stall, exits dry up so realised carry roughly halves, FRE growth falls to mid-single digits on fee pressure and slower fundraising, and falling rates compress GA's spread. Total Segment Earnings dip about 1% over three years before recovering at 4-5%. Fixed charges and equity compensation do not flex down, so margins fall; carried-interest tax reform lifts the adjusted rate to 22%; the terminal multiple is 15x. Balance-sheet leverage at both KKR and GA means the equity absorbs the whole earnings shortfall.</t>
  </si>
  <si>
    <t xml:space="preserve">Scenario narrative: base</t>
  </si>
  <si>
    <t xml:space="preserve">KKR compounds Total Segment Earnings at 12% fading to 3.5% over ten years. Fee Related Earnings -- 64% of the base and the durable engine -- keep growing double-digit for three years as flagship vintages (North America XIV, Infrastructure V), K-Series wealth vehicles and Global Atlantic's captive assets lift fee-paying AUM, then normalise toward high-single digits. Insurance operating earnings grow with the GA/Ivy book at 8% fading to 4%. Realised carry and investment income are held at the LTM $1.1B run-rate -- neither a boom nor a drought -- and Strategic Holdings dividends climb toward management's 2030 target. Fixed charges (net interest, Series D preferred, NCI) grow slower than earnings, the adjusted tax rate drifts from 18.4% to 20%, and 20% fading to 11% of TSE is retained each year as growth capital. The house basis charges equity compensation (11% of TSE, drifting to 9.5%) that KKR adds back in its own ANI.</t>
  </si>
  <si>
    <t xml:space="preserve">Scenario narrative: bull</t>
  </si>
  <si>
    <t xml:space="preserve">The wealth channel and insurance flywheel deliver management's stated ambition to roughly double the firm twice in a decade: FRE grows 18-20% for three years on K-Series inflows, Helix digital infrastructure ($10B initial capital), asset-based finance and Arctos; the monetisation cycle reopens so investing earnings scale with AUM; GA plus the Ivy sidecars push insurance economics past $3B; and Strategic Holdings reaches $1.1B of operating earnings by 2030. Heavier balance-sheet reinvestment (22% of TSE) funds it, the terminal multiple is 22x and terminal growth 3.5%.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</si>
  <si>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</si>
  <si>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</si>
  <si>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</si>
  <si>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</si>
  <si>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</si>
  <si>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</si>
  <si>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</si>
  <si>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</si>
  <si>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</si>
  <si>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</si>
  <si>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</si>
  <si>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</si>
  <si>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</si>
  <si>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</si>
  <si>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</si>
  <si>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</si>
  <si>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</si>
  <si>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</si>
  <si>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</si>
  <si>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</si>
  <si>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</si>
  <si>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</si>
  <si>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</si>
  <si>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</si>
  <si>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</si>
  <si>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</si>
  <si>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</si>
  <si>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</si>
  <si>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</si>
  <si>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</si>
  <si>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</si>
  <si>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</si>
  <si>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</si>
  <si>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</si>
  <si>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</si>
  <si>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</si>
  <si>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</si>
  <si>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</si>
  <si>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</si>
  <si>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</si>
  <si>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</si>
  <si>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</si>
  <si>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</si>
  <si>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</si>
  <si>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</si>
  <si>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</si>
  <si>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</si>
  <si>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</si>
  <si>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</si>
  <si>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</si>
  <si>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</si>
  <si>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</si>
  <si>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</si>
  <si>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</si>
  <si>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LTM 2Q2026</t>
  </si>
  <si>
    <t xml:space="preserve">Currency / units</t>
  </si>
  <si>
    <t xml:space="preserve">USD millions</t>
  </si>
  <si>
    <t xml:space="preserve">FX rate (model -&gt; quote)</t>
  </si>
  <si>
    <t xml:space="preserve">BEAR</t>
  </si>
  <si>
    <t xml:space="preserve">LTM 2Q2027</t>
  </si>
  <si>
    <t xml:space="preserve">LTM 2Q2028</t>
  </si>
  <si>
    <t xml:space="preserve">LTM 2Q2029</t>
  </si>
  <si>
    <t xml:space="preserve">LTM 2Q2030</t>
  </si>
  <si>
    <t xml:space="preserve">LTM 2Q2031</t>
  </si>
  <si>
    <t xml:space="preserve">LTM 2Q2032</t>
  </si>
  <si>
    <t xml:space="preserve">LTM 2Q2033</t>
  </si>
  <si>
    <t xml:space="preserve">LTM 2Q2034</t>
  </si>
  <si>
    <t xml:space="preserve">LTM 2Q2035</t>
  </si>
  <si>
    <t xml:space="preserve">LTM 2Q2036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</si>
  <si>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</si>
  <si>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</si>
  <si>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</si>
  <si>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</si>
  <si>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</si>
  <si>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</si>
  <si>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</si>
  <si>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</si>
  <si>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</si>
  <si>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</si>
  <si>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</si>
  <si>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</si>
  <si>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</si>
  <si>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</si>
  <si>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KKR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</si>
  <si>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</si>
  <si>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</si>
  <si>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</si>
  <si>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</si>
  <si>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</si>
  <si>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</si>
  <si>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</si>
  <si>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</si>
  <si>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</si>
  <si>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</si>
  <si>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</si>
  <si>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</si>
  <si>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</si>
  <si>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</si>
  <si>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</si>
  <si>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</si>
  <si>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</si>
  <si>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</si>
  <si>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</si>
  <si>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</si>
  <si>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</si>
  <si>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</si>
  <si>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</si>
  <si>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</si>
  <si>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</si>
  <si>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</si>
  <si>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</si>
  <si>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</si>
  <si>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</si>
  <si>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</si>
  <si>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KKR owner-FCF component DCF: base case (millions, USD)</t>
  </si>
  <si>
    <t xml:space="preserve">KKR owner-FCF component DCF: bull case (millions, USD)</t>
  </si>
  <si>
    <t xml:space="preserve">KKR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</si>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</sst>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93.24</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S2" s="0" t="n">
        <v>198.646</v>
      </c>
      <c r="AA2" s="0" t="s">
        <v>17</v>
      </c>
      <c r="AB2" s="0" t="s">
        <v>14</v>
      </c>
    </row>
    <row r="3" customFormat="false" ht="15" hidden="false" customHeight="false" outlineLevel="0" collapsed="false">
      <c r="A3" s="0" t="s">
        <v>64</v>
      </c>
      <c r="I3" s="0" t="n">
        <v>6852.371</v>
      </c>
      <c r="L3" s="0" t="n">
        <v>-347.312</v>
      </c>
      <c r="M3" s="0" t="n">
        <v>21.05</v>
      </c>
      <c r="N3" s="0" t="n">
        <v>-368.362</v>
      </c>
      <c r="P3" s="0" t="n">
        <v>30221.111</v>
      </c>
      <c r="S3" s="0" t="n">
        <v>546.739</v>
      </c>
      <c r="U3" s="0" t="n">
        <v>562.373</v>
      </c>
      <c r="V3" s="0" t="n">
        <v>0.08</v>
      </c>
      <c r="AA3" s="0" t="s">
        <v>17</v>
      </c>
      <c r="AB3" s="0" t="s">
        <v>14</v>
      </c>
    </row>
    <row r="4" customFormat="false" ht="15" hidden="false" customHeight="false" outlineLevel="0" collapsed="false">
      <c r="A4" s="0" t="s">
        <v>65</v>
      </c>
      <c r="I4" s="0" t="n">
        <v>7776.471</v>
      </c>
      <c r="L4" s="0" t="n">
        <v>733.396</v>
      </c>
      <c r="M4" s="0" t="n">
        <v>13.081</v>
      </c>
      <c r="N4" s="0" t="n">
        <v>720.315</v>
      </c>
      <c r="P4" s="0" t="n">
        <v>38391.157</v>
      </c>
      <c r="Q4" s="0" t="n">
        <v>2391.115</v>
      </c>
      <c r="S4" s="0" t="n">
        <v>738.693</v>
      </c>
      <c r="U4" s="0" t="n">
        <v>824.193</v>
      </c>
      <c r="V4" s="0" t="n">
        <v>0.6</v>
      </c>
      <c r="AA4" s="0" t="s">
        <v>17</v>
      </c>
      <c r="AB4" s="0" t="s">
        <v>14</v>
      </c>
    </row>
    <row r="5" customFormat="false" ht="15" hidden="false" customHeight="false" outlineLevel="0" collapsed="false">
      <c r="A5" s="0" t="s">
        <v>66</v>
      </c>
      <c r="I5" s="0" t="n">
        <v>876.486</v>
      </c>
      <c r="L5" s="0" t="n">
        <v>-208.577</v>
      </c>
      <c r="M5" s="0" t="n">
        <v>18.214</v>
      </c>
      <c r="N5" s="0" t="n">
        <v>-226.791</v>
      </c>
      <c r="P5" s="0" t="n">
        <v>40377.645</v>
      </c>
      <c r="Q5" s="0" t="n">
        <v>2692.995</v>
      </c>
      <c r="R5" s="0" t="n">
        <v>1.5665</v>
      </c>
      <c r="S5" s="0" t="n">
        <v>843.261</v>
      </c>
      <c r="U5" s="0" t="n">
        <v>470.221</v>
      </c>
      <c r="V5" s="0" t="n">
        <v>0.74</v>
      </c>
      <c r="AA5" s="0" t="s">
        <v>17</v>
      </c>
      <c r="AB5" s="0" t="s">
        <v>14</v>
      </c>
    </row>
    <row r="6" customFormat="false" ht="15" hidden="false" customHeight="false" outlineLevel="0" collapsed="false">
      <c r="A6" s="0" t="s">
        <v>67</v>
      </c>
      <c r="I6" s="0" t="n">
        <v>8028.244</v>
      </c>
      <c r="M6" s="0" t="n">
        <v>36.966</v>
      </c>
      <c r="P6" s="0" t="n">
        <v>44426.353</v>
      </c>
      <c r="Q6" s="0" t="n">
        <v>3020.899</v>
      </c>
      <c r="R6" s="0" t="n">
        <v>1125.026</v>
      </c>
      <c r="S6" s="0" t="n">
        <v>1230.464</v>
      </c>
      <c r="U6" s="0" t="n">
        <v>400.207</v>
      </c>
      <c r="V6" s="0" t="n">
        <v>1.22</v>
      </c>
      <c r="AA6" s="0" t="s">
        <v>17</v>
      </c>
      <c r="AB6" s="0" t="s">
        <v>14</v>
      </c>
    </row>
    <row r="7" customFormat="false" ht="15" hidden="false" customHeight="false" outlineLevel="0" collapsed="false">
      <c r="A7" s="0" t="s">
        <v>68</v>
      </c>
      <c r="I7" s="0" t="n">
        <v>7854.228</v>
      </c>
      <c r="L7" s="0" t="n">
        <v>2577.753</v>
      </c>
      <c r="M7" s="0" t="n">
        <v>14.396</v>
      </c>
      <c r="N7" s="0" t="n">
        <v>2563.357</v>
      </c>
      <c r="P7" s="0" t="n">
        <v>51427.201</v>
      </c>
      <c r="Q7" s="0" t="n">
        <v>4842.383</v>
      </c>
      <c r="R7" s="0" t="n">
        <v>1915.556</v>
      </c>
      <c r="S7" s="0" t="n">
        <v>1306.383</v>
      </c>
      <c r="U7" s="0" t="n">
        <v>307.514</v>
      </c>
      <c r="AA7" s="0" t="s">
        <v>17</v>
      </c>
      <c r="AB7" s="0" t="s">
        <v>14</v>
      </c>
    </row>
    <row r="8" customFormat="false" ht="15" hidden="false" customHeight="false" outlineLevel="0" collapsed="false">
      <c r="A8" s="0" t="s">
        <v>69</v>
      </c>
      <c r="I8" s="0" t="n">
        <v>5395.02</v>
      </c>
      <c r="L8" s="0" t="n">
        <v>1488.65</v>
      </c>
      <c r="M8" s="0" t="n">
        <v>12.163</v>
      </c>
      <c r="N8" s="0" t="n">
        <v>1476.487</v>
      </c>
      <c r="P8" s="0" t="n">
        <v>65872.745</v>
      </c>
      <c r="Q8" s="0" t="n">
        <v>14168.684</v>
      </c>
      <c r="R8" s="0" t="n">
        <v>11010.7</v>
      </c>
      <c r="S8" s="0" t="n">
        <v>918.08</v>
      </c>
      <c r="U8" s="0" t="n">
        <v>310.403</v>
      </c>
      <c r="AA8" s="0" t="s">
        <v>17</v>
      </c>
      <c r="AB8" s="0" t="s">
        <v>14</v>
      </c>
    </row>
    <row r="9" customFormat="false" ht="15" hidden="false" customHeight="false" outlineLevel="0" collapsed="false">
      <c r="A9" s="0" t="s">
        <v>70</v>
      </c>
      <c r="I9" s="0" t="n">
        <v>5275.032</v>
      </c>
      <c r="L9" s="0" t="n">
        <v>385.404</v>
      </c>
      <c r="M9" s="0" t="n">
        <v>169.419</v>
      </c>
      <c r="N9" s="0" t="n">
        <v>215.985</v>
      </c>
      <c r="P9" s="0" t="n">
        <v>71042.339</v>
      </c>
      <c r="Q9" s="0" t="n">
        <v>21574.754</v>
      </c>
      <c r="R9" s="0" t="n">
        <v>18813.806</v>
      </c>
      <c r="S9" s="0" t="n">
        <v>1047.74</v>
      </c>
      <c r="U9" s="0" t="n">
        <v>261.579</v>
      </c>
      <c r="AA9" s="0" t="s">
        <v>17</v>
      </c>
      <c r="AB9" s="0" t="s">
        <v>14</v>
      </c>
    </row>
    <row r="10" customFormat="false" ht="15" hidden="false" customHeight="false" outlineLevel="0" collapsed="false">
      <c r="A10" s="0" t="s">
        <v>71</v>
      </c>
      <c r="B10" s="0" t="n">
        <v>2040.018</v>
      </c>
      <c r="I10" s="0" t="n">
        <v>950.664</v>
      </c>
      <c r="J10" s="0" t="n">
        <v>46.6007652873651</v>
      </c>
      <c r="L10" s="0" t="n">
        <v>-1441.22</v>
      </c>
      <c r="M10" s="0" t="n">
        <v>62.663</v>
      </c>
      <c r="N10" s="0" t="n">
        <v>-1503.883</v>
      </c>
      <c r="P10" s="0" t="n">
        <v>39002.897</v>
      </c>
      <c r="Q10" s="0" t="n">
        <v>21884.814</v>
      </c>
      <c r="R10" s="0" t="n">
        <v>18662.965</v>
      </c>
      <c r="S10" s="0" t="n">
        <v>2508.902</v>
      </c>
      <c r="U10" s="0" t="n">
        <v>264.89</v>
      </c>
      <c r="AA10" s="0" t="s">
        <v>17</v>
      </c>
      <c r="AB10" s="0" t="s">
        <v>14</v>
      </c>
    </row>
    <row r="11" customFormat="false" ht="15" hidden="false" customHeight="false" outlineLevel="0" collapsed="false">
      <c r="A11" s="0" t="s">
        <v>72</v>
      </c>
      <c r="B11" s="0" t="n">
        <v>3557.28</v>
      </c>
      <c r="I11" s="0" t="n">
        <v>2560.042</v>
      </c>
      <c r="J11" s="0" t="n">
        <v>71.9662776053614</v>
      </c>
      <c r="L11" s="0" t="n">
        <v>-3532.166</v>
      </c>
      <c r="M11" s="0" t="n">
        <v>97.07</v>
      </c>
      <c r="N11" s="0" t="n">
        <v>-3629.236</v>
      </c>
      <c r="O11" s="0" t="n">
        <v>20052.26</v>
      </c>
      <c r="P11" s="0" t="n">
        <v>45834.719</v>
      </c>
      <c r="Q11" s="0" t="n">
        <v>25171.919</v>
      </c>
      <c r="R11" s="0" t="n">
        <v>21434.682</v>
      </c>
      <c r="S11" s="0" t="n">
        <v>1876.687</v>
      </c>
      <c r="U11" s="0" t="n">
        <v>334.82</v>
      </c>
      <c r="V11" s="0" t="n">
        <v>0.67</v>
      </c>
      <c r="AA11" s="0" t="s">
        <v>17</v>
      </c>
      <c r="AB11" s="0" t="s">
        <v>14</v>
      </c>
    </row>
    <row r="12" customFormat="false" ht="15" hidden="false" customHeight="false" outlineLevel="0" collapsed="false">
      <c r="A12" s="0" t="s">
        <v>73</v>
      </c>
      <c r="B12" s="0" t="n">
        <v>2395.836</v>
      </c>
      <c r="I12" s="0" t="n">
        <v>2450.946</v>
      </c>
      <c r="J12" s="0" t="n">
        <v>102.300240917993</v>
      </c>
      <c r="L12" s="0" t="n">
        <v>-7606.475</v>
      </c>
      <c r="M12" s="0" t="n">
        <v>102.664</v>
      </c>
      <c r="N12" s="0" t="n">
        <v>-7709.139</v>
      </c>
      <c r="O12" s="0" t="n">
        <v>24259.968</v>
      </c>
      <c r="P12" s="0" t="n">
        <v>50743.375</v>
      </c>
      <c r="Q12" s="0" t="n">
        <v>25360.766</v>
      </c>
      <c r="R12" s="0" t="n">
        <v>22639</v>
      </c>
      <c r="S12" s="0" t="n">
        <v>1751.287</v>
      </c>
      <c r="U12" s="0" t="n">
        <v>331.708</v>
      </c>
      <c r="V12" s="0" t="n">
        <v>0.295</v>
      </c>
      <c r="AA12" s="0" t="s">
        <v>17</v>
      </c>
      <c r="AB12" s="0" t="s">
        <v>14</v>
      </c>
    </row>
    <row r="13" customFormat="false" ht="15" hidden="false" customHeight="false" outlineLevel="0" collapsed="false">
      <c r="A13" s="0" t="s">
        <v>74</v>
      </c>
      <c r="B13" s="0" t="n">
        <v>4220.9</v>
      </c>
      <c r="I13" s="0" t="n">
        <v>4639.54</v>
      </c>
      <c r="J13" s="0" t="n">
        <v>109.918263877372</v>
      </c>
      <c r="L13" s="0" t="n">
        <v>-5682.155</v>
      </c>
      <c r="M13" s="0" t="n">
        <v>194.569</v>
      </c>
      <c r="N13" s="0" t="n">
        <v>-5876.724</v>
      </c>
      <c r="O13" s="0" t="n">
        <v>30502.374</v>
      </c>
      <c r="P13" s="0" t="n">
        <v>60899.319</v>
      </c>
      <c r="Q13" s="0" t="n">
        <v>30396.945</v>
      </c>
      <c r="R13" s="0" t="n">
        <v>27151.71</v>
      </c>
      <c r="S13" s="0" t="n">
        <v>2346.713</v>
      </c>
      <c r="T13" s="0" t="n">
        <v>560.007579</v>
      </c>
      <c r="U13" s="0" t="n">
        <v>297.708</v>
      </c>
      <c r="V13" s="0" t="n">
        <v>0.5</v>
      </c>
      <c r="AA13" s="0" t="s">
        <v>17</v>
      </c>
      <c r="AB13" s="0" t="s">
        <v>14</v>
      </c>
    </row>
    <row r="14" customFormat="false" ht="15" hidden="false" customHeight="false" outlineLevel="0" collapsed="false">
      <c r="A14" s="0" t="s">
        <v>75</v>
      </c>
      <c r="B14" s="0" t="n">
        <v>4230.891</v>
      </c>
      <c r="I14" s="0" t="n">
        <v>5117.598</v>
      </c>
      <c r="J14" s="0" t="n">
        <v>120.957925883697</v>
      </c>
      <c r="L14" s="0" t="n">
        <v>-5953.693</v>
      </c>
      <c r="O14" s="0" t="n">
        <v>40799.916</v>
      </c>
      <c r="P14" s="0" t="n">
        <v>79806.502</v>
      </c>
      <c r="Q14" s="0" t="n">
        <v>39006.586</v>
      </c>
      <c r="R14" s="0" t="n">
        <v>33501.204</v>
      </c>
      <c r="S14" s="0" t="n">
        <v>5363.009</v>
      </c>
      <c r="T14" s="0" t="n">
        <v>572.893738</v>
      </c>
      <c r="U14" s="0" t="n">
        <v>326.758</v>
      </c>
      <c r="V14" s="0" t="n">
        <v>0.53</v>
      </c>
      <c r="AA14" s="0" t="s">
        <v>17</v>
      </c>
      <c r="AB14" s="0" t="s">
        <v>14</v>
      </c>
    </row>
    <row r="15" customFormat="false" ht="15" hidden="false" customHeight="false" outlineLevel="0" collapsed="false">
      <c r="A15" s="0" t="s">
        <v>76</v>
      </c>
      <c r="B15" s="0" t="n">
        <v>16226.04</v>
      </c>
      <c r="I15" s="0" t="n">
        <v>12451.717</v>
      </c>
      <c r="J15" s="0" t="n">
        <v>76.7390996201168</v>
      </c>
      <c r="L15" s="0" t="n">
        <v>-7176.708</v>
      </c>
      <c r="O15" s="0" t="n">
        <v>58237.961</v>
      </c>
      <c r="R15" s="0" t="n">
        <v>36914.472</v>
      </c>
      <c r="T15" s="0" t="n">
        <v>595.663618</v>
      </c>
      <c r="U15" s="0" t="n">
        <v>529.816</v>
      </c>
      <c r="V15" s="0" t="n">
        <v>0.58</v>
      </c>
      <c r="AA15" s="0" t="s">
        <v>17</v>
      </c>
      <c r="AB15" s="0" t="s">
        <v>14</v>
      </c>
    </row>
    <row r="16" customFormat="false" ht="15" hidden="false" customHeight="false" outlineLevel="0" collapsed="false">
      <c r="A16" s="0" t="s">
        <v>77</v>
      </c>
      <c r="B16" s="0" t="n">
        <v>5704.18</v>
      </c>
      <c r="I16" s="0" t="n">
        <v>-1023.528</v>
      </c>
      <c r="J16" s="0" t="n">
        <v>-17.9434730320572</v>
      </c>
      <c r="L16" s="0" t="n">
        <v>-5279.259</v>
      </c>
      <c r="O16" s="0" t="n">
        <v>55218.625</v>
      </c>
      <c r="P16" s="0" t="n">
        <v>275346.636</v>
      </c>
      <c r="Q16" s="0" t="n">
        <v>219975.946</v>
      </c>
      <c r="T16" s="0" t="n">
        <v>861.110478</v>
      </c>
      <c r="U16" s="0" t="n">
        <v>730.236</v>
      </c>
      <c r="V16" s="0" t="n">
        <v>0.61</v>
      </c>
      <c r="AA16" s="0" t="s">
        <v>17</v>
      </c>
      <c r="AB16" s="0" t="s">
        <v>14</v>
      </c>
    </row>
    <row r="17" customFormat="false" ht="15" hidden="false" customHeight="false" outlineLevel="0" collapsed="false">
      <c r="A17" s="0" t="s">
        <v>78</v>
      </c>
      <c r="B17" s="0" t="n">
        <v>14499.312</v>
      </c>
      <c r="I17" s="0" t="n">
        <v>5357.086</v>
      </c>
      <c r="J17" s="0" t="n">
        <v>36.9471737693485</v>
      </c>
      <c r="L17" s="0" t="n">
        <v>-1493.812</v>
      </c>
      <c r="O17" s="0" t="n">
        <v>57763.485</v>
      </c>
      <c r="P17" s="0" t="n">
        <v>317294.194</v>
      </c>
      <c r="Q17" s="0" t="n">
        <v>258915.282</v>
      </c>
      <c r="T17" s="0" t="n">
        <v>885.005588</v>
      </c>
      <c r="U17" s="0" t="n">
        <v>618.469</v>
      </c>
      <c r="V17" s="0" t="n">
        <v>0.65</v>
      </c>
      <c r="AA17" s="0" t="s">
        <v>17</v>
      </c>
      <c r="AB17" s="0" t="s">
        <v>14</v>
      </c>
    </row>
    <row r="18" customFormat="false" ht="15" hidden="false" customHeight="false" outlineLevel="0" collapsed="false">
      <c r="A18" s="0" t="s">
        <v>79</v>
      </c>
      <c r="B18" s="0" t="n">
        <v>21878.698</v>
      </c>
      <c r="I18" s="0" t="n">
        <v>4906.037</v>
      </c>
      <c r="J18" s="0" t="n">
        <v>22.4238069376889</v>
      </c>
      <c r="L18" s="0" t="n">
        <v>6649.878</v>
      </c>
      <c r="O18" s="0" t="n">
        <v>60399.515</v>
      </c>
      <c r="P18" s="0" t="n">
        <v>360099.411</v>
      </c>
      <c r="Q18" s="0" t="n">
        <v>298114.719</v>
      </c>
      <c r="T18" s="0" t="n">
        <v>888.232174</v>
      </c>
      <c r="U18" s="0" t="n">
        <v>746.443</v>
      </c>
      <c r="V18" s="0" t="n">
        <v>0.69</v>
      </c>
      <c r="AA18" s="0" t="s">
        <v>17</v>
      </c>
      <c r="AB18" s="0" t="s">
        <v>14</v>
      </c>
    </row>
    <row r="19" customFormat="false" ht="15" hidden="false" customHeight="false" outlineLevel="0" collapsed="false">
      <c r="A19" s="0" t="s">
        <v>80</v>
      </c>
      <c r="B19" s="0" t="n">
        <v>19464.307</v>
      </c>
      <c r="I19" s="0" t="n">
        <v>6145.412</v>
      </c>
      <c r="J19" s="0" t="n">
        <v>31.5727243718464</v>
      </c>
      <c r="L19" s="0" t="n">
        <v>477.76</v>
      </c>
      <c r="O19" s="0" t="n">
        <v>78921.669</v>
      </c>
      <c r="P19" s="0" t="n">
        <v>410144.072</v>
      </c>
      <c r="Q19" s="0" t="n">
        <v>328512.161</v>
      </c>
      <c r="T19" s="0" t="n">
        <v>891.451844</v>
      </c>
      <c r="U19" s="0" t="n">
        <v>722.109</v>
      </c>
      <c r="V19" s="0" t="n">
        <v>0.73</v>
      </c>
      <c r="AA19" s="0" t="s">
        <v>17</v>
      </c>
      <c r="AB1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81</v>
      </c>
      <c r="B1" s="2" t="s">
        <v>82</v>
      </c>
    </row>
    <row r="2" customFormat="false" ht="15" hidden="false" customHeight="false" outlineLevel="0" collapsed="false">
      <c r="A2" s="0" t="s">
        <v>83</v>
      </c>
      <c r="B2" s="3" t="n">
        <v>93.24</v>
      </c>
    </row>
    <row r="3" customFormat="false" ht="15" hidden="false" customHeight="false" outlineLevel="0" collapsed="false">
      <c r="A3" s="0" t="s">
        <v>84</v>
      </c>
      <c r="B3" s="3" t="n">
        <v>923.73</v>
      </c>
    </row>
    <row r="4" customFormat="false" ht="15" hidden="false" customHeight="false" outlineLevel="0" collapsed="false">
      <c r="A4" s="0" t="s">
        <v>85</v>
      </c>
      <c r="B4" s="3" t="n">
        <v>0</v>
      </c>
    </row>
    <row r="5" customFormat="false" ht="15" hidden="false" customHeight="false" outlineLevel="0" collapsed="false">
      <c r="A5" s="0" t="s">
        <v>86</v>
      </c>
      <c r="B5" s="3" t="n">
        <v>0</v>
      </c>
    </row>
    <row r="6" customFormat="false" ht="15" hidden="false" customHeight="false" outlineLevel="0" collapsed="false">
      <c r="A6" s="0" t="s">
        <v>87</v>
      </c>
      <c r="B6" s="3" t="n">
        <v>15</v>
      </c>
    </row>
    <row r="7" customFormat="false" ht="15" hidden="false" customHeight="false" outlineLevel="0" collapsed="false">
      <c r="A7" s="0" t="s">
        <v>88</v>
      </c>
      <c r="B7" s="3" t="n">
        <v>6638.6</v>
      </c>
    </row>
    <row r="8" customFormat="false" ht="15" hidden="false" customHeight="false" outlineLevel="0" collapsed="false">
      <c r="A8" s="0" t="s">
        <v>89</v>
      </c>
      <c r="B8" s="3" t="s">
        <v>90</v>
      </c>
    </row>
    <row r="9" customFormat="false" ht="15" hidden="false" customHeight="false" outlineLevel="0" collapsed="false">
      <c r="A9" s="0" t="s">
        <v>91</v>
      </c>
      <c r="B9" s="3" t="s">
        <v>92</v>
      </c>
    </row>
    <row r="10" customFormat="false" ht="15" hidden="false" customHeight="false" outlineLevel="0" collapsed="false">
      <c r="A10" s="0" t="s">
        <v>93</v>
      </c>
      <c r="B10" s="3" t="n">
        <v>1</v>
      </c>
    </row>
    <row r="12" customFormat="false" ht="15" hidden="false" customHeight="false" outlineLevel="0" collapsed="false">
      <c r="A12" s="2" t="s">
        <v>94</v>
      </c>
      <c r="C12" s="2" t="s">
        <v>95</v>
      </c>
      <c r="D12" s="2" t="s">
        <v>96</v>
      </c>
      <c r="E12" s="2" t="s">
        <v>97</v>
      </c>
      <c r="F12" s="2" t="s">
        <v>98</v>
      </c>
      <c r="G12" s="2" t="s">
        <v>99</v>
      </c>
      <c r="H12" s="2" t="s">
        <v>100</v>
      </c>
      <c r="I12" s="2" t="s">
        <v>101</v>
      </c>
      <c r="J12" s="2" t="s">
        <v>102</v>
      </c>
      <c r="K12" s="2" t="s">
        <v>103</v>
      </c>
      <c r="L12" s="2" t="s">
        <v>104</v>
      </c>
    </row>
    <row r="13" customFormat="false" ht="15" hidden="false" customHeight="false" outlineLevel="0" collapsed="false">
      <c r="A13" s="0" t="s">
        <v>105</v>
      </c>
      <c r="C13" s="3" t="n">
        <v>3</v>
      </c>
      <c r="D13" s="3" t="n">
        <v>-4</v>
      </c>
      <c r="E13" s="3" t="n">
        <v>0</v>
      </c>
      <c r="F13" s="3" t="n">
        <v>4</v>
      </c>
      <c r="G13" s="3" t="n">
        <v>5</v>
      </c>
      <c r="H13" s="3" t="n">
        <v>5</v>
      </c>
      <c r="I13" s="3" t="n">
        <v>4</v>
      </c>
      <c r="J13" s="3" t="n">
        <v>4</v>
      </c>
      <c r="K13" s="3" t="n">
        <v>3.5</v>
      </c>
      <c r="L13" s="3" t="n">
        <v>3</v>
      </c>
    </row>
    <row r="14" customFormat="false" ht="15" hidden="false" customHeight="false" outlineLevel="0" collapsed="false">
      <c r="A14" s="0" t="s">
        <v>106</v>
      </c>
      <c r="C14" s="3" t="n">
        <v>92</v>
      </c>
      <c r="D14" s="3" t="n">
        <v>91.5</v>
      </c>
      <c r="E14" s="3" t="n">
        <v>91</v>
      </c>
      <c r="F14" s="3" t="n">
        <v>91</v>
      </c>
      <c r="G14" s="3" t="n">
        <v>91.2</v>
      </c>
      <c r="H14" s="3" t="n">
        <v>91.4</v>
      </c>
      <c r="I14" s="3" t="n">
        <v>91.6</v>
      </c>
      <c r="J14" s="3" t="n">
        <v>91.8</v>
      </c>
      <c r="K14" s="3" t="n">
        <v>92</v>
      </c>
      <c r="L14" s="3" t="n">
        <v>92</v>
      </c>
    </row>
    <row r="15" customFormat="false" ht="15" hidden="false" customHeight="false" outlineLevel="0" collapsed="false">
      <c r="A15" s="0" t="s">
        <v>107</v>
      </c>
      <c r="C15" s="3" t="n">
        <v>11.5</v>
      </c>
      <c r="D15" s="3" t="n">
        <v>12</v>
      </c>
      <c r="E15" s="3" t="n">
        <v>12.5</v>
      </c>
      <c r="F15" s="3" t="n">
        <v>12</v>
      </c>
      <c r="G15" s="3" t="n">
        <v>11.8</v>
      </c>
      <c r="H15" s="3" t="n">
        <v>11.6</v>
      </c>
      <c r="I15" s="3" t="n">
        <v>11.5</v>
      </c>
      <c r="J15" s="3" t="n">
        <v>11.5</v>
      </c>
      <c r="K15" s="3" t="n">
        <v>11.5</v>
      </c>
      <c r="L15" s="3" t="n">
        <v>11.5</v>
      </c>
    </row>
    <row r="16" customFormat="false" ht="15" hidden="false" customHeight="false" outlineLevel="0" collapsed="false">
      <c r="A16" s="0" t="s">
        <v>108</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109</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110</v>
      </c>
      <c r="C18" s="3" t="n">
        <v>15</v>
      </c>
      <c r="D18" s="3" t="n">
        <v>12</v>
      </c>
      <c r="E18" s="3" t="n">
        <v>10</v>
      </c>
      <c r="F18" s="3" t="n">
        <v>10</v>
      </c>
      <c r="G18" s="3" t="n">
        <v>10</v>
      </c>
      <c r="H18" s="3" t="n">
        <v>10</v>
      </c>
      <c r="I18" s="3" t="n">
        <v>10</v>
      </c>
      <c r="J18" s="3" t="n">
        <v>10</v>
      </c>
      <c r="K18" s="3" t="n">
        <v>10</v>
      </c>
      <c r="L18" s="3" t="n">
        <v>10</v>
      </c>
    </row>
    <row r="19" customFormat="false" ht="15" hidden="false" customHeight="false" outlineLevel="0" collapsed="false">
      <c r="A19" s="0" t="s">
        <v>111</v>
      </c>
      <c r="C19" s="3" t="n">
        <v>18.4</v>
      </c>
      <c r="D19" s="3" t="n">
        <v>19.5</v>
      </c>
      <c r="E19" s="3" t="n">
        <v>20.5</v>
      </c>
      <c r="F19" s="3" t="n">
        <v>21.5</v>
      </c>
      <c r="G19" s="3" t="n">
        <v>22</v>
      </c>
      <c r="H19" s="3" t="n">
        <v>22</v>
      </c>
      <c r="I19" s="3" t="n">
        <v>22</v>
      </c>
      <c r="J19" s="3" t="n">
        <v>22</v>
      </c>
      <c r="K19" s="3" t="n">
        <v>22</v>
      </c>
      <c r="L19" s="3" t="n">
        <v>22</v>
      </c>
    </row>
    <row r="20" customFormat="false" ht="15" hidden="false" customHeight="false" outlineLevel="0" collapsed="false">
      <c r="A20" s="0" t="s">
        <v>112</v>
      </c>
      <c r="B20" s="3" t="n">
        <v>10.5</v>
      </c>
    </row>
    <row r="21" customFormat="false" ht="15" hidden="false" customHeight="false" outlineLevel="0" collapsed="false">
      <c r="A21" s="0" t="s">
        <v>113</v>
      </c>
      <c r="B21" s="3" t="n">
        <v>2.5</v>
      </c>
    </row>
    <row r="22" customFormat="false" ht="15" hidden="false" customHeight="false" outlineLevel="0" collapsed="false">
      <c r="A22" s="0" t="s">
        <v>114</v>
      </c>
      <c r="B22" s="3" t="n">
        <v>15</v>
      </c>
    </row>
    <row r="23" customFormat="false" ht="15" hidden="false" customHeight="false" outlineLevel="0" collapsed="false">
      <c r="A23" s="0" t="s">
        <v>115</v>
      </c>
      <c r="B23" s="3" t="n">
        <v>0</v>
      </c>
    </row>
    <row r="24" customFormat="false" ht="15" hidden="false" customHeight="false" outlineLevel="0" collapsed="false">
      <c r="A24" s="0" t="s">
        <v>116</v>
      </c>
      <c r="B24" s="3" t="n">
        <v>0.25</v>
      </c>
    </row>
    <row r="26" customFormat="false" ht="15" hidden="false" customHeight="false" outlineLevel="0" collapsed="false">
      <c r="A26" s="2" t="s">
        <v>117</v>
      </c>
      <c r="C26" s="2" t="s">
        <v>95</v>
      </c>
      <c r="D26" s="2" t="s">
        <v>96</v>
      </c>
      <c r="E26" s="2" t="s">
        <v>97</v>
      </c>
      <c r="F26" s="2" t="s">
        <v>98</v>
      </c>
      <c r="G26" s="2" t="s">
        <v>99</v>
      </c>
      <c r="H26" s="2" t="s">
        <v>100</v>
      </c>
      <c r="I26" s="2" t="s">
        <v>101</v>
      </c>
      <c r="J26" s="2" t="s">
        <v>102</v>
      </c>
      <c r="K26" s="2" t="s">
        <v>103</v>
      </c>
      <c r="L26" s="2" t="s">
        <v>104</v>
      </c>
    </row>
    <row r="27" customFormat="false" ht="15" hidden="false" customHeight="false" outlineLevel="0" collapsed="false">
      <c r="A27" s="0" t="s">
        <v>105</v>
      </c>
      <c r="C27" s="3" t="n">
        <v>12</v>
      </c>
      <c r="D27" s="3" t="n">
        <v>11</v>
      </c>
      <c r="E27" s="3" t="n">
        <v>10</v>
      </c>
      <c r="F27" s="3" t="n">
        <v>9</v>
      </c>
      <c r="G27" s="3" t="n">
        <v>8</v>
      </c>
      <c r="H27" s="3" t="n">
        <v>7</v>
      </c>
      <c r="I27" s="3" t="n">
        <v>6</v>
      </c>
      <c r="J27" s="3" t="n">
        <v>5</v>
      </c>
      <c r="K27" s="3" t="n">
        <v>4</v>
      </c>
      <c r="L27" s="3" t="n">
        <v>3.5</v>
      </c>
    </row>
    <row r="28" customFormat="false" ht="15" hidden="false" customHeight="false" outlineLevel="0" collapsed="false">
      <c r="A28" s="0" t="s">
        <v>106</v>
      </c>
      <c r="C28" s="3" t="n">
        <v>92.7</v>
      </c>
      <c r="D28" s="3" t="n">
        <v>92.9</v>
      </c>
      <c r="E28" s="3" t="n">
        <v>93.1</v>
      </c>
      <c r="F28" s="3" t="n">
        <v>93.3</v>
      </c>
      <c r="G28" s="3" t="n">
        <v>93.5</v>
      </c>
      <c r="H28" s="3" t="n">
        <v>93.7</v>
      </c>
      <c r="I28" s="3" t="n">
        <v>93.9</v>
      </c>
      <c r="J28" s="3" t="n">
        <v>94.1</v>
      </c>
      <c r="K28" s="3" t="n">
        <v>94.3</v>
      </c>
      <c r="L28" s="3" t="n">
        <v>94.5</v>
      </c>
    </row>
    <row r="29" customFormat="false" ht="15" hidden="false" customHeight="false" outlineLevel="0" collapsed="false">
      <c r="A29" s="0" t="s">
        <v>107</v>
      </c>
      <c r="C29" s="3" t="n">
        <v>11.1</v>
      </c>
      <c r="D29" s="3" t="n">
        <v>10.9</v>
      </c>
      <c r="E29" s="3" t="n">
        <v>10.7</v>
      </c>
      <c r="F29" s="3" t="n">
        <v>10.5</v>
      </c>
      <c r="G29" s="3" t="n">
        <v>10.3</v>
      </c>
      <c r="H29" s="3" t="n">
        <v>10.1</v>
      </c>
      <c r="I29" s="3" t="n">
        <v>9.9</v>
      </c>
      <c r="J29" s="3" t="n">
        <v>9.7</v>
      </c>
      <c r="K29" s="3" t="n">
        <v>9.6</v>
      </c>
      <c r="L29" s="3" t="n">
        <v>9.5</v>
      </c>
    </row>
    <row r="30" customFormat="false" ht="15" hidden="false" customHeight="false" outlineLevel="0" collapsed="false">
      <c r="A30" s="0" t="s">
        <v>108</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109</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110</v>
      </c>
      <c r="C32" s="3" t="n">
        <v>20</v>
      </c>
      <c r="D32" s="3" t="n">
        <v>19</v>
      </c>
      <c r="E32" s="3" t="n">
        <v>18</v>
      </c>
      <c r="F32" s="3" t="n">
        <v>17</v>
      </c>
      <c r="G32" s="3" t="n">
        <v>16</v>
      </c>
      <c r="H32" s="3" t="n">
        <v>15</v>
      </c>
      <c r="I32" s="3" t="n">
        <v>14</v>
      </c>
      <c r="J32" s="3" t="n">
        <v>13</v>
      </c>
      <c r="K32" s="3" t="n">
        <v>12</v>
      </c>
      <c r="L32" s="3" t="n">
        <v>11</v>
      </c>
    </row>
    <row r="33" customFormat="false" ht="15" hidden="false" customHeight="false" outlineLevel="0" collapsed="false">
      <c r="A33" s="0" t="s">
        <v>111</v>
      </c>
      <c r="C33" s="3" t="n">
        <v>18.4</v>
      </c>
      <c r="D33" s="3" t="n">
        <v>18.8</v>
      </c>
      <c r="E33" s="3" t="n">
        <v>19.2</v>
      </c>
      <c r="F33" s="3" t="n">
        <v>19.6</v>
      </c>
      <c r="G33" s="3" t="n">
        <v>20</v>
      </c>
      <c r="H33" s="3" t="n">
        <v>20</v>
      </c>
      <c r="I33" s="3" t="n">
        <v>20</v>
      </c>
      <c r="J33" s="3" t="n">
        <v>20</v>
      </c>
      <c r="K33" s="3" t="n">
        <v>20</v>
      </c>
      <c r="L33" s="3" t="n">
        <v>20</v>
      </c>
    </row>
    <row r="34" customFormat="false" ht="15" hidden="false" customHeight="false" outlineLevel="0" collapsed="false">
      <c r="A34" s="0" t="s">
        <v>112</v>
      </c>
      <c r="B34" s="3" t="n">
        <v>10.5</v>
      </c>
    </row>
    <row r="35" customFormat="false" ht="15" hidden="false" customHeight="false" outlineLevel="0" collapsed="false">
      <c r="A35" s="0" t="s">
        <v>113</v>
      </c>
      <c r="B35" s="3" t="n">
        <v>3</v>
      </c>
    </row>
    <row r="36" customFormat="false" ht="15" hidden="false" customHeight="false" outlineLevel="0" collapsed="false">
      <c r="A36" s="0" t="s">
        <v>114</v>
      </c>
      <c r="B36" s="3" t="n">
        <v>20</v>
      </c>
    </row>
    <row r="37" customFormat="false" ht="15" hidden="false" customHeight="false" outlineLevel="0" collapsed="false">
      <c r="A37" s="0" t="s">
        <v>115</v>
      </c>
      <c r="B37" s="3" t="n">
        <v>0</v>
      </c>
    </row>
    <row r="38" customFormat="false" ht="15" hidden="false" customHeight="false" outlineLevel="0" collapsed="false">
      <c r="A38" s="0" t="s">
        <v>116</v>
      </c>
      <c r="B38" s="3" t="n">
        <v>0.5</v>
      </c>
    </row>
    <row r="40" customFormat="false" ht="15" hidden="false" customHeight="false" outlineLevel="0" collapsed="false">
      <c r="A40" s="2" t="s">
        <v>118</v>
      </c>
      <c r="C40" s="2" t="s">
        <v>95</v>
      </c>
      <c r="D40" s="2" t="s">
        <v>96</v>
      </c>
      <c r="E40" s="2" t="s">
        <v>97</v>
      </c>
      <c r="F40" s="2" t="s">
        <v>98</v>
      </c>
      <c r="G40" s="2" t="s">
        <v>99</v>
      </c>
      <c r="H40" s="2" t="s">
        <v>100</v>
      </c>
      <c r="I40" s="2" t="s">
        <v>101</v>
      </c>
      <c r="J40" s="2" t="s">
        <v>102</v>
      </c>
      <c r="K40" s="2" t="s">
        <v>103</v>
      </c>
      <c r="L40" s="2" t="s">
        <v>104</v>
      </c>
    </row>
    <row r="41" customFormat="false" ht="15" hidden="false" customHeight="false" outlineLevel="0" collapsed="false">
      <c r="A41" s="0" t="s">
        <v>105</v>
      </c>
      <c r="C41" s="3" t="n">
        <v>18</v>
      </c>
      <c r="D41" s="3" t="n">
        <v>16</v>
      </c>
      <c r="E41" s="3" t="n">
        <v>14</v>
      </c>
      <c r="F41" s="3" t="n">
        <v>12</v>
      </c>
      <c r="G41" s="3" t="n">
        <v>10</v>
      </c>
      <c r="H41" s="3" t="n">
        <v>9</v>
      </c>
      <c r="I41" s="3" t="n">
        <v>8</v>
      </c>
      <c r="J41" s="3" t="n">
        <v>6</v>
      </c>
      <c r="K41" s="3" t="n">
        <v>5</v>
      </c>
      <c r="L41" s="3" t="n">
        <v>4</v>
      </c>
    </row>
    <row r="42" customFormat="false" ht="15" hidden="false" customHeight="false" outlineLevel="0" collapsed="false">
      <c r="A42" s="0" t="s">
        <v>106</v>
      </c>
      <c r="C42" s="3" t="n">
        <v>92.8</v>
      </c>
      <c r="D42" s="3" t="n">
        <v>93.2</v>
      </c>
      <c r="E42" s="3" t="n">
        <v>93.6</v>
      </c>
      <c r="F42" s="3" t="n">
        <v>94</v>
      </c>
      <c r="G42" s="3" t="n">
        <v>94.4</v>
      </c>
      <c r="H42" s="3" t="n">
        <v>94.7</v>
      </c>
      <c r="I42" s="3" t="n">
        <v>95</v>
      </c>
      <c r="J42" s="3" t="n">
        <v>95.2</v>
      </c>
      <c r="K42" s="3" t="n">
        <v>95.4</v>
      </c>
      <c r="L42" s="3" t="n">
        <v>95.5</v>
      </c>
    </row>
    <row r="43" customFormat="false" ht="15" hidden="false" customHeight="false" outlineLevel="0" collapsed="false">
      <c r="A43" s="0" t="s">
        <v>107</v>
      </c>
      <c r="C43" s="3" t="n">
        <v>11.1</v>
      </c>
      <c r="D43" s="3" t="n">
        <v>10.8</v>
      </c>
      <c r="E43" s="3" t="n">
        <v>10.5</v>
      </c>
      <c r="F43" s="3" t="n">
        <v>10.2</v>
      </c>
      <c r="G43" s="3" t="n">
        <v>9.9</v>
      </c>
      <c r="H43" s="3" t="n">
        <v>9.6</v>
      </c>
      <c r="I43" s="3" t="n">
        <v>9.4</v>
      </c>
      <c r="J43" s="3" t="n">
        <v>9.2</v>
      </c>
      <c r="K43" s="3" t="n">
        <v>9.1</v>
      </c>
      <c r="L43" s="3" t="n">
        <v>9</v>
      </c>
    </row>
    <row r="44" customFormat="false" ht="15" hidden="false" customHeight="false" outlineLevel="0" collapsed="false">
      <c r="A44" s="0" t="s">
        <v>108</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109</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110</v>
      </c>
      <c r="C46" s="3" t="n">
        <v>22</v>
      </c>
      <c r="D46" s="3" t="n">
        <v>21</v>
      </c>
      <c r="E46" s="3" t="n">
        <v>20</v>
      </c>
      <c r="F46" s="3" t="n">
        <v>18</v>
      </c>
      <c r="G46" s="3" t="n">
        <v>16</v>
      </c>
      <c r="H46" s="3" t="n">
        <v>15</v>
      </c>
      <c r="I46" s="3" t="n">
        <v>14</v>
      </c>
      <c r="J46" s="3" t="n">
        <v>13</v>
      </c>
      <c r="K46" s="3" t="n">
        <v>12</v>
      </c>
      <c r="L46" s="3" t="n">
        <v>11</v>
      </c>
    </row>
    <row r="47" customFormat="false" ht="15" hidden="false" customHeight="false" outlineLevel="0" collapsed="false">
      <c r="A47" s="0" t="s">
        <v>111</v>
      </c>
      <c r="C47" s="3" t="n">
        <v>18.4</v>
      </c>
      <c r="D47" s="3" t="n">
        <v>18.5</v>
      </c>
      <c r="E47" s="3" t="n">
        <v>18.8</v>
      </c>
      <c r="F47" s="3" t="n">
        <v>19</v>
      </c>
      <c r="G47" s="3" t="n">
        <v>19.2</v>
      </c>
      <c r="H47" s="3" t="n">
        <v>19.5</v>
      </c>
      <c r="I47" s="3" t="n">
        <v>19.5</v>
      </c>
      <c r="J47" s="3" t="n">
        <v>19.5</v>
      </c>
      <c r="K47" s="3" t="n">
        <v>19.5</v>
      </c>
      <c r="L47" s="3" t="n">
        <v>19.5</v>
      </c>
    </row>
    <row r="48" customFormat="false" ht="15" hidden="false" customHeight="false" outlineLevel="0" collapsed="false">
      <c r="A48" s="0" t="s">
        <v>112</v>
      </c>
      <c r="B48" s="3" t="n">
        <v>10.5</v>
      </c>
    </row>
    <row r="49" customFormat="false" ht="15" hidden="false" customHeight="false" outlineLevel="0" collapsed="false">
      <c r="A49" s="0" t="s">
        <v>113</v>
      </c>
      <c r="B49" s="3" t="n">
        <v>3.5</v>
      </c>
    </row>
    <row r="50" customFormat="false" ht="15" hidden="false" customHeight="false" outlineLevel="0" collapsed="false">
      <c r="A50" s="0" t="s">
        <v>114</v>
      </c>
      <c r="B50" s="3" t="n">
        <v>22</v>
      </c>
    </row>
    <row r="51" customFormat="false" ht="15" hidden="false" customHeight="false" outlineLevel="0" collapsed="false">
      <c r="A51" s="0" t="s">
        <v>115</v>
      </c>
      <c r="B51" s="3" t="n">
        <v>0</v>
      </c>
    </row>
    <row r="52" customFormat="false" ht="15" hidden="false" customHeight="false" outlineLevel="0" collapsed="false">
      <c r="A52" s="0" t="s">
        <v>116</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119</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Assumptions!C13</f>
        <v>3</v>
      </c>
      <c r="D5" s="4" t="n">
        <f aca="false">Assumptions!D13</f>
        <v>-4</v>
      </c>
      <c r="E5" s="4" t="n">
        <f aca="false">Assumptions!E13</f>
        <v>0</v>
      </c>
      <c r="F5" s="4" t="n">
        <f aca="false">Assumptions!F13</f>
        <v>4</v>
      </c>
      <c r="G5" s="4" t="n">
        <f aca="false">Assumptions!G13</f>
        <v>5</v>
      </c>
      <c r="H5" s="4" t="n">
        <f aca="false">Assumptions!H13</f>
        <v>5</v>
      </c>
      <c r="I5" s="4" t="n">
        <f aca="false">Assumptions!I13</f>
        <v>4</v>
      </c>
      <c r="J5" s="4" t="n">
        <f aca="false">Assumptions!J13</f>
        <v>4</v>
      </c>
      <c r="K5" s="4" t="n">
        <f aca="false">Assumptions!K13</f>
        <v>3.5</v>
      </c>
      <c r="L5" s="4" t="n">
        <f aca="false">Assumptions!L13</f>
        <v>3</v>
      </c>
    </row>
    <row r="6" customFormat="false" ht="15" hidden="false" customHeight="false" outlineLevel="0" collapsed="false">
      <c r="A6" s="0" t="s">
        <v>37</v>
      </c>
      <c r="B6" s="3" t="n">
        <v>6638.6</v>
      </c>
      <c r="C6" s="0" t="n">
        <f aca="false">B6*(1+C5/100)</f>
        <v>6837.758</v>
      </c>
      <c r="D6" s="0" t="n">
        <f aca="false">C6*(1+D5/100)</f>
        <v>6564.24768</v>
      </c>
      <c r="E6" s="0" t="n">
        <f aca="false">D6*(1+E5/100)</f>
        <v>6564.24768</v>
      </c>
      <c r="F6" s="0" t="n">
        <f aca="false">E6*(1+F5/100)</f>
        <v>6826.8175872</v>
      </c>
      <c r="G6" s="0" t="n">
        <f aca="false">F6*(1+G5/100)</f>
        <v>7168.15846656</v>
      </c>
      <c r="H6" s="0" t="n">
        <f aca="false">G6*(1+H5/100)</f>
        <v>7526.566389888</v>
      </c>
      <c r="I6" s="0" t="n">
        <f aca="false">H6*(1+I5/100)</f>
        <v>7827.62904548352</v>
      </c>
      <c r="J6" s="0" t="n">
        <f aca="false">I6*(1+J5/100)</f>
        <v>8140.73420730286</v>
      </c>
      <c r="K6" s="0" t="n">
        <f aca="false">J6*(1+K5/100)</f>
        <v>8425.65990455846</v>
      </c>
      <c r="L6" s="0" t="n">
        <f aca="false">K6*(1+L5/100)</f>
        <v>8678.42970169522</v>
      </c>
    </row>
    <row r="7" customFormat="false" ht="15" hidden="false" customHeight="false" outlineLevel="0" collapsed="false">
      <c r="A7" s="0" t="s">
        <v>106</v>
      </c>
      <c r="C7" s="4" t="n">
        <f aca="false">Assumptions!C14</f>
        <v>92</v>
      </c>
      <c r="D7" s="4" t="n">
        <f aca="false">Assumptions!D14</f>
        <v>91.5</v>
      </c>
      <c r="E7" s="4" t="n">
        <f aca="false">Assumptions!E14</f>
        <v>91</v>
      </c>
      <c r="F7" s="4" t="n">
        <f aca="false">Assumptions!F14</f>
        <v>91</v>
      </c>
      <c r="G7" s="4" t="n">
        <f aca="false">Assumptions!G14</f>
        <v>91.2</v>
      </c>
      <c r="H7" s="4" t="n">
        <f aca="false">Assumptions!H14</f>
        <v>91.4</v>
      </c>
      <c r="I7" s="4" t="n">
        <f aca="false">Assumptions!I14</f>
        <v>91.6</v>
      </c>
      <c r="J7" s="4" t="n">
        <f aca="false">Assumptions!J14</f>
        <v>91.8</v>
      </c>
      <c r="K7" s="4" t="n">
        <f aca="false">Assumptions!K14</f>
        <v>92</v>
      </c>
      <c r="L7" s="4" t="n">
        <f aca="false">Assumptions!L14</f>
        <v>92</v>
      </c>
    </row>
    <row r="8" customFormat="false" ht="15" hidden="false" customHeight="false" outlineLevel="0" collapsed="false">
      <c r="A8" s="0" t="s">
        <v>43</v>
      </c>
      <c r="C8" s="0" t="n">
        <f aca="false">C6*C7/100</f>
        <v>6290.73736</v>
      </c>
      <c r="D8" s="0" t="n">
        <f aca="false">D6*D7/100</f>
        <v>6006.2866272</v>
      </c>
      <c r="E8" s="0" t="n">
        <f aca="false">E6*E7/100</f>
        <v>5973.4653888</v>
      </c>
      <c r="F8" s="0" t="n">
        <f aca="false">F6*F7/100</f>
        <v>6212.404004352</v>
      </c>
      <c r="G8" s="0" t="n">
        <f aca="false">G6*G7/100</f>
        <v>6537.36052150272</v>
      </c>
      <c r="H8" s="0" t="n">
        <f aca="false">H6*H7/100</f>
        <v>6879.28168035763</v>
      </c>
      <c r="I8" s="0" t="n">
        <f aca="false">I6*I7/100</f>
        <v>7170.10820566291</v>
      </c>
      <c r="J8" s="0" t="n">
        <f aca="false">J6*J7/100</f>
        <v>7473.19400230403</v>
      </c>
      <c r="K8" s="0" t="n">
        <f aca="false">K6*K7/100</f>
        <v>7751.60711219379</v>
      </c>
      <c r="L8" s="0" t="n">
        <f aca="false">L6*L7/100</f>
        <v>7984.1553255596</v>
      </c>
    </row>
    <row r="9" customFormat="false" ht="15" hidden="false" customHeight="false" outlineLevel="0" collapsed="false">
      <c r="A9" s="0" t="s">
        <v>107</v>
      </c>
      <c r="C9" s="4" t="n">
        <f aca="false">Assumptions!C15</f>
        <v>11.5</v>
      </c>
      <c r="D9" s="4" t="n">
        <f aca="false">Assumptions!D15</f>
        <v>12</v>
      </c>
      <c r="E9" s="4" t="n">
        <f aca="false">Assumptions!E15</f>
        <v>12.5</v>
      </c>
      <c r="F9" s="4" t="n">
        <f aca="false">Assumptions!F15</f>
        <v>12</v>
      </c>
      <c r="G9" s="4" t="n">
        <f aca="false">Assumptions!G15</f>
        <v>11.8</v>
      </c>
      <c r="H9" s="4" t="n">
        <f aca="false">Assumptions!H15</f>
        <v>11.6</v>
      </c>
      <c r="I9" s="4" t="n">
        <f aca="false">Assumptions!I15</f>
        <v>11.5</v>
      </c>
      <c r="J9" s="4" t="n">
        <f aca="false">Assumptions!J15</f>
        <v>11.5</v>
      </c>
      <c r="K9" s="4" t="n">
        <f aca="false">Assumptions!K15</f>
        <v>11.5</v>
      </c>
      <c r="L9" s="4" t="n">
        <f aca="false">Assumptions!L15</f>
        <v>11.5</v>
      </c>
    </row>
    <row r="10" customFormat="false" ht="15" hidden="false" customHeight="false" outlineLevel="0" collapsed="false">
      <c r="A10" s="0" t="s">
        <v>122</v>
      </c>
      <c r="C10" s="0" t="n">
        <f aca="false">-C6*C9/100</f>
        <v>-786.34217</v>
      </c>
      <c r="D10" s="0" t="n">
        <f aca="false">-D6*D9/100</f>
        <v>-787.7097216</v>
      </c>
      <c r="E10" s="0" t="n">
        <f aca="false">-E6*E9/100</f>
        <v>-820.53096</v>
      </c>
      <c r="F10" s="0" t="n">
        <f aca="false">-F6*F9/100</f>
        <v>-819.218110464</v>
      </c>
      <c r="G10" s="0" t="n">
        <f aca="false">-G6*G9/100</f>
        <v>-845.84269905408</v>
      </c>
      <c r="H10" s="0" t="n">
        <f aca="false">-H6*H9/100</f>
        <v>-873.081701227008</v>
      </c>
      <c r="I10" s="0" t="n">
        <f aca="false">-I6*I9/100</f>
        <v>-900.177340230605</v>
      </c>
      <c r="J10" s="0" t="n">
        <f aca="false">-J6*J9/100</f>
        <v>-936.184433839829</v>
      </c>
      <c r="K10" s="0" t="n">
        <f aca="false">-K6*K9/100</f>
        <v>-968.950889024223</v>
      </c>
      <c r="L10" s="0" t="n">
        <f aca="false">-L6*L9/100</f>
        <v>-998.01941569495</v>
      </c>
    </row>
    <row r="11" customFormat="false" ht="15" hidden="false" customHeight="false" outlineLevel="0" collapsed="false">
      <c r="A11" s="0" t="s">
        <v>123</v>
      </c>
      <c r="C11" s="0" t="n">
        <f aca="false">C8+C10+C24</f>
        <v>5504.39519</v>
      </c>
      <c r="D11" s="0" t="n">
        <f aca="false">D8+D10+D24</f>
        <v>5218.5769056</v>
      </c>
      <c r="E11" s="0" t="n">
        <f aca="false">E8+E10+E24</f>
        <v>5152.9344288</v>
      </c>
      <c r="F11" s="0" t="n">
        <f aca="false">F8+F10+F24</f>
        <v>5393.185893888</v>
      </c>
      <c r="G11" s="0" t="n">
        <f aca="false">G8+G10+G24</f>
        <v>5691.51782244864</v>
      </c>
      <c r="H11" s="0" t="n">
        <f aca="false">H8+H10+H24</f>
        <v>6006.19997913063</v>
      </c>
      <c r="I11" s="0" t="n">
        <f aca="false">I8+I10+I24</f>
        <v>6269.9308654323</v>
      </c>
      <c r="J11" s="0" t="n">
        <f aca="false">J8+J10+J24</f>
        <v>6537.0095684642</v>
      </c>
      <c r="K11" s="0" t="n">
        <f aca="false">K8+K10+K24</f>
        <v>6782.65622316956</v>
      </c>
      <c r="L11" s="0" t="n">
        <f aca="false">L8+L10+L24</f>
        <v>6986.13590986465</v>
      </c>
    </row>
    <row r="12" customFormat="false" ht="15" hidden="false" customHeight="false" outlineLevel="0" collapsed="false">
      <c r="A12" s="0" t="s">
        <v>124</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125</v>
      </c>
      <c r="C13" s="0" t="n">
        <f aca="false">C11+C12</f>
        <v>5504.39519</v>
      </c>
      <c r="D13" s="0" t="n">
        <f aca="false">D11+D12</f>
        <v>5218.5769056</v>
      </c>
      <c r="E13" s="0" t="n">
        <f aca="false">E11+E12</f>
        <v>5152.9344288</v>
      </c>
      <c r="F13" s="0" t="n">
        <f aca="false">F11+F12</f>
        <v>5393.185893888</v>
      </c>
      <c r="G13" s="0" t="n">
        <f aca="false">G11+G12</f>
        <v>5691.51782244864</v>
      </c>
      <c r="H13" s="0" t="n">
        <f aca="false">H11+H12</f>
        <v>6006.19997913063</v>
      </c>
      <c r="I13" s="0" t="n">
        <f aca="false">I11+I12</f>
        <v>6269.9308654323</v>
      </c>
      <c r="J13" s="0" t="n">
        <f aca="false">J11+J12</f>
        <v>6537.0095684642</v>
      </c>
      <c r="K13" s="0" t="n">
        <f aca="false">K11+K12</f>
        <v>6782.65622316956</v>
      </c>
      <c r="L13" s="0" t="n">
        <f aca="false">L11+L12</f>
        <v>6986.13590986465</v>
      </c>
    </row>
    <row r="14" customFormat="false" ht="15" hidden="false" customHeight="false" outlineLevel="0" collapsed="false">
      <c r="A14" s="0" t="s">
        <v>111</v>
      </c>
      <c r="C14" s="4" t="n">
        <f aca="false">Assumptions!C19</f>
        <v>18.4</v>
      </c>
      <c r="D14" s="4" t="n">
        <f aca="false">Assumptions!D19</f>
        <v>19.5</v>
      </c>
      <c r="E14" s="4" t="n">
        <f aca="false">Assumptions!E19</f>
        <v>20.5</v>
      </c>
      <c r="F14" s="4" t="n">
        <f aca="false">Assumptions!F19</f>
        <v>21.5</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126</v>
      </c>
      <c r="C15" s="0" t="n">
        <f aca="false">C13-MAX(0,C13)*C14/100</f>
        <v>4491.58647504</v>
      </c>
      <c r="D15" s="0" t="n">
        <f aca="false">D13-MAX(0,D13)*D14/100</f>
        <v>4200.954409008</v>
      </c>
      <c r="E15" s="0" t="n">
        <f aca="false">E13-MAX(0,E13)*E14/100</f>
        <v>4096.582870896</v>
      </c>
      <c r="F15" s="0" t="n">
        <f aca="false">F13-MAX(0,F13)*F14/100</f>
        <v>4233.65092670208</v>
      </c>
      <c r="G15" s="0" t="n">
        <f aca="false">G13-MAX(0,G13)*G14/100</f>
        <v>4439.38390150994</v>
      </c>
      <c r="H15" s="0" t="n">
        <f aca="false">H13-MAX(0,H13)*H14/100</f>
        <v>4684.83598372189</v>
      </c>
      <c r="I15" s="0" t="n">
        <f aca="false">I13-MAX(0,I13)*I14/100</f>
        <v>4890.5460750372</v>
      </c>
      <c r="J15" s="0" t="n">
        <f aca="false">J13-MAX(0,J13)*J14/100</f>
        <v>5098.86746340208</v>
      </c>
      <c r="K15" s="0" t="n">
        <f aca="false">K13-MAX(0,K13)*K14/100</f>
        <v>5290.47185407226</v>
      </c>
      <c r="L15" s="0" t="n">
        <f aca="false">L13-MAX(0,L13)*L14/100</f>
        <v>5449.18600969443</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-C6*Assumptions!C18/100</f>
        <v>-1025.6637</v>
      </c>
      <c r="D17" s="4" t="n">
        <f aca="false">-D6*Assumptions!D18/100</f>
        <v>-787.7097216</v>
      </c>
      <c r="E17" s="4" t="n">
        <f aca="false">-E6*Assumptions!E18/100</f>
        <v>-656.424768</v>
      </c>
      <c r="F17" s="4" t="n">
        <f aca="false">-F6*Assumptions!F18/100</f>
        <v>-682.68175872</v>
      </c>
      <c r="G17" s="4" t="n">
        <f aca="false">-G6*Assumptions!G18/100</f>
        <v>-716.815846656</v>
      </c>
      <c r="H17" s="4" t="n">
        <f aca="false">-H6*Assumptions!H18/100</f>
        <v>-752.6566389888</v>
      </c>
      <c r="I17" s="4" t="n">
        <f aca="false">-I6*Assumptions!I18/100</f>
        <v>-782.762904548352</v>
      </c>
      <c r="J17" s="4" t="n">
        <f aca="false">-J6*Assumptions!J18/100</f>
        <v>-814.073420730286</v>
      </c>
      <c r="K17" s="4" t="n">
        <f aca="false">-K6*Assumptions!K18/100</f>
        <v>-842.565990455847</v>
      </c>
      <c r="L17" s="4" t="n">
        <f aca="false">-L6*Assumptions!L18/100</f>
        <v>-867.842970169522</v>
      </c>
    </row>
    <row r="18" customFormat="false" ht="15" hidden="false" customHeight="false" outlineLevel="0" collapsed="false">
      <c r="A18" s="0" t="s">
        <v>129</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130</v>
      </c>
      <c r="C19" s="0" t="n">
        <f aca="false">C15+C16+C17+C18</f>
        <v>3465.92277504</v>
      </c>
      <c r="D19" s="0" t="n">
        <f aca="false">D15+D16+D17+D18</f>
        <v>3413.244687408</v>
      </c>
      <c r="E19" s="0" t="n">
        <f aca="false">E15+E16+E17+E18</f>
        <v>3440.158102896</v>
      </c>
      <c r="F19" s="0" t="n">
        <f aca="false">F15+F16+F17+F18</f>
        <v>3550.96916798208</v>
      </c>
      <c r="G19" s="0" t="n">
        <f aca="false">G15+G16+G17+G18</f>
        <v>3722.56805485394</v>
      </c>
      <c r="H19" s="0" t="n">
        <f aca="false">H15+H16+H17+H18</f>
        <v>3932.17934473309</v>
      </c>
      <c r="I19" s="0" t="n">
        <f aca="false">I15+I16+I17+I18</f>
        <v>4107.78317048884</v>
      </c>
      <c r="J19" s="0" t="n">
        <f aca="false">J15+J16+J17+J18</f>
        <v>4284.79404267179</v>
      </c>
      <c r="K19" s="0" t="n">
        <f aca="false">K15+K16+K17+K18</f>
        <v>4447.90586361641</v>
      </c>
      <c r="L19" s="0" t="n">
        <f aca="false">L15+L16+L17+L18</f>
        <v>4581.34303952491</v>
      </c>
    </row>
    <row r="20" customFormat="false" ht="15" hidden="false" customHeight="false" outlineLevel="0" collapsed="false">
      <c r="A20" s="0" t="s">
        <v>131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132</v>
      </c>
      <c r="C21" s="0" t="n">
        <f aca="false">C19*C20</f>
        <v>3136.58169686878</v>
      </c>
      <c r="D21" s="0" t="n">
        <f aca="false">D19*D20</f>
        <v>2795.39295870928</v>
      </c>
      <c r="E21" s="0" t="n">
        <f aca="false">E19*E20</f>
        <v>2549.71458527843</v>
      </c>
      <c r="F21" s="0" t="n">
        <f aca="false">F19*F20</f>
        <v>2381.7588596739</v>
      </c>
      <c r="G21" s="0" t="n">
        <f aca="false">G19*G20</f>
        <v>2259.59838691875</v>
      </c>
      <c r="H21" s="0" t="n">
        <f aca="false">H19*H20</f>
        <v>2160.02933582991</v>
      </c>
      <c r="I21" s="0" t="n">
        <f aca="false">I19*I20</f>
        <v>2042.07441977115</v>
      </c>
      <c r="J21" s="0" t="n">
        <f aca="false">J19*J20</f>
        <v>1927.66573349926</v>
      </c>
      <c r="K21" s="0" t="n">
        <f aca="false">K19*K20</f>
        <v>1810.90256962622</v>
      </c>
      <c r="L21" s="0" t="n">
        <f aca="false">L19*L20</f>
        <v>1687.99063051132</v>
      </c>
    </row>
    <row r="23" customFormat="false" ht="15" hidden="false" customHeight="false" outlineLevel="0" collapsed="false">
      <c r="A23" s="0" t="s">
        <v>108</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Assumptions!$B$20</f>
        <v>10.5</v>
      </c>
    </row>
    <row r="28" customFormat="false" ht="15" hidden="false" customHeight="false" outlineLevel="0" collapsed="false">
      <c r="A28" s="0" t="s">
        <v>113</v>
      </c>
      <c r="B28" s="4" t="n">
        <f aca="false">Assumptions!$B$21</f>
        <v>2.5</v>
      </c>
    </row>
    <row r="29" customFormat="false" ht="15" hidden="false" customHeight="false" outlineLevel="0" collapsed="false">
      <c r="A29" s="0" t="s">
        <v>114</v>
      </c>
      <c r="B29" s="4" t="n">
        <f aca="false">Assumptions!$B$22</f>
        <v>15</v>
      </c>
    </row>
    <row r="30" customFormat="false" ht="15" hidden="false" customHeight="false" outlineLevel="0" collapsed="false">
      <c r="A30" s="0" t="s">
        <v>135</v>
      </c>
      <c r="B30" s="0" t="n">
        <f aca="false">SUM(C21:L21)</f>
        <v>22751.709176687</v>
      </c>
    </row>
    <row r="31" customFormat="false" ht="15" hidden="false" customHeight="false" outlineLevel="0" collapsed="false">
      <c r="A31" s="0" t="s">
        <v>136</v>
      </c>
      <c r="B31" s="0" t="n">
        <f aca="false">L19</f>
        <v>4581.34303952491</v>
      </c>
    </row>
    <row r="32" customFormat="false" ht="15" hidden="false" customHeight="false" outlineLevel="0" collapsed="false">
      <c r="A32" s="0" t="s">
        <v>137</v>
      </c>
      <c r="B32" s="0" t="n">
        <f aca="false">IF(B27&gt;B28,B31*(1+B28/100)/((B27-B28)/100),B31*B29)</f>
        <v>58698.4576939128</v>
      </c>
    </row>
    <row r="33" customFormat="false" ht="15" hidden="false" customHeight="false" outlineLevel="0" collapsed="false">
      <c r="A33" s="0" t="s">
        <v>138</v>
      </c>
      <c r="B33" s="0" t="n">
        <f aca="false">B31*B29</f>
        <v>68720.1455928736</v>
      </c>
    </row>
    <row r="34" customFormat="false" ht="15" hidden="false" customHeight="false" outlineLevel="0" collapsed="false">
      <c r="A34" s="0" t="s">
        <v>139</v>
      </c>
      <c r="B34" s="0" t="n">
        <f aca="false">MAX(0,MIN(B32,B33))</f>
        <v>58698.4576939128</v>
      </c>
    </row>
    <row r="35" customFormat="false" ht="15" hidden="false" customHeight="false" outlineLevel="0" collapsed="false">
      <c r="A35" s="0" t="s">
        <v>140</v>
      </c>
      <c r="B35" s="0" t="n">
        <f aca="false">B34/(1+B27/100)^L4</f>
        <v>21627.3799534262</v>
      </c>
    </row>
    <row r="36" customFormat="false" ht="15" hidden="false" customHeight="false" outlineLevel="0" collapsed="false">
      <c r="A36" s="0" t="s">
        <v>141</v>
      </c>
      <c r="B36" s="0" t="n">
        <f aca="false">B30+B35</f>
        <v>44379.0891301132</v>
      </c>
    </row>
    <row r="37" customFormat="false" ht="15" hidden="false" customHeight="false" outlineLevel="0" collapsed="false">
      <c r="A37" s="0" t="s">
        <v>142</v>
      </c>
      <c r="B37" s="0" t="n">
        <f aca="false">B36+Assumptions!$B$5-Assumptions!$B$4</f>
        <v>44379.0891301132</v>
      </c>
    </row>
    <row r="38" customFormat="false" ht="15" hidden="false" customHeight="false" outlineLevel="0" collapsed="false">
      <c r="A38" s="0" t="s">
        <v>143</v>
      </c>
      <c r="B38" s="0" t="n">
        <f aca="false">B37/Assumptions!$B$3*Assumptions!$B$10</f>
        <v>48.0433558833352</v>
      </c>
    </row>
    <row r="39" customFormat="false" ht="15" hidden="false" customHeight="false" outlineLevel="0" collapsed="false">
      <c r="A39" s="0" t="s">
        <v>144</v>
      </c>
      <c r="B39" s="4" t="n">
        <f aca="false">B38/Assumptions!$B$2-1</f>
        <v>-0.484734492885723</v>
      </c>
    </row>
    <row r="41" customFormat="false" ht="15" hidden="false" customHeight="false" outlineLevel="0" collapsed="false">
      <c r="A41" s="0" t="s">
        <v>145</v>
      </c>
      <c r="B41" s="0" t="n">
        <f aca="false">SUMPRODUCT(-C10:L10/(1+$B$27/100)^C4:L4)</f>
        <v>5138.28535650497</v>
      </c>
    </row>
    <row r="42" customFormat="false" ht="15" hidden="false" customHeight="false" outlineLevel="0" collapsed="false">
      <c r="A42" s="0" t="s">
        <v>146</v>
      </c>
      <c r="B42" s="0" t="n">
        <f aca="false">IF(B27&gt;B28,-L10*(1+B28/100)/((B27-B28)/100),-L10*20)/(1+B27/100)^L4</f>
        <v>4711.401202205</v>
      </c>
    </row>
    <row r="43" customFormat="false" ht="15" hidden="false" customHeight="false" outlineLevel="0" collapsed="false">
      <c r="A43" s="0" t="s">
        <v>147</v>
      </c>
      <c r="B43" s="0" t="n">
        <f aca="false">(B37+B41+B42)/Assumptions!$B$3*Assumptions!$B$10</f>
        <v>58.7063056183335</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37567.0129241042</v>
      </c>
    </row>
    <row r="47" customFormat="false" ht="15" hidden="false" customHeight="false" outlineLevel="0" collapsed="false">
      <c r="A47" s="0" t="s">
        <v>149</v>
      </c>
      <c r="B47" s="0" t="n">
        <f aca="false">(SUMPRODUCT(C19:L19/(1+B45/100)^C4:L4)+B46/(1+B45/100)^L4+Assumptions!$B$5-Assumptions!$B$4)/Assumptions!$B$3*Assumptions!$B$10</f>
        <v>30.3828251914095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150</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Assumptions!C27</f>
        <v>12</v>
      </c>
      <c r="D5" s="4" t="n">
        <f aca="false">Assumptions!D27</f>
        <v>11</v>
      </c>
      <c r="E5" s="4" t="n">
        <f aca="false">Assumptions!E27</f>
        <v>10</v>
      </c>
      <c r="F5" s="4" t="n">
        <f aca="false">Assumptions!F27</f>
        <v>9</v>
      </c>
      <c r="G5" s="4" t="n">
        <f aca="false">Assumptions!G27</f>
        <v>8</v>
      </c>
      <c r="H5" s="4" t="n">
        <f aca="false">Assumptions!H27</f>
        <v>7</v>
      </c>
      <c r="I5" s="4" t="n">
        <f aca="false">Assumptions!I27</f>
        <v>6</v>
      </c>
      <c r="J5" s="4" t="n">
        <f aca="false">Assumptions!J27</f>
        <v>5</v>
      </c>
      <c r="K5" s="4" t="n">
        <f aca="false">Assumptions!K27</f>
        <v>4</v>
      </c>
      <c r="L5" s="4" t="n">
        <f aca="false">Assumptions!L27</f>
        <v>3.5</v>
      </c>
    </row>
    <row r="6" customFormat="false" ht="15" hidden="false" customHeight="false" outlineLevel="0" collapsed="false">
      <c r="A6" s="0" t="s">
        <v>37</v>
      </c>
      <c r="B6" s="3" t="n">
        <v>6638.6</v>
      </c>
      <c r="C6" s="0" t="n">
        <f aca="false">B6*(1+C5/100)</f>
        <v>7435.232</v>
      </c>
      <c r="D6" s="0" t="n">
        <f aca="false">C6*(1+D5/100)</f>
        <v>8253.10752</v>
      </c>
      <c r="E6" s="0" t="n">
        <f aca="false">D6*(1+E5/100)</f>
        <v>9078.418272</v>
      </c>
      <c r="F6" s="0" t="n">
        <f aca="false">E6*(1+F5/100)</f>
        <v>9895.47591648</v>
      </c>
      <c r="G6" s="0" t="n">
        <f aca="false">F6*(1+G5/100)</f>
        <v>10687.1139897984</v>
      </c>
      <c r="H6" s="0" t="n">
        <f aca="false">G6*(1+H5/100)</f>
        <v>11435.2119690843</v>
      </c>
      <c r="I6" s="0" t="n">
        <f aca="false">H6*(1+I5/100)</f>
        <v>12121.3246872294</v>
      </c>
      <c r="J6" s="0" t="n">
        <f aca="false">I6*(1+J5/100)</f>
        <v>12727.3909215908</v>
      </c>
      <c r="K6" s="0" t="n">
        <f aca="false">J6*(1+K5/100)</f>
        <v>13236.4865584545</v>
      </c>
      <c r="L6" s="0" t="n">
        <f aca="false">K6*(1+L5/100)</f>
        <v>13699.7635880004</v>
      </c>
    </row>
    <row r="7" customFormat="false" ht="15" hidden="false" customHeight="false" outlineLevel="0" collapsed="false">
      <c r="A7" s="0" t="s">
        <v>106</v>
      </c>
      <c r="C7" s="4" t="n">
        <f aca="false">Assumptions!C28</f>
        <v>92.7</v>
      </c>
      <c r="D7" s="4" t="n">
        <f aca="false">Assumptions!D28</f>
        <v>92.9</v>
      </c>
      <c r="E7" s="4" t="n">
        <f aca="false">Assumptions!E28</f>
        <v>93.1</v>
      </c>
      <c r="F7" s="4" t="n">
        <f aca="false">Assumptions!F28</f>
        <v>93.3</v>
      </c>
      <c r="G7" s="4" t="n">
        <f aca="false">Assumptions!G28</f>
        <v>93.5</v>
      </c>
      <c r="H7" s="4" t="n">
        <f aca="false">Assumptions!H28</f>
        <v>93.7</v>
      </c>
      <c r="I7" s="4" t="n">
        <f aca="false">Assumptions!I28</f>
        <v>93.9</v>
      </c>
      <c r="J7" s="4" t="n">
        <f aca="false">Assumptions!J28</f>
        <v>94.1</v>
      </c>
      <c r="K7" s="4" t="n">
        <f aca="false">Assumptions!K28</f>
        <v>94.3</v>
      </c>
      <c r="L7" s="4" t="n">
        <f aca="false">Assumptions!L28</f>
        <v>94.5</v>
      </c>
    </row>
    <row r="8" customFormat="false" ht="15" hidden="false" customHeight="false" outlineLevel="0" collapsed="false">
      <c r="A8" s="0" t="s">
        <v>43</v>
      </c>
      <c r="C8" s="0" t="n">
        <f aca="false">C6*C7/100</f>
        <v>6892.460064</v>
      </c>
      <c r="D8" s="0" t="n">
        <f aca="false">D6*D7/100</f>
        <v>7667.13688608</v>
      </c>
      <c r="E8" s="0" t="n">
        <f aca="false">E6*E7/100</f>
        <v>8452.007411232</v>
      </c>
      <c r="F8" s="0" t="n">
        <f aca="false">F6*F7/100</f>
        <v>9232.47903007584</v>
      </c>
      <c r="G8" s="0" t="n">
        <f aca="false">G6*G7/100</f>
        <v>9992.45158046151</v>
      </c>
      <c r="H8" s="0" t="n">
        <f aca="false">H6*H7/100</f>
        <v>10714.793615032</v>
      </c>
      <c r="I8" s="0" t="n">
        <f aca="false">I6*I7/100</f>
        <v>11381.9238813084</v>
      </c>
      <c r="J8" s="0" t="n">
        <f aca="false">J6*J7/100</f>
        <v>11976.474857217</v>
      </c>
      <c r="K8" s="0" t="n">
        <f aca="false">K6*K7/100</f>
        <v>12482.0068246225</v>
      </c>
      <c r="L8" s="0" t="n">
        <f aca="false">L6*L7/100</f>
        <v>12946.2765906603</v>
      </c>
    </row>
    <row r="9" customFormat="false" ht="15" hidden="false" customHeight="false" outlineLevel="0" collapsed="false">
      <c r="A9" s="0" t="s">
        <v>107</v>
      </c>
      <c r="C9" s="4" t="n">
        <f aca="false">Assumptions!C29</f>
        <v>11.1</v>
      </c>
      <c r="D9" s="4" t="n">
        <f aca="false">Assumptions!D29</f>
        <v>10.9</v>
      </c>
      <c r="E9" s="4" t="n">
        <f aca="false">Assumptions!E29</f>
        <v>10.7</v>
      </c>
      <c r="F9" s="4" t="n">
        <f aca="false">Assumptions!F29</f>
        <v>10.5</v>
      </c>
      <c r="G9" s="4" t="n">
        <f aca="false">Assumptions!G29</f>
        <v>10.3</v>
      </c>
      <c r="H9" s="4" t="n">
        <f aca="false">Assumptions!H29</f>
        <v>10.1</v>
      </c>
      <c r="I9" s="4" t="n">
        <f aca="false">Assumptions!I29</f>
        <v>9.9</v>
      </c>
      <c r="J9" s="4" t="n">
        <f aca="false">Assumptions!J29</f>
        <v>9.7</v>
      </c>
      <c r="K9" s="4" t="n">
        <f aca="false">Assumptions!K29</f>
        <v>9.6</v>
      </c>
      <c r="L9" s="4" t="n">
        <f aca="false">Assumptions!L29</f>
        <v>9.5</v>
      </c>
    </row>
    <row r="10" customFormat="false" ht="15" hidden="false" customHeight="false" outlineLevel="0" collapsed="false">
      <c r="A10" s="0" t="s">
        <v>122</v>
      </c>
      <c r="C10" s="0" t="n">
        <f aca="false">-C6*C9/100</f>
        <v>-825.310752</v>
      </c>
      <c r="D10" s="0" t="n">
        <f aca="false">-D6*D9/100</f>
        <v>-899.58871968</v>
      </c>
      <c r="E10" s="0" t="n">
        <f aca="false">-E6*E9/100</f>
        <v>-971.390755104</v>
      </c>
      <c r="F10" s="0" t="n">
        <f aca="false">-F6*F9/100</f>
        <v>-1039.0249712304</v>
      </c>
      <c r="G10" s="0" t="n">
        <f aca="false">-G6*G9/100</f>
        <v>-1100.77274094924</v>
      </c>
      <c r="H10" s="0" t="n">
        <f aca="false">-H6*H9/100</f>
        <v>-1154.95640887751</v>
      </c>
      <c r="I10" s="0" t="n">
        <f aca="false">-I6*I9/100</f>
        <v>-1200.01114403571</v>
      </c>
      <c r="J10" s="0" t="n">
        <f aca="false">-J6*J9/100</f>
        <v>-1234.55691939431</v>
      </c>
      <c r="K10" s="0" t="n">
        <f aca="false">-K6*K9/100</f>
        <v>-1270.70270961163</v>
      </c>
      <c r="L10" s="0" t="n">
        <f aca="false">-L6*L9/100</f>
        <v>-1301.47754086003</v>
      </c>
    </row>
    <row r="11" customFormat="false" ht="15" hidden="false" customHeight="false" outlineLevel="0" collapsed="false">
      <c r="A11" s="0" t="s">
        <v>123</v>
      </c>
      <c r="C11" s="0" t="n">
        <f aca="false">C8+C10+C24</f>
        <v>6067.149312</v>
      </c>
      <c r="D11" s="0" t="n">
        <f aca="false">D8+D10+D24</f>
        <v>6767.5481664</v>
      </c>
      <c r="E11" s="0" t="n">
        <f aca="false">E8+E10+E24</f>
        <v>7480.616656128</v>
      </c>
      <c r="F11" s="0" t="n">
        <f aca="false">F8+F10+F24</f>
        <v>8193.45405884544</v>
      </c>
      <c r="G11" s="0" t="n">
        <f aca="false">G8+G10+G24</f>
        <v>8891.67883951227</v>
      </c>
      <c r="H11" s="0" t="n">
        <f aca="false">H8+H10+H24</f>
        <v>9559.83720615447</v>
      </c>
      <c r="I11" s="0" t="n">
        <f aca="false">I8+I10+I24</f>
        <v>10181.9127372727</v>
      </c>
      <c r="J11" s="0" t="n">
        <f aca="false">J8+J10+J24</f>
        <v>10741.9179378227</v>
      </c>
      <c r="K11" s="0" t="n">
        <f aca="false">K8+K10+K24</f>
        <v>11211.3041150109</v>
      </c>
      <c r="L11" s="0" t="n">
        <f aca="false">L8+L10+L24</f>
        <v>11644.7990498003</v>
      </c>
    </row>
    <row r="12" customFormat="false" ht="15" hidden="false" customHeight="false" outlineLevel="0" collapsed="false">
      <c r="A12" s="0" t="s">
        <v>124</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125</v>
      </c>
      <c r="C13" s="0" t="n">
        <f aca="false">C11+C12</f>
        <v>6067.149312</v>
      </c>
      <c r="D13" s="0" t="n">
        <f aca="false">D11+D12</f>
        <v>6767.5481664</v>
      </c>
      <c r="E13" s="0" t="n">
        <f aca="false">E11+E12</f>
        <v>7480.616656128</v>
      </c>
      <c r="F13" s="0" t="n">
        <f aca="false">F11+F12</f>
        <v>8193.45405884544</v>
      </c>
      <c r="G13" s="0" t="n">
        <f aca="false">G11+G12</f>
        <v>8891.67883951227</v>
      </c>
      <c r="H13" s="0" t="n">
        <f aca="false">H11+H12</f>
        <v>9559.83720615447</v>
      </c>
      <c r="I13" s="0" t="n">
        <f aca="false">I11+I12</f>
        <v>10181.9127372727</v>
      </c>
      <c r="J13" s="0" t="n">
        <f aca="false">J11+J12</f>
        <v>10741.9179378227</v>
      </c>
      <c r="K13" s="0" t="n">
        <f aca="false">K11+K12</f>
        <v>11211.3041150109</v>
      </c>
      <c r="L13" s="0" t="n">
        <f aca="false">L11+L12</f>
        <v>11644.7990498003</v>
      </c>
    </row>
    <row r="14" customFormat="false" ht="15" hidden="false" customHeight="false" outlineLevel="0" collapsed="false">
      <c r="A14" s="0" t="s">
        <v>111</v>
      </c>
      <c r="C14" s="4" t="n">
        <f aca="false">Assumptions!C33</f>
        <v>18.4</v>
      </c>
      <c r="D14" s="4" t="n">
        <f aca="false">Assumptions!D33</f>
        <v>18.8</v>
      </c>
      <c r="E14" s="4" t="n">
        <f aca="false">Assumptions!E33</f>
        <v>19.2</v>
      </c>
      <c r="F14" s="4" t="n">
        <f aca="false">Assumptions!F33</f>
        <v>19.6</v>
      </c>
      <c r="G14" s="4" t="n">
        <f aca="false">Assumptions!G33</f>
        <v>20</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126</v>
      </c>
      <c r="C15" s="0" t="n">
        <f aca="false">C13-MAX(0,C13)*C14/100</f>
        <v>4950.793838592</v>
      </c>
      <c r="D15" s="0" t="n">
        <f aca="false">D13-MAX(0,D13)*D14/100</f>
        <v>5495.2491111168</v>
      </c>
      <c r="E15" s="0" t="n">
        <f aca="false">E13-MAX(0,E13)*E14/100</f>
        <v>6044.33825815143</v>
      </c>
      <c r="F15" s="0" t="n">
        <f aca="false">F13-MAX(0,F13)*F14/100</f>
        <v>6587.53706331174</v>
      </c>
      <c r="G15" s="0" t="n">
        <f aca="false">G13-MAX(0,G13)*G14/100</f>
        <v>7113.34307160982</v>
      </c>
      <c r="H15" s="0" t="n">
        <f aca="false">H13-MAX(0,H13)*H14/100</f>
        <v>7647.86976492358</v>
      </c>
      <c r="I15" s="0" t="n">
        <f aca="false">I13-MAX(0,I13)*I14/100</f>
        <v>8145.53018981812</v>
      </c>
      <c r="J15" s="0" t="n">
        <f aca="false">J13-MAX(0,J13)*J14/100</f>
        <v>8593.53435025812</v>
      </c>
      <c r="K15" s="0" t="n">
        <f aca="false">K13-MAX(0,K13)*K14/100</f>
        <v>8969.04329200874</v>
      </c>
      <c r="L15" s="0" t="n">
        <f aca="false">L13-MAX(0,L13)*L14/100</f>
        <v>9315.83923984024</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-C6*Assumptions!C32/100</f>
        <v>-1487.0464</v>
      </c>
      <c r="D17" s="4" t="n">
        <f aca="false">-D6*Assumptions!D32/100</f>
        <v>-1568.0904288</v>
      </c>
      <c r="E17" s="4" t="n">
        <f aca="false">-E6*Assumptions!E32/100</f>
        <v>-1634.11528896</v>
      </c>
      <c r="F17" s="4" t="n">
        <f aca="false">-F6*Assumptions!F32/100</f>
        <v>-1682.2309058016</v>
      </c>
      <c r="G17" s="4" t="n">
        <f aca="false">-G6*Assumptions!G32/100</f>
        <v>-1709.93823836774</v>
      </c>
      <c r="H17" s="4" t="n">
        <f aca="false">-H6*Assumptions!H32/100</f>
        <v>-1715.28179536264</v>
      </c>
      <c r="I17" s="4" t="n">
        <f aca="false">-I6*Assumptions!I32/100</f>
        <v>-1696.98545621211</v>
      </c>
      <c r="J17" s="4" t="n">
        <f aca="false">-J6*Assumptions!J32/100</f>
        <v>-1654.56081980681</v>
      </c>
      <c r="K17" s="4" t="n">
        <f aca="false">-K6*Assumptions!K32/100</f>
        <v>-1588.37838701453</v>
      </c>
      <c r="L17" s="4" t="n">
        <f aca="false">-L6*Assumptions!L32/100</f>
        <v>-1506.97399468004</v>
      </c>
    </row>
    <row r="18" customFormat="false" ht="15" hidden="false" customHeight="false" outlineLevel="0" collapsed="false">
      <c r="A18" s="0" t="s">
        <v>129</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130</v>
      </c>
      <c r="C19" s="0" t="n">
        <f aca="false">C15+C16+C17+C18</f>
        <v>3463.747438592</v>
      </c>
      <c r="D19" s="0" t="n">
        <f aca="false">D15+D16+D17+D18</f>
        <v>3927.1586823168</v>
      </c>
      <c r="E19" s="0" t="n">
        <f aca="false">E15+E16+E17+E18</f>
        <v>4410.22296919142</v>
      </c>
      <c r="F19" s="0" t="n">
        <f aca="false">F15+F16+F17+F18</f>
        <v>4905.30615751014</v>
      </c>
      <c r="G19" s="0" t="n">
        <f aca="false">G15+G16+G17+G18</f>
        <v>5403.40483324207</v>
      </c>
      <c r="H19" s="0" t="n">
        <f aca="false">H15+H16+H17+H18</f>
        <v>5932.58796956093</v>
      </c>
      <c r="I19" s="0" t="n">
        <f aca="false">I15+I16+I17+I18</f>
        <v>6448.54473360601</v>
      </c>
      <c r="J19" s="0" t="n">
        <f aca="false">J15+J16+J17+J18</f>
        <v>6938.97353045131</v>
      </c>
      <c r="K19" s="0" t="n">
        <f aca="false">K15+K16+K17+K18</f>
        <v>7380.6649049942</v>
      </c>
      <c r="L19" s="0" t="n">
        <f aca="false">L15+L16+L17+L18</f>
        <v>7808.8652451602</v>
      </c>
    </row>
    <row r="20" customFormat="false" ht="15" hidden="false" customHeight="false" outlineLevel="0" collapsed="false">
      <c r="A20" s="0" t="s">
        <v>131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132</v>
      </c>
      <c r="C21" s="0" t="n">
        <f aca="false">C19*C20</f>
        <v>3134.6130665991</v>
      </c>
      <c r="D21" s="0" t="n">
        <f aca="false">D19*D20</f>
        <v>3216.28032375815</v>
      </c>
      <c r="E21" s="0" t="n">
        <f aca="false">E19*E20</f>
        <v>3268.68983707789</v>
      </c>
      <c r="F21" s="0" t="n">
        <f aca="false">F19*F20</f>
        <v>3290.15991054126</v>
      </c>
      <c r="G21" s="0" t="n">
        <f aca="false">G19*G20</f>
        <v>3279.86612068582</v>
      </c>
      <c r="H21" s="0" t="n">
        <f aca="false">H19*H20</f>
        <v>3258.89613066797</v>
      </c>
      <c r="I21" s="0" t="n">
        <f aca="false">I19*I20</f>
        <v>3205.72135838409</v>
      </c>
      <c r="J21" s="0" t="n">
        <f aca="false">J19*J20</f>
        <v>3121.74199438737</v>
      </c>
      <c r="K21" s="0" t="n">
        <f aca="false">K19*K20</f>
        <v>3004.93433355556</v>
      </c>
      <c r="L21" s="0" t="n">
        <f aca="false">L19*L20</f>
        <v>2877.16751507934</v>
      </c>
    </row>
    <row r="23" customFormat="false" ht="15" hidden="false" customHeight="false" outlineLevel="0" collapsed="false">
      <c r="A23" s="0" t="s">
        <v>108</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Assumptions!$B$34</f>
        <v>10.5</v>
      </c>
    </row>
    <row r="28" customFormat="false" ht="15" hidden="false" customHeight="false" outlineLevel="0" collapsed="false">
      <c r="A28" s="0" t="s">
        <v>113</v>
      </c>
      <c r="B28" s="4" t="n">
        <f aca="false">Assumptions!$B$35</f>
        <v>3</v>
      </c>
    </row>
    <row r="29" customFormat="false" ht="15" hidden="false" customHeight="false" outlineLevel="0" collapsed="false">
      <c r="A29" s="0" t="s">
        <v>114</v>
      </c>
      <c r="B29" s="4" t="n">
        <f aca="false">Assumptions!$B$36</f>
        <v>20</v>
      </c>
    </row>
    <row r="30" customFormat="false" ht="15" hidden="false" customHeight="false" outlineLevel="0" collapsed="false">
      <c r="A30" s="0" t="s">
        <v>135</v>
      </c>
      <c r="B30" s="0" t="n">
        <f aca="false">SUM(C21:L21)</f>
        <v>31658.0705907366</v>
      </c>
    </row>
    <row r="31" customFormat="false" ht="15" hidden="false" customHeight="false" outlineLevel="0" collapsed="false">
      <c r="A31" s="0" t="s">
        <v>136</v>
      </c>
      <c r="B31" s="0" t="n">
        <f aca="false">L19</f>
        <v>7808.8652451602</v>
      </c>
    </row>
    <row r="32" customFormat="false" ht="15" hidden="false" customHeight="false" outlineLevel="0" collapsed="false">
      <c r="A32" s="0" t="s">
        <v>137</v>
      </c>
      <c r="B32" s="0" t="n">
        <f aca="false">IF(B27&gt;B28,B31*(1+B28/100)/((B27-B28)/100),B31*B29)</f>
        <v>107241.749366867</v>
      </c>
    </row>
    <row r="33" customFormat="false" ht="15" hidden="false" customHeight="false" outlineLevel="0" collapsed="false">
      <c r="A33" s="0" t="s">
        <v>138</v>
      </c>
      <c r="B33" s="0" t="n">
        <f aca="false">B31*B29</f>
        <v>156177.304903204</v>
      </c>
    </row>
    <row r="34" customFormat="false" ht="15" hidden="false" customHeight="false" outlineLevel="0" collapsed="false">
      <c r="A34" s="0" t="s">
        <v>139</v>
      </c>
      <c r="B34" s="0" t="n">
        <f aca="false">MAX(0,MIN(B32,B33))</f>
        <v>107241.749366867</v>
      </c>
    </row>
    <row r="35" customFormat="false" ht="15" hidden="false" customHeight="false" outlineLevel="0" collapsed="false">
      <c r="A35" s="0" t="s">
        <v>140</v>
      </c>
      <c r="B35" s="0" t="n">
        <f aca="false">B34/(1+B27/100)^L4</f>
        <v>39513.1005404229</v>
      </c>
    </row>
    <row r="36" customFormat="false" ht="15" hidden="false" customHeight="false" outlineLevel="0" collapsed="false">
      <c r="A36" s="0" t="s">
        <v>141</v>
      </c>
      <c r="B36" s="0" t="n">
        <f aca="false">B30+B35</f>
        <v>71171.1711311594</v>
      </c>
    </row>
    <row r="37" customFormat="false" ht="15" hidden="false" customHeight="false" outlineLevel="0" collapsed="false">
      <c r="A37" s="0" t="s">
        <v>142</v>
      </c>
      <c r="B37" s="0" t="n">
        <f aca="false">B36+Assumptions!$B$5-Assumptions!$B$4</f>
        <v>71171.1711311594</v>
      </c>
    </row>
    <row r="38" customFormat="false" ht="15" hidden="false" customHeight="false" outlineLevel="0" collapsed="false">
      <c r="A38" s="0" t="s">
        <v>143</v>
      </c>
      <c r="B38" s="0" t="n">
        <f aca="false">B37/Assumptions!$B$3*Assumptions!$B$10</f>
        <v>77.0475908882026</v>
      </c>
    </row>
    <row r="39" customFormat="false" ht="15" hidden="false" customHeight="false" outlineLevel="0" collapsed="false">
      <c r="A39" s="0" t="s">
        <v>144</v>
      </c>
      <c r="B39" s="4" t="n">
        <f aca="false">B38/Assumptions!$B$2-1</f>
        <v>-0.173663761387788</v>
      </c>
    </row>
    <row r="41" customFormat="false" ht="15" hidden="false" customHeight="false" outlineLevel="0" collapsed="false">
      <c r="A41" s="0" t="s">
        <v>145</v>
      </c>
      <c r="B41" s="0" t="n">
        <f aca="false">SUMPRODUCT(-C10:L10/(1+$B$27/100)^C4:L4)</f>
        <v>6351.95464834543</v>
      </c>
    </row>
    <row r="42" customFormat="false" ht="15" hidden="false" customHeight="false" outlineLevel="0" collapsed="false">
      <c r="A42" s="0" t="s">
        <v>146</v>
      </c>
      <c r="B42" s="0" t="n">
        <f aca="false">IF(B27&gt;B28,-L10*(1+B28/100)/((B27-B28)/100),-L10*20)/(1+B27/100)^L4</f>
        <v>6585.51675673715</v>
      </c>
    </row>
    <row r="43" customFormat="false" ht="15" hidden="false" customHeight="false" outlineLevel="0" collapsed="false">
      <c r="A43" s="0" t="s">
        <v>147</v>
      </c>
      <c r="B43" s="0" t="n">
        <f aca="false">(B37+B41+B42)/Assumptions!$B$3*Assumptions!$B$10</f>
        <v>91.0532758882379</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67026.0933542918</v>
      </c>
    </row>
    <row r="47" customFormat="false" ht="15" hidden="false" customHeight="false" outlineLevel="0" collapsed="false">
      <c r="A47" s="0" t="s">
        <v>149</v>
      </c>
      <c r="B47" s="0" t="n">
        <f aca="false">(SUMPRODUCT(C19:L19/(1+B45/100)^C4:L4)+B46/(1+B45/100)^L4+Assumptions!$B$5-Assumptions!$B$4)/Assumptions!$B$3*Assumptions!$B$10</f>
        <v>45.7123287872476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120</v>
      </c>
      <c r="B3" s="0" t="s">
        <v>90</v>
      </c>
      <c r="C3" s="2" t="s">
        <v>95</v>
      </c>
      <c r="D3" s="2" t="s">
        <v>96</v>
      </c>
      <c r="E3" s="2" t="s">
        <v>97</v>
      </c>
      <c r="F3" s="2" t="s">
        <v>98</v>
      </c>
      <c r="G3" s="2" t="s">
        <v>99</v>
      </c>
      <c r="H3" s="2" t="s">
        <v>100</v>
      </c>
      <c r="I3" s="2" t="s">
        <v>101</v>
      </c>
      <c r="J3" s="2" t="s">
        <v>102</v>
      </c>
      <c r="K3" s="2" t="s">
        <v>103</v>
      </c>
      <c r="L3" s="2" t="s">
        <v>104</v>
      </c>
    </row>
    <row r="4" customFormat="false" ht="15" hidden="false" customHeight="false" outlineLevel="0" collapsed="false">
      <c r="A4" s="0" t="s">
        <v>121</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105</v>
      </c>
      <c r="C5" s="4" t="n">
        <f aca="false">Assumptions!C41</f>
        <v>18</v>
      </c>
      <c r="D5" s="4" t="n">
        <f aca="false">Assumptions!D41</f>
        <v>16</v>
      </c>
      <c r="E5" s="4" t="n">
        <f aca="false">Assumptions!E41</f>
        <v>14</v>
      </c>
      <c r="F5" s="4" t="n">
        <f aca="false">Assumptions!F41</f>
        <v>12</v>
      </c>
      <c r="G5" s="4" t="n">
        <f aca="false">Assumptions!G41</f>
        <v>10</v>
      </c>
      <c r="H5" s="4" t="n">
        <f aca="false">Assumptions!H41</f>
        <v>9</v>
      </c>
      <c r="I5" s="4" t="n">
        <f aca="false">Assumptions!I41</f>
        <v>8</v>
      </c>
      <c r="J5" s="4" t="n">
        <f aca="false">Assumptions!J41</f>
        <v>6</v>
      </c>
      <c r="K5" s="4" t="n">
        <f aca="false">Assumptions!K41</f>
        <v>5</v>
      </c>
      <c r="L5" s="4" t="n">
        <f aca="false">Assumptions!L41</f>
        <v>4</v>
      </c>
    </row>
    <row r="6" customFormat="false" ht="15" hidden="false" customHeight="false" outlineLevel="0" collapsed="false">
      <c r="A6" s="0" t="s">
        <v>37</v>
      </c>
      <c r="B6" s="3" t="n">
        <v>6638.6</v>
      </c>
      <c r="C6" s="0" t="n">
        <f aca="false">B6*(1+C5/100)</f>
        <v>7833.548</v>
      </c>
      <c r="D6" s="0" t="n">
        <f aca="false">C6*(1+D5/100)</f>
        <v>9086.91568</v>
      </c>
      <c r="E6" s="0" t="n">
        <f aca="false">D6*(1+E5/100)</f>
        <v>10359.0838752</v>
      </c>
      <c r="F6" s="0" t="n">
        <f aca="false">E6*(1+F5/100)</f>
        <v>11602.173940224</v>
      </c>
      <c r="G6" s="0" t="n">
        <f aca="false">F6*(1+G5/100)</f>
        <v>12762.3913342464</v>
      </c>
      <c r="H6" s="0" t="n">
        <f aca="false">G6*(1+H5/100)</f>
        <v>13911.0065543286</v>
      </c>
      <c r="I6" s="0" t="n">
        <f aca="false">H6*(1+I5/100)</f>
        <v>15023.8870786749</v>
      </c>
      <c r="J6" s="0" t="n">
        <f aca="false">I6*(1+J5/100)</f>
        <v>15925.3203033954</v>
      </c>
      <c r="K6" s="0" t="n">
        <f aca="false">J6*(1+K5/100)</f>
        <v>16721.5863185651</v>
      </c>
      <c r="L6" s="0" t="n">
        <f aca="false">K6*(1+L5/100)</f>
        <v>17390.4497713077</v>
      </c>
    </row>
    <row r="7" customFormat="false" ht="15" hidden="false" customHeight="false" outlineLevel="0" collapsed="false">
      <c r="A7" s="0" t="s">
        <v>106</v>
      </c>
      <c r="C7" s="4" t="n">
        <f aca="false">Assumptions!C42</f>
        <v>92.8</v>
      </c>
      <c r="D7" s="4" t="n">
        <f aca="false">Assumptions!D42</f>
        <v>93.2</v>
      </c>
      <c r="E7" s="4" t="n">
        <f aca="false">Assumptions!E42</f>
        <v>93.6</v>
      </c>
      <c r="F7" s="4" t="n">
        <f aca="false">Assumptions!F42</f>
        <v>94</v>
      </c>
      <c r="G7" s="4" t="n">
        <f aca="false">Assumptions!G42</f>
        <v>94.4</v>
      </c>
      <c r="H7" s="4" t="n">
        <f aca="false">Assumptions!H42</f>
        <v>94.7</v>
      </c>
      <c r="I7" s="4" t="n">
        <f aca="false">Assumptions!I42</f>
        <v>95</v>
      </c>
      <c r="J7" s="4" t="n">
        <f aca="false">Assumptions!J42</f>
        <v>95.2</v>
      </c>
      <c r="K7" s="4" t="n">
        <f aca="false">Assumptions!K42</f>
        <v>95.4</v>
      </c>
      <c r="L7" s="4" t="n">
        <f aca="false">Assumptions!L42</f>
        <v>95.5</v>
      </c>
    </row>
    <row r="8" customFormat="false" ht="15" hidden="false" customHeight="false" outlineLevel="0" collapsed="false">
      <c r="A8" s="0" t="s">
        <v>43</v>
      </c>
      <c r="C8" s="0" t="n">
        <f aca="false">C6*C7/100</f>
        <v>7269.532544</v>
      </c>
      <c r="D8" s="0" t="n">
        <f aca="false">D6*D7/100</f>
        <v>8469.00541376</v>
      </c>
      <c r="E8" s="0" t="n">
        <f aca="false">E6*E7/100</f>
        <v>9696.1025071872</v>
      </c>
      <c r="F8" s="0" t="n">
        <f aca="false">F6*F7/100</f>
        <v>10906.0435038106</v>
      </c>
      <c r="G8" s="0" t="n">
        <f aca="false">G6*G7/100</f>
        <v>12047.6974195286</v>
      </c>
      <c r="H8" s="0" t="n">
        <f aca="false">H6*H7/100</f>
        <v>13173.7232069492</v>
      </c>
      <c r="I8" s="0" t="n">
        <f aca="false">I6*I7/100</f>
        <v>14272.6927247411</v>
      </c>
      <c r="J8" s="0" t="n">
        <f aca="false">J6*J7/100</f>
        <v>15160.9049288324</v>
      </c>
      <c r="K8" s="0" t="n">
        <f aca="false">K6*K7/100</f>
        <v>15952.3933479111</v>
      </c>
      <c r="L8" s="0" t="n">
        <f aca="false">L6*L7/100</f>
        <v>16607.8795315989</v>
      </c>
    </row>
    <row r="9" customFormat="false" ht="15" hidden="false" customHeight="false" outlineLevel="0" collapsed="false">
      <c r="A9" s="0" t="s">
        <v>107</v>
      </c>
      <c r="C9" s="4" t="n">
        <f aca="false">Assumptions!C43</f>
        <v>11.1</v>
      </c>
      <c r="D9" s="4" t="n">
        <f aca="false">Assumptions!D43</f>
        <v>10.8</v>
      </c>
      <c r="E9" s="4" t="n">
        <f aca="false">Assumptions!E43</f>
        <v>10.5</v>
      </c>
      <c r="F9" s="4" t="n">
        <f aca="false">Assumptions!F43</f>
        <v>10.2</v>
      </c>
      <c r="G9" s="4" t="n">
        <f aca="false">Assumptions!G43</f>
        <v>9.9</v>
      </c>
      <c r="H9" s="4" t="n">
        <f aca="false">Assumptions!H43</f>
        <v>9.6</v>
      </c>
      <c r="I9" s="4" t="n">
        <f aca="false">Assumptions!I43</f>
        <v>9.4</v>
      </c>
      <c r="J9" s="4" t="n">
        <f aca="false">Assumptions!J43</f>
        <v>9.2</v>
      </c>
      <c r="K9" s="4" t="n">
        <f aca="false">Assumptions!K43</f>
        <v>9.1</v>
      </c>
      <c r="L9" s="4" t="n">
        <f aca="false">Assumptions!L43</f>
        <v>9</v>
      </c>
    </row>
    <row r="10" customFormat="false" ht="15" hidden="false" customHeight="false" outlineLevel="0" collapsed="false">
      <c r="A10" s="0" t="s">
        <v>122</v>
      </c>
      <c r="C10" s="0" t="n">
        <f aca="false">-C6*C9/100</f>
        <v>-869.523828</v>
      </c>
      <c r="D10" s="0" t="n">
        <f aca="false">-D6*D9/100</f>
        <v>-981.38689344</v>
      </c>
      <c r="E10" s="0" t="n">
        <f aca="false">-E6*E9/100</f>
        <v>-1087.703806896</v>
      </c>
      <c r="F10" s="0" t="n">
        <f aca="false">-F6*F9/100</f>
        <v>-1183.42174190285</v>
      </c>
      <c r="G10" s="0" t="n">
        <f aca="false">-G6*G9/100</f>
        <v>-1263.47674209039</v>
      </c>
      <c r="H10" s="0" t="n">
        <f aca="false">-H6*H9/100</f>
        <v>-1335.45662921554</v>
      </c>
      <c r="I10" s="0" t="n">
        <f aca="false">-I6*I9/100</f>
        <v>-1412.24538539544</v>
      </c>
      <c r="J10" s="0" t="n">
        <f aca="false">-J6*J9/100</f>
        <v>-1465.12946791237</v>
      </c>
      <c r="K10" s="0" t="n">
        <f aca="false">-K6*K9/100</f>
        <v>-1521.66435498943</v>
      </c>
      <c r="L10" s="0" t="n">
        <f aca="false">-L6*L9/100</f>
        <v>-1565.1404794177</v>
      </c>
    </row>
    <row r="11" customFormat="false" ht="15" hidden="false" customHeight="false" outlineLevel="0" collapsed="false">
      <c r="A11" s="0" t="s">
        <v>123</v>
      </c>
      <c r="C11" s="0" t="n">
        <f aca="false">C8+C10+C24</f>
        <v>6400.008716</v>
      </c>
      <c r="D11" s="0" t="n">
        <f aca="false">D8+D10+D24</f>
        <v>7487.61852032</v>
      </c>
      <c r="E11" s="0" t="n">
        <f aca="false">E8+E10+E24</f>
        <v>8608.3987002912</v>
      </c>
      <c r="F11" s="0" t="n">
        <f aca="false">F8+F10+F24</f>
        <v>9722.62176190771</v>
      </c>
      <c r="G11" s="0" t="n">
        <f aca="false">G8+G10+G24</f>
        <v>10784.2206774382</v>
      </c>
      <c r="H11" s="0" t="n">
        <f aca="false">H8+H10+H24</f>
        <v>11838.2665777336</v>
      </c>
      <c r="I11" s="0" t="n">
        <f aca="false">I8+I10+I24</f>
        <v>12860.4473393457</v>
      </c>
      <c r="J11" s="0" t="n">
        <f aca="false">J8+J10+J24</f>
        <v>13695.77546092</v>
      </c>
      <c r="K11" s="0" t="n">
        <f aca="false">K8+K10+K24</f>
        <v>14430.7289929217</v>
      </c>
      <c r="L11" s="0" t="n">
        <f aca="false">L8+L10+L24</f>
        <v>15042.7390521812</v>
      </c>
    </row>
    <row r="12" customFormat="false" ht="15" hidden="false" customHeight="false" outlineLevel="0" collapsed="false">
      <c r="A12" s="0" t="s">
        <v>124</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125</v>
      </c>
      <c r="C13" s="0" t="n">
        <f aca="false">C11+C12</f>
        <v>6400.008716</v>
      </c>
      <c r="D13" s="0" t="n">
        <f aca="false">D11+D12</f>
        <v>7487.61852032</v>
      </c>
      <c r="E13" s="0" t="n">
        <f aca="false">E11+E12</f>
        <v>8608.3987002912</v>
      </c>
      <c r="F13" s="0" t="n">
        <f aca="false">F11+F12</f>
        <v>9722.62176190771</v>
      </c>
      <c r="G13" s="0" t="n">
        <f aca="false">G11+G12</f>
        <v>10784.2206774382</v>
      </c>
      <c r="H13" s="0" t="n">
        <f aca="false">H11+H12</f>
        <v>11838.2665777336</v>
      </c>
      <c r="I13" s="0" t="n">
        <f aca="false">I11+I12</f>
        <v>12860.4473393457</v>
      </c>
      <c r="J13" s="0" t="n">
        <f aca="false">J11+J12</f>
        <v>13695.77546092</v>
      </c>
      <c r="K13" s="0" t="n">
        <f aca="false">K11+K12</f>
        <v>14430.7289929217</v>
      </c>
      <c r="L13" s="0" t="n">
        <f aca="false">L11+L12</f>
        <v>15042.7390521812</v>
      </c>
    </row>
    <row r="14" customFormat="false" ht="15" hidden="false" customHeight="false" outlineLevel="0" collapsed="false">
      <c r="A14" s="0" t="s">
        <v>111</v>
      </c>
      <c r="C14" s="4" t="n">
        <f aca="false">Assumptions!C47</f>
        <v>18.4</v>
      </c>
      <c r="D14" s="4" t="n">
        <f aca="false">Assumptions!D47</f>
        <v>18.5</v>
      </c>
      <c r="E14" s="4" t="n">
        <f aca="false">Assumptions!E47</f>
        <v>18.8</v>
      </c>
      <c r="F14" s="4" t="n">
        <f aca="false">Assumptions!F47</f>
        <v>19</v>
      </c>
      <c r="G14" s="4" t="n">
        <f aca="false">Assumptions!G47</f>
        <v>19.2</v>
      </c>
      <c r="H14" s="4" t="n">
        <f aca="false">Assumptions!H47</f>
        <v>19.5</v>
      </c>
      <c r="I14" s="4" t="n">
        <f aca="false">Assumptions!I47</f>
        <v>19.5</v>
      </c>
      <c r="J14" s="4" t="n">
        <f aca="false">Assumptions!J47</f>
        <v>19.5</v>
      </c>
      <c r="K14" s="4" t="n">
        <f aca="false">Assumptions!K47</f>
        <v>19.5</v>
      </c>
      <c r="L14" s="4" t="n">
        <f aca="false">Assumptions!L47</f>
        <v>19.5</v>
      </c>
    </row>
    <row r="15" customFormat="false" ht="15" hidden="false" customHeight="false" outlineLevel="0" collapsed="false">
      <c r="A15" s="0" t="s">
        <v>126</v>
      </c>
      <c r="C15" s="0" t="n">
        <f aca="false">C13-MAX(0,C13)*C14/100</f>
        <v>5222.407112256</v>
      </c>
      <c r="D15" s="0" t="n">
        <f aca="false">D13-MAX(0,D13)*D14/100</f>
        <v>6102.4090940608</v>
      </c>
      <c r="E15" s="0" t="n">
        <f aca="false">E13-MAX(0,E13)*E14/100</f>
        <v>6990.01974463646</v>
      </c>
      <c r="F15" s="0" t="n">
        <f aca="false">F13-MAX(0,F13)*F14/100</f>
        <v>7875.32362714525</v>
      </c>
      <c r="G15" s="0" t="n">
        <f aca="false">G13-MAX(0,G13)*G14/100</f>
        <v>8713.65030737008</v>
      </c>
      <c r="H15" s="0" t="n">
        <f aca="false">H13-MAX(0,H13)*H14/100</f>
        <v>9529.80459507557</v>
      </c>
      <c r="I15" s="0" t="n">
        <f aca="false">I13-MAX(0,I13)*I14/100</f>
        <v>10352.6601081733</v>
      </c>
      <c r="J15" s="0" t="n">
        <f aca="false">J13-MAX(0,J13)*J14/100</f>
        <v>11025.0992460406</v>
      </c>
      <c r="K15" s="0" t="n">
        <f aca="false">K13-MAX(0,K13)*K14/100</f>
        <v>11616.736839302</v>
      </c>
      <c r="L15" s="0" t="n">
        <f aca="false">L13-MAX(0,L13)*L14/100</f>
        <v>12109.4049370059</v>
      </c>
    </row>
    <row r="16" customFormat="false" ht="15" hidden="false" customHeight="false" outlineLevel="0" collapsed="false">
      <c r="A16" s="0" t="s">
        <v>127</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128</v>
      </c>
      <c r="C17" s="4" t="n">
        <f aca="false">-C6*Assumptions!C46/100</f>
        <v>-1723.38056</v>
      </c>
      <c r="D17" s="4" t="n">
        <f aca="false">-D6*Assumptions!D46/100</f>
        <v>-1908.2522928</v>
      </c>
      <c r="E17" s="4" t="n">
        <f aca="false">-E6*Assumptions!E46/100</f>
        <v>-2071.81677504</v>
      </c>
      <c r="F17" s="4" t="n">
        <f aca="false">-F6*Assumptions!F46/100</f>
        <v>-2088.39130924032</v>
      </c>
      <c r="G17" s="4" t="n">
        <f aca="false">-G6*Assumptions!G46/100</f>
        <v>-2041.98261347942</v>
      </c>
      <c r="H17" s="4" t="n">
        <f aca="false">-H6*Assumptions!H46/100</f>
        <v>-2086.65098314929</v>
      </c>
      <c r="I17" s="4" t="n">
        <f aca="false">-I6*Assumptions!I46/100</f>
        <v>-2103.34419101448</v>
      </c>
      <c r="J17" s="4" t="n">
        <f aca="false">-J6*Assumptions!J46/100</f>
        <v>-2070.2916394414</v>
      </c>
      <c r="K17" s="4" t="n">
        <f aca="false">-K6*Assumptions!K46/100</f>
        <v>-2006.59035822782</v>
      </c>
      <c r="L17" s="4" t="n">
        <f aca="false">-L6*Assumptions!L46/100</f>
        <v>-1912.94947484385</v>
      </c>
    </row>
    <row r="18" customFormat="false" ht="15" hidden="false" customHeight="false" outlineLevel="0" collapsed="false">
      <c r="A18" s="0" t="s">
        <v>129</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130</v>
      </c>
      <c r="C19" s="0" t="n">
        <f aca="false">C15+C16+C17+C18</f>
        <v>3499.026552256</v>
      </c>
      <c r="D19" s="0" t="n">
        <f aca="false">D15+D16+D17+D18</f>
        <v>4194.1568012608</v>
      </c>
      <c r="E19" s="0" t="n">
        <f aca="false">E15+E16+E17+E18</f>
        <v>4918.20296959646</v>
      </c>
      <c r="F19" s="0" t="n">
        <f aca="false">F15+F16+F17+F18</f>
        <v>5786.93231790493</v>
      </c>
      <c r="G19" s="0" t="n">
        <f aca="false">G15+G16+G17+G18</f>
        <v>6671.66769389065</v>
      </c>
      <c r="H19" s="0" t="n">
        <f aca="false">H15+H16+H17+H18</f>
        <v>7443.15361192628</v>
      </c>
      <c r="I19" s="0" t="n">
        <f aca="false">I15+I16+I17+I18</f>
        <v>8249.3159171588</v>
      </c>
      <c r="J19" s="0" t="n">
        <f aca="false">J15+J16+J17+J18</f>
        <v>8954.80760659922</v>
      </c>
      <c r="K19" s="0" t="n">
        <f aca="false">K15+K16+K17+K18</f>
        <v>9610.14648107416</v>
      </c>
      <c r="L19" s="0" t="n">
        <f aca="false">L15+L16+L17+L18</f>
        <v>10196.455462162</v>
      </c>
    </row>
    <row r="20" customFormat="false" ht="15" hidden="false" customHeight="false" outlineLevel="0" collapsed="false">
      <c r="A20" s="0" t="s">
        <v>131</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132</v>
      </c>
      <c r="C21" s="0" t="n">
        <f aca="false">C19*C20</f>
        <v>3166.53986629502</v>
      </c>
      <c r="D21" s="0" t="n">
        <f aca="false">D19*D20</f>
        <v>3434.94752462955</v>
      </c>
      <c r="E21" s="0" t="n">
        <f aca="false">E19*E20</f>
        <v>3645.1853286578</v>
      </c>
      <c r="F21" s="0" t="n">
        <f aca="false">F19*F20</f>
        <v>3881.49732269735</v>
      </c>
      <c r="G21" s="0" t="n">
        <f aca="false">G19*G20</f>
        <v>4049.70153319728</v>
      </c>
      <c r="H21" s="0" t="n">
        <f aca="false">H19*H20</f>
        <v>4088.68180806245</v>
      </c>
      <c r="I21" s="0" t="n">
        <f aca="false">I19*I20</f>
        <v>4100.92653771603</v>
      </c>
      <c r="J21" s="0" t="n">
        <f aca="false">J19*J20</f>
        <v>4028.63605611161</v>
      </c>
      <c r="K21" s="0" t="n">
        <f aca="false">K19*K20</f>
        <v>3912.63652844304</v>
      </c>
      <c r="L21" s="0" t="n">
        <f aca="false">L19*L20</f>
        <v>3756.87241406404</v>
      </c>
    </row>
    <row r="23" customFormat="false" ht="15" hidden="false" customHeight="false" outlineLevel="0" collapsed="false">
      <c r="A23" s="0" t="s">
        <v>108</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133</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134</v>
      </c>
    </row>
    <row r="27" customFormat="false" ht="15" hidden="false" customHeight="false" outlineLevel="0" collapsed="false">
      <c r="A27" s="0" t="s">
        <v>112</v>
      </c>
      <c r="B27" s="4" t="n">
        <f aca="false">Assumptions!$B$48</f>
        <v>10.5</v>
      </c>
    </row>
    <row r="28" customFormat="false" ht="15" hidden="false" customHeight="false" outlineLevel="0" collapsed="false">
      <c r="A28" s="0" t="s">
        <v>113</v>
      </c>
      <c r="B28" s="4" t="n">
        <f aca="false">Assumptions!$B$49</f>
        <v>3.5</v>
      </c>
    </row>
    <row r="29" customFormat="false" ht="15" hidden="false" customHeight="false" outlineLevel="0" collapsed="false">
      <c r="A29" s="0" t="s">
        <v>114</v>
      </c>
      <c r="B29" s="4" t="n">
        <f aca="false">Assumptions!$B$50</f>
        <v>22</v>
      </c>
    </row>
    <row r="30" customFormat="false" ht="15" hidden="false" customHeight="false" outlineLevel="0" collapsed="false">
      <c r="A30" s="0" t="s">
        <v>135</v>
      </c>
      <c r="B30" s="0" t="n">
        <f aca="false">SUM(C21:L21)</f>
        <v>38065.6249198742</v>
      </c>
    </row>
    <row r="31" customFormat="false" ht="15" hidden="false" customHeight="false" outlineLevel="0" collapsed="false">
      <c r="A31" s="0" t="s">
        <v>136</v>
      </c>
      <c r="B31" s="0" t="n">
        <f aca="false">L19</f>
        <v>10196.455462162</v>
      </c>
    </row>
    <row r="32" customFormat="false" ht="15" hidden="false" customHeight="false" outlineLevel="0" collapsed="false">
      <c r="A32" s="0" t="s">
        <v>137</v>
      </c>
      <c r="B32" s="0" t="n">
        <f aca="false">IF(B27&gt;B28,B31*(1+B28/100)/((B27-B28)/100),B31*B29)</f>
        <v>150761.877190538</v>
      </c>
    </row>
    <row r="33" customFormat="false" ht="15" hidden="false" customHeight="false" outlineLevel="0" collapsed="false">
      <c r="A33" s="0" t="s">
        <v>138</v>
      </c>
      <c r="B33" s="0" t="n">
        <f aca="false">B31*B29</f>
        <v>224322.020167564</v>
      </c>
    </row>
    <row r="34" customFormat="false" ht="15" hidden="false" customHeight="false" outlineLevel="0" collapsed="false">
      <c r="A34" s="0" t="s">
        <v>139</v>
      </c>
      <c r="B34" s="0" t="n">
        <f aca="false">MAX(0,MIN(B32,B33))</f>
        <v>150761.877190538</v>
      </c>
    </row>
    <row r="35" customFormat="false" ht="15" hidden="false" customHeight="false" outlineLevel="0" collapsed="false">
      <c r="A35" s="0" t="s">
        <v>140</v>
      </c>
      <c r="B35" s="0" t="n">
        <f aca="false">B34/(1+B27/100)^L4</f>
        <v>55548.0421222326</v>
      </c>
    </row>
    <row r="36" customFormat="false" ht="15" hidden="false" customHeight="false" outlineLevel="0" collapsed="false">
      <c r="A36" s="0" t="s">
        <v>141</v>
      </c>
      <c r="B36" s="0" t="n">
        <f aca="false">B30+B35</f>
        <v>93613.6670421067</v>
      </c>
    </row>
    <row r="37" customFormat="false" ht="15" hidden="false" customHeight="false" outlineLevel="0" collapsed="false">
      <c r="A37" s="0" t="s">
        <v>142</v>
      </c>
      <c r="B37" s="0" t="n">
        <f aca="false">B36+Assumptions!$B$5-Assumptions!$B$4</f>
        <v>93613.6670421067</v>
      </c>
    </row>
    <row r="38" customFormat="false" ht="15" hidden="false" customHeight="false" outlineLevel="0" collapsed="false">
      <c r="A38" s="0" t="s">
        <v>143</v>
      </c>
      <c r="B38" s="0" t="n">
        <f aca="false">B37/Assumptions!$B$3*Assumptions!$B$10</f>
        <v>101.343105714989</v>
      </c>
    </row>
    <row r="39" customFormat="false" ht="15" hidden="false" customHeight="false" outlineLevel="0" collapsed="false">
      <c r="A39" s="0" t="s">
        <v>144</v>
      </c>
      <c r="B39" s="4" t="n">
        <f aca="false">B38/Assumptions!$B$2-1</f>
        <v>0.0869058956991522</v>
      </c>
    </row>
    <row r="41" customFormat="false" ht="15" hidden="false" customHeight="false" outlineLevel="0" collapsed="false">
      <c r="A41" s="0" t="s">
        <v>145</v>
      </c>
      <c r="B41" s="0" t="n">
        <f aca="false">SUMPRODUCT(-C10:L10/(1+$B$27/100)^C4:L4)</f>
        <v>7248.49014384332</v>
      </c>
    </row>
    <row r="42" customFormat="false" ht="15" hidden="false" customHeight="false" outlineLevel="0" collapsed="false">
      <c r="A42" s="0" t="s">
        <v>146</v>
      </c>
      <c r="B42" s="0" t="n">
        <f aca="false">IF(B27&gt;B28,-L10*(1+B28/100)/((B27-B28)/100),-L10*20)/(1+B27/100)^L4</f>
        <v>8526.54038460057</v>
      </c>
    </row>
    <row r="43" customFormat="false" ht="15" hidden="false" customHeight="false" outlineLevel="0" collapsed="false">
      <c r="A43" s="0" t="s">
        <v>147</v>
      </c>
      <c r="B43" s="0" t="n">
        <f aca="false">(B37+B41+B42)/Assumptions!$B$3*Assumptions!$B$10</f>
        <v>118.420639765462</v>
      </c>
    </row>
    <row r="45" customFormat="false" ht="15" hidden="false" customHeight="false" outlineLevel="0" collapsed="false">
      <c r="A45" s="0" t="s">
        <v>87</v>
      </c>
      <c r="B45" s="4" t="n">
        <f aca="false">Assumptions!$B$6</f>
        <v>15</v>
      </c>
    </row>
    <row r="46" customFormat="false" ht="15" hidden="false" customHeight="false" outlineLevel="0" collapsed="false">
      <c r="A46" s="0" t="s">
        <v>148</v>
      </c>
      <c r="B46" s="0" t="n">
        <f aca="false">MAX(0,MIN(IF(B45&gt;B28,B31*(1+B28/100)/((B45-B28)/100),B31*B29),B31*B29))</f>
        <v>91768.0991594581</v>
      </c>
    </row>
    <row r="47" customFormat="false" ht="15" hidden="false" customHeight="false" outlineLevel="0" collapsed="false">
      <c r="A47" s="0" t="s">
        <v>149</v>
      </c>
      <c r="B47" s="0" t="n">
        <f aca="false">(SUMPRODUCT(C19:L19/(1+B45/100)^C4:L4)+B46/(1+B45/100)^L4+Assumptions!$B$5-Assumptions!$B$4)/Assumptions!$B$3*Assumptions!$B$10</f>
        <v>57.6530360249995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152</v>
      </c>
    </row>
    <row r="3" customFormat="false" ht="15" hidden="false" customHeight="false" outlineLevel="0" collapsed="false">
      <c r="A3" s="2" t="s">
        <v>153</v>
      </c>
      <c r="B3" s="2" t="s">
        <v>154</v>
      </c>
      <c r="C3" s="2" t="s">
        <v>144</v>
      </c>
      <c r="D3" s="2" t="s">
        <v>155</v>
      </c>
      <c r="E3" s="2" t="s">
        <v>147</v>
      </c>
      <c r="F3" s="2" t="s">
        <v>156</v>
      </c>
    </row>
    <row r="4" customFormat="false" ht="15" hidden="false" customHeight="false" outlineLevel="0" collapsed="false">
      <c r="A4" s="0" t="s">
        <v>157</v>
      </c>
      <c r="B4" s="4" t="n">
        <f aca="false">DCF_Bear!$B$38</f>
        <v>48.0433558833352</v>
      </c>
      <c r="C4" s="0" t="n">
        <f aca="false">B4/Assumptions!$B$2-1</f>
        <v>-0.484734492885723</v>
      </c>
      <c r="D4" s="4" t="n">
        <f aca="false">Assumptions!$B$24</f>
        <v>0.25</v>
      </c>
      <c r="E4" s="4" t="n">
        <f aca="false">DCF_Bear!$B$43</f>
        <v>58.7063056183335</v>
      </c>
      <c r="F4" s="4" t="n">
        <f aca="false">DCF_Bear!$B$47</f>
        <v>30.3828251914095</v>
      </c>
    </row>
    <row r="5" customFormat="false" ht="15" hidden="false" customHeight="false" outlineLevel="0" collapsed="false">
      <c r="A5" s="0" t="s">
        <v>158</v>
      </c>
      <c r="B5" s="4" t="n">
        <f aca="false">DCF_Base!$B$38</f>
        <v>77.0475908882026</v>
      </c>
      <c r="C5" s="0" t="n">
        <f aca="false">B5/Assumptions!$B$2-1</f>
        <v>-0.173663761387788</v>
      </c>
      <c r="D5" s="4" t="n">
        <f aca="false">Assumptions!$B$38</f>
        <v>0.5</v>
      </c>
      <c r="E5" s="4" t="n">
        <f aca="false">DCF_Base!$B$43</f>
        <v>91.0532758882379</v>
      </c>
      <c r="F5" s="4" t="n">
        <f aca="false">DCF_Base!$B$47</f>
        <v>45.7123287872476</v>
      </c>
    </row>
    <row r="6" customFormat="false" ht="15" hidden="false" customHeight="false" outlineLevel="0" collapsed="false">
      <c r="A6" s="0" t="s">
        <v>159</v>
      </c>
      <c r="B6" s="4" t="n">
        <f aca="false">DCF_Bull!$B$38</f>
        <v>101.343105714989</v>
      </c>
      <c r="C6" s="0" t="n">
        <f aca="false">B6/Assumptions!$B$2-1</f>
        <v>0.0869058956991522</v>
      </c>
      <c r="D6" s="4" t="n">
        <f aca="false">Assumptions!$B$52</f>
        <v>0.25</v>
      </c>
      <c r="E6" s="4" t="n">
        <f aca="false">DCF_Bull!$B$43</f>
        <v>118.420639765462</v>
      </c>
      <c r="F6" s="4" t="n">
        <f aca="false">DCF_Bull!$B$47</f>
        <v>57.6530360249995</v>
      </c>
    </row>
    <row r="8" customFormat="false" ht="15" hidden="false" customHeight="false" outlineLevel="0" collapsed="false">
      <c r="A8" s="0" t="s">
        <v>160</v>
      </c>
      <c r="B8" s="0" t="n">
        <f aca="false">SUMPRODUCT(B4:B6,D4:D6)</f>
        <v>75.8704108436824</v>
      </c>
    </row>
    <row r="9" customFormat="false" ht="15" hidden="false" customHeight="false" outlineLevel="0" collapsed="false">
      <c r="A9" s="0" t="s">
        <v>161</v>
      </c>
      <c r="B9" s="0" t="n">
        <f aca="false">SUMPRODUCT(E4:E6,D4:D6)</f>
        <v>89.808374290068</v>
      </c>
    </row>
    <row r="10" customFormat="false" ht="15" hidden="false" customHeight="false" outlineLevel="0" collapsed="false">
      <c r="A10" s="0" t="s">
        <v>162</v>
      </c>
      <c r="B10" s="0" t="n">
        <f aca="false">1-Assumptions!$B$2/B8</f>
        <v>-0.228937591917152</v>
      </c>
    </row>
    <row r="11" customFormat="false" ht="15" hidden="false" customHeight="false" outlineLevel="0" collapsed="false">
      <c r="A11" s="0" t="s">
        <v>163</v>
      </c>
      <c r="B11" s="0" t="n">
        <f aca="false">IF(ABS(B9-B8)&gt;0.01*ABS(B8),(Assumptions!$B$2-B8)/(B9-B8)*100,"n/a")</f>
        <v>124.620711075419</v>
      </c>
    </row>
    <row r="12" customFormat="false" ht="15" hidden="false" customHeight="false" outlineLevel="0" collapsed="false">
      <c r="A12" s="0" t="s">
        <v>164</v>
      </c>
      <c r="B12" s="0" t="n">
        <f aca="false">SUMPRODUCT(F4:F6,D4:D6)</f>
        <v>44.865129697726</v>
      </c>
    </row>
    <row r="14" customFormat="false" ht="15" hidden="false" customHeight="false" outlineLevel="0" collapsed="false">
      <c r="A14" s="2" t="s">
        <v>165</v>
      </c>
      <c r="C14" s="0" t="s">
        <v>166</v>
      </c>
    </row>
    <row r="15" customFormat="false" ht="15" hidden="false" customHeight="false" outlineLevel="0" collapsed="false">
      <c r="A15" s="0" t="s">
        <v>167</v>
      </c>
      <c r="B15" s="0" t="n">
        <f aca="false">(SUMPRODUCT(DCF_Base!$C$19:$L$19/(1+$C$15/100)^DCF_Base!$C$4:$L$4)+MAX(0,MIN(IF($C$15&gt;DCF_Base!$B$28,DCF_Base!$L$19*(1+DCF_Base!$B$28/100)/(($C$15-DCF_Base!$B$28)/100),DCF_Base!$L$19*DCF_Base!$B$29),DCF_Base!$L$19*DCF_Base!$B$29))/(1+$C$15/100)^DCF_Base!$L$4+Assumptions!$B$5-Assumptions!$B$4)/Assumptions!$B$3*Assumptions!$B$10</f>
        <v>98.2374413267741</v>
      </c>
      <c r="C15" s="3" t="n">
        <v>9</v>
      </c>
    </row>
    <row r="16" customFormat="false" ht="15" hidden="false" customHeight="false" outlineLevel="0" collapsed="false">
      <c r="A16" s="0" t="s">
        <v>168</v>
      </c>
      <c r="B16" s="0" t="n">
        <f aca="false">(SUMPRODUCT(DCF_Base!$C$19:$L$19/(1+$C$16/100)^DCF_Base!$C$4:$L$4)+MAX(0,MIN(IF($C$16&gt;DCF_Base!$B$28,DCF_Base!$L$19*(1+DCF_Base!$B$28/100)/(($C$16-DCF_Base!$B$28)/100),DCF_Base!$L$19*DCF_Base!$B$29),DCF_Base!$L$19*DCF_Base!$B$29))/(1+$C$16/100)^DCF_Base!$L$4+Assumptions!$B$5-Assumptions!$B$4)/Assumptions!$B$3*Assumptions!$B$10</f>
        <v>83.0857647295287</v>
      </c>
      <c r="C16" s="3" t="n">
        <v>10</v>
      </c>
    </row>
    <row r="17" customFormat="false" ht="15" hidden="false" customHeight="false" outlineLevel="0" collapsed="false">
      <c r="A17" s="0" t="s">
        <v>169</v>
      </c>
      <c r="B17" s="0" t="n">
        <f aca="false">(SUMPRODUCT(DCF_Base!$C$19:$L$19/(1+$C$17/100)^DCF_Base!$C$4:$L$4)+MAX(0,MIN(IF($C$17&gt;DCF_Base!$B$28,DCF_Base!$L$19*(1+DCF_Base!$B$28/100)/(($C$17-DCF_Base!$B$28)/100),DCF_Base!$L$19*DCF_Base!$B$29),DCF_Base!$L$19*DCF_Base!$B$29))/(1+$C$17/100)^DCF_Base!$L$4+Assumptions!$B$5-Assumptions!$B$4)/Assumptions!$B$3*Assumptions!$B$10</f>
        <v>77.0475908882026</v>
      </c>
      <c r="C17" s="3" t="n">
        <v>10.5</v>
      </c>
    </row>
    <row r="18" customFormat="false" ht="15" hidden="false" customHeight="false" outlineLevel="0" collapsed="false">
      <c r="A18" s="0" t="s">
        <v>170</v>
      </c>
      <c r="B18" s="0" t="n">
        <f aca="false">(SUMPRODUCT(DCF_Base!$C$19:$L$19/(1+$C$18/100)^DCF_Base!$C$4:$L$4)+MAX(0,MIN(IF($C$18&gt;DCF_Base!$B$28,DCF_Base!$L$19*(1+DCF_Base!$B$28/100)/(($C$18-DCF_Base!$B$28)/100),DCF_Base!$L$19*DCF_Base!$B$29),DCF_Base!$L$19*DCF_Base!$B$29))/(1+$C$18/100)^DCF_Base!$L$4+Assumptions!$B$5-Assumptions!$B$4)/Assumptions!$B$3*Assumptions!$B$10</f>
        <v>71.7775646074223</v>
      </c>
      <c r="C18" s="3" t="n">
        <v>11</v>
      </c>
    </row>
    <row r="19" customFormat="false" ht="15" hidden="false" customHeight="false" outlineLevel="0" collapsed="false">
      <c r="A19" s="0" t="s">
        <v>171</v>
      </c>
      <c r="B19" s="0" t="n">
        <f aca="false">(SUMPRODUCT(DCF_Base!$C$19:$L$19/(1+$C$19/100)^DCF_Base!$C$4:$L$4)+MAX(0,MIN(IF($C$19&gt;DCF_Base!$B$28,DCF_Base!$L$19*(1+DCF_Base!$B$28/100)/(($C$19-DCF_Base!$B$28)/100),DCF_Base!$L$19*DCF_Base!$B$29),DCF_Base!$L$19*DCF_Base!$B$29))/(1+$C$19/100)^DCF_Base!$L$4+Assumptions!$B$5-Assumptions!$B$4)/Assumptions!$B$3*Assumptions!$B$10</f>
        <v>63.0281471702481</v>
      </c>
      <c r="C19" s="3" t="n">
        <v>12</v>
      </c>
    </row>
    <row r="20" customFormat="false" ht="15" hidden="false" customHeight="false" outlineLevel="0" collapsed="false">
      <c r="A20" s="0" t="s">
        <v>172</v>
      </c>
      <c r="B20" s="0" t="n">
        <f aca="false">(SUMPRODUCT(DCF_Base!$C$19:$L$19/(1+$C$20/100)^DCF_Base!$C$4:$L$4)+MAX(0,MIN(IF($C$20&gt;DCF_Base!$B$28,DCF_Base!$L$19*(1+DCF_Base!$B$28/100)/(($C$20-DCF_Base!$B$28)/100),DCF_Base!$L$19*DCF_Base!$B$29),DCF_Base!$L$19*DCF_Base!$B$29))/(1+$C$20/100)^DCF_Base!$L$4+Assumptions!$B$5-Assumptions!$B$4)/Assumptions!$B$3*Assumptions!$B$10</f>
        <v>45.7123287872476</v>
      </c>
      <c r="C20" s="3" t="n">
        <v>15</v>
      </c>
    </row>
    <row r="22" customFormat="false" ht="15" hidden="false" customHeight="false" outlineLevel="0" collapsed="false">
      <c r="A22" s="2" t="s">
        <v>173</v>
      </c>
    </row>
    <row r="23" customFormat="false" ht="15" hidden="false" customHeight="false" outlineLevel="0" collapsed="false">
      <c r="B23" s="3" t="n">
        <v>2</v>
      </c>
      <c r="C23" s="3" t="n">
        <v>2.5</v>
      </c>
      <c r="D23" s="3" t="n">
        <v>3</v>
      </c>
      <c r="E23" s="3" t="n">
        <v>3.5</v>
      </c>
      <c r="F23" s="3" t="n">
        <v>4</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96.5642000708458</v>
      </c>
      <c r="C24" s="0" t="n">
        <f aca="false">(SUMPRODUCT(DCF_Base!$C$19:$L$19/(1+$A$24/100)^DCF_Base!$C$4:$L$4)+MAX(0,MIN(IF($A$24&gt;$C$23,DCF_Base!$L$19*(1+$C$23/100)/(($A$24-$C$23)/100),DCF_Base!$L$19*DCF_Base!$B$29),DCF_Base!$L$19*DCF_Base!$B$29))/(1+$A$24/100)^DCF_Base!$L$4+Assumptions!$B$5-Assumptions!$B$4)/Assumptions!$B$3*Assumptions!$B$10</f>
        <v>101.765125580529</v>
      </c>
      <c r="D24" s="0" t="n">
        <f aca="false">(SUMPRODUCT(DCF_Base!$C$19:$L$19/(1+$A$24/100)^DCF_Base!$C$4:$L$4)+MAX(0,MIN(IF($A$24&gt;$D$23,DCF_Base!$L$19*(1+$D$23/100)/(($A$24-$D$23)/100),DCF_Base!$L$19*DCF_Base!$B$29),DCF_Base!$L$19*DCF_Base!$B$29))/(1+$A$24/100)^DCF_Base!$L$4+Assumptions!$B$5-Assumptions!$B$4)/Assumptions!$B$3*Assumptions!$B$10</f>
        <v>107.911673910154</v>
      </c>
      <c r="E24" s="0" t="n">
        <f aca="false">(SUMPRODUCT(DCF_Base!$C$19:$L$19/(1+$A$24/100)^DCF_Base!$C$4:$L$4)+MAX(0,MIN(IF($A$24&gt;$E$23,DCF_Base!$L$19*(1+$E$23/100)/(($A$24-$E$23)/100),DCF_Base!$L$19*DCF_Base!$B$29),DCF_Base!$L$19*DCF_Base!$B$29))/(1+$A$24/100)^DCF_Base!$L$4+Assumptions!$B$5-Assumptions!$B$4)/Assumptions!$B$3*Assumptions!$B$10</f>
        <v>112.670291971799</v>
      </c>
      <c r="F24" s="0" t="n">
        <f aca="false">(SUMPRODUCT(DCF_Base!$C$19:$L$19/(1+$A$24/100)^DCF_Base!$C$4:$L$4)+MAX(0,MIN(IF($A$24&gt;$F$23,DCF_Base!$L$19*(1+$F$23/100)/(($A$24-$F$23)/100),DCF_Base!$L$19*DCF_Base!$B$29),DCF_Base!$L$19*DCF_Base!$B$29))/(1+$A$24/100)^DCF_Base!$L$4+Assumptions!$B$5-Assumptions!$B$4)/Assumptions!$B$3*Assumptions!$B$10</f>
        <v>112.670291971799</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82.4079928256139</v>
      </c>
      <c r="C25" s="0" t="n">
        <f aca="false">(SUMPRODUCT(DCF_Base!$C$19:$L$19/(1+$A$25/100)^DCF_Base!$C$4:$L$4)+MAX(0,MIN(IF($A$25&gt;$C$23,DCF_Base!$L$19*(1+$C$23/100)/(($A$25-$C$23)/100),DCF_Base!$L$19*DCF_Base!$B$29),DCF_Base!$L$19*DCF_Base!$B$29))/(1+$A$25/100)^DCF_Base!$L$4+Assumptions!$B$5-Assumptions!$B$4)/Assumptions!$B$3*Assumptions!$B$10</f>
        <v>85.9653421026813</v>
      </c>
      <c r="D25" s="0" t="n">
        <f aca="false">(SUMPRODUCT(DCF_Base!$C$19:$L$19/(1+$A$25/100)^DCF_Base!$C$4:$L$4)+MAX(0,MIN(IF($A$25&gt;$D$23,DCF_Base!$L$19*(1+$D$23/100)/(($A$25-$D$23)/100),DCF_Base!$L$19*DCF_Base!$B$29),DCF_Base!$L$19*DCF_Base!$B$29))/(1+$A$25/100)^DCF_Base!$L$4+Assumptions!$B$5-Assumptions!$B$4)/Assumptions!$B$3*Assumptions!$B$10</f>
        <v>90.0699758839131</v>
      </c>
      <c r="E25" s="0" t="n">
        <f aca="false">(SUMPRODUCT(DCF_Base!$C$19:$L$19/(1+$A$25/100)^DCF_Base!$C$4:$L$4)+MAX(0,MIN(IF($A$25&gt;$E$23,DCF_Base!$L$19*(1+$E$23/100)/(($A$25-$E$23)/100),DCF_Base!$L$19*DCF_Base!$B$29),DCF_Base!$L$19*DCF_Base!$B$29))/(1+$A$25/100)^DCF_Base!$L$4+Assumptions!$B$5-Assumptions!$B$4)/Assumptions!$B$3*Assumptions!$B$10</f>
        <v>94.85871529535</v>
      </c>
      <c r="F25" s="0" t="n">
        <f aca="false">(SUMPRODUCT(DCF_Base!$C$19:$L$19/(1+$A$25/100)^DCF_Base!$C$4:$L$4)+MAX(0,MIN(IF($A$25&gt;$F$23,DCF_Base!$L$19*(1+$F$23/100)/(($A$25-$F$23)/100),DCF_Base!$L$19*DCF_Base!$B$29),DCF_Base!$L$19*DCF_Base!$B$29))/(1+$A$25/100)^DCF_Base!$L$4+Assumptions!$B$5-Assumptions!$B$4)/Assumptions!$B$3*Assumptions!$B$10</f>
        <v>100.518134599776</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71.6487293599738</v>
      </c>
      <c r="C26" s="0" t="n">
        <f aca="false">(SUMPRODUCT(DCF_Base!$C$19:$L$19/(1+$A$26/100)^DCF_Base!$C$4:$L$4)+MAX(0,MIN(IF($A$26&gt;$C$23,DCF_Base!$L$19*(1+$C$23/100)/(($A$26-$C$23)/100),DCF_Base!$L$19*DCF_Base!$B$29),DCF_Base!$L$19*DCF_Base!$B$29))/(1+$A$26/100)^DCF_Base!$L$4+Assumptions!$B$5-Assumptions!$B$4)/Assumptions!$B$3*Assumptions!$B$10</f>
        <v>74.1794457013311</v>
      </c>
      <c r="D26" s="0" t="n">
        <f aca="false">(SUMPRODUCT(DCF_Base!$C$19:$L$19/(1+$A$26/100)^DCF_Base!$C$4:$L$4)+MAX(0,MIN(IF($A$26&gt;$D$23,DCF_Base!$L$19*(1+$D$23/100)/(($A$26-$D$23)/100),DCF_Base!$L$19*DCF_Base!$B$29),DCF_Base!$L$19*DCF_Base!$B$29))/(1+$A$26/100)^DCF_Base!$L$4+Assumptions!$B$5-Assumptions!$B$4)/Assumptions!$B$3*Assumptions!$B$10</f>
        <v>77.0475908882026</v>
      </c>
      <c r="E26" s="0" t="n">
        <f aca="false">(SUMPRODUCT(DCF_Base!$C$19:$L$19/(1+$A$26/100)^DCF_Base!$C$4:$L$4)+MAX(0,MIN(IF($A$26&gt;$E$23,DCF_Base!$L$19*(1+$E$23/100)/(($A$26-$E$23)/100),DCF_Base!$L$19*DCF_Base!$B$29),DCF_Base!$L$19*DCF_Base!$B$29))/(1+$A$26/100)^DCF_Base!$L$4+Assumptions!$B$5-Assumptions!$B$4)/Assumptions!$B$3*Assumptions!$B$10</f>
        <v>80.3254711017702</v>
      </c>
      <c r="F26" s="0" t="n">
        <f aca="false">(SUMPRODUCT(DCF_Base!$C$19:$L$19/(1+$A$26/100)^DCF_Base!$C$4:$L$4)+MAX(0,MIN(IF($A$26&gt;$F$23,DCF_Base!$L$19*(1+$F$23/100)/(($A$26-$F$23)/100),DCF_Base!$L$19*DCF_Base!$B$29),DCF_Base!$L$19*DCF_Base!$B$29))/(1+$A$26/100)^DCF_Base!$L$4+Assumptions!$B$5-Assumptions!$B$4)/Assumptions!$B$3*Assumptions!$B$10</f>
        <v>84.1076405789635</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63.2093655011559</v>
      </c>
      <c r="C27" s="0" t="n">
        <f aca="false">(SUMPRODUCT(DCF_Base!$C$19:$L$19/(1+$A$27/100)^DCF_Base!$C$4:$L$4)+MAX(0,MIN(IF($A$27&gt;$C$23,DCF_Base!$L$19*(1+$C$23/100)/(($A$27-$C$23)/100),DCF_Base!$L$19*DCF_Base!$B$29),DCF_Base!$L$19*DCF_Base!$B$29))/(1+$A$27/100)^DCF_Base!$L$4+Assumptions!$B$5-Assumptions!$B$4)/Assumptions!$B$3*Assumptions!$B$10</f>
        <v>65.065344095897</v>
      </c>
      <c r="D27" s="0" t="n">
        <f aca="false">(SUMPRODUCT(DCF_Base!$C$19:$L$19/(1+$A$27/100)^DCF_Base!$C$4:$L$4)+MAX(0,MIN(IF($A$27&gt;$D$23,DCF_Base!$L$19*(1+$D$23/100)/(($A$27-$D$23)/100),DCF_Base!$L$19*DCF_Base!$B$29),DCF_Base!$L$19*DCF_Base!$B$29))/(1+$A$27/100)^DCF_Base!$L$4+Assumptions!$B$5-Assumptions!$B$4)/Assumptions!$B$3*Assumptions!$B$10</f>
        <v>67.1396731135489</v>
      </c>
      <c r="E27" s="0" t="n">
        <f aca="false">(SUMPRODUCT(DCF_Base!$C$19:$L$19/(1+$A$27/100)^DCF_Base!$C$4:$L$4)+MAX(0,MIN(IF($A$27&gt;$E$23,DCF_Base!$L$19*(1+$E$23/100)/(($A$27-$E$23)/100),DCF_Base!$L$19*DCF_Base!$B$29),DCF_Base!$L$19*DCF_Base!$B$29))/(1+$A$27/100)^DCF_Base!$L$4+Assumptions!$B$5-Assumptions!$B$4)/Assumptions!$B$3*Assumptions!$B$10</f>
        <v>69.4732932584074</v>
      </c>
      <c r="F27" s="0" t="n">
        <f aca="false">(SUMPRODUCT(DCF_Base!$C$19:$L$19/(1+$A$27/100)^DCF_Base!$C$4:$L$4)+MAX(0,MIN(IF($A$27&gt;$F$23,DCF_Base!$L$19*(1+$F$23/100)/(($A$27-$F$23)/100),DCF_Base!$L$19*DCF_Base!$B$29),DCF_Base!$L$19*DCF_Base!$B$29))/(1+$A$27/100)^DCF_Base!$L$4+Assumptions!$B$5-Assumptions!$B$4)/Assumptions!$B$3*Assumptions!$B$10</f>
        <v>72.1180627559135</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56.4234931402388</v>
      </c>
      <c r="C28" s="0" t="n">
        <f aca="false">(SUMPRODUCT(DCF_Base!$C$19:$L$19/(1+$A$28/100)^DCF_Base!$C$4:$L$4)+MAX(0,MIN(IF($A$28&gt;$C$23,DCF_Base!$L$19*(1+$C$23/100)/(($A$28-$C$23)/100),DCF_Base!$L$19*DCF_Base!$B$29),DCF_Base!$L$19*DCF_Base!$B$29))/(1+$A$28/100)^DCF_Base!$L$4+Assumptions!$B$5-Assumptions!$B$4)/Assumptions!$B$3*Assumptions!$B$10</f>
        <v>57.8180970654484</v>
      </c>
      <c r="D28" s="0" t="n">
        <f aca="false">(SUMPRODUCT(DCF_Base!$C$19:$L$19/(1+$A$28/100)^DCF_Base!$C$4:$L$4)+MAX(0,MIN(IF($A$28&gt;$D$23,DCF_Base!$L$19*(1+$D$23/100)/(($A$28-$D$23)/100),DCF_Base!$L$19*DCF_Base!$B$29),DCF_Base!$L$19*DCF_Base!$B$29))/(1+$A$28/100)^DCF_Base!$L$4+Assumptions!$B$5-Assumptions!$B$4)/Assumptions!$B$3*Assumptions!$B$10</f>
        <v>59.3595014038379</v>
      </c>
      <c r="E28" s="0" t="n">
        <f aca="false">(SUMPRODUCT(DCF_Base!$C$19:$L$19/(1+$A$28/100)^DCF_Base!$C$4:$L$4)+MAX(0,MIN(IF($A$28&gt;$E$23,DCF_Base!$L$19*(1+$E$23/100)/(($A$28-$E$23)/100),DCF_Base!$L$19*DCF_Base!$B$29),DCF_Base!$L$19*DCF_Base!$B$29))/(1+$A$28/100)^DCF_Base!$L$4+Assumptions!$B$5-Assumptions!$B$4)/Assumptions!$B$3*Assumptions!$B$10</f>
        <v>61.0721728909373</v>
      </c>
      <c r="F28" s="0" t="n">
        <f aca="false">(SUMPRODUCT(DCF_Base!$C$19:$L$19/(1+$A$28/100)^DCF_Base!$C$4:$L$4)+MAX(0,MIN(IF($A$28&gt;$F$23,DCF_Base!$L$19*(1+$F$23/100)/(($A$28-$F$23)/100),DCF_Base!$L$19*DCF_Base!$B$29),DCF_Base!$L$19*DCF_Base!$B$29))/(1+$A$28/100)^DCF_Base!$L$4+Assumptions!$B$5-Assumptions!$B$4)/Assumptions!$B$3*Assumptions!$B$10</f>
        <v>62.986335141225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2026-09-28T22:31:20Z</dcterms:created>
  <dc:creator>openpyxl</dc:creator>
  <dc:description/>
  <dc:language>en-NZ</dc:language>
  <cp:lastModifiedBy/>
  <dcterms:modified xsi:type="dcterms:W3CDTF">2026-09-28T22:31:20Z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