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5.xml" ContentType="application/vnd.openxmlformats-officedocument.spreadsheetml.worksheet+xml"/>
  <Override PartName="/xl/worksheets/sheet3.xml" ContentType="application/vnd.openxmlformats-officedocument.spreadsheetml.worksheet+xml"/>
  <Override PartName="/xl/worksheets/sheet6.xml" ContentType="application/vnd.openxmlformats-officedocument.spreadsheetml.worksheet+xml"/>
  <Override PartName="/xl/worksheets/sheet4.xml" ContentType="application/vnd.openxmlformats-officedocument.spreadsheetml.worksheet+xml"/>
  <Override PartName="/xl/worksheets/sheet7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Model_Info" sheetId="1" state="visible" r:id="rId3"/>
    <sheet name="Actuals" sheetId="2" state="visible" r:id="rId4"/>
    <sheet name="Assumptions" sheetId="3" state="visible" r:id="rId5"/>
    <sheet name="DCF_Bear" sheetId="4" state="visible" r:id="rId6"/>
    <sheet name="DCF_Base" sheetId="5" state="visible" r:id="rId7"/>
    <sheet name="DCF_Bull" sheetId="6" state="visible" r:id="rId8"/>
    <sheet name="Valuation" sheetId="7" state="visible" r:id="rId9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<sst xmlns="http://schemas.openxmlformats.org/spreadsheetml/2006/main" count="348" uniqueCount="162">
  <si>
    <t xml:space="preserve">Ticker</t>
  </si>
  <si>
    <t xml:space="preserve">2057.HK</t>
  </si>
  <si>
    <t xml:space="preserve">Company</t>
  </si>
  <si>
    <t xml:space="preserve">ZTO Express (Cayman) Inc.</t>
  </si>
  <si>
    <t xml:space="preserve">Valuation date</t>
  </si>
  <si>
    <t xml:space="preserve">2026-10-17</t>
  </si>
  <si>
    <t xml:space="preserve">Current price</t>
  </si>
  <si>
    <t xml:space="preserve">Price as of</t>
  </si>
  <si>
    <t xml:space="preserve">2026-10-16T08:08:14Z HKEX regular close (Friday 16:08 HKT); valuation dated Saturday 2026-10-17, so not an intraday or after-hours print</t>
  </si>
  <si>
    <t xml:space="preserve">Balance sheet date</t>
  </si>
  <si>
    <t xml:space="preserve">2026-06-30</t>
  </si>
  <si>
    <t xml:space="preserve">Model</t>
  </si>
  <si>
    <t xml:space="preserve">owner_fcf_dcf_component</t>
  </si>
  <si>
    <t xml:space="preserve">Currency (model)</t>
  </si>
  <si>
    <t xml:space="preserve">CNY</t>
  </si>
  <si>
    <t xml:space="preserve">Currency (quote)</t>
  </si>
  <si>
    <t xml:space="preserve">HKD</t>
  </si>
  <si>
    <t xml:space="preserve">Units</t>
  </si>
  <si>
    <t xml:space="preserve">millions</t>
  </si>
  <si>
    <t xml:space="preserve">Engine</t>
  </si>
  <si>
    <t xml:space="preserve">dcf_engine v1</t>
  </si>
  <si>
    <t xml:space="preserve">Built at</t>
  </si>
  <si>
    <t xml:space="preserve">2026-10-17T02:50:41Z</t>
  </si>
  <si>
    <t xml:space="preserve">Drivers file</t>
  </si>
  <si>
    <t xml:space="preserve">2057.HK_Drivers.json</t>
  </si>
  <si>
    <t xml:space="preserve">Convention</t>
  </si>
  <si>
    <t xml:space="preserve">Percents stored as percents; formulas divide by 100. Blue = input, green = link, black = formula.</t>
  </si>
  <si>
    <t xml:space="preserve">Methodology</t>
  </si>
  <si>
    <t xml:space="preserve">summary: ZTO is valued as a mature, cash-generative network operator whose per-share value now comes from capex normalisation and capital return rather than from parcel growth. The build deliberately holds the EBITDA margin below the FY2023-24 peak because the revenue that is growing fastest is grossed-up and lower-margin, strips the interest earned on a CNY 38bn treasury while adding that treasury back in net cash, treats the US$1.5bn 2031 convert as debt at face rather than as dilution, and caps the terminal multiple at today's 14-15x owner FCF so no re-rating is assumed. The bear weight is raised because both the margin tailwind (regulatory) and the listing venue (ADR, with the HKEX line as only a partial hedge) depend on political decisions outside the company's control.
key_risks_to_valuation: Anti-involution enforcement lapses and Tongda price wars resume: each 1pp of EBITDA margin is worth roughly CNY 575m of annual EBITDA on FY2026 revenue; E-commerce platforms (Alibaba/Cainiao, PDD, JD, Douyin) internalise or redirect parcel volume, shrinking the third-party addressable market; HFCAA / PCAOB inspection reversal or US investment restrictions on China ADRs force a delisting or a liquidity discount regardless of operating results; RMB depreciation against the HKD/USD peg: flows are in CNY and converted at spot; a 5% RMB move is a 5% move in the HK$ value with no operating offset; Treasury composition risk: CNY 28bn of the 38bn 'cash' is short- and long-term investments (deposits, wealth-management products, HTM securities); a haircut for onshore/trapped cash or product risk would reduce value roughly one-for-one; Convertible put in March 2029 (US$1.5bn at par) coincides with the bear-case margin trough; covered by the treasury but it is the one refinancing date in the model; Franchise-partner profitability disputes or service failures that interrupt volume at peak seasons</t>
  </si>
  <si>
    <t xml:space="preserve">Data sources</t>
  </si>
  <si>
    <t xml:space="preserve">price: Yahoo Finance chart API (2057.HK) regular close at inputs.price_as_of; 52-week range 140.6-205.6 HKD. FX from Yahoo CNYHKD=X as stamped in fx_note; parity check against NYSE: ZTO.
financials: 2057.HK_Metrics.csv (HKEX annual reports FY2020-FY2025, interim reports H1-2024/2025/2026, CNY millions); 2026-06-30 balance sheet, NCI, equity investees and convert carrying value from 2057.HK_HalfYear_H1-2026.txt; convert face, cash composition, deposit-interest tag and share-count reconciliation carried from the NYSE sibling build (research/ZTO/Reports/ZTO_Drivers.json, 2026-10-04, SEC XBRL + Q2 2026 6-K).
qualitative: 2057.HK_Analysis.json (2026-10-17): anti-involution pricing inflection, gross-margin mix compression, FY2026 volume guidance cut to 6-10%, US$1.5bn convert, &gt;=50% capital-return policy.</t>
  </si>
  <si>
    <t xml:space="preserve">Scenario narrative: bear</t>
  </si>
  <si>
    <t xml:space="preserve">The margin recovery is a regulatory artefact. Once the State Post Bureau's attention moves on in 2027, J&amp;T, Yunda and STO resume price-led share grabs, ASP gives back the 2026 gains, and Alibaba/PDD/Douyin steer more volume to Cainiao and in-house networks. Revenue stalls for two years and the EBITDA margin resets to 22%. In parallel the HFCAA/PCAOB detente or broader US-China capital restrictions re-emerge as an ADR overhang -- this is priced in the bear weight rather than in the WACC, so it is charged once.</t>
  </si>
  <si>
    <t xml:space="preserve">Scenario narrative: base</t>
  </si>
  <si>
    <t xml:space="preserve">The anti-involution pricing floor annualises through 2026 and holds, but it does not widen margins because the revenue mix is shifting toward grossed-up key-account and e-commerce-return parcels. ZTO compounds revenue in the mid-to-high single digits for three years on ~6% industry volume growth plus share gains, then decays toward 2.5%. EBITDA margin sits at 27.5% -- between the FY2025 actual and the H1 2026 run-rate -- and capex normalises from 12% toward 7% of revenue as the hub and fleet build-out completes, which is where most of the FCF growth comes from. Cash tax ramps to the 25% statutory rate.</t>
  </si>
  <si>
    <t xml:space="preserve">Scenario narrative: bull</t>
  </si>
  <si>
    <t xml:space="preserve">The regulator-enforced end to below-cost pricing becomes the industry's own equilibrium: the four Tongda operators stop competing on price and the market stays rational after enforcement eases. ZTO's cost lead (gross margin ~2x SF, ~3x YTO/Yunda) converts into continued 1-2pp annual share gains and reverse-logistics scales into a higher-margin product line, taking the EBITDA margin back toward 30%. Growth holds at 7-10% through 2028 and the US$1.5bn buyback program keeps shrinking the count at a single-digit forward P/E.</t>
  </si>
  <si>
    <t xml:space="preserve">Period</t>
  </si>
  <si>
    <t xml:space="preserve">Revenue</t>
  </si>
  <si>
    <t xml:space="preserve">CostOfRevenue</t>
  </si>
  <si>
    <t xml:space="preserve">GrossProfit</t>
  </si>
  <si>
    <t xml:space="preserve">GrossMargin</t>
  </si>
  <si>
    <t xml:space="preserve">OperatingIncome</t>
  </si>
  <si>
    <t xml:space="preserve">OperatingMargin</t>
  </si>
  <si>
    <t xml:space="preserve">EBITDA</t>
  </si>
  <si>
    <t xml:space="preserve">NetIncome</t>
  </si>
  <si>
    <t xml:space="preserve">NetMargin</t>
  </si>
  <si>
    <t xml:space="preserve">EPS</t>
  </si>
  <si>
    <t xml:space="preserve">OperatingCashFlow</t>
  </si>
  <si>
    <t xml:space="preserve">CapEx</t>
  </si>
  <si>
    <t xml:space="preserve">FreeCashFlow</t>
  </si>
  <si>
    <t xml:space="preserve">ShareholdersEquity</t>
  </si>
  <si>
    <t xml:space="preserve">TotalAssets</t>
  </si>
  <si>
    <t xml:space="preserve">TotalLiabilities</t>
  </si>
  <si>
    <t xml:space="preserve">TotalDebt</t>
  </si>
  <si>
    <t xml:space="preserve">CashAndEquivalents</t>
  </si>
  <si>
    <t xml:space="preserve">SharesOutstanding</t>
  </si>
  <si>
    <t xml:space="preserve">StockBasedComp</t>
  </si>
  <si>
    <t xml:space="preserve">DividendPerShare</t>
  </si>
  <si>
    <t xml:space="preserve">EBITDABeforeSignificant</t>
  </si>
  <si>
    <t xml:space="preserve">RevenueContinuing</t>
  </si>
  <si>
    <t xml:space="preserve">EBITDAContinuingBeforeSignificant</t>
  </si>
  <si>
    <t xml:space="preserve">EBITContinuingBeforeSignificant</t>
  </si>
  <si>
    <t xml:space="preserve">Currency</t>
  </si>
  <si>
    <t xml:space="preserve">ShortTermInvestments</t>
  </si>
  <si>
    <t xml:space="preserve">FY2020</t>
  </si>
  <si>
    <t xml:space="preserve">FY2021</t>
  </si>
  <si>
    <t xml:space="preserve">FY2022</t>
  </si>
  <si>
    <t xml:space="preserve">FY2023</t>
  </si>
  <si>
    <t xml:space="preserve">FY2024</t>
  </si>
  <si>
    <t xml:space="preserve">FY2025</t>
  </si>
  <si>
    <t xml:space="preserve">Input</t>
  </si>
  <si>
    <t xml:space="preserve">Value</t>
  </si>
  <si>
    <t xml:space="preserve">Current price (quote currency)</t>
  </si>
  <si>
    <t xml:space="preserve">Shares, final projected (m)</t>
  </si>
  <si>
    <t xml:space="preserve">Net debt (m, model currency)</t>
  </si>
  <si>
    <t xml:space="preserve">Equity bridge total (m, + adds)</t>
  </si>
  <si>
    <t xml:space="preserve">Hurdle rate (%)</t>
  </si>
  <si>
    <t xml:space="preserve">Base revenue FY0 (m)</t>
  </si>
  <si>
    <t xml:space="preserve">FY0</t>
  </si>
  <si>
    <t xml:space="preserve">Currency / units</t>
  </si>
  <si>
    <t xml:space="preserve">CNY millions</t>
  </si>
  <si>
    <t xml:space="preserve">FX rate (model -&gt; quote)</t>
  </si>
  <si>
    <t xml:space="preserve">BEAR</t>
  </si>
  <si>
    <t xml:space="preserve">FY2026</t>
  </si>
  <si>
    <t xml:space="preserve">FY2027</t>
  </si>
  <si>
    <t xml:space="preserve">FY2028</t>
  </si>
  <si>
    <t xml:space="preserve">FY2029</t>
  </si>
  <si>
    <t xml:space="preserve">FY2030</t>
  </si>
  <si>
    <t xml:space="preserve">FY2031</t>
  </si>
  <si>
    <t xml:space="preserve">FY2032</t>
  </si>
  <si>
    <t xml:space="preserve">FY2033</t>
  </si>
  <si>
    <t xml:space="preserve">FY2034</t>
  </si>
  <si>
    <t xml:space="preserve">FY2035</t>
  </si>
  <si>
    <t xml:space="preserve">Revenue growth (%)</t>
  </si>
  <si>
    <t xml:space="preserve">EBITDA margin (%)</t>
  </si>
  <si>
    <t xml:space="preserve">SBC (% of revenue)</t>
  </si>
  <si>
    <t xml:space="preserve">Lease cost (% of revenue)</t>
  </si>
  <si>
    <t xml:space="preserve">D&amp;A (% of revenue)</t>
  </si>
  <si>
    <t xml:space="preserve">Capex (% of revenue)</t>
  </si>
  <si>
    <t xml:space="preserve">Cash tax rate (%)</t>
  </si>
  <si>
    <t xml:space="preserve">WACC (%)</t>
  </si>
  <si>
    <t xml:space="preserve">Terminal growth (%)</t>
  </si>
  <si>
    <t xml:space="preserve">Terminal cap multiple (x FCF)</t>
  </si>
  <si>
    <t xml:space="preserve">Working-capital capture (% of revenue change)</t>
  </si>
  <si>
    <t xml:space="preserve">Scenario weight</t>
  </si>
  <si>
    <t xml:space="preserve">BASE</t>
  </si>
  <si>
    <t xml:space="preserve">BULL</t>
  </si>
  <si>
    <t xml:space="preserve">2057.HK owner-FCF component DCF: bear case (millions, CNY)</t>
  </si>
  <si>
    <t xml:space="preserve">Line</t>
  </si>
  <si>
    <t xml:space="preserve">Year index (discount exponent)</t>
  </si>
  <si>
    <t xml:space="preserve">SBC charge</t>
  </si>
  <si>
    <t xml:space="preserve">Owner EBITDA (after SBC and leases)</t>
  </si>
  <si>
    <t xml:space="preserve">D&amp;A</t>
  </si>
  <si>
    <t xml:space="preserve">EBIT</t>
  </si>
  <si>
    <t xml:space="preserve">NOPAT</t>
  </si>
  <si>
    <t xml:space="preserve">D&amp;A add-back</t>
  </si>
  <si>
    <t xml:space="preserve">Capex</t>
  </si>
  <si>
    <t xml:space="preserve">Working capital</t>
  </si>
  <si>
    <t xml:space="preserve">Unlevered owner FCF</t>
  </si>
  <si>
    <t xml:space="preserve">Discount factor</t>
  </si>
  <si>
    <t xml:space="preserve">PV of FCF</t>
  </si>
  <si>
    <t xml:space="preserve">Lease cost</t>
  </si>
  <si>
    <t xml:space="preserve">Valuation</t>
  </si>
  <si>
    <t xml:space="preserve">Sum of PV of FCF</t>
  </si>
  <si>
    <t xml:space="preserve">Terminal-year FCF</t>
  </si>
  <si>
    <t xml:space="preserve">Gordon terminal value</t>
  </si>
  <si>
    <t xml:space="preserve">Cap terminal value</t>
  </si>
  <si>
    <t xml:space="preserve">Terminal value used: MAX(0,MIN(Gordon,cap))</t>
  </si>
  <si>
    <t xml:space="preserve">PV of terminal value</t>
  </si>
  <si>
    <t xml:space="preserve">Enterprise value</t>
  </si>
  <si>
    <t xml:space="preserve">Equity value (EV + bridge - net debt)</t>
  </si>
  <si>
    <t xml:space="preserve">Value per share (quote currency)</t>
  </si>
  <si>
    <t xml:space="preserve">Upside vs price</t>
  </si>
  <si>
    <t xml:space="preserve">Street memo: PV of explicit-period SBC</t>
  </si>
  <si>
    <t xml:space="preserve">Street memo: PV of terminal SBC (Gordon)</t>
  </si>
  <si>
    <t xml:space="preserve">Street value per share</t>
  </si>
  <si>
    <t xml:space="preserve">Terminal value at hurdle: MAX(0,MIN(Gordon@hurdle,cap))</t>
  </si>
  <si>
    <t xml:space="preserve">Hurdle entry price (quote currency)</t>
  </si>
  <si>
    <t xml:space="preserve">2057.HK owner-FCF component DCF: base case (millions, CNY)</t>
  </si>
  <si>
    <t xml:space="preserve">2057.HK owner-FCF component DCF: bull case (millions, CNY)</t>
  </si>
  <si>
    <t xml:space="preserve">2057.HK valuation summary</t>
  </si>
  <si>
    <t xml:space="preserve">Scenario</t>
  </si>
  <si>
    <t xml:space="preserve">Value per share</t>
  </si>
  <si>
    <t xml:space="preserve">Weight</t>
  </si>
  <si>
    <t xml:space="preserve">Hurdle entry price</t>
  </si>
  <si>
    <t xml:space="preserve">Bear</t>
  </si>
  <si>
    <t xml:space="preserve">Base</t>
  </si>
  <si>
    <t xml:space="preserve">Bull</t>
  </si>
  <si>
    <t xml:space="preserve">Probability-weighted value per share</t>
  </si>
  <si>
    <t xml:space="preserve">Street weighted value per share</t>
  </si>
  <si>
    <t xml:space="preserve">Margin of safety (1 - price/weighted)</t>
  </si>
  <si>
    <t xml:space="preserve">Band position (%; 0 = house, 100 = street)</t>
  </si>
  <si>
    <t xml:space="preserve">Weighted 15% hurdle entry price</t>
  </si>
  <si>
    <t xml:space="preserve">Required-return table (base case; each row rebuilds its own terminal value)</t>
  </si>
  <si>
    <t xml:space="preserve">Rate (%)</t>
  </si>
  <si>
    <t xml:space="preserve">Value per share at 9% (WACC)</t>
  </si>
  <si>
    <t xml:space="preserve">Value per share at 10%</t>
  </si>
  <si>
    <t xml:space="preserve">Value per share at 11%</t>
  </si>
  <si>
    <t xml:space="preserve">Value per share at 12%</t>
  </si>
  <si>
    <t xml:space="preserve">Value per share at 15%</t>
  </si>
  <si>
    <t xml:space="preserve">Sensitivity: value per share, rows WACC (%) x columns terminal growth (%)</t>
  </si>
</sst>
</file>

<file path=xl/styles.xml><?xml version="1.0" encoding="utf-8"?>
<styleSheet xmlns="http://schemas.openxmlformats.org/spreadsheetml/2006/main">
  <numFmts count="1">
    <numFmt numFmtId="164" formatCode="General"/>
  </numFmts>
  <fonts count="7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name val="Cambria"/>
      <family val="0"/>
      <charset val="1"/>
    </font>
    <font>
      <sz val="11"/>
      <color rgb="FF0000FF"/>
      <name val="Cambria"/>
      <family val="0"/>
      <charset val="1"/>
    </font>
    <font>
      <sz val="11"/>
      <color rgb="FF008000"/>
      <name val="Cambria"/>
      <family val="0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6"/>
    <col collapsed="false" customWidth="true" hidden="false" outlineLevel="0" max="2" min="2" style="0" width="100"/>
  </cols>
  <sheetData>
    <row r="1" customFormat="false" ht="15" hidden="false" customHeight="false" outlineLevel="0" collapsed="false">
      <c r="A1" s="0" t="s">
        <v>0</v>
      </c>
      <c r="B1" s="0" t="s">
        <v>1</v>
      </c>
    </row>
    <row r="2" customFormat="false" ht="15" hidden="false" customHeight="false" outlineLevel="0" collapsed="false">
      <c r="A2" s="0" t="s">
        <v>2</v>
      </c>
      <c r="B2" s="0" t="s">
        <v>3</v>
      </c>
    </row>
    <row r="3" customFormat="false" ht="15" hidden="false" customHeight="false" outlineLevel="0" collapsed="false">
      <c r="A3" s="0" t="s">
        <v>4</v>
      </c>
      <c r="B3" s="0" t="s">
        <v>5</v>
      </c>
    </row>
    <row r="4" customFormat="false" ht="15" hidden="false" customHeight="false" outlineLevel="0" collapsed="false">
      <c r="A4" s="0" t="s">
        <v>6</v>
      </c>
      <c r="B4" s="0" t="n">
        <v>158.3</v>
      </c>
    </row>
    <row r="5" customFormat="false" ht="15" hidden="false" customHeight="false" outlineLevel="0" collapsed="false">
      <c r="A5" s="0" t="s">
        <v>7</v>
      </c>
      <c r="B5" s="0" t="s">
        <v>8</v>
      </c>
    </row>
    <row r="6" customFormat="false" ht="15" hidden="false" customHeight="false" outlineLevel="0" collapsed="false">
      <c r="A6" s="0" t="s">
        <v>9</v>
      </c>
      <c r="B6" s="0" t="s">
        <v>10</v>
      </c>
    </row>
    <row r="7" customFormat="false" ht="15" hidden="false" customHeight="false" outlineLevel="0" collapsed="false">
      <c r="A7" s="0" t="s">
        <v>11</v>
      </c>
      <c r="B7" s="0" t="s">
        <v>12</v>
      </c>
    </row>
    <row r="8" customFormat="false" ht="15" hidden="false" customHeight="false" outlineLevel="0" collapsed="false">
      <c r="A8" s="0" t="s">
        <v>13</v>
      </c>
      <c r="B8" s="0" t="s">
        <v>14</v>
      </c>
    </row>
    <row r="9" customFormat="false" ht="15" hidden="false" customHeight="false" outlineLevel="0" collapsed="false">
      <c r="A9" s="0" t="s">
        <v>15</v>
      </c>
      <c r="B9" s="0" t="s">
        <v>16</v>
      </c>
    </row>
    <row r="10" customFormat="false" ht="15" hidden="false" customHeight="false" outlineLevel="0" collapsed="false">
      <c r="A10" s="0" t="s">
        <v>17</v>
      </c>
      <c r="B10" s="0" t="s">
        <v>18</v>
      </c>
    </row>
    <row r="11" customFormat="false" ht="15" hidden="false" customHeight="false" outlineLevel="0" collapsed="false">
      <c r="A11" s="0" t="s">
        <v>19</v>
      </c>
      <c r="B11" s="0" t="s">
        <v>20</v>
      </c>
    </row>
    <row r="12" customFormat="false" ht="15" hidden="false" customHeight="false" outlineLevel="0" collapsed="false">
      <c r="A12" s="0" t="s">
        <v>21</v>
      </c>
      <c r="B12" s="0" t="s">
        <v>22</v>
      </c>
    </row>
    <row r="13" customFormat="false" ht="15" hidden="false" customHeight="false" outlineLevel="0" collapsed="false">
      <c r="A13" s="0" t="s">
        <v>23</v>
      </c>
      <c r="B13" s="0" t="s">
        <v>24</v>
      </c>
    </row>
    <row r="14" customFormat="false" ht="15" hidden="false" customHeight="false" outlineLevel="0" collapsed="false">
      <c r="A14" s="0" t="s">
        <v>25</v>
      </c>
      <c r="B14" s="0" t="s">
        <v>26</v>
      </c>
    </row>
    <row r="15" customFormat="false" ht="23.85" hidden="false" customHeight="false" outlineLevel="0" collapsed="false">
      <c r="A15" s="0" t="s">
        <v>27</v>
      </c>
      <c r="B15" s="1" t="s">
        <v>28</v>
      </c>
    </row>
    <row r="16" customFormat="false" ht="35.05" hidden="false" customHeight="false" outlineLevel="0" collapsed="false">
      <c r="A16" s="0" t="s">
        <v>29</v>
      </c>
      <c r="B16" s="1" t="s">
        <v>30</v>
      </c>
    </row>
    <row r="17" customFormat="false" ht="15" hidden="false" customHeight="false" outlineLevel="0" collapsed="false">
      <c r="A17" s="0" t="s">
        <v>31</v>
      </c>
      <c r="B17" s="0" t="s">
        <v>32</v>
      </c>
    </row>
    <row r="18" customFormat="false" ht="15" hidden="false" customHeight="false" outlineLevel="0" collapsed="false">
      <c r="A18" s="0" t="s">
        <v>33</v>
      </c>
      <c r="B18" s="0" t="s">
        <v>34</v>
      </c>
    </row>
    <row r="19" customFormat="false" ht="15" hidden="false" customHeight="false" outlineLevel="0" collapsed="false">
      <c r="A19" s="0" t="s">
        <v>35</v>
      </c>
      <c r="B19" s="0" t="s">
        <v>36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C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sheetData>
    <row r="1" customFormat="false" ht="15" hidden="false" customHeight="false" outlineLevel="0" collapsed="false">
      <c r="A1" s="2" t="s">
        <v>37</v>
      </c>
      <c r="B1" s="2" t="s">
        <v>38</v>
      </c>
      <c r="C1" s="2" t="s">
        <v>39</v>
      </c>
      <c r="D1" s="2" t="s">
        <v>40</v>
      </c>
      <c r="E1" s="2" t="s">
        <v>41</v>
      </c>
      <c r="F1" s="2" t="s">
        <v>42</v>
      </c>
      <c r="G1" s="2" t="s">
        <v>43</v>
      </c>
      <c r="H1" s="2" t="s">
        <v>44</v>
      </c>
      <c r="I1" s="2" t="s">
        <v>45</v>
      </c>
      <c r="J1" s="2" t="s">
        <v>46</v>
      </c>
      <c r="K1" s="2" t="s">
        <v>47</v>
      </c>
      <c r="L1" s="2" t="s">
        <v>48</v>
      </c>
      <c r="M1" s="2" t="s">
        <v>49</v>
      </c>
      <c r="N1" s="2" t="s">
        <v>50</v>
      </c>
      <c r="O1" s="2" t="s">
        <v>51</v>
      </c>
      <c r="P1" s="2" t="s">
        <v>52</v>
      </c>
      <c r="Q1" s="2" t="s">
        <v>53</v>
      </c>
      <c r="R1" s="2" t="s">
        <v>54</v>
      </c>
      <c r="S1" s="2" t="s">
        <v>55</v>
      </c>
      <c r="T1" s="2" t="s">
        <v>56</v>
      </c>
      <c r="U1" s="2" t="s">
        <v>57</v>
      </c>
      <c r="V1" s="2" t="s">
        <v>58</v>
      </c>
      <c r="W1" s="2" t="s">
        <v>59</v>
      </c>
      <c r="X1" s="2" t="s">
        <v>60</v>
      </c>
      <c r="Y1" s="2" t="s">
        <v>61</v>
      </c>
      <c r="Z1" s="2" t="s">
        <v>62</v>
      </c>
      <c r="AA1" s="2" t="s">
        <v>17</v>
      </c>
      <c r="AB1" s="2" t="s">
        <v>63</v>
      </c>
      <c r="AC1" s="2" t="s">
        <v>64</v>
      </c>
    </row>
    <row r="2" customFormat="false" ht="15" hidden="false" customHeight="false" outlineLevel="0" collapsed="false">
      <c r="A2" s="0" t="s">
        <v>65</v>
      </c>
      <c r="B2" s="0" t="n">
        <v>25214.29</v>
      </c>
      <c r="C2" s="0" t="n">
        <v>19377.184</v>
      </c>
      <c r="D2" s="0" t="n">
        <v>5837.106</v>
      </c>
      <c r="E2" s="0" t="n">
        <v>23.1</v>
      </c>
      <c r="F2" s="0" t="n">
        <v>4754.367</v>
      </c>
      <c r="G2" s="0" t="n">
        <v>18.9</v>
      </c>
      <c r="H2" s="0" t="n">
        <v>6892.048</v>
      </c>
      <c r="I2" s="0" t="n">
        <v>4312.213</v>
      </c>
      <c r="J2" s="0" t="n">
        <v>17.1</v>
      </c>
      <c r="K2" s="0" t="n">
        <v>5.42</v>
      </c>
      <c r="L2" s="0" t="n">
        <v>4950.749</v>
      </c>
      <c r="M2" s="0" t="n">
        <v>9207.952</v>
      </c>
      <c r="N2" s="0" t="n">
        <v>-4257.203</v>
      </c>
      <c r="O2" s="0" t="n">
        <v>48978.813</v>
      </c>
      <c r="P2" s="0" t="n">
        <v>59204.75</v>
      </c>
      <c r="Q2" s="0" t="n">
        <v>10105.052</v>
      </c>
      <c r="R2" s="0" t="n">
        <v>1432.929</v>
      </c>
      <c r="S2" s="0" t="n">
        <v>14212.778</v>
      </c>
      <c r="T2" s="0" t="n">
        <v>796.148</v>
      </c>
      <c r="U2" s="0" t="n">
        <v>264.154</v>
      </c>
      <c r="AA2" s="0" t="s">
        <v>18</v>
      </c>
      <c r="AB2" s="0" t="s">
        <v>14</v>
      </c>
      <c r="AC2" s="0" t="n">
        <v>3690.402</v>
      </c>
    </row>
    <row r="3" customFormat="false" ht="15" hidden="false" customHeight="false" outlineLevel="0" collapsed="false">
      <c r="A3" s="0" t="s">
        <v>66</v>
      </c>
      <c r="B3" s="0" t="n">
        <v>30405.839</v>
      </c>
      <c r="C3" s="0" t="n">
        <v>23816.462</v>
      </c>
      <c r="D3" s="0" t="n">
        <v>6589.377</v>
      </c>
      <c r="E3" s="0" t="n">
        <v>21.7</v>
      </c>
      <c r="F3" s="0" t="n">
        <v>5503.011</v>
      </c>
      <c r="G3" s="0" t="n">
        <v>18.1</v>
      </c>
      <c r="H3" s="0" t="n">
        <v>8055.049</v>
      </c>
      <c r="I3" s="0" t="n">
        <v>4754.827</v>
      </c>
      <c r="J3" s="0" t="n">
        <v>15.6</v>
      </c>
      <c r="K3" s="0" t="n">
        <v>5.8</v>
      </c>
      <c r="L3" s="0" t="n">
        <v>7220.217</v>
      </c>
      <c r="M3" s="0" t="n">
        <v>9327.781</v>
      </c>
      <c r="N3" s="0" t="n">
        <v>-2107.564</v>
      </c>
      <c r="O3" s="0" t="n">
        <v>48637.247</v>
      </c>
      <c r="P3" s="0" t="n">
        <v>62772.343</v>
      </c>
      <c r="Q3" s="0" t="n">
        <v>13844.762</v>
      </c>
      <c r="R3" s="0" t="n">
        <v>3458.717</v>
      </c>
      <c r="S3" s="0" t="n">
        <v>9721.225</v>
      </c>
      <c r="T3" s="0" t="n">
        <v>819.961</v>
      </c>
      <c r="U3" s="0" t="n">
        <v>248.027</v>
      </c>
      <c r="AA3" s="0" t="s">
        <v>18</v>
      </c>
      <c r="AB3" s="0" t="s">
        <v>14</v>
      </c>
      <c r="AC3" s="0" t="n">
        <v>2845.319</v>
      </c>
    </row>
    <row r="4" customFormat="false" ht="15" hidden="false" customHeight="false" outlineLevel="0" collapsed="false">
      <c r="A4" s="0" t="s">
        <v>67</v>
      </c>
      <c r="B4" s="0" t="n">
        <v>35376.996</v>
      </c>
      <c r="C4" s="0" t="n">
        <v>26337.721</v>
      </c>
      <c r="D4" s="0" t="n">
        <v>9039.275</v>
      </c>
      <c r="E4" s="0" t="n">
        <v>25.6</v>
      </c>
      <c r="F4" s="0" t="n">
        <v>7736.481</v>
      </c>
      <c r="G4" s="0" t="n">
        <v>21.9</v>
      </c>
      <c r="H4" s="0" t="n">
        <v>11153.363</v>
      </c>
      <c r="I4" s="0" t="n">
        <v>6809.056</v>
      </c>
      <c r="J4" s="0" t="n">
        <v>19.2</v>
      </c>
      <c r="K4" s="0" t="n">
        <v>8.36</v>
      </c>
      <c r="L4" s="0" t="n">
        <v>11479.308</v>
      </c>
      <c r="M4" s="0" t="n">
        <v>7412.732</v>
      </c>
      <c r="N4" s="0" t="n">
        <v>4066.576</v>
      </c>
      <c r="O4" s="0" t="n">
        <v>54028.551</v>
      </c>
      <c r="P4" s="0" t="n">
        <v>78523.586</v>
      </c>
      <c r="Q4" s="0" t="n">
        <v>24051.116</v>
      </c>
      <c r="R4" s="0" t="n">
        <v>12183.394</v>
      </c>
      <c r="S4" s="0" t="n">
        <v>11692.773</v>
      </c>
      <c r="T4" s="0" t="n">
        <v>820.274</v>
      </c>
      <c r="U4" s="0" t="n">
        <v>178.98</v>
      </c>
      <c r="AA4" s="0" t="s">
        <v>18</v>
      </c>
      <c r="AB4" s="0" t="s">
        <v>14</v>
      </c>
      <c r="AC4" s="0" t="n">
        <v>5753.483</v>
      </c>
    </row>
    <row r="5" customFormat="false" ht="15" hidden="false" customHeight="false" outlineLevel="0" collapsed="false">
      <c r="A5" s="0" t="s">
        <v>68</v>
      </c>
      <c r="B5" s="0" t="n">
        <v>38418.915</v>
      </c>
      <c r="C5" s="0" t="n">
        <v>26756.389</v>
      </c>
      <c r="D5" s="0" t="n">
        <v>11662.526</v>
      </c>
      <c r="E5" s="0" t="n">
        <v>30.4</v>
      </c>
      <c r="F5" s="0" t="n">
        <v>10007.924</v>
      </c>
      <c r="G5" s="0" t="n">
        <v>26</v>
      </c>
      <c r="H5" s="0" t="n">
        <v>13857.799</v>
      </c>
      <c r="I5" s="0" t="n">
        <v>8749.004</v>
      </c>
      <c r="J5" s="0" t="n">
        <v>22.8</v>
      </c>
      <c r="K5" s="0" t="n">
        <v>10.6</v>
      </c>
      <c r="L5" s="0" t="n">
        <v>13360.967</v>
      </c>
      <c r="M5" s="0" t="n">
        <v>6669.781</v>
      </c>
      <c r="N5" s="0" t="n">
        <v>6691.186</v>
      </c>
      <c r="O5" s="0" t="n">
        <v>59801.745</v>
      </c>
      <c r="P5" s="0" t="n">
        <v>88465.221</v>
      </c>
      <c r="Q5" s="0" t="n">
        <v>28184.813</v>
      </c>
      <c r="R5" s="0" t="n">
        <v>14795.54</v>
      </c>
      <c r="S5" s="0" t="n">
        <v>12333.884</v>
      </c>
      <c r="T5" s="0" t="n">
        <v>838.949</v>
      </c>
      <c r="U5" s="0" t="n">
        <v>254.976</v>
      </c>
      <c r="AA5" s="0" t="s">
        <v>18</v>
      </c>
      <c r="AB5" s="0" t="s">
        <v>14</v>
      </c>
    </row>
    <row r="6" customFormat="false" ht="15" hidden="false" customHeight="false" outlineLevel="0" collapsed="false">
      <c r="A6" s="0" t="s">
        <v>69</v>
      </c>
      <c r="B6" s="0" t="n">
        <v>44280.72</v>
      </c>
      <c r="C6" s="0" t="n">
        <v>30563.628</v>
      </c>
      <c r="D6" s="0" t="n">
        <v>13717.092</v>
      </c>
      <c r="E6" s="0" t="n">
        <v>31</v>
      </c>
      <c r="F6" s="0" t="n">
        <v>11776.859</v>
      </c>
      <c r="G6" s="0" t="n">
        <v>26.6</v>
      </c>
      <c r="H6" s="0" t="n">
        <v>15094.281</v>
      </c>
      <c r="I6" s="0" t="n">
        <v>8816.835</v>
      </c>
      <c r="J6" s="0" t="n">
        <v>19.9</v>
      </c>
      <c r="K6" s="0" t="n">
        <v>10.7</v>
      </c>
      <c r="L6" s="0" t="n">
        <v>11429.436</v>
      </c>
      <c r="M6" s="0" t="n">
        <v>5902.129</v>
      </c>
      <c r="N6" s="0" t="n">
        <v>5527.307</v>
      </c>
      <c r="O6" s="0" t="n">
        <v>62062.392</v>
      </c>
      <c r="P6" s="0" t="n">
        <v>92340.33</v>
      </c>
      <c r="Q6" s="0" t="n">
        <v>29665.497</v>
      </c>
      <c r="R6" s="0" t="n">
        <v>16784.039</v>
      </c>
      <c r="S6" s="0" t="n">
        <v>13465.442</v>
      </c>
      <c r="T6" s="0" t="n">
        <v>838.442</v>
      </c>
      <c r="U6" s="0" t="n">
        <v>318.692</v>
      </c>
      <c r="AA6" s="0" t="s">
        <v>18</v>
      </c>
      <c r="AB6" s="0" t="s">
        <v>14</v>
      </c>
      <c r="AC6" s="0" t="n">
        <v>8848.447</v>
      </c>
    </row>
    <row r="7" customFormat="false" ht="15" hidden="false" customHeight="false" outlineLevel="0" collapsed="false">
      <c r="A7" s="0" t="s">
        <v>70</v>
      </c>
      <c r="B7" s="0" t="n">
        <v>49098.667</v>
      </c>
      <c r="C7" s="0" t="n">
        <v>36827.226</v>
      </c>
      <c r="D7" s="0" t="n">
        <v>12271.441</v>
      </c>
      <c r="E7" s="0" t="n">
        <v>25</v>
      </c>
      <c r="F7" s="0" t="n">
        <v>10474.861</v>
      </c>
      <c r="G7" s="0" t="n">
        <v>21.3</v>
      </c>
      <c r="H7" s="0" t="n">
        <v>14768.987</v>
      </c>
      <c r="I7" s="0" t="n">
        <v>9080.651</v>
      </c>
      <c r="J7" s="0" t="n">
        <v>18.5</v>
      </c>
      <c r="K7" s="0" t="n">
        <v>11.19</v>
      </c>
      <c r="L7" s="0" t="n">
        <v>11968.419</v>
      </c>
      <c r="M7" s="0" t="n">
        <v>6074.368</v>
      </c>
      <c r="N7" s="0" t="n">
        <v>5894.051</v>
      </c>
      <c r="O7" s="0" t="n">
        <v>66384.329</v>
      </c>
      <c r="P7" s="0" t="n">
        <v>91023.997</v>
      </c>
      <c r="Q7" s="0" t="n">
        <v>23887.584</v>
      </c>
      <c r="R7" s="0" t="n">
        <v>11076.533</v>
      </c>
      <c r="S7" s="0" t="n">
        <v>10011.533</v>
      </c>
      <c r="T7" s="0" t="n">
        <v>820.803</v>
      </c>
      <c r="U7" s="0" t="n">
        <v>229.25</v>
      </c>
      <c r="AA7" s="0" t="s">
        <v>18</v>
      </c>
      <c r="AB7" s="0" t="s">
        <v>14</v>
      </c>
      <c r="AC7" s="0" t="n">
        <v>15620.892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5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44"/>
  </cols>
  <sheetData>
    <row r="1" customFormat="false" ht="15" hidden="false" customHeight="false" outlineLevel="0" collapsed="false">
      <c r="A1" s="2" t="s">
        <v>71</v>
      </c>
      <c r="B1" s="2" t="s">
        <v>72</v>
      </c>
    </row>
    <row r="2" customFormat="false" ht="15" hidden="false" customHeight="false" outlineLevel="0" collapsed="false">
      <c r="A2" s="0" t="s">
        <v>73</v>
      </c>
      <c r="B2" s="3" t="n">
        <v>158.3</v>
      </c>
    </row>
    <row r="3" customFormat="false" ht="15" hidden="false" customHeight="false" outlineLevel="0" collapsed="false">
      <c r="A3" s="0" t="s">
        <v>74</v>
      </c>
      <c r="B3" s="3" t="n">
        <v>761</v>
      </c>
    </row>
    <row r="4" customFormat="false" ht="15" hidden="false" customHeight="false" outlineLevel="0" collapsed="false">
      <c r="A4" s="0" t="s">
        <v>75</v>
      </c>
      <c r="B4" s="3" t="n">
        <v>-15860.6</v>
      </c>
    </row>
    <row r="5" customFormat="false" ht="15" hidden="false" customHeight="false" outlineLevel="0" collapsed="false">
      <c r="A5" s="0" t="s">
        <v>76</v>
      </c>
      <c r="B5" s="3" t="n">
        <v>2070.813</v>
      </c>
    </row>
    <row r="6" customFormat="false" ht="15" hidden="false" customHeight="false" outlineLevel="0" collapsed="false">
      <c r="A6" s="0" t="s">
        <v>77</v>
      </c>
      <c r="B6" s="3" t="n">
        <v>15</v>
      </c>
    </row>
    <row r="7" customFormat="false" ht="15" hidden="false" customHeight="false" outlineLevel="0" collapsed="false">
      <c r="A7" s="0" t="s">
        <v>78</v>
      </c>
      <c r="B7" s="3" t="n">
        <v>49098.667</v>
      </c>
    </row>
    <row r="8" customFormat="false" ht="15" hidden="false" customHeight="false" outlineLevel="0" collapsed="false">
      <c r="A8" s="0" t="s">
        <v>79</v>
      </c>
      <c r="B8" s="3" t="s">
        <v>70</v>
      </c>
    </row>
    <row r="9" customFormat="false" ht="15" hidden="false" customHeight="false" outlineLevel="0" collapsed="false">
      <c r="A9" s="0" t="s">
        <v>80</v>
      </c>
      <c r="B9" s="3" t="s">
        <v>81</v>
      </c>
    </row>
    <row r="10" customFormat="false" ht="15" hidden="false" customHeight="false" outlineLevel="0" collapsed="false">
      <c r="A10" s="0" t="s">
        <v>82</v>
      </c>
      <c r="B10" s="3" t="n">
        <v>1.1724</v>
      </c>
    </row>
    <row r="12" customFormat="false" ht="15" hidden="false" customHeight="false" outlineLevel="0" collapsed="false">
      <c r="A12" s="2" t="s">
        <v>83</v>
      </c>
      <c r="C12" s="2" t="s">
        <v>84</v>
      </c>
      <c r="D12" s="2" t="s">
        <v>85</v>
      </c>
      <c r="E12" s="2" t="s">
        <v>86</v>
      </c>
      <c r="F12" s="2" t="s">
        <v>87</v>
      </c>
      <c r="G12" s="2" t="s">
        <v>88</v>
      </c>
      <c r="H12" s="2" t="s">
        <v>89</v>
      </c>
      <c r="I12" s="2" t="s">
        <v>90</v>
      </c>
      <c r="J12" s="2" t="s">
        <v>91</v>
      </c>
      <c r="K12" s="2" t="s">
        <v>92</v>
      </c>
      <c r="L12" s="2" t="s">
        <v>93</v>
      </c>
    </row>
    <row r="13" customFormat="false" ht="15" hidden="false" customHeight="false" outlineLevel="0" collapsed="false">
      <c r="A13" s="0" t="s">
        <v>94</v>
      </c>
      <c r="C13" s="3" t="n">
        <v>15</v>
      </c>
      <c r="D13" s="3" t="n">
        <v>1</v>
      </c>
      <c r="E13" s="3" t="n">
        <v>-1</v>
      </c>
      <c r="F13" s="3" t="n">
        <v>2</v>
      </c>
      <c r="G13" s="3" t="n">
        <v>2.5</v>
      </c>
      <c r="H13" s="3" t="n">
        <v>2.5</v>
      </c>
      <c r="I13" s="3" t="n">
        <v>2.5</v>
      </c>
      <c r="J13" s="3" t="n">
        <v>2.5</v>
      </c>
      <c r="K13" s="3" t="n">
        <v>2.5</v>
      </c>
      <c r="L13" s="3" t="n">
        <v>2.5</v>
      </c>
    </row>
    <row r="14" customFormat="false" ht="15" hidden="false" customHeight="false" outlineLevel="0" collapsed="false">
      <c r="A14" s="0" t="s">
        <v>95</v>
      </c>
      <c r="C14" s="3" t="n">
        <v>27</v>
      </c>
      <c r="D14" s="3" t="n">
        <v>24</v>
      </c>
      <c r="E14" s="3" t="n">
        <v>22</v>
      </c>
      <c r="F14" s="3" t="n">
        <v>22</v>
      </c>
      <c r="G14" s="3" t="n">
        <v>22</v>
      </c>
      <c r="H14" s="3" t="n">
        <v>22</v>
      </c>
      <c r="I14" s="3" t="n">
        <v>22</v>
      </c>
      <c r="J14" s="3" t="n">
        <v>22</v>
      </c>
      <c r="K14" s="3" t="n">
        <v>22</v>
      </c>
      <c r="L14" s="3" t="n">
        <v>22</v>
      </c>
    </row>
    <row r="15" customFormat="false" ht="15" hidden="false" customHeight="false" outlineLevel="0" collapsed="false">
      <c r="A15" s="0" t="s">
        <v>96</v>
      </c>
      <c r="C15" s="3" t="n">
        <v>0.4</v>
      </c>
      <c r="D15" s="3" t="n">
        <v>0.4</v>
      </c>
      <c r="E15" s="3" t="n">
        <v>0.4</v>
      </c>
      <c r="F15" s="3" t="n">
        <v>0.4</v>
      </c>
      <c r="G15" s="3" t="n">
        <v>0.4</v>
      </c>
      <c r="H15" s="3" t="n">
        <v>0.4</v>
      </c>
      <c r="I15" s="3" t="n">
        <v>0.4</v>
      </c>
      <c r="J15" s="3" t="n">
        <v>0.4</v>
      </c>
      <c r="K15" s="3" t="n">
        <v>0.4</v>
      </c>
      <c r="L15" s="3" t="n">
        <v>0.4</v>
      </c>
    </row>
    <row r="16" customFormat="false" ht="15" hidden="false" customHeight="false" outlineLevel="0" collapsed="false">
      <c r="A16" s="0" t="s">
        <v>97</v>
      </c>
      <c r="C16" s="3" t="n">
        <v>0</v>
      </c>
      <c r="D16" s="3" t="n">
        <v>0</v>
      </c>
      <c r="E16" s="3" t="n">
        <v>0</v>
      </c>
      <c r="F16" s="3" t="n">
        <v>0</v>
      </c>
      <c r="G16" s="3" t="n">
        <v>0</v>
      </c>
      <c r="H16" s="3" t="n">
        <v>0</v>
      </c>
      <c r="I16" s="3" t="n">
        <v>0</v>
      </c>
      <c r="J16" s="3" t="n">
        <v>0</v>
      </c>
      <c r="K16" s="3" t="n">
        <v>0</v>
      </c>
      <c r="L16" s="3" t="n">
        <v>0</v>
      </c>
    </row>
    <row r="17" customFormat="false" ht="15" hidden="false" customHeight="false" outlineLevel="0" collapsed="false">
      <c r="A17" s="0" t="s">
        <v>98</v>
      </c>
      <c r="C17" s="3" t="n">
        <v>6.4</v>
      </c>
      <c r="D17" s="3" t="n">
        <v>6.6</v>
      </c>
      <c r="E17" s="3" t="n">
        <v>6.8</v>
      </c>
      <c r="F17" s="3" t="n">
        <v>6.8</v>
      </c>
      <c r="G17" s="3" t="n">
        <v>6.7</v>
      </c>
      <c r="H17" s="3" t="n">
        <v>6.6</v>
      </c>
      <c r="I17" s="3" t="n">
        <v>6.5</v>
      </c>
      <c r="J17" s="3" t="n">
        <v>6.5</v>
      </c>
      <c r="K17" s="3" t="n">
        <v>6.5</v>
      </c>
      <c r="L17" s="3" t="n">
        <v>6.5</v>
      </c>
    </row>
    <row r="18" customFormat="false" ht="15" hidden="false" customHeight="false" outlineLevel="0" collapsed="false">
      <c r="A18" s="0" t="s">
        <v>99</v>
      </c>
      <c r="C18" s="3" t="n">
        <v>9.5</v>
      </c>
      <c r="D18" s="3" t="n">
        <v>9.5</v>
      </c>
      <c r="E18" s="3" t="n">
        <v>9</v>
      </c>
      <c r="F18" s="3" t="n">
        <v>8.5</v>
      </c>
      <c r="G18" s="3" t="n">
        <v>8.5</v>
      </c>
      <c r="H18" s="3" t="n">
        <v>8</v>
      </c>
      <c r="I18" s="3" t="n">
        <v>8</v>
      </c>
      <c r="J18" s="3" t="n">
        <v>7.5</v>
      </c>
      <c r="K18" s="3" t="n">
        <v>7.5</v>
      </c>
      <c r="L18" s="3" t="n">
        <v>7.5</v>
      </c>
    </row>
    <row r="19" customFormat="false" ht="15" hidden="false" customHeight="false" outlineLevel="0" collapsed="false">
      <c r="A19" s="0" t="s">
        <v>100</v>
      </c>
      <c r="C19" s="3" t="n">
        <v>22</v>
      </c>
      <c r="D19" s="3" t="n">
        <v>23</v>
      </c>
      <c r="E19" s="3" t="n">
        <v>23</v>
      </c>
      <c r="F19" s="3" t="n">
        <v>24</v>
      </c>
      <c r="G19" s="3" t="n">
        <v>24</v>
      </c>
      <c r="H19" s="3" t="n">
        <v>25</v>
      </c>
      <c r="I19" s="3" t="n">
        <v>25</v>
      </c>
      <c r="J19" s="3" t="n">
        <v>25</v>
      </c>
      <c r="K19" s="3" t="n">
        <v>25</v>
      </c>
      <c r="L19" s="3" t="n">
        <v>25</v>
      </c>
    </row>
    <row r="20" customFormat="false" ht="15" hidden="false" customHeight="false" outlineLevel="0" collapsed="false">
      <c r="A20" s="0" t="s">
        <v>101</v>
      </c>
      <c r="B20" s="3" t="n">
        <v>9</v>
      </c>
    </row>
    <row r="21" customFormat="false" ht="15" hidden="false" customHeight="false" outlineLevel="0" collapsed="false">
      <c r="A21" s="0" t="s">
        <v>102</v>
      </c>
      <c r="B21" s="3" t="n">
        <v>2</v>
      </c>
    </row>
    <row r="22" customFormat="false" ht="15" hidden="false" customHeight="false" outlineLevel="0" collapsed="false">
      <c r="A22" s="0" t="s">
        <v>103</v>
      </c>
      <c r="B22" s="3" t="n">
        <v>15</v>
      </c>
    </row>
    <row r="23" customFormat="false" ht="15" hidden="false" customHeight="false" outlineLevel="0" collapsed="false">
      <c r="A23" s="0" t="s">
        <v>104</v>
      </c>
      <c r="B23" s="3" t="n">
        <v>0</v>
      </c>
    </row>
    <row r="24" customFormat="false" ht="15" hidden="false" customHeight="false" outlineLevel="0" collapsed="false">
      <c r="A24" s="0" t="s">
        <v>105</v>
      </c>
      <c r="B24" s="3" t="n">
        <v>0.25</v>
      </c>
    </row>
    <row r="26" customFormat="false" ht="15" hidden="false" customHeight="false" outlineLevel="0" collapsed="false">
      <c r="A26" s="2" t="s">
        <v>106</v>
      </c>
      <c r="C26" s="2" t="s">
        <v>84</v>
      </c>
      <c r="D26" s="2" t="s">
        <v>85</v>
      </c>
      <c r="E26" s="2" t="s">
        <v>86</v>
      </c>
      <c r="F26" s="2" t="s">
        <v>87</v>
      </c>
      <c r="G26" s="2" t="s">
        <v>88</v>
      </c>
      <c r="H26" s="2" t="s">
        <v>89</v>
      </c>
      <c r="I26" s="2" t="s">
        <v>90</v>
      </c>
      <c r="J26" s="2" t="s">
        <v>91</v>
      </c>
      <c r="K26" s="2" t="s">
        <v>92</v>
      </c>
      <c r="L26" s="2" t="s">
        <v>93</v>
      </c>
    </row>
    <row r="27" customFormat="false" ht="15" hidden="false" customHeight="false" outlineLevel="0" collapsed="false">
      <c r="A27" s="0" t="s">
        <v>94</v>
      </c>
      <c r="C27" s="3" t="n">
        <v>17</v>
      </c>
      <c r="D27" s="3" t="n">
        <v>7</v>
      </c>
      <c r="E27" s="3" t="n">
        <v>6</v>
      </c>
      <c r="F27" s="3" t="n">
        <v>5</v>
      </c>
      <c r="G27" s="3" t="n">
        <v>4.5</v>
      </c>
      <c r="H27" s="3" t="n">
        <v>4</v>
      </c>
      <c r="I27" s="3" t="n">
        <v>3.5</v>
      </c>
      <c r="J27" s="3" t="n">
        <v>3</v>
      </c>
      <c r="K27" s="3" t="n">
        <v>3</v>
      </c>
      <c r="L27" s="3" t="n">
        <v>2.5</v>
      </c>
    </row>
    <row r="28" customFormat="false" ht="15" hidden="false" customHeight="false" outlineLevel="0" collapsed="false">
      <c r="A28" s="0" t="s">
        <v>95</v>
      </c>
      <c r="C28" s="3" t="n">
        <v>27.5</v>
      </c>
      <c r="D28" s="3" t="n">
        <v>27.5</v>
      </c>
      <c r="E28" s="3" t="n">
        <v>27.5</v>
      </c>
      <c r="F28" s="3" t="n">
        <v>27.5</v>
      </c>
      <c r="G28" s="3" t="n">
        <v>27.5</v>
      </c>
      <c r="H28" s="3" t="n">
        <v>27.5</v>
      </c>
      <c r="I28" s="3" t="n">
        <v>27.5</v>
      </c>
      <c r="J28" s="3" t="n">
        <v>27.5</v>
      </c>
      <c r="K28" s="3" t="n">
        <v>27.5</v>
      </c>
      <c r="L28" s="3" t="n">
        <v>27.5</v>
      </c>
    </row>
    <row r="29" customFormat="false" ht="15" hidden="false" customHeight="false" outlineLevel="0" collapsed="false">
      <c r="A29" s="0" t="s">
        <v>96</v>
      </c>
      <c r="C29" s="3" t="n">
        <v>0.4</v>
      </c>
      <c r="D29" s="3" t="n">
        <v>0.4</v>
      </c>
      <c r="E29" s="3" t="n">
        <v>0.4</v>
      </c>
      <c r="F29" s="3" t="n">
        <v>0.4</v>
      </c>
      <c r="G29" s="3" t="n">
        <v>0.4</v>
      </c>
      <c r="H29" s="3" t="n">
        <v>0.4</v>
      </c>
      <c r="I29" s="3" t="n">
        <v>0.4</v>
      </c>
      <c r="J29" s="3" t="n">
        <v>0.4</v>
      </c>
      <c r="K29" s="3" t="n">
        <v>0.4</v>
      </c>
      <c r="L29" s="3" t="n">
        <v>0.4</v>
      </c>
    </row>
    <row r="30" customFormat="false" ht="15" hidden="false" customHeight="false" outlineLevel="0" collapsed="false">
      <c r="A30" s="0" t="s">
        <v>97</v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</row>
    <row r="31" customFormat="false" ht="15" hidden="false" customHeight="false" outlineLevel="0" collapsed="false">
      <c r="A31" s="0" t="s">
        <v>98</v>
      </c>
      <c r="C31" s="3" t="n">
        <v>6.3</v>
      </c>
      <c r="D31" s="3" t="n">
        <v>6.3</v>
      </c>
      <c r="E31" s="3" t="n">
        <v>6.3</v>
      </c>
      <c r="F31" s="3" t="n">
        <v>6.2</v>
      </c>
      <c r="G31" s="3" t="n">
        <v>6.2</v>
      </c>
      <c r="H31" s="3" t="n">
        <v>6.1</v>
      </c>
      <c r="I31" s="3" t="n">
        <v>6</v>
      </c>
      <c r="J31" s="3" t="n">
        <v>6</v>
      </c>
      <c r="K31" s="3" t="n">
        <v>6</v>
      </c>
      <c r="L31" s="3" t="n">
        <v>6</v>
      </c>
    </row>
    <row r="32" customFormat="false" ht="15" hidden="false" customHeight="false" outlineLevel="0" collapsed="false">
      <c r="A32" s="0" t="s">
        <v>99</v>
      </c>
      <c r="C32" s="3" t="n">
        <v>9.5</v>
      </c>
      <c r="D32" s="3" t="n">
        <v>9</v>
      </c>
      <c r="E32" s="3" t="n">
        <v>8.5</v>
      </c>
      <c r="F32" s="3" t="n">
        <v>8</v>
      </c>
      <c r="G32" s="3" t="n">
        <v>7.5</v>
      </c>
      <c r="H32" s="3" t="n">
        <v>7.5</v>
      </c>
      <c r="I32" s="3" t="n">
        <v>7</v>
      </c>
      <c r="J32" s="3" t="n">
        <v>7</v>
      </c>
      <c r="K32" s="3" t="n">
        <v>7</v>
      </c>
      <c r="L32" s="3" t="n">
        <v>7</v>
      </c>
    </row>
    <row r="33" customFormat="false" ht="15" hidden="false" customHeight="false" outlineLevel="0" collapsed="false">
      <c r="A33" s="0" t="s">
        <v>100</v>
      </c>
      <c r="C33" s="3" t="n">
        <v>22</v>
      </c>
      <c r="D33" s="3" t="n">
        <v>23</v>
      </c>
      <c r="E33" s="3" t="n">
        <v>23</v>
      </c>
      <c r="F33" s="3" t="n">
        <v>24</v>
      </c>
      <c r="G33" s="3" t="n">
        <v>24</v>
      </c>
      <c r="H33" s="3" t="n">
        <v>25</v>
      </c>
      <c r="I33" s="3" t="n">
        <v>25</v>
      </c>
      <c r="J33" s="3" t="n">
        <v>25</v>
      </c>
      <c r="K33" s="3" t="n">
        <v>25</v>
      </c>
      <c r="L33" s="3" t="n">
        <v>25</v>
      </c>
    </row>
    <row r="34" customFormat="false" ht="15" hidden="false" customHeight="false" outlineLevel="0" collapsed="false">
      <c r="A34" s="0" t="s">
        <v>101</v>
      </c>
      <c r="B34" s="3" t="n">
        <v>9</v>
      </c>
    </row>
    <row r="35" customFormat="false" ht="15" hidden="false" customHeight="false" outlineLevel="0" collapsed="false">
      <c r="A35" s="0" t="s">
        <v>102</v>
      </c>
      <c r="B35" s="3" t="n">
        <v>2.5</v>
      </c>
    </row>
    <row r="36" customFormat="false" ht="15" hidden="false" customHeight="false" outlineLevel="0" collapsed="false">
      <c r="A36" s="0" t="s">
        <v>103</v>
      </c>
      <c r="B36" s="3" t="n">
        <v>15</v>
      </c>
    </row>
    <row r="37" customFormat="false" ht="15" hidden="false" customHeight="false" outlineLevel="0" collapsed="false">
      <c r="A37" s="0" t="s">
        <v>104</v>
      </c>
      <c r="B37" s="3" t="n">
        <v>0</v>
      </c>
    </row>
    <row r="38" customFormat="false" ht="15" hidden="false" customHeight="false" outlineLevel="0" collapsed="false">
      <c r="A38" s="0" t="s">
        <v>105</v>
      </c>
      <c r="B38" s="3" t="n">
        <v>0.5</v>
      </c>
    </row>
    <row r="40" customFormat="false" ht="15" hidden="false" customHeight="false" outlineLevel="0" collapsed="false">
      <c r="A40" s="2" t="s">
        <v>107</v>
      </c>
      <c r="C40" s="2" t="s">
        <v>84</v>
      </c>
      <c r="D40" s="2" t="s">
        <v>85</v>
      </c>
      <c r="E40" s="2" t="s">
        <v>86</v>
      </c>
      <c r="F40" s="2" t="s">
        <v>87</v>
      </c>
      <c r="G40" s="2" t="s">
        <v>88</v>
      </c>
      <c r="H40" s="2" t="s">
        <v>89</v>
      </c>
      <c r="I40" s="2" t="s">
        <v>90</v>
      </c>
      <c r="J40" s="2" t="s">
        <v>91</v>
      </c>
      <c r="K40" s="2" t="s">
        <v>92</v>
      </c>
      <c r="L40" s="2" t="s">
        <v>93</v>
      </c>
    </row>
    <row r="41" customFormat="false" ht="15" hidden="false" customHeight="false" outlineLevel="0" collapsed="false">
      <c r="A41" s="0" t="s">
        <v>94</v>
      </c>
      <c r="C41" s="3" t="n">
        <v>19</v>
      </c>
      <c r="D41" s="3" t="n">
        <v>10</v>
      </c>
      <c r="E41" s="3" t="n">
        <v>8</v>
      </c>
      <c r="F41" s="3" t="n">
        <v>7</v>
      </c>
      <c r="G41" s="3" t="n">
        <v>6</v>
      </c>
      <c r="H41" s="3" t="n">
        <v>5</v>
      </c>
      <c r="I41" s="3" t="n">
        <v>4.5</v>
      </c>
      <c r="J41" s="3" t="n">
        <v>4</v>
      </c>
      <c r="K41" s="3" t="n">
        <v>3.5</v>
      </c>
      <c r="L41" s="3" t="n">
        <v>3</v>
      </c>
    </row>
    <row r="42" customFormat="false" ht="15" hidden="false" customHeight="false" outlineLevel="0" collapsed="false">
      <c r="A42" s="0" t="s">
        <v>95</v>
      </c>
      <c r="C42" s="3" t="n">
        <v>28</v>
      </c>
      <c r="D42" s="3" t="n">
        <v>28.5</v>
      </c>
      <c r="E42" s="3" t="n">
        <v>29</v>
      </c>
      <c r="F42" s="3" t="n">
        <v>29.5</v>
      </c>
      <c r="G42" s="3" t="n">
        <v>30</v>
      </c>
      <c r="H42" s="3" t="n">
        <v>30</v>
      </c>
      <c r="I42" s="3" t="n">
        <v>30</v>
      </c>
      <c r="J42" s="3" t="n">
        <v>30</v>
      </c>
      <c r="K42" s="3" t="n">
        <v>30</v>
      </c>
      <c r="L42" s="3" t="n">
        <v>30</v>
      </c>
    </row>
    <row r="43" customFormat="false" ht="15" hidden="false" customHeight="false" outlineLevel="0" collapsed="false">
      <c r="A43" s="0" t="s">
        <v>96</v>
      </c>
      <c r="C43" s="3" t="n">
        <v>0.4</v>
      </c>
      <c r="D43" s="3" t="n">
        <v>0.4</v>
      </c>
      <c r="E43" s="3" t="n">
        <v>0.4</v>
      </c>
      <c r="F43" s="3" t="n">
        <v>0.4</v>
      </c>
      <c r="G43" s="3" t="n">
        <v>0.4</v>
      </c>
      <c r="H43" s="3" t="n">
        <v>0.4</v>
      </c>
      <c r="I43" s="3" t="n">
        <v>0.4</v>
      </c>
      <c r="J43" s="3" t="n">
        <v>0.4</v>
      </c>
      <c r="K43" s="3" t="n">
        <v>0.4</v>
      </c>
      <c r="L43" s="3" t="n">
        <v>0.4</v>
      </c>
    </row>
    <row r="44" customFormat="false" ht="15" hidden="false" customHeight="false" outlineLevel="0" collapsed="false">
      <c r="A44" s="0" t="s">
        <v>97</v>
      </c>
      <c r="C44" s="3" t="n">
        <v>0</v>
      </c>
      <c r="D44" s="3" t="n">
        <v>0</v>
      </c>
      <c r="E44" s="3" t="n">
        <v>0</v>
      </c>
      <c r="F44" s="3" t="n">
        <v>0</v>
      </c>
      <c r="G44" s="3" t="n">
        <v>0</v>
      </c>
      <c r="H44" s="3" t="n">
        <v>0</v>
      </c>
      <c r="I44" s="3" t="n">
        <v>0</v>
      </c>
      <c r="J44" s="3" t="n">
        <v>0</v>
      </c>
      <c r="K44" s="3" t="n">
        <v>0</v>
      </c>
      <c r="L44" s="3" t="n">
        <v>0</v>
      </c>
    </row>
    <row r="45" customFormat="false" ht="15" hidden="false" customHeight="false" outlineLevel="0" collapsed="false">
      <c r="A45" s="0" t="s">
        <v>98</v>
      </c>
      <c r="C45" s="3" t="n">
        <v>6.3</v>
      </c>
      <c r="D45" s="3" t="n">
        <v>6.2</v>
      </c>
      <c r="E45" s="3" t="n">
        <v>6.1</v>
      </c>
      <c r="F45" s="3" t="n">
        <v>6</v>
      </c>
      <c r="G45" s="3" t="n">
        <v>6</v>
      </c>
      <c r="H45" s="3" t="n">
        <v>5.9</v>
      </c>
      <c r="I45" s="3" t="n">
        <v>5.8</v>
      </c>
      <c r="J45" s="3" t="n">
        <v>5.8</v>
      </c>
      <c r="K45" s="3" t="n">
        <v>5.8</v>
      </c>
      <c r="L45" s="3" t="n">
        <v>5.8</v>
      </c>
    </row>
    <row r="46" customFormat="false" ht="15" hidden="false" customHeight="false" outlineLevel="0" collapsed="false">
      <c r="A46" s="0" t="s">
        <v>99</v>
      </c>
      <c r="C46" s="3" t="n">
        <v>9.5</v>
      </c>
      <c r="D46" s="3" t="n">
        <v>9</v>
      </c>
      <c r="E46" s="3" t="n">
        <v>8.5</v>
      </c>
      <c r="F46" s="3" t="n">
        <v>8</v>
      </c>
      <c r="G46" s="3" t="n">
        <v>7.5</v>
      </c>
      <c r="H46" s="3" t="n">
        <v>7</v>
      </c>
      <c r="I46" s="3" t="n">
        <v>7</v>
      </c>
      <c r="J46" s="3" t="n">
        <v>6.5</v>
      </c>
      <c r="K46" s="3" t="n">
        <v>6.5</v>
      </c>
      <c r="L46" s="3" t="n">
        <v>6.5</v>
      </c>
    </row>
    <row r="47" customFormat="false" ht="15" hidden="false" customHeight="false" outlineLevel="0" collapsed="false">
      <c r="A47" s="0" t="s">
        <v>100</v>
      </c>
      <c r="C47" s="3" t="n">
        <v>22</v>
      </c>
      <c r="D47" s="3" t="n">
        <v>22</v>
      </c>
      <c r="E47" s="3" t="n">
        <v>23</v>
      </c>
      <c r="F47" s="3" t="n">
        <v>23</v>
      </c>
      <c r="G47" s="3" t="n">
        <v>24</v>
      </c>
      <c r="H47" s="3" t="n">
        <v>24</v>
      </c>
      <c r="I47" s="3" t="n">
        <v>24</v>
      </c>
      <c r="J47" s="3" t="n">
        <v>24</v>
      </c>
      <c r="K47" s="3" t="n">
        <v>24</v>
      </c>
      <c r="L47" s="3" t="n">
        <v>24</v>
      </c>
    </row>
    <row r="48" customFormat="false" ht="15" hidden="false" customHeight="false" outlineLevel="0" collapsed="false">
      <c r="A48" s="0" t="s">
        <v>101</v>
      </c>
      <c r="B48" s="3" t="n">
        <v>9</v>
      </c>
    </row>
    <row r="49" customFormat="false" ht="15" hidden="false" customHeight="false" outlineLevel="0" collapsed="false">
      <c r="A49" s="0" t="s">
        <v>102</v>
      </c>
      <c r="B49" s="3" t="n">
        <v>3</v>
      </c>
    </row>
    <row r="50" customFormat="false" ht="15" hidden="false" customHeight="false" outlineLevel="0" collapsed="false">
      <c r="A50" s="0" t="s">
        <v>103</v>
      </c>
      <c r="B50" s="3" t="n">
        <v>15</v>
      </c>
    </row>
    <row r="51" customFormat="false" ht="15" hidden="false" customHeight="false" outlineLevel="0" collapsed="false">
      <c r="A51" s="0" t="s">
        <v>104</v>
      </c>
      <c r="B51" s="3" t="n">
        <v>0</v>
      </c>
    </row>
    <row r="52" customFormat="false" ht="15" hidden="false" customHeight="false" outlineLevel="0" collapsed="false">
      <c r="A52" s="0" t="s">
        <v>105</v>
      </c>
      <c r="B52" s="3" t="n">
        <v>0.25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4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52"/>
  </cols>
  <sheetData>
    <row r="1" customFormat="false" ht="15" hidden="false" customHeight="false" outlineLevel="0" collapsed="false">
      <c r="A1" s="2" t="s">
        <v>108</v>
      </c>
    </row>
    <row r="3" customFormat="false" ht="15" hidden="false" customHeight="false" outlineLevel="0" collapsed="false">
      <c r="A3" s="0" t="s">
        <v>109</v>
      </c>
      <c r="B3" s="0" t="s">
        <v>70</v>
      </c>
      <c r="C3" s="2" t="s">
        <v>84</v>
      </c>
      <c r="D3" s="2" t="s">
        <v>85</v>
      </c>
      <c r="E3" s="2" t="s">
        <v>86</v>
      </c>
      <c r="F3" s="2" t="s">
        <v>87</v>
      </c>
      <c r="G3" s="2" t="s">
        <v>88</v>
      </c>
      <c r="H3" s="2" t="s">
        <v>89</v>
      </c>
      <c r="I3" s="2" t="s">
        <v>90</v>
      </c>
      <c r="J3" s="2" t="s">
        <v>91</v>
      </c>
      <c r="K3" s="2" t="s">
        <v>92</v>
      </c>
      <c r="L3" s="2" t="s">
        <v>93</v>
      </c>
    </row>
    <row r="4" customFormat="false" ht="15" hidden="false" customHeight="false" outlineLevel="0" collapsed="false">
      <c r="A4" s="0" t="s">
        <v>110</v>
      </c>
      <c r="B4" s="0" t="n">
        <v>0</v>
      </c>
      <c r="C4" s="0" t="n">
        <f aca="false">B4+1</f>
        <v>1</v>
      </c>
      <c r="D4" s="0" t="n">
        <f aca="false">C4+1</f>
        <v>2</v>
      </c>
      <c r="E4" s="0" t="n">
        <f aca="false">D4+1</f>
        <v>3</v>
      </c>
      <c r="F4" s="0" t="n">
        <f aca="false">E4+1</f>
        <v>4</v>
      </c>
      <c r="G4" s="0" t="n">
        <f aca="false">F4+1</f>
        <v>5</v>
      </c>
      <c r="H4" s="0" t="n">
        <f aca="false">G4+1</f>
        <v>6</v>
      </c>
      <c r="I4" s="0" t="n">
        <f aca="false">H4+1</f>
        <v>7</v>
      </c>
      <c r="J4" s="0" t="n">
        <f aca="false">I4+1</f>
        <v>8</v>
      </c>
      <c r="K4" s="0" t="n">
        <f aca="false">J4+1</f>
        <v>9</v>
      </c>
      <c r="L4" s="0" t="n">
        <f aca="false">K4+1</f>
        <v>10</v>
      </c>
    </row>
    <row r="5" customFormat="false" ht="15" hidden="false" customHeight="false" outlineLevel="0" collapsed="false">
      <c r="A5" s="0" t="s">
        <v>94</v>
      </c>
      <c r="C5" s="4" t="n">
        <f aca="false">Assumptions!C13</f>
        <v>15</v>
      </c>
      <c r="D5" s="4" t="n">
        <f aca="false">Assumptions!D13</f>
        <v>1</v>
      </c>
      <c r="E5" s="4" t="n">
        <f aca="false">Assumptions!E13</f>
        <v>-1</v>
      </c>
      <c r="F5" s="4" t="n">
        <f aca="false">Assumptions!F13</f>
        <v>2</v>
      </c>
      <c r="G5" s="4" t="n">
        <f aca="false">Assumptions!G13</f>
        <v>2.5</v>
      </c>
      <c r="H5" s="4" t="n">
        <f aca="false">Assumptions!H13</f>
        <v>2.5</v>
      </c>
      <c r="I5" s="4" t="n">
        <f aca="false">Assumptions!I13</f>
        <v>2.5</v>
      </c>
      <c r="J5" s="4" t="n">
        <f aca="false">Assumptions!J13</f>
        <v>2.5</v>
      </c>
      <c r="K5" s="4" t="n">
        <f aca="false">Assumptions!K13</f>
        <v>2.5</v>
      </c>
      <c r="L5" s="4" t="n">
        <f aca="false">Assumptions!L13</f>
        <v>2.5</v>
      </c>
    </row>
    <row r="6" customFormat="false" ht="15" hidden="false" customHeight="false" outlineLevel="0" collapsed="false">
      <c r="A6" s="0" t="s">
        <v>38</v>
      </c>
      <c r="B6" s="3" t="n">
        <v>49098.667</v>
      </c>
      <c r="C6" s="0" t="n">
        <f aca="false">B6*(1+C5/100)</f>
        <v>56463.46705</v>
      </c>
      <c r="D6" s="0" t="n">
        <f aca="false">C6*(1+D5/100)</f>
        <v>57028.1017205</v>
      </c>
      <c r="E6" s="0" t="n">
        <f aca="false">D6*(1+E5/100)</f>
        <v>56457.820703295</v>
      </c>
      <c r="F6" s="0" t="n">
        <f aca="false">E6*(1+F5/100)</f>
        <v>57586.9771173609</v>
      </c>
      <c r="G6" s="0" t="n">
        <f aca="false">F6*(1+G5/100)</f>
        <v>59026.6515452949</v>
      </c>
      <c r="H6" s="0" t="n">
        <f aca="false">G6*(1+H5/100)</f>
        <v>60502.3178339273</v>
      </c>
      <c r="I6" s="0" t="n">
        <f aca="false">H6*(1+I5/100)</f>
        <v>62014.8757797755</v>
      </c>
      <c r="J6" s="0" t="n">
        <f aca="false">I6*(1+J5/100)</f>
        <v>63565.2476742699</v>
      </c>
      <c r="K6" s="0" t="n">
        <f aca="false">J6*(1+K5/100)</f>
        <v>65154.3788661266</v>
      </c>
      <c r="L6" s="0" t="n">
        <f aca="false">K6*(1+L5/100)</f>
        <v>66783.2383377798</v>
      </c>
    </row>
    <row r="7" customFormat="false" ht="15" hidden="false" customHeight="false" outlineLevel="0" collapsed="false">
      <c r="A7" s="0" t="s">
        <v>95</v>
      </c>
      <c r="C7" s="4" t="n">
        <f aca="false">Assumptions!C14</f>
        <v>27</v>
      </c>
      <c r="D7" s="4" t="n">
        <f aca="false">Assumptions!D14</f>
        <v>24</v>
      </c>
      <c r="E7" s="4" t="n">
        <f aca="false">Assumptions!E14</f>
        <v>22</v>
      </c>
      <c r="F7" s="4" t="n">
        <f aca="false">Assumptions!F14</f>
        <v>22</v>
      </c>
      <c r="G7" s="4" t="n">
        <f aca="false">Assumptions!G14</f>
        <v>22</v>
      </c>
      <c r="H7" s="4" t="n">
        <f aca="false">Assumptions!H14</f>
        <v>22</v>
      </c>
      <c r="I7" s="4" t="n">
        <f aca="false">Assumptions!I14</f>
        <v>22</v>
      </c>
      <c r="J7" s="4" t="n">
        <f aca="false">Assumptions!J14</f>
        <v>22</v>
      </c>
      <c r="K7" s="4" t="n">
        <f aca="false">Assumptions!K14</f>
        <v>22</v>
      </c>
      <c r="L7" s="4" t="n">
        <f aca="false">Assumptions!L14</f>
        <v>22</v>
      </c>
    </row>
    <row r="8" customFormat="false" ht="15" hidden="false" customHeight="false" outlineLevel="0" collapsed="false">
      <c r="A8" s="0" t="s">
        <v>44</v>
      </c>
      <c r="C8" s="0" t="n">
        <f aca="false">C6*C7/100</f>
        <v>15245.1361035</v>
      </c>
      <c r="D8" s="0" t="n">
        <f aca="false">D6*D7/100</f>
        <v>13686.74441292</v>
      </c>
      <c r="E8" s="0" t="n">
        <f aca="false">E6*E7/100</f>
        <v>12420.7205547249</v>
      </c>
      <c r="F8" s="0" t="n">
        <f aca="false">F6*F7/100</f>
        <v>12669.1349658194</v>
      </c>
      <c r="G8" s="0" t="n">
        <f aca="false">G6*G7/100</f>
        <v>12985.8633399649</v>
      </c>
      <c r="H8" s="0" t="n">
        <f aca="false">H6*H7/100</f>
        <v>13310.509923464</v>
      </c>
      <c r="I8" s="0" t="n">
        <f aca="false">I6*I7/100</f>
        <v>13643.2726715506</v>
      </c>
      <c r="J8" s="0" t="n">
        <f aca="false">J6*J7/100</f>
        <v>13984.3544883394</v>
      </c>
      <c r="K8" s="0" t="n">
        <f aca="false">K6*K7/100</f>
        <v>14333.9633505479</v>
      </c>
      <c r="L8" s="0" t="n">
        <f aca="false">L6*L7/100</f>
        <v>14692.3124343115</v>
      </c>
    </row>
    <row r="9" customFormat="false" ht="15" hidden="false" customHeight="false" outlineLevel="0" collapsed="false">
      <c r="A9" s="0" t="s">
        <v>96</v>
      </c>
      <c r="C9" s="4" t="n">
        <f aca="false">Assumptions!C15</f>
        <v>0.4</v>
      </c>
      <c r="D9" s="4" t="n">
        <f aca="false">Assumptions!D15</f>
        <v>0.4</v>
      </c>
      <c r="E9" s="4" t="n">
        <f aca="false">Assumptions!E15</f>
        <v>0.4</v>
      </c>
      <c r="F9" s="4" t="n">
        <f aca="false">Assumptions!F15</f>
        <v>0.4</v>
      </c>
      <c r="G9" s="4" t="n">
        <f aca="false">Assumptions!G15</f>
        <v>0.4</v>
      </c>
      <c r="H9" s="4" t="n">
        <f aca="false">Assumptions!H15</f>
        <v>0.4</v>
      </c>
      <c r="I9" s="4" t="n">
        <f aca="false">Assumptions!I15</f>
        <v>0.4</v>
      </c>
      <c r="J9" s="4" t="n">
        <f aca="false">Assumptions!J15</f>
        <v>0.4</v>
      </c>
      <c r="K9" s="4" t="n">
        <f aca="false">Assumptions!K15</f>
        <v>0.4</v>
      </c>
      <c r="L9" s="4" t="n">
        <f aca="false">Assumptions!L15</f>
        <v>0.4</v>
      </c>
    </row>
    <row r="10" customFormat="false" ht="15" hidden="false" customHeight="false" outlineLevel="0" collapsed="false">
      <c r="A10" s="0" t="s">
        <v>111</v>
      </c>
      <c r="C10" s="0" t="n">
        <f aca="false">-C6*C9/100</f>
        <v>-225.8538682</v>
      </c>
      <c r="D10" s="0" t="n">
        <f aca="false">-D6*D9/100</f>
        <v>-228.112406882</v>
      </c>
      <c r="E10" s="0" t="n">
        <f aca="false">-E6*E9/100</f>
        <v>-225.83128281318</v>
      </c>
      <c r="F10" s="0" t="n">
        <f aca="false">-F6*F9/100</f>
        <v>-230.347908469444</v>
      </c>
      <c r="G10" s="0" t="n">
        <f aca="false">-G6*G9/100</f>
        <v>-236.10660618118</v>
      </c>
      <c r="H10" s="0" t="n">
        <f aca="false">-H6*H9/100</f>
        <v>-242.009271335709</v>
      </c>
      <c r="I10" s="0" t="n">
        <f aca="false">-I6*I9/100</f>
        <v>-248.059503119102</v>
      </c>
      <c r="J10" s="0" t="n">
        <f aca="false">-J6*J9/100</f>
        <v>-254.260990697079</v>
      </c>
      <c r="K10" s="0" t="n">
        <f aca="false">-K6*K9/100</f>
        <v>-260.617515464506</v>
      </c>
      <c r="L10" s="0" t="n">
        <f aca="false">-L6*L9/100</f>
        <v>-267.132953351119</v>
      </c>
    </row>
    <row r="11" customFormat="false" ht="15" hidden="false" customHeight="false" outlineLevel="0" collapsed="false">
      <c r="A11" s="0" t="s">
        <v>112</v>
      </c>
      <c r="C11" s="0" t="n">
        <f aca="false">C8+C10+C24</f>
        <v>15019.2822353</v>
      </c>
      <c r="D11" s="0" t="n">
        <f aca="false">D8+D10+D24</f>
        <v>13458.632006038</v>
      </c>
      <c r="E11" s="0" t="n">
        <f aca="false">E8+E10+E24</f>
        <v>12194.8892719117</v>
      </c>
      <c r="F11" s="0" t="n">
        <f aca="false">F8+F10+F24</f>
        <v>12438.78705735</v>
      </c>
      <c r="G11" s="0" t="n">
        <f aca="false">G8+G10+G24</f>
        <v>12749.7567337837</v>
      </c>
      <c r="H11" s="0" t="n">
        <f aca="false">H8+H10+H24</f>
        <v>13068.5006521283</v>
      </c>
      <c r="I11" s="0" t="n">
        <f aca="false">I8+I10+I24</f>
        <v>13395.2131684315</v>
      </c>
      <c r="J11" s="0" t="n">
        <f aca="false">J8+J10+J24</f>
        <v>13730.0934976423</v>
      </c>
      <c r="K11" s="0" t="n">
        <f aca="false">K8+K10+K24</f>
        <v>14073.3458350833</v>
      </c>
      <c r="L11" s="0" t="n">
        <f aca="false">L8+L10+L24</f>
        <v>14425.1794809604</v>
      </c>
    </row>
    <row r="12" customFormat="false" ht="15" hidden="false" customHeight="false" outlineLevel="0" collapsed="false">
      <c r="A12" s="0" t="s">
        <v>113</v>
      </c>
      <c r="C12" s="4" t="n">
        <f aca="false">-C6*Assumptions!C17/100</f>
        <v>-3613.6618912</v>
      </c>
      <c r="D12" s="4" t="n">
        <f aca="false">-D6*Assumptions!D17/100</f>
        <v>-3763.854713553</v>
      </c>
      <c r="E12" s="4" t="n">
        <f aca="false">-E6*Assumptions!E17/100</f>
        <v>-3839.13180782406</v>
      </c>
      <c r="F12" s="4" t="n">
        <f aca="false">-F6*Assumptions!F17/100</f>
        <v>-3915.91444398054</v>
      </c>
      <c r="G12" s="4" t="n">
        <f aca="false">-G6*Assumptions!G17/100</f>
        <v>-3954.78565353476</v>
      </c>
      <c r="H12" s="4" t="n">
        <f aca="false">-H6*Assumptions!H17/100</f>
        <v>-3993.1529770392</v>
      </c>
      <c r="I12" s="4" t="n">
        <f aca="false">-I6*Assumptions!I17/100</f>
        <v>-4030.96692568541</v>
      </c>
      <c r="J12" s="4" t="n">
        <f aca="false">-J6*Assumptions!J17/100</f>
        <v>-4131.74109882754</v>
      </c>
      <c r="K12" s="4" t="n">
        <f aca="false">-K6*Assumptions!K17/100</f>
        <v>-4235.03462629823</v>
      </c>
      <c r="L12" s="4" t="n">
        <f aca="false">-L6*Assumptions!L17/100</f>
        <v>-4340.91049195568</v>
      </c>
    </row>
    <row r="13" customFormat="false" ht="15" hidden="false" customHeight="false" outlineLevel="0" collapsed="false">
      <c r="A13" s="0" t="s">
        <v>114</v>
      </c>
      <c r="C13" s="0" t="n">
        <f aca="false">C11+C12</f>
        <v>11405.6203441</v>
      </c>
      <c r="D13" s="0" t="n">
        <f aca="false">D11+D12</f>
        <v>9694.777292485</v>
      </c>
      <c r="E13" s="0" t="n">
        <f aca="false">E11+E12</f>
        <v>8355.75746408766</v>
      </c>
      <c r="F13" s="0" t="n">
        <f aca="false">F11+F12</f>
        <v>8522.87261336941</v>
      </c>
      <c r="G13" s="0" t="n">
        <f aca="false">G11+G12</f>
        <v>8794.97108024894</v>
      </c>
      <c r="H13" s="0" t="n">
        <f aca="false">H11+H12</f>
        <v>9075.34767508909</v>
      </c>
      <c r="I13" s="0" t="n">
        <f aca="false">I11+I12</f>
        <v>9364.2462427461</v>
      </c>
      <c r="J13" s="0" t="n">
        <f aca="false">J11+J12</f>
        <v>9598.35239881475</v>
      </c>
      <c r="K13" s="0" t="n">
        <f aca="false">K11+K12</f>
        <v>9838.31120878512</v>
      </c>
      <c r="L13" s="0" t="n">
        <f aca="false">L11+L12</f>
        <v>10084.2689890047</v>
      </c>
    </row>
    <row r="14" customFormat="false" ht="15" hidden="false" customHeight="false" outlineLevel="0" collapsed="false">
      <c r="A14" s="0" t="s">
        <v>100</v>
      </c>
      <c r="C14" s="4" t="n">
        <f aca="false">Assumptions!C19</f>
        <v>22</v>
      </c>
      <c r="D14" s="4" t="n">
        <f aca="false">Assumptions!D19</f>
        <v>23</v>
      </c>
      <c r="E14" s="4" t="n">
        <f aca="false">Assumptions!E19</f>
        <v>23</v>
      </c>
      <c r="F14" s="4" t="n">
        <f aca="false">Assumptions!F19</f>
        <v>24</v>
      </c>
      <c r="G14" s="4" t="n">
        <f aca="false">Assumptions!G19</f>
        <v>24</v>
      </c>
      <c r="H14" s="4" t="n">
        <f aca="false">Assumptions!H19</f>
        <v>25</v>
      </c>
      <c r="I14" s="4" t="n">
        <f aca="false">Assumptions!I19</f>
        <v>25</v>
      </c>
      <c r="J14" s="4" t="n">
        <f aca="false">Assumptions!J19</f>
        <v>25</v>
      </c>
      <c r="K14" s="4" t="n">
        <f aca="false">Assumptions!K19</f>
        <v>25</v>
      </c>
      <c r="L14" s="4" t="n">
        <f aca="false">Assumptions!L19</f>
        <v>25</v>
      </c>
    </row>
    <row r="15" customFormat="false" ht="15" hidden="false" customHeight="false" outlineLevel="0" collapsed="false">
      <c r="A15" s="0" t="s">
        <v>115</v>
      </c>
      <c r="C15" s="0" t="n">
        <f aca="false">C13-MAX(0,C13)*C14/100</f>
        <v>8896.383868398</v>
      </c>
      <c r="D15" s="0" t="n">
        <f aca="false">D13-MAX(0,D13)*D14/100</f>
        <v>7464.97851521345</v>
      </c>
      <c r="E15" s="0" t="n">
        <f aca="false">E13-MAX(0,E13)*E14/100</f>
        <v>6433.9332473475</v>
      </c>
      <c r="F15" s="0" t="n">
        <f aca="false">F13-MAX(0,F13)*F14/100</f>
        <v>6477.38318616076</v>
      </c>
      <c r="G15" s="0" t="n">
        <f aca="false">G13-MAX(0,G13)*G14/100</f>
        <v>6684.1780209892</v>
      </c>
      <c r="H15" s="0" t="n">
        <f aca="false">H13-MAX(0,H13)*H14/100</f>
        <v>6806.51075631682</v>
      </c>
      <c r="I15" s="0" t="n">
        <f aca="false">I13-MAX(0,I13)*I14/100</f>
        <v>7023.18468205957</v>
      </c>
      <c r="J15" s="0" t="n">
        <f aca="false">J13-MAX(0,J13)*J14/100</f>
        <v>7198.76429911106</v>
      </c>
      <c r="K15" s="0" t="n">
        <f aca="false">K13-MAX(0,K13)*K14/100</f>
        <v>7378.73340658884</v>
      </c>
      <c r="L15" s="0" t="n">
        <f aca="false">L13-MAX(0,L13)*L14/100</f>
        <v>7563.20174175356</v>
      </c>
    </row>
    <row r="16" customFormat="false" ht="15" hidden="false" customHeight="false" outlineLevel="0" collapsed="false">
      <c r="A16" s="0" t="s">
        <v>116</v>
      </c>
      <c r="C16" s="0" t="n">
        <f aca="false">-C12</f>
        <v>3613.6618912</v>
      </c>
      <c r="D16" s="0" t="n">
        <f aca="false">-D12</f>
        <v>3763.854713553</v>
      </c>
      <c r="E16" s="0" t="n">
        <f aca="false">-E12</f>
        <v>3839.13180782406</v>
      </c>
      <c r="F16" s="0" t="n">
        <f aca="false">-F12</f>
        <v>3915.91444398054</v>
      </c>
      <c r="G16" s="0" t="n">
        <f aca="false">-G12</f>
        <v>3954.78565353476</v>
      </c>
      <c r="H16" s="0" t="n">
        <f aca="false">-H12</f>
        <v>3993.1529770392</v>
      </c>
      <c r="I16" s="0" t="n">
        <f aca="false">-I12</f>
        <v>4030.96692568541</v>
      </c>
      <c r="J16" s="0" t="n">
        <f aca="false">-J12</f>
        <v>4131.74109882754</v>
      </c>
      <c r="K16" s="0" t="n">
        <f aca="false">-K12</f>
        <v>4235.03462629823</v>
      </c>
      <c r="L16" s="0" t="n">
        <f aca="false">-L12</f>
        <v>4340.91049195568</v>
      </c>
    </row>
    <row r="17" customFormat="false" ht="15" hidden="false" customHeight="false" outlineLevel="0" collapsed="false">
      <c r="A17" s="0" t="s">
        <v>117</v>
      </c>
      <c r="C17" s="4" t="n">
        <f aca="false">-C6*Assumptions!C18/100</f>
        <v>-5364.02936975</v>
      </c>
      <c r="D17" s="4" t="n">
        <f aca="false">-D6*Assumptions!D18/100</f>
        <v>-5417.6696634475</v>
      </c>
      <c r="E17" s="4" t="n">
        <f aca="false">-E6*Assumptions!E18/100</f>
        <v>-5081.20386329655</v>
      </c>
      <c r="F17" s="4" t="n">
        <f aca="false">-F6*Assumptions!F18/100</f>
        <v>-4894.89305497568</v>
      </c>
      <c r="G17" s="4" t="n">
        <f aca="false">-G6*Assumptions!G18/100</f>
        <v>-5017.26538135007</v>
      </c>
      <c r="H17" s="4" t="n">
        <f aca="false">-H6*Assumptions!H18/100</f>
        <v>-4840.18542671418</v>
      </c>
      <c r="I17" s="4" t="n">
        <f aca="false">-I6*Assumptions!I18/100</f>
        <v>-4961.19006238204</v>
      </c>
      <c r="J17" s="4" t="n">
        <f aca="false">-J6*Assumptions!J18/100</f>
        <v>-4767.39357557024</v>
      </c>
      <c r="K17" s="4" t="n">
        <f aca="false">-K6*Assumptions!K18/100</f>
        <v>-4886.5784149595</v>
      </c>
      <c r="L17" s="4" t="n">
        <f aca="false">-L6*Assumptions!L18/100</f>
        <v>-5008.74287533348</v>
      </c>
    </row>
    <row r="18" customFormat="false" ht="15" hidden="false" customHeight="false" outlineLevel="0" collapsed="false">
      <c r="A18" s="0" t="s">
        <v>118</v>
      </c>
      <c r="C18" s="4" t="n">
        <f aca="false">(C6-B6)*Assumptions!$B$23/100</f>
        <v>0</v>
      </c>
      <c r="D18" s="4" t="n">
        <f aca="false">(D6-C6)*Assumptions!$B$23/100</f>
        <v>0</v>
      </c>
      <c r="E18" s="4" t="n">
        <f aca="false">(E6-D6)*Assumptions!$B$23/100</f>
        <v>-0</v>
      </c>
      <c r="F18" s="4" t="n">
        <f aca="false">(F6-E6)*Assumptions!$B$23/100</f>
        <v>0</v>
      </c>
      <c r="G18" s="4" t="n">
        <f aca="false">(G6-F6)*Assumptions!$B$23/100</f>
        <v>0</v>
      </c>
      <c r="H18" s="4" t="n">
        <f aca="false">(H6-G6)*Assumptions!$B$23/100</f>
        <v>0</v>
      </c>
      <c r="I18" s="4" t="n">
        <f aca="false">(I6-H6)*Assumptions!$B$23/100</f>
        <v>0</v>
      </c>
      <c r="J18" s="4" t="n">
        <f aca="false">(J6-I6)*Assumptions!$B$23/100</f>
        <v>0</v>
      </c>
      <c r="K18" s="4" t="n">
        <f aca="false">(K6-J6)*Assumptions!$B$23/100</f>
        <v>0</v>
      </c>
      <c r="L18" s="4" t="n">
        <f aca="false">(L6-K6)*Assumptions!$B$23/100</f>
        <v>0</v>
      </c>
    </row>
    <row r="19" customFormat="false" ht="15" hidden="false" customHeight="false" outlineLevel="0" collapsed="false">
      <c r="A19" s="0" t="s">
        <v>119</v>
      </c>
      <c r="C19" s="0" t="n">
        <f aca="false">C15+C16+C17+C18</f>
        <v>7146.016389848</v>
      </c>
      <c r="D19" s="0" t="n">
        <f aca="false">D15+D16+D17+D18</f>
        <v>5811.16356531895</v>
      </c>
      <c r="E19" s="0" t="n">
        <f aca="false">E15+E16+E17+E18</f>
        <v>5191.86119187501</v>
      </c>
      <c r="F19" s="0" t="n">
        <f aca="false">F15+F16+F17+F18</f>
        <v>5498.40457516562</v>
      </c>
      <c r="G19" s="0" t="n">
        <f aca="false">G15+G16+G17+G18</f>
        <v>5621.69829317389</v>
      </c>
      <c r="H19" s="0" t="n">
        <f aca="false">H15+H16+H17+H18</f>
        <v>5959.47830664184</v>
      </c>
      <c r="I19" s="0" t="n">
        <f aca="false">I15+I16+I17+I18</f>
        <v>6092.96154536294</v>
      </c>
      <c r="J19" s="0" t="n">
        <f aca="false">J15+J16+J17+J18</f>
        <v>6563.11182236836</v>
      </c>
      <c r="K19" s="0" t="n">
        <f aca="false">K15+K16+K17+K18</f>
        <v>6727.18961792757</v>
      </c>
      <c r="L19" s="0" t="n">
        <f aca="false">L15+L16+L17+L18</f>
        <v>6895.36935837576</v>
      </c>
    </row>
    <row r="20" customFormat="false" ht="15" hidden="false" customHeight="false" outlineLevel="0" collapsed="false">
      <c r="A20" s="0" t="s">
        <v>120</v>
      </c>
      <c r="C20" s="0" t="n">
        <f aca="false">1/(1+$B$27/100)^C4</f>
        <v>0.91743119266055</v>
      </c>
      <c r="D20" s="0" t="n">
        <f aca="false">1/(1+$B$27/100)^D4</f>
        <v>0.84167999326656</v>
      </c>
      <c r="E20" s="0" t="n">
        <f aca="false">1/(1+$B$27/100)^E4</f>
        <v>0.772183480061064</v>
      </c>
      <c r="F20" s="0" t="n">
        <f aca="false">1/(1+$B$27/100)^F4</f>
        <v>0.708425211065196</v>
      </c>
      <c r="G20" s="0" t="n">
        <f aca="false">1/(1+$B$27/100)^G4</f>
        <v>0.649931386298345</v>
      </c>
      <c r="H20" s="0" t="n">
        <f aca="false">1/(1+$B$27/100)^H4</f>
        <v>0.596267326879216</v>
      </c>
      <c r="I20" s="0" t="n">
        <f aca="false">1/(1+$B$27/100)^I4</f>
        <v>0.547034244843317</v>
      </c>
      <c r="J20" s="0" t="n">
        <f aca="false">1/(1+$B$27/100)^J4</f>
        <v>0.501866279672768</v>
      </c>
      <c r="K20" s="0" t="n">
        <f aca="false">1/(1+$B$27/100)^K4</f>
        <v>0.460427779516301</v>
      </c>
      <c r="L20" s="0" t="n">
        <f aca="false">1/(1+$B$27/100)^L4</f>
        <v>0.422410806895689</v>
      </c>
    </row>
    <row r="21" customFormat="false" ht="15" hidden="false" customHeight="false" outlineLevel="0" collapsed="false">
      <c r="A21" s="0" t="s">
        <v>121</v>
      </c>
      <c r="C21" s="0" t="n">
        <f aca="false">C19*C20</f>
        <v>6555.97833931009</v>
      </c>
      <c r="D21" s="0" t="n">
        <f aca="false">D19*D20</f>
        <v>4891.14011052853</v>
      </c>
      <c r="E21" s="0" t="n">
        <f aca="false">E19*E20</f>
        <v>4009.06944313603</v>
      </c>
      <c r="F21" s="0" t="n">
        <f aca="false">F19*F20</f>
        <v>3895.20842168355</v>
      </c>
      <c r="G21" s="0" t="n">
        <f aca="false">G19*G20</f>
        <v>3653.71816503355</v>
      </c>
      <c r="H21" s="0" t="n">
        <f aca="false">H19*H20</f>
        <v>3553.442199496</v>
      </c>
      <c r="I21" s="0" t="n">
        <f aca="false">I19*I20</f>
        <v>3333.05861782699</v>
      </c>
      <c r="J21" s="0" t="n">
        <f aca="false">J19*J20</f>
        <v>3293.80451336837</v>
      </c>
      <c r="K21" s="0" t="n">
        <f aca="false">K19*K20</f>
        <v>3097.3849781675</v>
      </c>
      <c r="L21" s="0" t="n">
        <f aca="false">L19*L20</f>
        <v>2912.67853451531</v>
      </c>
    </row>
    <row r="23" customFormat="false" ht="15" hidden="false" customHeight="false" outlineLevel="0" collapsed="false">
      <c r="A23" s="0" t="s">
        <v>97</v>
      </c>
      <c r="C23" s="4" t="n">
        <f aca="false">Assumptions!C16</f>
        <v>0</v>
      </c>
      <c r="D23" s="4" t="n">
        <f aca="false">Assumptions!D16</f>
        <v>0</v>
      </c>
      <c r="E23" s="4" t="n">
        <f aca="false">Assumptions!E16</f>
        <v>0</v>
      </c>
      <c r="F23" s="4" t="n">
        <f aca="false">Assumptions!F16</f>
        <v>0</v>
      </c>
      <c r="G23" s="4" t="n">
        <f aca="false">Assumptions!G16</f>
        <v>0</v>
      </c>
      <c r="H23" s="4" t="n">
        <f aca="false">Assumptions!H16</f>
        <v>0</v>
      </c>
      <c r="I23" s="4" t="n">
        <f aca="false">Assumptions!I16</f>
        <v>0</v>
      </c>
      <c r="J23" s="4" t="n">
        <f aca="false">Assumptions!J16</f>
        <v>0</v>
      </c>
      <c r="K23" s="4" t="n">
        <f aca="false">Assumptions!K16</f>
        <v>0</v>
      </c>
      <c r="L23" s="4" t="n">
        <f aca="false">Assumptions!L16</f>
        <v>0</v>
      </c>
    </row>
    <row r="24" customFormat="false" ht="15" hidden="false" customHeight="false" outlineLevel="0" collapsed="false">
      <c r="A24" s="0" t="s">
        <v>122</v>
      </c>
      <c r="C24" s="0" t="n">
        <f aca="false">-C6*C23/100</f>
        <v>-0</v>
      </c>
      <c r="D24" s="0" t="n">
        <f aca="false">-D6*D23/100</f>
        <v>-0</v>
      </c>
      <c r="E24" s="0" t="n">
        <f aca="false">-E6*E23/100</f>
        <v>-0</v>
      </c>
      <c r="F24" s="0" t="n">
        <f aca="false">-F6*F23/100</f>
        <v>-0</v>
      </c>
      <c r="G24" s="0" t="n">
        <f aca="false">-G6*G23/100</f>
        <v>-0</v>
      </c>
      <c r="H24" s="0" t="n">
        <f aca="false">-H6*H23/100</f>
        <v>-0</v>
      </c>
      <c r="I24" s="0" t="n">
        <f aca="false">-I6*I23/100</f>
        <v>-0</v>
      </c>
      <c r="J24" s="0" t="n">
        <f aca="false">-J6*J23/100</f>
        <v>-0</v>
      </c>
      <c r="K24" s="0" t="n">
        <f aca="false">-K6*K23/100</f>
        <v>-0</v>
      </c>
      <c r="L24" s="0" t="n">
        <f aca="false">-L6*L23/100</f>
        <v>-0</v>
      </c>
    </row>
    <row r="26" customFormat="false" ht="15" hidden="false" customHeight="false" outlineLevel="0" collapsed="false">
      <c r="A26" s="2" t="s">
        <v>123</v>
      </c>
    </row>
    <row r="27" customFormat="false" ht="15" hidden="false" customHeight="false" outlineLevel="0" collapsed="false">
      <c r="A27" s="0" t="s">
        <v>101</v>
      </c>
      <c r="B27" s="4" t="n">
        <f aca="false">Assumptions!$B$20</f>
        <v>9</v>
      </c>
    </row>
    <row r="28" customFormat="false" ht="15" hidden="false" customHeight="false" outlineLevel="0" collapsed="false">
      <c r="A28" s="0" t="s">
        <v>102</v>
      </c>
      <c r="B28" s="4" t="n">
        <f aca="false">Assumptions!$B$21</f>
        <v>2</v>
      </c>
    </row>
    <row r="29" customFormat="false" ht="15" hidden="false" customHeight="false" outlineLevel="0" collapsed="false">
      <c r="A29" s="0" t="s">
        <v>103</v>
      </c>
      <c r="B29" s="4" t="n">
        <f aca="false">Assumptions!$B$22</f>
        <v>15</v>
      </c>
    </row>
    <row r="30" customFormat="false" ht="15" hidden="false" customHeight="false" outlineLevel="0" collapsed="false">
      <c r="A30" s="0" t="s">
        <v>124</v>
      </c>
      <c r="B30" s="0" t="n">
        <f aca="false">SUM(C21:L21)</f>
        <v>39195.4833230659</v>
      </c>
    </row>
    <row r="31" customFormat="false" ht="15" hidden="false" customHeight="false" outlineLevel="0" collapsed="false">
      <c r="A31" s="0" t="s">
        <v>125</v>
      </c>
      <c r="B31" s="0" t="n">
        <f aca="false">L19</f>
        <v>6895.36935837576</v>
      </c>
    </row>
    <row r="32" customFormat="false" ht="15" hidden="false" customHeight="false" outlineLevel="0" collapsed="false">
      <c r="A32" s="0" t="s">
        <v>126</v>
      </c>
      <c r="B32" s="0" t="n">
        <f aca="false">IF(B27&gt;B28,B31*(1+B28/100)/((B27-B28)/100),B31*B29)</f>
        <v>100475.38207919</v>
      </c>
    </row>
    <row r="33" customFormat="false" ht="15" hidden="false" customHeight="false" outlineLevel="0" collapsed="false">
      <c r="A33" s="0" t="s">
        <v>127</v>
      </c>
      <c r="B33" s="0" t="n">
        <f aca="false">B31*B29</f>
        <v>103430.540375636</v>
      </c>
    </row>
    <row r="34" customFormat="false" ht="15" hidden="false" customHeight="false" outlineLevel="0" collapsed="false">
      <c r="A34" s="0" t="s">
        <v>128</v>
      </c>
      <c r="B34" s="0" t="n">
        <f aca="false">MAX(0,MIN(B32,B33))</f>
        <v>100475.38207919</v>
      </c>
    </row>
    <row r="35" customFormat="false" ht="15" hidden="false" customHeight="false" outlineLevel="0" collapsed="false">
      <c r="A35" s="0" t="s">
        <v>129</v>
      </c>
      <c r="B35" s="0" t="n">
        <f aca="false">B34/(1+B27/100)^L4</f>
        <v>42441.8872172231</v>
      </c>
    </row>
    <row r="36" customFormat="false" ht="15" hidden="false" customHeight="false" outlineLevel="0" collapsed="false">
      <c r="A36" s="0" t="s">
        <v>130</v>
      </c>
      <c r="B36" s="0" t="n">
        <f aca="false">B30+B35</f>
        <v>81637.3705402891</v>
      </c>
    </row>
    <row r="37" customFormat="false" ht="15" hidden="false" customHeight="false" outlineLevel="0" collapsed="false">
      <c r="A37" s="0" t="s">
        <v>131</v>
      </c>
      <c r="B37" s="0" t="n">
        <f aca="false">B36+Assumptions!$B$5-Assumptions!$B$4</f>
        <v>99568.7835402891</v>
      </c>
    </row>
    <row r="38" customFormat="false" ht="15" hidden="false" customHeight="false" outlineLevel="0" collapsed="false">
      <c r="A38" s="0" t="s">
        <v>132</v>
      </c>
      <c r="B38" s="0" t="n">
        <f aca="false">B37/Assumptions!$B$3*Assumptions!$B$10</f>
        <v>153.39611277613</v>
      </c>
    </row>
    <row r="39" customFormat="false" ht="15" hidden="false" customHeight="false" outlineLevel="0" collapsed="false">
      <c r="A39" s="0" t="s">
        <v>133</v>
      </c>
      <c r="B39" s="4" t="n">
        <f aca="false">B38/Assumptions!$B$2-1</f>
        <v>-0.0309784410857236</v>
      </c>
    </row>
    <row r="41" customFormat="false" ht="15" hidden="false" customHeight="false" outlineLevel="0" collapsed="false">
      <c r="A41" s="0" t="s">
        <v>134</v>
      </c>
      <c r="B41" s="0" t="n">
        <f aca="false">SUMPRODUCT(-C10:L10/(1+$B$27/100)^C4:L4)</f>
        <v>1530.66325022615</v>
      </c>
    </row>
    <row r="42" customFormat="false" ht="15" hidden="false" customHeight="false" outlineLevel="0" collapsed="false">
      <c r="A42" s="0" t="s">
        <v>135</v>
      </c>
      <c r="B42" s="0" t="n">
        <f aca="false">IF(B27&gt;B28,-L10*(1+B28/100)/((B27-B28)/100),-L10*20)/(1+B27/100)^L4</f>
        <v>1644.23776144206</v>
      </c>
    </row>
    <row r="43" customFormat="false" ht="15" hidden="false" customHeight="false" outlineLevel="0" collapsed="false">
      <c r="A43" s="0" t="s">
        <v>136</v>
      </c>
      <c r="B43" s="0" t="n">
        <f aca="false">(B37+B41+B42)/Assumptions!$B$3*Assumptions!$B$10</f>
        <v>158.287379459546</v>
      </c>
    </row>
    <row r="45" customFormat="false" ht="15" hidden="false" customHeight="false" outlineLevel="0" collapsed="false">
      <c r="A45" s="0" t="s">
        <v>77</v>
      </c>
      <c r="B45" s="4" t="n">
        <f aca="false">Assumptions!$B$6</f>
        <v>15</v>
      </c>
    </row>
    <row r="46" customFormat="false" ht="15" hidden="false" customHeight="false" outlineLevel="0" collapsed="false">
      <c r="A46" s="0" t="s">
        <v>137</v>
      </c>
      <c r="B46" s="0" t="n">
        <f aca="false">MAX(0,MIN(IF(B45&gt;B28,B31*(1+B28/100)/((B45-B28)/100),B31*B29),B31*B29))</f>
        <v>54102.1288118714</v>
      </c>
    </row>
    <row r="47" customFormat="false" ht="15" hidden="false" customHeight="false" outlineLevel="0" collapsed="false">
      <c r="A47" s="0" t="s">
        <v>138</v>
      </c>
      <c r="B47" s="0" t="n">
        <f aca="false">(SUMPRODUCT(C19:L19/(1+B45/100)^C4:L4)+B46/(1+B45/100)^L4+Assumptions!$B$5-Assumptions!$B$4)/Assumptions!$B$3*Assumptions!$B$10</f>
        <v>95.3546376705691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4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52"/>
  </cols>
  <sheetData>
    <row r="1" customFormat="false" ht="15" hidden="false" customHeight="false" outlineLevel="0" collapsed="false">
      <c r="A1" s="2" t="s">
        <v>139</v>
      </c>
    </row>
    <row r="3" customFormat="false" ht="15" hidden="false" customHeight="false" outlineLevel="0" collapsed="false">
      <c r="A3" s="0" t="s">
        <v>109</v>
      </c>
      <c r="B3" s="0" t="s">
        <v>70</v>
      </c>
      <c r="C3" s="2" t="s">
        <v>84</v>
      </c>
      <c r="D3" s="2" t="s">
        <v>85</v>
      </c>
      <c r="E3" s="2" t="s">
        <v>86</v>
      </c>
      <c r="F3" s="2" t="s">
        <v>87</v>
      </c>
      <c r="G3" s="2" t="s">
        <v>88</v>
      </c>
      <c r="H3" s="2" t="s">
        <v>89</v>
      </c>
      <c r="I3" s="2" t="s">
        <v>90</v>
      </c>
      <c r="J3" s="2" t="s">
        <v>91</v>
      </c>
      <c r="K3" s="2" t="s">
        <v>92</v>
      </c>
      <c r="L3" s="2" t="s">
        <v>93</v>
      </c>
    </row>
    <row r="4" customFormat="false" ht="15" hidden="false" customHeight="false" outlineLevel="0" collapsed="false">
      <c r="A4" s="0" t="s">
        <v>110</v>
      </c>
      <c r="B4" s="0" t="n">
        <v>0</v>
      </c>
      <c r="C4" s="0" t="n">
        <f aca="false">B4+1</f>
        <v>1</v>
      </c>
      <c r="D4" s="0" t="n">
        <f aca="false">C4+1</f>
        <v>2</v>
      </c>
      <c r="E4" s="0" t="n">
        <f aca="false">D4+1</f>
        <v>3</v>
      </c>
      <c r="F4" s="0" t="n">
        <f aca="false">E4+1</f>
        <v>4</v>
      </c>
      <c r="G4" s="0" t="n">
        <f aca="false">F4+1</f>
        <v>5</v>
      </c>
      <c r="H4" s="0" t="n">
        <f aca="false">G4+1</f>
        <v>6</v>
      </c>
      <c r="I4" s="0" t="n">
        <f aca="false">H4+1</f>
        <v>7</v>
      </c>
      <c r="J4" s="0" t="n">
        <f aca="false">I4+1</f>
        <v>8</v>
      </c>
      <c r="K4" s="0" t="n">
        <f aca="false">J4+1</f>
        <v>9</v>
      </c>
      <c r="L4" s="0" t="n">
        <f aca="false">K4+1</f>
        <v>10</v>
      </c>
    </row>
    <row r="5" customFormat="false" ht="15" hidden="false" customHeight="false" outlineLevel="0" collapsed="false">
      <c r="A5" s="0" t="s">
        <v>94</v>
      </c>
      <c r="C5" s="4" t="n">
        <f aca="false">Assumptions!C27</f>
        <v>17</v>
      </c>
      <c r="D5" s="4" t="n">
        <f aca="false">Assumptions!D27</f>
        <v>7</v>
      </c>
      <c r="E5" s="4" t="n">
        <f aca="false">Assumptions!E27</f>
        <v>6</v>
      </c>
      <c r="F5" s="4" t="n">
        <f aca="false">Assumptions!F27</f>
        <v>5</v>
      </c>
      <c r="G5" s="4" t="n">
        <f aca="false">Assumptions!G27</f>
        <v>4.5</v>
      </c>
      <c r="H5" s="4" t="n">
        <f aca="false">Assumptions!H27</f>
        <v>4</v>
      </c>
      <c r="I5" s="4" t="n">
        <f aca="false">Assumptions!I27</f>
        <v>3.5</v>
      </c>
      <c r="J5" s="4" t="n">
        <f aca="false">Assumptions!J27</f>
        <v>3</v>
      </c>
      <c r="K5" s="4" t="n">
        <f aca="false">Assumptions!K27</f>
        <v>3</v>
      </c>
      <c r="L5" s="4" t="n">
        <f aca="false">Assumptions!L27</f>
        <v>2.5</v>
      </c>
    </row>
    <row r="6" customFormat="false" ht="15" hidden="false" customHeight="false" outlineLevel="0" collapsed="false">
      <c r="A6" s="0" t="s">
        <v>38</v>
      </c>
      <c r="B6" s="3" t="n">
        <v>49098.667</v>
      </c>
      <c r="C6" s="0" t="n">
        <f aca="false">B6*(1+C5/100)</f>
        <v>57445.44039</v>
      </c>
      <c r="D6" s="0" t="n">
        <f aca="false">C6*(1+D5/100)</f>
        <v>61466.6212173</v>
      </c>
      <c r="E6" s="0" t="n">
        <f aca="false">D6*(1+E5/100)</f>
        <v>65154.618490338</v>
      </c>
      <c r="F6" s="0" t="n">
        <f aca="false">E6*(1+F5/100)</f>
        <v>68412.3494148549</v>
      </c>
      <c r="G6" s="0" t="n">
        <f aca="false">F6*(1+G5/100)</f>
        <v>71490.9051385234</v>
      </c>
      <c r="H6" s="0" t="n">
        <f aca="false">G6*(1+H5/100)</f>
        <v>74350.5413440643</v>
      </c>
      <c r="I6" s="0" t="n">
        <f aca="false">H6*(1+I5/100)</f>
        <v>76952.8102911066</v>
      </c>
      <c r="J6" s="0" t="n">
        <f aca="false">I6*(1+J5/100)</f>
        <v>79261.3945998398</v>
      </c>
      <c r="K6" s="0" t="n">
        <f aca="false">J6*(1+K5/100)</f>
        <v>81639.236437835</v>
      </c>
      <c r="L6" s="0" t="n">
        <f aca="false">K6*(1+L5/100)</f>
        <v>83680.2173487808</v>
      </c>
    </row>
    <row r="7" customFormat="false" ht="15" hidden="false" customHeight="false" outlineLevel="0" collapsed="false">
      <c r="A7" s="0" t="s">
        <v>95</v>
      </c>
      <c r="C7" s="4" t="n">
        <f aca="false">Assumptions!C28</f>
        <v>27.5</v>
      </c>
      <c r="D7" s="4" t="n">
        <f aca="false">Assumptions!D28</f>
        <v>27.5</v>
      </c>
      <c r="E7" s="4" t="n">
        <f aca="false">Assumptions!E28</f>
        <v>27.5</v>
      </c>
      <c r="F7" s="4" t="n">
        <f aca="false">Assumptions!F28</f>
        <v>27.5</v>
      </c>
      <c r="G7" s="4" t="n">
        <f aca="false">Assumptions!G28</f>
        <v>27.5</v>
      </c>
      <c r="H7" s="4" t="n">
        <f aca="false">Assumptions!H28</f>
        <v>27.5</v>
      </c>
      <c r="I7" s="4" t="n">
        <f aca="false">Assumptions!I28</f>
        <v>27.5</v>
      </c>
      <c r="J7" s="4" t="n">
        <f aca="false">Assumptions!J28</f>
        <v>27.5</v>
      </c>
      <c r="K7" s="4" t="n">
        <f aca="false">Assumptions!K28</f>
        <v>27.5</v>
      </c>
      <c r="L7" s="4" t="n">
        <f aca="false">Assumptions!L28</f>
        <v>27.5</v>
      </c>
    </row>
    <row r="8" customFormat="false" ht="15" hidden="false" customHeight="false" outlineLevel="0" collapsed="false">
      <c r="A8" s="0" t="s">
        <v>44</v>
      </c>
      <c r="C8" s="0" t="n">
        <f aca="false">C6*C7/100</f>
        <v>15797.49610725</v>
      </c>
      <c r="D8" s="0" t="n">
        <f aca="false">D6*D7/100</f>
        <v>16903.3208347575</v>
      </c>
      <c r="E8" s="0" t="n">
        <f aca="false">E6*E7/100</f>
        <v>17917.520084843</v>
      </c>
      <c r="F8" s="0" t="n">
        <f aca="false">F6*F7/100</f>
        <v>18813.3960890851</v>
      </c>
      <c r="G8" s="0" t="n">
        <f aca="false">G6*G7/100</f>
        <v>19659.9989130939</v>
      </c>
      <c r="H8" s="0" t="n">
        <f aca="false">H6*H7/100</f>
        <v>20446.3988696177</v>
      </c>
      <c r="I8" s="0" t="n">
        <f aca="false">I6*I7/100</f>
        <v>21162.0228300543</v>
      </c>
      <c r="J8" s="0" t="n">
        <f aca="false">J6*J7/100</f>
        <v>21796.8835149559</v>
      </c>
      <c r="K8" s="0" t="n">
        <f aca="false">K6*K7/100</f>
        <v>22450.7900204046</v>
      </c>
      <c r="L8" s="0" t="n">
        <f aca="false">L6*L7/100</f>
        <v>23012.0597709147</v>
      </c>
    </row>
    <row r="9" customFormat="false" ht="15" hidden="false" customHeight="false" outlineLevel="0" collapsed="false">
      <c r="A9" s="0" t="s">
        <v>96</v>
      </c>
      <c r="C9" s="4" t="n">
        <f aca="false">Assumptions!C29</f>
        <v>0.4</v>
      </c>
      <c r="D9" s="4" t="n">
        <f aca="false">Assumptions!D29</f>
        <v>0.4</v>
      </c>
      <c r="E9" s="4" t="n">
        <f aca="false">Assumptions!E29</f>
        <v>0.4</v>
      </c>
      <c r="F9" s="4" t="n">
        <f aca="false">Assumptions!F29</f>
        <v>0.4</v>
      </c>
      <c r="G9" s="4" t="n">
        <f aca="false">Assumptions!G29</f>
        <v>0.4</v>
      </c>
      <c r="H9" s="4" t="n">
        <f aca="false">Assumptions!H29</f>
        <v>0.4</v>
      </c>
      <c r="I9" s="4" t="n">
        <f aca="false">Assumptions!I29</f>
        <v>0.4</v>
      </c>
      <c r="J9" s="4" t="n">
        <f aca="false">Assumptions!J29</f>
        <v>0.4</v>
      </c>
      <c r="K9" s="4" t="n">
        <f aca="false">Assumptions!K29</f>
        <v>0.4</v>
      </c>
      <c r="L9" s="4" t="n">
        <f aca="false">Assumptions!L29</f>
        <v>0.4</v>
      </c>
    </row>
    <row r="10" customFormat="false" ht="15" hidden="false" customHeight="false" outlineLevel="0" collapsed="false">
      <c r="A10" s="0" t="s">
        <v>111</v>
      </c>
      <c r="C10" s="0" t="n">
        <f aca="false">-C6*C9/100</f>
        <v>-229.78176156</v>
      </c>
      <c r="D10" s="0" t="n">
        <f aca="false">-D6*D9/100</f>
        <v>-245.8664848692</v>
      </c>
      <c r="E10" s="0" t="n">
        <f aca="false">-E6*E9/100</f>
        <v>-260.618473961352</v>
      </c>
      <c r="F10" s="0" t="n">
        <f aca="false">-F6*F9/100</f>
        <v>-273.64939765942</v>
      </c>
      <c r="G10" s="0" t="n">
        <f aca="false">-G6*G9/100</f>
        <v>-285.963620554094</v>
      </c>
      <c r="H10" s="0" t="n">
        <f aca="false">-H6*H9/100</f>
        <v>-297.402165376257</v>
      </c>
      <c r="I10" s="0" t="n">
        <f aca="false">-I6*I9/100</f>
        <v>-307.811241164426</v>
      </c>
      <c r="J10" s="0" t="n">
        <f aca="false">-J6*J9/100</f>
        <v>-317.045578399359</v>
      </c>
      <c r="K10" s="0" t="n">
        <f aca="false">-K6*K9/100</f>
        <v>-326.55694575134</v>
      </c>
      <c r="L10" s="0" t="n">
        <f aca="false">-L6*L9/100</f>
        <v>-334.720869395123</v>
      </c>
    </row>
    <row r="11" customFormat="false" ht="15" hidden="false" customHeight="false" outlineLevel="0" collapsed="false">
      <c r="A11" s="0" t="s">
        <v>112</v>
      </c>
      <c r="C11" s="0" t="n">
        <f aca="false">C8+C10+C24</f>
        <v>15567.71434569</v>
      </c>
      <c r="D11" s="0" t="n">
        <f aca="false">D8+D10+D24</f>
        <v>16657.4543498883</v>
      </c>
      <c r="E11" s="0" t="n">
        <f aca="false">E8+E10+E24</f>
        <v>17656.9016108816</v>
      </c>
      <c r="F11" s="0" t="n">
        <f aca="false">F8+F10+F24</f>
        <v>18539.7466914257</v>
      </c>
      <c r="G11" s="0" t="n">
        <f aca="false">G8+G10+G24</f>
        <v>19374.0352925398</v>
      </c>
      <c r="H11" s="0" t="n">
        <f aca="false">H8+H10+H24</f>
        <v>20148.9967042414</v>
      </c>
      <c r="I11" s="0" t="n">
        <f aca="false">I8+I10+I24</f>
        <v>20854.2115888899</v>
      </c>
      <c r="J11" s="0" t="n">
        <f aca="false">J8+J10+J24</f>
        <v>21479.8379365566</v>
      </c>
      <c r="K11" s="0" t="n">
        <f aca="false">K8+K10+K24</f>
        <v>22124.2330746533</v>
      </c>
      <c r="L11" s="0" t="n">
        <f aca="false">L8+L10+L24</f>
        <v>22677.3389015196</v>
      </c>
    </row>
    <row r="12" customFormat="false" ht="15" hidden="false" customHeight="false" outlineLevel="0" collapsed="false">
      <c r="A12" s="0" t="s">
        <v>113</v>
      </c>
      <c r="C12" s="4" t="n">
        <f aca="false">-C6*Assumptions!C31/100</f>
        <v>-3619.06274457</v>
      </c>
      <c r="D12" s="4" t="n">
        <f aca="false">-D6*Assumptions!D31/100</f>
        <v>-3872.3971366899</v>
      </c>
      <c r="E12" s="4" t="n">
        <f aca="false">-E6*Assumptions!E31/100</f>
        <v>-4104.74096489129</v>
      </c>
      <c r="F12" s="4" t="n">
        <f aca="false">-F6*Assumptions!F31/100</f>
        <v>-4241.565663721</v>
      </c>
      <c r="G12" s="4" t="n">
        <f aca="false">-G6*Assumptions!G31/100</f>
        <v>-4432.43611858845</v>
      </c>
      <c r="H12" s="4" t="n">
        <f aca="false">-H6*Assumptions!H31/100</f>
        <v>-4535.38302198792</v>
      </c>
      <c r="I12" s="4" t="n">
        <f aca="false">-I6*Assumptions!I31/100</f>
        <v>-4617.16861746639</v>
      </c>
      <c r="J12" s="4" t="n">
        <f aca="false">-J6*Assumptions!J31/100</f>
        <v>-4755.68367599039</v>
      </c>
      <c r="K12" s="4" t="n">
        <f aca="false">-K6*Assumptions!K31/100</f>
        <v>-4898.3541862701</v>
      </c>
      <c r="L12" s="4" t="n">
        <f aca="false">-L6*Assumptions!L31/100</f>
        <v>-5020.81304092685</v>
      </c>
    </row>
    <row r="13" customFormat="false" ht="15" hidden="false" customHeight="false" outlineLevel="0" collapsed="false">
      <c r="A13" s="0" t="s">
        <v>114</v>
      </c>
      <c r="C13" s="0" t="n">
        <f aca="false">C11+C12</f>
        <v>11948.65160112</v>
      </c>
      <c r="D13" s="0" t="n">
        <f aca="false">D11+D12</f>
        <v>12785.0572131984</v>
      </c>
      <c r="E13" s="0" t="n">
        <f aca="false">E11+E12</f>
        <v>13552.1606459903</v>
      </c>
      <c r="F13" s="0" t="n">
        <f aca="false">F11+F12</f>
        <v>14298.1810277047</v>
      </c>
      <c r="G13" s="0" t="n">
        <f aca="false">G11+G12</f>
        <v>14941.5991739514</v>
      </c>
      <c r="H13" s="0" t="n">
        <f aca="false">H11+H12</f>
        <v>15613.6136822535</v>
      </c>
      <c r="I13" s="0" t="n">
        <f aca="false">I11+I12</f>
        <v>16237.0429714235</v>
      </c>
      <c r="J13" s="0" t="n">
        <f aca="false">J11+J12</f>
        <v>16724.1542605662</v>
      </c>
      <c r="K13" s="0" t="n">
        <f aca="false">K11+K12</f>
        <v>17225.8788883832</v>
      </c>
      <c r="L13" s="0" t="n">
        <f aca="false">L11+L12</f>
        <v>17656.5258605928</v>
      </c>
    </row>
    <row r="14" customFormat="false" ht="15" hidden="false" customHeight="false" outlineLevel="0" collapsed="false">
      <c r="A14" s="0" t="s">
        <v>100</v>
      </c>
      <c r="C14" s="4" t="n">
        <f aca="false">Assumptions!C33</f>
        <v>22</v>
      </c>
      <c r="D14" s="4" t="n">
        <f aca="false">Assumptions!D33</f>
        <v>23</v>
      </c>
      <c r="E14" s="4" t="n">
        <f aca="false">Assumptions!E33</f>
        <v>23</v>
      </c>
      <c r="F14" s="4" t="n">
        <f aca="false">Assumptions!F33</f>
        <v>24</v>
      </c>
      <c r="G14" s="4" t="n">
        <f aca="false">Assumptions!G33</f>
        <v>24</v>
      </c>
      <c r="H14" s="4" t="n">
        <f aca="false">Assumptions!H33</f>
        <v>25</v>
      </c>
      <c r="I14" s="4" t="n">
        <f aca="false">Assumptions!I33</f>
        <v>25</v>
      </c>
      <c r="J14" s="4" t="n">
        <f aca="false">Assumptions!J33</f>
        <v>25</v>
      </c>
      <c r="K14" s="4" t="n">
        <f aca="false">Assumptions!K33</f>
        <v>25</v>
      </c>
      <c r="L14" s="4" t="n">
        <f aca="false">Assumptions!L33</f>
        <v>25</v>
      </c>
    </row>
    <row r="15" customFormat="false" ht="15" hidden="false" customHeight="false" outlineLevel="0" collapsed="false">
      <c r="A15" s="0" t="s">
        <v>115</v>
      </c>
      <c r="C15" s="0" t="n">
        <f aca="false">C13-MAX(0,C13)*C14/100</f>
        <v>9319.9482488736</v>
      </c>
      <c r="D15" s="0" t="n">
        <f aca="false">D13-MAX(0,D13)*D14/100</f>
        <v>9844.49405416277</v>
      </c>
      <c r="E15" s="0" t="n">
        <f aca="false">E13-MAX(0,E13)*E14/100</f>
        <v>10435.1636974125</v>
      </c>
      <c r="F15" s="0" t="n">
        <f aca="false">F13-MAX(0,F13)*F14/100</f>
        <v>10866.6175810556</v>
      </c>
      <c r="G15" s="0" t="n">
        <f aca="false">G13-MAX(0,G13)*G14/100</f>
        <v>11355.6153722031</v>
      </c>
      <c r="H15" s="0" t="n">
        <f aca="false">H13-MAX(0,H13)*H14/100</f>
        <v>11710.2102616901</v>
      </c>
      <c r="I15" s="0" t="n">
        <f aca="false">I13-MAX(0,I13)*I14/100</f>
        <v>12177.7822285676</v>
      </c>
      <c r="J15" s="0" t="n">
        <f aca="false">J13-MAX(0,J13)*J14/100</f>
        <v>12543.1156954246</v>
      </c>
      <c r="K15" s="0" t="n">
        <f aca="false">K13-MAX(0,K13)*K14/100</f>
        <v>12919.4091662874</v>
      </c>
      <c r="L15" s="0" t="n">
        <f aca="false">L13-MAX(0,L13)*L14/100</f>
        <v>13242.3943954446</v>
      </c>
    </row>
    <row r="16" customFormat="false" ht="15" hidden="false" customHeight="false" outlineLevel="0" collapsed="false">
      <c r="A16" s="0" t="s">
        <v>116</v>
      </c>
      <c r="C16" s="0" t="n">
        <f aca="false">-C12</f>
        <v>3619.06274457</v>
      </c>
      <c r="D16" s="0" t="n">
        <f aca="false">-D12</f>
        <v>3872.3971366899</v>
      </c>
      <c r="E16" s="0" t="n">
        <f aca="false">-E12</f>
        <v>4104.74096489129</v>
      </c>
      <c r="F16" s="0" t="n">
        <f aca="false">-F12</f>
        <v>4241.565663721</v>
      </c>
      <c r="G16" s="0" t="n">
        <f aca="false">-G12</f>
        <v>4432.43611858845</v>
      </c>
      <c r="H16" s="0" t="n">
        <f aca="false">-H12</f>
        <v>4535.38302198792</v>
      </c>
      <c r="I16" s="0" t="n">
        <f aca="false">-I12</f>
        <v>4617.16861746639</v>
      </c>
      <c r="J16" s="0" t="n">
        <f aca="false">-J12</f>
        <v>4755.68367599039</v>
      </c>
      <c r="K16" s="0" t="n">
        <f aca="false">-K12</f>
        <v>4898.3541862701</v>
      </c>
      <c r="L16" s="0" t="n">
        <f aca="false">-L12</f>
        <v>5020.81304092685</v>
      </c>
    </row>
    <row r="17" customFormat="false" ht="15" hidden="false" customHeight="false" outlineLevel="0" collapsed="false">
      <c r="A17" s="0" t="s">
        <v>117</v>
      </c>
      <c r="C17" s="4" t="n">
        <f aca="false">-C6*Assumptions!C32/100</f>
        <v>-5457.31683705</v>
      </c>
      <c r="D17" s="4" t="n">
        <f aca="false">-D6*Assumptions!D32/100</f>
        <v>-5531.995909557</v>
      </c>
      <c r="E17" s="4" t="n">
        <f aca="false">-E6*Assumptions!E32/100</f>
        <v>-5538.14257167873</v>
      </c>
      <c r="F17" s="4" t="n">
        <f aca="false">-F6*Assumptions!F32/100</f>
        <v>-5472.98795318839</v>
      </c>
      <c r="G17" s="4" t="n">
        <f aca="false">-G6*Assumptions!G32/100</f>
        <v>-5361.81788538925</v>
      </c>
      <c r="H17" s="4" t="n">
        <f aca="false">-H6*Assumptions!H32/100</f>
        <v>-5576.29060080482</v>
      </c>
      <c r="I17" s="4" t="n">
        <f aca="false">-I6*Assumptions!I32/100</f>
        <v>-5386.69672037746</v>
      </c>
      <c r="J17" s="4" t="n">
        <f aca="false">-J6*Assumptions!J32/100</f>
        <v>-5548.29762198878</v>
      </c>
      <c r="K17" s="4" t="n">
        <f aca="false">-K6*Assumptions!K32/100</f>
        <v>-5714.74655064845</v>
      </c>
      <c r="L17" s="4" t="n">
        <f aca="false">-L6*Assumptions!L32/100</f>
        <v>-5857.61521441466</v>
      </c>
    </row>
    <row r="18" customFormat="false" ht="15" hidden="false" customHeight="false" outlineLevel="0" collapsed="false">
      <c r="A18" s="0" t="s">
        <v>118</v>
      </c>
      <c r="C18" s="4" t="n">
        <f aca="false">(C6-B6)*Assumptions!$B$37/100</f>
        <v>0</v>
      </c>
      <c r="D18" s="4" t="n">
        <f aca="false">(D6-C6)*Assumptions!$B$37/100</f>
        <v>0</v>
      </c>
      <c r="E18" s="4" t="n">
        <f aca="false">(E6-D6)*Assumptions!$B$37/100</f>
        <v>0</v>
      </c>
      <c r="F18" s="4" t="n">
        <f aca="false">(F6-E6)*Assumptions!$B$37/100</f>
        <v>0</v>
      </c>
      <c r="G18" s="4" t="n">
        <f aca="false">(G6-F6)*Assumptions!$B$37/100</f>
        <v>0</v>
      </c>
      <c r="H18" s="4" t="n">
        <f aca="false">(H6-G6)*Assumptions!$B$37/100</f>
        <v>0</v>
      </c>
      <c r="I18" s="4" t="n">
        <f aca="false">(I6-H6)*Assumptions!$B$37/100</f>
        <v>0</v>
      </c>
      <c r="J18" s="4" t="n">
        <f aca="false">(J6-I6)*Assumptions!$B$37/100</f>
        <v>0</v>
      </c>
      <c r="K18" s="4" t="n">
        <f aca="false">(K6-J6)*Assumptions!$B$37/100</f>
        <v>0</v>
      </c>
      <c r="L18" s="4" t="n">
        <f aca="false">(L6-K6)*Assumptions!$B$37/100</f>
        <v>0</v>
      </c>
    </row>
    <row r="19" customFormat="false" ht="15" hidden="false" customHeight="false" outlineLevel="0" collapsed="false">
      <c r="A19" s="0" t="s">
        <v>119</v>
      </c>
      <c r="C19" s="0" t="n">
        <f aca="false">C15+C16+C17+C18</f>
        <v>7481.6941563936</v>
      </c>
      <c r="D19" s="0" t="n">
        <f aca="false">D15+D16+D17+D18</f>
        <v>8184.89528129567</v>
      </c>
      <c r="E19" s="0" t="n">
        <f aca="false">E15+E16+E17+E18</f>
        <v>9001.7620906251</v>
      </c>
      <c r="F19" s="0" t="n">
        <f aca="false">F15+F16+F17+F18</f>
        <v>9635.19529158816</v>
      </c>
      <c r="G19" s="0" t="n">
        <f aca="false">G15+G16+G17+G18</f>
        <v>10426.2336054022</v>
      </c>
      <c r="H19" s="0" t="n">
        <f aca="false">H15+H16+H17+H18</f>
        <v>10669.3026828732</v>
      </c>
      <c r="I19" s="0" t="n">
        <f aca="false">I15+I16+I17+I18</f>
        <v>11408.2541256566</v>
      </c>
      <c r="J19" s="0" t="n">
        <f aca="false">J15+J16+J17+J18</f>
        <v>11750.5017494262</v>
      </c>
      <c r="K19" s="0" t="n">
        <f aca="false">K15+K16+K17+K18</f>
        <v>12103.016801909</v>
      </c>
      <c r="L19" s="0" t="n">
        <f aca="false">L15+L16+L17+L18</f>
        <v>12405.5922219568</v>
      </c>
    </row>
    <row r="20" customFormat="false" ht="15" hidden="false" customHeight="false" outlineLevel="0" collapsed="false">
      <c r="A20" s="0" t="s">
        <v>120</v>
      </c>
      <c r="C20" s="0" t="n">
        <f aca="false">1/(1+$B$27/100)^C4</f>
        <v>0.91743119266055</v>
      </c>
      <c r="D20" s="0" t="n">
        <f aca="false">1/(1+$B$27/100)^D4</f>
        <v>0.84167999326656</v>
      </c>
      <c r="E20" s="0" t="n">
        <f aca="false">1/(1+$B$27/100)^E4</f>
        <v>0.772183480061064</v>
      </c>
      <c r="F20" s="0" t="n">
        <f aca="false">1/(1+$B$27/100)^F4</f>
        <v>0.708425211065196</v>
      </c>
      <c r="G20" s="0" t="n">
        <f aca="false">1/(1+$B$27/100)^G4</f>
        <v>0.649931386298345</v>
      </c>
      <c r="H20" s="0" t="n">
        <f aca="false">1/(1+$B$27/100)^H4</f>
        <v>0.596267326879216</v>
      </c>
      <c r="I20" s="0" t="n">
        <f aca="false">1/(1+$B$27/100)^I4</f>
        <v>0.547034244843317</v>
      </c>
      <c r="J20" s="0" t="n">
        <f aca="false">1/(1+$B$27/100)^J4</f>
        <v>0.501866279672768</v>
      </c>
      <c r="K20" s="0" t="n">
        <f aca="false">1/(1+$B$27/100)^K4</f>
        <v>0.460427779516301</v>
      </c>
      <c r="L20" s="0" t="n">
        <f aca="false">1/(1+$B$27/100)^L4</f>
        <v>0.422410806895689</v>
      </c>
    </row>
    <row r="21" customFormat="false" ht="15" hidden="false" customHeight="false" outlineLevel="0" collapsed="false">
      <c r="A21" s="0" t="s">
        <v>121</v>
      </c>
      <c r="C21" s="0" t="n">
        <f aca="false">C19*C20</f>
        <v>6863.93959302165</v>
      </c>
      <c r="D21" s="0" t="n">
        <f aca="false">D19*D20</f>
        <v>6889.06260524844</v>
      </c>
      <c r="E21" s="0" t="n">
        <f aca="false">E19*E20</f>
        <v>6951.01197782065</v>
      </c>
      <c r="F21" s="0" t="n">
        <f aca="false">F19*F20</f>
        <v>6825.81525809773</v>
      </c>
      <c r="G21" s="0" t="n">
        <f aca="false">G19*G20</f>
        <v>6776.33646102948</v>
      </c>
      <c r="H21" s="0" t="n">
        <f aca="false">H19*H20</f>
        <v>6361.75659038207</v>
      </c>
      <c r="I21" s="0" t="n">
        <f aca="false">I19*I20</f>
        <v>6240.70568060919</v>
      </c>
      <c r="J21" s="0" t="n">
        <f aca="false">J19*J20</f>
        <v>5897.1805972729</v>
      </c>
      <c r="K21" s="0" t="n">
        <f aca="false">K19*K20</f>
        <v>5572.56515155146</v>
      </c>
      <c r="L21" s="0" t="n">
        <f aca="false">L19*L20</f>
        <v>5240.25622049564</v>
      </c>
    </row>
    <row r="23" customFormat="false" ht="15" hidden="false" customHeight="false" outlineLevel="0" collapsed="false">
      <c r="A23" s="0" t="s">
        <v>97</v>
      </c>
      <c r="C23" s="4" t="n">
        <f aca="false">Assumptions!C30</f>
        <v>0</v>
      </c>
      <c r="D23" s="4" t="n">
        <f aca="false">Assumptions!D30</f>
        <v>0</v>
      </c>
      <c r="E23" s="4" t="n">
        <f aca="false">Assumptions!E30</f>
        <v>0</v>
      </c>
      <c r="F23" s="4" t="n">
        <f aca="false">Assumptions!F30</f>
        <v>0</v>
      </c>
      <c r="G23" s="4" t="n">
        <f aca="false">Assumptions!G30</f>
        <v>0</v>
      </c>
      <c r="H23" s="4" t="n">
        <f aca="false">Assumptions!H30</f>
        <v>0</v>
      </c>
      <c r="I23" s="4" t="n">
        <f aca="false">Assumptions!I30</f>
        <v>0</v>
      </c>
      <c r="J23" s="4" t="n">
        <f aca="false">Assumptions!J30</f>
        <v>0</v>
      </c>
      <c r="K23" s="4" t="n">
        <f aca="false">Assumptions!K30</f>
        <v>0</v>
      </c>
      <c r="L23" s="4" t="n">
        <f aca="false">Assumptions!L30</f>
        <v>0</v>
      </c>
    </row>
    <row r="24" customFormat="false" ht="15" hidden="false" customHeight="false" outlineLevel="0" collapsed="false">
      <c r="A24" s="0" t="s">
        <v>122</v>
      </c>
      <c r="C24" s="0" t="n">
        <f aca="false">-C6*C23/100</f>
        <v>-0</v>
      </c>
      <c r="D24" s="0" t="n">
        <f aca="false">-D6*D23/100</f>
        <v>-0</v>
      </c>
      <c r="E24" s="0" t="n">
        <f aca="false">-E6*E23/100</f>
        <v>-0</v>
      </c>
      <c r="F24" s="0" t="n">
        <f aca="false">-F6*F23/100</f>
        <v>-0</v>
      </c>
      <c r="G24" s="0" t="n">
        <f aca="false">-G6*G23/100</f>
        <v>-0</v>
      </c>
      <c r="H24" s="0" t="n">
        <f aca="false">-H6*H23/100</f>
        <v>-0</v>
      </c>
      <c r="I24" s="0" t="n">
        <f aca="false">-I6*I23/100</f>
        <v>-0</v>
      </c>
      <c r="J24" s="0" t="n">
        <f aca="false">-J6*J23/100</f>
        <v>-0</v>
      </c>
      <c r="K24" s="0" t="n">
        <f aca="false">-K6*K23/100</f>
        <v>-0</v>
      </c>
      <c r="L24" s="0" t="n">
        <f aca="false">-L6*L23/100</f>
        <v>-0</v>
      </c>
    </row>
    <row r="26" customFormat="false" ht="15" hidden="false" customHeight="false" outlineLevel="0" collapsed="false">
      <c r="A26" s="2" t="s">
        <v>123</v>
      </c>
    </row>
    <row r="27" customFormat="false" ht="15" hidden="false" customHeight="false" outlineLevel="0" collapsed="false">
      <c r="A27" s="0" t="s">
        <v>101</v>
      </c>
      <c r="B27" s="4" t="n">
        <f aca="false">Assumptions!$B$34</f>
        <v>9</v>
      </c>
    </row>
    <row r="28" customFormat="false" ht="15" hidden="false" customHeight="false" outlineLevel="0" collapsed="false">
      <c r="A28" s="0" t="s">
        <v>102</v>
      </c>
      <c r="B28" s="4" t="n">
        <f aca="false">Assumptions!$B$35</f>
        <v>2.5</v>
      </c>
    </row>
    <row r="29" customFormat="false" ht="15" hidden="false" customHeight="false" outlineLevel="0" collapsed="false">
      <c r="A29" s="0" t="s">
        <v>103</v>
      </c>
      <c r="B29" s="4" t="n">
        <f aca="false">Assumptions!$B$36</f>
        <v>15</v>
      </c>
    </row>
    <row r="30" customFormat="false" ht="15" hidden="false" customHeight="false" outlineLevel="0" collapsed="false">
      <c r="A30" s="0" t="s">
        <v>124</v>
      </c>
      <c r="B30" s="0" t="n">
        <f aca="false">SUM(C21:L21)</f>
        <v>63618.6301355292</v>
      </c>
    </row>
    <row r="31" customFormat="false" ht="15" hidden="false" customHeight="false" outlineLevel="0" collapsed="false">
      <c r="A31" s="0" t="s">
        <v>125</v>
      </c>
      <c r="B31" s="0" t="n">
        <f aca="false">L19</f>
        <v>12405.5922219568</v>
      </c>
    </row>
    <row r="32" customFormat="false" ht="15" hidden="false" customHeight="false" outlineLevel="0" collapsed="false">
      <c r="A32" s="0" t="s">
        <v>126</v>
      </c>
      <c r="B32" s="0" t="n">
        <f aca="false">IF(B27&gt;B28,B31*(1+B28/100)/((B27-B28)/100),B31*B29)</f>
        <v>195626.64657701</v>
      </c>
    </row>
    <row r="33" customFormat="false" ht="15" hidden="false" customHeight="false" outlineLevel="0" collapsed="false">
      <c r="A33" s="0" t="s">
        <v>127</v>
      </c>
      <c r="B33" s="0" t="n">
        <f aca="false">B31*B29</f>
        <v>186083.883329351</v>
      </c>
    </row>
    <row r="34" customFormat="false" ht="15" hidden="false" customHeight="false" outlineLevel="0" collapsed="false">
      <c r="A34" s="0" t="s">
        <v>128</v>
      </c>
      <c r="B34" s="0" t="n">
        <f aca="false">MAX(0,MIN(B32,B33))</f>
        <v>186083.883329351</v>
      </c>
    </row>
    <row r="35" customFormat="false" ht="15" hidden="false" customHeight="false" outlineLevel="0" collapsed="false">
      <c r="A35" s="0" t="s">
        <v>129</v>
      </c>
      <c r="B35" s="0" t="n">
        <f aca="false">B34/(1+B27/100)^L4</f>
        <v>78603.8433074346</v>
      </c>
    </row>
    <row r="36" customFormat="false" ht="15" hidden="false" customHeight="false" outlineLevel="0" collapsed="false">
      <c r="A36" s="0" t="s">
        <v>130</v>
      </c>
      <c r="B36" s="0" t="n">
        <f aca="false">B30+B35</f>
        <v>142222.473442964</v>
      </c>
    </row>
    <row r="37" customFormat="false" ht="15" hidden="false" customHeight="false" outlineLevel="0" collapsed="false">
      <c r="A37" s="0" t="s">
        <v>131</v>
      </c>
      <c r="B37" s="0" t="n">
        <f aca="false">B36+Assumptions!$B$5-Assumptions!$B$4</f>
        <v>160153.886442964</v>
      </c>
    </row>
    <row r="38" customFormat="false" ht="15" hidden="false" customHeight="false" outlineLevel="0" collapsed="false">
      <c r="A38" s="0" t="s">
        <v>132</v>
      </c>
      <c r="B38" s="0" t="n">
        <f aca="false">B37/Assumptions!$B$3*Assumptions!$B$10</f>
        <v>246.733792990448</v>
      </c>
    </row>
    <row r="39" customFormat="false" ht="15" hidden="false" customHeight="false" outlineLevel="0" collapsed="false">
      <c r="A39" s="0" t="s">
        <v>133</v>
      </c>
      <c r="B39" s="4" t="n">
        <f aca="false">B38/Assumptions!$B$2-1</f>
        <v>0.558646828745722</v>
      </c>
    </row>
    <row r="41" customFormat="false" ht="15" hidden="false" customHeight="false" outlineLevel="0" collapsed="false">
      <c r="A41" s="0" t="s">
        <v>134</v>
      </c>
      <c r="B41" s="0" t="n">
        <f aca="false">SUMPRODUCT(-C10:L10/(1+$B$27/100)^C4:L4)</f>
        <v>1795.28657259643</v>
      </c>
    </row>
    <row r="42" customFormat="false" ht="15" hidden="false" customHeight="false" outlineLevel="0" collapsed="false">
      <c r="A42" s="0" t="s">
        <v>135</v>
      </c>
      <c r="B42" s="0" t="n">
        <f aca="false">IF(B27&gt;B28,-L10*(1+B28/100)/((B27-B28)/100),-L10*20)/(1+B27/100)^L4</f>
        <v>2229.60700521802</v>
      </c>
    </row>
    <row r="43" customFormat="false" ht="15" hidden="false" customHeight="false" outlineLevel="0" collapsed="false">
      <c r="A43" s="0" t="s">
        <v>136</v>
      </c>
      <c r="B43" s="0" t="n">
        <f aca="false">(B37+B41+B42)/Assumptions!$B$3*Assumptions!$B$10</f>
        <v>252.93456201887</v>
      </c>
    </row>
    <row r="45" customFormat="false" ht="15" hidden="false" customHeight="false" outlineLevel="0" collapsed="false">
      <c r="A45" s="0" t="s">
        <v>77</v>
      </c>
      <c r="B45" s="4" t="n">
        <f aca="false">Assumptions!$B$6</f>
        <v>15</v>
      </c>
    </row>
    <row r="46" customFormat="false" ht="15" hidden="false" customHeight="false" outlineLevel="0" collapsed="false">
      <c r="A46" s="0" t="s">
        <v>137</v>
      </c>
      <c r="B46" s="0" t="n">
        <f aca="false">MAX(0,MIN(IF(B45&gt;B28,B31*(1+B28/100)/((B45-B28)/100),B31*B29),B31*B29))</f>
        <v>101725.856220045</v>
      </c>
    </row>
    <row r="47" customFormat="false" ht="15" hidden="false" customHeight="false" outlineLevel="0" collapsed="false">
      <c r="A47" s="0" t="s">
        <v>138</v>
      </c>
      <c r="B47" s="0" t="n">
        <f aca="false">(SUMPRODUCT(C19:L19/(1+B45/100)^C4:L4)+B46/(1+B45/100)^L4+Assumptions!$B$5-Assumptions!$B$4)/Assumptions!$B$3*Assumptions!$B$10</f>
        <v>141.169116637055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4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52"/>
  </cols>
  <sheetData>
    <row r="1" customFormat="false" ht="15" hidden="false" customHeight="false" outlineLevel="0" collapsed="false">
      <c r="A1" s="2" t="s">
        <v>140</v>
      </c>
    </row>
    <row r="3" customFormat="false" ht="15" hidden="false" customHeight="false" outlineLevel="0" collapsed="false">
      <c r="A3" s="0" t="s">
        <v>109</v>
      </c>
      <c r="B3" s="0" t="s">
        <v>70</v>
      </c>
      <c r="C3" s="2" t="s">
        <v>84</v>
      </c>
      <c r="D3" s="2" t="s">
        <v>85</v>
      </c>
      <c r="E3" s="2" t="s">
        <v>86</v>
      </c>
      <c r="F3" s="2" t="s">
        <v>87</v>
      </c>
      <c r="G3" s="2" t="s">
        <v>88</v>
      </c>
      <c r="H3" s="2" t="s">
        <v>89</v>
      </c>
      <c r="I3" s="2" t="s">
        <v>90</v>
      </c>
      <c r="J3" s="2" t="s">
        <v>91</v>
      </c>
      <c r="K3" s="2" t="s">
        <v>92</v>
      </c>
      <c r="L3" s="2" t="s">
        <v>93</v>
      </c>
    </row>
    <row r="4" customFormat="false" ht="15" hidden="false" customHeight="false" outlineLevel="0" collapsed="false">
      <c r="A4" s="0" t="s">
        <v>110</v>
      </c>
      <c r="B4" s="0" t="n">
        <v>0</v>
      </c>
      <c r="C4" s="0" t="n">
        <f aca="false">B4+1</f>
        <v>1</v>
      </c>
      <c r="D4" s="0" t="n">
        <f aca="false">C4+1</f>
        <v>2</v>
      </c>
      <c r="E4" s="0" t="n">
        <f aca="false">D4+1</f>
        <v>3</v>
      </c>
      <c r="F4" s="0" t="n">
        <f aca="false">E4+1</f>
        <v>4</v>
      </c>
      <c r="G4" s="0" t="n">
        <f aca="false">F4+1</f>
        <v>5</v>
      </c>
      <c r="H4" s="0" t="n">
        <f aca="false">G4+1</f>
        <v>6</v>
      </c>
      <c r="I4" s="0" t="n">
        <f aca="false">H4+1</f>
        <v>7</v>
      </c>
      <c r="J4" s="0" t="n">
        <f aca="false">I4+1</f>
        <v>8</v>
      </c>
      <c r="K4" s="0" t="n">
        <f aca="false">J4+1</f>
        <v>9</v>
      </c>
      <c r="L4" s="0" t="n">
        <f aca="false">K4+1</f>
        <v>10</v>
      </c>
    </row>
    <row r="5" customFormat="false" ht="15" hidden="false" customHeight="false" outlineLevel="0" collapsed="false">
      <c r="A5" s="0" t="s">
        <v>94</v>
      </c>
      <c r="C5" s="4" t="n">
        <f aca="false">Assumptions!C41</f>
        <v>19</v>
      </c>
      <c r="D5" s="4" t="n">
        <f aca="false">Assumptions!D41</f>
        <v>10</v>
      </c>
      <c r="E5" s="4" t="n">
        <f aca="false">Assumptions!E41</f>
        <v>8</v>
      </c>
      <c r="F5" s="4" t="n">
        <f aca="false">Assumptions!F41</f>
        <v>7</v>
      </c>
      <c r="G5" s="4" t="n">
        <f aca="false">Assumptions!G41</f>
        <v>6</v>
      </c>
      <c r="H5" s="4" t="n">
        <f aca="false">Assumptions!H41</f>
        <v>5</v>
      </c>
      <c r="I5" s="4" t="n">
        <f aca="false">Assumptions!I41</f>
        <v>4.5</v>
      </c>
      <c r="J5" s="4" t="n">
        <f aca="false">Assumptions!J41</f>
        <v>4</v>
      </c>
      <c r="K5" s="4" t="n">
        <f aca="false">Assumptions!K41</f>
        <v>3.5</v>
      </c>
      <c r="L5" s="4" t="n">
        <f aca="false">Assumptions!L41</f>
        <v>3</v>
      </c>
    </row>
    <row r="6" customFormat="false" ht="15" hidden="false" customHeight="false" outlineLevel="0" collapsed="false">
      <c r="A6" s="0" t="s">
        <v>38</v>
      </c>
      <c r="B6" s="3" t="n">
        <v>49098.667</v>
      </c>
      <c r="C6" s="0" t="n">
        <f aca="false">B6*(1+C5/100)</f>
        <v>58427.41373</v>
      </c>
      <c r="D6" s="0" t="n">
        <f aca="false">C6*(1+D5/100)</f>
        <v>64270.155103</v>
      </c>
      <c r="E6" s="0" t="n">
        <f aca="false">D6*(1+E5/100)</f>
        <v>69411.76751124</v>
      </c>
      <c r="F6" s="0" t="n">
        <f aca="false">E6*(1+F5/100)</f>
        <v>74270.5912370268</v>
      </c>
      <c r="G6" s="0" t="n">
        <f aca="false">F6*(1+G5/100)</f>
        <v>78726.8267112484</v>
      </c>
      <c r="H6" s="0" t="n">
        <f aca="false">G6*(1+H5/100)</f>
        <v>82663.1680468108</v>
      </c>
      <c r="I6" s="0" t="n">
        <f aca="false">H6*(1+I5/100)</f>
        <v>86383.0106089173</v>
      </c>
      <c r="J6" s="0" t="n">
        <f aca="false">I6*(1+J5/100)</f>
        <v>89838.331033274</v>
      </c>
      <c r="K6" s="0" t="n">
        <f aca="false">J6*(1+K5/100)</f>
        <v>92982.6726194386</v>
      </c>
      <c r="L6" s="0" t="n">
        <f aca="false">K6*(1+L5/100)</f>
        <v>95772.1527980218</v>
      </c>
    </row>
    <row r="7" customFormat="false" ht="15" hidden="false" customHeight="false" outlineLevel="0" collapsed="false">
      <c r="A7" s="0" t="s">
        <v>95</v>
      </c>
      <c r="C7" s="4" t="n">
        <f aca="false">Assumptions!C42</f>
        <v>28</v>
      </c>
      <c r="D7" s="4" t="n">
        <f aca="false">Assumptions!D42</f>
        <v>28.5</v>
      </c>
      <c r="E7" s="4" t="n">
        <f aca="false">Assumptions!E42</f>
        <v>29</v>
      </c>
      <c r="F7" s="4" t="n">
        <f aca="false">Assumptions!F42</f>
        <v>29.5</v>
      </c>
      <c r="G7" s="4" t="n">
        <f aca="false">Assumptions!G42</f>
        <v>30</v>
      </c>
      <c r="H7" s="4" t="n">
        <f aca="false">Assumptions!H42</f>
        <v>30</v>
      </c>
      <c r="I7" s="4" t="n">
        <f aca="false">Assumptions!I42</f>
        <v>30</v>
      </c>
      <c r="J7" s="4" t="n">
        <f aca="false">Assumptions!J42</f>
        <v>30</v>
      </c>
      <c r="K7" s="4" t="n">
        <f aca="false">Assumptions!K42</f>
        <v>30</v>
      </c>
      <c r="L7" s="4" t="n">
        <f aca="false">Assumptions!L42</f>
        <v>30</v>
      </c>
    </row>
    <row r="8" customFormat="false" ht="15" hidden="false" customHeight="false" outlineLevel="0" collapsed="false">
      <c r="A8" s="0" t="s">
        <v>44</v>
      </c>
      <c r="C8" s="0" t="n">
        <f aca="false">C6*C7/100</f>
        <v>16359.6758444</v>
      </c>
      <c r="D8" s="0" t="n">
        <f aca="false">D6*D7/100</f>
        <v>18316.994204355</v>
      </c>
      <c r="E8" s="0" t="n">
        <f aca="false">E6*E7/100</f>
        <v>20129.4125782596</v>
      </c>
      <c r="F8" s="0" t="n">
        <f aca="false">F6*F7/100</f>
        <v>21909.8244149229</v>
      </c>
      <c r="G8" s="0" t="n">
        <f aca="false">G6*G7/100</f>
        <v>23618.0480133745</v>
      </c>
      <c r="H8" s="0" t="n">
        <f aca="false">H6*H7/100</f>
        <v>24798.9504140433</v>
      </c>
      <c r="I8" s="0" t="n">
        <f aca="false">I6*I7/100</f>
        <v>25914.9031826752</v>
      </c>
      <c r="J8" s="0" t="n">
        <f aca="false">J6*J7/100</f>
        <v>26951.4993099822</v>
      </c>
      <c r="K8" s="0" t="n">
        <f aca="false">K6*K7/100</f>
        <v>27894.8017858316</v>
      </c>
      <c r="L8" s="0" t="n">
        <f aca="false">L6*L7/100</f>
        <v>28731.6458394065</v>
      </c>
    </row>
    <row r="9" customFormat="false" ht="15" hidden="false" customHeight="false" outlineLevel="0" collapsed="false">
      <c r="A9" s="0" t="s">
        <v>96</v>
      </c>
      <c r="C9" s="4" t="n">
        <f aca="false">Assumptions!C43</f>
        <v>0.4</v>
      </c>
      <c r="D9" s="4" t="n">
        <f aca="false">Assumptions!D43</f>
        <v>0.4</v>
      </c>
      <c r="E9" s="4" t="n">
        <f aca="false">Assumptions!E43</f>
        <v>0.4</v>
      </c>
      <c r="F9" s="4" t="n">
        <f aca="false">Assumptions!F43</f>
        <v>0.4</v>
      </c>
      <c r="G9" s="4" t="n">
        <f aca="false">Assumptions!G43</f>
        <v>0.4</v>
      </c>
      <c r="H9" s="4" t="n">
        <f aca="false">Assumptions!H43</f>
        <v>0.4</v>
      </c>
      <c r="I9" s="4" t="n">
        <f aca="false">Assumptions!I43</f>
        <v>0.4</v>
      </c>
      <c r="J9" s="4" t="n">
        <f aca="false">Assumptions!J43</f>
        <v>0.4</v>
      </c>
      <c r="K9" s="4" t="n">
        <f aca="false">Assumptions!K43</f>
        <v>0.4</v>
      </c>
      <c r="L9" s="4" t="n">
        <f aca="false">Assumptions!L43</f>
        <v>0.4</v>
      </c>
    </row>
    <row r="10" customFormat="false" ht="15" hidden="false" customHeight="false" outlineLevel="0" collapsed="false">
      <c r="A10" s="0" t="s">
        <v>111</v>
      </c>
      <c r="C10" s="0" t="n">
        <f aca="false">-C6*C9/100</f>
        <v>-233.70965492</v>
      </c>
      <c r="D10" s="0" t="n">
        <f aca="false">-D6*D9/100</f>
        <v>-257.080620412</v>
      </c>
      <c r="E10" s="0" t="n">
        <f aca="false">-E6*E9/100</f>
        <v>-277.64707004496</v>
      </c>
      <c r="F10" s="0" t="n">
        <f aca="false">-F6*F9/100</f>
        <v>-297.082364948107</v>
      </c>
      <c r="G10" s="0" t="n">
        <f aca="false">-G6*G9/100</f>
        <v>-314.907306844994</v>
      </c>
      <c r="H10" s="0" t="n">
        <f aca="false">-H6*H9/100</f>
        <v>-330.652672187243</v>
      </c>
      <c r="I10" s="0" t="n">
        <f aca="false">-I6*I9/100</f>
        <v>-345.532042435669</v>
      </c>
      <c r="J10" s="0" t="n">
        <f aca="false">-J6*J9/100</f>
        <v>-359.353324133096</v>
      </c>
      <c r="K10" s="0" t="n">
        <f aca="false">-K6*K9/100</f>
        <v>-371.930690477754</v>
      </c>
      <c r="L10" s="0" t="n">
        <f aca="false">-L6*L9/100</f>
        <v>-383.088611192087</v>
      </c>
    </row>
    <row r="11" customFormat="false" ht="15" hidden="false" customHeight="false" outlineLevel="0" collapsed="false">
      <c r="A11" s="0" t="s">
        <v>112</v>
      </c>
      <c r="C11" s="0" t="n">
        <f aca="false">C8+C10+C24</f>
        <v>16125.96618948</v>
      </c>
      <c r="D11" s="0" t="n">
        <f aca="false">D8+D10+D24</f>
        <v>18059.913583943</v>
      </c>
      <c r="E11" s="0" t="n">
        <f aca="false">E8+E10+E24</f>
        <v>19851.7655082146</v>
      </c>
      <c r="F11" s="0" t="n">
        <f aca="false">F8+F10+F24</f>
        <v>21612.7420499748</v>
      </c>
      <c r="G11" s="0" t="n">
        <f aca="false">G8+G10+G24</f>
        <v>23303.1407065295</v>
      </c>
      <c r="H11" s="0" t="n">
        <f aca="false">H8+H10+H24</f>
        <v>24468.297741856</v>
      </c>
      <c r="I11" s="0" t="n">
        <f aca="false">I8+I10+I24</f>
        <v>25569.3711402395</v>
      </c>
      <c r="J11" s="0" t="n">
        <f aca="false">J8+J10+J24</f>
        <v>26592.1459858491</v>
      </c>
      <c r="K11" s="0" t="n">
        <f aca="false">K8+K10+K24</f>
        <v>27522.8710953538</v>
      </c>
      <c r="L11" s="0" t="n">
        <f aca="false">L8+L10+L24</f>
        <v>28348.5572282144</v>
      </c>
    </row>
    <row r="12" customFormat="false" ht="15" hidden="false" customHeight="false" outlineLevel="0" collapsed="false">
      <c r="A12" s="0" t="s">
        <v>113</v>
      </c>
      <c r="C12" s="4" t="n">
        <f aca="false">-C6*Assumptions!C45/100</f>
        <v>-3680.92706499</v>
      </c>
      <c r="D12" s="4" t="n">
        <f aca="false">-D6*Assumptions!D45/100</f>
        <v>-3984.749616386</v>
      </c>
      <c r="E12" s="4" t="n">
        <f aca="false">-E6*Assumptions!E45/100</f>
        <v>-4234.11781818564</v>
      </c>
      <c r="F12" s="4" t="n">
        <f aca="false">-F6*Assumptions!F45/100</f>
        <v>-4456.23547422161</v>
      </c>
      <c r="G12" s="4" t="n">
        <f aca="false">-G6*Assumptions!G45/100</f>
        <v>-4723.60960267491</v>
      </c>
      <c r="H12" s="4" t="n">
        <f aca="false">-H6*Assumptions!H45/100</f>
        <v>-4877.12691476184</v>
      </c>
      <c r="I12" s="4" t="n">
        <f aca="false">-I6*Assumptions!I45/100</f>
        <v>-5010.2146153172</v>
      </c>
      <c r="J12" s="4" t="n">
        <f aca="false">-J6*Assumptions!J45/100</f>
        <v>-5210.62319992989</v>
      </c>
      <c r="K12" s="4" t="n">
        <f aca="false">-K6*Assumptions!K45/100</f>
        <v>-5392.99501192744</v>
      </c>
      <c r="L12" s="4" t="n">
        <f aca="false">-L6*Assumptions!L45/100</f>
        <v>-5554.78486228526</v>
      </c>
    </row>
    <row r="13" customFormat="false" ht="15" hidden="false" customHeight="false" outlineLevel="0" collapsed="false">
      <c r="A13" s="0" t="s">
        <v>114</v>
      </c>
      <c r="C13" s="0" t="n">
        <f aca="false">C11+C12</f>
        <v>12445.03912449</v>
      </c>
      <c r="D13" s="0" t="n">
        <f aca="false">D11+D12</f>
        <v>14075.163967557</v>
      </c>
      <c r="E13" s="0" t="n">
        <f aca="false">E11+E12</f>
        <v>15617.647690029</v>
      </c>
      <c r="F13" s="0" t="n">
        <f aca="false">F11+F12</f>
        <v>17156.5065757532</v>
      </c>
      <c r="G13" s="0" t="n">
        <f aca="false">G11+G12</f>
        <v>18579.5311038546</v>
      </c>
      <c r="H13" s="0" t="n">
        <f aca="false">H11+H12</f>
        <v>19591.1708270942</v>
      </c>
      <c r="I13" s="0" t="n">
        <f aca="false">I11+I12</f>
        <v>20559.1565249223</v>
      </c>
      <c r="J13" s="0" t="n">
        <f aca="false">J11+J12</f>
        <v>21381.5227859192</v>
      </c>
      <c r="K13" s="0" t="n">
        <f aca="false">K11+K12</f>
        <v>22129.8760834264</v>
      </c>
      <c r="L13" s="0" t="n">
        <f aca="false">L11+L12</f>
        <v>22793.7723659292</v>
      </c>
    </row>
    <row r="14" customFormat="false" ht="15" hidden="false" customHeight="false" outlineLevel="0" collapsed="false">
      <c r="A14" s="0" t="s">
        <v>100</v>
      </c>
      <c r="C14" s="4" t="n">
        <f aca="false">Assumptions!C47</f>
        <v>22</v>
      </c>
      <c r="D14" s="4" t="n">
        <f aca="false">Assumptions!D47</f>
        <v>22</v>
      </c>
      <c r="E14" s="4" t="n">
        <f aca="false">Assumptions!E47</f>
        <v>23</v>
      </c>
      <c r="F14" s="4" t="n">
        <f aca="false">Assumptions!F47</f>
        <v>23</v>
      </c>
      <c r="G14" s="4" t="n">
        <f aca="false">Assumptions!G47</f>
        <v>24</v>
      </c>
      <c r="H14" s="4" t="n">
        <f aca="false">Assumptions!H47</f>
        <v>24</v>
      </c>
      <c r="I14" s="4" t="n">
        <f aca="false">Assumptions!I47</f>
        <v>24</v>
      </c>
      <c r="J14" s="4" t="n">
        <f aca="false">Assumptions!J47</f>
        <v>24</v>
      </c>
      <c r="K14" s="4" t="n">
        <f aca="false">Assumptions!K47</f>
        <v>24</v>
      </c>
      <c r="L14" s="4" t="n">
        <f aca="false">Assumptions!L47</f>
        <v>24</v>
      </c>
    </row>
    <row r="15" customFormat="false" ht="15" hidden="false" customHeight="false" outlineLevel="0" collapsed="false">
      <c r="A15" s="0" t="s">
        <v>115</v>
      </c>
      <c r="C15" s="0" t="n">
        <f aca="false">C13-MAX(0,C13)*C14/100</f>
        <v>9707.1305171022</v>
      </c>
      <c r="D15" s="0" t="n">
        <f aca="false">D13-MAX(0,D13)*D14/100</f>
        <v>10978.6278946945</v>
      </c>
      <c r="E15" s="0" t="n">
        <f aca="false">E13-MAX(0,E13)*E14/100</f>
        <v>12025.5887213223</v>
      </c>
      <c r="F15" s="0" t="n">
        <f aca="false">F13-MAX(0,F13)*F14/100</f>
        <v>13210.51006333</v>
      </c>
      <c r="G15" s="0" t="n">
        <f aca="false">G13-MAX(0,G13)*G14/100</f>
        <v>14120.4436389295</v>
      </c>
      <c r="H15" s="0" t="n">
        <f aca="false">H13-MAX(0,H13)*H14/100</f>
        <v>14889.2898285916</v>
      </c>
      <c r="I15" s="0" t="n">
        <f aca="false">I13-MAX(0,I13)*I14/100</f>
        <v>15624.958958941</v>
      </c>
      <c r="J15" s="0" t="n">
        <f aca="false">J13-MAX(0,J13)*J14/100</f>
        <v>16249.9573172986</v>
      </c>
      <c r="K15" s="0" t="n">
        <f aca="false">K13-MAX(0,K13)*K14/100</f>
        <v>16818.7058234041</v>
      </c>
      <c r="L15" s="0" t="n">
        <f aca="false">L13-MAX(0,L13)*L14/100</f>
        <v>17323.2669981062</v>
      </c>
    </row>
    <row r="16" customFormat="false" ht="15" hidden="false" customHeight="false" outlineLevel="0" collapsed="false">
      <c r="A16" s="0" t="s">
        <v>116</v>
      </c>
      <c r="C16" s="0" t="n">
        <f aca="false">-C12</f>
        <v>3680.92706499</v>
      </c>
      <c r="D16" s="0" t="n">
        <f aca="false">-D12</f>
        <v>3984.749616386</v>
      </c>
      <c r="E16" s="0" t="n">
        <f aca="false">-E12</f>
        <v>4234.11781818564</v>
      </c>
      <c r="F16" s="0" t="n">
        <f aca="false">-F12</f>
        <v>4456.23547422161</v>
      </c>
      <c r="G16" s="0" t="n">
        <f aca="false">-G12</f>
        <v>4723.60960267491</v>
      </c>
      <c r="H16" s="0" t="n">
        <f aca="false">-H12</f>
        <v>4877.12691476184</v>
      </c>
      <c r="I16" s="0" t="n">
        <f aca="false">-I12</f>
        <v>5010.2146153172</v>
      </c>
      <c r="J16" s="0" t="n">
        <f aca="false">-J12</f>
        <v>5210.62319992989</v>
      </c>
      <c r="K16" s="0" t="n">
        <f aca="false">-K12</f>
        <v>5392.99501192744</v>
      </c>
      <c r="L16" s="0" t="n">
        <f aca="false">-L12</f>
        <v>5554.78486228526</v>
      </c>
    </row>
    <row r="17" customFormat="false" ht="15" hidden="false" customHeight="false" outlineLevel="0" collapsed="false">
      <c r="A17" s="0" t="s">
        <v>117</v>
      </c>
      <c r="C17" s="4" t="n">
        <f aca="false">-C6*Assumptions!C46/100</f>
        <v>-5550.60430435</v>
      </c>
      <c r="D17" s="4" t="n">
        <f aca="false">-D6*Assumptions!D46/100</f>
        <v>-5784.31395927</v>
      </c>
      <c r="E17" s="4" t="n">
        <f aca="false">-E6*Assumptions!E46/100</f>
        <v>-5900.0002384554</v>
      </c>
      <c r="F17" s="4" t="n">
        <f aca="false">-F6*Assumptions!F46/100</f>
        <v>-5941.64729896214</v>
      </c>
      <c r="G17" s="4" t="n">
        <f aca="false">-G6*Assumptions!G46/100</f>
        <v>-5904.51200334363</v>
      </c>
      <c r="H17" s="4" t="n">
        <f aca="false">-H6*Assumptions!H46/100</f>
        <v>-5786.42176327676</v>
      </c>
      <c r="I17" s="4" t="n">
        <f aca="false">-I6*Assumptions!I46/100</f>
        <v>-6046.81074262421</v>
      </c>
      <c r="J17" s="4" t="n">
        <f aca="false">-J6*Assumptions!J46/100</f>
        <v>-5839.49151716281</v>
      </c>
      <c r="K17" s="4" t="n">
        <f aca="false">-K6*Assumptions!K46/100</f>
        <v>-6043.87372026351</v>
      </c>
      <c r="L17" s="4" t="n">
        <f aca="false">-L6*Assumptions!L46/100</f>
        <v>-6225.18993187142</v>
      </c>
    </row>
    <row r="18" customFormat="false" ht="15" hidden="false" customHeight="false" outlineLevel="0" collapsed="false">
      <c r="A18" s="0" t="s">
        <v>118</v>
      </c>
      <c r="C18" s="4" t="n">
        <f aca="false">(C6-B6)*Assumptions!$B$51/100</f>
        <v>0</v>
      </c>
      <c r="D18" s="4" t="n">
        <f aca="false">(D6-C6)*Assumptions!$B$51/100</f>
        <v>0</v>
      </c>
      <c r="E18" s="4" t="n">
        <f aca="false">(E6-D6)*Assumptions!$B$51/100</f>
        <v>0</v>
      </c>
      <c r="F18" s="4" t="n">
        <f aca="false">(F6-E6)*Assumptions!$B$51/100</f>
        <v>0</v>
      </c>
      <c r="G18" s="4" t="n">
        <f aca="false">(G6-F6)*Assumptions!$B$51/100</f>
        <v>0</v>
      </c>
      <c r="H18" s="4" t="n">
        <f aca="false">(H6-G6)*Assumptions!$B$51/100</f>
        <v>0</v>
      </c>
      <c r="I18" s="4" t="n">
        <f aca="false">(I6-H6)*Assumptions!$B$51/100</f>
        <v>0</v>
      </c>
      <c r="J18" s="4" t="n">
        <f aca="false">(J6-I6)*Assumptions!$B$51/100</f>
        <v>0</v>
      </c>
      <c r="K18" s="4" t="n">
        <f aca="false">(K6-J6)*Assumptions!$B$51/100</f>
        <v>0</v>
      </c>
      <c r="L18" s="4" t="n">
        <f aca="false">(L6-K6)*Assumptions!$B$51/100</f>
        <v>0</v>
      </c>
    </row>
    <row r="19" customFormat="false" ht="15" hidden="false" customHeight="false" outlineLevel="0" collapsed="false">
      <c r="A19" s="0" t="s">
        <v>119</v>
      </c>
      <c r="C19" s="0" t="n">
        <f aca="false">C15+C16+C17+C18</f>
        <v>7837.4532777422</v>
      </c>
      <c r="D19" s="0" t="n">
        <f aca="false">D15+D16+D17+D18</f>
        <v>9179.06355181046</v>
      </c>
      <c r="E19" s="0" t="n">
        <f aca="false">E15+E16+E17+E18</f>
        <v>10359.7063010526</v>
      </c>
      <c r="F19" s="0" t="n">
        <f aca="false">F15+F16+F17+F18</f>
        <v>11725.0982385894</v>
      </c>
      <c r="G19" s="0" t="n">
        <f aca="false">G15+G16+G17+G18</f>
        <v>12939.5412382608</v>
      </c>
      <c r="H19" s="0" t="n">
        <f aca="false">H15+H16+H17+H18</f>
        <v>13979.9949800767</v>
      </c>
      <c r="I19" s="0" t="n">
        <f aca="false">I15+I16+I17+I18</f>
        <v>14588.362831634</v>
      </c>
      <c r="J19" s="0" t="n">
        <f aca="false">J15+J16+J17+J18</f>
        <v>15621.0890000657</v>
      </c>
      <c r="K19" s="0" t="n">
        <f aca="false">K15+K16+K17+K18</f>
        <v>16167.827115068</v>
      </c>
      <c r="L19" s="0" t="n">
        <f aca="false">L15+L16+L17+L18</f>
        <v>16652.86192852</v>
      </c>
    </row>
    <row r="20" customFormat="false" ht="15" hidden="false" customHeight="false" outlineLevel="0" collapsed="false">
      <c r="A20" s="0" t="s">
        <v>120</v>
      </c>
      <c r="C20" s="0" t="n">
        <f aca="false">1/(1+$B$27/100)^C4</f>
        <v>0.91743119266055</v>
      </c>
      <c r="D20" s="0" t="n">
        <f aca="false">1/(1+$B$27/100)^D4</f>
        <v>0.84167999326656</v>
      </c>
      <c r="E20" s="0" t="n">
        <f aca="false">1/(1+$B$27/100)^E4</f>
        <v>0.772183480061064</v>
      </c>
      <c r="F20" s="0" t="n">
        <f aca="false">1/(1+$B$27/100)^F4</f>
        <v>0.708425211065196</v>
      </c>
      <c r="G20" s="0" t="n">
        <f aca="false">1/(1+$B$27/100)^G4</f>
        <v>0.649931386298345</v>
      </c>
      <c r="H20" s="0" t="n">
        <f aca="false">1/(1+$B$27/100)^H4</f>
        <v>0.596267326879216</v>
      </c>
      <c r="I20" s="0" t="n">
        <f aca="false">1/(1+$B$27/100)^I4</f>
        <v>0.547034244843317</v>
      </c>
      <c r="J20" s="0" t="n">
        <f aca="false">1/(1+$B$27/100)^J4</f>
        <v>0.501866279672768</v>
      </c>
      <c r="K20" s="0" t="n">
        <f aca="false">1/(1+$B$27/100)^K4</f>
        <v>0.460427779516301</v>
      </c>
      <c r="L20" s="0" t="n">
        <f aca="false">1/(1+$B$27/100)^L4</f>
        <v>0.422410806895689</v>
      </c>
    </row>
    <row r="21" customFormat="false" ht="15" hidden="false" customHeight="false" outlineLevel="0" collapsed="false">
      <c r="A21" s="0" t="s">
        <v>121</v>
      </c>
      <c r="C21" s="0" t="n">
        <f aca="false">C19*C20</f>
        <v>7190.32410802037</v>
      </c>
      <c r="D21" s="0" t="n">
        <f aca="false">D19*D20</f>
        <v>7725.83414848115</v>
      </c>
      <c r="E21" s="0" t="n">
        <f aca="false">E19*E20</f>
        <v>7999.59406395731</v>
      </c>
      <c r="F21" s="0" t="n">
        <f aca="false">F19*F20</f>
        <v>8306.35519443287</v>
      </c>
      <c r="G21" s="0" t="n">
        <f aca="false">G19*G20</f>
        <v>8409.81397504744</v>
      </c>
      <c r="H21" s="0" t="n">
        <f aca="false">H19*H20</f>
        <v>8335.81423655516</v>
      </c>
      <c r="I21" s="0" t="n">
        <f aca="false">I19*I20</f>
        <v>7980.3340451032</v>
      </c>
      <c r="J21" s="0" t="n">
        <f aca="false">J19*J20</f>
        <v>7839.69782090017</v>
      </c>
      <c r="K21" s="0" t="n">
        <f aca="false">K19*K20</f>
        <v>7444.11673819419</v>
      </c>
      <c r="L21" s="0" t="n">
        <f aca="false">L19*L20</f>
        <v>7034.34884434864</v>
      </c>
    </row>
    <row r="23" customFormat="false" ht="15" hidden="false" customHeight="false" outlineLevel="0" collapsed="false">
      <c r="A23" s="0" t="s">
        <v>97</v>
      </c>
      <c r="C23" s="4" t="n">
        <f aca="false">Assumptions!C44</f>
        <v>0</v>
      </c>
      <c r="D23" s="4" t="n">
        <f aca="false">Assumptions!D44</f>
        <v>0</v>
      </c>
      <c r="E23" s="4" t="n">
        <f aca="false">Assumptions!E44</f>
        <v>0</v>
      </c>
      <c r="F23" s="4" t="n">
        <f aca="false">Assumptions!F44</f>
        <v>0</v>
      </c>
      <c r="G23" s="4" t="n">
        <f aca="false">Assumptions!G44</f>
        <v>0</v>
      </c>
      <c r="H23" s="4" t="n">
        <f aca="false">Assumptions!H44</f>
        <v>0</v>
      </c>
      <c r="I23" s="4" t="n">
        <f aca="false">Assumptions!I44</f>
        <v>0</v>
      </c>
      <c r="J23" s="4" t="n">
        <f aca="false">Assumptions!J44</f>
        <v>0</v>
      </c>
      <c r="K23" s="4" t="n">
        <f aca="false">Assumptions!K44</f>
        <v>0</v>
      </c>
      <c r="L23" s="4" t="n">
        <f aca="false">Assumptions!L44</f>
        <v>0</v>
      </c>
    </row>
    <row r="24" customFormat="false" ht="15" hidden="false" customHeight="false" outlineLevel="0" collapsed="false">
      <c r="A24" s="0" t="s">
        <v>122</v>
      </c>
      <c r="C24" s="0" t="n">
        <f aca="false">-C6*C23/100</f>
        <v>-0</v>
      </c>
      <c r="D24" s="0" t="n">
        <f aca="false">-D6*D23/100</f>
        <v>-0</v>
      </c>
      <c r="E24" s="0" t="n">
        <f aca="false">-E6*E23/100</f>
        <v>-0</v>
      </c>
      <c r="F24" s="0" t="n">
        <f aca="false">-F6*F23/100</f>
        <v>-0</v>
      </c>
      <c r="G24" s="0" t="n">
        <f aca="false">-G6*G23/100</f>
        <v>-0</v>
      </c>
      <c r="H24" s="0" t="n">
        <f aca="false">-H6*H23/100</f>
        <v>-0</v>
      </c>
      <c r="I24" s="0" t="n">
        <f aca="false">-I6*I23/100</f>
        <v>-0</v>
      </c>
      <c r="J24" s="0" t="n">
        <f aca="false">-J6*J23/100</f>
        <v>-0</v>
      </c>
      <c r="K24" s="0" t="n">
        <f aca="false">-K6*K23/100</f>
        <v>-0</v>
      </c>
      <c r="L24" s="0" t="n">
        <f aca="false">-L6*L23/100</f>
        <v>-0</v>
      </c>
    </row>
    <row r="26" customFormat="false" ht="15" hidden="false" customHeight="false" outlineLevel="0" collapsed="false">
      <c r="A26" s="2" t="s">
        <v>123</v>
      </c>
    </row>
    <row r="27" customFormat="false" ht="15" hidden="false" customHeight="false" outlineLevel="0" collapsed="false">
      <c r="A27" s="0" t="s">
        <v>101</v>
      </c>
      <c r="B27" s="4" t="n">
        <f aca="false">Assumptions!$B$48</f>
        <v>9</v>
      </c>
    </row>
    <row r="28" customFormat="false" ht="15" hidden="false" customHeight="false" outlineLevel="0" collapsed="false">
      <c r="A28" s="0" t="s">
        <v>102</v>
      </c>
      <c r="B28" s="4" t="n">
        <f aca="false">Assumptions!$B$49</f>
        <v>3</v>
      </c>
    </row>
    <row r="29" customFormat="false" ht="15" hidden="false" customHeight="false" outlineLevel="0" collapsed="false">
      <c r="A29" s="0" t="s">
        <v>103</v>
      </c>
      <c r="B29" s="4" t="n">
        <f aca="false">Assumptions!$B$50</f>
        <v>15</v>
      </c>
    </row>
    <row r="30" customFormat="false" ht="15" hidden="false" customHeight="false" outlineLevel="0" collapsed="false">
      <c r="A30" s="0" t="s">
        <v>124</v>
      </c>
      <c r="B30" s="0" t="n">
        <f aca="false">SUM(C21:L21)</f>
        <v>78266.2331750405</v>
      </c>
    </row>
    <row r="31" customFormat="false" ht="15" hidden="false" customHeight="false" outlineLevel="0" collapsed="false">
      <c r="A31" s="0" t="s">
        <v>125</v>
      </c>
      <c r="B31" s="0" t="n">
        <f aca="false">L19</f>
        <v>16652.86192852</v>
      </c>
    </row>
    <row r="32" customFormat="false" ht="15" hidden="false" customHeight="false" outlineLevel="0" collapsed="false">
      <c r="A32" s="0" t="s">
        <v>126</v>
      </c>
      <c r="B32" s="0" t="n">
        <f aca="false">IF(B27&gt;B28,B31*(1+B28/100)/((B27-B28)/100),B31*B29)</f>
        <v>285874.129772927</v>
      </c>
    </row>
    <row r="33" customFormat="false" ht="15" hidden="false" customHeight="false" outlineLevel="0" collapsed="false">
      <c r="A33" s="0" t="s">
        <v>127</v>
      </c>
      <c r="B33" s="0" t="n">
        <f aca="false">B31*B29</f>
        <v>249792.9289278</v>
      </c>
    </row>
    <row r="34" customFormat="false" ht="15" hidden="false" customHeight="false" outlineLevel="0" collapsed="false">
      <c r="A34" s="0" t="s">
        <v>128</v>
      </c>
      <c r="B34" s="0" t="n">
        <f aca="false">MAX(0,MIN(B32,B33))</f>
        <v>249792.9289278</v>
      </c>
    </row>
    <row r="35" customFormat="false" ht="15" hidden="false" customHeight="false" outlineLevel="0" collapsed="false">
      <c r="A35" s="0" t="s">
        <v>129</v>
      </c>
      <c r="B35" s="0" t="n">
        <f aca="false">B34/(1+B27/100)^L4</f>
        <v>105515.23266523</v>
      </c>
    </row>
    <row r="36" customFormat="false" ht="15" hidden="false" customHeight="false" outlineLevel="0" collapsed="false">
      <c r="A36" s="0" t="s">
        <v>130</v>
      </c>
      <c r="B36" s="0" t="n">
        <f aca="false">B30+B35</f>
        <v>183781.46584027</v>
      </c>
    </row>
    <row r="37" customFormat="false" ht="15" hidden="false" customHeight="false" outlineLevel="0" collapsed="false">
      <c r="A37" s="0" t="s">
        <v>131</v>
      </c>
      <c r="B37" s="0" t="n">
        <f aca="false">B36+Assumptions!$B$5-Assumptions!$B$4</f>
        <v>201712.87884027</v>
      </c>
    </row>
    <row r="38" customFormat="false" ht="15" hidden="false" customHeight="false" outlineLevel="0" collapsed="false">
      <c r="A38" s="0" t="s">
        <v>132</v>
      </c>
      <c r="B38" s="0" t="n">
        <f aca="false">B37/Assumptions!$B$3*Assumptions!$B$10</f>
        <v>310.759762355234</v>
      </c>
    </row>
    <row r="39" customFormat="false" ht="15" hidden="false" customHeight="false" outlineLevel="0" collapsed="false">
      <c r="A39" s="0" t="s">
        <v>133</v>
      </c>
      <c r="B39" s="4" t="n">
        <f aca="false">B38/Assumptions!$B$2-1</f>
        <v>0.963106521511266</v>
      </c>
    </row>
    <row r="41" customFormat="false" ht="15" hidden="false" customHeight="false" outlineLevel="0" collapsed="false">
      <c r="A41" s="0" t="s">
        <v>134</v>
      </c>
      <c r="B41" s="0" t="n">
        <f aca="false">SUMPRODUCT(-C10:L10/(1+$B$27/100)^C4:L4)</f>
        <v>1959.90595472938</v>
      </c>
    </row>
    <row r="42" customFormat="false" ht="15" hidden="false" customHeight="false" outlineLevel="0" collapsed="false">
      <c r="A42" s="0" t="s">
        <v>135</v>
      </c>
      <c r="B42" s="0" t="n">
        <f aca="false">IF(B27&gt;B28,-L10*(1+B28/100)/((B27-B28)/100),-L10*20)/(1+B27/100)^L4</f>
        <v>2777.92320745307</v>
      </c>
    </row>
    <row r="43" customFormat="false" ht="15" hidden="false" customHeight="false" outlineLevel="0" collapsed="false">
      <c r="A43" s="0" t="s">
        <v>136</v>
      </c>
      <c r="B43" s="0" t="n">
        <f aca="false">(B37+B41+B42)/Assumptions!$B$3*Assumptions!$B$10</f>
        <v>318.058883130191</v>
      </c>
    </row>
    <row r="45" customFormat="false" ht="15" hidden="false" customHeight="false" outlineLevel="0" collapsed="false">
      <c r="A45" s="0" t="s">
        <v>77</v>
      </c>
      <c r="B45" s="4" t="n">
        <f aca="false">Assumptions!$B$6</f>
        <v>15</v>
      </c>
    </row>
    <row r="46" customFormat="false" ht="15" hidden="false" customHeight="false" outlineLevel="0" collapsed="false">
      <c r="A46" s="0" t="s">
        <v>137</v>
      </c>
      <c r="B46" s="0" t="n">
        <f aca="false">MAX(0,MIN(IF(B45&gt;B28,B31*(1+B28/100)/((B45-B28)/100),B31*B29),B31*B29))</f>
        <v>142937.064886464</v>
      </c>
    </row>
    <row r="47" customFormat="false" ht="15" hidden="false" customHeight="false" outlineLevel="0" collapsed="false">
      <c r="A47" s="0" t="s">
        <v>138</v>
      </c>
      <c r="B47" s="0" t="n">
        <f aca="false">(SUMPRODUCT(C19:L19/(1+B45/100)^C4:L4)+B46/(1+B45/100)^L4+Assumptions!$B$5-Assumptions!$B$4)/Assumptions!$B$3*Assumptions!$B$10</f>
        <v>173.032925164227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60"/>
  </cols>
  <sheetData>
    <row r="1" customFormat="false" ht="15" hidden="false" customHeight="false" outlineLevel="0" collapsed="false">
      <c r="A1" s="2" t="s">
        <v>141</v>
      </c>
    </row>
    <row r="3" customFormat="false" ht="15" hidden="false" customHeight="false" outlineLevel="0" collapsed="false">
      <c r="A3" s="2" t="s">
        <v>142</v>
      </c>
      <c r="B3" s="2" t="s">
        <v>143</v>
      </c>
      <c r="C3" s="2" t="s">
        <v>133</v>
      </c>
      <c r="D3" s="2" t="s">
        <v>144</v>
      </c>
      <c r="E3" s="2" t="s">
        <v>136</v>
      </c>
      <c r="F3" s="2" t="s">
        <v>145</v>
      </c>
    </row>
    <row r="4" customFormat="false" ht="15" hidden="false" customHeight="false" outlineLevel="0" collapsed="false">
      <c r="A4" s="0" t="s">
        <v>146</v>
      </c>
      <c r="B4" s="4" t="n">
        <f aca="false">DCF_Bear!$B$38</f>
        <v>153.39611277613</v>
      </c>
      <c r="C4" s="0" t="n">
        <f aca="false">B4/Assumptions!$B$2-1</f>
        <v>-0.0309784410857236</v>
      </c>
      <c r="D4" s="4" t="n">
        <f aca="false">Assumptions!$B$24</f>
        <v>0.25</v>
      </c>
      <c r="E4" s="4" t="n">
        <f aca="false">DCF_Bear!$B$43</f>
        <v>158.287379459546</v>
      </c>
      <c r="F4" s="4" t="n">
        <f aca="false">DCF_Bear!$B$47</f>
        <v>95.3546376705691</v>
      </c>
    </row>
    <row r="5" customFormat="false" ht="15" hidden="false" customHeight="false" outlineLevel="0" collapsed="false">
      <c r="A5" s="0" t="s">
        <v>147</v>
      </c>
      <c r="B5" s="4" t="n">
        <f aca="false">DCF_Base!$B$38</f>
        <v>246.733792990448</v>
      </c>
      <c r="C5" s="0" t="n">
        <f aca="false">B5/Assumptions!$B$2-1</f>
        <v>0.558646828745722</v>
      </c>
      <c r="D5" s="4" t="n">
        <f aca="false">Assumptions!$B$38</f>
        <v>0.5</v>
      </c>
      <c r="E5" s="4" t="n">
        <f aca="false">DCF_Base!$B$43</f>
        <v>252.93456201887</v>
      </c>
      <c r="F5" s="4" t="n">
        <f aca="false">DCF_Base!$B$47</f>
        <v>141.169116637055</v>
      </c>
    </row>
    <row r="6" customFormat="false" ht="15" hidden="false" customHeight="false" outlineLevel="0" collapsed="false">
      <c r="A6" s="0" t="s">
        <v>148</v>
      </c>
      <c r="B6" s="4" t="n">
        <f aca="false">DCF_Bull!$B$38</f>
        <v>310.759762355234</v>
      </c>
      <c r="C6" s="0" t="n">
        <f aca="false">B6/Assumptions!$B$2-1</f>
        <v>0.963106521511266</v>
      </c>
      <c r="D6" s="4" t="n">
        <f aca="false">Assumptions!$B$52</f>
        <v>0.25</v>
      </c>
      <c r="E6" s="4" t="n">
        <f aca="false">DCF_Bull!$B$43</f>
        <v>318.058883130191</v>
      </c>
      <c r="F6" s="4" t="n">
        <f aca="false">DCF_Bull!$B$47</f>
        <v>173.032925164227</v>
      </c>
    </row>
    <row r="8" customFormat="false" ht="15" hidden="false" customHeight="false" outlineLevel="0" collapsed="false">
      <c r="A8" s="0" t="s">
        <v>149</v>
      </c>
      <c r="B8" s="0" t="n">
        <f aca="false">SUMPRODUCT(B4:B6,D4:D6)</f>
        <v>239.405865278065</v>
      </c>
    </row>
    <row r="9" customFormat="false" ht="15" hidden="false" customHeight="false" outlineLevel="0" collapsed="false">
      <c r="A9" s="0" t="s">
        <v>150</v>
      </c>
      <c r="B9" s="0" t="n">
        <f aca="false">SUMPRODUCT(E4:E6,D4:D6)</f>
        <v>245.55384665687</v>
      </c>
    </row>
    <row r="10" customFormat="false" ht="15" hidden="false" customHeight="false" outlineLevel="0" collapsed="false">
      <c r="A10" s="0" t="s">
        <v>151</v>
      </c>
      <c r="B10" s="0" t="n">
        <f aca="false">1-Assumptions!$B$2/B8</f>
        <v>0.338779775440598</v>
      </c>
    </row>
    <row r="11" customFormat="false" ht="15" hidden="false" customHeight="false" outlineLevel="0" collapsed="false">
      <c r="A11" s="0" t="s">
        <v>152</v>
      </c>
      <c r="B11" s="0" t="n">
        <f aca="false">IF(ABS(B9-B8)&gt;0.01*ABS(B8),(Assumptions!$B$2-B8)/(B9-B8)*100,"n/a")</f>
        <v>-1319.22756886801</v>
      </c>
    </row>
    <row r="12" customFormat="false" ht="15" hidden="false" customHeight="false" outlineLevel="0" collapsed="false">
      <c r="A12" s="0" t="s">
        <v>153</v>
      </c>
      <c r="B12" s="0" t="n">
        <f aca="false">SUMPRODUCT(F4:F6,D4:D6)</f>
        <v>137.681449027227</v>
      </c>
    </row>
    <row r="14" customFormat="false" ht="15" hidden="false" customHeight="false" outlineLevel="0" collapsed="false">
      <c r="A14" s="2" t="s">
        <v>154</v>
      </c>
      <c r="C14" s="0" t="s">
        <v>155</v>
      </c>
    </row>
    <row r="15" customFormat="false" ht="15" hidden="false" customHeight="false" outlineLevel="0" collapsed="false">
      <c r="A15" s="0" t="s">
        <v>156</v>
      </c>
      <c r="B15" s="0" t="n">
        <f aca="false">(SUMPRODUCT(DCF_Base!$C$19:$L$19/(1+$C$15/100)^DCF_Base!$C$4:$L$4)+MAX(0,MIN(IF($C$15&gt;DCF_Base!$B$28,DCF_Base!$L$19*(1+DCF_Base!$B$28/100)/(($C$15-DCF_Base!$B$28)/100),DCF_Base!$L$19*DCF_Base!$B$29),DCF_Base!$L$19*DCF_Base!$B$29))/(1+$C$15/100)^DCF_Base!$L$4+Assumptions!$B$5-Assumptions!$B$4)/Assumptions!$B$3*Assumptions!$B$10</f>
        <v>246.733792990448</v>
      </c>
      <c r="C15" s="3" t="n">
        <v>9</v>
      </c>
    </row>
    <row r="16" customFormat="false" ht="15" hidden="false" customHeight="false" outlineLevel="0" collapsed="false">
      <c r="A16" s="0" t="s">
        <v>157</v>
      </c>
      <c r="B16" s="0" t="n">
        <f aca="false">(SUMPRODUCT(DCF_Base!$C$19:$L$19/(1+$C$16/100)^DCF_Base!$C$4:$L$4)+MAX(0,MIN(IF($C$16&gt;DCF_Base!$B$28,DCF_Base!$L$19*(1+DCF_Base!$B$28/100)/(($C$16-DCF_Base!$B$28)/100),DCF_Base!$L$19*DCF_Base!$B$29),DCF_Base!$L$19*DCF_Base!$B$29))/(1+$C$16/100)^DCF_Base!$L$4+Assumptions!$B$5-Assumptions!$B$4)/Assumptions!$B$3*Assumptions!$B$10</f>
        <v>221.778883935288</v>
      </c>
      <c r="C16" s="3" t="n">
        <v>10</v>
      </c>
    </row>
    <row r="17" customFormat="false" ht="15" hidden="false" customHeight="false" outlineLevel="0" collapsed="false">
      <c r="A17" s="0" t="s">
        <v>158</v>
      </c>
      <c r="B17" s="0" t="n">
        <f aca="false">(SUMPRODUCT(DCF_Base!$C$19:$L$19/(1+$C$17/100)^DCF_Base!$C$4:$L$4)+MAX(0,MIN(IF($C$17&gt;DCF_Base!$B$28,DCF_Base!$L$19*(1+DCF_Base!$B$28/100)/(($C$17-DCF_Base!$B$28)/100),DCF_Base!$L$19*DCF_Base!$B$29),DCF_Base!$L$19*DCF_Base!$B$29))/(1+$C$17/100)^DCF_Base!$L$4+Assumptions!$B$5-Assumptions!$B$4)/Assumptions!$B$3*Assumptions!$B$10</f>
        <v>197.991232405632</v>
      </c>
      <c r="C17" s="3" t="n">
        <v>11</v>
      </c>
    </row>
    <row r="18" customFormat="false" ht="15" hidden="false" customHeight="false" outlineLevel="0" collapsed="false">
      <c r="A18" s="0" t="s">
        <v>159</v>
      </c>
      <c r="B18" s="0" t="n">
        <f aca="false">(SUMPRODUCT(DCF_Base!$C$19:$L$19/(1+$C$18/100)^DCF_Base!$C$4:$L$4)+MAX(0,MIN(IF($C$18&gt;DCF_Base!$B$28,DCF_Base!$L$19*(1+DCF_Base!$B$28/100)/(($C$18-DCF_Base!$B$28)/100),DCF_Base!$L$19*DCF_Base!$B$29),DCF_Base!$L$19*DCF_Base!$B$29))/(1+$C$18/100)^DCF_Base!$L$4+Assumptions!$B$5-Assumptions!$B$4)/Assumptions!$B$3*Assumptions!$B$10</f>
        <v>179.248911571443</v>
      </c>
      <c r="C18" s="3" t="n">
        <v>12</v>
      </c>
    </row>
    <row r="19" customFormat="false" ht="15" hidden="false" customHeight="false" outlineLevel="0" collapsed="false">
      <c r="A19" s="0" t="s">
        <v>160</v>
      </c>
      <c r="B19" s="0" t="n">
        <f aca="false">(SUMPRODUCT(DCF_Base!$C$19:$L$19/(1+$C$19/100)^DCF_Base!$C$4:$L$4)+MAX(0,MIN(IF($C$19&gt;DCF_Base!$B$28,DCF_Base!$L$19*(1+DCF_Base!$B$28/100)/(($C$19-DCF_Base!$B$28)/100),DCF_Base!$L$19*DCF_Base!$B$29),DCF_Base!$L$19*DCF_Base!$B$29))/(1+$C$19/100)^DCF_Base!$L$4+Assumptions!$B$5-Assumptions!$B$4)/Assumptions!$B$3*Assumptions!$B$10</f>
        <v>141.169116637055</v>
      </c>
      <c r="C19" s="3" t="n">
        <v>15</v>
      </c>
    </row>
    <row r="21" customFormat="false" ht="15" hidden="false" customHeight="false" outlineLevel="0" collapsed="false">
      <c r="A21" s="2" t="s">
        <v>161</v>
      </c>
    </row>
    <row r="22" customFormat="false" ht="15" hidden="false" customHeight="false" outlineLevel="0" collapsed="false">
      <c r="B22" s="3" t="n">
        <v>1.5</v>
      </c>
      <c r="C22" s="3" t="n">
        <v>2</v>
      </c>
      <c r="D22" s="3" t="n">
        <v>2.5</v>
      </c>
      <c r="E22" s="3" t="n">
        <v>3</v>
      </c>
      <c r="F22" s="3" t="n">
        <v>3.5</v>
      </c>
    </row>
    <row r="23" customFormat="false" ht="15" hidden="false" customHeight="false" outlineLevel="0" collapsed="false">
      <c r="A23" s="3" t="n">
        <v>7</v>
      </c>
      <c r="B23" s="0" t="n">
        <f aca="false">(SUMPRODUCT(DCF_Base!$C$19:$L$19/(1+$A$23/100)^DCF_Base!$C$4:$L$4)+MAX(0,MIN(IF($A$23&gt;$B$22,DCF_Base!$L$19*(1+$B$22/100)/(($A$23-$B$22)/100),DCF_Base!$L$19*DCF_Base!$B$29),DCF_Base!$L$19*DCF_Base!$B$29))/(1+$A$23/100)^DCF_Base!$L$4+Assumptions!$B$5-Assumptions!$B$4)/Assumptions!$B$3*Assumptions!$B$10</f>
        <v>281.53498416571</v>
      </c>
      <c r="C23" s="0" t="n">
        <f aca="false">(SUMPRODUCT(DCF_Base!$C$19:$L$19/(1+$A$23/100)^DCF_Base!$C$4:$L$4)+MAX(0,MIN(IF($A$23&gt;$C$22,DCF_Base!$L$19*(1+$C$22/100)/(($A$23-$C$22)/100),DCF_Base!$L$19*DCF_Base!$B$29),DCF_Base!$L$19*DCF_Base!$B$29))/(1+$A$23/100)^DCF_Base!$L$4+Assumptions!$B$5-Assumptions!$B$4)/Assumptions!$B$3*Assumptions!$B$10</f>
        <v>281.53498416571</v>
      </c>
      <c r="D23" s="0" t="n">
        <f aca="false">(SUMPRODUCT(DCF_Base!$C$19:$L$19/(1+$A$23/100)^DCF_Base!$C$4:$L$4)+MAX(0,MIN(IF($A$23&gt;$D$22,DCF_Base!$L$19*(1+$D$22/100)/(($A$23-$D$22)/100),DCF_Base!$L$19*DCF_Base!$B$29),DCF_Base!$L$19*DCF_Base!$B$29))/(1+$A$23/100)^DCF_Base!$L$4+Assumptions!$B$5-Assumptions!$B$4)/Assumptions!$B$3*Assumptions!$B$10</f>
        <v>281.53498416571</v>
      </c>
      <c r="E23" s="0" t="n">
        <f aca="false">(SUMPRODUCT(DCF_Base!$C$19:$L$19/(1+$A$23/100)^DCF_Base!$C$4:$L$4)+MAX(0,MIN(IF($A$23&gt;$E$22,DCF_Base!$L$19*(1+$E$22/100)/(($A$23-$E$22)/100),DCF_Base!$L$19*DCF_Base!$B$29),DCF_Base!$L$19*DCF_Base!$B$29))/(1+$A$23/100)^DCF_Base!$L$4+Assumptions!$B$5-Assumptions!$B$4)/Assumptions!$B$3*Assumptions!$B$10</f>
        <v>281.53498416571</v>
      </c>
      <c r="F23" s="0" t="n">
        <f aca="false">(SUMPRODUCT(DCF_Base!$C$19:$L$19/(1+$A$23/100)^DCF_Base!$C$4:$L$4)+MAX(0,MIN(IF($A$23&gt;$F$22,DCF_Base!$L$19*(1+$F$22/100)/(($A$23-$F$22)/100),DCF_Base!$L$19*DCF_Base!$B$29),DCF_Base!$L$19*DCF_Base!$B$29))/(1+$A$23/100)^DCF_Base!$L$4+Assumptions!$B$5-Assumptions!$B$4)/Assumptions!$B$3*Assumptions!$B$10</f>
        <v>281.53498416571</v>
      </c>
    </row>
    <row r="24" customFormat="false" ht="15" hidden="false" customHeight="false" outlineLevel="0" collapsed="false">
      <c r="A24" s="3" t="n">
        <v>8</v>
      </c>
      <c r="B24" s="0" t="n">
        <f aca="false">(SUMPRODUCT(DCF_Base!$C$19:$L$19/(1+$A$24/100)^DCF_Base!$C$4:$L$4)+MAX(0,MIN(IF($A$24&gt;$B$22,DCF_Base!$L$19*(1+$B$22/100)/(($A$24-$B$22)/100),DCF_Base!$L$19*DCF_Base!$B$29),DCF_Base!$L$19*DCF_Base!$B$29))/(1+$A$24/100)^DCF_Base!$L$4+Assumptions!$B$5-Assumptions!$B$4)/Assumptions!$B$3*Assumptions!$B$10</f>
        <v>263.32344713272</v>
      </c>
      <c r="C24" s="0" t="n">
        <f aca="false">(SUMPRODUCT(DCF_Base!$C$19:$L$19/(1+$A$24/100)^DCF_Base!$C$4:$L$4)+MAX(0,MIN(IF($A$24&gt;$C$22,DCF_Base!$L$19*(1+$C$22/100)/(($A$24-$C$22)/100),DCF_Base!$L$19*DCF_Base!$B$29),DCF_Base!$L$19*DCF_Base!$B$29))/(1+$A$24/100)^DCF_Base!$L$4+Assumptions!$B$5-Assumptions!$B$4)/Assumptions!$B$3*Assumptions!$B$10</f>
        <v>263.32344713272</v>
      </c>
      <c r="D24" s="0" t="n">
        <f aca="false">(SUMPRODUCT(DCF_Base!$C$19:$L$19/(1+$A$24/100)^DCF_Base!$C$4:$L$4)+MAX(0,MIN(IF($A$24&gt;$D$22,DCF_Base!$L$19*(1+$D$22/100)/(($A$24-$D$22)/100),DCF_Base!$L$19*DCF_Base!$B$29),DCF_Base!$L$19*DCF_Base!$B$29))/(1+$A$24/100)^DCF_Base!$L$4+Assumptions!$B$5-Assumptions!$B$4)/Assumptions!$B$3*Assumptions!$B$10</f>
        <v>263.32344713272</v>
      </c>
      <c r="E24" s="0" t="n">
        <f aca="false">(SUMPRODUCT(DCF_Base!$C$19:$L$19/(1+$A$24/100)^DCF_Base!$C$4:$L$4)+MAX(0,MIN(IF($A$24&gt;$E$22,DCF_Base!$L$19*(1+$E$22/100)/(($A$24-$E$22)/100),DCF_Base!$L$19*DCF_Base!$B$29),DCF_Base!$L$19*DCF_Base!$B$29))/(1+$A$24/100)^DCF_Base!$L$4+Assumptions!$B$5-Assumptions!$B$4)/Assumptions!$B$3*Assumptions!$B$10</f>
        <v>263.32344713272</v>
      </c>
      <c r="F24" s="0" t="n">
        <f aca="false">(SUMPRODUCT(DCF_Base!$C$19:$L$19/(1+$A$24/100)^DCF_Base!$C$4:$L$4)+MAX(0,MIN(IF($A$24&gt;$F$22,DCF_Base!$L$19*(1+$F$22/100)/(($A$24-$F$22)/100),DCF_Base!$L$19*DCF_Base!$B$29),DCF_Base!$L$19*DCF_Base!$B$29))/(1+$A$24/100)^DCF_Base!$L$4+Assumptions!$B$5-Assumptions!$B$4)/Assumptions!$B$3*Assumptions!$B$10</f>
        <v>263.32344713272</v>
      </c>
    </row>
    <row r="25" customFormat="false" ht="15" hidden="false" customHeight="false" outlineLevel="0" collapsed="false">
      <c r="A25" s="3" t="n">
        <v>9</v>
      </c>
      <c r="B25" s="0" t="n">
        <f aca="false">(SUMPRODUCT(DCF_Base!$C$19:$L$19/(1+$A$25/100)^DCF_Base!$C$4:$L$4)+MAX(0,MIN(IF($A$25&gt;$B$22,DCF_Base!$L$19*(1+$B$22/100)/(($A$25-$B$22)/100),DCF_Base!$L$19*DCF_Base!$B$29),DCF_Base!$L$19*DCF_Base!$B$29))/(1+$A$25/100)^DCF_Base!$L$4+Assumptions!$B$5-Assumptions!$B$4)/Assumptions!$B$3*Assumptions!$B$10</f>
        <v>234.893155176694</v>
      </c>
      <c r="C25" s="0" t="n">
        <f aca="false">(SUMPRODUCT(DCF_Base!$C$19:$L$19/(1+$A$25/100)^DCF_Base!$C$4:$L$4)+MAX(0,MIN(IF($A$25&gt;$C$22,DCF_Base!$L$19*(1+$C$22/100)/(($A$25-$C$22)/100),DCF_Base!$L$19*DCF_Base!$B$29),DCF_Base!$L$19*DCF_Base!$B$29))/(1+$A$25/100)^DCF_Base!$L$4+Assumptions!$B$5-Assumptions!$B$4)/Assumptions!$B$3*Assumptions!$B$10</f>
        <v>243.273866356559</v>
      </c>
      <c r="D25" s="0" t="n">
        <f aca="false">(SUMPRODUCT(DCF_Base!$C$19:$L$19/(1+$A$25/100)^DCF_Base!$C$4:$L$4)+MAX(0,MIN(IF($A$25&gt;$D$22,DCF_Base!$L$19*(1+$D$22/100)/(($A$25-$D$22)/100),DCF_Base!$L$19*DCF_Base!$B$29),DCF_Base!$L$19*DCF_Base!$B$29))/(1+$A$25/100)^DCF_Base!$L$4+Assumptions!$B$5-Assumptions!$B$4)/Assumptions!$B$3*Assumptions!$B$10</f>
        <v>246.733792990448</v>
      </c>
      <c r="E25" s="0" t="n">
        <f aca="false">(SUMPRODUCT(DCF_Base!$C$19:$L$19/(1+$A$25/100)^DCF_Base!$C$4:$L$4)+MAX(0,MIN(IF($A$25&gt;$E$22,DCF_Base!$L$19*(1+$E$22/100)/(($A$25-$E$22)/100),DCF_Base!$L$19*DCF_Base!$B$29),DCF_Base!$L$19*DCF_Base!$B$29))/(1+$A$25/100)^DCF_Base!$L$4+Assumptions!$B$5-Assumptions!$B$4)/Assumptions!$B$3*Assumptions!$B$10</f>
        <v>246.733792990448</v>
      </c>
      <c r="F25" s="0" t="n">
        <f aca="false">(SUMPRODUCT(DCF_Base!$C$19:$L$19/(1+$A$25/100)^DCF_Base!$C$4:$L$4)+MAX(0,MIN(IF($A$25&gt;$F$22,DCF_Base!$L$19*(1+$F$22/100)/(($A$25-$F$22)/100),DCF_Base!$L$19*DCF_Base!$B$29),DCF_Base!$L$19*DCF_Base!$B$29))/(1+$A$25/100)^DCF_Base!$L$4+Assumptions!$B$5-Assumptions!$B$4)/Assumptions!$B$3*Assumptions!$B$10</f>
        <v>246.733792990448</v>
      </c>
    </row>
    <row r="26" customFormat="false" ht="15" hidden="false" customHeight="false" outlineLevel="0" collapsed="false">
      <c r="A26" s="3" t="n">
        <v>10</v>
      </c>
      <c r="B26" s="0" t="n">
        <f aca="false">(SUMPRODUCT(DCF_Base!$C$19:$L$19/(1+$A$26/100)^DCF_Base!$C$4:$L$4)+MAX(0,MIN(IF($A$26&gt;$B$22,DCF_Base!$L$19*(1+$B$22/100)/(($A$26-$B$22)/100),DCF_Base!$L$19*DCF_Base!$B$29),DCF_Base!$L$19*DCF_Base!$B$29))/(1+$A$26/100)^DCF_Base!$L$4+Assumptions!$B$5-Assumptions!$B$4)/Assumptions!$B$3*Assumptions!$B$10</f>
        <v>209.064529937501</v>
      </c>
      <c r="C26" s="0" t="n">
        <f aca="false">(SUMPRODUCT(DCF_Base!$C$19:$L$19/(1+$A$26/100)^DCF_Base!$C$4:$L$4)+MAX(0,MIN(IF($A$26&gt;$C$22,DCF_Base!$L$19*(1+$C$22/100)/(($A$26-$C$22)/100),DCF_Base!$L$19*DCF_Base!$B$29),DCF_Base!$L$19*DCF_Base!$B$29))/(1+$A$26/100)^DCF_Base!$L$4+Assumptions!$B$5-Assumptions!$B$4)/Assumptions!$B$3*Assumptions!$B$10</f>
        <v>215.024383373964</v>
      </c>
      <c r="D26" s="0" t="n">
        <f aca="false">(SUMPRODUCT(DCF_Base!$C$19:$L$19/(1+$A$26/100)^DCF_Base!$C$4:$L$4)+MAX(0,MIN(IF($A$26&gt;$D$22,DCF_Base!$L$19*(1+$D$22/100)/(($A$26-$D$22)/100),DCF_Base!$L$19*DCF_Base!$B$29),DCF_Base!$L$19*DCF_Base!$B$29))/(1+$A$26/100)^DCF_Base!$L$4+Assumptions!$B$5-Assumptions!$B$4)/Assumptions!$B$3*Assumptions!$B$10</f>
        <v>221.778883935288</v>
      </c>
      <c r="E26" s="0" t="n">
        <f aca="false">(SUMPRODUCT(DCF_Base!$C$19:$L$19/(1+$A$26/100)^DCF_Base!$C$4:$L$4)+MAX(0,MIN(IF($A$26&gt;$E$22,DCF_Base!$L$19*(1+$E$22/100)/(($A$26-$E$22)/100),DCF_Base!$L$19*DCF_Base!$B$29),DCF_Base!$L$19*DCF_Base!$B$29))/(1+$A$26/100)^DCF_Base!$L$4+Assumptions!$B$5-Assumptions!$B$4)/Assumptions!$B$3*Assumptions!$B$10</f>
        <v>229.49831314823</v>
      </c>
      <c r="F26" s="0" t="n">
        <f aca="false">(SUMPRODUCT(DCF_Base!$C$19:$L$19/(1+$A$26/100)^DCF_Base!$C$4:$L$4)+MAX(0,MIN(IF($A$26&gt;$F$22,DCF_Base!$L$19*(1+$F$22/100)/(($A$26-$F$22)/100),DCF_Base!$L$19*DCF_Base!$B$29),DCF_Base!$L$19*DCF_Base!$B$29))/(1+$A$26/100)^DCF_Base!$L$4+Assumptions!$B$5-Assumptions!$B$4)/Assumptions!$B$3*Assumptions!$B$10</f>
        <v>231.603612024487</v>
      </c>
    </row>
    <row r="27" customFormat="false" ht="15" hidden="false" customHeight="false" outlineLevel="0" collapsed="false">
      <c r="A27" s="3" t="n">
        <v>11</v>
      </c>
      <c r="B27" s="0" t="n">
        <f aca="false">(SUMPRODUCT(DCF_Base!$C$19:$L$19/(1+$A$27/100)^DCF_Base!$C$4:$L$4)+MAX(0,MIN(IF($A$27&gt;$B$22,DCF_Base!$L$19*(1+$B$22/100)/(($A$27-$B$22)/100),DCF_Base!$L$19*DCF_Base!$B$29),DCF_Base!$L$19*DCF_Base!$B$29))/(1+$A$27/100)^DCF_Base!$L$4+Assumptions!$B$5-Assumptions!$B$4)/Assumptions!$B$3*Assumptions!$B$10</f>
        <v>188.738727703017</v>
      </c>
      <c r="C27" s="0" t="n">
        <f aca="false">(SUMPRODUCT(DCF_Base!$C$19:$L$19/(1+$A$27/100)^DCF_Base!$C$4:$L$4)+MAX(0,MIN(IF($A$27&gt;$C$22,DCF_Base!$L$19*(1+$C$22/100)/(($A$27-$C$22)/100),DCF_Base!$L$19*DCF_Base!$B$29),DCF_Base!$L$19*DCF_Base!$B$29))/(1+$A$27/100)^DCF_Base!$L$4+Assumptions!$B$5-Assumptions!$B$4)/Assumptions!$B$3*Assumptions!$B$10</f>
        <v>193.107966034807</v>
      </c>
      <c r="D27" s="0" t="n">
        <f aca="false">(SUMPRODUCT(DCF_Base!$C$19:$L$19/(1+$A$27/100)^DCF_Base!$C$4:$L$4)+MAX(0,MIN(IF($A$27&gt;$D$22,DCF_Base!$L$19*(1+$D$22/100)/(($A$27-$D$22)/100),DCF_Base!$L$19*DCF_Base!$B$29),DCF_Base!$L$19*DCF_Base!$B$29))/(1+$A$27/100)^DCF_Base!$L$4+Assumptions!$B$5-Assumptions!$B$4)/Assumptions!$B$3*Assumptions!$B$10</f>
        <v>197.991232405632</v>
      </c>
      <c r="E27" s="0" t="n">
        <f aca="false">(SUMPRODUCT(DCF_Base!$C$19:$L$19/(1+$A$27/100)^DCF_Base!$C$4:$L$4)+MAX(0,MIN(IF($A$27&gt;$E$22,DCF_Base!$L$19*(1+$E$22/100)/(($A$27-$E$22)/100),DCF_Base!$L$19*DCF_Base!$B$29),DCF_Base!$L$19*DCF_Base!$B$29))/(1+$A$27/100)^DCF_Base!$L$4+Assumptions!$B$5-Assumptions!$B$4)/Assumptions!$B$3*Assumptions!$B$10</f>
        <v>203.484907072809</v>
      </c>
      <c r="F27" s="0" t="n">
        <f aca="false">(SUMPRODUCT(DCF_Base!$C$19:$L$19/(1+$A$27/100)^DCF_Base!$C$4:$L$4)+MAX(0,MIN(IF($A$27&gt;$F$22,DCF_Base!$L$19*(1+$F$22/100)/(($A$27-$F$22)/100),DCF_Base!$L$19*DCF_Base!$B$29),DCF_Base!$L$19*DCF_Base!$B$29))/(1+$A$27/100)^DCF_Base!$L$4+Assumptions!$B$5-Assumptions!$B$4)/Assumptions!$B$3*Assumptions!$B$10</f>
        <v>209.711071695609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LibreOffice/26.2.5.2$MacOSX_AARCH64 LibreOffice_project/cd7284b4cbbfeb507e630c1aac019f4157393acb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2026-10-17T02:50:41Z</dcterms:created>
  <dc:creator>openpyxl</dc:creator>
  <dc:description/>
  <dc:language>en-NZ</dc:language>
  <cp:lastModifiedBy/>
  <dcterms:modified xsi:type="dcterms:W3CDTF">2026-10-17T02:50:41Z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