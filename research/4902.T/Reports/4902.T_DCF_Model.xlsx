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<sst xmlns="http://schemas.openxmlformats.org/spreadsheetml/2006/main" count="364" uniqueCount="167">
  <si>
    <t xml:space="preserve">Ticker</t>
  </si>
  <si>
    <t xml:space="preserve">4902.T</t>
  </si>
  <si>
    <t xml:space="preserve">Company</t>
  </si>
  <si>
    <t xml:space="preserve">Konica Minolta, Inc.</t>
  </si>
  <si>
    <t xml:space="preserve">Valuation date</t>
  </si>
  <si>
    <t xml:space="preserve">2026-10-31</t>
  </si>
  <si>
    <t xml:space="preserve">Current price</t>
  </si>
  <si>
    <t xml:space="preserve">Price as of</t>
  </si>
  <si>
    <t xml:space="preserve">2026-10-30T06:30:00Z (TSE regular close)</t>
  </si>
  <si>
    <t xml:space="preserve">Balance sheet date</t>
  </si>
  <si>
    <t xml:space="preserve">2026-03-31</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</si>
  <si>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</si>
  <si>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</si>
  <si>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</si>
  <si>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</si>
  <si>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</si>
  <si>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</si>
  <si>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</si>
  <si>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</si>
  <si>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</si>
  <si>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</si>
  <si>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2026-10-31T06:39:52Z</t>
  </si>
  <si>
    <t xml:space="preserve">Drivers file</t>
  </si>
  <si>
    <t xml:space="preserve">4902.T_Drivers.json</t>
  </si>
  <si>
    <t xml:space="preserve">Convention</t>
  </si>
  <si>
    <t xml:space="preserve">Percents stored as percents; formulas divide by 100. Blue = input, green = link, black = formula.</t>
  </si>
  <si>
    <t xml:space="preserve">Methodology</t>
  </si>
  <si>
    <t xml:space="preserve">summary: Konica Minolta is valued as a levered, slow-growth industrial in the middle of a credible but unproven turnaround. The model deliberately refuses to extrapolate either the FY2025 trough (impairments and restructuring) or the FY2026 recovery year, anchoring instead on FY2027 guidance and a mid-cycle margin below management's FY2028 target. Leases are charged as an operating cost (treatment B), NCI is deducted once, investment securities including the residual Tempus stake are bridged in, and risk is carried in the scenario flows and weights rather than in a per-scenario discount rate. The terminal value is capped at 10-13x FCF because the market has never paid a compounder multiple for this franchise and the office base is shrinking.
key_risks_to_valuation: Office MFP volume decline faster than the 1-2%/yr embedded in the base; Digital Workplace is ~56% of revenue; Execution on Corporate Plan 2026-2028 after missed 2023-2025 targets; base already haircuts the 6.5% business-contribution target to ~6.0%; U.S. tariffs (JPY 12.2bn gross FY2026 hit, 5.3bn net) and the uncertain USD 47.6m refund, excluded from guidance; FX: plan built on JPY 150/USD and 180/EUR; a stronger yen cuts translated revenue and margin; Leverage: JPY 219bn net debt (ex-leases) against a ~JPY 330bn market cap means each 1pp of EBITDA margin is worth roughly JPY 15-20/share and the bear case lands well below half the base; Industry Business cyclicality (display, automotive, semiconductor customer capex) -- the only growth engine in the base case; Deferred-tax-asset recoverability drives reported profit swings; the model uses a 28-30% cash rate, not the FY2026 effective rate; H1 FY2027 (to 2026-09-30) results are not yet in the folder; net debt and guidance should be refreshed when they land</t>
  </si>
  <si>
    <t xml:space="preserve">Data sources</t>
  </si>
  <si>
    <t xml:space="preserve">price: Yahoo Finance chart API at inputs.price_as_of (TSE regular close); 52-week range 482.8-735.9
financials: 4902.T_Metrics.csv (core_metrics, millions JPY, FY2016-FY2026 + interims); 4902.T_Annual_FY2026.txt (tanshin: share counts, discontinued ops, cash-flow commentary, diluted-EPS table); 4902.T_AuditedFinancialReport_FY2026.txt (ROU depreciation 18,519 and lease interest 2,268 in the leases note; SBC JPY 179m note 34; investment securities 26,396 note 35; ROU land roll-forward note 13)
qualitative: 4902.T_Analysis.json (2026-10-31); 4902.T_Presentation_MidtermPlan_2026-04.txt (Corporate Plan 2026-2028: 3% revenue CAGR, 6.5% business-contribution ratio, ROE 8%, ROIC 6% = WACC, tax ~30%, FY2026 guidance block)</t>
  </si>
  <si>
    <t xml:space="preserve">Scenario narrative: bear</t>
  </si>
  <si>
    <t xml:space="preserve">Targets missed again: office decline outruns DW-DX, Industry capex deferrals persist, tariffs unrecovered; revenue shrinks ~1-1.5%/yr to FY2031, EBITDA margin back to 9%. Terminal 0%, 10x cap, leverage amplifies the per-share hit.</t>
  </si>
  <si>
    <t xml:space="preserve">Scenario narrative: base</t>
  </si>
  <si>
    <t xml:space="preserve">Guidance-level FY2027, then a modest, below-plan recovery: ~2% revenue growth and an 11% EBITDA margin (~6% business-contribution ratio) by FY2030, with Industry growth roughly offsetting the office decline. Terminal 1%, 12x cap.</t>
  </si>
  <si>
    <t xml:space="preserve">Scenario narrative: bull</t>
  </si>
  <si>
    <t xml:space="preserve">Corporate Plan 2026-2028 delivered and extended: Industry at its 9% growth target, DW-DX offsetting office decline, tariff mitigation and refunds, 6.5%+ business-contribution ratio, EBITDA margin 12.3%. Terminal 1.5%, 13x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</si>
  <si>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</si>
  <si>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</si>
  <si>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</si>
  <si>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</si>
  <si>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</si>
  <si>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</si>
  <si>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</si>
  <si>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</si>
  <si>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</si>
  <si>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</si>
  <si>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</si>
  <si>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</si>
  <si>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</si>
  <si>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</si>
  <si>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</si>
  <si>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</si>
  <si>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</si>
  <si>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</si>
  <si>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</si>
  <si>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</si>
  <si>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</si>
  <si>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</si>
  <si>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</si>
  <si>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</si>
  <si>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</si>
  <si>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</si>
  <si>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</si>
  <si>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HealthcareRevenue</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</si>
  <si>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</si>
  <si>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</si>
  <si>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</si>
  <si>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</si>
  <si>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</si>
  <si>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</si>
  <si>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</si>
  <si>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</si>
  <si>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</si>
  <si>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</si>
  <si>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</si>
  <si>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</si>
  <si>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</si>
  <si>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</si>
  <si>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</si>
  <si>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</si>
  <si>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</si>
  <si>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</si>
  <si>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</si>
  <si>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</si>
  <si>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</si>
  <si>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</si>
  <si>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</si>
  <si>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</si>
  <si>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</si>
  <si>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</si>
  <si>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</si>
  <si>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</si>
  <si>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</si>
  <si>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</si>
  <si>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</si>
  <si>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</si>
  <si>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</si>
  <si>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</si>
  <si>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</si>
  <si>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</si>
  <si>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</si>
  <si>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</si>
  <si>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</si>
  <si>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</si>
  <si>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</si>
  <si>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</si>
  <si>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</si>
  <si>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</si>
  <si>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</si>
  <si>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</si>
  <si>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</si>
  <si>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</si>
  <si>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4902.T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</si>
  <si>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</si>
  <si>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</si>
  <si>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</si>
  <si>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</si>
  <si>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</si>
  <si>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</si>
  <si>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</si>
  <si>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</si>
  <si>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</si>
  <si>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</si>
  <si>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</si>
  <si>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</si>
  <si>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</si>
  <si>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</si>
  <si>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</si>
  <si>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</si>
  <si>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</si>
  <si>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</si>
  <si>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</si>
  <si>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</si>
  <si>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</si>
  <si>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</si>
  <si>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</si>
  <si>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</si>
  <si>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</si>
  <si>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</si>
  <si>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</si>
  <si>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</si>
  <si>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</si>
  <si>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</si>
  <si>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4902.T owner-FCF component DCF: base case (millions, JPY)</t>
  </si>
  <si>
    <t xml:space="preserve">4902.T owner-FCF component DCF: bull case (millions, JPY)</t>
  </si>
  <si>
    <t xml:space="preserve">4902.T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</si>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</sst>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664.9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1031740</v>
      </c>
      <c r="C2" s="0" t="n">
        <v>536226</v>
      </c>
      <c r="D2" s="0" t="n">
        <v>495514</v>
      </c>
      <c r="E2" s="0" t="n">
        <v>48</v>
      </c>
      <c r="F2" s="0" t="n">
        <v>60069</v>
      </c>
      <c r="G2" s="0" t="n">
        <v>5.8</v>
      </c>
      <c r="H2" s="0" t="n">
        <v>111402</v>
      </c>
      <c r="I2" s="0" t="n">
        <v>31973</v>
      </c>
      <c r="J2" s="0" t="n">
        <v>3.1</v>
      </c>
      <c r="K2" s="0" t="n">
        <v>64.21</v>
      </c>
      <c r="L2" s="0" t="n">
        <v>59244</v>
      </c>
      <c r="M2" s="0" t="n">
        <v>50265</v>
      </c>
      <c r="N2" s="0" t="n">
        <v>8979</v>
      </c>
      <c r="O2" s="0" t="n">
        <v>514285</v>
      </c>
      <c r="P2" s="0" t="n">
        <v>976370</v>
      </c>
      <c r="Q2" s="0" t="n">
        <v>461389</v>
      </c>
      <c r="R2" s="0" t="n">
        <v>168277</v>
      </c>
      <c r="S2" s="0" t="n">
        <v>99937</v>
      </c>
      <c r="T2" s="0" t="n">
        <v>497.9</v>
      </c>
      <c r="AA2" s="0" t="s">
        <v>17</v>
      </c>
      <c r="AB2" s="0" t="s">
        <v>14</v>
      </c>
    </row>
    <row r="3" customFormat="false" ht="15" hidden="false" customHeight="false" outlineLevel="0" collapsed="false">
      <c r="A3" s="0" t="s">
        <v>65</v>
      </c>
      <c r="B3" s="0" t="n">
        <v>962555</v>
      </c>
      <c r="C3" s="0" t="n">
        <v>502616</v>
      </c>
      <c r="D3" s="0" t="n">
        <v>459938</v>
      </c>
      <c r="E3" s="0" t="n">
        <v>47.8</v>
      </c>
      <c r="F3" s="0" t="n">
        <v>50135</v>
      </c>
      <c r="G3" s="0" t="n">
        <v>5.2</v>
      </c>
      <c r="H3" s="0" t="n">
        <v>101939</v>
      </c>
      <c r="I3" s="0" t="n">
        <v>31542</v>
      </c>
      <c r="J3" s="0" t="n">
        <v>3.3</v>
      </c>
      <c r="K3" s="0" t="n">
        <v>63.47</v>
      </c>
      <c r="L3" s="0" t="n">
        <v>68659</v>
      </c>
      <c r="M3" s="0" t="n">
        <v>41464</v>
      </c>
      <c r="N3" s="0" t="n">
        <v>27195</v>
      </c>
      <c r="O3" s="0" t="n">
        <v>524331</v>
      </c>
      <c r="P3" s="0" t="n">
        <v>1005435</v>
      </c>
      <c r="Q3" s="0" t="n">
        <v>471286</v>
      </c>
      <c r="R3" s="0" t="n">
        <v>185512</v>
      </c>
      <c r="S3" s="0" t="n">
        <v>92628</v>
      </c>
      <c r="T3" s="0" t="n">
        <v>497</v>
      </c>
      <c r="AA3" s="0" t="s">
        <v>17</v>
      </c>
      <c r="AB3" s="0" t="s">
        <v>14</v>
      </c>
    </row>
    <row r="4" customFormat="false" ht="15" hidden="false" customHeight="false" outlineLevel="0" collapsed="false">
      <c r="A4" s="0" t="s">
        <v>66</v>
      </c>
      <c r="B4" s="0" t="n">
        <v>1031256</v>
      </c>
      <c r="C4" s="0" t="n">
        <v>541453</v>
      </c>
      <c r="D4" s="0" t="n">
        <v>489803</v>
      </c>
      <c r="E4" s="0" t="n">
        <v>47.5</v>
      </c>
      <c r="F4" s="0" t="n">
        <v>53844</v>
      </c>
      <c r="G4" s="0" t="n">
        <v>5.2</v>
      </c>
      <c r="H4" s="0" t="n">
        <v>110101</v>
      </c>
      <c r="I4" s="0" t="n">
        <v>32248</v>
      </c>
      <c r="J4" s="0" t="n">
        <v>3.1</v>
      </c>
      <c r="K4" s="0" t="n">
        <v>64.96</v>
      </c>
      <c r="L4" s="0" t="n">
        <v>65367</v>
      </c>
      <c r="M4" s="0" t="n">
        <v>37955</v>
      </c>
      <c r="N4" s="0" t="n">
        <v>27412</v>
      </c>
      <c r="O4" s="0" t="n">
        <v>524513</v>
      </c>
      <c r="P4" s="0" t="n">
        <v>1203907</v>
      </c>
      <c r="Q4" s="0" t="n">
        <v>668318</v>
      </c>
      <c r="R4" s="0" t="n">
        <v>293666</v>
      </c>
      <c r="S4" s="0" t="n">
        <v>149913</v>
      </c>
      <c r="T4" s="0" t="n">
        <v>496.4</v>
      </c>
      <c r="AA4" s="0" t="s">
        <v>17</v>
      </c>
      <c r="AB4" s="0" t="s">
        <v>14</v>
      </c>
    </row>
    <row r="5" customFormat="false" ht="15" hidden="false" customHeight="false" outlineLevel="0" collapsed="false">
      <c r="A5" s="0" t="s">
        <v>67</v>
      </c>
      <c r="B5" s="0" t="n">
        <v>1059120</v>
      </c>
      <c r="C5" s="0" t="n">
        <v>550231</v>
      </c>
      <c r="D5" s="0" t="n">
        <v>508888</v>
      </c>
      <c r="E5" s="0" t="n">
        <v>48</v>
      </c>
      <c r="F5" s="0" t="n">
        <v>62444</v>
      </c>
      <c r="G5" s="0" t="n">
        <v>5.9</v>
      </c>
      <c r="H5" s="0" t="n">
        <v>121483</v>
      </c>
      <c r="I5" s="0" t="n">
        <v>41705</v>
      </c>
      <c r="J5" s="0" t="n">
        <v>3.9</v>
      </c>
      <c r="K5" s="0" t="n">
        <v>84.03</v>
      </c>
      <c r="L5" s="0" t="n">
        <v>57166</v>
      </c>
      <c r="M5" s="0" t="n">
        <v>51345</v>
      </c>
      <c r="N5" s="0" t="n">
        <v>5821</v>
      </c>
      <c r="O5" s="0" t="n">
        <v>555689</v>
      </c>
      <c r="P5" s="0" t="n">
        <v>1218986</v>
      </c>
      <c r="Q5" s="0" t="n">
        <v>653002</v>
      </c>
      <c r="R5" s="0" t="n">
        <v>273736</v>
      </c>
      <c r="S5" s="0" t="n">
        <v>124830</v>
      </c>
      <c r="T5" s="0" t="n">
        <v>496.3</v>
      </c>
      <c r="AA5" s="0" t="s">
        <v>17</v>
      </c>
      <c r="AB5" s="0" t="s">
        <v>14</v>
      </c>
    </row>
    <row r="6" customFormat="false" ht="15" hidden="false" customHeight="false" outlineLevel="0" collapsed="false">
      <c r="A6" s="0" t="s">
        <v>68</v>
      </c>
      <c r="B6" s="0" t="n">
        <v>996101</v>
      </c>
      <c r="C6" s="0" t="n">
        <v>529780</v>
      </c>
      <c r="D6" s="0" t="n">
        <v>466321</v>
      </c>
      <c r="E6" s="0" t="n">
        <v>46.8</v>
      </c>
      <c r="F6" s="0" t="n">
        <v>8211</v>
      </c>
      <c r="G6" s="0" t="n">
        <v>0.8</v>
      </c>
      <c r="H6" s="0" t="n">
        <v>85316</v>
      </c>
      <c r="I6" s="0" t="n">
        <v>-3073</v>
      </c>
      <c r="J6" s="0" t="n">
        <v>-0.3</v>
      </c>
      <c r="K6" s="0" t="n">
        <v>-6.21</v>
      </c>
      <c r="L6" s="0" t="n">
        <v>30148</v>
      </c>
      <c r="M6" s="0" t="n">
        <v>49553</v>
      </c>
      <c r="N6" s="0" t="n">
        <v>-19405</v>
      </c>
      <c r="O6" s="0" t="n">
        <v>523745</v>
      </c>
      <c r="P6" s="0" t="n">
        <v>1276768</v>
      </c>
      <c r="Q6" s="0" t="n">
        <v>743002</v>
      </c>
      <c r="R6" s="0" t="n">
        <v>289294</v>
      </c>
      <c r="S6" s="0" t="n">
        <v>89901</v>
      </c>
      <c r="T6" s="0" t="n">
        <v>494.8</v>
      </c>
      <c r="AA6" s="0" t="s">
        <v>17</v>
      </c>
      <c r="AB6" s="0" t="s">
        <v>14</v>
      </c>
    </row>
    <row r="7" customFormat="false" ht="15" hidden="false" customHeight="false" outlineLevel="0" collapsed="false">
      <c r="A7" s="0" t="s">
        <v>69</v>
      </c>
      <c r="B7" s="0" t="n">
        <v>863381</v>
      </c>
      <c r="C7" s="0" t="n">
        <v>488726</v>
      </c>
      <c r="D7" s="0" t="n">
        <v>374654</v>
      </c>
      <c r="E7" s="0" t="n">
        <v>43.4</v>
      </c>
      <c r="F7" s="0" t="n">
        <v>-16266</v>
      </c>
      <c r="G7" s="0" t="n">
        <v>-1.9</v>
      </c>
      <c r="H7" s="0" t="n">
        <v>61302</v>
      </c>
      <c r="I7" s="0" t="n">
        <v>-15211</v>
      </c>
      <c r="J7" s="0" t="n">
        <v>-1.8</v>
      </c>
      <c r="K7" s="0" t="n">
        <v>-30.75</v>
      </c>
      <c r="L7" s="0" t="n">
        <v>78060</v>
      </c>
      <c r="M7" s="0" t="n">
        <v>40197</v>
      </c>
      <c r="N7" s="0" t="n">
        <v>37863</v>
      </c>
      <c r="O7" s="0" t="n">
        <v>539888</v>
      </c>
      <c r="P7" s="0" t="n">
        <v>1299752</v>
      </c>
      <c r="Q7" s="0" t="n">
        <v>749049</v>
      </c>
      <c r="R7" s="0" t="n">
        <v>315319</v>
      </c>
      <c r="S7" s="0" t="n">
        <v>123823</v>
      </c>
      <c r="T7" s="0" t="n">
        <v>494.7</v>
      </c>
      <c r="AA7" s="0" t="s">
        <v>17</v>
      </c>
      <c r="AB7" s="0" t="s">
        <v>14</v>
      </c>
    </row>
    <row r="8" customFormat="false" ht="15" hidden="false" customHeight="false" outlineLevel="0" collapsed="false">
      <c r="A8" s="0" t="s">
        <v>70</v>
      </c>
      <c r="B8" s="0" t="n">
        <v>911426</v>
      </c>
      <c r="C8" s="0" t="n">
        <v>518689</v>
      </c>
      <c r="D8" s="0" t="n">
        <v>392736</v>
      </c>
      <c r="E8" s="0" t="n">
        <v>43.1</v>
      </c>
      <c r="F8" s="0" t="n">
        <v>-22297</v>
      </c>
      <c r="G8" s="0" t="n">
        <v>-2.4</v>
      </c>
      <c r="H8" s="0" t="n">
        <v>53457</v>
      </c>
      <c r="I8" s="0" t="n">
        <v>-26123</v>
      </c>
      <c r="J8" s="0" t="n">
        <v>-2.9</v>
      </c>
      <c r="K8" s="0" t="n">
        <v>-52.93</v>
      </c>
      <c r="L8" s="0" t="n">
        <v>37438</v>
      </c>
      <c r="M8" s="0" t="n">
        <v>61045</v>
      </c>
      <c r="N8" s="0" t="n">
        <v>-23607</v>
      </c>
      <c r="O8" s="0" t="n">
        <v>549810</v>
      </c>
      <c r="P8" s="0" t="n">
        <v>1338124</v>
      </c>
      <c r="Q8" s="0" t="n">
        <v>776623</v>
      </c>
      <c r="R8" s="0" t="n">
        <v>354306</v>
      </c>
      <c r="S8" s="0" t="n">
        <v>117670</v>
      </c>
      <c r="T8" s="0" t="n">
        <v>493.5</v>
      </c>
      <c r="AA8" s="0" t="s">
        <v>17</v>
      </c>
      <c r="AB8" s="0" t="s">
        <v>14</v>
      </c>
    </row>
    <row r="9" customFormat="false" ht="15" hidden="false" customHeight="false" outlineLevel="0" collapsed="false">
      <c r="A9" s="0" t="s">
        <v>71</v>
      </c>
      <c r="B9" s="0" t="n">
        <v>1130397</v>
      </c>
      <c r="C9" s="0" t="n">
        <v>644453</v>
      </c>
      <c r="D9" s="0" t="n">
        <v>485943</v>
      </c>
      <c r="E9" s="0" t="n">
        <v>43</v>
      </c>
      <c r="F9" s="0" t="n">
        <v>-95125</v>
      </c>
      <c r="G9" s="0" t="n">
        <v>-8.4</v>
      </c>
      <c r="H9" s="0" t="n">
        <v>-19830</v>
      </c>
      <c r="I9" s="0" t="n">
        <v>-103153</v>
      </c>
      <c r="J9" s="0" t="n">
        <v>-9.1</v>
      </c>
      <c r="K9" s="0" t="n">
        <v>-208.89</v>
      </c>
      <c r="L9" s="0" t="n">
        <v>13319</v>
      </c>
      <c r="M9" s="0" t="n">
        <v>40779</v>
      </c>
      <c r="N9" s="0" t="n">
        <v>-27460</v>
      </c>
      <c r="O9" s="0" t="n">
        <v>487424</v>
      </c>
      <c r="P9" s="0" t="n">
        <v>1413777</v>
      </c>
      <c r="Q9" s="0" t="n">
        <v>913899</v>
      </c>
      <c r="R9" s="0" t="n">
        <v>469094</v>
      </c>
      <c r="S9" s="0" t="n">
        <v>180574</v>
      </c>
      <c r="T9" s="0" t="n">
        <v>493.8</v>
      </c>
      <c r="AA9" s="0" t="s">
        <v>17</v>
      </c>
      <c r="AB9" s="0" t="s">
        <v>14</v>
      </c>
      <c r="AC9" s="0" t="n">
        <v>137800</v>
      </c>
    </row>
    <row r="10" customFormat="false" ht="15" hidden="false" customHeight="false" outlineLevel="0" collapsed="false">
      <c r="A10" s="0" t="s">
        <v>72</v>
      </c>
      <c r="B10" s="0" t="n">
        <v>1159999</v>
      </c>
      <c r="C10" s="0" t="n">
        <v>655322</v>
      </c>
      <c r="D10" s="0" t="n">
        <v>504676</v>
      </c>
      <c r="E10" s="0" t="n">
        <v>43.5</v>
      </c>
      <c r="F10" s="0" t="n">
        <v>26091</v>
      </c>
      <c r="G10" s="0" t="n">
        <v>2.2</v>
      </c>
      <c r="H10" s="0" t="n">
        <v>101865</v>
      </c>
      <c r="I10" s="0" t="n">
        <v>4521</v>
      </c>
      <c r="J10" s="0" t="n">
        <v>0.4</v>
      </c>
      <c r="K10" s="0" t="n">
        <v>9.12</v>
      </c>
      <c r="L10" s="0" t="n">
        <v>83338</v>
      </c>
      <c r="M10" s="0" t="n">
        <v>45126</v>
      </c>
      <c r="N10" s="0" t="n">
        <v>38212</v>
      </c>
      <c r="O10" s="0" t="n">
        <v>539816</v>
      </c>
      <c r="P10" s="0" t="n">
        <v>1388052</v>
      </c>
      <c r="Q10" s="0" t="n">
        <v>834669</v>
      </c>
      <c r="R10" s="0" t="n">
        <v>426633</v>
      </c>
      <c r="S10" s="0" t="n">
        <v>127134</v>
      </c>
      <c r="T10" s="0" t="n">
        <v>495.7</v>
      </c>
      <c r="AA10" s="0" t="s">
        <v>17</v>
      </c>
      <c r="AB10" s="0" t="s">
        <v>14</v>
      </c>
      <c r="AC10" s="0" t="n">
        <v>138900</v>
      </c>
    </row>
    <row r="11" customFormat="false" ht="15" hidden="false" customHeight="false" outlineLevel="0" collapsed="false">
      <c r="A11" s="0" t="s">
        <v>73</v>
      </c>
      <c r="B11" s="0" t="n">
        <v>1127882</v>
      </c>
      <c r="C11" s="0" t="n">
        <v>648462</v>
      </c>
      <c r="D11" s="0" t="n">
        <v>479420</v>
      </c>
      <c r="E11" s="0" t="n">
        <v>42.5</v>
      </c>
      <c r="F11" s="0" t="n">
        <v>-64014</v>
      </c>
      <c r="G11" s="0" t="n">
        <v>-5.7</v>
      </c>
      <c r="H11" s="0" t="n">
        <v>10574</v>
      </c>
      <c r="I11" s="0" t="n">
        <v>-47484</v>
      </c>
      <c r="J11" s="0" t="n">
        <v>-4.2</v>
      </c>
      <c r="K11" s="0" t="n">
        <v>-95.98</v>
      </c>
      <c r="L11" s="0" t="n">
        <v>51093</v>
      </c>
      <c r="M11" s="0" t="n">
        <v>41363</v>
      </c>
      <c r="N11" s="0" t="n">
        <v>9730</v>
      </c>
      <c r="O11" s="0" t="n">
        <v>463154</v>
      </c>
      <c r="P11" s="0" t="n">
        <v>1217641</v>
      </c>
      <c r="Q11" s="0" t="n">
        <v>743562</v>
      </c>
      <c r="R11" s="0" t="n">
        <v>343284</v>
      </c>
      <c r="S11" s="0" t="n">
        <v>89904</v>
      </c>
      <c r="T11" s="0" t="n">
        <v>494.7</v>
      </c>
      <c r="AA11" s="0" t="s">
        <v>17</v>
      </c>
      <c r="AB11" s="0" t="s">
        <v>14</v>
      </c>
    </row>
    <row r="12" customFormat="false" ht="15" hidden="false" customHeight="false" outlineLevel="0" collapsed="false">
      <c r="A12" s="0" t="s">
        <v>74</v>
      </c>
      <c r="B12" s="0" t="n">
        <v>1087738</v>
      </c>
      <c r="C12" s="0" t="n">
        <v>609315</v>
      </c>
      <c r="D12" s="0" t="n">
        <v>478423</v>
      </c>
      <c r="E12" s="0" t="n">
        <v>44</v>
      </c>
      <c r="F12" s="0" t="n">
        <v>49869</v>
      </c>
      <c r="G12" s="0" t="n">
        <v>4.6</v>
      </c>
      <c r="H12" s="0" t="n">
        <v>108552</v>
      </c>
      <c r="I12" s="0" t="n">
        <v>30268</v>
      </c>
      <c r="J12" s="0" t="n">
        <v>2.8</v>
      </c>
      <c r="K12" s="0" t="n">
        <v>61.06</v>
      </c>
      <c r="L12" s="0" t="n">
        <v>86286</v>
      </c>
      <c r="M12" s="0" t="n">
        <v>61102</v>
      </c>
      <c r="N12" s="0" t="n">
        <v>25184</v>
      </c>
      <c r="O12" s="0" t="n">
        <v>536505</v>
      </c>
      <c r="P12" s="0" t="n">
        <v>1234909</v>
      </c>
      <c r="Q12" s="0" t="n">
        <v>685938</v>
      </c>
      <c r="R12" s="0" t="n">
        <v>329639</v>
      </c>
      <c r="S12" s="0" t="n">
        <v>110762</v>
      </c>
      <c r="T12" s="0" t="n">
        <v>495.7</v>
      </c>
      <c r="AA12" s="0" t="s">
        <v>17</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664.9</v>
      </c>
    </row>
    <row r="3" customFormat="false" ht="15" hidden="false" customHeight="false" outlineLevel="0" collapsed="false">
      <c r="A3" s="0" t="s">
        <v>78</v>
      </c>
      <c r="B3" s="3" t="n">
        <v>495.7</v>
      </c>
    </row>
    <row r="4" customFormat="false" ht="15" hidden="false" customHeight="false" outlineLevel="0" collapsed="false">
      <c r="A4" s="0" t="s">
        <v>79</v>
      </c>
      <c r="B4" s="3" t="n">
        <v>218877</v>
      </c>
    </row>
    <row r="5" customFormat="false" ht="15" hidden="false" customHeight="false" outlineLevel="0" collapsed="false">
      <c r="A5" s="0" t="s">
        <v>80</v>
      </c>
      <c r="B5" s="3" t="n">
        <v>13930</v>
      </c>
    </row>
    <row r="6" customFormat="false" ht="15" hidden="false" customHeight="false" outlineLevel="0" collapsed="false">
      <c r="A6" s="0" t="s">
        <v>81</v>
      </c>
      <c r="B6" s="3" t="n">
        <v>15</v>
      </c>
    </row>
    <row r="7" customFormat="false" ht="15" hidden="false" customHeight="false" outlineLevel="0" collapsed="false">
      <c r="A7" s="0" t="s">
        <v>82</v>
      </c>
      <c r="B7" s="3" t="n">
        <v>1087738</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-0.5</v>
      </c>
      <c r="D13" s="3" t="n">
        <v>-1.5</v>
      </c>
      <c r="E13" s="3" t="n">
        <v>-1.5</v>
      </c>
      <c r="F13" s="3" t="n">
        <v>-1</v>
      </c>
      <c r="G13" s="3" t="n">
        <v>-1</v>
      </c>
      <c r="H13" s="3" t="n">
        <v>-0.5</v>
      </c>
      <c r="I13" s="3" t="n">
        <v>0</v>
      </c>
      <c r="J13" s="3" t="n">
        <v>0</v>
      </c>
      <c r="K13" s="3" t="n">
        <v>0</v>
      </c>
      <c r="L13" s="3" t="n">
        <v>0</v>
      </c>
    </row>
    <row r="14" customFormat="false" ht="15" hidden="false" customHeight="false" outlineLevel="0" collapsed="false">
      <c r="A14" s="0" t="s">
        <v>99</v>
      </c>
      <c r="C14" s="3" t="n">
        <v>9.8</v>
      </c>
      <c r="D14" s="3" t="n">
        <v>9.5</v>
      </c>
      <c r="E14" s="3" t="n">
        <v>9.3</v>
      </c>
      <c r="F14" s="3" t="n">
        <v>9.2</v>
      </c>
      <c r="G14" s="3" t="n">
        <v>9</v>
      </c>
      <c r="H14" s="3" t="n">
        <v>9</v>
      </c>
      <c r="I14" s="3" t="n">
        <v>9</v>
      </c>
      <c r="J14" s="3" t="n">
        <v>9</v>
      </c>
      <c r="K14" s="3" t="n">
        <v>9</v>
      </c>
      <c r="L14" s="3" t="n">
        <v>9</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2.1</v>
      </c>
      <c r="D16" s="3" t="n">
        <v>2.1</v>
      </c>
      <c r="E16" s="3" t="n">
        <v>2.1</v>
      </c>
      <c r="F16" s="3" t="n">
        <v>2.1</v>
      </c>
      <c r="G16" s="3" t="n">
        <v>2.1</v>
      </c>
      <c r="H16" s="3" t="n">
        <v>2.1</v>
      </c>
      <c r="I16" s="3" t="n">
        <v>2.1</v>
      </c>
      <c r="J16" s="3" t="n">
        <v>2.1</v>
      </c>
      <c r="K16" s="3" t="n">
        <v>2.1</v>
      </c>
      <c r="L16" s="3" t="n">
        <v>2.1</v>
      </c>
    </row>
    <row r="17" customFormat="false" ht="15" hidden="false" customHeight="false" outlineLevel="0" collapsed="false">
      <c r="A17" s="0" t="s">
        <v>102</v>
      </c>
      <c r="C17" s="3" t="n">
        <v>3.7</v>
      </c>
      <c r="D17" s="3" t="n">
        <v>3.7</v>
      </c>
      <c r="E17" s="3" t="n">
        <v>3.7</v>
      </c>
      <c r="F17" s="3" t="n">
        <v>3.7</v>
      </c>
      <c r="G17" s="3" t="n">
        <v>3.7</v>
      </c>
      <c r="H17" s="3" t="n">
        <v>3.7</v>
      </c>
      <c r="I17" s="3" t="n">
        <v>3.7</v>
      </c>
      <c r="J17" s="3" t="n">
        <v>3.7</v>
      </c>
      <c r="K17" s="3" t="n">
        <v>3.7</v>
      </c>
      <c r="L17" s="3" t="n">
        <v>3.7</v>
      </c>
    </row>
    <row r="18" customFormat="false" ht="15" hidden="false" customHeight="false" outlineLevel="0" collapsed="false">
      <c r="A18" s="0" t="s">
        <v>103</v>
      </c>
      <c r="C18" s="3" t="n">
        <v>3.6</v>
      </c>
      <c r="D18" s="3" t="n">
        <v>3.5</v>
      </c>
      <c r="E18" s="3" t="n">
        <v>3.5</v>
      </c>
      <c r="F18" s="3" t="n">
        <v>3.5</v>
      </c>
      <c r="G18" s="3" t="n">
        <v>3.5</v>
      </c>
      <c r="H18" s="3" t="n">
        <v>3.5</v>
      </c>
      <c r="I18" s="3" t="n">
        <v>3.5</v>
      </c>
      <c r="J18" s="3" t="n">
        <v>3.5</v>
      </c>
      <c r="K18" s="3" t="n">
        <v>3.5</v>
      </c>
      <c r="L18" s="3" t="n">
        <v>3.5</v>
      </c>
    </row>
    <row r="19" customFormat="false" ht="15" hidden="false" customHeight="false" outlineLevel="0" collapsed="false">
      <c r="A19" s="0" t="s">
        <v>104</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105</v>
      </c>
      <c r="B20" s="3" t="n">
        <v>7.5</v>
      </c>
    </row>
    <row r="21" customFormat="false" ht="15" hidden="false" customHeight="false" outlineLevel="0" collapsed="false">
      <c r="A21" s="0" t="s">
        <v>106</v>
      </c>
      <c r="B21" s="3" t="n">
        <v>0</v>
      </c>
    </row>
    <row r="22" customFormat="false" ht="15" hidden="false" customHeight="false" outlineLevel="0" collapsed="false">
      <c r="A22" s="0" t="s">
        <v>107</v>
      </c>
      <c r="B22" s="3" t="n">
        <v>10</v>
      </c>
    </row>
    <row r="23" customFormat="false" ht="15" hidden="false" customHeight="false" outlineLevel="0" collapsed="false">
      <c r="A23" s="0" t="s">
        <v>108</v>
      </c>
      <c r="B23" s="3" t="n">
        <v>-15</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1.6</v>
      </c>
      <c r="D27" s="3" t="n">
        <v>2.5</v>
      </c>
      <c r="E27" s="3" t="n">
        <v>2.5</v>
      </c>
      <c r="F27" s="3" t="n">
        <v>2</v>
      </c>
      <c r="G27" s="3" t="n">
        <v>2</v>
      </c>
      <c r="H27" s="3" t="n">
        <v>1.5</v>
      </c>
      <c r="I27" s="3" t="n">
        <v>1.5</v>
      </c>
      <c r="J27" s="3" t="n">
        <v>1</v>
      </c>
      <c r="K27" s="3" t="n">
        <v>1</v>
      </c>
      <c r="L27" s="3" t="n">
        <v>1</v>
      </c>
    </row>
    <row r="28" customFormat="false" ht="15" hidden="false" customHeight="false" outlineLevel="0" collapsed="false">
      <c r="A28" s="0" t="s">
        <v>99</v>
      </c>
      <c r="C28" s="3" t="n">
        <v>10.3</v>
      </c>
      <c r="D28" s="3" t="n">
        <v>10.6</v>
      </c>
      <c r="E28" s="3" t="n">
        <v>10.9</v>
      </c>
      <c r="F28" s="3" t="n">
        <v>11</v>
      </c>
      <c r="G28" s="3" t="n">
        <v>11</v>
      </c>
      <c r="H28" s="3" t="n">
        <v>11</v>
      </c>
      <c r="I28" s="3" t="n">
        <v>11</v>
      </c>
      <c r="J28" s="3" t="n">
        <v>11</v>
      </c>
      <c r="K28" s="3" t="n">
        <v>11</v>
      </c>
      <c r="L28" s="3" t="n">
        <v>11</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2.1</v>
      </c>
      <c r="D30" s="3" t="n">
        <v>2.05</v>
      </c>
      <c r="E30" s="3" t="n">
        <v>2</v>
      </c>
      <c r="F30" s="3" t="n">
        <v>2</v>
      </c>
      <c r="G30" s="3" t="n">
        <v>2</v>
      </c>
      <c r="H30" s="3" t="n">
        <v>2</v>
      </c>
      <c r="I30" s="3" t="n">
        <v>2</v>
      </c>
      <c r="J30" s="3" t="n">
        <v>2</v>
      </c>
      <c r="K30" s="3" t="n">
        <v>2</v>
      </c>
      <c r="L30" s="3" t="n">
        <v>2</v>
      </c>
    </row>
    <row r="31" customFormat="false" ht="15" hidden="false" customHeight="false" outlineLevel="0" collapsed="false">
      <c r="A31" s="0" t="s">
        <v>102</v>
      </c>
      <c r="C31" s="3" t="n">
        <v>3.7</v>
      </c>
      <c r="D31" s="3" t="n">
        <v>3.7</v>
      </c>
      <c r="E31" s="3" t="n">
        <v>3.65</v>
      </c>
      <c r="F31" s="3" t="n">
        <v>3.6</v>
      </c>
      <c r="G31" s="3" t="n">
        <v>3.6</v>
      </c>
      <c r="H31" s="3" t="n">
        <v>3.6</v>
      </c>
      <c r="I31" s="3" t="n">
        <v>3.6</v>
      </c>
      <c r="J31" s="3" t="n">
        <v>3.6</v>
      </c>
      <c r="K31" s="3" t="n">
        <v>3.6</v>
      </c>
      <c r="L31" s="3" t="n">
        <v>3.6</v>
      </c>
    </row>
    <row r="32" customFormat="false" ht="15" hidden="false" customHeight="false" outlineLevel="0" collapsed="false">
      <c r="A32" s="0" t="s">
        <v>103</v>
      </c>
      <c r="C32" s="3" t="n">
        <v>3.8</v>
      </c>
      <c r="D32" s="3" t="n">
        <v>3.8</v>
      </c>
      <c r="E32" s="3" t="n">
        <v>3.8</v>
      </c>
      <c r="F32" s="3" t="n">
        <v>3.8</v>
      </c>
      <c r="G32" s="3" t="n">
        <v>3.8</v>
      </c>
      <c r="H32" s="3" t="n">
        <v>3.8</v>
      </c>
      <c r="I32" s="3" t="n">
        <v>3.8</v>
      </c>
      <c r="J32" s="3" t="n">
        <v>3.8</v>
      </c>
      <c r="K32" s="3" t="n">
        <v>3.8</v>
      </c>
      <c r="L32" s="3" t="n">
        <v>3.8</v>
      </c>
    </row>
    <row r="33" customFormat="false" ht="15" hidden="false" customHeight="false" outlineLevel="0" collapsed="false">
      <c r="A33" s="0" t="s">
        <v>104</v>
      </c>
      <c r="C33" s="3" t="n">
        <v>28</v>
      </c>
      <c r="D33" s="3" t="n">
        <v>28</v>
      </c>
      <c r="E33" s="3" t="n">
        <v>30</v>
      </c>
      <c r="F33" s="3" t="n">
        <v>30</v>
      </c>
      <c r="G33" s="3" t="n">
        <v>30</v>
      </c>
      <c r="H33" s="3" t="n">
        <v>30</v>
      </c>
      <c r="I33" s="3" t="n">
        <v>30</v>
      </c>
      <c r="J33" s="3" t="n">
        <v>30</v>
      </c>
      <c r="K33" s="3" t="n">
        <v>30</v>
      </c>
      <c r="L33" s="3" t="n">
        <v>30</v>
      </c>
    </row>
    <row r="34" customFormat="false" ht="15" hidden="false" customHeight="false" outlineLevel="0" collapsed="false">
      <c r="A34" s="0" t="s">
        <v>105</v>
      </c>
      <c r="B34" s="3" t="n">
        <v>7.5</v>
      </c>
    </row>
    <row r="35" customFormat="false" ht="15" hidden="false" customHeight="false" outlineLevel="0" collapsed="false">
      <c r="A35" s="0" t="s">
        <v>106</v>
      </c>
      <c r="B35" s="3" t="n">
        <v>1</v>
      </c>
    </row>
    <row r="36" customFormat="false" ht="15" hidden="false" customHeight="false" outlineLevel="0" collapsed="false">
      <c r="A36" s="0" t="s">
        <v>107</v>
      </c>
      <c r="B36" s="3" t="n">
        <v>12</v>
      </c>
    </row>
    <row r="37" customFormat="false" ht="15" hidden="false" customHeight="false" outlineLevel="0" collapsed="false">
      <c r="A37" s="0" t="s">
        <v>108</v>
      </c>
      <c r="B37" s="3" t="n">
        <v>-15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2.5</v>
      </c>
      <c r="D41" s="3" t="n">
        <v>4</v>
      </c>
      <c r="E41" s="3" t="n">
        <v>4</v>
      </c>
      <c r="F41" s="3" t="n">
        <v>3.5</v>
      </c>
      <c r="G41" s="3" t="n">
        <v>3</v>
      </c>
      <c r="H41" s="3" t="n">
        <v>2.5</v>
      </c>
      <c r="I41" s="3" t="n">
        <v>2</v>
      </c>
      <c r="J41" s="3" t="n">
        <v>2</v>
      </c>
      <c r="K41" s="3" t="n">
        <v>1.5</v>
      </c>
      <c r="L41" s="3" t="n">
        <v>1.5</v>
      </c>
    </row>
    <row r="42" customFormat="false" ht="15" hidden="false" customHeight="false" outlineLevel="0" collapsed="false">
      <c r="A42" s="0" t="s">
        <v>99</v>
      </c>
      <c r="C42" s="3" t="n">
        <v>10.5</v>
      </c>
      <c r="D42" s="3" t="n">
        <v>11</v>
      </c>
      <c r="E42" s="3" t="n">
        <v>11.6</v>
      </c>
      <c r="F42" s="3" t="n">
        <v>12</v>
      </c>
      <c r="G42" s="3" t="n">
        <v>12.2</v>
      </c>
      <c r="H42" s="3" t="n">
        <v>12.3</v>
      </c>
      <c r="I42" s="3" t="n">
        <v>12.3</v>
      </c>
      <c r="J42" s="3" t="n">
        <v>12.3</v>
      </c>
      <c r="K42" s="3" t="n">
        <v>12.3</v>
      </c>
      <c r="L42" s="3" t="n">
        <v>12.3</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2.1</v>
      </c>
      <c r="D44" s="3" t="n">
        <v>2</v>
      </c>
      <c r="E44" s="3" t="n">
        <v>1.95</v>
      </c>
      <c r="F44" s="3" t="n">
        <v>1.9</v>
      </c>
      <c r="G44" s="3" t="n">
        <v>1.9</v>
      </c>
      <c r="H44" s="3" t="n">
        <v>1.9</v>
      </c>
      <c r="I44" s="3" t="n">
        <v>1.9</v>
      </c>
      <c r="J44" s="3" t="n">
        <v>1.9</v>
      </c>
      <c r="K44" s="3" t="n">
        <v>1.9</v>
      </c>
      <c r="L44" s="3" t="n">
        <v>1.9</v>
      </c>
    </row>
    <row r="45" customFormat="false" ht="15" hidden="false" customHeight="false" outlineLevel="0" collapsed="false">
      <c r="A45" s="0" t="s">
        <v>102</v>
      </c>
      <c r="C45" s="3" t="n">
        <v>3.7</v>
      </c>
      <c r="D45" s="3" t="n">
        <v>3.7</v>
      </c>
      <c r="E45" s="3" t="n">
        <v>3.65</v>
      </c>
      <c r="F45" s="3" t="n">
        <v>3.6</v>
      </c>
      <c r="G45" s="3" t="n">
        <v>3.6</v>
      </c>
      <c r="H45" s="3" t="n">
        <v>3.6</v>
      </c>
      <c r="I45" s="3" t="n">
        <v>3.6</v>
      </c>
      <c r="J45" s="3" t="n">
        <v>3.6</v>
      </c>
      <c r="K45" s="3" t="n">
        <v>3.6</v>
      </c>
      <c r="L45" s="3" t="n">
        <v>3.6</v>
      </c>
    </row>
    <row r="46" customFormat="false" ht="15" hidden="false" customHeight="false" outlineLevel="0" collapsed="false">
      <c r="A46" s="0" t="s">
        <v>103</v>
      </c>
      <c r="C46" s="3" t="n">
        <v>3.9</v>
      </c>
      <c r="D46" s="3" t="n">
        <v>4</v>
      </c>
      <c r="E46" s="3" t="n">
        <v>4</v>
      </c>
      <c r="F46" s="3" t="n">
        <v>4</v>
      </c>
      <c r="G46" s="3" t="n">
        <v>3.9</v>
      </c>
      <c r="H46" s="3" t="n">
        <v>3.8</v>
      </c>
      <c r="I46" s="3" t="n">
        <v>3.8</v>
      </c>
      <c r="J46" s="3" t="n">
        <v>3.8</v>
      </c>
      <c r="K46" s="3" t="n">
        <v>3.8</v>
      </c>
      <c r="L46" s="3" t="n">
        <v>3.8</v>
      </c>
    </row>
    <row r="47" customFormat="false" ht="15" hidden="false" customHeight="false" outlineLevel="0" collapsed="false">
      <c r="A47" s="0" t="s">
        <v>104</v>
      </c>
      <c r="C47" s="3" t="n">
        <v>27</v>
      </c>
      <c r="D47" s="3" t="n">
        <v>27</v>
      </c>
      <c r="E47" s="3" t="n">
        <v>28</v>
      </c>
      <c r="F47" s="3" t="n">
        <v>30</v>
      </c>
      <c r="G47" s="3" t="n">
        <v>30</v>
      </c>
      <c r="H47" s="3" t="n">
        <v>30</v>
      </c>
      <c r="I47" s="3" t="n">
        <v>30</v>
      </c>
      <c r="J47" s="3" t="n">
        <v>30</v>
      </c>
      <c r="K47" s="3" t="n">
        <v>30</v>
      </c>
      <c r="L47" s="3" t="n">
        <v>30</v>
      </c>
    </row>
    <row r="48" customFormat="false" ht="15" hidden="false" customHeight="false" outlineLevel="0" collapsed="false">
      <c r="A48" s="0" t="s">
        <v>105</v>
      </c>
      <c r="B48" s="3" t="n">
        <v>7.5</v>
      </c>
    </row>
    <row r="49" customFormat="false" ht="15" hidden="false" customHeight="false" outlineLevel="0" collapsed="false">
      <c r="A49" s="0" t="s">
        <v>106</v>
      </c>
      <c r="B49" s="3" t="n">
        <v>1.5</v>
      </c>
    </row>
    <row r="50" customFormat="false" ht="15" hidden="false" customHeight="false" outlineLevel="0" collapsed="false">
      <c r="A50" s="0" t="s">
        <v>107</v>
      </c>
      <c r="B50" s="3" t="n">
        <v>13</v>
      </c>
    </row>
    <row r="51" customFormat="false" ht="15" hidden="false" customHeight="false" outlineLevel="0" collapsed="false">
      <c r="A51" s="0" t="s">
        <v>108</v>
      </c>
      <c r="B51" s="3" t="n">
        <v>-15</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-0.5</v>
      </c>
      <c r="D5" s="4" t="n">
        <f aca="false">Assumptions!D13</f>
        <v>-1.5</v>
      </c>
      <c r="E5" s="4" t="n">
        <f aca="false">Assumptions!E13</f>
        <v>-1.5</v>
      </c>
      <c r="F5" s="4" t="n">
        <f aca="false">Assumptions!F13</f>
        <v>-1</v>
      </c>
      <c r="G5" s="4" t="n">
        <f aca="false">Assumptions!G13</f>
        <v>-1</v>
      </c>
      <c r="H5" s="4" t="n">
        <f aca="false">Assumptions!H13</f>
        <v>-0.5</v>
      </c>
      <c r="I5" s="4" t="n">
        <f aca="false">Assumptions!I13</f>
        <v>0</v>
      </c>
      <c r="J5" s="4" t="n">
        <f aca="false">Assumptions!J13</f>
        <v>0</v>
      </c>
      <c r="K5" s="4" t="n">
        <f aca="false">Assumptions!K13</f>
        <v>0</v>
      </c>
      <c r="L5" s="4" t="n">
        <f aca="false">Assumptions!L13</f>
        <v>0</v>
      </c>
    </row>
    <row r="6" customFormat="false" ht="15" hidden="false" customHeight="false" outlineLevel="0" collapsed="false">
      <c r="A6" s="0" t="s">
        <v>37</v>
      </c>
      <c r="B6" s="3" t="n">
        <v>1087738</v>
      </c>
      <c r="C6" s="0" t="n">
        <f aca="false">B6*(1+C5/100)</f>
        <v>1082299.31</v>
      </c>
      <c r="D6" s="0" t="n">
        <f aca="false">C6*(1+D5/100)</f>
        <v>1066064.82035</v>
      </c>
      <c r="E6" s="0" t="n">
        <f aca="false">D6*(1+E5/100)</f>
        <v>1050073.84804475</v>
      </c>
      <c r="F6" s="0" t="n">
        <f aca="false">E6*(1+F5/100)</f>
        <v>1039573.1095643</v>
      </c>
      <c r="G6" s="0" t="n">
        <f aca="false">F6*(1+G5/100)</f>
        <v>1029177.37846866</v>
      </c>
      <c r="H6" s="0" t="n">
        <f aca="false">G6*(1+H5/100)</f>
        <v>1024031.49157632</v>
      </c>
      <c r="I6" s="0" t="n">
        <f aca="false">H6*(1+I5/100)</f>
        <v>1024031.49157632</v>
      </c>
      <c r="J6" s="0" t="n">
        <f aca="false">I6*(1+J5/100)</f>
        <v>1024031.49157632</v>
      </c>
      <c r="K6" s="0" t="n">
        <f aca="false">J6*(1+K5/100)</f>
        <v>1024031.49157632</v>
      </c>
      <c r="L6" s="0" t="n">
        <f aca="false">K6*(1+L5/100)</f>
        <v>1024031.49157632</v>
      </c>
    </row>
    <row r="7" customFormat="false" ht="15" hidden="false" customHeight="false" outlineLevel="0" collapsed="false">
      <c r="A7" s="0" t="s">
        <v>99</v>
      </c>
      <c r="C7" s="4" t="n">
        <f aca="false">Assumptions!C14</f>
        <v>9.8</v>
      </c>
      <c r="D7" s="4" t="n">
        <f aca="false">Assumptions!D14</f>
        <v>9.5</v>
      </c>
      <c r="E7" s="4" t="n">
        <f aca="false">Assumptions!E14</f>
        <v>9.3</v>
      </c>
      <c r="F7" s="4" t="n">
        <f aca="false">Assumptions!F14</f>
        <v>9.2</v>
      </c>
      <c r="G7" s="4" t="n">
        <f aca="false">Assumptions!G14</f>
        <v>9</v>
      </c>
      <c r="H7" s="4" t="n">
        <f aca="false">Assumptions!H14</f>
        <v>9</v>
      </c>
      <c r="I7" s="4" t="n">
        <f aca="false">Assumptions!I14</f>
        <v>9</v>
      </c>
      <c r="J7" s="4" t="n">
        <f aca="false">Assumptions!J14</f>
        <v>9</v>
      </c>
      <c r="K7" s="4" t="n">
        <f aca="false">Assumptions!K14</f>
        <v>9</v>
      </c>
      <c r="L7" s="4" t="n">
        <f aca="false">Assumptions!L14</f>
        <v>9</v>
      </c>
    </row>
    <row r="8" customFormat="false" ht="15" hidden="false" customHeight="false" outlineLevel="0" collapsed="false">
      <c r="A8" s="0" t="s">
        <v>43</v>
      </c>
      <c r="C8" s="0" t="n">
        <f aca="false">C6*C7/100</f>
        <v>106065.33238</v>
      </c>
      <c r="D8" s="0" t="n">
        <f aca="false">D6*D7/100</f>
        <v>101276.15793325</v>
      </c>
      <c r="E8" s="0" t="n">
        <f aca="false">E6*E7/100</f>
        <v>97656.8678681618</v>
      </c>
      <c r="F8" s="0" t="n">
        <f aca="false">F6*F7/100</f>
        <v>95640.7260799158</v>
      </c>
      <c r="G8" s="0" t="n">
        <f aca="false">G6*G7/100</f>
        <v>92625.9640621793</v>
      </c>
      <c r="H8" s="0" t="n">
        <f aca="false">H6*H7/100</f>
        <v>92162.8342418685</v>
      </c>
      <c r="I8" s="0" t="n">
        <f aca="false">I6*I7/100</f>
        <v>92162.8342418685</v>
      </c>
      <c r="J8" s="0" t="n">
        <f aca="false">J6*J7/100</f>
        <v>92162.8342418685</v>
      </c>
      <c r="K8" s="0" t="n">
        <f aca="false">K6*K7/100</f>
        <v>92162.8342418685</v>
      </c>
      <c r="L8" s="0" t="n">
        <f aca="false">L6*L7/100</f>
        <v>92162.8342418685</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83337.04687</v>
      </c>
      <c r="D11" s="0" t="n">
        <f aca="false">D8+D10+D24</f>
        <v>78888.7967059</v>
      </c>
      <c r="E11" s="0" t="n">
        <f aca="false">E8+E10+E24</f>
        <v>75605.317059222</v>
      </c>
      <c r="F11" s="0" t="n">
        <f aca="false">F8+F10+F24</f>
        <v>73809.6907790655</v>
      </c>
      <c r="G11" s="0" t="n">
        <f aca="false">G8+G10+G24</f>
        <v>71013.2391143375</v>
      </c>
      <c r="H11" s="0" t="n">
        <f aca="false">H8+H10+H24</f>
        <v>70658.1729187658</v>
      </c>
      <c r="I11" s="0" t="n">
        <f aca="false">I8+I10+I24</f>
        <v>70658.1729187658</v>
      </c>
      <c r="J11" s="0" t="n">
        <f aca="false">J8+J10+J24</f>
        <v>70658.1729187658</v>
      </c>
      <c r="K11" s="0" t="n">
        <f aca="false">K8+K10+K24</f>
        <v>70658.1729187658</v>
      </c>
      <c r="L11" s="0" t="n">
        <f aca="false">L8+L10+L24</f>
        <v>70658.1729187658</v>
      </c>
    </row>
    <row r="12" customFormat="false" ht="15" hidden="false" customHeight="false" outlineLevel="0" collapsed="false">
      <c r="A12" s="0" t="s">
        <v>117</v>
      </c>
      <c r="C12" s="4" t="n">
        <f aca="false">-C6*Assumptions!C17/100</f>
        <v>-40045.07447</v>
      </c>
      <c r="D12" s="4" t="n">
        <f aca="false">-D6*Assumptions!D17/100</f>
        <v>-39444.39835295</v>
      </c>
      <c r="E12" s="4" t="n">
        <f aca="false">-E6*Assumptions!E17/100</f>
        <v>-38852.7323776557</v>
      </c>
      <c r="F12" s="4" t="n">
        <f aca="false">-F6*Assumptions!F17/100</f>
        <v>-38464.2050538792</v>
      </c>
      <c r="G12" s="4" t="n">
        <f aca="false">-G6*Assumptions!G17/100</f>
        <v>-38079.5630033404</v>
      </c>
      <c r="H12" s="4" t="n">
        <f aca="false">-H6*Assumptions!H17/100</f>
        <v>-37889.1651883237</v>
      </c>
      <c r="I12" s="4" t="n">
        <f aca="false">-I6*Assumptions!I17/100</f>
        <v>-37889.1651883237</v>
      </c>
      <c r="J12" s="4" t="n">
        <f aca="false">-J6*Assumptions!J17/100</f>
        <v>-37889.1651883237</v>
      </c>
      <c r="K12" s="4" t="n">
        <f aca="false">-K6*Assumptions!K17/100</f>
        <v>-37889.1651883237</v>
      </c>
      <c r="L12" s="4" t="n">
        <f aca="false">-L6*Assumptions!L17/100</f>
        <v>-37889.1651883237</v>
      </c>
    </row>
    <row r="13" customFormat="false" ht="15" hidden="false" customHeight="false" outlineLevel="0" collapsed="false">
      <c r="A13" s="0" t="s">
        <v>118</v>
      </c>
      <c r="C13" s="0" t="n">
        <f aca="false">C11+C12</f>
        <v>43291.9724</v>
      </c>
      <c r="D13" s="0" t="n">
        <f aca="false">D11+D12</f>
        <v>39444.39835295</v>
      </c>
      <c r="E13" s="0" t="n">
        <f aca="false">E11+E12</f>
        <v>36752.5846815663</v>
      </c>
      <c r="F13" s="0" t="n">
        <f aca="false">F11+F12</f>
        <v>35345.4857251863</v>
      </c>
      <c r="G13" s="0" t="n">
        <f aca="false">G11+G12</f>
        <v>32933.6761109971</v>
      </c>
      <c r="H13" s="0" t="n">
        <f aca="false">H11+H12</f>
        <v>32769.0077304421</v>
      </c>
      <c r="I13" s="0" t="n">
        <f aca="false">I11+I12</f>
        <v>32769.0077304421</v>
      </c>
      <c r="J13" s="0" t="n">
        <f aca="false">J11+J12</f>
        <v>32769.0077304421</v>
      </c>
      <c r="K13" s="0" t="n">
        <f aca="false">K11+K12</f>
        <v>32769.0077304421</v>
      </c>
      <c r="L13" s="0" t="n">
        <f aca="false">L11+L12</f>
        <v>32769.0077304421</v>
      </c>
    </row>
    <row r="14" customFormat="false" ht="15" hidden="false" customHeight="false" outlineLevel="0" collapsed="false">
      <c r="A14" s="0" t="s">
        <v>104</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119</v>
      </c>
      <c r="C15" s="0" t="n">
        <f aca="false">C13-MAX(0,C13)*C14/100</f>
        <v>30304.38068</v>
      </c>
      <c r="D15" s="0" t="n">
        <f aca="false">D13-MAX(0,D13)*D14/100</f>
        <v>27611.078847065</v>
      </c>
      <c r="E15" s="0" t="n">
        <f aca="false">E13-MAX(0,E13)*E14/100</f>
        <v>25726.8092770964</v>
      </c>
      <c r="F15" s="0" t="n">
        <f aca="false">F13-MAX(0,F13)*F14/100</f>
        <v>24741.8400076304</v>
      </c>
      <c r="G15" s="0" t="n">
        <f aca="false">G13-MAX(0,G13)*G14/100</f>
        <v>23053.573277698</v>
      </c>
      <c r="H15" s="0" t="n">
        <f aca="false">H13-MAX(0,H13)*H14/100</f>
        <v>22938.3054113095</v>
      </c>
      <c r="I15" s="0" t="n">
        <f aca="false">I13-MAX(0,I13)*I14/100</f>
        <v>22938.3054113095</v>
      </c>
      <c r="J15" s="0" t="n">
        <f aca="false">J13-MAX(0,J13)*J14/100</f>
        <v>22938.3054113095</v>
      </c>
      <c r="K15" s="0" t="n">
        <f aca="false">K13-MAX(0,K13)*K14/100</f>
        <v>22938.3054113095</v>
      </c>
      <c r="L15" s="0" t="n">
        <f aca="false">L13-MAX(0,L13)*L14/100</f>
        <v>22938.3054113095</v>
      </c>
    </row>
    <row r="16" customFormat="false" ht="15" hidden="false" customHeight="false" outlineLevel="0" collapsed="false">
      <c r="A16" s="0" t="s">
        <v>120</v>
      </c>
      <c r="C16" s="0" t="n">
        <f aca="false">-C12</f>
        <v>40045.07447</v>
      </c>
      <c r="D16" s="0" t="n">
        <f aca="false">-D12</f>
        <v>39444.39835295</v>
      </c>
      <c r="E16" s="0" t="n">
        <f aca="false">-E12</f>
        <v>38852.7323776557</v>
      </c>
      <c r="F16" s="0" t="n">
        <f aca="false">-F12</f>
        <v>38464.2050538792</v>
      </c>
      <c r="G16" s="0" t="n">
        <f aca="false">-G12</f>
        <v>38079.5630033404</v>
      </c>
      <c r="H16" s="0" t="n">
        <f aca="false">-H12</f>
        <v>37889.1651883237</v>
      </c>
      <c r="I16" s="0" t="n">
        <f aca="false">-I12</f>
        <v>37889.1651883237</v>
      </c>
      <c r="J16" s="0" t="n">
        <f aca="false">-J12</f>
        <v>37889.1651883237</v>
      </c>
      <c r="K16" s="0" t="n">
        <f aca="false">-K12</f>
        <v>37889.1651883237</v>
      </c>
      <c r="L16" s="0" t="n">
        <f aca="false">-L12</f>
        <v>37889.1651883237</v>
      </c>
    </row>
    <row r="17" customFormat="false" ht="15" hidden="false" customHeight="false" outlineLevel="0" collapsed="false">
      <c r="A17" s="0" t="s">
        <v>121</v>
      </c>
      <c r="C17" s="4" t="n">
        <f aca="false">-C6*Assumptions!C18/100</f>
        <v>-38962.77516</v>
      </c>
      <c r="D17" s="4" t="n">
        <f aca="false">-D6*Assumptions!D18/100</f>
        <v>-37312.26871225</v>
      </c>
      <c r="E17" s="4" t="n">
        <f aca="false">-E6*Assumptions!E18/100</f>
        <v>-36752.5846815662</v>
      </c>
      <c r="F17" s="4" t="n">
        <f aca="false">-F6*Assumptions!F18/100</f>
        <v>-36385.0588347506</v>
      </c>
      <c r="G17" s="4" t="n">
        <f aca="false">-G6*Assumptions!G18/100</f>
        <v>-36021.2082464031</v>
      </c>
      <c r="H17" s="4" t="n">
        <f aca="false">-H6*Assumptions!H18/100</f>
        <v>-35841.1022051711</v>
      </c>
      <c r="I17" s="4" t="n">
        <f aca="false">-I6*Assumptions!I18/100</f>
        <v>-35841.1022051711</v>
      </c>
      <c r="J17" s="4" t="n">
        <f aca="false">-J6*Assumptions!J18/100</f>
        <v>-35841.1022051711</v>
      </c>
      <c r="K17" s="4" t="n">
        <f aca="false">-K6*Assumptions!K18/100</f>
        <v>-35841.1022051711</v>
      </c>
      <c r="L17" s="4" t="n">
        <f aca="false">-L6*Assumptions!L18/100</f>
        <v>-35841.1022051711</v>
      </c>
    </row>
    <row r="18" customFormat="false" ht="15" hidden="false" customHeight="false" outlineLevel="0" collapsed="false">
      <c r="A18" s="0" t="s">
        <v>122</v>
      </c>
      <c r="C18" s="4" t="n">
        <f aca="false">(C6-B6)*Assumptions!$B$23/100</f>
        <v>815.803499999992</v>
      </c>
      <c r="D18" s="4" t="n">
        <f aca="false">(D6-C6)*Assumptions!$B$23/100</f>
        <v>2435.17344750002</v>
      </c>
      <c r="E18" s="4" t="n">
        <f aca="false">(E6-D6)*Assumptions!$B$23/100</f>
        <v>2398.64584578752</v>
      </c>
      <c r="F18" s="4" t="n">
        <f aca="false">(F6-E6)*Assumptions!$B$23/100</f>
        <v>1575.11077206713</v>
      </c>
      <c r="G18" s="4" t="n">
        <f aca="false">(G6-F6)*Assumptions!$B$23/100</f>
        <v>1559.35966434645</v>
      </c>
      <c r="H18" s="4" t="n">
        <f aca="false">(H6-G6)*Assumptions!$B$23/100</f>
        <v>771.883033851493</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123</v>
      </c>
      <c r="C19" s="0" t="n">
        <f aca="false">C15+C16+C17+C18</f>
        <v>32202.48349</v>
      </c>
      <c r="D19" s="0" t="n">
        <f aca="false">D15+D16+D17+D18</f>
        <v>32178.381935265</v>
      </c>
      <c r="E19" s="0" t="n">
        <f aca="false">E15+E16+E17+E18</f>
        <v>30225.6028189734</v>
      </c>
      <c r="F19" s="0" t="n">
        <f aca="false">F15+F16+F17+F18</f>
        <v>28396.0969988261</v>
      </c>
      <c r="G19" s="0" t="n">
        <f aca="false">G15+G16+G17+G18</f>
        <v>26671.2876989817</v>
      </c>
      <c r="H19" s="0" t="n">
        <f aca="false">H15+H16+H17+H18</f>
        <v>25758.2514283136</v>
      </c>
      <c r="I19" s="0" t="n">
        <f aca="false">I15+I16+I17+I18</f>
        <v>24986.3683944621</v>
      </c>
      <c r="J19" s="0" t="n">
        <f aca="false">J15+J16+J17+J18</f>
        <v>24986.3683944621</v>
      </c>
      <c r="K19" s="0" t="n">
        <f aca="false">K15+K16+K17+K18</f>
        <v>24986.3683944621</v>
      </c>
      <c r="L19" s="0" t="n">
        <f aca="false">L15+L16+L17+L18</f>
        <v>24986.3683944621</v>
      </c>
    </row>
    <row r="20" customFormat="false" ht="15" hidden="false" customHeight="false" outlineLevel="0" collapsed="false">
      <c r="A20" s="0" t="s">
        <v>124</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125</v>
      </c>
      <c r="C21" s="0" t="n">
        <f aca="false">C19*C20</f>
        <v>29955.7985953488</v>
      </c>
      <c r="D21" s="0" t="n">
        <f aca="false">D19*D20</f>
        <v>27845.0032971466</v>
      </c>
      <c r="E21" s="0" t="n">
        <f aca="false">E19*E20</f>
        <v>24330.4184589319</v>
      </c>
      <c r="F21" s="0" t="n">
        <f aca="false">F19*F20</f>
        <v>21263.0124763023</v>
      </c>
      <c r="G21" s="0" t="n">
        <f aca="false">G19*G20</f>
        <v>18578.1156826192</v>
      </c>
      <c r="H21" s="0" t="n">
        <f aca="false">H19*H20</f>
        <v>16690.3557084991</v>
      </c>
      <c r="I21" s="0" t="n">
        <f aca="false">I19*I20</f>
        <v>15060.656005402</v>
      </c>
      <c r="J21" s="0" t="n">
        <f aca="false">J19*J20</f>
        <v>14009.9125631647</v>
      </c>
      <c r="K21" s="0" t="n">
        <f aca="false">K19*K20</f>
        <v>13032.4768029439</v>
      </c>
      <c r="L21" s="0" t="n">
        <f aca="false">L19*L20</f>
        <v>12123.2342352966</v>
      </c>
    </row>
    <row r="23" customFormat="false" ht="15" hidden="false" customHeight="false" outlineLevel="0" collapsed="false">
      <c r="A23" s="0" t="s">
        <v>101</v>
      </c>
      <c r="C23" s="4" t="n">
        <f aca="false">Assumptions!C16</f>
        <v>2.1</v>
      </c>
      <c r="D23" s="4" t="n">
        <f aca="false">Assumptions!D16</f>
        <v>2.1</v>
      </c>
      <c r="E23" s="4" t="n">
        <f aca="false">Assumptions!E16</f>
        <v>2.1</v>
      </c>
      <c r="F23" s="4" t="n">
        <f aca="false">Assumptions!F16</f>
        <v>2.1</v>
      </c>
      <c r="G23" s="4" t="n">
        <f aca="false">Assumptions!G16</f>
        <v>2.1</v>
      </c>
      <c r="H23" s="4" t="n">
        <f aca="false">Assumptions!H16</f>
        <v>2.1</v>
      </c>
      <c r="I23" s="4" t="n">
        <f aca="false">Assumptions!I16</f>
        <v>2.1</v>
      </c>
      <c r="J23" s="4" t="n">
        <f aca="false">Assumptions!J16</f>
        <v>2.1</v>
      </c>
      <c r="K23" s="4" t="n">
        <f aca="false">Assumptions!K16</f>
        <v>2.1</v>
      </c>
      <c r="L23" s="4" t="n">
        <f aca="false">Assumptions!L16</f>
        <v>2.1</v>
      </c>
    </row>
    <row r="24" customFormat="false" ht="15" hidden="false" customHeight="false" outlineLevel="0" collapsed="false">
      <c r="A24" s="0" t="s">
        <v>126</v>
      </c>
      <c r="C24" s="0" t="n">
        <f aca="false">-C6*C23/100</f>
        <v>-22728.28551</v>
      </c>
      <c r="D24" s="0" t="n">
        <f aca="false">-D6*D23/100</f>
        <v>-22387.36122735</v>
      </c>
      <c r="E24" s="0" t="n">
        <f aca="false">-E6*E23/100</f>
        <v>-22051.5508089397</v>
      </c>
      <c r="F24" s="0" t="n">
        <f aca="false">-F6*F23/100</f>
        <v>-21831.0353008503</v>
      </c>
      <c r="G24" s="0" t="n">
        <f aca="false">-G6*G23/100</f>
        <v>-21612.7249478418</v>
      </c>
      <c r="H24" s="0" t="n">
        <f aca="false">-H6*H23/100</f>
        <v>-21504.6613231026</v>
      </c>
      <c r="I24" s="0" t="n">
        <f aca="false">-I6*I23/100</f>
        <v>-21504.6613231026</v>
      </c>
      <c r="J24" s="0" t="n">
        <f aca="false">-J6*J23/100</f>
        <v>-21504.6613231026</v>
      </c>
      <c r="K24" s="0" t="n">
        <f aca="false">-K6*K23/100</f>
        <v>-21504.6613231026</v>
      </c>
      <c r="L24" s="0" t="n">
        <f aca="false">-L6*L23/100</f>
        <v>-21504.6613231026</v>
      </c>
    </row>
    <row r="26" customFormat="false" ht="15" hidden="false" customHeight="false" outlineLevel="0" collapsed="false">
      <c r="A26" s="2" t="s">
        <v>127</v>
      </c>
    </row>
    <row r="27" customFormat="false" ht="15" hidden="false" customHeight="false" outlineLevel="0" collapsed="false">
      <c r="A27" s="0" t="s">
        <v>105</v>
      </c>
      <c r="B27" s="4" t="n">
        <f aca="false">Assumptions!$B$20</f>
        <v>7.5</v>
      </c>
    </row>
    <row r="28" customFormat="false" ht="15" hidden="false" customHeight="false" outlineLevel="0" collapsed="false">
      <c r="A28" s="0" t="s">
        <v>106</v>
      </c>
      <c r="B28" s="4" t="n">
        <f aca="false">Assumptions!$B$21</f>
        <v>0</v>
      </c>
    </row>
    <row r="29" customFormat="false" ht="15" hidden="false" customHeight="false" outlineLevel="0" collapsed="false">
      <c r="A29" s="0" t="s">
        <v>107</v>
      </c>
      <c r="B29" s="4" t="n">
        <f aca="false">Assumptions!$B$22</f>
        <v>10</v>
      </c>
    </row>
    <row r="30" customFormat="false" ht="15" hidden="false" customHeight="false" outlineLevel="0" collapsed="false">
      <c r="A30" s="0" t="s">
        <v>128</v>
      </c>
      <c r="B30" s="0" t="n">
        <f aca="false">SUM(C21:L21)</f>
        <v>192888.983825655</v>
      </c>
    </row>
    <row r="31" customFormat="false" ht="15" hidden="false" customHeight="false" outlineLevel="0" collapsed="false">
      <c r="A31" s="0" t="s">
        <v>129</v>
      </c>
      <c r="B31" s="0" t="n">
        <f aca="false">L19</f>
        <v>24986.3683944621</v>
      </c>
    </row>
    <row r="32" customFormat="false" ht="15" hidden="false" customHeight="false" outlineLevel="0" collapsed="false">
      <c r="A32" s="0" t="s">
        <v>130</v>
      </c>
      <c r="B32" s="0" t="n">
        <f aca="false">IF(B27&gt;B28,B31*(1+B28/100)/((B27-B28)/100),B31*B29)</f>
        <v>333151.578592828</v>
      </c>
    </row>
    <row r="33" customFormat="false" ht="15" hidden="false" customHeight="false" outlineLevel="0" collapsed="false">
      <c r="A33" s="0" t="s">
        <v>131</v>
      </c>
      <c r="B33" s="0" t="n">
        <f aca="false">B31*B29</f>
        <v>249863.683944621</v>
      </c>
    </row>
    <row r="34" customFormat="false" ht="15" hidden="false" customHeight="false" outlineLevel="0" collapsed="false">
      <c r="A34" s="0" t="s">
        <v>132</v>
      </c>
      <c r="B34" s="0" t="n">
        <f aca="false">MAX(0,MIN(B32,B33))</f>
        <v>249863.683944621</v>
      </c>
    </row>
    <row r="35" customFormat="false" ht="15" hidden="false" customHeight="false" outlineLevel="0" collapsed="false">
      <c r="A35" s="0" t="s">
        <v>133</v>
      </c>
      <c r="B35" s="0" t="n">
        <f aca="false">B34/(1+B27/100)^L4</f>
        <v>121232.342352966</v>
      </c>
    </row>
    <row r="36" customFormat="false" ht="15" hidden="false" customHeight="false" outlineLevel="0" collapsed="false">
      <c r="A36" s="0" t="s">
        <v>134</v>
      </c>
      <c r="B36" s="0" t="n">
        <f aca="false">B30+B35</f>
        <v>314121.326178621</v>
      </c>
    </row>
    <row r="37" customFormat="false" ht="15" hidden="false" customHeight="false" outlineLevel="0" collapsed="false">
      <c r="A37" s="0" t="s">
        <v>135</v>
      </c>
      <c r="B37" s="0" t="n">
        <f aca="false">B36+Assumptions!$B$5-Assumptions!$B$4</f>
        <v>109174.326178621</v>
      </c>
    </row>
    <row r="38" customFormat="false" ht="15" hidden="false" customHeight="false" outlineLevel="0" collapsed="false">
      <c r="A38" s="0" t="s">
        <v>136</v>
      </c>
      <c r="B38" s="0" t="n">
        <f aca="false">B37/Assumptions!$B$3*Assumptions!$B$10</f>
        <v>220.24273992056</v>
      </c>
    </row>
    <row r="39" customFormat="false" ht="15" hidden="false" customHeight="false" outlineLevel="0" collapsed="false">
      <c r="A39" s="0" t="s">
        <v>137</v>
      </c>
      <c r="B39" s="4" t="n">
        <f aca="false">B38/Assumptions!$B$2-1</f>
        <v>-0.668758099081727</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220.24273992056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166575.789296414</v>
      </c>
    </row>
    <row r="47" customFormat="false" ht="15" hidden="false" customHeight="false" outlineLevel="0" collapsed="false">
      <c r="A47" s="0" t="s">
        <v>142</v>
      </c>
      <c r="B47" s="0" t="n">
        <f aca="false">(SUMPRODUCT(C19:L19/(1+B45/100)^C4:L4)+B46/(1+B45/100)^L4+Assumptions!$B$5-Assumptions!$B$4)/Assumptions!$B$3*Assumptions!$B$10</f>
        <v>-40.5332225673627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1.6</v>
      </c>
      <c r="D5" s="4" t="n">
        <f aca="false">Assumptions!D27</f>
        <v>2.5</v>
      </c>
      <c r="E5" s="4" t="n">
        <f aca="false">Assumptions!E27</f>
        <v>2.5</v>
      </c>
      <c r="F5" s="4" t="n">
        <f aca="false">Assumptions!F27</f>
        <v>2</v>
      </c>
      <c r="G5" s="4" t="n">
        <f aca="false">Assumptions!G27</f>
        <v>2</v>
      </c>
      <c r="H5" s="4" t="n">
        <f aca="false">Assumptions!H27</f>
        <v>1.5</v>
      </c>
      <c r="I5" s="4" t="n">
        <f aca="false">Assumptions!I27</f>
        <v>1.5</v>
      </c>
      <c r="J5" s="4" t="n">
        <f aca="false">Assumptions!J27</f>
        <v>1</v>
      </c>
      <c r="K5" s="4" t="n">
        <f aca="false">Assumptions!K27</f>
        <v>1</v>
      </c>
      <c r="L5" s="4" t="n">
        <f aca="false">Assumptions!L27</f>
        <v>1</v>
      </c>
    </row>
    <row r="6" customFormat="false" ht="15" hidden="false" customHeight="false" outlineLevel="0" collapsed="false">
      <c r="A6" s="0" t="s">
        <v>37</v>
      </c>
      <c r="B6" s="3" t="n">
        <v>1087738</v>
      </c>
      <c r="C6" s="0" t="n">
        <f aca="false">B6*(1+C5/100)</f>
        <v>1105141.808</v>
      </c>
      <c r="D6" s="0" t="n">
        <f aca="false">C6*(1+D5/100)</f>
        <v>1132770.3532</v>
      </c>
      <c r="E6" s="0" t="n">
        <f aca="false">D6*(1+E5/100)</f>
        <v>1161089.61203</v>
      </c>
      <c r="F6" s="0" t="n">
        <f aca="false">E6*(1+F5/100)</f>
        <v>1184311.4042706</v>
      </c>
      <c r="G6" s="0" t="n">
        <f aca="false">F6*(1+G5/100)</f>
        <v>1207997.63235601</v>
      </c>
      <c r="H6" s="0" t="n">
        <f aca="false">G6*(1+H5/100)</f>
        <v>1226117.59684135</v>
      </c>
      <c r="I6" s="0" t="n">
        <f aca="false">H6*(1+I5/100)</f>
        <v>1244509.36079397</v>
      </c>
      <c r="J6" s="0" t="n">
        <f aca="false">I6*(1+J5/100)</f>
        <v>1256954.45440191</v>
      </c>
      <c r="K6" s="0" t="n">
        <f aca="false">J6*(1+K5/100)</f>
        <v>1269523.99894593</v>
      </c>
      <c r="L6" s="0" t="n">
        <f aca="false">K6*(1+L5/100)</f>
        <v>1282219.23893539</v>
      </c>
    </row>
    <row r="7" customFormat="false" ht="15" hidden="false" customHeight="false" outlineLevel="0" collapsed="false">
      <c r="A7" s="0" t="s">
        <v>99</v>
      </c>
      <c r="C7" s="4" t="n">
        <f aca="false">Assumptions!C28</f>
        <v>10.3</v>
      </c>
      <c r="D7" s="4" t="n">
        <f aca="false">Assumptions!D28</f>
        <v>10.6</v>
      </c>
      <c r="E7" s="4" t="n">
        <f aca="false">Assumptions!E28</f>
        <v>10.9</v>
      </c>
      <c r="F7" s="4" t="n">
        <f aca="false">Assumptions!F28</f>
        <v>11</v>
      </c>
      <c r="G7" s="4" t="n">
        <f aca="false">Assumptions!G28</f>
        <v>11</v>
      </c>
      <c r="H7" s="4" t="n">
        <f aca="false">Assumptions!H28</f>
        <v>11</v>
      </c>
      <c r="I7" s="4" t="n">
        <f aca="false">Assumptions!I28</f>
        <v>11</v>
      </c>
      <c r="J7" s="4" t="n">
        <f aca="false">Assumptions!J28</f>
        <v>11</v>
      </c>
      <c r="K7" s="4" t="n">
        <f aca="false">Assumptions!K28</f>
        <v>11</v>
      </c>
      <c r="L7" s="4" t="n">
        <f aca="false">Assumptions!L28</f>
        <v>11</v>
      </c>
    </row>
    <row r="8" customFormat="false" ht="15" hidden="false" customHeight="false" outlineLevel="0" collapsed="false">
      <c r="A8" s="0" t="s">
        <v>43</v>
      </c>
      <c r="C8" s="0" t="n">
        <f aca="false">C6*C7/100</f>
        <v>113829.606224</v>
      </c>
      <c r="D8" s="0" t="n">
        <f aca="false">D6*D7/100</f>
        <v>120073.6574392</v>
      </c>
      <c r="E8" s="0" t="n">
        <f aca="false">E6*E7/100</f>
        <v>126558.76771127</v>
      </c>
      <c r="F8" s="0" t="n">
        <f aca="false">F6*F7/100</f>
        <v>130274.254469766</v>
      </c>
      <c r="G8" s="0" t="n">
        <f aca="false">G6*G7/100</f>
        <v>132879.739559161</v>
      </c>
      <c r="H8" s="0" t="n">
        <f aca="false">H6*H7/100</f>
        <v>134872.935652549</v>
      </c>
      <c r="I8" s="0" t="n">
        <f aca="false">I6*I7/100</f>
        <v>136896.029687337</v>
      </c>
      <c r="J8" s="0" t="n">
        <f aca="false">J6*J7/100</f>
        <v>138264.98998421</v>
      </c>
      <c r="K8" s="0" t="n">
        <f aca="false">K6*K7/100</f>
        <v>139647.639884052</v>
      </c>
      <c r="L8" s="0" t="n">
        <f aca="false">L6*L7/100</f>
        <v>141044.116282893</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90621.628256</v>
      </c>
      <c r="D11" s="0" t="n">
        <f aca="false">D8+D10+D24</f>
        <v>96851.8651986</v>
      </c>
      <c r="E11" s="0" t="n">
        <f aca="false">E8+E10+E24</f>
        <v>103336.97547067</v>
      </c>
      <c r="F11" s="0" t="n">
        <f aca="false">F8+F10+F24</f>
        <v>106588.026384354</v>
      </c>
      <c r="G11" s="0" t="n">
        <f aca="false">G8+G10+G24</f>
        <v>108719.786912041</v>
      </c>
      <c r="H11" s="0" t="n">
        <f aca="false">H8+H10+H24</f>
        <v>110350.583715722</v>
      </c>
      <c r="I11" s="0" t="n">
        <f aca="false">I8+I10+I24</f>
        <v>112005.842471457</v>
      </c>
      <c r="J11" s="0" t="n">
        <f aca="false">J8+J10+J24</f>
        <v>113125.900896172</v>
      </c>
      <c r="K11" s="0" t="n">
        <f aca="false">K8+K10+K24</f>
        <v>114257.159905134</v>
      </c>
      <c r="L11" s="0" t="n">
        <f aca="false">L8+L10+L24</f>
        <v>115399.731504185</v>
      </c>
    </row>
    <row r="12" customFormat="false" ht="15" hidden="false" customHeight="false" outlineLevel="0" collapsed="false">
      <c r="A12" s="0" t="s">
        <v>117</v>
      </c>
      <c r="C12" s="4" t="n">
        <f aca="false">-C6*Assumptions!C31/100</f>
        <v>-40890.246896</v>
      </c>
      <c r="D12" s="4" t="n">
        <f aca="false">-D6*Assumptions!D31/100</f>
        <v>-41912.5030684</v>
      </c>
      <c r="E12" s="4" t="n">
        <f aca="false">-E6*Assumptions!E31/100</f>
        <v>-42379.770839095</v>
      </c>
      <c r="F12" s="4" t="n">
        <f aca="false">-F6*Assumptions!F31/100</f>
        <v>-42635.2105537416</v>
      </c>
      <c r="G12" s="4" t="n">
        <f aca="false">-G6*Assumptions!G31/100</f>
        <v>-43487.9147648164</v>
      </c>
      <c r="H12" s="4" t="n">
        <f aca="false">-H6*Assumptions!H31/100</f>
        <v>-44140.2334862887</v>
      </c>
      <c r="I12" s="4" t="n">
        <f aca="false">-I6*Assumptions!I31/100</f>
        <v>-44802.336988583</v>
      </c>
      <c r="J12" s="4" t="n">
        <f aca="false">-J6*Assumptions!J31/100</f>
        <v>-45250.3603584688</v>
      </c>
      <c r="K12" s="4" t="n">
        <f aca="false">-K6*Assumptions!K31/100</f>
        <v>-45702.8639620535</v>
      </c>
      <c r="L12" s="4" t="n">
        <f aca="false">-L6*Assumptions!L31/100</f>
        <v>-46159.892601674</v>
      </c>
    </row>
    <row r="13" customFormat="false" ht="15" hidden="false" customHeight="false" outlineLevel="0" collapsed="false">
      <c r="A13" s="0" t="s">
        <v>118</v>
      </c>
      <c r="C13" s="0" t="n">
        <f aca="false">C11+C12</f>
        <v>49731.38136</v>
      </c>
      <c r="D13" s="0" t="n">
        <f aca="false">D11+D12</f>
        <v>54939.3621302</v>
      </c>
      <c r="E13" s="0" t="n">
        <f aca="false">E11+E12</f>
        <v>60957.204631575</v>
      </c>
      <c r="F13" s="0" t="n">
        <f aca="false">F11+F12</f>
        <v>63952.8158306124</v>
      </c>
      <c r="G13" s="0" t="n">
        <f aca="false">G11+G12</f>
        <v>65231.8721472246</v>
      </c>
      <c r="H13" s="0" t="n">
        <f aca="false">H11+H12</f>
        <v>66210.350229433</v>
      </c>
      <c r="I13" s="0" t="n">
        <f aca="false">I11+I12</f>
        <v>67203.5054828745</v>
      </c>
      <c r="J13" s="0" t="n">
        <f aca="false">J11+J12</f>
        <v>67875.5405377032</v>
      </c>
      <c r="K13" s="0" t="n">
        <f aca="false">K11+K12</f>
        <v>68554.2959430803</v>
      </c>
      <c r="L13" s="0" t="n">
        <f aca="false">L11+L12</f>
        <v>69239.8389025111</v>
      </c>
    </row>
    <row r="14" customFormat="false" ht="15" hidden="false" customHeight="false" outlineLevel="0" collapsed="false">
      <c r="A14" s="0" t="s">
        <v>104</v>
      </c>
      <c r="C14" s="4" t="n">
        <f aca="false">Assumptions!C33</f>
        <v>28</v>
      </c>
      <c r="D14" s="4" t="n">
        <f aca="false">Assumptions!D33</f>
        <v>28</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119</v>
      </c>
      <c r="C15" s="0" t="n">
        <f aca="false">C13-MAX(0,C13)*C14/100</f>
        <v>35806.5945792</v>
      </c>
      <c r="D15" s="0" t="n">
        <f aca="false">D13-MAX(0,D13)*D14/100</f>
        <v>39556.340733744</v>
      </c>
      <c r="E15" s="0" t="n">
        <f aca="false">E13-MAX(0,E13)*E14/100</f>
        <v>42670.0432421025</v>
      </c>
      <c r="F15" s="0" t="n">
        <f aca="false">F13-MAX(0,F13)*F14/100</f>
        <v>44766.9710814287</v>
      </c>
      <c r="G15" s="0" t="n">
        <f aca="false">G13-MAX(0,G13)*G14/100</f>
        <v>45662.3105030572</v>
      </c>
      <c r="H15" s="0" t="n">
        <f aca="false">H13-MAX(0,H13)*H14/100</f>
        <v>46347.2451606031</v>
      </c>
      <c r="I15" s="0" t="n">
        <f aca="false">I13-MAX(0,I13)*I14/100</f>
        <v>47042.4538380121</v>
      </c>
      <c r="J15" s="0" t="n">
        <f aca="false">J13-MAX(0,J13)*J14/100</f>
        <v>47512.8783763923</v>
      </c>
      <c r="K15" s="0" t="n">
        <f aca="false">K13-MAX(0,K13)*K14/100</f>
        <v>47988.0071601562</v>
      </c>
      <c r="L15" s="0" t="n">
        <f aca="false">L13-MAX(0,L13)*L14/100</f>
        <v>48467.8872317578</v>
      </c>
    </row>
    <row r="16" customFormat="false" ht="15" hidden="false" customHeight="false" outlineLevel="0" collapsed="false">
      <c r="A16" s="0" t="s">
        <v>120</v>
      </c>
      <c r="C16" s="0" t="n">
        <f aca="false">-C12</f>
        <v>40890.246896</v>
      </c>
      <c r="D16" s="0" t="n">
        <f aca="false">-D12</f>
        <v>41912.5030684</v>
      </c>
      <c r="E16" s="0" t="n">
        <f aca="false">-E12</f>
        <v>42379.770839095</v>
      </c>
      <c r="F16" s="0" t="n">
        <f aca="false">-F12</f>
        <v>42635.2105537416</v>
      </c>
      <c r="G16" s="0" t="n">
        <f aca="false">-G12</f>
        <v>43487.9147648164</v>
      </c>
      <c r="H16" s="0" t="n">
        <f aca="false">-H12</f>
        <v>44140.2334862887</v>
      </c>
      <c r="I16" s="0" t="n">
        <f aca="false">-I12</f>
        <v>44802.336988583</v>
      </c>
      <c r="J16" s="0" t="n">
        <f aca="false">-J12</f>
        <v>45250.3603584688</v>
      </c>
      <c r="K16" s="0" t="n">
        <f aca="false">-K12</f>
        <v>45702.8639620535</v>
      </c>
      <c r="L16" s="0" t="n">
        <f aca="false">-L12</f>
        <v>46159.892601674</v>
      </c>
    </row>
    <row r="17" customFormat="false" ht="15" hidden="false" customHeight="false" outlineLevel="0" collapsed="false">
      <c r="A17" s="0" t="s">
        <v>121</v>
      </c>
      <c r="C17" s="4" t="n">
        <f aca="false">-C6*Assumptions!C32/100</f>
        <v>-41995.388704</v>
      </c>
      <c r="D17" s="4" t="n">
        <f aca="false">-D6*Assumptions!D32/100</f>
        <v>-43045.2734216</v>
      </c>
      <c r="E17" s="4" t="n">
        <f aca="false">-E6*Assumptions!E32/100</f>
        <v>-44121.40525714</v>
      </c>
      <c r="F17" s="4" t="n">
        <f aca="false">-F6*Assumptions!F32/100</f>
        <v>-45003.8333622828</v>
      </c>
      <c r="G17" s="4" t="n">
        <f aca="false">-G6*Assumptions!G32/100</f>
        <v>-45903.9100295285</v>
      </c>
      <c r="H17" s="4" t="n">
        <f aca="false">-H6*Assumptions!H32/100</f>
        <v>-46592.4686799714</v>
      </c>
      <c r="I17" s="4" t="n">
        <f aca="false">-I6*Assumptions!I32/100</f>
        <v>-47291.3557101709</v>
      </c>
      <c r="J17" s="4" t="n">
        <f aca="false">-J6*Assumptions!J32/100</f>
        <v>-47764.2692672726</v>
      </c>
      <c r="K17" s="4" t="n">
        <f aca="false">-K6*Assumptions!K32/100</f>
        <v>-48241.9119599454</v>
      </c>
      <c r="L17" s="4" t="n">
        <f aca="false">-L6*Assumptions!L32/100</f>
        <v>-48724.3310795448</v>
      </c>
    </row>
    <row r="18" customFormat="false" ht="15" hidden="false" customHeight="false" outlineLevel="0" collapsed="false">
      <c r="A18" s="0" t="s">
        <v>122</v>
      </c>
      <c r="C18" s="4" t="n">
        <f aca="false">(C6-B6)*Assumptions!$B$37/100</f>
        <v>-2610.57119999999</v>
      </c>
      <c r="D18" s="4" t="n">
        <f aca="false">(D6-C6)*Assumptions!$B$37/100</f>
        <v>-4144.28177999997</v>
      </c>
      <c r="E18" s="4" t="n">
        <f aca="false">(E6-D6)*Assumptions!$B$37/100</f>
        <v>-4247.88882449999</v>
      </c>
      <c r="F18" s="4" t="n">
        <f aca="false">(F6-E6)*Assumptions!$B$37/100</f>
        <v>-3483.26883609002</v>
      </c>
      <c r="G18" s="4" t="n">
        <f aca="false">(G6-F6)*Assumptions!$B$37/100</f>
        <v>-3552.93421281179</v>
      </c>
      <c r="H18" s="4" t="n">
        <f aca="false">(H6-G6)*Assumptions!$B$37/100</f>
        <v>-2717.99467280101</v>
      </c>
      <c r="I18" s="4" t="n">
        <f aca="false">(I6-H6)*Assumptions!$B$37/100</f>
        <v>-2758.76459289301</v>
      </c>
      <c r="J18" s="4" t="n">
        <f aca="false">(J6-I6)*Assumptions!$B$37/100</f>
        <v>-1866.76404119097</v>
      </c>
      <c r="K18" s="4" t="n">
        <f aca="false">(K6-J6)*Assumptions!$B$37/100</f>
        <v>-1885.43168160286</v>
      </c>
      <c r="L18" s="4" t="n">
        <f aca="false">(L6-K6)*Assumptions!$B$37/100</f>
        <v>-1904.28599841889</v>
      </c>
    </row>
    <row r="19" customFormat="false" ht="15" hidden="false" customHeight="false" outlineLevel="0" collapsed="false">
      <c r="A19" s="0" t="s">
        <v>123</v>
      </c>
      <c r="C19" s="0" t="n">
        <f aca="false">C15+C16+C17+C18</f>
        <v>32090.8815712</v>
      </c>
      <c r="D19" s="0" t="n">
        <f aca="false">D15+D16+D17+D18</f>
        <v>34279.288600544</v>
      </c>
      <c r="E19" s="0" t="n">
        <f aca="false">E15+E16+E17+E18</f>
        <v>36680.5199995575</v>
      </c>
      <c r="F19" s="0" t="n">
        <f aca="false">F15+F16+F17+F18</f>
        <v>38915.0794367975</v>
      </c>
      <c r="G19" s="0" t="n">
        <f aca="false">G15+G16+G17+G18</f>
        <v>39693.3810255334</v>
      </c>
      <c r="H19" s="0" t="n">
        <f aca="false">H15+H16+H17+H18</f>
        <v>41177.0152941194</v>
      </c>
      <c r="I19" s="0" t="n">
        <f aca="false">I15+I16+I17+I18</f>
        <v>41794.6705235312</v>
      </c>
      <c r="J19" s="0" t="n">
        <f aca="false">J15+J16+J17+J18</f>
        <v>43132.2054263975</v>
      </c>
      <c r="K19" s="0" t="n">
        <f aca="false">K15+K16+K17+K18</f>
        <v>43563.5274806615</v>
      </c>
      <c r="L19" s="0" t="n">
        <f aca="false">L15+L16+L17+L18</f>
        <v>43999.1627554681</v>
      </c>
    </row>
    <row r="20" customFormat="false" ht="15" hidden="false" customHeight="false" outlineLevel="0" collapsed="false">
      <c r="A20" s="0" t="s">
        <v>124</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125</v>
      </c>
      <c r="C21" s="0" t="n">
        <f aca="false">C19*C20</f>
        <v>29851.9828569302</v>
      </c>
      <c r="D21" s="0" t="n">
        <f aca="false">D19*D20</f>
        <v>29662.9863498488</v>
      </c>
      <c r="E21" s="0" t="n">
        <f aca="false">E19*E20</f>
        <v>29526.3722687522</v>
      </c>
      <c r="F21" s="0" t="n">
        <f aca="false">F19*F20</f>
        <v>29139.6320985637</v>
      </c>
      <c r="G21" s="0" t="n">
        <f aca="false">G19*G20</f>
        <v>27648.7672004976</v>
      </c>
      <c r="H21" s="0" t="n">
        <f aca="false">H19*H20</f>
        <v>26681.1213558434</v>
      </c>
      <c r="I21" s="0" t="n">
        <f aca="false">I19*I20</f>
        <v>25191.9424894707</v>
      </c>
      <c r="J21" s="0" t="n">
        <f aca="false">J19*J20</f>
        <v>24184.3239137631</v>
      </c>
      <c r="K21" s="0" t="n">
        <f aca="false">K19*K20</f>
        <v>22722.0159561868</v>
      </c>
      <c r="L21" s="0" t="n">
        <f aca="false">L19*L20</f>
        <v>21348.126619301</v>
      </c>
    </row>
    <row r="23" customFormat="false" ht="15" hidden="false" customHeight="false" outlineLevel="0" collapsed="false">
      <c r="A23" s="0" t="s">
        <v>101</v>
      </c>
      <c r="C23" s="4" t="n">
        <f aca="false">Assumptions!C30</f>
        <v>2.1</v>
      </c>
      <c r="D23" s="4" t="n">
        <f aca="false">Assumptions!D30</f>
        <v>2.05</v>
      </c>
      <c r="E23" s="4" t="n">
        <f aca="false">Assumptions!E30</f>
        <v>2</v>
      </c>
      <c r="F23" s="4" t="n">
        <f aca="false">Assumptions!F30</f>
        <v>2</v>
      </c>
      <c r="G23" s="4" t="n">
        <f aca="false">Assumptions!G30</f>
        <v>2</v>
      </c>
      <c r="H23" s="4" t="n">
        <f aca="false">Assumptions!H30</f>
        <v>2</v>
      </c>
      <c r="I23" s="4" t="n">
        <f aca="false">Assumptions!I30</f>
        <v>2</v>
      </c>
      <c r="J23" s="4" t="n">
        <f aca="false">Assumptions!J30</f>
        <v>2</v>
      </c>
      <c r="K23" s="4" t="n">
        <f aca="false">Assumptions!K30</f>
        <v>2</v>
      </c>
      <c r="L23" s="4" t="n">
        <f aca="false">Assumptions!L30</f>
        <v>2</v>
      </c>
    </row>
    <row r="24" customFormat="false" ht="15" hidden="false" customHeight="false" outlineLevel="0" collapsed="false">
      <c r="A24" s="0" t="s">
        <v>126</v>
      </c>
      <c r="C24" s="0" t="n">
        <f aca="false">-C6*C23/100</f>
        <v>-23207.977968</v>
      </c>
      <c r="D24" s="0" t="n">
        <f aca="false">-D6*D23/100</f>
        <v>-23221.7922406</v>
      </c>
      <c r="E24" s="0" t="n">
        <f aca="false">-E6*E23/100</f>
        <v>-23221.7922406</v>
      </c>
      <c r="F24" s="0" t="n">
        <f aca="false">-F6*F23/100</f>
        <v>-23686.228085412</v>
      </c>
      <c r="G24" s="0" t="n">
        <f aca="false">-G6*G23/100</f>
        <v>-24159.9526471202</v>
      </c>
      <c r="H24" s="0" t="n">
        <f aca="false">-H6*H23/100</f>
        <v>-24522.351936827</v>
      </c>
      <c r="I24" s="0" t="n">
        <f aca="false">-I6*I23/100</f>
        <v>-24890.1872158794</v>
      </c>
      <c r="J24" s="0" t="n">
        <f aca="false">-J6*J23/100</f>
        <v>-25139.0890880382</v>
      </c>
      <c r="K24" s="0" t="n">
        <f aca="false">-K6*K23/100</f>
        <v>-25390.4799789186</v>
      </c>
      <c r="L24" s="0" t="n">
        <f aca="false">-L6*L23/100</f>
        <v>-25644.3847787078</v>
      </c>
    </row>
    <row r="26" customFormat="false" ht="15" hidden="false" customHeight="false" outlineLevel="0" collapsed="false">
      <c r="A26" s="2" t="s">
        <v>127</v>
      </c>
    </row>
    <row r="27" customFormat="false" ht="15" hidden="false" customHeight="false" outlineLevel="0" collapsed="false">
      <c r="A27" s="0" t="s">
        <v>105</v>
      </c>
      <c r="B27" s="4" t="n">
        <f aca="false">Assumptions!$B$34</f>
        <v>7.5</v>
      </c>
    </row>
    <row r="28" customFormat="false" ht="15" hidden="false" customHeight="false" outlineLevel="0" collapsed="false">
      <c r="A28" s="0" t="s">
        <v>106</v>
      </c>
      <c r="B28" s="4" t="n">
        <f aca="false">Assumptions!$B$35</f>
        <v>1</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265957.271109158</v>
      </c>
    </row>
    <row r="31" customFormat="false" ht="15" hidden="false" customHeight="false" outlineLevel="0" collapsed="false">
      <c r="A31" s="0" t="s">
        <v>129</v>
      </c>
      <c r="B31" s="0" t="n">
        <f aca="false">L19</f>
        <v>43999.1627554681</v>
      </c>
    </row>
    <row r="32" customFormat="false" ht="15" hidden="false" customHeight="false" outlineLevel="0" collapsed="false">
      <c r="A32" s="0" t="s">
        <v>130</v>
      </c>
      <c r="B32" s="0" t="n">
        <f aca="false">IF(B27&gt;B28,B31*(1+B28/100)/((B27-B28)/100),B31*B29)</f>
        <v>683679.29820035</v>
      </c>
    </row>
    <row r="33" customFormat="false" ht="15" hidden="false" customHeight="false" outlineLevel="0" collapsed="false">
      <c r="A33" s="0" t="s">
        <v>131</v>
      </c>
      <c r="B33" s="0" t="n">
        <f aca="false">B31*B29</f>
        <v>527989.953065617</v>
      </c>
    </row>
    <row r="34" customFormat="false" ht="15" hidden="false" customHeight="false" outlineLevel="0" collapsed="false">
      <c r="A34" s="0" t="s">
        <v>132</v>
      </c>
      <c r="B34" s="0" t="n">
        <f aca="false">MAX(0,MIN(B32,B33))</f>
        <v>527989.953065617</v>
      </c>
    </row>
    <row r="35" customFormat="false" ht="15" hidden="false" customHeight="false" outlineLevel="0" collapsed="false">
      <c r="A35" s="0" t="s">
        <v>133</v>
      </c>
      <c r="B35" s="0" t="n">
        <f aca="false">B34/(1+B27/100)^L4</f>
        <v>256177.519431613</v>
      </c>
    </row>
    <row r="36" customFormat="false" ht="15" hidden="false" customHeight="false" outlineLevel="0" collapsed="false">
      <c r="A36" s="0" t="s">
        <v>134</v>
      </c>
      <c r="B36" s="0" t="n">
        <f aca="false">B30+B35</f>
        <v>522134.79054077</v>
      </c>
    </row>
    <row r="37" customFormat="false" ht="15" hidden="false" customHeight="false" outlineLevel="0" collapsed="false">
      <c r="A37" s="0" t="s">
        <v>135</v>
      </c>
      <c r="B37" s="0" t="n">
        <f aca="false">B36+Assumptions!$B$5-Assumptions!$B$4</f>
        <v>317187.79054077</v>
      </c>
    </row>
    <row r="38" customFormat="false" ht="15" hidden="false" customHeight="false" outlineLevel="0" collapsed="false">
      <c r="A38" s="0" t="s">
        <v>136</v>
      </c>
      <c r="B38" s="0" t="n">
        <f aca="false">B37/Assumptions!$B$3*Assumptions!$B$10</f>
        <v>639.878536495401</v>
      </c>
    </row>
    <row r="39" customFormat="false" ht="15" hidden="false" customHeight="false" outlineLevel="0" collapsed="false">
      <c r="A39" s="0" t="s">
        <v>137</v>
      </c>
      <c r="B39" s="4" t="n">
        <f aca="false">B38/Assumptions!$B$2-1</f>
        <v>-0.037631919844487</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639.878536495401</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317422.531307305</v>
      </c>
    </row>
    <row r="47" customFormat="false" ht="15" hidden="false" customHeight="false" outlineLevel="0" collapsed="false">
      <c r="A47" s="0" t="s">
        <v>142</v>
      </c>
      <c r="B47" s="0" t="n">
        <f aca="false">(SUMPRODUCT(C19:L19/(1+B45/100)^C4:L4)+B46/(1+B45/100)^L4+Assumptions!$B$5-Assumptions!$B$4)/Assumptions!$B$3*Assumptions!$B$10</f>
        <v>129.748184638789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2.5</v>
      </c>
      <c r="D5" s="4" t="n">
        <f aca="false">Assumptions!D41</f>
        <v>4</v>
      </c>
      <c r="E5" s="4" t="n">
        <f aca="false">Assumptions!E41</f>
        <v>4</v>
      </c>
      <c r="F5" s="4" t="n">
        <f aca="false">Assumptions!F41</f>
        <v>3.5</v>
      </c>
      <c r="G5" s="4" t="n">
        <f aca="false">Assumptions!G41</f>
        <v>3</v>
      </c>
      <c r="H5" s="4" t="n">
        <f aca="false">Assumptions!H41</f>
        <v>2.5</v>
      </c>
      <c r="I5" s="4" t="n">
        <f aca="false">Assumptions!I41</f>
        <v>2</v>
      </c>
      <c r="J5" s="4" t="n">
        <f aca="false">Assumptions!J41</f>
        <v>2</v>
      </c>
      <c r="K5" s="4" t="n">
        <f aca="false">Assumptions!K41</f>
        <v>1.5</v>
      </c>
      <c r="L5" s="4" t="n">
        <f aca="false">Assumptions!L41</f>
        <v>1.5</v>
      </c>
    </row>
    <row r="6" customFormat="false" ht="15" hidden="false" customHeight="false" outlineLevel="0" collapsed="false">
      <c r="A6" s="0" t="s">
        <v>37</v>
      </c>
      <c r="B6" s="3" t="n">
        <v>1087738</v>
      </c>
      <c r="C6" s="0" t="n">
        <f aca="false">B6*(1+C5/100)</f>
        <v>1114931.45</v>
      </c>
      <c r="D6" s="0" t="n">
        <f aca="false">C6*(1+D5/100)</f>
        <v>1159528.708</v>
      </c>
      <c r="E6" s="0" t="n">
        <f aca="false">D6*(1+E5/100)</f>
        <v>1205909.85632</v>
      </c>
      <c r="F6" s="0" t="n">
        <f aca="false">E6*(1+F5/100)</f>
        <v>1248116.7012912</v>
      </c>
      <c r="G6" s="0" t="n">
        <f aca="false">F6*(1+G5/100)</f>
        <v>1285560.20232994</v>
      </c>
      <c r="H6" s="0" t="n">
        <f aca="false">G6*(1+H5/100)</f>
        <v>1317699.20738818</v>
      </c>
      <c r="I6" s="0" t="n">
        <f aca="false">H6*(1+I5/100)</f>
        <v>1344053.19153595</v>
      </c>
      <c r="J6" s="0" t="n">
        <f aca="false">I6*(1+J5/100)</f>
        <v>1370934.25536667</v>
      </c>
      <c r="K6" s="0" t="n">
        <f aca="false">J6*(1+K5/100)</f>
        <v>1391498.26919717</v>
      </c>
      <c r="L6" s="0" t="n">
        <f aca="false">K6*(1+L5/100)</f>
        <v>1412370.74323512</v>
      </c>
    </row>
    <row r="7" customFormat="false" ht="15" hidden="false" customHeight="false" outlineLevel="0" collapsed="false">
      <c r="A7" s="0" t="s">
        <v>99</v>
      </c>
      <c r="C7" s="4" t="n">
        <f aca="false">Assumptions!C42</f>
        <v>10.5</v>
      </c>
      <c r="D7" s="4" t="n">
        <f aca="false">Assumptions!D42</f>
        <v>11</v>
      </c>
      <c r="E7" s="4" t="n">
        <f aca="false">Assumptions!E42</f>
        <v>11.6</v>
      </c>
      <c r="F7" s="4" t="n">
        <f aca="false">Assumptions!F42</f>
        <v>12</v>
      </c>
      <c r="G7" s="4" t="n">
        <f aca="false">Assumptions!G42</f>
        <v>12.2</v>
      </c>
      <c r="H7" s="4" t="n">
        <f aca="false">Assumptions!H42</f>
        <v>12.3</v>
      </c>
      <c r="I7" s="4" t="n">
        <f aca="false">Assumptions!I42</f>
        <v>12.3</v>
      </c>
      <c r="J7" s="4" t="n">
        <f aca="false">Assumptions!J42</f>
        <v>12.3</v>
      </c>
      <c r="K7" s="4" t="n">
        <f aca="false">Assumptions!K42</f>
        <v>12.3</v>
      </c>
      <c r="L7" s="4" t="n">
        <f aca="false">Assumptions!L42</f>
        <v>12.3</v>
      </c>
    </row>
    <row r="8" customFormat="false" ht="15" hidden="false" customHeight="false" outlineLevel="0" collapsed="false">
      <c r="A8" s="0" t="s">
        <v>43</v>
      </c>
      <c r="C8" s="0" t="n">
        <f aca="false">C6*C7/100</f>
        <v>117067.80225</v>
      </c>
      <c r="D8" s="0" t="n">
        <f aca="false">D6*D7/100</f>
        <v>127548.15788</v>
      </c>
      <c r="E8" s="0" t="n">
        <f aca="false">E6*E7/100</f>
        <v>139885.54333312</v>
      </c>
      <c r="F8" s="0" t="n">
        <f aca="false">F6*F7/100</f>
        <v>149774.004154944</v>
      </c>
      <c r="G8" s="0" t="n">
        <f aca="false">G6*G7/100</f>
        <v>156838.344684252</v>
      </c>
      <c r="H8" s="0" t="n">
        <f aca="false">H6*H7/100</f>
        <v>162077.002508747</v>
      </c>
      <c r="I8" s="0" t="n">
        <f aca="false">I6*I7/100</f>
        <v>165318.542558922</v>
      </c>
      <c r="J8" s="0" t="n">
        <f aca="false">J6*J7/100</f>
        <v>168624.9134101</v>
      </c>
      <c r="K8" s="0" t="n">
        <f aca="false">K6*K7/100</f>
        <v>171154.287111252</v>
      </c>
      <c r="L8" s="0" t="n">
        <f aca="false">L6*L7/100</f>
        <v>173721.60141792</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93654.2418</v>
      </c>
      <c r="D11" s="0" t="n">
        <f aca="false">D8+D10+D24</f>
        <v>104357.58372</v>
      </c>
      <c r="E11" s="0" t="n">
        <f aca="false">E8+E10+E24</f>
        <v>116370.30113488</v>
      </c>
      <c r="F11" s="0" t="n">
        <f aca="false">F8+F10+F24</f>
        <v>126059.786830411</v>
      </c>
      <c r="G11" s="0" t="n">
        <f aca="false">G8+G10+G24</f>
        <v>132412.700839983</v>
      </c>
      <c r="H11" s="0" t="n">
        <f aca="false">H8+H10+H24</f>
        <v>137040.717568371</v>
      </c>
      <c r="I11" s="0" t="n">
        <f aca="false">I8+I10+I24</f>
        <v>139781.531919739</v>
      </c>
      <c r="J11" s="0" t="n">
        <f aca="false">J8+J10+J24</f>
        <v>142577.162558133</v>
      </c>
      <c r="K11" s="0" t="n">
        <f aca="false">K8+K10+K24</f>
        <v>144715.819996505</v>
      </c>
      <c r="L11" s="0" t="n">
        <f aca="false">L8+L10+L24</f>
        <v>146886.557296453</v>
      </c>
    </row>
    <row r="12" customFormat="false" ht="15" hidden="false" customHeight="false" outlineLevel="0" collapsed="false">
      <c r="A12" s="0" t="s">
        <v>117</v>
      </c>
      <c r="C12" s="4" t="n">
        <f aca="false">-C6*Assumptions!C45/100</f>
        <v>-41252.46365</v>
      </c>
      <c r="D12" s="4" t="n">
        <f aca="false">-D6*Assumptions!D45/100</f>
        <v>-42902.562196</v>
      </c>
      <c r="E12" s="4" t="n">
        <f aca="false">-E6*Assumptions!E45/100</f>
        <v>-44015.70975568</v>
      </c>
      <c r="F12" s="4" t="n">
        <f aca="false">-F6*Assumptions!F45/100</f>
        <v>-44932.2012464832</v>
      </c>
      <c r="G12" s="4" t="n">
        <f aca="false">-G6*Assumptions!G45/100</f>
        <v>-46280.1672838777</v>
      </c>
      <c r="H12" s="4" t="n">
        <f aca="false">-H6*Assumptions!H45/100</f>
        <v>-47437.1714659746</v>
      </c>
      <c r="I12" s="4" t="n">
        <f aca="false">-I6*Assumptions!I45/100</f>
        <v>-48385.9148952941</v>
      </c>
      <c r="J12" s="4" t="n">
        <f aca="false">-J6*Assumptions!J45/100</f>
        <v>-49353.6331932</v>
      </c>
      <c r="K12" s="4" t="n">
        <f aca="false">-K6*Assumptions!K45/100</f>
        <v>-50093.937691098</v>
      </c>
      <c r="L12" s="4" t="n">
        <f aca="false">-L6*Assumptions!L45/100</f>
        <v>-50845.3467564645</v>
      </c>
    </row>
    <row r="13" customFormat="false" ht="15" hidden="false" customHeight="false" outlineLevel="0" collapsed="false">
      <c r="A13" s="0" t="s">
        <v>118</v>
      </c>
      <c r="C13" s="0" t="n">
        <f aca="false">C11+C12</f>
        <v>52401.77815</v>
      </c>
      <c r="D13" s="0" t="n">
        <f aca="false">D11+D12</f>
        <v>61455.021524</v>
      </c>
      <c r="E13" s="0" t="n">
        <f aca="false">E11+E12</f>
        <v>72354.5913792</v>
      </c>
      <c r="F13" s="0" t="n">
        <f aca="false">F11+F12</f>
        <v>81127.585583928</v>
      </c>
      <c r="G13" s="0" t="n">
        <f aca="false">G11+G12</f>
        <v>86132.5335561057</v>
      </c>
      <c r="H13" s="0" t="n">
        <f aca="false">H11+H12</f>
        <v>89603.5461023965</v>
      </c>
      <c r="I13" s="0" t="n">
        <f aca="false">I11+I12</f>
        <v>91395.6170244445</v>
      </c>
      <c r="J13" s="0" t="n">
        <f aca="false">J11+J12</f>
        <v>93223.5293649334</v>
      </c>
      <c r="K13" s="0" t="n">
        <f aca="false">K11+K12</f>
        <v>94621.8823054074</v>
      </c>
      <c r="L13" s="0" t="n">
        <f aca="false">L11+L12</f>
        <v>96041.2105399885</v>
      </c>
    </row>
    <row r="14" customFormat="false" ht="15" hidden="false" customHeight="false" outlineLevel="0" collapsed="false">
      <c r="A14" s="0" t="s">
        <v>104</v>
      </c>
      <c r="C14" s="4" t="n">
        <f aca="false">Assumptions!C47</f>
        <v>27</v>
      </c>
      <c r="D14" s="4" t="n">
        <f aca="false">Assumptions!D47</f>
        <v>27</v>
      </c>
      <c r="E14" s="4" t="n">
        <f aca="false">Assumptions!E47</f>
        <v>28</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119</v>
      </c>
      <c r="C15" s="0" t="n">
        <f aca="false">C13-MAX(0,C13)*C14/100</f>
        <v>38253.2980495</v>
      </c>
      <c r="D15" s="0" t="n">
        <f aca="false">D13-MAX(0,D13)*D14/100</f>
        <v>44862.16571252</v>
      </c>
      <c r="E15" s="0" t="n">
        <f aca="false">E13-MAX(0,E13)*E14/100</f>
        <v>52095.305793024</v>
      </c>
      <c r="F15" s="0" t="n">
        <f aca="false">F13-MAX(0,F13)*F14/100</f>
        <v>56789.3099087496</v>
      </c>
      <c r="G15" s="0" t="n">
        <f aca="false">G13-MAX(0,G13)*G14/100</f>
        <v>60292.773489274</v>
      </c>
      <c r="H15" s="0" t="n">
        <f aca="false">H13-MAX(0,H13)*H14/100</f>
        <v>62722.4822716776</v>
      </c>
      <c r="I15" s="0" t="n">
        <f aca="false">I13-MAX(0,I13)*I14/100</f>
        <v>63976.9319171111</v>
      </c>
      <c r="J15" s="0" t="n">
        <f aca="false">J13-MAX(0,J13)*J14/100</f>
        <v>65256.4705554534</v>
      </c>
      <c r="K15" s="0" t="n">
        <f aca="false">K13-MAX(0,K13)*K14/100</f>
        <v>66235.3176137852</v>
      </c>
      <c r="L15" s="0" t="n">
        <f aca="false">L13-MAX(0,L13)*L14/100</f>
        <v>67228.847377992</v>
      </c>
    </row>
    <row r="16" customFormat="false" ht="15" hidden="false" customHeight="false" outlineLevel="0" collapsed="false">
      <c r="A16" s="0" t="s">
        <v>120</v>
      </c>
      <c r="C16" s="0" t="n">
        <f aca="false">-C12</f>
        <v>41252.46365</v>
      </c>
      <c r="D16" s="0" t="n">
        <f aca="false">-D12</f>
        <v>42902.562196</v>
      </c>
      <c r="E16" s="0" t="n">
        <f aca="false">-E12</f>
        <v>44015.70975568</v>
      </c>
      <c r="F16" s="0" t="n">
        <f aca="false">-F12</f>
        <v>44932.2012464832</v>
      </c>
      <c r="G16" s="0" t="n">
        <f aca="false">-G12</f>
        <v>46280.1672838777</v>
      </c>
      <c r="H16" s="0" t="n">
        <f aca="false">-H12</f>
        <v>47437.1714659746</v>
      </c>
      <c r="I16" s="0" t="n">
        <f aca="false">-I12</f>
        <v>48385.9148952941</v>
      </c>
      <c r="J16" s="0" t="n">
        <f aca="false">-J12</f>
        <v>49353.6331932</v>
      </c>
      <c r="K16" s="0" t="n">
        <f aca="false">-K12</f>
        <v>50093.937691098</v>
      </c>
      <c r="L16" s="0" t="n">
        <f aca="false">-L12</f>
        <v>50845.3467564645</v>
      </c>
    </row>
    <row r="17" customFormat="false" ht="15" hidden="false" customHeight="false" outlineLevel="0" collapsed="false">
      <c r="A17" s="0" t="s">
        <v>121</v>
      </c>
      <c r="C17" s="4" t="n">
        <f aca="false">-C6*Assumptions!C46/100</f>
        <v>-43482.32655</v>
      </c>
      <c r="D17" s="4" t="n">
        <f aca="false">-D6*Assumptions!D46/100</f>
        <v>-46381.14832</v>
      </c>
      <c r="E17" s="4" t="n">
        <f aca="false">-E6*Assumptions!E46/100</f>
        <v>-48236.3942528</v>
      </c>
      <c r="F17" s="4" t="n">
        <f aca="false">-F6*Assumptions!F46/100</f>
        <v>-49924.668051648</v>
      </c>
      <c r="G17" s="4" t="n">
        <f aca="false">-G6*Assumptions!G46/100</f>
        <v>-50136.8478908675</v>
      </c>
      <c r="H17" s="4" t="n">
        <f aca="false">-H6*Assumptions!H46/100</f>
        <v>-50072.569880751</v>
      </c>
      <c r="I17" s="4" t="n">
        <f aca="false">-I6*Assumptions!I46/100</f>
        <v>-51074.021278366</v>
      </c>
      <c r="J17" s="4" t="n">
        <f aca="false">-J6*Assumptions!J46/100</f>
        <v>-52095.5017039334</v>
      </c>
      <c r="K17" s="4" t="n">
        <f aca="false">-K6*Assumptions!K46/100</f>
        <v>-52876.9342294924</v>
      </c>
      <c r="L17" s="4" t="n">
        <f aca="false">-L6*Assumptions!L46/100</f>
        <v>-53670.0882429347</v>
      </c>
    </row>
    <row r="18" customFormat="false" ht="15" hidden="false" customHeight="false" outlineLevel="0" collapsed="false">
      <c r="A18" s="0" t="s">
        <v>122</v>
      </c>
      <c r="C18" s="4" t="n">
        <f aca="false">(C6-B6)*Assumptions!$B$51/100</f>
        <v>-4079.01749999999</v>
      </c>
      <c r="D18" s="4" t="n">
        <f aca="false">(D6-C6)*Assumptions!$B$51/100</f>
        <v>-6689.58870000002</v>
      </c>
      <c r="E18" s="4" t="n">
        <f aca="false">(E6-D6)*Assumptions!$B$51/100</f>
        <v>-6957.17224800002</v>
      </c>
      <c r="F18" s="4" t="n">
        <f aca="false">(F6-E6)*Assumptions!$B$51/100</f>
        <v>-6331.02674568</v>
      </c>
      <c r="G18" s="4" t="n">
        <f aca="false">(G6-F6)*Assumptions!$B$51/100</f>
        <v>-5616.5251558104</v>
      </c>
      <c r="H18" s="4" t="n">
        <f aca="false">(H6-G6)*Assumptions!$B$51/100</f>
        <v>-4820.85075873724</v>
      </c>
      <c r="I18" s="4" t="n">
        <f aca="false">(I6-H6)*Assumptions!$B$51/100</f>
        <v>-3953.09762216457</v>
      </c>
      <c r="J18" s="4" t="n">
        <f aca="false">(J6-I6)*Assumptions!$B$51/100</f>
        <v>-4032.15957460786</v>
      </c>
      <c r="K18" s="4" t="n">
        <f aca="false">(K6-J6)*Assumptions!$B$51/100</f>
        <v>-3084.60207457499</v>
      </c>
      <c r="L18" s="4" t="n">
        <f aca="false">(L6-K6)*Assumptions!$B$51/100</f>
        <v>-3130.87110569361</v>
      </c>
    </row>
    <row r="19" customFormat="false" ht="15" hidden="false" customHeight="false" outlineLevel="0" collapsed="false">
      <c r="A19" s="0" t="s">
        <v>123</v>
      </c>
      <c r="C19" s="0" t="n">
        <f aca="false">C15+C16+C17+C18</f>
        <v>31944.4176495</v>
      </c>
      <c r="D19" s="0" t="n">
        <f aca="false">D15+D16+D17+D18</f>
        <v>34693.99088852</v>
      </c>
      <c r="E19" s="0" t="n">
        <f aca="false">E15+E16+E17+E18</f>
        <v>40917.449047904</v>
      </c>
      <c r="F19" s="0" t="n">
        <f aca="false">F15+F16+F17+F18</f>
        <v>45465.8163579048</v>
      </c>
      <c r="G19" s="0" t="n">
        <f aca="false">G15+G16+G17+G18</f>
        <v>50819.5677264738</v>
      </c>
      <c r="H19" s="0" t="n">
        <f aca="false">H15+H16+H17+H18</f>
        <v>55266.233098164</v>
      </c>
      <c r="I19" s="0" t="n">
        <f aca="false">I15+I16+I17+I18</f>
        <v>57335.7279118747</v>
      </c>
      <c r="J19" s="0" t="n">
        <f aca="false">J15+J16+J17+J18</f>
        <v>58482.4424701122</v>
      </c>
      <c r="K19" s="0" t="n">
        <f aca="false">K15+K16+K17+K18</f>
        <v>60367.7190008158</v>
      </c>
      <c r="L19" s="0" t="n">
        <f aca="false">L15+L16+L17+L18</f>
        <v>61273.2347858281</v>
      </c>
    </row>
    <row r="20" customFormat="false" ht="15" hidden="false" customHeight="false" outlineLevel="0" collapsed="false">
      <c r="A20" s="0" t="s">
        <v>124</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125</v>
      </c>
      <c r="C21" s="0" t="n">
        <f aca="false">C19*C20</f>
        <v>29715.7373483721</v>
      </c>
      <c r="D21" s="0" t="n">
        <f aca="false">D19*D20</f>
        <v>30021.8417639978</v>
      </c>
      <c r="E21" s="0" t="n">
        <f aca="false">E19*E20</f>
        <v>32936.933088481</v>
      </c>
      <c r="F21" s="0" t="n">
        <f aca="false">F19*F20</f>
        <v>34044.8273755145</v>
      </c>
      <c r="G21" s="0" t="n">
        <f aca="false">G19*G20</f>
        <v>35398.8085921767</v>
      </c>
      <c r="H21" s="0" t="n">
        <f aca="false">H19*H20</f>
        <v>35810.3923181394</v>
      </c>
      <c r="I21" s="0" t="n">
        <f aca="false">I19*I20</f>
        <v>34559.39099543</v>
      </c>
      <c r="J21" s="0" t="n">
        <f aca="false">J19*J20</f>
        <v>32791.2361072918</v>
      </c>
      <c r="K21" s="0" t="n">
        <f aca="false">K19*K20</f>
        <v>31486.8045289501</v>
      </c>
      <c r="L21" s="0" t="n">
        <f aca="false">L19*L20</f>
        <v>29729.4014854739</v>
      </c>
    </row>
    <row r="23" customFormat="false" ht="15" hidden="false" customHeight="false" outlineLevel="0" collapsed="false">
      <c r="A23" s="0" t="s">
        <v>101</v>
      </c>
      <c r="C23" s="4" t="n">
        <f aca="false">Assumptions!C44</f>
        <v>2.1</v>
      </c>
      <c r="D23" s="4" t="n">
        <f aca="false">Assumptions!D44</f>
        <v>2</v>
      </c>
      <c r="E23" s="4" t="n">
        <f aca="false">Assumptions!E44</f>
        <v>1.95</v>
      </c>
      <c r="F23" s="4" t="n">
        <f aca="false">Assumptions!F44</f>
        <v>1.9</v>
      </c>
      <c r="G23" s="4" t="n">
        <f aca="false">Assumptions!G44</f>
        <v>1.9</v>
      </c>
      <c r="H23" s="4" t="n">
        <f aca="false">Assumptions!H44</f>
        <v>1.9</v>
      </c>
      <c r="I23" s="4" t="n">
        <f aca="false">Assumptions!I44</f>
        <v>1.9</v>
      </c>
      <c r="J23" s="4" t="n">
        <f aca="false">Assumptions!J44</f>
        <v>1.9</v>
      </c>
      <c r="K23" s="4" t="n">
        <f aca="false">Assumptions!K44</f>
        <v>1.9</v>
      </c>
      <c r="L23" s="4" t="n">
        <f aca="false">Assumptions!L44</f>
        <v>1.9</v>
      </c>
    </row>
    <row r="24" customFormat="false" ht="15" hidden="false" customHeight="false" outlineLevel="0" collapsed="false">
      <c r="A24" s="0" t="s">
        <v>126</v>
      </c>
      <c r="C24" s="0" t="n">
        <f aca="false">-C6*C23/100</f>
        <v>-23413.56045</v>
      </c>
      <c r="D24" s="0" t="n">
        <f aca="false">-D6*D23/100</f>
        <v>-23190.57416</v>
      </c>
      <c r="E24" s="0" t="n">
        <f aca="false">-E6*E23/100</f>
        <v>-23515.24219824</v>
      </c>
      <c r="F24" s="0" t="n">
        <f aca="false">-F6*F23/100</f>
        <v>-23714.2173245328</v>
      </c>
      <c r="G24" s="0" t="n">
        <f aca="false">-G6*G23/100</f>
        <v>-24425.6438442688</v>
      </c>
      <c r="H24" s="0" t="n">
        <f aca="false">-H6*H23/100</f>
        <v>-25036.2849403755</v>
      </c>
      <c r="I24" s="0" t="n">
        <f aca="false">-I6*I23/100</f>
        <v>-25537.010639183</v>
      </c>
      <c r="J24" s="0" t="n">
        <f aca="false">-J6*J23/100</f>
        <v>-26047.7508519667</v>
      </c>
      <c r="K24" s="0" t="n">
        <f aca="false">-K6*K23/100</f>
        <v>-26438.4671147462</v>
      </c>
      <c r="L24" s="0" t="n">
        <f aca="false">-L6*L23/100</f>
        <v>-26835.0441214674</v>
      </c>
    </row>
    <row r="26" customFormat="false" ht="15" hidden="false" customHeight="false" outlineLevel="0" collapsed="false">
      <c r="A26" s="2" t="s">
        <v>127</v>
      </c>
    </row>
    <row r="27" customFormat="false" ht="15" hidden="false" customHeight="false" outlineLevel="0" collapsed="false">
      <c r="A27" s="0" t="s">
        <v>105</v>
      </c>
      <c r="B27" s="4" t="n">
        <f aca="false">Assumptions!$B$48</f>
        <v>7.5</v>
      </c>
    </row>
    <row r="28" customFormat="false" ht="15" hidden="false" customHeight="false" outlineLevel="0" collapsed="false">
      <c r="A28" s="0" t="s">
        <v>106</v>
      </c>
      <c r="B28" s="4" t="n">
        <f aca="false">Assumptions!$B$49</f>
        <v>1.5</v>
      </c>
    </row>
    <row r="29" customFormat="false" ht="15" hidden="false" customHeight="false" outlineLevel="0" collapsed="false">
      <c r="A29" s="0" t="s">
        <v>107</v>
      </c>
      <c r="B29" s="4" t="n">
        <f aca="false">Assumptions!$B$50</f>
        <v>13</v>
      </c>
    </row>
    <row r="30" customFormat="false" ht="15" hidden="false" customHeight="false" outlineLevel="0" collapsed="false">
      <c r="A30" s="0" t="s">
        <v>128</v>
      </c>
      <c r="B30" s="0" t="n">
        <f aca="false">SUM(C21:L21)</f>
        <v>326495.373603827</v>
      </c>
    </row>
    <row r="31" customFormat="false" ht="15" hidden="false" customHeight="false" outlineLevel="0" collapsed="false">
      <c r="A31" s="0" t="s">
        <v>129</v>
      </c>
      <c r="B31" s="0" t="n">
        <f aca="false">L19</f>
        <v>61273.2347858281</v>
      </c>
    </row>
    <row r="32" customFormat="false" ht="15" hidden="false" customHeight="false" outlineLevel="0" collapsed="false">
      <c r="A32" s="0" t="s">
        <v>130</v>
      </c>
      <c r="B32" s="0" t="n">
        <f aca="false">IF(B27&gt;B28,B31*(1+B28/100)/((B27-B28)/100),B31*B29)</f>
        <v>1036538.88846026</v>
      </c>
    </row>
    <row r="33" customFormat="false" ht="15" hidden="false" customHeight="false" outlineLevel="0" collapsed="false">
      <c r="A33" s="0" t="s">
        <v>131</v>
      </c>
      <c r="B33" s="0" t="n">
        <f aca="false">B31*B29</f>
        <v>796552.052215765</v>
      </c>
    </row>
    <row r="34" customFormat="false" ht="15" hidden="false" customHeight="false" outlineLevel="0" collapsed="false">
      <c r="A34" s="0" t="s">
        <v>132</v>
      </c>
      <c r="B34" s="0" t="n">
        <f aca="false">MAX(0,MIN(B32,B33))</f>
        <v>796552.052215765</v>
      </c>
    </row>
    <row r="35" customFormat="false" ht="15" hidden="false" customHeight="false" outlineLevel="0" collapsed="false">
      <c r="A35" s="0" t="s">
        <v>133</v>
      </c>
      <c r="B35" s="0" t="n">
        <f aca="false">B34/(1+B27/100)^L4</f>
        <v>386482.21931116</v>
      </c>
    </row>
    <row r="36" customFormat="false" ht="15" hidden="false" customHeight="false" outlineLevel="0" collapsed="false">
      <c r="A36" s="0" t="s">
        <v>134</v>
      </c>
      <c r="B36" s="0" t="n">
        <f aca="false">B30+B35</f>
        <v>712977.592914988</v>
      </c>
    </row>
    <row r="37" customFormat="false" ht="15" hidden="false" customHeight="false" outlineLevel="0" collapsed="false">
      <c r="A37" s="0" t="s">
        <v>135</v>
      </c>
      <c r="B37" s="0" t="n">
        <f aca="false">B36+Assumptions!$B$5-Assumptions!$B$4</f>
        <v>508030.592914988</v>
      </c>
    </row>
    <row r="38" customFormat="false" ht="15" hidden="false" customHeight="false" outlineLevel="0" collapsed="false">
      <c r="A38" s="0" t="s">
        <v>136</v>
      </c>
      <c r="B38" s="0" t="n">
        <f aca="false">B37/Assumptions!$B$3*Assumptions!$B$10</f>
        <v>1024.87511179138</v>
      </c>
    </row>
    <row r="39" customFormat="false" ht="15" hidden="false" customHeight="false" outlineLevel="0" collapsed="false">
      <c r="A39" s="0" t="s">
        <v>137</v>
      </c>
      <c r="B39" s="4" t="n">
        <f aca="false">B38/Assumptions!$B$2-1</f>
        <v>0.541397370719478</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1024.87511179138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460683.950426782</v>
      </c>
    </row>
    <row r="47" customFormat="false" ht="15" hidden="false" customHeight="false" outlineLevel="0" collapsed="false">
      <c r="A47" s="0" t="s">
        <v>142</v>
      </c>
      <c r="B47" s="0" t="n">
        <f aca="false">(SUMPRODUCT(C19:L19/(1+B45/100)^C4:L4)+B46/(1+B45/100)^L4+Assumptions!$B$5-Assumptions!$B$4)/Assumptions!$B$3*Assumptions!$B$10</f>
        <v>278.3451287293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220.24273992056</v>
      </c>
      <c r="C4" s="0" t="n">
        <f aca="false">B4/Assumptions!$B$2-1</f>
        <v>-0.668758099081727</v>
      </c>
      <c r="D4" s="4" t="n">
        <f aca="false">Assumptions!$B$24</f>
        <v>0.3</v>
      </c>
      <c r="E4" s="4" t="n">
        <f aca="false">DCF_Bear!$B$43</f>
        <v>220.24273992056</v>
      </c>
      <c r="F4" s="4" t="n">
        <f aca="false">DCF_Bear!$B$47</f>
        <v>-40.5332225673627</v>
      </c>
    </row>
    <row r="5" customFormat="false" ht="15" hidden="false" customHeight="false" outlineLevel="0" collapsed="false">
      <c r="A5" s="0" t="s">
        <v>151</v>
      </c>
      <c r="B5" s="4" t="n">
        <f aca="false">DCF_Base!$B$38</f>
        <v>639.878536495401</v>
      </c>
      <c r="C5" s="0" t="n">
        <f aca="false">B5/Assumptions!$B$2-1</f>
        <v>-0.037631919844487</v>
      </c>
      <c r="D5" s="4" t="n">
        <f aca="false">Assumptions!$B$38</f>
        <v>0.5</v>
      </c>
      <c r="E5" s="4" t="n">
        <f aca="false">DCF_Base!$B$43</f>
        <v>639.878536495401</v>
      </c>
      <c r="F5" s="4" t="n">
        <f aca="false">DCF_Base!$B$47</f>
        <v>129.748184638789</v>
      </c>
    </row>
    <row r="6" customFormat="false" ht="15" hidden="false" customHeight="false" outlineLevel="0" collapsed="false">
      <c r="A6" s="0" t="s">
        <v>152</v>
      </c>
      <c r="B6" s="4" t="n">
        <f aca="false">DCF_Bull!$B$38</f>
        <v>1024.87511179138</v>
      </c>
      <c r="C6" s="0" t="n">
        <f aca="false">B6/Assumptions!$B$2-1</f>
        <v>0.541397370719478</v>
      </c>
      <c r="D6" s="4" t="n">
        <f aca="false">Assumptions!$B$52</f>
        <v>0.2</v>
      </c>
      <c r="E6" s="4" t="n">
        <f aca="false">DCF_Bull!$B$43</f>
        <v>1024.87511179138</v>
      </c>
      <c r="F6" s="4" t="n">
        <f aca="false">DCF_Bull!$B$47</f>
        <v>278.3451287293</v>
      </c>
    </row>
    <row r="8" customFormat="false" ht="15" hidden="false" customHeight="false" outlineLevel="0" collapsed="false">
      <c r="A8" s="0" t="s">
        <v>153</v>
      </c>
      <c r="B8" s="0" t="n">
        <f aca="false">SUMPRODUCT(B4:B6,D4:D6)</f>
        <v>590.987112582144</v>
      </c>
    </row>
    <row r="9" customFormat="false" ht="15" hidden="false" customHeight="false" outlineLevel="0" collapsed="false">
      <c r="A9" s="0" t="s">
        <v>154</v>
      </c>
      <c r="B9" s="0" t="n">
        <f aca="false">SUMPRODUCT(E4:E6,D4:D6)</f>
        <v>590.987112582144</v>
      </c>
    </row>
    <row r="10" customFormat="false" ht="15" hidden="false" customHeight="false" outlineLevel="0" collapsed="false">
      <c r="A10" s="0" t="s">
        <v>155</v>
      </c>
      <c r="B10" s="0" t="n">
        <f aca="false">1-Assumptions!$B$2/B8</f>
        <v>-0.125066834528616</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108.383151295046</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639.878536495401</v>
      </c>
      <c r="C15" s="3" t="n">
        <v>7.5</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536.153566208196</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447.773050432466</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358.467309683135</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285.523575847237</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129.748184638789</v>
      </c>
      <c r="C20" s="3" t="n">
        <v>15</v>
      </c>
    </row>
    <row r="22" customFormat="false" ht="15" hidden="false" customHeight="false" outlineLevel="0" collapsed="false">
      <c r="A22" s="2" t="s">
        <v>166</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802.412932962989</v>
      </c>
      <c r="C24" s="0" t="n">
        <f aca="false">(SUMPRODUCT(DCF_Base!$C$19:$L$19/(1+$A$24/100)^DCF_Base!$C$4:$L$4)+MAX(0,MIN(IF($A$24&gt;$C$23,DCF_Base!$L$19*(1+$C$23/100)/(($A$24-$C$23)/100),DCF_Base!$L$19*DCF_Base!$B$29),DCF_Base!$L$19*DCF_Base!$B$29))/(1+$A$24/100)^DCF_Base!$L$4+Assumptions!$B$5-Assumptions!$B$4)/Assumptions!$B$3*Assumptions!$B$10</f>
        <v>802.412932962989</v>
      </c>
      <c r="D24" s="0" t="n">
        <f aca="false">(SUMPRODUCT(DCF_Base!$C$19:$L$19/(1+$A$24/100)^DCF_Base!$C$4:$L$4)+MAX(0,MIN(IF($A$24&gt;$D$23,DCF_Base!$L$19*(1+$D$23/100)/(($A$24-$D$23)/100),DCF_Base!$L$19*DCF_Base!$B$29),DCF_Base!$L$19*DCF_Base!$B$29))/(1+$A$24/100)^DCF_Base!$L$4+Assumptions!$B$5-Assumptions!$B$4)/Assumptions!$B$3*Assumptions!$B$10</f>
        <v>802.412932962989</v>
      </c>
      <c r="E24" s="0" t="n">
        <f aca="false">(SUMPRODUCT(DCF_Base!$C$19:$L$19/(1+$A$24/100)^DCF_Base!$C$4:$L$4)+MAX(0,MIN(IF($A$24&gt;$E$23,DCF_Base!$L$19*(1+$E$23/100)/(($A$24-$E$23)/100),DCF_Base!$L$19*DCF_Base!$B$29),DCF_Base!$L$19*DCF_Base!$B$29))/(1+$A$24/100)^DCF_Base!$L$4+Assumptions!$B$5-Assumptions!$B$4)/Assumptions!$B$3*Assumptions!$B$10</f>
        <v>802.412932962989</v>
      </c>
      <c r="F24" s="0" t="n">
        <f aca="false">(SUMPRODUCT(DCF_Base!$C$19:$L$19/(1+$A$24/100)^DCF_Base!$C$4:$L$4)+MAX(0,MIN(IF($A$24&gt;$F$23,DCF_Base!$L$19*(1+$F$23/100)/(($A$24-$F$23)/100),DCF_Base!$L$19*DCF_Base!$B$29),DCF_Base!$L$19*DCF_Base!$B$29))/(1+$A$24/100)^DCF_Base!$L$4+Assumptions!$B$5-Assumptions!$B$4)/Assumptions!$B$3*Assumptions!$B$10</f>
        <v>802.412932962989</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717.371936064931</v>
      </c>
      <c r="C25" s="0" t="n">
        <f aca="false">(SUMPRODUCT(DCF_Base!$C$19:$L$19/(1+$A$25/100)^DCF_Base!$C$4:$L$4)+MAX(0,MIN(IF($A$25&gt;$C$23,DCF_Base!$L$19*(1+$C$23/100)/(($A$25-$C$23)/100),DCF_Base!$L$19*DCF_Base!$B$29),DCF_Base!$L$19*DCF_Base!$B$29))/(1+$A$25/100)^DCF_Base!$L$4+Assumptions!$B$5-Assumptions!$B$4)/Assumptions!$B$3*Assumptions!$B$10</f>
        <v>717.371936064931</v>
      </c>
      <c r="D25" s="0" t="n">
        <f aca="false">(SUMPRODUCT(DCF_Base!$C$19:$L$19/(1+$A$25/100)^DCF_Base!$C$4:$L$4)+MAX(0,MIN(IF($A$25&gt;$D$23,DCF_Base!$L$19*(1+$D$23/100)/(($A$25-$D$23)/100),DCF_Base!$L$19*DCF_Base!$B$29),DCF_Base!$L$19*DCF_Base!$B$29))/(1+$A$25/100)^DCF_Base!$L$4+Assumptions!$B$5-Assumptions!$B$4)/Assumptions!$B$3*Assumptions!$B$10</f>
        <v>717.371936064931</v>
      </c>
      <c r="E25" s="0" t="n">
        <f aca="false">(SUMPRODUCT(DCF_Base!$C$19:$L$19/(1+$A$25/100)^DCF_Base!$C$4:$L$4)+MAX(0,MIN(IF($A$25&gt;$E$23,DCF_Base!$L$19*(1+$E$23/100)/(($A$25-$E$23)/100),DCF_Base!$L$19*DCF_Base!$B$29),DCF_Base!$L$19*DCF_Base!$B$29))/(1+$A$25/100)^DCF_Base!$L$4+Assumptions!$B$5-Assumptions!$B$4)/Assumptions!$B$3*Assumptions!$B$10</f>
        <v>717.371936064931</v>
      </c>
      <c r="F25" s="0" t="n">
        <f aca="false">(SUMPRODUCT(DCF_Base!$C$19:$L$19/(1+$A$25/100)^DCF_Base!$C$4:$L$4)+MAX(0,MIN(IF($A$25&gt;$F$23,DCF_Base!$L$19*(1+$F$23/100)/(($A$25-$F$23)/100),DCF_Base!$L$19*DCF_Base!$B$29),DCF_Base!$L$19*DCF_Base!$B$29))/(1+$A$25/100)^DCF_Base!$L$4+Assumptions!$B$5-Assumptions!$B$4)/Assumptions!$B$3*Assumptions!$B$10</f>
        <v>717.371936064931</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639.878536495401</v>
      </c>
      <c r="C26" s="0" t="n">
        <f aca="false">(SUMPRODUCT(DCF_Base!$C$19:$L$19/(1+$A$26/100)^DCF_Base!$C$4:$L$4)+MAX(0,MIN(IF($A$26&gt;$C$23,DCF_Base!$L$19*(1+$C$23/100)/(($A$26-$C$23)/100),DCF_Base!$L$19*DCF_Base!$B$29),DCF_Base!$L$19*DCF_Base!$B$29))/(1+$A$26/100)^DCF_Base!$L$4+Assumptions!$B$5-Assumptions!$B$4)/Assumptions!$B$3*Assumptions!$B$10</f>
        <v>639.878536495401</v>
      </c>
      <c r="D26" s="0" t="n">
        <f aca="false">(SUMPRODUCT(DCF_Base!$C$19:$L$19/(1+$A$26/100)^DCF_Base!$C$4:$L$4)+MAX(0,MIN(IF($A$26&gt;$D$23,DCF_Base!$L$19*(1+$D$23/100)/(($A$26-$D$23)/100),DCF_Base!$L$19*DCF_Base!$B$29),DCF_Base!$L$19*DCF_Base!$B$29))/(1+$A$26/100)^DCF_Base!$L$4+Assumptions!$B$5-Assumptions!$B$4)/Assumptions!$B$3*Assumptions!$B$10</f>
        <v>639.878536495401</v>
      </c>
      <c r="E26" s="0" t="n">
        <f aca="false">(SUMPRODUCT(DCF_Base!$C$19:$L$19/(1+$A$26/100)^DCF_Base!$C$4:$L$4)+MAX(0,MIN(IF($A$26&gt;$E$23,DCF_Base!$L$19*(1+$E$23/100)/(($A$26-$E$23)/100),DCF_Base!$L$19*DCF_Base!$B$29),DCF_Base!$L$19*DCF_Base!$B$29))/(1+$A$26/100)^DCF_Base!$L$4+Assumptions!$B$5-Assumptions!$B$4)/Assumptions!$B$3*Assumptions!$B$10</f>
        <v>639.878536495401</v>
      </c>
      <c r="F26" s="0" t="n">
        <f aca="false">(SUMPRODUCT(DCF_Base!$C$19:$L$19/(1+$A$26/100)^DCF_Base!$C$4:$L$4)+MAX(0,MIN(IF($A$26&gt;$F$23,DCF_Base!$L$19*(1+$F$23/100)/(($A$26-$F$23)/100),DCF_Base!$L$19*DCF_Base!$B$29),DCF_Base!$L$19*DCF_Base!$B$29))/(1+$A$26/100)^DCF_Base!$L$4+Assumptions!$B$5-Assumptions!$B$4)/Assumptions!$B$3*Assumptions!$B$10</f>
        <v>639.878536495401</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559.936815104405</v>
      </c>
      <c r="C27" s="0" t="n">
        <f aca="false">(SUMPRODUCT(DCF_Base!$C$19:$L$19/(1+$A$27/100)^DCF_Base!$C$4:$L$4)+MAX(0,MIN(IF($A$27&gt;$C$23,DCF_Base!$L$19*(1+$C$23/100)/(($A$27-$C$23)/100),DCF_Base!$L$19*DCF_Base!$B$29),DCF_Base!$L$19*DCF_Base!$B$29))/(1+$A$27/100)^DCF_Base!$L$4+Assumptions!$B$5-Assumptions!$B$4)/Assumptions!$B$3*Assumptions!$B$10</f>
        <v>569.173990322138</v>
      </c>
      <c r="D27" s="0" t="n">
        <f aca="false">(SUMPRODUCT(DCF_Base!$C$19:$L$19/(1+$A$27/100)^DCF_Base!$C$4:$L$4)+MAX(0,MIN(IF($A$27&gt;$D$23,DCF_Base!$L$19*(1+$D$23/100)/(($A$27-$D$23)/100),DCF_Base!$L$19*DCF_Base!$B$29),DCF_Base!$L$19*DCF_Base!$B$29))/(1+$A$27/100)^DCF_Base!$L$4+Assumptions!$B$5-Assumptions!$B$4)/Assumptions!$B$3*Assumptions!$B$10</f>
        <v>569.173990322138</v>
      </c>
      <c r="E27" s="0" t="n">
        <f aca="false">(SUMPRODUCT(DCF_Base!$C$19:$L$19/(1+$A$27/100)^DCF_Base!$C$4:$L$4)+MAX(0,MIN(IF($A$27&gt;$E$23,DCF_Base!$L$19*(1+$E$23/100)/(($A$27-$E$23)/100),DCF_Base!$L$19*DCF_Base!$B$29),DCF_Base!$L$19*DCF_Base!$B$29))/(1+$A$27/100)^DCF_Base!$L$4+Assumptions!$B$5-Assumptions!$B$4)/Assumptions!$B$3*Assumptions!$B$10</f>
        <v>569.173990322138</v>
      </c>
      <c r="F27" s="0" t="n">
        <f aca="false">(SUMPRODUCT(DCF_Base!$C$19:$L$19/(1+$A$27/100)^DCF_Base!$C$4:$L$4)+MAX(0,MIN(IF($A$27&gt;$F$23,DCF_Base!$L$19*(1+$F$23/100)/(($A$27-$F$23)/100),DCF_Base!$L$19*DCF_Base!$B$29),DCF_Base!$L$19*DCF_Base!$B$29))/(1+$A$27/100)^DCF_Base!$L$4+Assumptions!$B$5-Assumptions!$B$4)/Assumptions!$B$3*Assumptions!$B$10</f>
        <v>569.173990322138</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451.800788866677</v>
      </c>
      <c r="C28" s="0" t="n">
        <f aca="false">(SUMPRODUCT(DCF_Base!$C$19:$L$19/(1+$A$28/100)^DCF_Base!$C$4:$L$4)+MAX(0,MIN(IF($A$28&gt;$C$23,DCF_Base!$L$19*(1+$C$23/100)/(($A$28-$C$23)/100),DCF_Base!$L$19*DCF_Base!$B$29),DCF_Base!$L$19*DCF_Base!$B$29))/(1+$A$28/100)^DCF_Base!$L$4+Assumptions!$B$5-Assumptions!$B$4)/Assumptions!$B$3*Assumptions!$B$10</f>
        <v>474.735977196555</v>
      </c>
      <c r="D28" s="0" t="n">
        <f aca="false">(SUMPRODUCT(DCF_Base!$C$19:$L$19/(1+$A$28/100)^DCF_Base!$C$4:$L$4)+MAX(0,MIN(IF($A$28&gt;$D$23,DCF_Base!$L$19*(1+$D$23/100)/(($A$28-$D$23)/100),DCF_Base!$L$19*DCF_Base!$B$29),DCF_Base!$L$19*DCF_Base!$B$29))/(1+$A$28/100)^DCF_Base!$L$4+Assumptions!$B$5-Assumptions!$B$4)/Assumptions!$B$3*Assumptions!$B$10</f>
        <v>500.369422977006</v>
      </c>
      <c r="E28" s="0" t="n">
        <f aca="false">(SUMPRODUCT(DCF_Base!$C$19:$L$19/(1+$A$28/100)^DCF_Base!$C$4:$L$4)+MAX(0,MIN(IF($A$28&gt;$E$23,DCF_Base!$L$19*(1+$E$23/100)/(($A$28-$E$23)/100),DCF_Base!$L$19*DCF_Base!$B$29),DCF_Base!$L$19*DCF_Base!$B$29))/(1+$A$28/100)^DCF_Base!$L$4+Assumptions!$B$5-Assumptions!$B$4)/Assumptions!$B$3*Assumptions!$B$10</f>
        <v>504.583140091601</v>
      </c>
      <c r="F28" s="0" t="n">
        <f aca="false">(SUMPRODUCT(DCF_Base!$C$19:$L$19/(1+$A$28/100)^DCF_Base!$C$4:$L$4)+MAX(0,MIN(IF($A$28&gt;$F$23,DCF_Base!$L$19*(1+$F$23/100)/(($A$28-$F$23)/100),DCF_Base!$L$19*DCF_Base!$B$29),DCF_Base!$L$19*DCF_Base!$B$29))/(1+$A$28/100)^DCF_Base!$L$4+Assumptions!$B$5-Assumptions!$B$4)/Assumptions!$B$3*Assumptions!$B$10</f>
        <v>504.583140091601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2026-10-31T06:39:52Z</dcterms:created>
  <dc:creator>openpyxl</dc:creator>
  <dc:description/>
  <dc:language>en-NZ</dc:language>
  <cp:lastModifiedBy/>
  <dcterms:modified xsi:type="dcterms:W3CDTF">2026-10-31T06:39:52Z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