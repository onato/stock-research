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<sst xmlns="http://schemas.openxmlformats.org/spreadsheetml/2006/main" count="356" uniqueCount="167">
  <si>
    <t xml:space="preserve">Ticker</t>
  </si>
  <si>
    <t xml:space="preserve">1378.HK</t>
  </si>
  <si>
    <t xml:space="preserve">Company</t>
  </si>
  <si>
    <t xml:space="preserve">China Hongqiao Group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</si>
  <si>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</si>
  <si>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</si>
  <si>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</si>
  <si>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</si>
  <si>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 16:08 HKT); 52-week range 18.18-41.36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</si>
  <si>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</si>
  <si>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</si>
  <si>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</si>
  <si>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</si>
  <si>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</si>
  <si>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</si>
  <si>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</si>
  <si>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</si>
  <si>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</si>
  <si>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</si>
  <si>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</si>
  <si>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</si>
  <si>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</si>
  <si>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2026-10-16T11:18:47Z</t>
  </si>
  <si>
    <t xml:space="preserve">Drivers file</t>
  </si>
  <si>
    <t xml:space="preserve">1378.HK_Drivers.json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</si>
  <si>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</si>
  <si>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</si>
  <si>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</si>
  <si>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Hongqiao is valued as a volume-capped, vertically integrated aluminium producer on mid-cycle owner FCF, not on the record H1 FY2026 print: the base case fades the clean EBITDA margin from 28% (TTM) to the 23.5% eight-year mean, normalises capex to the RMB9-10bn five-year average, caps the terminal value at 12x FCF, and discounts in CNY at 8.5%. Non-operating assets (associates incl. Simandou at book, loans to associates, CITIC trust products, FVTPL funds with a 25% LP haircut, FVOCI) are added in the bridge because their income is outside the flows; NCI is deducted once at book. The per-share value is computed in CNY and converted to HKD at 1.1727. No-re-rate memo: the stock has historically traded at 4-8x P/E and 3-5x EV/EBITDA; at 5x EV/EBITDA on the RMB40bn mid-cycle EBITDA the equity is ~RMB21/share (~HK$25), which is the price of the no-re-rating view and still above the current quote - the market at 6x TTM P/E and ~3x EV/EBITDA is pricing a permanent FY2022-23-style trough, harsher than this model's bear case.
key_risks_to_valuation: Aluminium price: every 1pp of mid-cycle EBITDA margin is ~RMB1.7bn of EBITDA and roughly RMB1.3/share (HK$1.5) of value; the base 23.5% could be 2-3pp too high if the FY2022-23 trough was the new normal; Alumina oversupply persisting (segment gross margin 35% -&gt; 6% in three periods) with Indonesian capacity still ramping industry-wide; Guinea political risk on the bauxite JV and Simandou, plus the US$1.78bn Simandou funding guarantee that is not modelled as an outflow; China capacity-cap policy loosening, or export-rebate and 'dual carbon' compliance costs compressing fabrication and smelting margins; Bridge quality: RMB45bn of non-operating assets (associates at book, PRC limited partnerships, CITIC Trust products) carry counterparty and valuation risk; a 50% haircut on all of them is ~RMB2.2/share (HK$2.6); CNY/HKD rate: the valuation is in CNY; a 5% CNY depreciation is a 5% cut to the HKD value; Governance: Zhang family control, related-party loans to associates at SOFR+3-5%, and the discount HK-listed private Chinese industrials carry may never close; Re-rating dependence: the house value needs the market to pay ~12x owner FCF at exit against a 10-year history of 2-7x EV/EBITDA and 4-13x P/E; without any re-rating the value is ~HK$25 (see sanity_check_note)</t>
  </si>
  <si>
    <t xml:space="preserve">Data sources</t>
  </si>
  <si>
    <t xml:space="preserve">price: Yahoo Finance chart API at inputs.price_as_of; 52-week range 18.18-41.36; FX CNYHKD=X same source, cross-checked against USDCNY=X and USDHKD=X
financials: research/1378.HK/Reports/1378.HK_Metrics.csv (core_metrics, FY2018-FY2025 annual + H1 FY2023-FY2026 interims); 1378.HK_HalfYear_H1-2026.txt for the 30 June 2026 balance sheet, cash-flow statement, EPS note 10, associates note 13, FVTPL note 16, CB note 28, trust-asset note 29, issued capital note 30; 1378.HK_Annual_FY2018-FY2025.txt for share of associates and the five-year summary
qualitative: research/1378.HK/Reports/1378.HK_Analysis.json (2026-10-17)</t>
  </si>
  <si>
    <t xml:space="preserve">Scenario narrative: bear</t>
  </si>
  <si>
    <t xml:space="preserve">Two-year trough at 16-17% margin on a China demand downturn and ex-China supply, with the recovery capped at 18.5% by policy or Guinea risk; revenue falls 10% in Y2 and only recovers 2%/yr.</t>
  </si>
  <si>
    <t xml:space="preserve">Scenario narrative: base</t>
  </si>
  <si>
    <t xml:space="preserve">Mid-cycle normalisation: 26.5% EBITDA margin in the year to June 2027 fading to the 23.5% eight-year mean by Y3, flat volumes at the 6.46Mt quota, 2.5% nominal growth, capex normalised to RMB9-10bn, terminal value capped at 12x FCF.</t>
  </si>
  <si>
    <t xml:space="preserve">Scenario narrative: bull</t>
  </si>
  <si>
    <t xml:space="preserve">Capacity cap plus Indonesia/Yunnan cost position hold the mid-cycle margin at 26% with 3% nominal growth; aluminium stays structurally tight through the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</si>
  <si>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</si>
  <si>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</si>
  <si>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</si>
  <si>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</si>
  <si>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</si>
  <si>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</si>
  <si>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</si>
  <si>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</si>
  <si>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</si>
  <si>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</si>
  <si>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</si>
  <si>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</si>
  <si>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</si>
  <si>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</si>
  <si>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</si>
  <si>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</si>
  <si>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</si>
  <si>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</si>
  <si>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</si>
  <si>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</si>
  <si>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</si>
  <si>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</si>
  <si>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</si>
  <si>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</si>
  <si>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</si>
  <si>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</si>
  <si>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</si>
  <si>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</si>
  <si>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NetIncomeIncludingNCI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</si>
  <si>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</si>
  <si>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</si>
  <si>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</si>
  <si>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</si>
  <si>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</si>
  <si>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</si>
  <si>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</si>
  <si>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</si>
  <si>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</si>
  <si>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</si>
  <si>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</si>
  <si>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</si>
  <si>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</si>
  <si>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</si>
  <si>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</si>
  <si>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</si>
  <si>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</si>
  <si>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</si>
  <si>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</si>
  <si>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</si>
  <si>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</si>
  <si>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</si>
  <si>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</si>
  <si>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</si>
  <si>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</si>
  <si>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</si>
  <si>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</si>
  <si>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</si>
  <si>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</si>
  <si>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</si>
  <si>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</si>
  <si>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</si>
  <si>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</si>
  <si>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</si>
  <si>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</si>
  <si>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</si>
  <si>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</si>
  <si>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</si>
  <si>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</si>
  <si>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</si>
  <si>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</si>
  <si>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</si>
  <si>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</si>
  <si>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</si>
  <si>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</si>
  <si>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</si>
  <si>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1378.HK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</si>
  <si>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</si>
  <si>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</si>
  <si>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</si>
  <si>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</si>
  <si>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</si>
  <si>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</si>
  <si>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</si>
  <si>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</si>
  <si>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</si>
  <si>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</si>
  <si>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</si>
  <si>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</si>
  <si>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</si>
  <si>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</si>
  <si>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</si>
  <si>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</si>
  <si>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</si>
  <si>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</si>
  <si>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</si>
  <si>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</si>
  <si>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</si>
  <si>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</si>
  <si>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</si>
  <si>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</si>
  <si>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</si>
  <si>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</si>
  <si>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</si>
  <si>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</si>
  <si>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</si>
  <si>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</si>
  <si>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1378.HK owner-FCF component DCF: base case (millions, CNY)</t>
  </si>
  <si>
    <t xml:space="preserve">1378.HK owner-FCF component DCF: bull case (millions, CNY)</t>
  </si>
  <si>
    <t xml:space="preserve">1378.HK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</si>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</sst>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19.64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90194.924</v>
      </c>
      <c r="C2" s="0" t="n">
        <v>74794.362</v>
      </c>
      <c r="D2" s="0" t="n">
        <v>15400.562</v>
      </c>
      <c r="E2" s="0" t="n">
        <v>17.1</v>
      </c>
      <c r="F2" s="0" t="n">
        <v>11941.853</v>
      </c>
      <c r="G2" s="0" t="n">
        <v>13.2</v>
      </c>
      <c r="H2" s="0" t="n">
        <v>19288.429</v>
      </c>
      <c r="I2" s="0" t="n">
        <v>5407.422</v>
      </c>
      <c r="J2" s="0" t="n">
        <v>6</v>
      </c>
      <c r="K2" s="0" t="n">
        <v>0.5936</v>
      </c>
      <c r="L2" s="0" t="n">
        <v>9359.963</v>
      </c>
      <c r="M2" s="0" t="n">
        <v>4168.941</v>
      </c>
      <c r="N2" s="0" t="n">
        <v>5191.022</v>
      </c>
      <c r="O2" s="0" t="n">
        <v>59965.361</v>
      </c>
      <c r="P2" s="0" t="n">
        <v>176726.892</v>
      </c>
      <c r="Q2" s="0" t="n">
        <v>114107.395</v>
      </c>
      <c r="R2" s="0" t="n">
        <v>82484.837</v>
      </c>
      <c r="S2" s="0" t="n">
        <v>45380.413</v>
      </c>
      <c r="T2" s="0" t="n">
        <v>8696.4</v>
      </c>
      <c r="U2" s="0" t="n">
        <v>0</v>
      </c>
      <c r="AA2" s="0" t="s">
        <v>18</v>
      </c>
      <c r="AB2" s="0" t="s">
        <v>14</v>
      </c>
      <c r="AC2" s="0" t="n">
        <v>0.6218</v>
      </c>
      <c r="AD2" s="0" t="n">
        <v>5786.252</v>
      </c>
    </row>
    <row r="3" customFormat="false" ht="15" hidden="false" customHeight="false" outlineLevel="0" collapsed="false">
      <c r="A3" s="0" t="s">
        <v>67</v>
      </c>
      <c r="B3" s="0" t="n">
        <v>84179.288</v>
      </c>
      <c r="C3" s="0" t="n">
        <v>67715.035</v>
      </c>
      <c r="D3" s="0" t="n">
        <v>16464.253</v>
      </c>
      <c r="E3" s="0" t="n">
        <v>19.6</v>
      </c>
      <c r="F3" s="0" t="n">
        <v>13343.24</v>
      </c>
      <c r="G3" s="0" t="n">
        <v>15.9</v>
      </c>
      <c r="H3" s="0" t="n">
        <v>20756.948</v>
      </c>
      <c r="I3" s="0" t="n">
        <v>6095.335</v>
      </c>
      <c r="J3" s="0" t="n">
        <v>7.2</v>
      </c>
      <c r="K3" s="0" t="n">
        <v>0.6979</v>
      </c>
      <c r="L3" s="0" t="n">
        <v>14541.462</v>
      </c>
      <c r="M3" s="0" t="n">
        <v>3228.462</v>
      </c>
      <c r="N3" s="0" t="n">
        <v>11313</v>
      </c>
      <c r="O3" s="0" t="n">
        <v>63164.118</v>
      </c>
      <c r="P3" s="0" t="n">
        <v>179604.445</v>
      </c>
      <c r="Q3" s="0" t="n">
        <v>113588.469</v>
      </c>
      <c r="R3" s="0" t="n">
        <v>78598.804</v>
      </c>
      <c r="S3" s="0" t="n">
        <v>41857.116</v>
      </c>
      <c r="T3" s="0" t="n">
        <v>8600.7</v>
      </c>
      <c r="U3" s="0" t="n">
        <v>0</v>
      </c>
      <c r="AA3" s="0" t="s">
        <v>18</v>
      </c>
      <c r="AB3" s="0" t="s">
        <v>14</v>
      </c>
      <c r="AC3" s="0" t="n">
        <v>0.7087</v>
      </c>
      <c r="AD3" s="0" t="n">
        <v>6455.143</v>
      </c>
    </row>
    <row r="4" customFormat="false" ht="15" hidden="false" customHeight="false" outlineLevel="0" collapsed="false">
      <c r="A4" s="0" t="s">
        <v>68</v>
      </c>
      <c r="B4" s="0" t="n">
        <v>86144.641</v>
      </c>
      <c r="C4" s="0" t="n">
        <v>66789.453</v>
      </c>
      <c r="D4" s="0" t="n">
        <v>19355.188</v>
      </c>
      <c r="E4" s="0" t="n">
        <v>22.5</v>
      </c>
      <c r="F4" s="0" t="n">
        <v>16987.253</v>
      </c>
      <c r="G4" s="0" t="n">
        <v>19.7</v>
      </c>
      <c r="H4" s="0" t="n">
        <v>23888.376</v>
      </c>
      <c r="I4" s="0" t="n">
        <v>10495.936</v>
      </c>
      <c r="J4" s="0" t="n">
        <v>12.2</v>
      </c>
      <c r="K4" s="0" t="n">
        <v>1.221</v>
      </c>
      <c r="L4" s="0" t="n">
        <v>17779.077</v>
      </c>
      <c r="M4" s="0" t="n">
        <v>5267.678</v>
      </c>
      <c r="N4" s="0" t="n">
        <v>12511.399</v>
      </c>
      <c r="O4" s="0" t="n">
        <v>71196.137</v>
      </c>
      <c r="P4" s="0" t="n">
        <v>181531</v>
      </c>
      <c r="Q4" s="0" t="n">
        <v>104729.33</v>
      </c>
      <c r="R4" s="0" t="n">
        <v>74839.183</v>
      </c>
      <c r="S4" s="0" t="n">
        <v>45465.361</v>
      </c>
      <c r="T4" s="0" t="n">
        <v>8596.2</v>
      </c>
      <c r="U4" s="0" t="n">
        <v>0</v>
      </c>
      <c r="AA4" s="0" t="s">
        <v>18</v>
      </c>
      <c r="AB4" s="0" t="s">
        <v>14</v>
      </c>
      <c r="AC4" s="0" t="n">
        <v>1.221</v>
      </c>
      <c r="AD4" s="0" t="n">
        <v>10444.751</v>
      </c>
    </row>
    <row r="5" customFormat="false" ht="15" hidden="false" customHeight="false" outlineLevel="0" collapsed="false">
      <c r="A5" s="0" t="s">
        <v>69</v>
      </c>
      <c r="B5" s="0" t="n">
        <v>114490.941</v>
      </c>
      <c r="C5" s="0" t="n">
        <v>84037.845</v>
      </c>
      <c r="D5" s="0" t="n">
        <v>30453.096</v>
      </c>
      <c r="E5" s="0" t="n">
        <v>26.6</v>
      </c>
      <c r="F5" s="0" t="n">
        <v>26235.195</v>
      </c>
      <c r="G5" s="0" t="n">
        <v>22.9</v>
      </c>
      <c r="H5" s="0" t="n">
        <v>32947.899</v>
      </c>
      <c r="I5" s="0" t="n">
        <v>16073.342</v>
      </c>
      <c r="J5" s="0" t="n">
        <v>14</v>
      </c>
      <c r="K5" s="0" t="n">
        <v>1.7119</v>
      </c>
      <c r="L5" s="0" t="n">
        <v>28649.525</v>
      </c>
      <c r="M5" s="0" t="n">
        <v>5999.147</v>
      </c>
      <c r="N5" s="0" t="n">
        <v>22650.378</v>
      </c>
      <c r="O5" s="0" t="n">
        <v>81307.795</v>
      </c>
      <c r="P5" s="0" t="n">
        <v>188420.922</v>
      </c>
      <c r="Q5" s="0" t="n">
        <v>95982.093</v>
      </c>
      <c r="R5" s="0" t="n">
        <v>60350.533</v>
      </c>
      <c r="S5" s="0" t="n">
        <v>49227.282</v>
      </c>
      <c r="T5" s="0" t="n">
        <v>9070.7</v>
      </c>
      <c r="U5" s="0" t="n">
        <v>0</v>
      </c>
      <c r="AA5" s="0" t="s">
        <v>18</v>
      </c>
      <c r="AB5" s="0" t="s">
        <v>14</v>
      </c>
      <c r="AC5" s="0" t="n">
        <v>1.772</v>
      </c>
      <c r="AD5" s="0" t="n">
        <v>16848.799</v>
      </c>
    </row>
    <row r="6" customFormat="false" ht="15" hidden="false" customHeight="false" outlineLevel="0" collapsed="false">
      <c r="A6" s="0" t="s">
        <v>70</v>
      </c>
      <c r="B6" s="0" t="n">
        <v>131699.427</v>
      </c>
      <c r="C6" s="0" t="n">
        <v>113460.127</v>
      </c>
      <c r="D6" s="0" t="n">
        <v>18239.3</v>
      </c>
      <c r="E6" s="0" t="n">
        <v>13.8</v>
      </c>
      <c r="F6" s="0" t="n">
        <v>15307.748</v>
      </c>
      <c r="G6" s="0" t="n">
        <v>11.6</v>
      </c>
      <c r="H6" s="0" t="n">
        <v>22258.807</v>
      </c>
      <c r="I6" s="0" t="n">
        <v>8701.953</v>
      </c>
      <c r="J6" s="0" t="n">
        <v>6.6</v>
      </c>
      <c r="K6" s="0" t="n">
        <v>0.9358</v>
      </c>
      <c r="L6" s="0" t="n">
        <v>7621.836</v>
      </c>
      <c r="M6" s="0" t="n">
        <v>8848.359</v>
      </c>
      <c r="N6" s="0" t="n">
        <v>-1226.523</v>
      </c>
      <c r="O6" s="0" t="n">
        <v>84498.853</v>
      </c>
      <c r="P6" s="0" t="n">
        <v>185741.791</v>
      </c>
      <c r="Q6" s="0" t="n">
        <v>89436.014</v>
      </c>
      <c r="R6" s="0" t="n">
        <v>59669.893</v>
      </c>
      <c r="S6" s="0" t="n">
        <v>27384.542</v>
      </c>
      <c r="T6" s="0" t="n">
        <v>9298.9</v>
      </c>
      <c r="U6" s="0" t="n">
        <v>0</v>
      </c>
      <c r="AA6" s="0" t="s">
        <v>18</v>
      </c>
      <c r="AB6" s="0" t="s">
        <v>14</v>
      </c>
      <c r="AC6" s="0" t="n">
        <v>0.9358</v>
      </c>
      <c r="AD6" s="0" t="n">
        <v>9808.975</v>
      </c>
    </row>
    <row r="7" customFormat="false" ht="15" hidden="false" customHeight="false" outlineLevel="0" collapsed="false">
      <c r="A7" s="0" t="s">
        <v>71</v>
      </c>
      <c r="B7" s="0" t="n">
        <v>133623.632</v>
      </c>
      <c r="C7" s="0" t="n">
        <v>112669.035</v>
      </c>
      <c r="D7" s="0" t="n">
        <v>20954.597</v>
      </c>
      <c r="E7" s="0" t="n">
        <v>15.7</v>
      </c>
      <c r="F7" s="0" t="n">
        <v>18014.187</v>
      </c>
      <c r="G7" s="0" t="n">
        <v>13.5</v>
      </c>
      <c r="H7" s="0" t="n">
        <v>25200.222</v>
      </c>
      <c r="I7" s="0" t="n">
        <v>11460.678</v>
      </c>
      <c r="J7" s="0" t="n">
        <v>8.6</v>
      </c>
      <c r="K7" s="0" t="n">
        <v>1.1952</v>
      </c>
      <c r="L7" s="0" t="n">
        <v>22402.302</v>
      </c>
      <c r="M7" s="0" t="n">
        <v>6046.33</v>
      </c>
      <c r="N7" s="0" t="n">
        <v>16355.972</v>
      </c>
      <c r="O7" s="0" t="n">
        <v>92244.678</v>
      </c>
      <c r="P7" s="0" t="n">
        <v>200320.085</v>
      </c>
      <c r="Q7" s="0" t="n">
        <v>94063.64</v>
      </c>
      <c r="R7" s="0" t="n">
        <v>62909.766</v>
      </c>
      <c r="S7" s="0" t="n">
        <v>31721.122</v>
      </c>
      <c r="T7" s="0" t="n">
        <v>9475.6</v>
      </c>
      <c r="U7" s="0" t="n">
        <v>0</v>
      </c>
      <c r="AA7" s="0" t="s">
        <v>18</v>
      </c>
      <c r="AB7" s="0" t="s">
        <v>14</v>
      </c>
      <c r="AC7" s="0" t="n">
        <v>1.2095</v>
      </c>
      <c r="AD7" s="0" t="n">
        <v>12497.752</v>
      </c>
    </row>
    <row r="8" customFormat="false" ht="15" hidden="false" customHeight="false" outlineLevel="0" collapsed="false">
      <c r="A8" s="0" t="s">
        <v>72</v>
      </c>
      <c r="B8" s="0" t="n">
        <v>156168.72</v>
      </c>
      <c r="C8" s="0" t="n">
        <v>114006.028</v>
      </c>
      <c r="D8" s="0" t="n">
        <v>42162.692</v>
      </c>
      <c r="E8" s="0" t="n">
        <v>27</v>
      </c>
      <c r="F8" s="0" t="n">
        <v>36594.576</v>
      </c>
      <c r="G8" s="0" t="n">
        <v>23.4</v>
      </c>
      <c r="H8" s="0" t="n">
        <v>43162.586</v>
      </c>
      <c r="I8" s="0" t="n">
        <v>22372.331</v>
      </c>
      <c r="J8" s="0" t="n">
        <v>14.3</v>
      </c>
      <c r="K8" s="0" t="n">
        <v>2.3611</v>
      </c>
      <c r="L8" s="0" t="n">
        <v>33982.862</v>
      </c>
      <c r="M8" s="0" t="n">
        <v>12608.507</v>
      </c>
      <c r="N8" s="0" t="n">
        <v>21374.355</v>
      </c>
      <c r="O8" s="0" t="n">
        <v>107799.941</v>
      </c>
      <c r="P8" s="0" t="n">
        <v>229165.032</v>
      </c>
      <c r="Q8" s="0" t="n">
        <v>110551.534</v>
      </c>
      <c r="R8" s="0" t="n">
        <v>70885.032</v>
      </c>
      <c r="S8" s="0" t="n">
        <v>44770.241</v>
      </c>
      <c r="T8" s="0" t="n">
        <v>9475.4</v>
      </c>
      <c r="U8" s="0" t="n">
        <v>0</v>
      </c>
      <c r="AA8" s="0" t="s">
        <v>18</v>
      </c>
      <c r="AB8" s="0" t="s">
        <v>14</v>
      </c>
      <c r="AC8" s="0" t="n">
        <v>2.3611</v>
      </c>
      <c r="AD8" s="0" t="n">
        <v>24545.693</v>
      </c>
    </row>
    <row r="9" customFormat="false" ht="15" hidden="false" customHeight="false" outlineLevel="0" collapsed="false">
      <c r="A9" s="0" t="s">
        <v>73</v>
      </c>
      <c r="B9" s="0" t="n">
        <v>162353.725</v>
      </c>
      <c r="C9" s="0" t="n">
        <v>120848.476</v>
      </c>
      <c r="D9" s="0" t="n">
        <v>41505.249</v>
      </c>
      <c r="E9" s="0" t="n">
        <v>25.6</v>
      </c>
      <c r="F9" s="0" t="n">
        <v>37682.886</v>
      </c>
      <c r="G9" s="0" t="n">
        <v>23.2</v>
      </c>
      <c r="H9" s="0" t="n">
        <v>44718.458</v>
      </c>
      <c r="I9" s="0" t="n">
        <v>22636.105</v>
      </c>
      <c r="J9" s="0" t="n">
        <v>13.9</v>
      </c>
      <c r="K9" s="0" t="n">
        <v>2.3842</v>
      </c>
      <c r="L9" s="0" t="n">
        <v>38995.459</v>
      </c>
      <c r="M9" s="0" t="n">
        <v>10656.667</v>
      </c>
      <c r="N9" s="0" t="n">
        <v>28338.792</v>
      </c>
      <c r="O9" s="0" t="n">
        <v>132593.035</v>
      </c>
      <c r="P9" s="0" t="n">
        <v>245379.016</v>
      </c>
      <c r="Q9" s="0" t="n">
        <v>103668.524</v>
      </c>
      <c r="R9" s="0" t="n">
        <v>71510.605</v>
      </c>
      <c r="S9" s="0" t="n">
        <v>51187.377</v>
      </c>
      <c r="T9" s="0" t="n">
        <v>9494.2</v>
      </c>
      <c r="U9" s="0" t="n">
        <v>0</v>
      </c>
      <c r="AA9" s="0" t="s">
        <v>18</v>
      </c>
      <c r="AB9" s="0" t="s">
        <v>14</v>
      </c>
      <c r="AC9" s="0" t="n">
        <v>2.3842</v>
      </c>
      <c r="AD9" s="0" t="n">
        <v>24153.85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19.64</v>
      </c>
    </row>
    <row r="3" customFormat="false" ht="15" hidden="false" customHeight="false" outlineLevel="0" collapsed="false">
      <c r="A3" s="0" t="s">
        <v>77</v>
      </c>
      <c r="B3" s="3" t="n">
        <v>9947.1</v>
      </c>
    </row>
    <row r="4" customFormat="false" ht="15" hidden="false" customHeight="false" outlineLevel="0" collapsed="false">
      <c r="A4" s="0" t="s">
        <v>78</v>
      </c>
      <c r="B4" s="3" t="n">
        <v>17204</v>
      </c>
    </row>
    <row r="5" customFormat="false" ht="15" hidden="false" customHeight="false" outlineLevel="0" collapsed="false">
      <c r="A5" s="0" t="s">
        <v>79</v>
      </c>
      <c r="B5" s="3" t="n">
        <v>30295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168821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1.1727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-3</v>
      </c>
      <c r="D13" s="3" t="n">
        <v>-10</v>
      </c>
      <c r="E13" s="3" t="n">
        <v>-3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24</v>
      </c>
      <c r="D14" s="3" t="n">
        <v>17</v>
      </c>
      <c r="E14" s="3" t="n">
        <v>16</v>
      </c>
      <c r="F14" s="3" t="n">
        <v>17.5</v>
      </c>
      <c r="G14" s="3" t="n">
        <v>18.5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4.3</v>
      </c>
      <c r="D17" s="3" t="n">
        <v>4.3</v>
      </c>
      <c r="E17" s="3" t="n">
        <v>4.3</v>
      </c>
      <c r="F17" s="3" t="n">
        <v>4.3</v>
      </c>
      <c r="G17" s="3" t="n">
        <v>4.3</v>
      </c>
      <c r="H17" s="3" t="n">
        <v>4.3</v>
      </c>
      <c r="I17" s="3" t="n">
        <v>4.3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103</v>
      </c>
      <c r="C18" s="3" t="n">
        <v>5.5</v>
      </c>
      <c r="D18" s="3" t="n">
        <v>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104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8.5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-15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3</v>
      </c>
      <c r="D27" s="3" t="n">
        <v>-3</v>
      </c>
      <c r="E27" s="3" t="n">
        <v>0</v>
      </c>
      <c r="F27" s="3" t="n">
        <v>2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26.5</v>
      </c>
      <c r="D28" s="3" t="n">
        <v>24.5</v>
      </c>
      <c r="E28" s="3" t="n">
        <v>23.5</v>
      </c>
      <c r="F28" s="3" t="n">
        <v>23.5</v>
      </c>
      <c r="G28" s="3" t="n">
        <v>23.5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4.3</v>
      </c>
      <c r="D31" s="3" t="n">
        <v>4.3</v>
      </c>
      <c r="E31" s="3" t="n">
        <v>4.3</v>
      </c>
      <c r="F31" s="3" t="n">
        <v>4.3</v>
      </c>
      <c r="G31" s="3" t="n">
        <v>4.3</v>
      </c>
      <c r="H31" s="3" t="n">
        <v>4.3</v>
      </c>
      <c r="I31" s="3" t="n">
        <v>4.3</v>
      </c>
      <c r="J31" s="3" t="n">
        <v>4.3</v>
      </c>
      <c r="K31" s="3" t="n">
        <v>4.3</v>
      </c>
      <c r="L31" s="3" t="n">
        <v>4.3</v>
      </c>
    </row>
    <row r="32" customFormat="false" ht="15" hidden="false" customHeight="false" outlineLevel="0" collapsed="false">
      <c r="A32" s="0" t="s">
        <v>103</v>
      </c>
      <c r="C32" s="3" t="n">
        <v>5.5</v>
      </c>
      <c r="D32" s="3" t="n">
        <v>5.5</v>
      </c>
      <c r="E32" s="3" t="n">
        <v>5</v>
      </c>
      <c r="F32" s="3" t="n">
        <v>5</v>
      </c>
      <c r="G32" s="3" t="n">
        <v>5</v>
      </c>
      <c r="H32" s="3" t="n">
        <v>4.75</v>
      </c>
      <c r="I32" s="3" t="n">
        <v>4.75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104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105</v>
      </c>
      <c r="B34" s="3" t="n">
        <v>8.5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-15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6</v>
      </c>
      <c r="D41" s="3" t="n">
        <v>2</v>
      </c>
      <c r="E41" s="3" t="n">
        <v>2</v>
      </c>
      <c r="F41" s="3" t="n">
        <v>3</v>
      </c>
      <c r="G41" s="3" t="n">
        <v>3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28.5</v>
      </c>
      <c r="D42" s="3" t="n">
        <v>27.5</v>
      </c>
      <c r="E42" s="3" t="n">
        <v>26.5</v>
      </c>
      <c r="F42" s="3" t="n">
        <v>26</v>
      </c>
      <c r="G42" s="3" t="n">
        <v>26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4.3</v>
      </c>
      <c r="D45" s="3" t="n">
        <v>4.3</v>
      </c>
      <c r="E45" s="3" t="n">
        <v>4.3</v>
      </c>
      <c r="F45" s="3" t="n">
        <v>4.3</v>
      </c>
      <c r="G45" s="3" t="n">
        <v>4.3</v>
      </c>
      <c r="H45" s="3" t="n">
        <v>4.3</v>
      </c>
      <c r="I45" s="3" t="n">
        <v>4.3</v>
      </c>
      <c r="J45" s="3" t="n">
        <v>4.3</v>
      </c>
      <c r="K45" s="3" t="n">
        <v>4.3</v>
      </c>
      <c r="L45" s="3" t="n">
        <v>4.3</v>
      </c>
    </row>
    <row r="46" customFormat="false" ht="15" hidden="false" customHeight="false" outlineLevel="0" collapsed="false">
      <c r="A46" s="0" t="s">
        <v>103</v>
      </c>
      <c r="C46" s="3" t="n">
        <v>5.5</v>
      </c>
      <c r="D46" s="3" t="n">
        <v>5.5</v>
      </c>
      <c r="E46" s="3" t="n">
        <v>5</v>
      </c>
      <c r="F46" s="3" t="n">
        <v>5</v>
      </c>
      <c r="G46" s="3" t="n">
        <v>5</v>
      </c>
      <c r="H46" s="3" t="n">
        <v>4.75</v>
      </c>
      <c r="I46" s="3" t="n">
        <v>4.75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104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105</v>
      </c>
      <c r="B48" s="3" t="n">
        <v>8.5</v>
      </c>
    </row>
    <row r="49" customFormat="false" ht="15" hidden="false" customHeight="false" outlineLevel="0" collapsed="false">
      <c r="A49" s="0" t="s">
        <v>106</v>
      </c>
      <c r="B49" s="3" t="n">
        <v>2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-15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-3</v>
      </c>
      <c r="D5" s="4" t="n">
        <f aca="false">Assumptions!D13</f>
        <v>-10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168821</v>
      </c>
      <c r="C6" s="0" t="n">
        <f aca="false">B6*(1+C5/100)</f>
        <v>163756.37</v>
      </c>
      <c r="D6" s="0" t="n">
        <f aca="false">C6*(1+D5/100)</f>
        <v>147380.733</v>
      </c>
      <c r="E6" s="0" t="n">
        <f aca="false">D6*(1+E5/100)</f>
        <v>142959.31101</v>
      </c>
      <c r="F6" s="0" t="n">
        <f aca="false">E6*(1+F5/100)</f>
        <v>145818.4972302</v>
      </c>
      <c r="G6" s="0" t="n">
        <f aca="false">F6*(1+G5/100)</f>
        <v>148734.867174804</v>
      </c>
      <c r="H6" s="0" t="n">
        <f aca="false">G6*(1+H5/100)</f>
        <v>151709.5645183</v>
      </c>
      <c r="I6" s="0" t="n">
        <f aca="false">H6*(1+I5/100)</f>
        <v>154743.755808666</v>
      </c>
      <c r="J6" s="0" t="n">
        <f aca="false">I6*(1+J5/100)</f>
        <v>157838.630924839</v>
      </c>
      <c r="K6" s="0" t="n">
        <f aca="false">J6*(1+K5/100)</f>
        <v>160995.403543336</v>
      </c>
      <c r="L6" s="0" t="n">
        <f aca="false">K6*(1+L5/100)</f>
        <v>164215.311614203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24</v>
      </c>
      <c r="D7" s="4" t="n">
        <f aca="false">Assumptions!D14</f>
        <v>17</v>
      </c>
      <c r="E7" s="4" t="n">
        <f aca="false">Assumptions!E14</f>
        <v>16</v>
      </c>
      <c r="F7" s="4" t="n">
        <f aca="false">Assumptions!F14</f>
        <v>17.5</v>
      </c>
      <c r="G7" s="4" t="n">
        <f aca="false">Assumptions!G14</f>
        <v>18.5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39301.5288</v>
      </c>
      <c r="D8" s="0" t="n">
        <f aca="false">D6*D7/100</f>
        <v>25054.72461</v>
      </c>
      <c r="E8" s="0" t="n">
        <f aca="false">E6*E7/100</f>
        <v>22873.4897616</v>
      </c>
      <c r="F8" s="0" t="n">
        <f aca="false">F6*F7/100</f>
        <v>25518.237015285</v>
      </c>
      <c r="G8" s="0" t="n">
        <f aca="false">G6*G7/100</f>
        <v>27515.9504273387</v>
      </c>
      <c r="H8" s="0" t="n">
        <f aca="false">H6*H7/100</f>
        <v>28066.2694358855</v>
      </c>
      <c r="I8" s="0" t="n">
        <f aca="false">I6*I7/100</f>
        <v>28627.5948246032</v>
      </c>
      <c r="J8" s="0" t="n">
        <f aca="false">J6*J7/100</f>
        <v>29200.1467210953</v>
      </c>
      <c r="K8" s="0" t="n">
        <f aca="false">K6*K7/100</f>
        <v>29784.1496555172</v>
      </c>
      <c r="L8" s="0" t="n">
        <f aca="false">L6*L7/100</f>
        <v>30379.8326486275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39301.5288</v>
      </c>
      <c r="D11" s="0" t="n">
        <f aca="false">D8+D10+D24</f>
        <v>25054.72461</v>
      </c>
      <c r="E11" s="0" t="n">
        <f aca="false">E8+E10+E24</f>
        <v>22873.4897616</v>
      </c>
      <c r="F11" s="0" t="n">
        <f aca="false">F8+F10+F24</f>
        <v>25518.237015285</v>
      </c>
      <c r="G11" s="0" t="n">
        <f aca="false">G8+G10+G24</f>
        <v>27515.9504273387</v>
      </c>
      <c r="H11" s="0" t="n">
        <f aca="false">H8+H10+H24</f>
        <v>28066.2694358855</v>
      </c>
      <c r="I11" s="0" t="n">
        <f aca="false">I8+I10+I24</f>
        <v>28627.5948246032</v>
      </c>
      <c r="J11" s="0" t="n">
        <f aca="false">J8+J10+J24</f>
        <v>29200.1467210953</v>
      </c>
      <c r="K11" s="0" t="n">
        <f aca="false">K8+K10+K24</f>
        <v>29784.1496555172</v>
      </c>
      <c r="L11" s="0" t="n">
        <f aca="false">L8+L10+L24</f>
        <v>30379.8326486275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-7041.52391</v>
      </c>
      <c r="D12" s="4" t="n">
        <f aca="false">-D6*Assumptions!D17/100</f>
        <v>-6337.371519</v>
      </c>
      <c r="E12" s="4" t="n">
        <f aca="false">-E6*Assumptions!E17/100</f>
        <v>-6147.25037343</v>
      </c>
      <c r="F12" s="4" t="n">
        <f aca="false">-F6*Assumptions!F17/100</f>
        <v>-6270.1953808986</v>
      </c>
      <c r="G12" s="4" t="n">
        <f aca="false">-G6*Assumptions!G17/100</f>
        <v>-6395.59928851657</v>
      </c>
      <c r="H12" s="4" t="n">
        <f aca="false">-H6*Assumptions!H17/100</f>
        <v>-6523.5112742869</v>
      </c>
      <c r="I12" s="4" t="n">
        <f aca="false">-I6*Assumptions!I17/100</f>
        <v>-6653.98149977264</v>
      </c>
      <c r="J12" s="4" t="n">
        <f aca="false">-J6*Assumptions!J17/100</f>
        <v>-6787.06112976809</v>
      </c>
      <c r="K12" s="4" t="n">
        <f aca="false">-K6*Assumptions!K17/100</f>
        <v>-6922.80235236346</v>
      </c>
      <c r="L12" s="4" t="n">
        <f aca="false">-L6*Assumptions!L17/100</f>
        <v>-7061.25839941073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32260.00489</v>
      </c>
      <c r="D13" s="0" t="n">
        <f aca="false">D11+D12</f>
        <v>18717.353091</v>
      </c>
      <c r="E13" s="0" t="n">
        <f aca="false">E11+E12</f>
        <v>16726.23938817</v>
      </c>
      <c r="F13" s="0" t="n">
        <f aca="false">F11+F12</f>
        <v>19248.0416343864</v>
      </c>
      <c r="G13" s="0" t="n">
        <f aca="false">G11+G12</f>
        <v>21120.3511388222</v>
      </c>
      <c r="H13" s="0" t="n">
        <f aca="false">H11+H12</f>
        <v>21542.7581615986</v>
      </c>
      <c r="I13" s="0" t="n">
        <f aca="false">I11+I12</f>
        <v>21973.6133248306</v>
      </c>
      <c r="J13" s="0" t="n">
        <f aca="false">J11+J12</f>
        <v>22413.0855913272</v>
      </c>
      <c r="K13" s="0" t="n">
        <f aca="false">K11+K12</f>
        <v>22861.3473031537</v>
      </c>
      <c r="L13" s="0" t="n">
        <f aca="false">L11+L12</f>
        <v>23318.5742492168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24195.0036675</v>
      </c>
      <c r="D15" s="0" t="n">
        <f aca="false">D13-MAX(0,D13)*D14/100</f>
        <v>14038.01481825</v>
      </c>
      <c r="E15" s="0" t="n">
        <f aca="false">E13-MAX(0,E13)*E14/100</f>
        <v>12544.6795411275</v>
      </c>
      <c r="F15" s="0" t="n">
        <f aca="false">F13-MAX(0,F13)*F14/100</f>
        <v>14436.0312257898</v>
      </c>
      <c r="G15" s="0" t="n">
        <f aca="false">G13-MAX(0,G13)*G14/100</f>
        <v>15840.2633541166</v>
      </c>
      <c r="H15" s="0" t="n">
        <f aca="false">H13-MAX(0,H13)*H14/100</f>
        <v>16157.068621199</v>
      </c>
      <c r="I15" s="0" t="n">
        <f aca="false">I13-MAX(0,I13)*I14/100</f>
        <v>16480.2099936229</v>
      </c>
      <c r="J15" s="0" t="n">
        <f aca="false">J13-MAX(0,J13)*J14/100</f>
        <v>16809.8141934954</v>
      </c>
      <c r="K15" s="0" t="n">
        <f aca="false">K13-MAX(0,K13)*K14/100</f>
        <v>17146.0104773653</v>
      </c>
      <c r="L15" s="0" t="n">
        <f aca="false">L13-MAX(0,L13)*L14/100</f>
        <v>17488.9306869126</v>
      </c>
    </row>
    <row r="16" customFormat="false" ht="15" hidden="false" customHeight="false" outlineLevel="0" collapsed="false">
      <c r="A16" s="0" t="s">
        <v>120</v>
      </c>
      <c r="C16" s="0" t="n">
        <f aca="false">-C12</f>
        <v>7041.52391</v>
      </c>
      <c r="D16" s="0" t="n">
        <f aca="false">-D12</f>
        <v>6337.371519</v>
      </c>
      <c r="E16" s="0" t="n">
        <f aca="false">-E12</f>
        <v>6147.25037343</v>
      </c>
      <c r="F16" s="0" t="n">
        <f aca="false">-F12</f>
        <v>6270.1953808986</v>
      </c>
      <c r="G16" s="0" t="n">
        <f aca="false">-G12</f>
        <v>6395.59928851657</v>
      </c>
      <c r="H16" s="0" t="n">
        <f aca="false">-H12</f>
        <v>6523.5112742869</v>
      </c>
      <c r="I16" s="0" t="n">
        <f aca="false">-I12</f>
        <v>6653.98149977264</v>
      </c>
      <c r="J16" s="0" t="n">
        <f aca="false">-J12</f>
        <v>6787.06112976809</v>
      </c>
      <c r="K16" s="0" t="n">
        <f aca="false">-K12</f>
        <v>6922.80235236346</v>
      </c>
      <c r="L16" s="0" t="n">
        <f aca="false">-L12</f>
        <v>7061.25839941073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-9006.60035</v>
      </c>
      <c r="D17" s="4" t="n">
        <f aca="false">-D6*Assumptions!D18/100</f>
        <v>-7369.03665</v>
      </c>
      <c r="E17" s="4" t="n">
        <f aca="false">-E6*Assumptions!E18/100</f>
        <v>-6433.16899545</v>
      </c>
      <c r="F17" s="4" t="n">
        <f aca="false">-F6*Assumptions!F18/100</f>
        <v>-6561.832375359</v>
      </c>
      <c r="G17" s="4" t="n">
        <f aca="false">-G6*Assumptions!G18/100</f>
        <v>-6693.06902286618</v>
      </c>
      <c r="H17" s="4" t="n">
        <f aca="false">-H6*Assumptions!H18/100</f>
        <v>-6826.9304033235</v>
      </c>
      <c r="I17" s="4" t="n">
        <f aca="false">-I6*Assumptions!I18/100</f>
        <v>-6963.46901138997</v>
      </c>
      <c r="J17" s="4" t="n">
        <f aca="false">-J6*Assumptions!J18/100</f>
        <v>-7102.73839161777</v>
      </c>
      <c r="K17" s="4" t="n">
        <f aca="false">-K6*Assumptions!K18/100</f>
        <v>-7244.79315945013</v>
      </c>
      <c r="L17" s="4" t="n">
        <f aca="false">-L6*Assumptions!L18/100</f>
        <v>-7389.68902263913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759.694500000001</v>
      </c>
      <c r="D18" s="4" t="n">
        <f aca="false">(D6-C6)*Assumptions!$B$23/100</f>
        <v>2456.34555</v>
      </c>
      <c r="E18" s="4" t="n">
        <f aca="false">(E6-D6)*Assumptions!$B$23/100</f>
        <v>663.2132985</v>
      </c>
      <c r="F18" s="4" t="n">
        <f aca="false">(F6-E6)*Assumptions!$B$23/100</f>
        <v>-428.877933030001</v>
      </c>
      <c r="G18" s="4" t="n">
        <f aca="false">(G6-F6)*Assumptions!$B$23/100</f>
        <v>-437.4554916906</v>
      </c>
      <c r="H18" s="4" t="n">
        <f aca="false">(H6-G6)*Assumptions!$B$23/100</f>
        <v>-446.204601524412</v>
      </c>
      <c r="I18" s="4" t="n">
        <f aca="false">(I6-H6)*Assumptions!$B$23/100</f>
        <v>-455.1286935549</v>
      </c>
      <c r="J18" s="4" t="n">
        <f aca="false">(J6-I6)*Assumptions!$B$23/100</f>
        <v>-464.231267425999</v>
      </c>
      <c r="K18" s="4" t="n">
        <f aca="false">(K6-J6)*Assumptions!$B$23/100</f>
        <v>-473.515892774519</v>
      </c>
      <c r="L18" s="4" t="n">
        <f aca="false">(L6-K6)*Assumptions!$B$23/100</f>
        <v>-482.986210630008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22989.6217275</v>
      </c>
      <c r="D19" s="0" t="n">
        <f aca="false">D15+D16+D17+D18</f>
        <v>15462.69523725</v>
      </c>
      <c r="E19" s="0" t="n">
        <f aca="false">E15+E16+E17+E18</f>
        <v>12921.9742176075</v>
      </c>
      <c r="F19" s="0" t="n">
        <f aca="false">F15+F16+F17+F18</f>
        <v>13715.5162982994</v>
      </c>
      <c r="G19" s="0" t="n">
        <f aca="false">G15+G16+G17+G18</f>
        <v>15105.3381280764</v>
      </c>
      <c r="H19" s="0" t="n">
        <f aca="false">H15+H16+H17+H18</f>
        <v>15407.4448906379</v>
      </c>
      <c r="I19" s="0" t="n">
        <f aca="false">I15+I16+I17+I18</f>
        <v>15715.5937884507</v>
      </c>
      <c r="J19" s="0" t="n">
        <f aca="false">J15+J16+J17+J18</f>
        <v>16029.9056642197</v>
      </c>
      <c r="K19" s="0" t="n">
        <f aca="false">K15+K16+K17+K18</f>
        <v>16350.5037775041</v>
      </c>
      <c r="L19" s="0" t="n">
        <f aca="false">L15+L16+L17+L18</f>
        <v>16677.5138530542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21188.5914539171</v>
      </c>
      <c r="D21" s="0" t="n">
        <f aca="false">D19*D20</f>
        <v>13134.8682174181</v>
      </c>
      <c r="E21" s="0" t="n">
        <f aca="false">E19*E20</f>
        <v>10116.718262678</v>
      </c>
      <c r="F21" s="0" t="n">
        <f aca="false">F19*F20</f>
        <v>9896.76385631084</v>
      </c>
      <c r="G21" s="0" t="n">
        <f aca="false">G19*G20</f>
        <v>10045.7359893015</v>
      </c>
      <c r="H21" s="0" t="n">
        <f aca="false">H19*H20</f>
        <v>9443.91770422817</v>
      </c>
      <c r="I21" s="0" t="n">
        <f aca="false">I19*I20</f>
        <v>8878.15304913616</v>
      </c>
      <c r="J21" s="0" t="n">
        <f aca="false">J19*J20</f>
        <v>8346.28212914183</v>
      </c>
      <c r="K21" s="0" t="n">
        <f aca="false">K19*K20</f>
        <v>7846.27444398587</v>
      </c>
      <c r="L21" s="0" t="n">
        <f aca="false">L19*L20</f>
        <v>7376.22113628165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106273.526242399</v>
      </c>
    </row>
    <row r="31" customFormat="false" ht="15" hidden="false" customHeight="false" outlineLevel="0" collapsed="false">
      <c r="A31" s="0" t="s">
        <v>129</v>
      </c>
      <c r="B31" s="0" t="n">
        <f aca="false">L19</f>
        <v>16677.5138530542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261708.678924851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200130.16623665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200130.16623665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88514.6536353798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194788.179877779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207879.179877779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24.5076368230611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0.247843015430811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24.5076368230611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130854.339462425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15.0369952261528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3</v>
      </c>
      <c r="D5" s="4" t="n">
        <f aca="false">Assumptions!D27</f>
        <v>-3</v>
      </c>
      <c r="E5" s="4" t="n">
        <f aca="false">Assumptions!E27</f>
        <v>0</v>
      </c>
      <c r="F5" s="4" t="n">
        <f aca="false">Assumptions!F27</f>
        <v>2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168821</v>
      </c>
      <c r="C6" s="0" t="n">
        <f aca="false">B6*(1+C5/100)</f>
        <v>173885.63</v>
      </c>
      <c r="D6" s="0" t="n">
        <f aca="false">C6*(1+D5/100)</f>
        <v>168669.0611</v>
      </c>
      <c r="E6" s="0" t="n">
        <f aca="false">D6*(1+E5/100)</f>
        <v>168669.0611</v>
      </c>
      <c r="F6" s="0" t="n">
        <f aca="false">E6*(1+F5/100)</f>
        <v>172042.442322</v>
      </c>
      <c r="G6" s="0" t="n">
        <f aca="false">F6*(1+G5/100)</f>
        <v>176343.50338005</v>
      </c>
      <c r="H6" s="0" t="n">
        <f aca="false">G6*(1+H5/100)</f>
        <v>180752.090964551</v>
      </c>
      <c r="I6" s="0" t="n">
        <f aca="false">H6*(1+I5/100)</f>
        <v>185270.893238665</v>
      </c>
      <c r="J6" s="0" t="n">
        <f aca="false">I6*(1+J5/100)</f>
        <v>189902.665569632</v>
      </c>
      <c r="K6" s="0" t="n">
        <f aca="false">J6*(1+K5/100)</f>
        <v>194650.232208872</v>
      </c>
      <c r="L6" s="0" t="n">
        <f aca="false">K6*(1+L5/100)</f>
        <v>199516.488014094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26.5</v>
      </c>
      <c r="D7" s="4" t="n">
        <f aca="false">Assumptions!D28</f>
        <v>24.5</v>
      </c>
      <c r="E7" s="4" t="n">
        <f aca="false">Assumptions!E28</f>
        <v>23.5</v>
      </c>
      <c r="F7" s="4" t="n">
        <f aca="false">Assumptions!F28</f>
        <v>23.5</v>
      </c>
      <c r="G7" s="4" t="n">
        <f aca="false">Assumptions!G28</f>
        <v>23.5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46079.69195</v>
      </c>
      <c r="D8" s="0" t="n">
        <f aca="false">D6*D7/100</f>
        <v>41323.9199695</v>
      </c>
      <c r="E8" s="0" t="n">
        <f aca="false">E6*E7/100</f>
        <v>39637.2293585</v>
      </c>
      <c r="F8" s="0" t="n">
        <f aca="false">F6*F7/100</f>
        <v>40429.97394567</v>
      </c>
      <c r="G8" s="0" t="n">
        <f aca="false">G6*G7/100</f>
        <v>41440.7232943117</v>
      </c>
      <c r="H8" s="0" t="n">
        <f aca="false">H6*H7/100</f>
        <v>42476.7413766695</v>
      </c>
      <c r="I8" s="0" t="n">
        <f aca="false">I6*I7/100</f>
        <v>43538.6599110863</v>
      </c>
      <c r="J8" s="0" t="n">
        <f aca="false">J6*J7/100</f>
        <v>44627.1264088634</v>
      </c>
      <c r="K8" s="0" t="n">
        <f aca="false">K6*K7/100</f>
        <v>45742.804569085</v>
      </c>
      <c r="L8" s="0" t="n">
        <f aca="false">L6*L7/100</f>
        <v>46886.3746833121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46079.69195</v>
      </c>
      <c r="D11" s="0" t="n">
        <f aca="false">D8+D10+D24</f>
        <v>41323.9199695</v>
      </c>
      <c r="E11" s="0" t="n">
        <f aca="false">E8+E10+E24</f>
        <v>39637.2293585</v>
      </c>
      <c r="F11" s="0" t="n">
        <f aca="false">F8+F10+F24</f>
        <v>40429.97394567</v>
      </c>
      <c r="G11" s="0" t="n">
        <f aca="false">G8+G10+G24</f>
        <v>41440.7232943117</v>
      </c>
      <c r="H11" s="0" t="n">
        <f aca="false">H8+H10+H24</f>
        <v>42476.7413766695</v>
      </c>
      <c r="I11" s="0" t="n">
        <f aca="false">I8+I10+I24</f>
        <v>43538.6599110863</v>
      </c>
      <c r="J11" s="0" t="n">
        <f aca="false">J8+J10+J24</f>
        <v>44627.1264088634</v>
      </c>
      <c r="K11" s="0" t="n">
        <f aca="false">K8+K10+K24</f>
        <v>45742.804569085</v>
      </c>
      <c r="L11" s="0" t="n">
        <f aca="false">L8+L10+L24</f>
        <v>46886.3746833121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-7477.08209</v>
      </c>
      <c r="D12" s="4" t="n">
        <f aca="false">-D6*Assumptions!D31/100</f>
        <v>-7252.7696273</v>
      </c>
      <c r="E12" s="4" t="n">
        <f aca="false">-E6*Assumptions!E31/100</f>
        <v>-7252.7696273</v>
      </c>
      <c r="F12" s="4" t="n">
        <f aca="false">-F6*Assumptions!F31/100</f>
        <v>-7397.825019846</v>
      </c>
      <c r="G12" s="4" t="n">
        <f aca="false">-G6*Assumptions!G31/100</f>
        <v>-7582.77064534215</v>
      </c>
      <c r="H12" s="4" t="n">
        <f aca="false">-H6*Assumptions!H31/100</f>
        <v>-7772.3399114757</v>
      </c>
      <c r="I12" s="4" t="n">
        <f aca="false">-I6*Assumptions!I31/100</f>
        <v>-7966.64840926259</v>
      </c>
      <c r="J12" s="4" t="n">
        <f aca="false">-J6*Assumptions!J31/100</f>
        <v>-8165.81461949416</v>
      </c>
      <c r="K12" s="4" t="n">
        <f aca="false">-K6*Assumptions!K31/100</f>
        <v>-8369.95998498151</v>
      </c>
      <c r="L12" s="4" t="n">
        <f aca="false">-L6*Assumptions!L31/100</f>
        <v>-8579.20898460605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38602.60986</v>
      </c>
      <c r="D13" s="0" t="n">
        <f aca="false">D11+D12</f>
        <v>34071.1503422</v>
      </c>
      <c r="E13" s="0" t="n">
        <f aca="false">E11+E12</f>
        <v>32384.4597312</v>
      </c>
      <c r="F13" s="0" t="n">
        <f aca="false">F11+F12</f>
        <v>33032.148925824</v>
      </c>
      <c r="G13" s="0" t="n">
        <f aca="false">G11+G12</f>
        <v>33857.9526489696</v>
      </c>
      <c r="H13" s="0" t="n">
        <f aca="false">H11+H12</f>
        <v>34704.4014651938</v>
      </c>
      <c r="I13" s="0" t="n">
        <f aca="false">I11+I12</f>
        <v>35572.0115018237</v>
      </c>
      <c r="J13" s="0" t="n">
        <f aca="false">J11+J12</f>
        <v>36461.3117893693</v>
      </c>
      <c r="K13" s="0" t="n">
        <f aca="false">K11+K12</f>
        <v>37372.8445841035</v>
      </c>
      <c r="L13" s="0" t="n">
        <f aca="false">L11+L12</f>
        <v>38307.1656987061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28951.957395</v>
      </c>
      <c r="D15" s="0" t="n">
        <f aca="false">D13-MAX(0,D13)*D14/100</f>
        <v>25553.36275665</v>
      </c>
      <c r="E15" s="0" t="n">
        <f aca="false">E13-MAX(0,E13)*E14/100</f>
        <v>24288.3447984</v>
      </c>
      <c r="F15" s="0" t="n">
        <f aca="false">F13-MAX(0,F13)*F14/100</f>
        <v>24774.111694368</v>
      </c>
      <c r="G15" s="0" t="n">
        <f aca="false">G13-MAX(0,G13)*G14/100</f>
        <v>25393.4644867272</v>
      </c>
      <c r="H15" s="0" t="n">
        <f aca="false">H13-MAX(0,H13)*H14/100</f>
        <v>26028.3010988954</v>
      </c>
      <c r="I15" s="0" t="n">
        <f aca="false">I13-MAX(0,I13)*I14/100</f>
        <v>26679.0086263678</v>
      </c>
      <c r="J15" s="0" t="n">
        <f aca="false">J13-MAX(0,J13)*J14/100</f>
        <v>27345.9838420269</v>
      </c>
      <c r="K15" s="0" t="n">
        <f aca="false">K13-MAX(0,K13)*K14/100</f>
        <v>28029.6334380776</v>
      </c>
      <c r="L15" s="0" t="n">
        <f aca="false">L13-MAX(0,L13)*L14/100</f>
        <v>28730.3742740296</v>
      </c>
    </row>
    <row r="16" customFormat="false" ht="15" hidden="false" customHeight="false" outlineLevel="0" collapsed="false">
      <c r="A16" s="0" t="s">
        <v>120</v>
      </c>
      <c r="C16" s="0" t="n">
        <f aca="false">-C12</f>
        <v>7477.08209</v>
      </c>
      <c r="D16" s="0" t="n">
        <f aca="false">-D12</f>
        <v>7252.7696273</v>
      </c>
      <c r="E16" s="0" t="n">
        <f aca="false">-E12</f>
        <v>7252.7696273</v>
      </c>
      <c r="F16" s="0" t="n">
        <f aca="false">-F12</f>
        <v>7397.825019846</v>
      </c>
      <c r="G16" s="0" t="n">
        <f aca="false">-G12</f>
        <v>7582.77064534215</v>
      </c>
      <c r="H16" s="0" t="n">
        <f aca="false">-H12</f>
        <v>7772.3399114757</v>
      </c>
      <c r="I16" s="0" t="n">
        <f aca="false">-I12</f>
        <v>7966.64840926259</v>
      </c>
      <c r="J16" s="0" t="n">
        <f aca="false">-J12</f>
        <v>8165.81461949416</v>
      </c>
      <c r="K16" s="0" t="n">
        <f aca="false">-K12</f>
        <v>8369.95998498151</v>
      </c>
      <c r="L16" s="0" t="n">
        <f aca="false">-L12</f>
        <v>8579.20898460605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-9563.70965</v>
      </c>
      <c r="D17" s="4" t="n">
        <f aca="false">-D6*Assumptions!D32/100</f>
        <v>-9276.7983605</v>
      </c>
      <c r="E17" s="4" t="n">
        <f aca="false">-E6*Assumptions!E32/100</f>
        <v>-8433.453055</v>
      </c>
      <c r="F17" s="4" t="n">
        <f aca="false">-F6*Assumptions!F32/100</f>
        <v>-8602.1221161</v>
      </c>
      <c r="G17" s="4" t="n">
        <f aca="false">-G6*Assumptions!G32/100</f>
        <v>-8817.1751690025</v>
      </c>
      <c r="H17" s="4" t="n">
        <f aca="false">-H6*Assumptions!H32/100</f>
        <v>-8585.72432081618</v>
      </c>
      <c r="I17" s="4" t="n">
        <f aca="false">-I6*Assumptions!I32/100</f>
        <v>-8800.36742883659</v>
      </c>
      <c r="J17" s="4" t="n">
        <f aca="false">-J6*Assumptions!J32/100</f>
        <v>-8545.61995063342</v>
      </c>
      <c r="K17" s="4" t="n">
        <f aca="false">-K6*Assumptions!K32/100</f>
        <v>-8759.26044939926</v>
      </c>
      <c r="L17" s="4" t="n">
        <f aca="false">-L6*Assumptions!L32/100</f>
        <v>-8978.24196063424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-759.694500000001</v>
      </c>
      <c r="D18" s="4" t="n">
        <f aca="false">(D6-C6)*Assumptions!$B$37/100</f>
        <v>782.485335000002</v>
      </c>
      <c r="E18" s="4" t="n">
        <f aca="false">(E6-D6)*Assumptions!$B$37/100</f>
        <v>-0</v>
      </c>
      <c r="F18" s="4" t="n">
        <f aca="false">(F6-E6)*Assumptions!$B$37/100</f>
        <v>-506.007183299999</v>
      </c>
      <c r="G18" s="4" t="n">
        <f aca="false">(G6-F6)*Assumptions!$B$37/100</f>
        <v>-645.159158707499</v>
      </c>
      <c r="H18" s="4" t="n">
        <f aca="false">(H6-G6)*Assumptions!$B$37/100</f>
        <v>-661.288137675183</v>
      </c>
      <c r="I18" s="4" t="n">
        <f aca="false">(I6-H6)*Assumptions!$B$37/100</f>
        <v>-677.820341117063</v>
      </c>
      <c r="J18" s="4" t="n">
        <f aca="false">(J6-I6)*Assumptions!$B$37/100</f>
        <v>-694.765849644991</v>
      </c>
      <c r="K18" s="4" t="n">
        <f aca="false">(K6-J6)*Assumptions!$B$37/100</f>
        <v>-712.134995886116</v>
      </c>
      <c r="L18" s="4" t="n">
        <f aca="false">(L6-K6)*Assumptions!$B$37/100</f>
        <v>-729.938370783269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26105.635335</v>
      </c>
      <c r="D19" s="0" t="n">
        <f aca="false">D15+D16+D17+D18</f>
        <v>24311.81935845</v>
      </c>
      <c r="E19" s="0" t="n">
        <f aca="false">E15+E16+E17+E18</f>
        <v>23107.6613707</v>
      </c>
      <c r="F19" s="0" t="n">
        <f aca="false">F15+F16+F17+F18</f>
        <v>23063.807414814</v>
      </c>
      <c r="G19" s="0" t="n">
        <f aca="false">G15+G16+G17+G18</f>
        <v>23513.9008043593</v>
      </c>
      <c r="H19" s="0" t="n">
        <f aca="false">H15+H16+H17+H18</f>
        <v>24553.6285518797</v>
      </c>
      <c r="I19" s="0" t="n">
        <f aca="false">I15+I16+I17+I18</f>
        <v>25167.4692656767</v>
      </c>
      <c r="J19" s="0" t="n">
        <f aca="false">J15+J16+J17+J18</f>
        <v>26271.4126612427</v>
      </c>
      <c r="K19" s="0" t="n">
        <f aca="false">K15+K16+K17+K18</f>
        <v>26928.1979777738</v>
      </c>
      <c r="L19" s="0" t="n">
        <f aca="false">L15+L16+L17+L18</f>
        <v>27601.4029272181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24060.4933963134</v>
      </c>
      <c r="D21" s="0" t="n">
        <f aca="false">D19*D20</f>
        <v>20651.8034856973</v>
      </c>
      <c r="E21" s="0" t="n">
        <f aca="false">E19*E20</f>
        <v>18091.175222916</v>
      </c>
      <c r="F21" s="0" t="n">
        <f aca="false">F19*F20</f>
        <v>16642.2503278383</v>
      </c>
      <c r="G21" s="0" t="n">
        <f aca="false">G19*G20</f>
        <v>15637.8121135975</v>
      </c>
      <c r="H21" s="0" t="n">
        <f aca="false">H19*H20</f>
        <v>15050.0260770063</v>
      </c>
      <c r="I21" s="0" t="n">
        <f aca="false">I19*I20</f>
        <v>14217.7665704438</v>
      </c>
      <c r="J21" s="0" t="n">
        <f aca="false">J19*J20</f>
        <v>13678.7219210696</v>
      </c>
      <c r="K21" s="0" t="n">
        <f aca="false">K19*K20</f>
        <v>12922.294902393</v>
      </c>
      <c r="L21" s="0" t="n">
        <f aca="false">L19*L20</f>
        <v>12207.6979492652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163160.04196654</v>
      </c>
    </row>
    <row r="31" customFormat="false" ht="15" hidden="false" customHeight="false" outlineLevel="0" collapsed="false">
      <c r="A31" s="0" t="s">
        <v>129</v>
      </c>
      <c r="B31" s="0" t="n">
        <f aca="false">L19</f>
        <v>27601.4029272181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433129.707473269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331216.835126617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331216.835126617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146492.375391183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309652.417357723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322743.417357723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38.0494018895358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0.937342255068016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38.0494018895358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216564.853736634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22.5081886719421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6</v>
      </c>
      <c r="D5" s="4" t="n">
        <f aca="false">Assumptions!D41</f>
        <v>2</v>
      </c>
      <c r="E5" s="4" t="n">
        <f aca="false">Assumptions!E41</f>
        <v>2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168821</v>
      </c>
      <c r="C6" s="0" t="n">
        <f aca="false">B6*(1+C5/100)</f>
        <v>178950.26</v>
      </c>
      <c r="D6" s="0" t="n">
        <f aca="false">C6*(1+D5/100)</f>
        <v>182529.2652</v>
      </c>
      <c r="E6" s="0" t="n">
        <f aca="false">D6*(1+E5/100)</f>
        <v>186179.850504</v>
      </c>
      <c r="F6" s="0" t="n">
        <f aca="false">E6*(1+F5/100)</f>
        <v>191765.24601912</v>
      </c>
      <c r="G6" s="0" t="n">
        <f aca="false">F6*(1+G5/100)</f>
        <v>197518.203399694</v>
      </c>
      <c r="H6" s="0" t="n">
        <f aca="false">G6*(1+H5/100)</f>
        <v>203443.749501684</v>
      </c>
      <c r="I6" s="0" t="n">
        <f aca="false">H6*(1+I5/100)</f>
        <v>209547.061986735</v>
      </c>
      <c r="J6" s="0" t="n">
        <f aca="false">I6*(1+J5/100)</f>
        <v>215833.473846337</v>
      </c>
      <c r="K6" s="0" t="n">
        <f aca="false">J6*(1+K5/100)</f>
        <v>222308.478061727</v>
      </c>
      <c r="L6" s="0" t="n">
        <f aca="false">K6*(1+L5/100)</f>
        <v>228977.732403579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28.5</v>
      </c>
      <c r="D7" s="4" t="n">
        <f aca="false">Assumptions!D42</f>
        <v>27.5</v>
      </c>
      <c r="E7" s="4" t="n">
        <f aca="false">Assumptions!E42</f>
        <v>26.5</v>
      </c>
      <c r="F7" s="4" t="n">
        <f aca="false">Assumptions!F42</f>
        <v>26</v>
      </c>
      <c r="G7" s="4" t="n">
        <f aca="false">Assumptions!G42</f>
        <v>26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51000.8241</v>
      </c>
      <c r="D8" s="0" t="n">
        <f aca="false">D6*D7/100</f>
        <v>50195.54793</v>
      </c>
      <c r="E8" s="0" t="n">
        <f aca="false">E6*E7/100</f>
        <v>49337.66038356</v>
      </c>
      <c r="F8" s="0" t="n">
        <f aca="false">F6*F7/100</f>
        <v>49858.9639649712</v>
      </c>
      <c r="G8" s="0" t="n">
        <f aca="false">G6*G7/100</f>
        <v>51354.7328839204</v>
      </c>
      <c r="H8" s="0" t="n">
        <f aca="false">H6*H7/100</f>
        <v>52895.374870438</v>
      </c>
      <c r="I8" s="0" t="n">
        <f aca="false">I6*I7/100</f>
        <v>54482.2361165511</v>
      </c>
      <c r="J8" s="0" t="n">
        <f aca="false">J6*J7/100</f>
        <v>56116.7032000476</v>
      </c>
      <c r="K8" s="0" t="n">
        <f aca="false">K6*K7/100</f>
        <v>57800.2042960491</v>
      </c>
      <c r="L8" s="0" t="n">
        <f aca="false">L6*L7/100</f>
        <v>59534.2104249306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51000.8241</v>
      </c>
      <c r="D11" s="0" t="n">
        <f aca="false">D8+D10+D24</f>
        <v>50195.54793</v>
      </c>
      <c r="E11" s="0" t="n">
        <f aca="false">E8+E10+E24</f>
        <v>49337.66038356</v>
      </c>
      <c r="F11" s="0" t="n">
        <f aca="false">F8+F10+F24</f>
        <v>49858.9639649712</v>
      </c>
      <c r="G11" s="0" t="n">
        <f aca="false">G8+G10+G24</f>
        <v>51354.7328839204</v>
      </c>
      <c r="H11" s="0" t="n">
        <f aca="false">H8+H10+H24</f>
        <v>52895.374870438</v>
      </c>
      <c r="I11" s="0" t="n">
        <f aca="false">I8+I10+I24</f>
        <v>54482.2361165511</v>
      </c>
      <c r="J11" s="0" t="n">
        <f aca="false">J8+J10+J24</f>
        <v>56116.7032000476</v>
      </c>
      <c r="K11" s="0" t="n">
        <f aca="false">K8+K10+K24</f>
        <v>57800.2042960491</v>
      </c>
      <c r="L11" s="0" t="n">
        <f aca="false">L8+L10+L24</f>
        <v>59534.2104249306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-7694.86118</v>
      </c>
      <c r="D12" s="4" t="n">
        <f aca="false">-D6*Assumptions!D45/100</f>
        <v>-7848.7584036</v>
      </c>
      <c r="E12" s="4" t="n">
        <f aca="false">-E6*Assumptions!E45/100</f>
        <v>-8005.733571672</v>
      </c>
      <c r="F12" s="4" t="n">
        <f aca="false">-F6*Assumptions!F45/100</f>
        <v>-8245.90557882216</v>
      </c>
      <c r="G12" s="4" t="n">
        <f aca="false">-G6*Assumptions!G45/100</f>
        <v>-8493.28274618683</v>
      </c>
      <c r="H12" s="4" t="n">
        <f aca="false">-H6*Assumptions!H45/100</f>
        <v>-8748.08122857243</v>
      </c>
      <c r="I12" s="4" t="n">
        <f aca="false">-I6*Assumptions!I45/100</f>
        <v>-9010.52366542961</v>
      </c>
      <c r="J12" s="4" t="n">
        <f aca="false">-J6*Assumptions!J45/100</f>
        <v>-9280.83937539249</v>
      </c>
      <c r="K12" s="4" t="n">
        <f aca="false">-K6*Assumptions!K45/100</f>
        <v>-9559.26455665427</v>
      </c>
      <c r="L12" s="4" t="n">
        <f aca="false">-L6*Assumptions!L45/100</f>
        <v>-9846.0424933539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43305.96292</v>
      </c>
      <c r="D13" s="0" t="n">
        <f aca="false">D11+D12</f>
        <v>42346.7895264</v>
      </c>
      <c r="E13" s="0" t="n">
        <f aca="false">E11+E12</f>
        <v>41331.926811888</v>
      </c>
      <c r="F13" s="0" t="n">
        <f aca="false">F11+F12</f>
        <v>41613.0583861491</v>
      </c>
      <c r="G13" s="0" t="n">
        <f aca="false">G11+G12</f>
        <v>42861.4501377335</v>
      </c>
      <c r="H13" s="0" t="n">
        <f aca="false">H11+H12</f>
        <v>44147.2936418655</v>
      </c>
      <c r="I13" s="0" t="n">
        <f aca="false">I11+I12</f>
        <v>45471.7124511215</v>
      </c>
      <c r="J13" s="0" t="n">
        <f aca="false">J11+J12</f>
        <v>46835.8638246551</v>
      </c>
      <c r="K13" s="0" t="n">
        <f aca="false">K11+K12</f>
        <v>48240.9397393948</v>
      </c>
      <c r="L13" s="0" t="n">
        <f aca="false">L11+L12</f>
        <v>49688.1679315767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32479.47219</v>
      </c>
      <c r="D15" s="0" t="n">
        <f aca="false">D13-MAX(0,D13)*D14/100</f>
        <v>31760.0921448</v>
      </c>
      <c r="E15" s="0" t="n">
        <f aca="false">E13-MAX(0,E13)*E14/100</f>
        <v>30998.945108916</v>
      </c>
      <c r="F15" s="0" t="n">
        <f aca="false">F13-MAX(0,F13)*F14/100</f>
        <v>31209.7937896118</v>
      </c>
      <c r="G15" s="0" t="n">
        <f aca="false">G13-MAX(0,G13)*G14/100</f>
        <v>32146.0876033001</v>
      </c>
      <c r="H15" s="0" t="n">
        <f aca="false">H13-MAX(0,H13)*H14/100</f>
        <v>33110.4702313991</v>
      </c>
      <c r="I15" s="0" t="n">
        <f aca="false">I13-MAX(0,I13)*I14/100</f>
        <v>34103.7843383411</v>
      </c>
      <c r="J15" s="0" t="n">
        <f aca="false">J13-MAX(0,J13)*J14/100</f>
        <v>35126.8978684914</v>
      </c>
      <c r="K15" s="0" t="n">
        <f aca="false">K13-MAX(0,K13)*K14/100</f>
        <v>36180.7048045461</v>
      </c>
      <c r="L15" s="0" t="n">
        <f aca="false">L13-MAX(0,L13)*L14/100</f>
        <v>37266.1259486825</v>
      </c>
    </row>
    <row r="16" customFormat="false" ht="15" hidden="false" customHeight="false" outlineLevel="0" collapsed="false">
      <c r="A16" s="0" t="s">
        <v>120</v>
      </c>
      <c r="C16" s="0" t="n">
        <f aca="false">-C12</f>
        <v>7694.86118</v>
      </c>
      <c r="D16" s="0" t="n">
        <f aca="false">-D12</f>
        <v>7848.7584036</v>
      </c>
      <c r="E16" s="0" t="n">
        <f aca="false">-E12</f>
        <v>8005.733571672</v>
      </c>
      <c r="F16" s="0" t="n">
        <f aca="false">-F12</f>
        <v>8245.90557882216</v>
      </c>
      <c r="G16" s="0" t="n">
        <f aca="false">-G12</f>
        <v>8493.28274618683</v>
      </c>
      <c r="H16" s="0" t="n">
        <f aca="false">-H12</f>
        <v>8748.08122857243</v>
      </c>
      <c r="I16" s="0" t="n">
        <f aca="false">-I12</f>
        <v>9010.52366542961</v>
      </c>
      <c r="J16" s="0" t="n">
        <f aca="false">-J12</f>
        <v>9280.83937539249</v>
      </c>
      <c r="K16" s="0" t="n">
        <f aca="false">-K12</f>
        <v>9559.26455665427</v>
      </c>
      <c r="L16" s="0" t="n">
        <f aca="false">-L12</f>
        <v>9846.0424933539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-9842.2643</v>
      </c>
      <c r="D17" s="4" t="n">
        <f aca="false">-D6*Assumptions!D46/100</f>
        <v>-10039.109586</v>
      </c>
      <c r="E17" s="4" t="n">
        <f aca="false">-E6*Assumptions!E46/100</f>
        <v>-9308.9925252</v>
      </c>
      <c r="F17" s="4" t="n">
        <f aca="false">-F6*Assumptions!F46/100</f>
        <v>-9588.262300956</v>
      </c>
      <c r="G17" s="4" t="n">
        <f aca="false">-G6*Assumptions!G46/100</f>
        <v>-9875.91016998468</v>
      </c>
      <c r="H17" s="4" t="n">
        <f aca="false">-H6*Assumptions!H46/100</f>
        <v>-9663.57810133001</v>
      </c>
      <c r="I17" s="4" t="n">
        <f aca="false">-I6*Assumptions!I46/100</f>
        <v>-9953.48544436991</v>
      </c>
      <c r="J17" s="4" t="n">
        <f aca="false">-J6*Assumptions!J46/100</f>
        <v>-9712.50632308517</v>
      </c>
      <c r="K17" s="4" t="n">
        <f aca="false">-K6*Assumptions!K46/100</f>
        <v>-10003.8815127777</v>
      </c>
      <c r="L17" s="4" t="n">
        <f aca="false">-L6*Assumptions!L46/100</f>
        <v>-10303.9979581611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-1519.389</v>
      </c>
      <c r="D18" s="4" t="n">
        <f aca="false">(D6-C6)*Assumptions!$B$51/100</f>
        <v>-536.850780000002</v>
      </c>
      <c r="E18" s="4" t="n">
        <f aca="false">(E6-D6)*Assumptions!$B$51/100</f>
        <v>-547.587795600001</v>
      </c>
      <c r="F18" s="4" t="n">
        <f aca="false">(F6-E6)*Assumptions!$B$51/100</f>
        <v>-837.809327268001</v>
      </c>
      <c r="G18" s="4" t="n">
        <f aca="false">(G6-F6)*Assumptions!$B$51/100</f>
        <v>-862.943607086042</v>
      </c>
      <c r="H18" s="4" t="n">
        <f aca="false">(H6-G6)*Assumptions!$B$51/100</f>
        <v>-888.831915298624</v>
      </c>
      <c r="I18" s="4" t="n">
        <f aca="false">(I6-H6)*Assumptions!$B$51/100</f>
        <v>-915.496872757579</v>
      </c>
      <c r="J18" s="4" t="n">
        <f aca="false">(J6-I6)*Assumptions!$B$51/100</f>
        <v>-942.961778940309</v>
      </c>
      <c r="K18" s="4" t="n">
        <f aca="false">(K6-J6)*Assumptions!$B$51/100</f>
        <v>-971.25063230852</v>
      </c>
      <c r="L18" s="4" t="n">
        <f aca="false">(L6-K6)*Assumptions!$B$51/100</f>
        <v>-1000.38815127777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28812.68007</v>
      </c>
      <c r="D19" s="0" t="n">
        <f aca="false">D15+D16+D17+D18</f>
        <v>29032.8901824</v>
      </c>
      <c r="E19" s="0" t="n">
        <f aca="false">E15+E16+E17+E18</f>
        <v>29148.098359788</v>
      </c>
      <c r="F19" s="0" t="n">
        <f aca="false">F15+F16+F17+F18</f>
        <v>29029.6277402099</v>
      </c>
      <c r="G19" s="0" t="n">
        <f aca="false">G15+G16+G17+G18</f>
        <v>29900.5165724162</v>
      </c>
      <c r="H19" s="0" t="n">
        <f aca="false">H15+H16+H17+H18</f>
        <v>31306.1414433429</v>
      </c>
      <c r="I19" s="0" t="n">
        <f aca="false">I15+I16+I17+I18</f>
        <v>32245.3256866432</v>
      </c>
      <c r="J19" s="0" t="n">
        <f aca="false">J15+J16+J17+J18</f>
        <v>33752.2691418584</v>
      </c>
      <c r="K19" s="0" t="n">
        <f aca="false">K15+K16+K17+K18</f>
        <v>34764.8372161141</v>
      </c>
      <c r="L19" s="0" t="n">
        <f aca="false">L15+L16+L17+L18</f>
        <v>35807.7823325976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26555.4655023041</v>
      </c>
      <c r="D21" s="0" t="n">
        <f aca="false">D19*D20</f>
        <v>24662.1420564463</v>
      </c>
      <c r="E21" s="0" t="n">
        <f aca="false">E19*E20</f>
        <v>22820.2822597335</v>
      </c>
      <c r="F21" s="0" t="n">
        <f aca="false">F19*F20</f>
        <v>20947.0328592071</v>
      </c>
      <c r="G21" s="0" t="n">
        <f aca="false">G19*G20</f>
        <v>19885.2017004455</v>
      </c>
      <c r="H21" s="0" t="n">
        <f aca="false">H19*H20</f>
        <v>19188.9457029637</v>
      </c>
      <c r="I21" s="0" t="n">
        <f aca="false">I19*I20</f>
        <v>18216.2341696338</v>
      </c>
      <c r="J21" s="0" t="n">
        <f aca="false">J19*J20</f>
        <v>17573.7753332805</v>
      </c>
      <c r="K21" s="0" t="n">
        <f aca="false">K19*K20</f>
        <v>16682.9387956488</v>
      </c>
      <c r="L21" s="0" t="n">
        <f aca="false">L19*L20</f>
        <v>15837.2598705237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202369.278250187</v>
      </c>
    </row>
    <row r="31" customFormat="false" ht="15" hidden="false" customHeight="false" outlineLevel="0" collapsed="false">
      <c r="A31" s="0" t="s">
        <v>129</v>
      </c>
      <c r="B31" s="0" t="n">
        <f aca="false">L19</f>
        <v>35807.7823325976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561906.7381423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429693.387991171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429693.387991171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190047.118446285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392416.396696472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405507.396696472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47.8067501187233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1.43415224637084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47.8067501187233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280953.36907115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27.7755994811975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24.5076368230611</v>
      </c>
      <c r="C4" s="0" t="n">
        <f aca="false">B4/Assumptions!$B$2-1</f>
        <v>0.247843015430811</v>
      </c>
      <c r="D4" s="4" t="n">
        <f aca="false">Assumptions!$B$24</f>
        <v>0.25</v>
      </c>
      <c r="E4" s="4" t="n">
        <f aca="false">DCF_Bear!$B$43</f>
        <v>24.5076368230611</v>
      </c>
      <c r="F4" s="4" t="n">
        <f aca="false">DCF_Bear!$B$47</f>
        <v>15.0369952261528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38.0494018895358</v>
      </c>
      <c r="C5" s="0" t="n">
        <f aca="false">B5/Assumptions!$B$2-1</f>
        <v>0.937342255068016</v>
      </c>
      <c r="D5" s="4" t="n">
        <f aca="false">Assumptions!$B$38</f>
        <v>0.5</v>
      </c>
      <c r="E5" s="4" t="n">
        <f aca="false">DCF_Base!$B$43</f>
        <v>38.0494018895358</v>
      </c>
      <c r="F5" s="4" t="n">
        <f aca="false">DCF_Base!$B$47</f>
        <v>22.5081886719421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47.8067501187233</v>
      </c>
      <c r="C6" s="0" t="n">
        <f aca="false">B6/Assumptions!$B$2-1</f>
        <v>1.43415224637084</v>
      </c>
      <c r="D6" s="4" t="n">
        <f aca="false">Assumptions!$B$52</f>
        <v>0.25</v>
      </c>
      <c r="E6" s="4" t="n">
        <f aca="false">DCF_Bull!$B$43</f>
        <v>47.8067501187233</v>
      </c>
      <c r="F6" s="4" t="n">
        <f aca="false">DCF_Bull!$B$47</f>
        <v>27.7755994811975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37.103297680214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37.103297680214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0.470666996522162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21.9572430128086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38.0494018895358</v>
      </c>
      <c r="C15" s="3" t="n">
        <v>8.5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36.8451370322156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34.5924560407497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31.7665496254204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28.7550886902499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22.5081886719421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43.4537858207679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43.4537858207679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43.4537858207679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43.4537858207679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43.4537858207679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40.6278844779858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40.6278844779858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40.6278844779858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40.6278844779858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40.6278844779858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38.0494018895358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38.0494018895358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38.0494018895358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38.0494018895358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38.0494018895358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35.539232679666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35.6937088451943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35.6937088451943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35.6937088451943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35.6937088451943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31.8982053803201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32.6729614468552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33.538865285924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33.538865285924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33.538865285924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2026-10-16T11:18:47Z</dcterms:created>
  <dc:creator>openpyxl</dc:creator>
  <dc:description/>
  <dc:language>en-NZ</dc:language>
  <cp:lastModifiedBy/>
  <dcterms:modified xsi:type="dcterms:W3CDTF">2026-10-16T11:18:47Z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