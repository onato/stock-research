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<sst xmlns="http://schemas.openxmlformats.org/spreadsheetml/2006/main" count="389" uniqueCount="175">
  <si>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</si>
  <si>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7313.T</t>
  </si>
  <si>
    <t xml:space="preserve">Company</t>
  </si>
  <si>
    <t xml:space="preserve">TS TECH Co., Ltd.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</si>
  <si>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</si>
  <si>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</si>
  <si>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</si>
  <si>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</si>
  <si>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2026-09-25T06:30:00Z regular close (Yahoo Finance chart API); 52-week range 1690.0-2018.5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</si>
  <si>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</si>
  <si>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</si>
  <si>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</si>
  <si>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</si>
  <si>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</si>
  <si>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</si>
  <si>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</si>
  <si>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</si>
  <si>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 of JPY (money fields); shares_outstanding in millions of shares (116.685153m); FX not applicable (JPY filings, JPY quote)</t>
  </si>
  <si>
    <t xml:space="preserve">Engine</t>
  </si>
  <si>
    <t xml:space="preserve">dcf_engine v1</t>
  </si>
  <si>
    <t xml:space="preserve">Built at</t>
  </si>
  <si>
    <t xml:space="preserve">2026-09-25T18:40:45Z</t>
  </si>
  <si>
    <t xml:space="preserve">Drivers file</t>
  </si>
  <si>
    <t xml:space="preserve">7313.T_Drivers.json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</si>
  <si>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</si>
  <si>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</si>
  <si>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</si>
  <si>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TS TECH is a structurally sound but currently impaired keiretsu supplier: a genuine, multi-decade Honda-incumbency moat and a large net-cash balance sheet (JPY92.6bn cash, zero interest-bearing debt, against a market cap of roughly JPY204bn at the current price) sit underneath an operating business whose margin has more than halved in two years (9.9% FY2018 peak operating margin to 2.3% FY2026) on Honda volume declines and a rapidly worsening China share loss to domestic EV makers. The valuation is built as a genuine mid-cycle recovery case, not a trough extrapolation and not a full credit-management's-plan case: base-case margins recover to roughly half the distance between the FY2026 trough and management's own 5.0%-by-FY2029 target, because the immediately prior medium-term plan missed an equivalent target by 7 points on the same dynamics that are still worsening today. The terminal cap multiple (12x) and terminal growth (1.5%) are held conservative for a capital-intensive, single-digit-margin, single-customer-dependent auto-parts supplier that has traded below 1x book for most of the last decade (PBR ~0.6x at the current price against JPY311.6bn attributable equity / 116.7m shares = JPY2,671/share book value vs JPY1,842 price).
key_risks_to_valuation: Honda Group concentration (~86-89% of revenue, ~22% of TS TECH's own voting rights held by Honda) means there is no realistic near-term diversification path if Honda's global volumes continue to shrink; China: Honda's China sales are down ~37.5% YTD through August 2026 and accelerating, with permanent ICE capacity closures through 2027; TS TECH's China segment already swung to an operating loss in Q1 FY2027; The 16th Medium-Term Plan (FY2027-29) asks investors to trust a numeric margin-recovery target from the same management that badly missed the equivalent 15th-plan target -- the base case discounts this explicitly rather than assuming credibility; A payout ratio above 100% of earnings (149% FY2026, ~134% guided FY2027) is being funded from the cash pile, not earnings; if the recovery plan slips again the dividend is the likely adjustment lever, removing a key support to the current price; Much of the recent reported earnings 'recovery' (Q1 FY2027 net income +172% YoY) is yen-weakness translation, not operational improvement, and would reverse if USD/JPY strengthens back toward its year-ago level; Material and growing non-controlling interests (~24-29% of consolidated net income) mean a rising share of any consolidated recovery does not flow through to TS TECH's own shareholders</t>
  </si>
  <si>
    <t xml:space="preserve">Data sources</t>
  </si>
  <si>
    <t xml:space="preserve">price: Yahoo Finance chart API at inputs.price_as_of; 52-week range 1690.0-2018.5
financials: research/7313.T/Reports/7313.T_Metrics.csv (metrics_normalized) and research/7313.T/Reports/7313.T.duckdb core_metrics, cross-checked against research/7313.T/Extracted/7313.T_Annual_Report_FY2025.txt (full IFRS consolidated statements and notes 8, 15, 22, 28) and the FY2026/Q1 FY2027 Japanese-language kessan tanshin short-form releases (English Integrated Report for FY2026 not yet in Extracted/ at time of build; FY2026 finance-income interest/dividend split is estimated from the FY2025 disclosed ratio, noted in inputs.wacc_rationale is not the right field -- see inputs.interest_income derivation: FY2025 actual finance income (interest JPY2,560m + dividend JPY1,446m) ratio applied to the FY2026 implied finance-income total (EBT JPY15,461m - operating income JPY10,325m - equity-method share JPY585m + assumed finance costs ~JPY700m = ~JPY5,251m), giving interest_income ~JPY3,258m)
qualitative: research/7313.T/Reports/7313.T_Analysis.json (regenerated 2026-09-26): business model, growth drivers, bull/bear case, guidance detail (16th Medium-Term Plan, FY2027 guidance reaffirmed at Q1 FY2027 results 2026-08-07)</t>
  </si>
  <si>
    <t xml:space="preserve">Scenario narrative: bear</t>
  </si>
  <si>
    <t xml:space="preserve">16th Medium-Term Plan repeats the 15th's failure: continuing Honda China share loss, a Japan/Americas volume drag, and non-Honda wins too small to offset the core decline hold operating margin near the FY2026 trough through the horizon, with elevated capex not translating into volume.</t>
  </si>
  <si>
    <t xml:space="preserve">Scenario narrative: base</t>
  </si>
  <si>
    <t xml:space="preserve">Guidance-anchored, partial-recovery case: FY2027 revenue follows management's own guidance, then grows modestly on non-Honda diversification while Honda volumes stay roughly flat-to-down; operating margin recovers to ~4.0-4.5% by the end of the horizon, about halfway between the FY2026 trough (2.3%) and management's own 5.0%-by-FY2029 target, discounting the target for the 15th Medium-Term Plan's much larger miss.</t>
  </si>
  <si>
    <t xml:space="preserve">Scenario narrative: bull</t>
  </si>
  <si>
    <t xml:space="preserve">16th Medium-Term Plan succeeds: Honda-share gains, non-Honda scale-up toward the JPY100bn FY2029 target, and a stabilizing China franchise let operating margin approach management's stated 5.0% target by year 5, aided by a structurally weaker yen.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</si>
  <si>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</si>
  <si>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</si>
  <si>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</si>
  <si>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</si>
  <si>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</si>
  <si>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</si>
  <si>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</si>
  <si>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</si>
  <si>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</si>
  <si>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</si>
  <si>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</si>
  <si>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</si>
  <si>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</si>
  <si>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</si>
  <si>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</si>
  <si>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</si>
  <si>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</si>
  <si>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</si>
  <si>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</si>
  <si>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</si>
  <si>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</si>
  <si>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</si>
  <si>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</si>
  <si>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</si>
  <si>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</si>
  <si>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</si>
  <si>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</si>
  <si>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</si>
  <si>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millions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</si>
  <si>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</si>
  <si>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</si>
  <si>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</si>
  <si>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</si>
  <si>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</si>
  <si>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</si>
  <si>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</si>
  <si>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</si>
  <si>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</si>
  <si>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</si>
  <si>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</si>
  <si>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</si>
  <si>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</si>
  <si>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</si>
  <si>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</si>
  <si>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</si>
  <si>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</si>
  <si>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</si>
  <si>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</si>
  <si>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</si>
  <si>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</si>
  <si>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</si>
  <si>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</si>
  <si>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</si>
  <si>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</si>
  <si>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</si>
  <si>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</si>
  <si>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</si>
  <si>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</si>
  <si>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 of JPY (money fields); shares_outstanding in millions of shares (116.685153m); FX not applicable (JPY filings, JPY quote)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</si>
  <si>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</si>
  <si>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</si>
  <si>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</si>
  <si>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</si>
  <si>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</si>
  <si>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</si>
  <si>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</si>
  <si>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</si>
  <si>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</si>
  <si>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</si>
  <si>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</si>
  <si>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</si>
  <si>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</si>
  <si>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</si>
  <si>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</si>
  <si>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</si>
  <si>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</si>
  <si>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</si>
  <si>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</si>
  <si>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</si>
  <si>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</si>
  <si>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</si>
  <si>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</si>
  <si>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</si>
  <si>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</si>
  <si>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</si>
  <si>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7313.T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</si>
  <si>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</si>
  <si>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</si>
  <si>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</si>
  <si>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</si>
  <si>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</si>
  <si>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</si>
  <si>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</si>
  <si>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</si>
  <si>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</si>
  <si>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</si>
  <si>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</si>
  <si>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</si>
  <si>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</si>
  <si>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</si>
  <si>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</si>
  <si>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</si>
  <si>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</si>
  <si>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</si>
  <si>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</si>
  <si>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</si>
  <si>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</si>
  <si>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</si>
  <si>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</si>
  <si>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</si>
  <si>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</si>
  <si>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</si>
  <si>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</si>
  <si>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</si>
  <si>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</si>
  <si>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</si>
  <si>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7313.T owner-FCF component DCF: base case (millions, JPY)</t>
  </si>
  <si>
    <t xml:space="preserve">7313.T owner-FCF component DCF: bull case (millions, JPY)</t>
  </si>
  <si>
    <t xml:space="preserve">7313.T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</si>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</sst>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1842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417950</v>
      </c>
      <c r="F2" s="0" t="n">
        <v>16416</v>
      </c>
      <c r="G2" s="0" t="n">
        <v>3.9</v>
      </c>
      <c r="I2" s="0" t="n">
        <v>9759</v>
      </c>
      <c r="J2" s="0" t="n">
        <v>2.3</v>
      </c>
      <c r="K2" s="0" t="n">
        <v>287.3</v>
      </c>
      <c r="L2" s="0" t="n">
        <v>16639</v>
      </c>
      <c r="P2" s="0" t="n">
        <v>174431</v>
      </c>
      <c r="Q2" s="0" t="n">
        <v>82113</v>
      </c>
      <c r="S2" s="0" t="n">
        <v>9712</v>
      </c>
      <c r="AA2" s="0" t="s">
        <v>64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479157</v>
      </c>
      <c r="F3" s="0" t="n">
        <v>26224</v>
      </c>
      <c r="G3" s="0" t="n">
        <v>5.5</v>
      </c>
      <c r="I3" s="0" t="n">
        <v>16517</v>
      </c>
      <c r="J3" s="0" t="n">
        <v>3.4</v>
      </c>
      <c r="K3" s="0" t="n">
        <v>485.81</v>
      </c>
      <c r="L3" s="0" t="n">
        <v>31146</v>
      </c>
      <c r="P3" s="0" t="n">
        <v>189348</v>
      </c>
      <c r="Q3" s="0" t="n">
        <v>85055</v>
      </c>
      <c r="S3" s="0" t="n">
        <v>22147</v>
      </c>
      <c r="AA3" s="0" t="s">
        <v>64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404761</v>
      </c>
      <c r="C4" s="0" t="n">
        <v>364791</v>
      </c>
      <c r="D4" s="0" t="n">
        <v>39969</v>
      </c>
      <c r="E4" s="0" t="n">
        <v>9.9</v>
      </c>
      <c r="F4" s="0" t="n">
        <v>16093</v>
      </c>
      <c r="G4" s="0" t="n">
        <v>4</v>
      </c>
      <c r="I4" s="0" t="n">
        <v>4741</v>
      </c>
      <c r="J4" s="0" t="n">
        <v>1.2</v>
      </c>
      <c r="K4" s="0" t="n">
        <v>69.73</v>
      </c>
      <c r="L4" s="0" t="n">
        <v>18851</v>
      </c>
      <c r="M4" s="0" t="n">
        <v>12741</v>
      </c>
      <c r="N4" s="0" t="n">
        <v>6110</v>
      </c>
      <c r="O4" s="0" t="n">
        <v>84644</v>
      </c>
      <c r="P4" s="0" t="n">
        <v>157399</v>
      </c>
      <c r="Q4" s="0" t="n">
        <v>63192</v>
      </c>
      <c r="S4" s="0" t="n">
        <v>19547</v>
      </c>
      <c r="AA4" s="0" t="s">
        <v>64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317990</v>
      </c>
      <c r="C5" s="0" t="n">
        <v>287971</v>
      </c>
      <c r="D5" s="0" t="n">
        <v>30018</v>
      </c>
      <c r="E5" s="0" t="n">
        <v>9.4</v>
      </c>
      <c r="F5" s="0" t="n">
        <v>9598</v>
      </c>
      <c r="G5" s="0" t="n">
        <v>3</v>
      </c>
      <c r="I5" s="0" t="n">
        <v>6328</v>
      </c>
      <c r="J5" s="0" t="n">
        <v>2</v>
      </c>
      <c r="K5" s="0" t="n">
        <v>93.06</v>
      </c>
      <c r="L5" s="0" t="n">
        <v>15679</v>
      </c>
      <c r="M5" s="0" t="n">
        <v>8042</v>
      </c>
      <c r="N5" s="0" t="n">
        <v>7637</v>
      </c>
      <c r="O5" s="0" t="n">
        <v>94106</v>
      </c>
      <c r="P5" s="0" t="n">
        <v>178272</v>
      </c>
      <c r="Q5" s="0" t="n">
        <v>72783</v>
      </c>
      <c r="S5" s="0" t="n">
        <v>16194</v>
      </c>
      <c r="AA5" s="0" t="s">
        <v>64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357489</v>
      </c>
      <c r="C6" s="0" t="n">
        <v>315110</v>
      </c>
      <c r="D6" s="0" t="n">
        <v>42378</v>
      </c>
      <c r="E6" s="0" t="n">
        <v>11.9</v>
      </c>
      <c r="F6" s="0" t="n">
        <v>20163</v>
      </c>
      <c r="G6" s="0" t="n">
        <v>5.6</v>
      </c>
      <c r="I6" s="0" t="n">
        <v>11755</v>
      </c>
      <c r="J6" s="0" t="n">
        <v>3.3</v>
      </c>
      <c r="K6" s="0" t="n">
        <v>172.87</v>
      </c>
      <c r="L6" s="0" t="n">
        <v>33676</v>
      </c>
      <c r="M6" s="0" t="n">
        <v>7802</v>
      </c>
      <c r="N6" s="0" t="n">
        <v>25874</v>
      </c>
      <c r="O6" s="0" t="n">
        <v>99571</v>
      </c>
      <c r="P6" s="0" t="n">
        <v>180839</v>
      </c>
      <c r="Q6" s="0" t="n">
        <v>68945</v>
      </c>
      <c r="S6" s="0" t="n">
        <v>33287</v>
      </c>
      <c r="AA6" s="0" t="s">
        <v>64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305482</v>
      </c>
      <c r="C7" s="0" t="n">
        <v>273813</v>
      </c>
      <c r="D7" s="0" t="n">
        <v>31669</v>
      </c>
      <c r="E7" s="0" t="n">
        <v>10.4</v>
      </c>
      <c r="F7" s="0" t="n">
        <v>9401</v>
      </c>
      <c r="G7" s="0" t="n">
        <v>3.1</v>
      </c>
      <c r="I7" s="0" t="n">
        <v>4712</v>
      </c>
      <c r="J7" s="0" t="n">
        <v>1.5</v>
      </c>
      <c r="K7" s="0" t="n">
        <v>69.31</v>
      </c>
      <c r="L7" s="0" t="n">
        <v>18599</v>
      </c>
      <c r="M7" s="0" t="n">
        <v>7018</v>
      </c>
      <c r="N7" s="0" t="n">
        <v>11581</v>
      </c>
      <c r="O7" s="0" t="n">
        <v>100946</v>
      </c>
      <c r="P7" s="0" t="n">
        <v>189343</v>
      </c>
      <c r="Q7" s="0" t="n">
        <v>77096</v>
      </c>
      <c r="S7" s="0" t="n">
        <v>43394</v>
      </c>
      <c r="AA7" s="0" t="s">
        <v>64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359331</v>
      </c>
      <c r="C8" s="0" t="n">
        <v>309929</v>
      </c>
      <c r="D8" s="0" t="n">
        <v>49401</v>
      </c>
      <c r="E8" s="0" t="n">
        <v>13.7</v>
      </c>
      <c r="F8" s="0" t="n">
        <v>24219</v>
      </c>
      <c r="G8" s="0" t="n">
        <v>6.7</v>
      </c>
      <c r="I8" s="0" t="n">
        <v>15741</v>
      </c>
      <c r="J8" s="0" t="n">
        <v>4.4</v>
      </c>
      <c r="K8" s="0" t="n">
        <v>231.5</v>
      </c>
      <c r="L8" s="0" t="n">
        <v>23772</v>
      </c>
      <c r="M8" s="0" t="n">
        <v>9342</v>
      </c>
      <c r="N8" s="0" t="n">
        <v>14430</v>
      </c>
      <c r="O8" s="0" t="n">
        <v>122992</v>
      </c>
      <c r="P8" s="0" t="n">
        <v>207700</v>
      </c>
      <c r="Q8" s="0" t="n">
        <v>70177</v>
      </c>
      <c r="S8" s="0" t="n">
        <v>53348</v>
      </c>
      <c r="AA8" s="0" t="s">
        <v>64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457053</v>
      </c>
      <c r="C9" s="0" t="n">
        <v>385939</v>
      </c>
      <c r="D9" s="0" t="n">
        <v>71113</v>
      </c>
      <c r="E9" s="0" t="n">
        <v>15.6</v>
      </c>
      <c r="F9" s="0" t="n">
        <v>39133</v>
      </c>
      <c r="G9" s="0" t="n">
        <v>8.6</v>
      </c>
      <c r="I9" s="0" t="n">
        <v>23900</v>
      </c>
      <c r="J9" s="0" t="n">
        <v>5.2</v>
      </c>
      <c r="K9" s="0" t="n">
        <v>351.49</v>
      </c>
      <c r="L9" s="0" t="n">
        <v>43600</v>
      </c>
      <c r="M9" s="0" t="n">
        <v>19378</v>
      </c>
      <c r="N9" s="0" t="n">
        <v>24222</v>
      </c>
      <c r="O9" s="0" t="n">
        <v>151604</v>
      </c>
      <c r="P9" s="0" t="n">
        <v>264635</v>
      </c>
      <c r="Q9" s="0" t="n">
        <v>93921</v>
      </c>
      <c r="S9" s="0" t="n">
        <v>76460</v>
      </c>
      <c r="AA9" s="0" t="s">
        <v>64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434279</v>
      </c>
      <c r="C10" s="0" t="n">
        <v>364530</v>
      </c>
      <c r="D10" s="0" t="n">
        <v>69748</v>
      </c>
      <c r="E10" s="0" t="n">
        <v>16.1</v>
      </c>
      <c r="F10" s="0" t="n">
        <v>35286</v>
      </c>
      <c r="G10" s="0" t="n">
        <v>8.1</v>
      </c>
      <c r="I10" s="0" t="n">
        <v>22008</v>
      </c>
      <c r="J10" s="0" t="n">
        <v>5.1</v>
      </c>
      <c r="K10" s="0" t="n">
        <v>323.66</v>
      </c>
      <c r="L10" s="0" t="n">
        <v>29959</v>
      </c>
      <c r="M10" s="0" t="n">
        <v>18762</v>
      </c>
      <c r="N10" s="0" t="n">
        <v>11197</v>
      </c>
      <c r="O10" s="0" t="n">
        <v>184933</v>
      </c>
      <c r="P10" s="0" t="n">
        <v>295632</v>
      </c>
      <c r="Q10" s="0" t="n">
        <v>88761</v>
      </c>
      <c r="S10" s="0" t="n">
        <v>84552</v>
      </c>
      <c r="AA10" s="0" t="s">
        <v>64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458732</v>
      </c>
      <c r="C11" s="0" t="n">
        <v>381258</v>
      </c>
      <c r="D11" s="0" t="n">
        <v>77473</v>
      </c>
      <c r="E11" s="0" t="n">
        <v>16.9</v>
      </c>
      <c r="F11" s="0" t="n">
        <v>39279</v>
      </c>
      <c r="G11" s="0" t="n">
        <v>8.6</v>
      </c>
      <c r="I11" s="0" t="n">
        <v>23528</v>
      </c>
      <c r="J11" s="0" t="n">
        <v>5.1</v>
      </c>
      <c r="K11" s="0" t="n">
        <v>346.01</v>
      </c>
      <c r="L11" s="0" t="n">
        <v>47531</v>
      </c>
      <c r="M11" s="0" t="n">
        <v>17673</v>
      </c>
      <c r="N11" s="0" t="n">
        <v>29858</v>
      </c>
      <c r="O11" s="0" t="n">
        <v>197060</v>
      </c>
      <c r="P11" s="0" t="n">
        <v>303948</v>
      </c>
      <c r="Q11" s="0" t="n">
        <v>84856</v>
      </c>
      <c r="R11" s="0" t="n">
        <v>0</v>
      </c>
      <c r="S11" s="0" t="n">
        <v>90437</v>
      </c>
      <c r="AA11" s="0" t="s">
        <v>64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425794</v>
      </c>
      <c r="C12" s="0" t="n">
        <v>355176</v>
      </c>
      <c r="D12" s="0" t="n">
        <v>70617</v>
      </c>
      <c r="E12" s="0" t="n">
        <v>16.6</v>
      </c>
      <c r="F12" s="0" t="n">
        <v>34557</v>
      </c>
      <c r="G12" s="0" t="n">
        <v>8.1</v>
      </c>
      <c r="I12" s="0" t="n">
        <v>19622</v>
      </c>
      <c r="J12" s="0" t="n">
        <v>4.6</v>
      </c>
      <c r="K12" s="0" t="n">
        <v>288.58</v>
      </c>
      <c r="L12" s="0" t="n">
        <v>34045</v>
      </c>
      <c r="M12" s="0" t="n">
        <v>10990</v>
      </c>
      <c r="N12" s="0" t="n">
        <v>23055</v>
      </c>
      <c r="O12" s="0" t="n">
        <v>212417</v>
      </c>
      <c r="P12" s="0" t="n">
        <v>322202</v>
      </c>
      <c r="Q12" s="0" t="n">
        <v>91213</v>
      </c>
      <c r="R12" s="0" t="n">
        <v>0</v>
      </c>
      <c r="S12" s="0" t="n">
        <v>96008</v>
      </c>
      <c r="AA12" s="0" t="s">
        <v>64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479490</v>
      </c>
      <c r="C13" s="0" t="n">
        <v>399329</v>
      </c>
      <c r="D13" s="0" t="n">
        <v>80160</v>
      </c>
      <c r="E13" s="0" t="n">
        <v>16.7</v>
      </c>
      <c r="F13" s="0" t="n">
        <v>47346</v>
      </c>
      <c r="G13" s="0" t="n">
        <v>9.9</v>
      </c>
      <c r="I13" s="0" t="n">
        <v>30115</v>
      </c>
      <c r="J13" s="0" t="n">
        <v>6.3</v>
      </c>
      <c r="K13" s="0" t="n">
        <v>442.89</v>
      </c>
      <c r="L13" s="0" t="n">
        <v>48406</v>
      </c>
      <c r="M13" s="0" t="n">
        <v>8952</v>
      </c>
      <c r="N13" s="0" t="n">
        <v>39454</v>
      </c>
      <c r="O13" s="0" t="n">
        <v>235589</v>
      </c>
      <c r="P13" s="0" t="n">
        <v>351944</v>
      </c>
      <c r="Q13" s="0" t="n">
        <v>92020</v>
      </c>
      <c r="R13" s="0" t="n">
        <v>0</v>
      </c>
      <c r="S13" s="0" t="n">
        <v>118758</v>
      </c>
      <c r="AA13" s="0" t="s">
        <v>64</v>
      </c>
      <c r="AB13" s="0" t="s">
        <v>14</v>
      </c>
    </row>
    <row r="14" customFormat="false" ht="15" hidden="false" customHeight="false" outlineLevel="0" collapsed="false">
      <c r="A14" s="0" t="s">
        <v>76</v>
      </c>
      <c r="B14" s="0" t="n">
        <v>412072</v>
      </c>
      <c r="C14" s="0" t="n">
        <v>338031</v>
      </c>
      <c r="D14" s="0" t="n">
        <v>74040</v>
      </c>
      <c r="E14" s="0" t="n">
        <v>18</v>
      </c>
      <c r="F14" s="0" t="n">
        <v>38793</v>
      </c>
      <c r="G14" s="0" t="n">
        <v>9.4</v>
      </c>
      <c r="I14" s="0" t="n">
        <v>25750</v>
      </c>
      <c r="J14" s="0" t="n">
        <v>6.2</v>
      </c>
      <c r="K14" s="0" t="n">
        <v>378.7</v>
      </c>
      <c r="L14" s="0" t="n">
        <v>43806</v>
      </c>
      <c r="M14" s="0" t="n">
        <v>6782</v>
      </c>
      <c r="N14" s="0" t="n">
        <v>37024</v>
      </c>
      <c r="O14" s="0" t="n">
        <v>255617</v>
      </c>
      <c r="P14" s="0" t="n">
        <v>358265</v>
      </c>
      <c r="Q14" s="0" t="n">
        <v>80841</v>
      </c>
      <c r="R14" s="0" t="n">
        <v>0</v>
      </c>
      <c r="S14" s="0" t="n">
        <v>128647</v>
      </c>
      <c r="AA14" s="0" t="s">
        <v>64</v>
      </c>
      <c r="AB14" s="0" t="s">
        <v>14</v>
      </c>
    </row>
    <row r="15" customFormat="false" ht="15" hidden="false" customHeight="false" outlineLevel="0" collapsed="false">
      <c r="A15" s="0" t="s">
        <v>77</v>
      </c>
      <c r="B15" s="0" t="n">
        <v>359682</v>
      </c>
      <c r="C15" s="0" t="n">
        <v>300307</v>
      </c>
      <c r="D15" s="0" t="n">
        <v>59374</v>
      </c>
      <c r="E15" s="0" t="n">
        <v>16.5</v>
      </c>
      <c r="F15" s="0" t="n">
        <v>26326</v>
      </c>
      <c r="G15" s="0" t="n">
        <v>7.3</v>
      </c>
      <c r="I15" s="0" t="n">
        <v>15064</v>
      </c>
      <c r="J15" s="0" t="n">
        <v>4.2</v>
      </c>
      <c r="K15" s="0" t="n">
        <v>221.54</v>
      </c>
      <c r="L15" s="0" t="n">
        <v>44193</v>
      </c>
      <c r="M15" s="0" t="n">
        <v>7623</v>
      </c>
      <c r="N15" s="0" t="n">
        <v>36570</v>
      </c>
      <c r="O15" s="0" t="n">
        <v>254745</v>
      </c>
      <c r="P15" s="0" t="n">
        <v>341820</v>
      </c>
      <c r="Q15" s="0" t="n">
        <v>67268</v>
      </c>
      <c r="R15" s="0" t="n">
        <v>0</v>
      </c>
      <c r="S15" s="0" t="n">
        <v>149628</v>
      </c>
      <c r="AA15" s="0" t="s">
        <v>64</v>
      </c>
      <c r="AB15" s="0" t="s">
        <v>14</v>
      </c>
    </row>
    <row r="16" customFormat="false" ht="15" hidden="false" customHeight="false" outlineLevel="0" collapsed="false">
      <c r="A16" s="0" t="s">
        <v>78</v>
      </c>
      <c r="B16" s="0" t="n">
        <v>346149</v>
      </c>
      <c r="C16" s="0" t="n">
        <v>288671</v>
      </c>
      <c r="D16" s="0" t="n">
        <v>57478</v>
      </c>
      <c r="E16" s="0" t="n">
        <v>16.6</v>
      </c>
      <c r="F16" s="0" t="n">
        <v>26742</v>
      </c>
      <c r="G16" s="0" t="n">
        <v>7.7</v>
      </c>
      <c r="I16" s="0" t="n">
        <v>20741</v>
      </c>
      <c r="J16" s="0" t="n">
        <v>6</v>
      </c>
      <c r="K16" s="0" t="n">
        <v>152.89</v>
      </c>
      <c r="L16" s="0" t="n">
        <v>25151</v>
      </c>
      <c r="M16" s="0" t="n">
        <v>5455</v>
      </c>
      <c r="N16" s="0" t="n">
        <v>19696</v>
      </c>
      <c r="O16" s="0" t="n">
        <v>277017</v>
      </c>
      <c r="P16" s="0" t="n">
        <v>390478</v>
      </c>
      <c r="Q16" s="0" t="n">
        <v>89028</v>
      </c>
      <c r="R16" s="0" t="n">
        <v>0</v>
      </c>
      <c r="S16" s="0" t="n">
        <v>153034</v>
      </c>
      <c r="AA16" s="0" t="s">
        <v>64</v>
      </c>
      <c r="AB16" s="0" t="s">
        <v>14</v>
      </c>
    </row>
    <row r="17" customFormat="false" ht="15" hidden="false" customHeight="false" outlineLevel="0" collapsed="false">
      <c r="A17" s="0" t="s">
        <v>79</v>
      </c>
      <c r="B17" s="0" t="n">
        <v>349958</v>
      </c>
      <c r="C17" s="0" t="n">
        <v>295716</v>
      </c>
      <c r="D17" s="0" t="n">
        <v>54242</v>
      </c>
      <c r="E17" s="0" t="n">
        <v>15.5</v>
      </c>
      <c r="F17" s="0" t="n">
        <v>22998</v>
      </c>
      <c r="G17" s="0" t="n">
        <v>6.6</v>
      </c>
      <c r="I17" s="0" t="n">
        <v>12416</v>
      </c>
      <c r="J17" s="0" t="n">
        <v>3.5</v>
      </c>
      <c r="K17" s="0" t="n">
        <v>92.56</v>
      </c>
      <c r="L17" s="0" t="n">
        <v>20018</v>
      </c>
      <c r="M17" s="0" t="n">
        <v>13777</v>
      </c>
      <c r="N17" s="0" t="n">
        <v>6241</v>
      </c>
      <c r="O17" s="0" t="n">
        <v>296855</v>
      </c>
      <c r="P17" s="0" t="n">
        <v>415985</v>
      </c>
      <c r="Q17" s="0" t="n">
        <v>90402</v>
      </c>
      <c r="R17" s="0" t="n">
        <v>0</v>
      </c>
      <c r="S17" s="0" t="n">
        <v>139585</v>
      </c>
      <c r="AA17" s="0" t="s">
        <v>64</v>
      </c>
      <c r="AB17" s="0" t="s">
        <v>14</v>
      </c>
    </row>
    <row r="18" customFormat="false" ht="15" hidden="false" customHeight="false" outlineLevel="0" collapsed="false">
      <c r="A18" s="0" t="s">
        <v>80</v>
      </c>
      <c r="B18" s="0" t="n">
        <v>409200</v>
      </c>
      <c r="C18" s="0" t="n">
        <v>355790</v>
      </c>
      <c r="D18" s="0" t="n">
        <v>53410</v>
      </c>
      <c r="E18" s="0" t="n">
        <v>13.1</v>
      </c>
      <c r="F18" s="0" t="n">
        <v>15257</v>
      </c>
      <c r="G18" s="0" t="n">
        <v>3.7</v>
      </c>
      <c r="I18" s="0" t="n">
        <v>5343</v>
      </c>
      <c r="J18" s="0" t="n">
        <v>1.3</v>
      </c>
      <c r="K18" s="0" t="n">
        <v>41.35</v>
      </c>
      <c r="L18" s="0" t="n">
        <v>30445</v>
      </c>
      <c r="M18" s="0" t="n">
        <v>13434</v>
      </c>
      <c r="N18" s="0" t="n">
        <v>17011</v>
      </c>
      <c r="O18" s="0" t="n">
        <v>298791</v>
      </c>
      <c r="P18" s="0" t="n">
        <v>416226</v>
      </c>
      <c r="Q18" s="0" t="n">
        <v>92768</v>
      </c>
      <c r="R18" s="0" t="n">
        <v>0</v>
      </c>
      <c r="S18" s="0" t="n">
        <v>132914</v>
      </c>
      <c r="AA18" s="0" t="s">
        <v>64</v>
      </c>
      <c r="AB18" s="0" t="s">
        <v>14</v>
      </c>
    </row>
    <row r="19" customFormat="false" ht="15" hidden="false" customHeight="false" outlineLevel="0" collapsed="false">
      <c r="A19" s="0" t="s">
        <v>81</v>
      </c>
      <c r="B19" s="0" t="n">
        <v>441713</v>
      </c>
      <c r="C19" s="0" t="n">
        <v>381860</v>
      </c>
      <c r="D19" s="0" t="n">
        <v>59852</v>
      </c>
      <c r="E19" s="0" t="n">
        <v>13.5</v>
      </c>
      <c r="F19" s="0" t="n">
        <v>17507</v>
      </c>
      <c r="G19" s="0" t="n">
        <v>4</v>
      </c>
      <c r="I19" s="0" t="n">
        <v>10214</v>
      </c>
      <c r="J19" s="0" t="n">
        <v>2.3</v>
      </c>
      <c r="K19" s="0" t="n">
        <v>80.09</v>
      </c>
      <c r="L19" s="0" t="n">
        <v>37659</v>
      </c>
      <c r="M19" s="0" t="n">
        <v>13056</v>
      </c>
      <c r="N19" s="0" t="n">
        <v>24603</v>
      </c>
      <c r="O19" s="0" t="n">
        <v>326932</v>
      </c>
      <c r="P19" s="0" t="n">
        <v>446214</v>
      </c>
      <c r="Q19" s="0" t="n">
        <v>97511</v>
      </c>
      <c r="R19" s="0" t="n">
        <v>0</v>
      </c>
      <c r="S19" s="0" t="n">
        <v>150755</v>
      </c>
      <c r="AA19" s="0" t="s">
        <v>64</v>
      </c>
      <c r="AB19" s="0" t="s">
        <v>14</v>
      </c>
    </row>
    <row r="20" customFormat="false" ht="15" hidden="false" customHeight="false" outlineLevel="0" collapsed="false">
      <c r="A20" s="0" t="s">
        <v>82</v>
      </c>
      <c r="B20" s="0" t="n">
        <v>460514</v>
      </c>
      <c r="C20" s="0" t="n">
        <v>397547</v>
      </c>
      <c r="D20" s="0" t="n">
        <v>62966</v>
      </c>
      <c r="E20" s="0" t="n">
        <v>13.7</v>
      </c>
      <c r="F20" s="0" t="n">
        <v>16428</v>
      </c>
      <c r="G20" s="0" t="n">
        <v>3.6</v>
      </c>
      <c r="I20" s="0" t="n">
        <v>8630</v>
      </c>
      <c r="J20" s="0" t="n">
        <v>1.9</v>
      </c>
      <c r="K20" s="0" t="n">
        <v>70.69</v>
      </c>
      <c r="L20" s="0" t="n">
        <v>28713</v>
      </c>
      <c r="M20" s="0" t="n">
        <v>16989</v>
      </c>
      <c r="N20" s="0" t="n">
        <v>11724</v>
      </c>
      <c r="O20" s="0" t="n">
        <v>306302</v>
      </c>
      <c r="P20" s="0" t="n">
        <v>432366</v>
      </c>
      <c r="Q20" s="0" t="n">
        <v>106679</v>
      </c>
      <c r="R20" s="0" t="n">
        <v>0</v>
      </c>
      <c r="S20" s="0" t="n">
        <v>111543</v>
      </c>
      <c r="T20" s="0" t="n">
        <v>119254564</v>
      </c>
      <c r="AA20" s="0" t="s">
        <v>64</v>
      </c>
      <c r="AB20" s="0" t="s">
        <v>14</v>
      </c>
    </row>
    <row r="21" customFormat="false" ht="15" hidden="false" customHeight="false" outlineLevel="0" collapsed="false">
      <c r="A21" s="0" t="s">
        <v>83</v>
      </c>
      <c r="B21" s="0" t="n">
        <v>442316</v>
      </c>
      <c r="C21" s="0" t="n">
        <v>387874</v>
      </c>
      <c r="D21" s="0" t="n">
        <v>54441</v>
      </c>
      <c r="E21" s="0" t="n">
        <v>12.3</v>
      </c>
      <c r="F21" s="0" t="n">
        <v>10325</v>
      </c>
      <c r="G21" s="0" t="n">
        <v>2.3</v>
      </c>
      <c r="I21" s="0" t="n">
        <v>7134</v>
      </c>
      <c r="J21" s="0" t="n">
        <v>1.6</v>
      </c>
      <c r="K21" s="0" t="n">
        <v>60.37</v>
      </c>
      <c r="L21" s="0" t="n">
        <v>22607</v>
      </c>
      <c r="M21" s="0" t="n">
        <v>19246</v>
      </c>
      <c r="N21" s="0" t="n">
        <v>3361</v>
      </c>
      <c r="O21" s="0" t="n">
        <v>309869</v>
      </c>
      <c r="P21" s="0" t="n">
        <v>422709</v>
      </c>
      <c r="Q21" s="0" t="n">
        <v>95111</v>
      </c>
      <c r="R21" s="0" t="n">
        <v>0</v>
      </c>
      <c r="S21" s="0" t="n">
        <v>92602</v>
      </c>
      <c r="T21" s="0" t="n">
        <v>116685153</v>
      </c>
      <c r="AA21" s="0" t="s">
        <v>64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1842</v>
      </c>
    </row>
    <row r="3" customFormat="false" ht="15" hidden="false" customHeight="false" outlineLevel="0" collapsed="false">
      <c r="A3" s="0" t="s">
        <v>87</v>
      </c>
      <c r="B3" s="3" t="n">
        <v>116.685</v>
      </c>
    </row>
    <row r="4" customFormat="false" ht="15" hidden="false" customHeight="false" outlineLevel="0" collapsed="false">
      <c r="A4" s="0" t="s">
        <v>88</v>
      </c>
      <c r="B4" s="3" t="n">
        <v>-92602</v>
      </c>
    </row>
    <row r="5" customFormat="false" ht="15" hidden="false" customHeight="false" outlineLevel="0" collapsed="false">
      <c r="A5" s="0" t="s">
        <v>89</v>
      </c>
      <c r="B5" s="3" t="n">
        <v>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442316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-3</v>
      </c>
      <c r="D13" s="3" t="n">
        <v>-1</v>
      </c>
      <c r="E13" s="3" t="n">
        <v>0</v>
      </c>
      <c r="F13" s="3" t="n">
        <v>0.5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108</v>
      </c>
      <c r="C14" s="3" t="n">
        <v>4.8</v>
      </c>
      <c r="D14" s="3" t="n">
        <v>4.8</v>
      </c>
      <c r="E14" s="3" t="n">
        <v>5</v>
      </c>
      <c r="F14" s="3" t="n">
        <v>5.2</v>
      </c>
      <c r="G14" s="3" t="n">
        <v>5.3</v>
      </c>
      <c r="H14" s="3" t="n">
        <v>5.4</v>
      </c>
      <c r="I14" s="3" t="n">
        <v>5.4</v>
      </c>
      <c r="J14" s="3" t="n">
        <v>5.5</v>
      </c>
      <c r="K14" s="3" t="n">
        <v>5.5</v>
      </c>
      <c r="L14" s="3" t="n">
        <v>5.5</v>
      </c>
    </row>
    <row r="15" customFormat="false" ht="15" hidden="false" customHeight="false" outlineLevel="0" collapsed="false">
      <c r="A15" s="0" t="s">
        <v>109</v>
      </c>
      <c r="C15" s="3" t="n">
        <v>0.01</v>
      </c>
      <c r="D15" s="3" t="n">
        <v>0.01</v>
      </c>
      <c r="E15" s="3" t="n">
        <v>0.01</v>
      </c>
      <c r="F15" s="3" t="n">
        <v>0.01</v>
      </c>
      <c r="G15" s="3" t="n">
        <v>0.01</v>
      </c>
      <c r="H15" s="3" t="n">
        <v>0.01</v>
      </c>
      <c r="I15" s="3" t="n">
        <v>0.01</v>
      </c>
      <c r="J15" s="3" t="n">
        <v>0.01</v>
      </c>
      <c r="K15" s="3" t="n">
        <v>0.01</v>
      </c>
      <c r="L15" s="3" t="n">
        <v>0.01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3.3</v>
      </c>
      <c r="D17" s="3" t="n">
        <v>3.3</v>
      </c>
      <c r="E17" s="3" t="n">
        <v>3.2</v>
      </c>
      <c r="F17" s="3" t="n">
        <v>3.2</v>
      </c>
      <c r="G17" s="3" t="n">
        <v>3.2</v>
      </c>
      <c r="H17" s="3" t="n">
        <v>3.2</v>
      </c>
      <c r="I17" s="3" t="n">
        <v>3.2</v>
      </c>
      <c r="J17" s="3" t="n">
        <v>3.2</v>
      </c>
      <c r="K17" s="3" t="n">
        <v>3.2</v>
      </c>
      <c r="L17" s="3" t="n">
        <v>3.2</v>
      </c>
    </row>
    <row r="18" customFormat="false" ht="15" hidden="false" customHeight="false" outlineLevel="0" collapsed="false">
      <c r="A18" s="0" t="s">
        <v>112</v>
      </c>
      <c r="C18" s="3" t="n">
        <v>5.4</v>
      </c>
      <c r="D18" s="3" t="n">
        <v>5</v>
      </c>
      <c r="E18" s="3" t="n">
        <v>4.6</v>
      </c>
      <c r="F18" s="3" t="n">
        <v>4.3</v>
      </c>
      <c r="G18" s="3" t="n">
        <v>4.1</v>
      </c>
      <c r="H18" s="3" t="n">
        <v>4</v>
      </c>
      <c r="I18" s="3" t="n">
        <v>3.9</v>
      </c>
      <c r="J18" s="3" t="n">
        <v>3.8</v>
      </c>
      <c r="K18" s="3" t="n">
        <v>3.8</v>
      </c>
      <c r="L18" s="3" t="n">
        <v>3.8</v>
      </c>
    </row>
    <row r="19" customFormat="false" ht="15" hidden="false" customHeight="false" outlineLevel="0" collapsed="false">
      <c r="A19" s="0" t="s">
        <v>113</v>
      </c>
      <c r="C19" s="3" t="n">
        <v>49</v>
      </c>
      <c r="D19" s="3" t="n">
        <v>49</v>
      </c>
      <c r="E19" s="3" t="n">
        <v>49.5</v>
      </c>
      <c r="F19" s="3" t="n">
        <v>49.5</v>
      </c>
      <c r="G19" s="3" t="n">
        <v>50</v>
      </c>
      <c r="H19" s="3" t="n">
        <v>50</v>
      </c>
      <c r="I19" s="3" t="n">
        <v>50</v>
      </c>
      <c r="J19" s="3" t="n">
        <v>50</v>
      </c>
      <c r="K19" s="3" t="n">
        <v>50</v>
      </c>
      <c r="L19" s="3" t="n">
        <v>50</v>
      </c>
    </row>
    <row r="20" customFormat="false" ht="15" hidden="false" customHeight="false" outlineLevel="0" collapsed="false">
      <c r="A20" s="0" t="s">
        <v>114</v>
      </c>
      <c r="B20" s="3" t="n">
        <v>9.5</v>
      </c>
    </row>
    <row r="21" customFormat="false" ht="15" hidden="false" customHeight="false" outlineLevel="0" collapsed="false">
      <c r="A21" s="0" t="s">
        <v>115</v>
      </c>
      <c r="B21" s="3" t="n">
        <v>1</v>
      </c>
    </row>
    <row r="22" customFormat="false" ht="15" hidden="false" customHeight="false" outlineLevel="0" collapsed="false">
      <c r="A22" s="0" t="s">
        <v>116</v>
      </c>
      <c r="B22" s="3" t="n">
        <v>10</v>
      </c>
    </row>
    <row r="23" customFormat="false" ht="15" hidden="false" customHeight="false" outlineLevel="0" collapsed="false">
      <c r="A23" s="0" t="s">
        <v>117</v>
      </c>
      <c r="B23" s="3" t="n">
        <v>-10</v>
      </c>
    </row>
    <row r="24" customFormat="false" ht="15" hidden="false" customHeight="false" outlineLevel="0" collapsed="false">
      <c r="A24" s="0" t="s">
        <v>118</v>
      </c>
      <c r="B24" s="3" t="n">
        <v>0.3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-0.5</v>
      </c>
      <c r="D27" s="3" t="n">
        <v>1.5</v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108</v>
      </c>
      <c r="C28" s="3" t="n">
        <v>5.5</v>
      </c>
      <c r="D28" s="3" t="n">
        <v>6.3</v>
      </c>
      <c r="E28" s="3" t="n">
        <v>7</v>
      </c>
      <c r="F28" s="3" t="n">
        <v>7.3</v>
      </c>
      <c r="G28" s="3" t="n">
        <v>7.5</v>
      </c>
      <c r="H28" s="3" t="n">
        <v>7.6</v>
      </c>
      <c r="I28" s="3" t="n">
        <v>7.7</v>
      </c>
      <c r="J28" s="3" t="n">
        <v>7.8</v>
      </c>
      <c r="K28" s="3" t="n">
        <v>7.8</v>
      </c>
      <c r="L28" s="3" t="n">
        <v>7.8</v>
      </c>
    </row>
    <row r="29" customFormat="false" ht="15" hidden="false" customHeight="false" outlineLevel="0" collapsed="false">
      <c r="A29" s="0" t="s">
        <v>109</v>
      </c>
      <c r="C29" s="3" t="n">
        <v>0.01</v>
      </c>
      <c r="D29" s="3" t="n">
        <v>0.01</v>
      </c>
      <c r="E29" s="3" t="n">
        <v>0.01</v>
      </c>
      <c r="F29" s="3" t="n">
        <v>0.01</v>
      </c>
      <c r="G29" s="3" t="n">
        <v>0.01</v>
      </c>
      <c r="H29" s="3" t="n">
        <v>0.01</v>
      </c>
      <c r="I29" s="3" t="n">
        <v>0.01</v>
      </c>
      <c r="J29" s="3" t="n">
        <v>0.01</v>
      </c>
      <c r="K29" s="3" t="n">
        <v>0.01</v>
      </c>
      <c r="L29" s="3" t="n">
        <v>0.01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3.2</v>
      </c>
      <c r="D31" s="3" t="n">
        <v>3.1</v>
      </c>
      <c r="E31" s="3" t="n">
        <v>3</v>
      </c>
      <c r="F31" s="3" t="n">
        <v>3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112</v>
      </c>
      <c r="C32" s="3" t="n">
        <v>5.3</v>
      </c>
      <c r="D32" s="3" t="n">
        <v>4.8</v>
      </c>
      <c r="E32" s="3" t="n">
        <v>4.3</v>
      </c>
      <c r="F32" s="3" t="n">
        <v>4</v>
      </c>
      <c r="G32" s="3" t="n">
        <v>3.8</v>
      </c>
      <c r="H32" s="3" t="n">
        <v>3.6</v>
      </c>
      <c r="I32" s="3" t="n">
        <v>3.5</v>
      </c>
      <c r="J32" s="3" t="n">
        <v>3.4</v>
      </c>
      <c r="K32" s="3" t="n">
        <v>3.3</v>
      </c>
      <c r="L32" s="3" t="n">
        <v>3.3</v>
      </c>
    </row>
    <row r="33" customFormat="false" ht="15" hidden="false" customHeight="false" outlineLevel="0" collapsed="false">
      <c r="A33" s="0" t="s">
        <v>113</v>
      </c>
      <c r="C33" s="3" t="n">
        <v>48</v>
      </c>
      <c r="D33" s="3" t="n">
        <v>47.5</v>
      </c>
      <c r="E33" s="3" t="n">
        <v>47</v>
      </c>
      <c r="F33" s="3" t="n">
        <v>46.5</v>
      </c>
      <c r="G33" s="3" t="n">
        <v>46</v>
      </c>
      <c r="H33" s="3" t="n">
        <v>46</v>
      </c>
      <c r="I33" s="3" t="n">
        <v>45.5</v>
      </c>
      <c r="J33" s="3" t="n">
        <v>45.5</v>
      </c>
      <c r="K33" s="3" t="n">
        <v>45</v>
      </c>
      <c r="L33" s="3" t="n">
        <v>45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1.5</v>
      </c>
    </row>
    <row r="36" customFormat="false" ht="15" hidden="false" customHeight="false" outlineLevel="0" collapsed="false">
      <c r="A36" s="0" t="s">
        <v>116</v>
      </c>
      <c r="B36" s="3" t="n">
        <v>12</v>
      </c>
    </row>
    <row r="37" customFormat="false" ht="15" hidden="false" customHeight="false" outlineLevel="0" collapsed="false">
      <c r="A37" s="0" t="s">
        <v>117</v>
      </c>
      <c r="B37" s="3" t="n">
        <v>-8</v>
      </c>
    </row>
    <row r="38" customFormat="false" ht="15" hidden="false" customHeight="false" outlineLevel="0" collapsed="false">
      <c r="A38" s="0" t="s">
        <v>118</v>
      </c>
      <c r="B38" s="3" t="n">
        <v>0.45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</v>
      </c>
      <c r="D41" s="3" t="n">
        <v>3</v>
      </c>
      <c r="E41" s="3" t="n">
        <v>4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108</v>
      </c>
      <c r="C42" s="3" t="n">
        <v>6</v>
      </c>
      <c r="D42" s="3" t="n">
        <v>7</v>
      </c>
      <c r="E42" s="3" t="n">
        <v>7.8</v>
      </c>
      <c r="F42" s="3" t="n">
        <v>8.2</v>
      </c>
      <c r="G42" s="3" t="n">
        <v>8.5</v>
      </c>
      <c r="H42" s="3" t="n">
        <v>8.6</v>
      </c>
      <c r="I42" s="3" t="n">
        <v>8.7</v>
      </c>
      <c r="J42" s="3" t="n">
        <v>8.7</v>
      </c>
      <c r="K42" s="3" t="n">
        <v>8.8</v>
      </c>
      <c r="L42" s="3" t="n">
        <v>8.8</v>
      </c>
    </row>
    <row r="43" customFormat="false" ht="15" hidden="false" customHeight="false" outlineLevel="0" collapsed="false">
      <c r="A43" s="0" t="s">
        <v>109</v>
      </c>
      <c r="C43" s="3" t="n">
        <v>0.01</v>
      </c>
      <c r="D43" s="3" t="n">
        <v>0.01</v>
      </c>
      <c r="E43" s="3" t="n">
        <v>0.01</v>
      </c>
      <c r="F43" s="3" t="n">
        <v>0.01</v>
      </c>
      <c r="G43" s="3" t="n">
        <v>0.01</v>
      </c>
      <c r="H43" s="3" t="n">
        <v>0.01</v>
      </c>
      <c r="I43" s="3" t="n">
        <v>0.01</v>
      </c>
      <c r="J43" s="3" t="n">
        <v>0.01</v>
      </c>
      <c r="K43" s="3" t="n">
        <v>0.01</v>
      </c>
      <c r="L43" s="3" t="n">
        <v>0.01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3.1</v>
      </c>
      <c r="D45" s="3" t="n">
        <v>3</v>
      </c>
      <c r="E45" s="3" t="n">
        <v>2.9</v>
      </c>
      <c r="F45" s="3" t="n">
        <v>2.9</v>
      </c>
      <c r="G45" s="3" t="n">
        <v>2.9</v>
      </c>
      <c r="H45" s="3" t="n">
        <v>2.9</v>
      </c>
      <c r="I45" s="3" t="n">
        <v>2.9</v>
      </c>
      <c r="J45" s="3" t="n">
        <v>2.9</v>
      </c>
      <c r="K45" s="3" t="n">
        <v>2.9</v>
      </c>
      <c r="L45" s="3" t="n">
        <v>2.9</v>
      </c>
    </row>
    <row r="46" customFormat="false" ht="15" hidden="false" customHeight="false" outlineLevel="0" collapsed="false">
      <c r="A46" s="0" t="s">
        <v>112</v>
      </c>
      <c r="C46" s="3" t="n">
        <v>5.2</v>
      </c>
      <c r="D46" s="3" t="n">
        <v>4.6</v>
      </c>
      <c r="E46" s="3" t="n">
        <v>4</v>
      </c>
      <c r="F46" s="3" t="n">
        <v>3.7</v>
      </c>
      <c r="G46" s="3" t="n">
        <v>3.5</v>
      </c>
      <c r="H46" s="3" t="n">
        <v>3.4</v>
      </c>
      <c r="I46" s="3" t="n">
        <v>3.3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113</v>
      </c>
      <c r="C47" s="3" t="n">
        <v>47.5</v>
      </c>
      <c r="D47" s="3" t="n">
        <v>46.5</v>
      </c>
      <c r="E47" s="3" t="n">
        <v>45.5</v>
      </c>
      <c r="F47" s="3" t="n">
        <v>44.5</v>
      </c>
      <c r="G47" s="3" t="n">
        <v>44</v>
      </c>
      <c r="H47" s="3" t="n">
        <v>43.5</v>
      </c>
      <c r="I47" s="3" t="n">
        <v>43</v>
      </c>
      <c r="J47" s="3" t="n">
        <v>43</v>
      </c>
      <c r="K47" s="3" t="n">
        <v>42.5</v>
      </c>
      <c r="L47" s="3" t="n">
        <v>42.5</v>
      </c>
    </row>
    <row r="48" customFormat="false" ht="15" hidden="false" customHeight="false" outlineLevel="0" collapsed="false">
      <c r="A48" s="0" t="s">
        <v>114</v>
      </c>
      <c r="B48" s="3" t="n">
        <v>8.5</v>
      </c>
    </row>
    <row r="49" customFormat="false" ht="15" hidden="false" customHeight="false" outlineLevel="0" collapsed="false">
      <c r="A49" s="0" t="s">
        <v>115</v>
      </c>
      <c r="B49" s="3" t="n">
        <v>2</v>
      </c>
    </row>
    <row r="50" customFormat="false" ht="15" hidden="false" customHeight="false" outlineLevel="0" collapsed="false">
      <c r="A50" s="0" t="s">
        <v>116</v>
      </c>
      <c r="B50" s="3" t="n">
        <v>14</v>
      </c>
    </row>
    <row r="51" customFormat="false" ht="15" hidden="false" customHeight="false" outlineLevel="0" collapsed="false">
      <c r="A51" s="0" t="s">
        <v>117</v>
      </c>
      <c r="B51" s="3" t="n">
        <v>-6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-3</v>
      </c>
      <c r="D5" s="4" t="n">
        <f aca="false">Assumptions!D13</f>
        <v>-1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442316</v>
      </c>
      <c r="C6" s="0" t="n">
        <f aca="false">B6*(1+C5/100)</f>
        <v>429046.52</v>
      </c>
      <c r="D6" s="0" t="n">
        <f aca="false">C6*(1+D5/100)</f>
        <v>424756.0548</v>
      </c>
      <c r="E6" s="0" t="n">
        <f aca="false">D6*(1+E5/100)</f>
        <v>424756.0548</v>
      </c>
      <c r="F6" s="0" t="n">
        <f aca="false">E6*(1+F5/100)</f>
        <v>426879.835074</v>
      </c>
      <c r="G6" s="0" t="n">
        <f aca="false">F6*(1+G5/100)</f>
        <v>431148.63342474</v>
      </c>
      <c r="H6" s="0" t="n">
        <f aca="false">G6*(1+H5/100)</f>
        <v>435460.119758987</v>
      </c>
      <c r="I6" s="0" t="n">
        <f aca="false">H6*(1+I5/100)</f>
        <v>439814.720956577</v>
      </c>
      <c r="J6" s="0" t="n">
        <f aca="false">I6*(1+J5/100)</f>
        <v>444212.868166143</v>
      </c>
      <c r="K6" s="0" t="n">
        <f aca="false">J6*(1+K5/100)</f>
        <v>448654.996847804</v>
      </c>
      <c r="L6" s="0" t="n">
        <f aca="false">K6*(1+L5/100)</f>
        <v>453141.546816283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4.8</v>
      </c>
      <c r="D7" s="4" t="n">
        <f aca="false">Assumptions!D14</f>
        <v>4.8</v>
      </c>
      <c r="E7" s="4" t="n">
        <f aca="false">Assumptions!E14</f>
        <v>5</v>
      </c>
      <c r="F7" s="4" t="n">
        <f aca="false">Assumptions!F14</f>
        <v>5.2</v>
      </c>
      <c r="G7" s="4" t="n">
        <f aca="false">Assumptions!G14</f>
        <v>5.3</v>
      </c>
      <c r="H7" s="4" t="n">
        <f aca="false">Assumptions!H14</f>
        <v>5.4</v>
      </c>
      <c r="I7" s="4" t="n">
        <f aca="false">Assumptions!I14</f>
        <v>5.4</v>
      </c>
      <c r="J7" s="4" t="n">
        <f aca="false">Assumptions!J14</f>
        <v>5.5</v>
      </c>
      <c r="K7" s="4" t="n">
        <f aca="false">Assumptions!K14</f>
        <v>5.5</v>
      </c>
      <c r="L7" s="4" t="n">
        <f aca="false">Assumptions!L14</f>
        <v>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20594.23296</v>
      </c>
      <c r="D8" s="0" t="n">
        <f aca="false">D6*D7/100</f>
        <v>20388.2906304</v>
      </c>
      <c r="E8" s="0" t="n">
        <f aca="false">E6*E7/100</f>
        <v>21237.80274</v>
      </c>
      <c r="F8" s="0" t="n">
        <f aca="false">F6*F7/100</f>
        <v>22197.751423848</v>
      </c>
      <c r="G8" s="0" t="n">
        <f aca="false">G6*G7/100</f>
        <v>22850.8775715112</v>
      </c>
      <c r="H8" s="0" t="n">
        <f aca="false">H6*H7/100</f>
        <v>23514.8464669853</v>
      </c>
      <c r="I8" s="0" t="n">
        <f aca="false">I6*I7/100</f>
        <v>23749.9949316552</v>
      </c>
      <c r="J8" s="0" t="n">
        <f aca="false">J6*J7/100</f>
        <v>24431.7077491379</v>
      </c>
      <c r="K8" s="0" t="n">
        <f aca="false">K6*K7/100</f>
        <v>24676.0248266292</v>
      </c>
      <c r="L8" s="0" t="n">
        <f aca="false">L6*L7/100</f>
        <v>24922.7850748955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0.01</v>
      </c>
      <c r="D9" s="4" t="n">
        <f aca="false">Assumptions!D15</f>
        <v>0.01</v>
      </c>
      <c r="E9" s="4" t="n">
        <f aca="false">Assumptions!E15</f>
        <v>0.01</v>
      </c>
      <c r="F9" s="4" t="n">
        <f aca="false">Assumptions!F15</f>
        <v>0.01</v>
      </c>
      <c r="G9" s="4" t="n">
        <f aca="false">Assumptions!G15</f>
        <v>0.01</v>
      </c>
      <c r="H9" s="4" t="n">
        <f aca="false">Assumptions!H15</f>
        <v>0.01</v>
      </c>
      <c r="I9" s="4" t="n">
        <f aca="false">Assumptions!I15</f>
        <v>0.01</v>
      </c>
      <c r="J9" s="4" t="n">
        <f aca="false">Assumptions!J15</f>
        <v>0.01</v>
      </c>
      <c r="K9" s="4" t="n">
        <f aca="false">Assumptions!K15</f>
        <v>0.01</v>
      </c>
      <c r="L9" s="4" t="n">
        <f aca="false">Assumptions!L15</f>
        <v>0.01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-42.904652</v>
      </c>
      <c r="D10" s="0" t="n">
        <f aca="false">-D6*D9/100</f>
        <v>-42.47560548</v>
      </c>
      <c r="E10" s="0" t="n">
        <f aca="false">-E6*E9/100</f>
        <v>-42.47560548</v>
      </c>
      <c r="F10" s="0" t="n">
        <f aca="false">-F6*F9/100</f>
        <v>-42.6879835074</v>
      </c>
      <c r="G10" s="0" t="n">
        <f aca="false">-G6*G9/100</f>
        <v>-43.114863342474</v>
      </c>
      <c r="H10" s="0" t="n">
        <f aca="false">-H6*H9/100</f>
        <v>-43.5460119758987</v>
      </c>
      <c r="I10" s="0" t="n">
        <f aca="false">-I6*I9/100</f>
        <v>-43.9814720956577</v>
      </c>
      <c r="J10" s="0" t="n">
        <f aca="false">-J6*J9/100</f>
        <v>-44.4212868166143</v>
      </c>
      <c r="K10" s="0" t="n">
        <f aca="false">-K6*K9/100</f>
        <v>-44.8654996847804</v>
      </c>
      <c r="L10" s="0" t="n">
        <f aca="false">-L6*L9/100</f>
        <v>-45.3141546816283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20551.328308</v>
      </c>
      <c r="D11" s="0" t="n">
        <f aca="false">D8+D10+D24</f>
        <v>20345.81502492</v>
      </c>
      <c r="E11" s="0" t="n">
        <f aca="false">E8+E10+E24</f>
        <v>21195.32713452</v>
      </c>
      <c r="F11" s="0" t="n">
        <f aca="false">F8+F10+F24</f>
        <v>22155.0634403406</v>
      </c>
      <c r="G11" s="0" t="n">
        <f aca="false">G8+G10+G24</f>
        <v>22807.7627081687</v>
      </c>
      <c r="H11" s="0" t="n">
        <f aca="false">H8+H10+H24</f>
        <v>23471.3004550094</v>
      </c>
      <c r="I11" s="0" t="n">
        <f aca="false">I8+I10+I24</f>
        <v>23706.0134595595</v>
      </c>
      <c r="J11" s="0" t="n">
        <f aca="false">J8+J10+J24</f>
        <v>24387.2864623213</v>
      </c>
      <c r="K11" s="0" t="n">
        <f aca="false">K8+K10+K24</f>
        <v>24631.1593269445</v>
      </c>
      <c r="L11" s="0" t="n">
        <f aca="false">L8+L10+L24</f>
        <v>24877.4709202139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-14158.53516</v>
      </c>
      <c r="D12" s="4" t="n">
        <f aca="false">-D6*Assumptions!D17/100</f>
        <v>-14016.9498084</v>
      </c>
      <c r="E12" s="4" t="n">
        <f aca="false">-E6*Assumptions!E17/100</f>
        <v>-13592.1937536</v>
      </c>
      <c r="F12" s="4" t="n">
        <f aca="false">-F6*Assumptions!F17/100</f>
        <v>-13660.154722368</v>
      </c>
      <c r="G12" s="4" t="n">
        <f aca="false">-G6*Assumptions!G17/100</f>
        <v>-13796.7562695917</v>
      </c>
      <c r="H12" s="4" t="n">
        <f aca="false">-H6*Assumptions!H17/100</f>
        <v>-13934.7238322876</v>
      </c>
      <c r="I12" s="4" t="n">
        <f aca="false">-I6*Assumptions!I17/100</f>
        <v>-14074.0710706105</v>
      </c>
      <c r="J12" s="4" t="n">
        <f aca="false">-J6*Assumptions!J17/100</f>
        <v>-14214.8117813166</v>
      </c>
      <c r="K12" s="4" t="n">
        <f aca="false">-K6*Assumptions!K17/100</f>
        <v>-14356.9598991297</v>
      </c>
      <c r="L12" s="4" t="n">
        <f aca="false">-L6*Assumptions!L17/100</f>
        <v>-14500.529498121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6392.793148</v>
      </c>
      <c r="D13" s="0" t="n">
        <f aca="false">D11+D12</f>
        <v>6328.86521652</v>
      </c>
      <c r="E13" s="0" t="n">
        <f aca="false">E11+E12</f>
        <v>7603.13338092</v>
      </c>
      <c r="F13" s="0" t="n">
        <f aca="false">F11+F12</f>
        <v>8494.9087179726</v>
      </c>
      <c r="G13" s="0" t="n">
        <f aca="false">G11+G12</f>
        <v>9011.00643857706</v>
      </c>
      <c r="H13" s="0" t="n">
        <f aca="false">H11+H12</f>
        <v>9536.57662272183</v>
      </c>
      <c r="I13" s="0" t="n">
        <f aca="false">I11+I12</f>
        <v>9631.94238894904</v>
      </c>
      <c r="J13" s="0" t="n">
        <f aca="false">J11+J12</f>
        <v>10172.4746810047</v>
      </c>
      <c r="K13" s="0" t="n">
        <f aca="false">K11+K12</f>
        <v>10274.1994278147</v>
      </c>
      <c r="L13" s="0" t="n">
        <f aca="false">L11+L12</f>
        <v>10376.9414220929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49</v>
      </c>
      <c r="D14" s="4" t="n">
        <f aca="false">Assumptions!D19</f>
        <v>49</v>
      </c>
      <c r="E14" s="4" t="n">
        <f aca="false">Assumptions!E19</f>
        <v>49.5</v>
      </c>
      <c r="F14" s="4" t="n">
        <f aca="false">Assumptions!F19</f>
        <v>49.5</v>
      </c>
      <c r="G14" s="4" t="n">
        <f aca="false">Assumptions!G19</f>
        <v>50</v>
      </c>
      <c r="H14" s="4" t="n">
        <f aca="false">Assumptions!H19</f>
        <v>50</v>
      </c>
      <c r="I14" s="4" t="n">
        <f aca="false">Assumptions!I19</f>
        <v>50</v>
      </c>
      <c r="J14" s="4" t="n">
        <f aca="false">Assumptions!J19</f>
        <v>50</v>
      </c>
      <c r="K14" s="4" t="n">
        <f aca="false">Assumptions!K19</f>
        <v>50</v>
      </c>
      <c r="L14" s="4" t="n">
        <f aca="false">Assumptions!L19</f>
        <v>50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3260.32450548</v>
      </c>
      <c r="D15" s="0" t="n">
        <f aca="false">D13-MAX(0,D13)*D14/100</f>
        <v>3227.7212604252</v>
      </c>
      <c r="E15" s="0" t="n">
        <f aca="false">E13-MAX(0,E13)*E14/100</f>
        <v>3839.5823573646</v>
      </c>
      <c r="F15" s="0" t="n">
        <f aca="false">F13-MAX(0,F13)*F14/100</f>
        <v>4289.92890257616</v>
      </c>
      <c r="G15" s="0" t="n">
        <f aca="false">G13-MAX(0,G13)*G14/100</f>
        <v>4505.50321928853</v>
      </c>
      <c r="H15" s="0" t="n">
        <f aca="false">H13-MAX(0,H13)*H14/100</f>
        <v>4768.28831136091</v>
      </c>
      <c r="I15" s="0" t="n">
        <f aca="false">I13-MAX(0,I13)*I14/100</f>
        <v>4815.97119447452</v>
      </c>
      <c r="J15" s="0" t="n">
        <f aca="false">J13-MAX(0,J13)*J14/100</f>
        <v>5086.23734050234</v>
      </c>
      <c r="K15" s="0" t="n">
        <f aca="false">K13-MAX(0,K13)*K14/100</f>
        <v>5137.09971390736</v>
      </c>
      <c r="L15" s="0" t="n">
        <f aca="false">L13-MAX(0,L13)*L14/100</f>
        <v>5188.47071104643</v>
      </c>
    </row>
    <row r="16" customFormat="false" ht="15" hidden="false" customHeight="false" outlineLevel="0" collapsed="false">
      <c r="A16" s="0" t="s">
        <v>129</v>
      </c>
      <c r="C16" s="0" t="n">
        <f aca="false">-C12</f>
        <v>14158.53516</v>
      </c>
      <c r="D16" s="0" t="n">
        <f aca="false">-D12</f>
        <v>14016.9498084</v>
      </c>
      <c r="E16" s="0" t="n">
        <f aca="false">-E12</f>
        <v>13592.1937536</v>
      </c>
      <c r="F16" s="0" t="n">
        <f aca="false">-F12</f>
        <v>13660.154722368</v>
      </c>
      <c r="G16" s="0" t="n">
        <f aca="false">-G12</f>
        <v>13796.7562695917</v>
      </c>
      <c r="H16" s="0" t="n">
        <f aca="false">-H12</f>
        <v>13934.7238322876</v>
      </c>
      <c r="I16" s="0" t="n">
        <f aca="false">-I12</f>
        <v>14074.0710706105</v>
      </c>
      <c r="J16" s="0" t="n">
        <f aca="false">-J12</f>
        <v>14214.8117813166</v>
      </c>
      <c r="K16" s="0" t="n">
        <f aca="false">-K12</f>
        <v>14356.9598991297</v>
      </c>
      <c r="L16" s="0" t="n">
        <f aca="false">-L12</f>
        <v>14500.529498121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-23168.51208</v>
      </c>
      <c r="D17" s="4" t="n">
        <f aca="false">-D6*Assumptions!D18/100</f>
        <v>-21237.80274</v>
      </c>
      <c r="E17" s="4" t="n">
        <f aca="false">-E6*Assumptions!E18/100</f>
        <v>-19538.7785208</v>
      </c>
      <c r="F17" s="4" t="n">
        <f aca="false">-F6*Assumptions!F18/100</f>
        <v>-18355.832908182</v>
      </c>
      <c r="G17" s="4" t="n">
        <f aca="false">-G6*Assumptions!G18/100</f>
        <v>-17677.0939704143</v>
      </c>
      <c r="H17" s="4" t="n">
        <f aca="false">-H6*Assumptions!H18/100</f>
        <v>-17418.4047903595</v>
      </c>
      <c r="I17" s="4" t="n">
        <f aca="false">-I6*Assumptions!I18/100</f>
        <v>-17152.7741173065</v>
      </c>
      <c r="J17" s="4" t="n">
        <f aca="false">-J6*Assumptions!J18/100</f>
        <v>-16880.0889903134</v>
      </c>
      <c r="K17" s="4" t="n">
        <f aca="false">-K6*Assumptions!K18/100</f>
        <v>-17048.8898802166</v>
      </c>
      <c r="L17" s="4" t="n">
        <f aca="false">-L6*Assumptions!L18/100</f>
        <v>-17219.3787790187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1326.948</v>
      </c>
      <c r="D18" s="4" t="n">
        <f aca="false">(D6-C6)*Assumptions!$B$23/100</f>
        <v>429.046519999998</v>
      </c>
      <c r="E18" s="4" t="n">
        <f aca="false">(E6-D6)*Assumptions!$B$23/100</f>
        <v>-0</v>
      </c>
      <c r="F18" s="4" t="n">
        <f aca="false">(F6-E6)*Assumptions!$B$23/100</f>
        <v>-212.378027399996</v>
      </c>
      <c r="G18" s="4" t="n">
        <f aca="false">(G6-F6)*Assumptions!$B$23/100</f>
        <v>-426.879835073999</v>
      </c>
      <c r="H18" s="4" t="n">
        <f aca="false">(H6-G6)*Assumptions!$B$23/100</f>
        <v>-431.14863342474</v>
      </c>
      <c r="I18" s="4" t="n">
        <f aca="false">(I6-H6)*Assumptions!$B$23/100</f>
        <v>-435.460119758989</v>
      </c>
      <c r="J18" s="4" t="n">
        <f aca="false">(J6-I6)*Assumptions!$B$23/100</f>
        <v>-439.81472095658</v>
      </c>
      <c r="K18" s="4" t="n">
        <f aca="false">(K6-J6)*Assumptions!$B$23/100</f>
        <v>-444.212868166144</v>
      </c>
      <c r="L18" s="4" t="n">
        <f aca="false">(L6-K6)*Assumptions!$B$23/100</f>
        <v>-448.654996847804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-4422.70441452</v>
      </c>
      <c r="D19" s="0" t="n">
        <f aca="false">D15+D16+D17+D18</f>
        <v>-3564.0851511748</v>
      </c>
      <c r="E19" s="0" t="n">
        <f aca="false">E15+E16+E17+E18</f>
        <v>-2107.0024098354</v>
      </c>
      <c r="F19" s="0" t="n">
        <f aca="false">F15+F16+F17+F18</f>
        <v>-618.12731063783</v>
      </c>
      <c r="G19" s="0" t="n">
        <f aca="false">G15+G16+G17+G18</f>
        <v>198.285683391878</v>
      </c>
      <c r="H19" s="0" t="n">
        <f aca="false">H15+H16+H17+H18</f>
        <v>853.458719864272</v>
      </c>
      <c r="I19" s="0" t="n">
        <f aca="false">I15+I16+I17+I18</f>
        <v>1301.80802801949</v>
      </c>
      <c r="J19" s="0" t="n">
        <f aca="false">J15+J16+J17+J18</f>
        <v>1981.1454105489</v>
      </c>
      <c r="K19" s="0" t="n">
        <f aca="false">K15+K16+K17+K18</f>
        <v>2000.95686465439</v>
      </c>
      <c r="L19" s="0" t="n">
        <f aca="false">L15+L16+L17+L18</f>
        <v>2020.96643330093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-4038.99946531507</v>
      </c>
      <c r="D21" s="0" t="n">
        <f aca="false">D19*D20</f>
        <v>-2972.48610427206</v>
      </c>
      <c r="E21" s="0" t="n">
        <f aca="false">E19*E20</f>
        <v>-1604.80650028559</v>
      </c>
      <c r="F21" s="0" t="n">
        <f aca="false">F19*F20</f>
        <v>-429.95346737985</v>
      </c>
      <c r="G21" s="0" t="n">
        <f aca="false">G19*G20</f>
        <v>125.956551719841</v>
      </c>
      <c r="H21" s="0" t="n">
        <f aca="false">H19*H20</f>
        <v>495.105561674728</v>
      </c>
      <c r="I21" s="0" t="n">
        <f aca="false">I19*I20</f>
        <v>689.680760854867</v>
      </c>
      <c r="J21" s="0" t="n">
        <f aca="false">J19*J20</f>
        <v>958.524900208095</v>
      </c>
      <c r="K21" s="0" t="n">
        <f aca="false">K19*K20</f>
        <v>884.11885772619</v>
      </c>
      <c r="L21" s="0" t="n">
        <f aca="false">L19*L20</f>
        <v>815.488626761142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-5077.3702783077</v>
      </c>
    </row>
    <row r="31" customFormat="false" ht="15" hidden="false" customHeight="false" outlineLevel="0" collapsed="false">
      <c r="A31" s="0" t="s">
        <v>138</v>
      </c>
      <c r="B31" s="0" t="n">
        <f aca="false">L19</f>
        <v>2020.96643330093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24013.8364427523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20209.6643330093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20209.6643330093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8154.88626761143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3077.51598930373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95679.5159893037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819.981282849584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-0.554841865988282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272.202850830857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217.267686080989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824.176085411283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14579.8292688139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776.443067214112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-0.5</v>
      </c>
      <c r="D5" s="4" t="n">
        <f aca="false">Assumptions!D27</f>
        <v>1.5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442316</v>
      </c>
      <c r="C6" s="0" t="n">
        <f aca="false">B6*(1+C5/100)</f>
        <v>440104.42</v>
      </c>
      <c r="D6" s="0" t="n">
        <f aca="false">C6*(1+D5/100)</f>
        <v>446705.9863</v>
      </c>
      <c r="E6" s="0" t="n">
        <f aca="false">D6*(1+E5/100)</f>
        <v>455640.106026</v>
      </c>
      <c r="F6" s="0" t="n">
        <f aca="false">E6*(1+F5/100)</f>
        <v>464752.90814652</v>
      </c>
      <c r="G6" s="0" t="n">
        <f aca="false">F6*(1+G5/100)</f>
        <v>474047.96630945</v>
      </c>
      <c r="H6" s="0" t="n">
        <f aca="false">G6*(1+H5/100)</f>
        <v>483528.925635639</v>
      </c>
      <c r="I6" s="0" t="n">
        <f aca="false">H6*(1+I5/100)</f>
        <v>493199.504148352</v>
      </c>
      <c r="J6" s="0" t="n">
        <f aca="false">I6*(1+J5/100)</f>
        <v>503063.494231319</v>
      </c>
      <c r="K6" s="0" t="n">
        <f aca="false">J6*(1+K5/100)</f>
        <v>513124.764115946</v>
      </c>
      <c r="L6" s="0" t="n">
        <f aca="false">K6*(1+L5/100)</f>
        <v>523387.259398265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5.5</v>
      </c>
      <c r="D7" s="4" t="n">
        <f aca="false">Assumptions!D28</f>
        <v>6.3</v>
      </c>
      <c r="E7" s="4" t="n">
        <f aca="false">Assumptions!E28</f>
        <v>7</v>
      </c>
      <c r="F7" s="4" t="n">
        <f aca="false">Assumptions!F28</f>
        <v>7.3</v>
      </c>
      <c r="G7" s="4" t="n">
        <f aca="false">Assumptions!G28</f>
        <v>7.5</v>
      </c>
      <c r="H7" s="4" t="n">
        <f aca="false">Assumptions!H28</f>
        <v>7.6</v>
      </c>
      <c r="I7" s="4" t="n">
        <f aca="false">Assumptions!I28</f>
        <v>7.7</v>
      </c>
      <c r="J7" s="4" t="n">
        <f aca="false">Assumptions!J28</f>
        <v>7.8</v>
      </c>
      <c r="K7" s="4" t="n">
        <f aca="false">Assumptions!K28</f>
        <v>7.8</v>
      </c>
      <c r="L7" s="4" t="n">
        <f aca="false">Assumptions!L28</f>
        <v>7.8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24205.7431</v>
      </c>
      <c r="D8" s="0" t="n">
        <f aca="false">D6*D7/100</f>
        <v>28142.4771369</v>
      </c>
      <c r="E8" s="0" t="n">
        <f aca="false">E6*E7/100</f>
        <v>31894.80742182</v>
      </c>
      <c r="F8" s="0" t="n">
        <f aca="false">F6*F7/100</f>
        <v>33926.962294696</v>
      </c>
      <c r="G8" s="0" t="n">
        <f aca="false">G6*G7/100</f>
        <v>35553.5974732088</v>
      </c>
      <c r="H8" s="0" t="n">
        <f aca="false">H6*H7/100</f>
        <v>36748.1983483086</v>
      </c>
      <c r="I8" s="0" t="n">
        <f aca="false">I6*I7/100</f>
        <v>37976.3618194231</v>
      </c>
      <c r="J8" s="0" t="n">
        <f aca="false">J6*J7/100</f>
        <v>39238.9525500429</v>
      </c>
      <c r="K8" s="0" t="n">
        <f aca="false">K6*K7/100</f>
        <v>40023.7316010438</v>
      </c>
      <c r="L8" s="0" t="n">
        <f aca="false">L6*L7/100</f>
        <v>40824.2062330646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0.01</v>
      </c>
      <c r="D9" s="4" t="n">
        <f aca="false">Assumptions!D29</f>
        <v>0.01</v>
      </c>
      <c r="E9" s="4" t="n">
        <f aca="false">Assumptions!E29</f>
        <v>0.01</v>
      </c>
      <c r="F9" s="4" t="n">
        <f aca="false">Assumptions!F29</f>
        <v>0.01</v>
      </c>
      <c r="G9" s="4" t="n">
        <f aca="false">Assumptions!G29</f>
        <v>0.01</v>
      </c>
      <c r="H9" s="4" t="n">
        <f aca="false">Assumptions!H29</f>
        <v>0.01</v>
      </c>
      <c r="I9" s="4" t="n">
        <f aca="false">Assumptions!I29</f>
        <v>0.01</v>
      </c>
      <c r="J9" s="4" t="n">
        <f aca="false">Assumptions!J29</f>
        <v>0.01</v>
      </c>
      <c r="K9" s="4" t="n">
        <f aca="false">Assumptions!K29</f>
        <v>0.01</v>
      </c>
      <c r="L9" s="4" t="n">
        <f aca="false">Assumptions!L29</f>
        <v>0.01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-44.010442</v>
      </c>
      <c r="D10" s="0" t="n">
        <f aca="false">-D6*D9/100</f>
        <v>-44.67059863</v>
      </c>
      <c r="E10" s="0" t="n">
        <f aca="false">-E6*E9/100</f>
        <v>-45.5640106026</v>
      </c>
      <c r="F10" s="0" t="n">
        <f aca="false">-F6*F9/100</f>
        <v>-46.475290814652</v>
      </c>
      <c r="G10" s="0" t="n">
        <f aca="false">-G6*G9/100</f>
        <v>-47.404796630945</v>
      </c>
      <c r="H10" s="0" t="n">
        <f aca="false">-H6*H9/100</f>
        <v>-48.3528925635639</v>
      </c>
      <c r="I10" s="0" t="n">
        <f aca="false">-I6*I9/100</f>
        <v>-49.3199504148352</v>
      </c>
      <c r="J10" s="0" t="n">
        <f aca="false">-J6*J9/100</f>
        <v>-50.3063494231319</v>
      </c>
      <c r="K10" s="0" t="n">
        <f aca="false">-K6*K9/100</f>
        <v>-51.3124764115946</v>
      </c>
      <c r="L10" s="0" t="n">
        <f aca="false">-L6*L9/100</f>
        <v>-52.3387259398265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24161.732658</v>
      </c>
      <c r="D11" s="0" t="n">
        <f aca="false">D8+D10+D24</f>
        <v>28097.80653827</v>
      </c>
      <c r="E11" s="0" t="n">
        <f aca="false">E8+E10+E24</f>
        <v>31849.2434112174</v>
      </c>
      <c r="F11" s="0" t="n">
        <f aca="false">F8+F10+F24</f>
        <v>33880.4870038813</v>
      </c>
      <c r="G11" s="0" t="n">
        <f aca="false">G8+G10+G24</f>
        <v>35506.1926765778</v>
      </c>
      <c r="H11" s="0" t="n">
        <f aca="false">H8+H10+H24</f>
        <v>36699.845455745</v>
      </c>
      <c r="I11" s="0" t="n">
        <f aca="false">I8+I10+I24</f>
        <v>37927.0418690083</v>
      </c>
      <c r="J11" s="0" t="n">
        <f aca="false">J8+J10+J24</f>
        <v>39188.6462006198</v>
      </c>
      <c r="K11" s="0" t="n">
        <f aca="false">K8+K10+K24</f>
        <v>39972.4191246322</v>
      </c>
      <c r="L11" s="0" t="n">
        <f aca="false">L8+L10+L24</f>
        <v>40771.8675071248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-14083.34144</v>
      </c>
      <c r="D12" s="4" t="n">
        <f aca="false">-D6*Assumptions!D31/100</f>
        <v>-13847.8855753</v>
      </c>
      <c r="E12" s="4" t="n">
        <f aca="false">-E6*Assumptions!E31/100</f>
        <v>-13669.20318078</v>
      </c>
      <c r="F12" s="4" t="n">
        <f aca="false">-F6*Assumptions!F31/100</f>
        <v>-13942.5872443956</v>
      </c>
      <c r="G12" s="4" t="n">
        <f aca="false">-G6*Assumptions!G31/100</f>
        <v>-14221.4389892835</v>
      </c>
      <c r="H12" s="4" t="n">
        <f aca="false">-H6*Assumptions!H31/100</f>
        <v>-14505.8677690692</v>
      </c>
      <c r="I12" s="4" t="n">
        <f aca="false">-I6*Assumptions!I31/100</f>
        <v>-14795.9851244506</v>
      </c>
      <c r="J12" s="4" t="n">
        <f aca="false">-J6*Assumptions!J31/100</f>
        <v>-15091.9048269396</v>
      </c>
      <c r="K12" s="4" t="n">
        <f aca="false">-K6*Assumptions!K31/100</f>
        <v>-15393.7429234784</v>
      </c>
      <c r="L12" s="4" t="n">
        <f aca="false">-L6*Assumptions!L31/100</f>
        <v>-15701.6177819479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10078.391218</v>
      </c>
      <c r="D13" s="0" t="n">
        <f aca="false">D11+D12</f>
        <v>14249.92096297</v>
      </c>
      <c r="E13" s="0" t="n">
        <f aca="false">E11+E12</f>
        <v>18180.0402304374</v>
      </c>
      <c r="F13" s="0" t="n">
        <f aca="false">F11+F12</f>
        <v>19937.8997594857</v>
      </c>
      <c r="G13" s="0" t="n">
        <f aca="false">G11+G12</f>
        <v>21284.7536872943</v>
      </c>
      <c r="H13" s="0" t="n">
        <f aca="false">H11+H12</f>
        <v>22193.9776866758</v>
      </c>
      <c r="I13" s="0" t="n">
        <f aca="false">I11+I12</f>
        <v>23131.0567445577</v>
      </c>
      <c r="J13" s="0" t="n">
        <f aca="false">J11+J12</f>
        <v>24096.7413736802</v>
      </c>
      <c r="K13" s="0" t="n">
        <f aca="false">K11+K12</f>
        <v>24578.6762011538</v>
      </c>
      <c r="L13" s="0" t="n">
        <f aca="false">L11+L12</f>
        <v>25070.2497251769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48</v>
      </c>
      <c r="D14" s="4" t="n">
        <f aca="false">Assumptions!D33</f>
        <v>47.5</v>
      </c>
      <c r="E14" s="4" t="n">
        <f aca="false">Assumptions!E33</f>
        <v>47</v>
      </c>
      <c r="F14" s="4" t="n">
        <f aca="false">Assumptions!F33</f>
        <v>46.5</v>
      </c>
      <c r="G14" s="4" t="n">
        <f aca="false">Assumptions!G33</f>
        <v>46</v>
      </c>
      <c r="H14" s="4" t="n">
        <f aca="false">Assumptions!H33</f>
        <v>46</v>
      </c>
      <c r="I14" s="4" t="n">
        <f aca="false">Assumptions!I33</f>
        <v>45.5</v>
      </c>
      <c r="J14" s="4" t="n">
        <f aca="false">Assumptions!J33</f>
        <v>45.5</v>
      </c>
      <c r="K14" s="4" t="n">
        <f aca="false">Assumptions!K33</f>
        <v>45</v>
      </c>
      <c r="L14" s="4" t="n">
        <f aca="false">Assumptions!L33</f>
        <v>45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5240.76343336</v>
      </c>
      <c r="D15" s="0" t="n">
        <f aca="false">D13-MAX(0,D13)*D14/100</f>
        <v>7481.20850555925</v>
      </c>
      <c r="E15" s="0" t="n">
        <f aca="false">E13-MAX(0,E13)*E14/100</f>
        <v>9635.42132213182</v>
      </c>
      <c r="F15" s="0" t="n">
        <f aca="false">F13-MAX(0,F13)*F14/100</f>
        <v>10666.7763713249</v>
      </c>
      <c r="G15" s="0" t="n">
        <f aca="false">G13-MAX(0,G13)*G14/100</f>
        <v>11493.7669911389</v>
      </c>
      <c r="H15" s="0" t="n">
        <f aca="false">H13-MAX(0,H13)*H14/100</f>
        <v>11984.747950805</v>
      </c>
      <c r="I15" s="0" t="n">
        <f aca="false">I13-MAX(0,I13)*I14/100</f>
        <v>12606.425925784</v>
      </c>
      <c r="J15" s="0" t="n">
        <f aca="false">J13-MAX(0,J13)*J14/100</f>
        <v>13132.7240486557</v>
      </c>
      <c r="K15" s="0" t="n">
        <f aca="false">K13-MAX(0,K13)*K14/100</f>
        <v>13518.2719106346</v>
      </c>
      <c r="L15" s="0" t="n">
        <f aca="false">L13-MAX(0,L13)*L14/100</f>
        <v>13788.6373488473</v>
      </c>
    </row>
    <row r="16" customFormat="false" ht="15" hidden="false" customHeight="false" outlineLevel="0" collapsed="false">
      <c r="A16" s="0" t="s">
        <v>129</v>
      </c>
      <c r="C16" s="0" t="n">
        <f aca="false">-C12</f>
        <v>14083.34144</v>
      </c>
      <c r="D16" s="0" t="n">
        <f aca="false">-D12</f>
        <v>13847.8855753</v>
      </c>
      <c r="E16" s="0" t="n">
        <f aca="false">-E12</f>
        <v>13669.20318078</v>
      </c>
      <c r="F16" s="0" t="n">
        <f aca="false">-F12</f>
        <v>13942.5872443956</v>
      </c>
      <c r="G16" s="0" t="n">
        <f aca="false">-G12</f>
        <v>14221.4389892835</v>
      </c>
      <c r="H16" s="0" t="n">
        <f aca="false">-H12</f>
        <v>14505.8677690692</v>
      </c>
      <c r="I16" s="0" t="n">
        <f aca="false">-I12</f>
        <v>14795.9851244506</v>
      </c>
      <c r="J16" s="0" t="n">
        <f aca="false">-J12</f>
        <v>15091.9048269396</v>
      </c>
      <c r="K16" s="0" t="n">
        <f aca="false">-K12</f>
        <v>15393.7429234784</v>
      </c>
      <c r="L16" s="0" t="n">
        <f aca="false">-L12</f>
        <v>15701.6177819479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-23325.53426</v>
      </c>
      <c r="D17" s="4" t="n">
        <f aca="false">-D6*Assumptions!D32/100</f>
        <v>-21441.8873424</v>
      </c>
      <c r="E17" s="4" t="n">
        <f aca="false">-E6*Assumptions!E32/100</f>
        <v>-19592.524559118</v>
      </c>
      <c r="F17" s="4" t="n">
        <f aca="false">-F6*Assumptions!F32/100</f>
        <v>-18590.1163258608</v>
      </c>
      <c r="G17" s="4" t="n">
        <f aca="false">-G6*Assumptions!G32/100</f>
        <v>-18013.8227197591</v>
      </c>
      <c r="H17" s="4" t="n">
        <f aca="false">-H6*Assumptions!H32/100</f>
        <v>-17407.041322883</v>
      </c>
      <c r="I17" s="4" t="n">
        <f aca="false">-I6*Assumptions!I32/100</f>
        <v>-17261.9826451923</v>
      </c>
      <c r="J17" s="4" t="n">
        <f aca="false">-J6*Assumptions!J32/100</f>
        <v>-17104.1588038649</v>
      </c>
      <c r="K17" s="4" t="n">
        <f aca="false">-K6*Assumptions!K32/100</f>
        <v>-16933.1172158262</v>
      </c>
      <c r="L17" s="4" t="n">
        <f aca="false">-L6*Assumptions!L32/100</f>
        <v>-17271.7795601427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176.926400000001</v>
      </c>
      <c r="D18" s="4" t="n">
        <f aca="false">(D6-C6)*Assumptions!$B$37/100</f>
        <v>-528.125303999996</v>
      </c>
      <c r="E18" s="4" t="n">
        <f aca="false">(E6-D6)*Assumptions!$B$37/100</f>
        <v>-714.72957808</v>
      </c>
      <c r="F18" s="4" t="n">
        <f aca="false">(F6-E6)*Assumptions!$B$37/100</f>
        <v>-729.024169641603</v>
      </c>
      <c r="G18" s="4" t="n">
        <f aca="false">(G6-F6)*Assumptions!$B$37/100</f>
        <v>-743.604653034434</v>
      </c>
      <c r="H18" s="4" t="n">
        <f aca="false">(H6-G6)*Assumptions!$B$37/100</f>
        <v>-758.476746095121</v>
      </c>
      <c r="I18" s="4" t="n">
        <f aca="false">(I6-H6)*Assumptions!$B$37/100</f>
        <v>-773.646281017023</v>
      </c>
      <c r="J18" s="4" t="n">
        <f aca="false">(J6-I6)*Assumptions!$B$37/100</f>
        <v>-789.119206637363</v>
      </c>
      <c r="K18" s="4" t="n">
        <f aca="false">(K6-J6)*Assumptions!$B$37/100</f>
        <v>-804.901590770111</v>
      </c>
      <c r="L18" s="4" t="n">
        <f aca="false">(L6-K6)*Assumptions!$B$37/100</f>
        <v>-820.999622585513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-3824.50298664</v>
      </c>
      <c r="D19" s="0" t="n">
        <f aca="false">D15+D16+D17+D18</f>
        <v>-640.918565540744</v>
      </c>
      <c r="E19" s="0" t="n">
        <f aca="false">E15+E16+E17+E18</f>
        <v>2997.37036571382</v>
      </c>
      <c r="F19" s="0" t="n">
        <f aca="false">F15+F16+F17+F18</f>
        <v>5290.22312021805</v>
      </c>
      <c r="G19" s="0" t="n">
        <f aca="false">G15+G16+G17+G18</f>
        <v>6957.7786076289</v>
      </c>
      <c r="H19" s="0" t="n">
        <f aca="false">H15+H16+H17+H18</f>
        <v>8325.097650896</v>
      </c>
      <c r="I19" s="0" t="n">
        <f aca="false">I15+I16+I17+I18</f>
        <v>9366.78212402517</v>
      </c>
      <c r="J19" s="0" t="n">
        <f aca="false">J15+J16+J17+J18</f>
        <v>10331.3508650931</v>
      </c>
      <c r="K19" s="0" t="n">
        <f aca="false">K15+K16+K17+K18</f>
        <v>11173.9960275166</v>
      </c>
      <c r="L19" s="0" t="n">
        <f aca="false">L15+L16+L17+L18</f>
        <v>11397.475948067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-3508.71833636697</v>
      </c>
      <c r="D21" s="0" t="n">
        <f aca="false">D19*D20</f>
        <v>-539.448333928747</v>
      </c>
      <c r="E21" s="0" t="n">
        <f aca="false">E19*E20</f>
        <v>2314.5198800288</v>
      </c>
      <c r="F21" s="0" t="n">
        <f aca="false">F19*F20</f>
        <v>3747.72743052245</v>
      </c>
      <c r="G21" s="0" t="n">
        <f aca="false">G19*G20</f>
        <v>4522.07869601322</v>
      </c>
      <c r="H21" s="0" t="n">
        <f aca="false">H19*H20</f>
        <v>4963.9837223082</v>
      </c>
      <c r="I21" s="0" t="n">
        <f aca="false">I19*I20</f>
        <v>5123.95058582799</v>
      </c>
      <c r="J21" s="0" t="n">
        <f aca="false">J19*J20</f>
        <v>5184.95662265829</v>
      </c>
      <c r="K21" s="0" t="n">
        <f aca="false">K19*K20</f>
        <v>5144.81817927345</v>
      </c>
      <c r="L21" s="0" t="n">
        <f aca="false">L19*L20</f>
        <v>4814.41701179717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31768.2854581339</v>
      </c>
    </row>
    <row r="31" customFormat="false" ht="15" hidden="false" customHeight="false" outlineLevel="0" collapsed="false">
      <c r="A31" s="0" t="s">
        <v>138</v>
      </c>
      <c r="B31" s="0" t="n">
        <f aca="false">L19</f>
        <v>11397.475948067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154245.84116384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136769.711376804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136769.711376804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57773.0041415661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89541.2895997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182143.2895997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1560.98289925612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-0.152560858167146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303.684955903928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299.200934773019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1566.14968068198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85692.1339799109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1156.27310073595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</v>
      </c>
      <c r="D5" s="4" t="n">
        <f aca="false">Assumptions!D41</f>
        <v>3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442316</v>
      </c>
      <c r="C6" s="0" t="n">
        <f aca="false">B6*(1+C5/100)</f>
        <v>446739.16</v>
      </c>
      <c r="D6" s="0" t="n">
        <f aca="false">C6*(1+D5/100)</f>
        <v>460141.3348</v>
      </c>
      <c r="E6" s="0" t="n">
        <f aca="false">D6*(1+E5/100)</f>
        <v>478546.988192</v>
      </c>
      <c r="F6" s="0" t="n">
        <f aca="false">E6*(1+F5/100)</f>
        <v>497688.86771968</v>
      </c>
      <c r="G6" s="0" t="n">
        <f aca="false">F6*(1+G5/100)</f>
        <v>515107.978089869</v>
      </c>
      <c r="H6" s="0" t="n">
        <f aca="false">G6*(1+H5/100)</f>
        <v>530561.217432565</v>
      </c>
      <c r="I6" s="0" t="n">
        <f aca="false">H6*(1+I5/100)</f>
        <v>546478.053955542</v>
      </c>
      <c r="J6" s="0" t="n">
        <f aca="false">I6*(1+J5/100)</f>
        <v>560140.00530443</v>
      </c>
      <c r="K6" s="0" t="n">
        <f aca="false">J6*(1+K5/100)</f>
        <v>574143.505437041</v>
      </c>
      <c r="L6" s="0" t="n">
        <f aca="false">K6*(1+L5/100)</f>
        <v>588497.093072967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6</v>
      </c>
      <c r="D7" s="4" t="n">
        <f aca="false">Assumptions!D42</f>
        <v>7</v>
      </c>
      <c r="E7" s="4" t="n">
        <f aca="false">Assumptions!E42</f>
        <v>7.8</v>
      </c>
      <c r="F7" s="4" t="n">
        <f aca="false">Assumptions!F42</f>
        <v>8.2</v>
      </c>
      <c r="G7" s="4" t="n">
        <f aca="false">Assumptions!G42</f>
        <v>8.5</v>
      </c>
      <c r="H7" s="4" t="n">
        <f aca="false">Assumptions!H42</f>
        <v>8.6</v>
      </c>
      <c r="I7" s="4" t="n">
        <f aca="false">Assumptions!I42</f>
        <v>8.7</v>
      </c>
      <c r="J7" s="4" t="n">
        <f aca="false">Assumptions!J42</f>
        <v>8.7</v>
      </c>
      <c r="K7" s="4" t="n">
        <f aca="false">Assumptions!K42</f>
        <v>8.8</v>
      </c>
      <c r="L7" s="4" t="n">
        <f aca="false">Assumptions!L42</f>
        <v>8.8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26804.3496</v>
      </c>
      <c r="D8" s="0" t="n">
        <f aca="false">D6*D7/100</f>
        <v>32209.893436</v>
      </c>
      <c r="E8" s="0" t="n">
        <f aca="false">E6*E7/100</f>
        <v>37326.665078976</v>
      </c>
      <c r="F8" s="0" t="n">
        <f aca="false">F6*F7/100</f>
        <v>40810.4871530138</v>
      </c>
      <c r="G8" s="0" t="n">
        <f aca="false">G6*G7/100</f>
        <v>43784.1781376388</v>
      </c>
      <c r="H8" s="0" t="n">
        <f aca="false">H6*H7/100</f>
        <v>45628.2646992006</v>
      </c>
      <c r="I8" s="0" t="n">
        <f aca="false">I6*I7/100</f>
        <v>47543.5906941321</v>
      </c>
      <c r="J8" s="0" t="n">
        <f aca="false">J6*J7/100</f>
        <v>48732.1804614854</v>
      </c>
      <c r="K8" s="0" t="n">
        <f aca="false">K6*K7/100</f>
        <v>50524.6284784596</v>
      </c>
      <c r="L8" s="0" t="n">
        <f aca="false">L6*L7/100</f>
        <v>51787.7441904211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0.01</v>
      </c>
      <c r="D9" s="4" t="n">
        <f aca="false">Assumptions!D43</f>
        <v>0.01</v>
      </c>
      <c r="E9" s="4" t="n">
        <f aca="false">Assumptions!E43</f>
        <v>0.01</v>
      </c>
      <c r="F9" s="4" t="n">
        <f aca="false">Assumptions!F43</f>
        <v>0.01</v>
      </c>
      <c r="G9" s="4" t="n">
        <f aca="false">Assumptions!G43</f>
        <v>0.01</v>
      </c>
      <c r="H9" s="4" t="n">
        <f aca="false">Assumptions!H43</f>
        <v>0.01</v>
      </c>
      <c r="I9" s="4" t="n">
        <f aca="false">Assumptions!I43</f>
        <v>0.01</v>
      </c>
      <c r="J9" s="4" t="n">
        <f aca="false">Assumptions!J43</f>
        <v>0.01</v>
      </c>
      <c r="K9" s="4" t="n">
        <f aca="false">Assumptions!K43</f>
        <v>0.01</v>
      </c>
      <c r="L9" s="4" t="n">
        <f aca="false">Assumptions!L43</f>
        <v>0.01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-44.673916</v>
      </c>
      <c r="D10" s="0" t="n">
        <f aca="false">-D6*D9/100</f>
        <v>-46.01413348</v>
      </c>
      <c r="E10" s="0" t="n">
        <f aca="false">-E6*E9/100</f>
        <v>-47.8546988192</v>
      </c>
      <c r="F10" s="0" t="n">
        <f aca="false">-F6*F9/100</f>
        <v>-49.768886771968</v>
      </c>
      <c r="G10" s="0" t="n">
        <f aca="false">-G6*G9/100</f>
        <v>-51.5107978089869</v>
      </c>
      <c r="H10" s="0" t="n">
        <f aca="false">-H6*H9/100</f>
        <v>-53.0561217432565</v>
      </c>
      <c r="I10" s="0" t="n">
        <f aca="false">-I6*I9/100</f>
        <v>-54.6478053955542</v>
      </c>
      <c r="J10" s="0" t="n">
        <f aca="false">-J6*J9/100</f>
        <v>-56.014000530443</v>
      </c>
      <c r="K10" s="0" t="n">
        <f aca="false">-K6*K9/100</f>
        <v>-57.4143505437041</v>
      </c>
      <c r="L10" s="0" t="n">
        <f aca="false">-L6*L9/100</f>
        <v>-58.8497093072967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26759.675684</v>
      </c>
      <c r="D11" s="0" t="n">
        <f aca="false">D8+D10+D24</f>
        <v>32163.87930252</v>
      </c>
      <c r="E11" s="0" t="n">
        <f aca="false">E8+E10+E24</f>
        <v>37278.8103801568</v>
      </c>
      <c r="F11" s="0" t="n">
        <f aca="false">F8+F10+F24</f>
        <v>40760.7182662418</v>
      </c>
      <c r="G11" s="0" t="n">
        <f aca="false">G8+G10+G24</f>
        <v>43732.6673398299</v>
      </c>
      <c r="H11" s="0" t="n">
        <f aca="false">H8+H10+H24</f>
        <v>45575.2085774573</v>
      </c>
      <c r="I11" s="0" t="n">
        <f aca="false">I8+I10+I24</f>
        <v>47488.9428887366</v>
      </c>
      <c r="J11" s="0" t="n">
        <f aca="false">J8+J10+J24</f>
        <v>48676.166460955</v>
      </c>
      <c r="K11" s="0" t="n">
        <f aca="false">K8+K10+K24</f>
        <v>50467.2141279159</v>
      </c>
      <c r="L11" s="0" t="n">
        <f aca="false">L8+L10+L24</f>
        <v>51728.8944811138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-13848.91396</v>
      </c>
      <c r="D12" s="4" t="n">
        <f aca="false">-D6*Assumptions!D45/100</f>
        <v>-13804.240044</v>
      </c>
      <c r="E12" s="4" t="n">
        <f aca="false">-E6*Assumptions!E45/100</f>
        <v>-13877.862657568</v>
      </c>
      <c r="F12" s="4" t="n">
        <f aca="false">-F6*Assumptions!F45/100</f>
        <v>-14432.9771638707</v>
      </c>
      <c r="G12" s="4" t="n">
        <f aca="false">-G6*Assumptions!G45/100</f>
        <v>-14938.1313646062</v>
      </c>
      <c r="H12" s="4" t="n">
        <f aca="false">-H6*Assumptions!H45/100</f>
        <v>-15386.2753055444</v>
      </c>
      <c r="I12" s="4" t="n">
        <f aca="false">-I6*Assumptions!I45/100</f>
        <v>-15847.8635647107</v>
      </c>
      <c r="J12" s="4" t="n">
        <f aca="false">-J6*Assumptions!J45/100</f>
        <v>-16244.0601538285</v>
      </c>
      <c r="K12" s="4" t="n">
        <f aca="false">-K6*Assumptions!K45/100</f>
        <v>-16650.1616576742</v>
      </c>
      <c r="L12" s="4" t="n">
        <f aca="false">-L6*Assumptions!L45/100</f>
        <v>-17066.415699116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12910.761724</v>
      </c>
      <c r="D13" s="0" t="n">
        <f aca="false">D11+D12</f>
        <v>18359.63925852</v>
      </c>
      <c r="E13" s="0" t="n">
        <f aca="false">E11+E12</f>
        <v>23400.9477225888</v>
      </c>
      <c r="F13" s="0" t="n">
        <f aca="false">F11+F12</f>
        <v>26327.7411023711</v>
      </c>
      <c r="G13" s="0" t="n">
        <f aca="false">G11+G12</f>
        <v>28794.5359752237</v>
      </c>
      <c r="H13" s="0" t="n">
        <f aca="false">H11+H12</f>
        <v>30188.933271913</v>
      </c>
      <c r="I13" s="0" t="n">
        <f aca="false">I11+I12</f>
        <v>31641.0793240259</v>
      </c>
      <c r="J13" s="0" t="n">
        <f aca="false">J11+J12</f>
        <v>32432.1063071265</v>
      </c>
      <c r="K13" s="0" t="n">
        <f aca="false">K11+K12</f>
        <v>33817.0524702417</v>
      </c>
      <c r="L13" s="0" t="n">
        <f aca="false">L11+L12</f>
        <v>34662.4787819978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47.5</v>
      </c>
      <c r="D14" s="4" t="n">
        <f aca="false">Assumptions!D47</f>
        <v>46.5</v>
      </c>
      <c r="E14" s="4" t="n">
        <f aca="false">Assumptions!E47</f>
        <v>45.5</v>
      </c>
      <c r="F14" s="4" t="n">
        <f aca="false">Assumptions!F47</f>
        <v>44.5</v>
      </c>
      <c r="G14" s="4" t="n">
        <f aca="false">Assumptions!G47</f>
        <v>44</v>
      </c>
      <c r="H14" s="4" t="n">
        <f aca="false">Assumptions!H47</f>
        <v>43.5</v>
      </c>
      <c r="I14" s="4" t="n">
        <f aca="false">Assumptions!I47</f>
        <v>43</v>
      </c>
      <c r="J14" s="4" t="n">
        <f aca="false">Assumptions!J47</f>
        <v>43</v>
      </c>
      <c r="K14" s="4" t="n">
        <f aca="false">Assumptions!K47</f>
        <v>42.5</v>
      </c>
      <c r="L14" s="4" t="n">
        <f aca="false">Assumptions!L47</f>
        <v>42.5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6778.1499051</v>
      </c>
      <c r="D15" s="0" t="n">
        <f aca="false">D13-MAX(0,D13)*D14/100</f>
        <v>9822.4070033082</v>
      </c>
      <c r="E15" s="0" t="n">
        <f aca="false">E13-MAX(0,E13)*E14/100</f>
        <v>12753.5165088109</v>
      </c>
      <c r="F15" s="0" t="n">
        <f aca="false">F13-MAX(0,F13)*F14/100</f>
        <v>14611.8963118159</v>
      </c>
      <c r="G15" s="0" t="n">
        <f aca="false">G13-MAX(0,G13)*G14/100</f>
        <v>16124.9401461253</v>
      </c>
      <c r="H15" s="0" t="n">
        <f aca="false">H13-MAX(0,H13)*H14/100</f>
        <v>17056.7472986308</v>
      </c>
      <c r="I15" s="0" t="n">
        <f aca="false">I13-MAX(0,I13)*I14/100</f>
        <v>18035.4152146947</v>
      </c>
      <c r="J15" s="0" t="n">
        <f aca="false">J13-MAX(0,J13)*J14/100</f>
        <v>18486.3005950621</v>
      </c>
      <c r="K15" s="0" t="n">
        <f aca="false">K13-MAX(0,K13)*K14/100</f>
        <v>19444.805170389</v>
      </c>
      <c r="L15" s="0" t="n">
        <f aca="false">L13-MAX(0,L13)*L14/100</f>
        <v>19930.9252996487</v>
      </c>
    </row>
    <row r="16" customFormat="false" ht="15" hidden="false" customHeight="false" outlineLevel="0" collapsed="false">
      <c r="A16" s="0" t="s">
        <v>129</v>
      </c>
      <c r="C16" s="0" t="n">
        <f aca="false">-C12</f>
        <v>13848.91396</v>
      </c>
      <c r="D16" s="0" t="n">
        <f aca="false">-D12</f>
        <v>13804.240044</v>
      </c>
      <c r="E16" s="0" t="n">
        <f aca="false">-E12</f>
        <v>13877.862657568</v>
      </c>
      <c r="F16" s="0" t="n">
        <f aca="false">-F12</f>
        <v>14432.9771638707</v>
      </c>
      <c r="G16" s="0" t="n">
        <f aca="false">-G12</f>
        <v>14938.1313646062</v>
      </c>
      <c r="H16" s="0" t="n">
        <f aca="false">-H12</f>
        <v>15386.2753055444</v>
      </c>
      <c r="I16" s="0" t="n">
        <f aca="false">-I12</f>
        <v>15847.8635647107</v>
      </c>
      <c r="J16" s="0" t="n">
        <f aca="false">-J12</f>
        <v>16244.0601538285</v>
      </c>
      <c r="K16" s="0" t="n">
        <f aca="false">-K12</f>
        <v>16650.1616576742</v>
      </c>
      <c r="L16" s="0" t="n">
        <f aca="false">-L12</f>
        <v>17066.415699116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-23230.43632</v>
      </c>
      <c r="D17" s="4" t="n">
        <f aca="false">-D6*Assumptions!D46/100</f>
        <v>-21166.5014008</v>
      </c>
      <c r="E17" s="4" t="n">
        <f aca="false">-E6*Assumptions!E46/100</f>
        <v>-19141.87952768</v>
      </c>
      <c r="F17" s="4" t="n">
        <f aca="false">-F6*Assumptions!F46/100</f>
        <v>-18414.4881056282</v>
      </c>
      <c r="G17" s="4" t="n">
        <f aca="false">-G6*Assumptions!G46/100</f>
        <v>-18028.7792331454</v>
      </c>
      <c r="H17" s="4" t="n">
        <f aca="false">-H6*Assumptions!H46/100</f>
        <v>-18039.0813927072</v>
      </c>
      <c r="I17" s="4" t="n">
        <f aca="false">-I6*Assumptions!I46/100</f>
        <v>-18033.7757805329</v>
      </c>
      <c r="J17" s="4" t="n">
        <f aca="false">-J6*Assumptions!J46/100</f>
        <v>-17924.4801697418</v>
      </c>
      <c r="K17" s="4" t="n">
        <f aca="false">-K6*Assumptions!K46/100</f>
        <v>-18372.5921739853</v>
      </c>
      <c r="L17" s="4" t="n">
        <f aca="false">-L6*Assumptions!L46/100</f>
        <v>-18831.9069783349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-265.389600000002</v>
      </c>
      <c r="D18" s="4" t="n">
        <f aca="false">(D6-C6)*Assumptions!$B$51/100</f>
        <v>-804.130488000002</v>
      </c>
      <c r="E18" s="4" t="n">
        <f aca="false">(E6-D6)*Assumptions!$B$51/100</f>
        <v>-1104.33920352</v>
      </c>
      <c r="F18" s="4" t="n">
        <f aca="false">(F6-E6)*Assumptions!$B$51/100</f>
        <v>-1148.5127716608</v>
      </c>
      <c r="G18" s="4" t="n">
        <f aca="false">(G6-F6)*Assumptions!$B$51/100</f>
        <v>-1045.14662221133</v>
      </c>
      <c r="H18" s="4" t="n">
        <f aca="false">(H6-G6)*Assumptions!$B$51/100</f>
        <v>-927.194360561766</v>
      </c>
      <c r="I18" s="4" t="n">
        <f aca="false">(I6-H6)*Assumptions!$B$51/100</f>
        <v>-955.010191378619</v>
      </c>
      <c r="J18" s="4" t="n">
        <f aca="false">(J6-I6)*Assumptions!$B$51/100</f>
        <v>-819.717080933307</v>
      </c>
      <c r="K18" s="4" t="n">
        <f aca="false">(K6-J6)*Assumptions!$B$51/100</f>
        <v>-840.21000795664</v>
      </c>
      <c r="L18" s="4" t="n">
        <f aca="false">(L6-K6)*Assumptions!$B$51/100</f>
        <v>-861.215258155558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-2868.7620549</v>
      </c>
      <c r="D19" s="0" t="n">
        <f aca="false">D15+D16+D17+D18</f>
        <v>1656.0151585082</v>
      </c>
      <c r="E19" s="0" t="n">
        <f aca="false">E15+E16+E17+E18</f>
        <v>6385.16043517889</v>
      </c>
      <c r="F19" s="0" t="n">
        <f aca="false">F15+F16+F17+F18</f>
        <v>9481.8725983977</v>
      </c>
      <c r="G19" s="0" t="n">
        <f aca="false">G15+G16+G17+G18</f>
        <v>11989.1456553747</v>
      </c>
      <c r="H19" s="0" t="n">
        <f aca="false">H15+H16+H17+H18</f>
        <v>13476.7468509062</v>
      </c>
      <c r="I19" s="0" t="n">
        <f aca="false">I15+I16+I17+I18</f>
        <v>14894.492807494</v>
      </c>
      <c r="J19" s="0" t="n">
        <f aca="false">J15+J16+J17+J18</f>
        <v>15986.1634982155</v>
      </c>
      <c r="K19" s="0" t="n">
        <f aca="false">K15+K16+K17+K18</f>
        <v>16882.1646461212</v>
      </c>
      <c r="L19" s="0" t="n">
        <f aca="false">L15+L16+L17+L18</f>
        <v>17304.2187622743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-2644.02032709678</v>
      </c>
      <c r="D21" s="0" t="n">
        <f aca="false">D19*D20</f>
        <v>1406.71083141132</v>
      </c>
      <c r="E21" s="0" t="n">
        <f aca="false">E19*E20</f>
        <v>4998.99381448103</v>
      </c>
      <c r="F21" s="0" t="n">
        <f aca="false">F19*F20</f>
        <v>6841.87543370874</v>
      </c>
      <c r="G21" s="0" t="n">
        <f aca="false">G19*G20</f>
        <v>7973.32644724539</v>
      </c>
      <c r="H21" s="0" t="n">
        <f aca="false">H19*H20</f>
        <v>8260.50581936593</v>
      </c>
      <c r="I21" s="0" t="n">
        <f aca="false">I19*I20</f>
        <v>8414.29146834835</v>
      </c>
      <c r="J21" s="0" t="n">
        <f aca="false">J19*J20</f>
        <v>8323.50691972649</v>
      </c>
      <c r="K21" s="0" t="n">
        <f aca="false">K19*K20</f>
        <v>8101.40768899555</v>
      </c>
      <c r="L21" s="0" t="n">
        <f aca="false">L19*L20</f>
        <v>7653.4035771617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59330.0016733477</v>
      </c>
    </row>
    <row r="31" customFormat="false" ht="15" hidden="false" customHeight="false" outlineLevel="0" collapsed="false">
      <c r="A31" s="0" t="s">
        <v>138</v>
      </c>
      <c r="B31" s="0" t="n">
        <f aca="false">L19</f>
        <v>17304.2187622743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271543.125192612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242259.06267184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242259.06267184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107147.650080264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166477.651753612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259079.651753612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2220.33381971643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0.205392953157671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334.033466870379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408.445161044522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2226.69692232529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135771.562596306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1424.59266587076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819.981282849584</v>
      </c>
      <c r="C4" s="0" t="n">
        <f aca="false">B4/Assumptions!$B$2-1</f>
        <v>-0.554841865988282</v>
      </c>
      <c r="D4" s="4" t="n">
        <f aca="false">Assumptions!$B$24</f>
        <v>0.3</v>
      </c>
      <c r="E4" s="4" t="n">
        <f aca="false">DCF_Bear!$B$43</f>
        <v>824.176085411283</v>
      </c>
      <c r="F4" s="4" t="n">
        <f aca="false">DCF_Bear!$B$47</f>
        <v>776.443067214112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1560.98289925612</v>
      </c>
      <c r="C5" s="0" t="n">
        <f aca="false">B5/Assumptions!$B$2-1</f>
        <v>-0.152560858167146</v>
      </c>
      <c r="D5" s="4" t="n">
        <f aca="false">Assumptions!$B$38</f>
        <v>0.45</v>
      </c>
      <c r="E5" s="4" t="n">
        <f aca="false">DCF_Base!$B$43</f>
        <v>1566.14968068198</v>
      </c>
      <c r="F5" s="4" t="n">
        <f aca="false">DCF_Base!$B$47</f>
        <v>1156.27310073595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2220.33381971643</v>
      </c>
      <c r="C6" s="0" t="n">
        <f aca="false">B6/Assumptions!$B$2-1</f>
        <v>0.205392953157671</v>
      </c>
      <c r="D6" s="4" t="n">
        <f aca="false">Assumptions!$B$52</f>
        <v>0.25</v>
      </c>
      <c r="E6" s="4" t="n">
        <f aca="false">DCF_Bull!$B$43</f>
        <v>2226.69692232529</v>
      </c>
      <c r="F6" s="4" t="n">
        <f aca="false">DCF_Bull!$B$47</f>
        <v>1424.59266587076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1503.52014444924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1508.6944125116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-0.225124922203657</v>
      </c>
    </row>
    <row r="11" customFormat="false" ht="15" hidden="false" customHeight="false" outlineLevel="0" collapsed="false">
      <c r="A11" s="0" t="s">
        <v>165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1109.4039819631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1560.98289925612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1497.2946683101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1398.26248003926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1319.10753021141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1156.27310073595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1702.9043301173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1702.9043301173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1702.9043301173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1702.9043301173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1702.9043301173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1628.55338997063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1628.55338997063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1628.55338997063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1628.55338997063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1628.55338997063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1553.70173199313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1560.98289925612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1560.98289925612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1560.98289925612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1560.98289925612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1445.99471658611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1470.21969378911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1497.2946683101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1499.50989349818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1499.50989349818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1359.98230275681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1378.16538696597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1398.26248003926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1420.59258345402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1443.52620317729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2026-09-25T18:40:45Z</dcterms:created>
  <dc:creator>openpyxl</dc:creator>
  <dc:description/>
  <dc:language>en-NZ</dc:language>
  <cp:lastModifiedBy/>
  <dcterms:modified xsi:type="dcterms:W3CDTF">2026-09-25T18:40:45Z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