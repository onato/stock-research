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<sst xmlns="http://schemas.openxmlformats.org/spreadsheetml/2006/main" count="366" uniqueCount="167">
  <si>
    <t xml:space="preserve">Ticker</t>
  </si>
  <si>
    <t xml:space="preserve">5332.T</t>
  </si>
  <si>
    <t xml:space="preserve">Company</t>
  </si>
  <si>
    <t xml:space="preserve">TOTO LTD.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</si>
  <si>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</si>
  <si>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</si>
  <si>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</si>
  <si>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</si>
  <si>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regular TSE close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</si>
  <si>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</si>
  <si>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</si>
  <si>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</si>
  <si>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</si>
  <si>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</si>
  <si>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</si>
  <si>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</si>
  <si>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</si>
  <si>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</si>
  <si>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</si>
  <si>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</si>
  <si>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</si>
  <si>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2026-10-31T09:06:41Z</t>
  </si>
  <si>
    <t xml:space="preserve">Drivers file</t>
  </si>
  <si>
    <t xml:space="preserve">5332.T_Drivers.json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</si>
  <si>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</si>
  <si>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</si>
  <si>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</si>
  <si>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consolidated operating profit with zero SBC, interest and dividend income stripped and their source assets (net cash, listed cross-shareholdings after tax, affiliates) added in the bridge; finance leases and NCI deducted once; a JPY-built 7.5% WACC held constant across scenarios so risk is priced only in the scenario flows and the 25/50/25 weights. Terminal value capped at 15x year-10 owner FCF rather than Gordon, which is where the method puts a slow-growing manufacturer. The pension surplus is excluded as a deliberate conservatism.
key_risks_to_valuation: Semiconductor ceramics cycle: the segment is ~7% of sales but ~40% of operating profit (FY2026 segment OP JPY28.9bn of 53.8bn); a memory/logic capex downturn removes most of the margin expansion in the base case; Japan Housing Equipment (~66% of sales) margin erosion is structural and unrepaired; the base case only assumes it stops falling; Mainland China: FY2026 operating loss JPY6.9bn with ~JPY15bn of restructuring charges; breakeven targeted for FY2027 but execution has slipped before; US tariffs: ~JPY2bn direct OP hit already in FY2026 guidance; further escalation or failure to price through compresses the Americas segment; Capex intensity: FY2024-26 capex ran 5.9-8.3% of sales against D&amp;A of 4.7%; if the capex-above-D&amp;A gap does not close as modelled, owner FCF stays near FY2026's JPY27bn rather than reaching JPY50bn by year 10; FX: a wide basket (USD, CNY, EUR, TWD, VND, THB, INR) moves reported segment profit; the model is in JPY and takes no view on rates</t>
  </si>
  <si>
    <t xml:space="preserve">Data sources</t>
  </si>
  <si>
    <t xml:space="preserve">price: Yahoo Finance chart API at inputs.price_as_of (regular TSE close); 52-week range 3,776-9,500
financials: 5332.T_Metrics.csv / core_metrics (FY2015-FY2026, JPY millions) and the FY2026 yuho (5332.T_Annual_FY2026.txt) for the balance sheet, cash flow statement, share count, debt/lease schedule, segment table and investment-securities notes; FY2027 guidance from the 2026-04-30 results release as carried in 5332.T_Analysis.json
qualitative: 5332.T_Analysis.json (2026-10-31); Q2 and Q3 FY2026 tanshin presentations and earnings Q&amp;A for the tariff, China restructuring and ceramics commentary</t>
  </si>
  <si>
    <t xml:space="preserve">Scenario narrative: bear</t>
  </si>
  <si>
    <t xml:space="preserve">Ceramics turns down with the memory cycle in FY2028, China breakeven slips with recurring charges, tariffs absorbed, Japan margin erosion continues with demographic decline. Growth ~1-1.5%, EBITDA margin settles at 10.8%, capex stays at 5.8%, terminal 1.0%.</t>
  </si>
  <si>
    <t xml:space="preserve">Scenario narrative: base</t>
  </si>
  <si>
    <t xml:space="preserve">FY2027 guidance roughly delivered (sales ~JPY782bn, EBITDA ~12.2%); China breakeven by FY2028, ceramics growth decelerating from +34% to high-teens then mid-single digits, Japan Housing Equipment margin flat rather than repaired. Group EBITDA margin matures at 13.3% by year 6, revenue growth decays from 6% to 2%, capex normalises to 5.3% of sales. Terminal 1.5% growth, capped at 15x year-10 owner FCF.</t>
  </si>
  <si>
    <t xml:space="preserve">Scenario narrative: bull</t>
  </si>
  <si>
    <t xml:space="preserve">Ceramics becomes a durable second pillar through the AI capex cycle, China returns to profit after the capacity cut, Morrow-plant supply lets the Americas price through tariffs, and the FY2030 Japan profitability programme actually lifts the core segment. Margin matures at 14.5%, growth decays from 7.5% to 2.5%, terminal 2.0%.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</si>
  <si>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</si>
  <si>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</si>
  <si>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</si>
  <si>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</si>
  <si>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</si>
  <si>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</si>
  <si>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</si>
  <si>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</si>
  <si>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</si>
  <si>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</si>
  <si>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</si>
  <si>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</si>
  <si>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</si>
  <si>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</si>
  <si>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</si>
  <si>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</si>
  <si>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</si>
  <si>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</si>
  <si>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</si>
  <si>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</si>
  <si>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</si>
  <si>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</si>
  <si>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</si>
  <si>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</si>
  <si>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</si>
  <si>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</si>
  <si>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</si>
  <si>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</si>
  <si>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</si>
  <si>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</si>
  <si>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</si>
  <si>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</si>
  <si>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</si>
  <si>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</si>
  <si>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</si>
  <si>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</si>
  <si>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</si>
  <si>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</si>
  <si>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</si>
  <si>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</si>
  <si>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</si>
  <si>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</si>
  <si>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</si>
  <si>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</si>
  <si>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</si>
  <si>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</si>
  <si>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</si>
  <si>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</si>
  <si>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</si>
  <si>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</si>
  <si>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</si>
  <si>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</si>
  <si>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</si>
  <si>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</si>
  <si>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</si>
  <si>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</si>
  <si>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</si>
  <si>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</si>
  <si>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</si>
  <si>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</si>
  <si>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</si>
  <si>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</si>
  <si>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</si>
  <si>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</si>
  <si>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</si>
  <si>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</si>
  <si>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</si>
  <si>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</si>
  <si>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</si>
  <si>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</si>
  <si>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</si>
  <si>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</si>
  <si>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</si>
  <si>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</si>
  <si>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</si>
  <si>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</si>
  <si>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5332.T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</si>
  <si>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</si>
  <si>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</si>
  <si>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</si>
  <si>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</si>
  <si>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</si>
  <si>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</si>
  <si>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</si>
  <si>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</si>
  <si>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</si>
  <si>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</si>
  <si>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</si>
  <si>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</si>
  <si>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</si>
  <si>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</si>
  <si>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</si>
  <si>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</si>
  <si>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</si>
  <si>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</si>
  <si>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</si>
  <si>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</si>
  <si>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</si>
  <si>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</si>
  <si>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</si>
  <si>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</si>
  <si>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</si>
  <si>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</si>
  <si>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</si>
  <si>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</si>
  <si>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</si>
  <si>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</si>
  <si>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5332.T owner-FCF component DCF: base case (millions, JPY)</t>
  </si>
  <si>
    <t xml:space="preserve">5332.T owner-FCF component DCF: bull case (millions, JPY)</t>
  </si>
  <si>
    <t xml:space="preserve">5332.T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</si>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</sst>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5746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544509</v>
      </c>
      <c r="C2" s="0" t="n">
        <v>337286</v>
      </c>
      <c r="D2" s="0" t="n">
        <v>207223</v>
      </c>
      <c r="E2" s="0" t="n">
        <v>38.1</v>
      </c>
      <c r="F2" s="0" t="n">
        <v>37426</v>
      </c>
      <c r="G2" s="0" t="n">
        <v>6.9</v>
      </c>
      <c r="H2" s="0" t="n">
        <v>54653</v>
      </c>
      <c r="I2" s="0" t="n">
        <v>24813</v>
      </c>
      <c r="J2" s="0" t="n">
        <v>4.6</v>
      </c>
      <c r="K2" s="0" t="n">
        <v>147.16</v>
      </c>
      <c r="L2" s="0" t="n">
        <v>34713</v>
      </c>
      <c r="M2" s="0" t="n">
        <v>30406</v>
      </c>
      <c r="N2" s="0" t="n">
        <v>4307</v>
      </c>
      <c r="O2" s="0" t="n">
        <v>270159</v>
      </c>
      <c r="P2" s="0" t="n">
        <v>516995</v>
      </c>
      <c r="Q2" s="0" t="n">
        <v>236412</v>
      </c>
      <c r="R2" s="0" t="n">
        <v>48949</v>
      </c>
      <c r="S2" s="0" t="n">
        <v>83183</v>
      </c>
      <c r="T2" s="0" t="n">
        <v>168.61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567889</v>
      </c>
      <c r="C3" s="0" t="n">
        <v>351599</v>
      </c>
      <c r="D3" s="0" t="n">
        <v>216290</v>
      </c>
      <c r="E3" s="0" t="n">
        <v>38.1</v>
      </c>
      <c r="F3" s="0" t="n">
        <v>46137</v>
      </c>
      <c r="G3" s="0" t="n">
        <v>8.1</v>
      </c>
      <c r="H3" s="0" t="n">
        <v>64534</v>
      </c>
      <c r="I3" s="0" t="n">
        <v>35723</v>
      </c>
      <c r="J3" s="0" t="n">
        <v>6.3</v>
      </c>
      <c r="K3" s="0" t="n">
        <v>211.44</v>
      </c>
      <c r="L3" s="0" t="n">
        <v>58695</v>
      </c>
      <c r="M3" s="0" t="n">
        <v>31240</v>
      </c>
      <c r="N3" s="0" t="n">
        <v>27455</v>
      </c>
      <c r="O3" s="0" t="n">
        <v>276026</v>
      </c>
      <c r="P3" s="0" t="n">
        <v>536265</v>
      </c>
      <c r="Q3" s="0" t="n">
        <v>250743</v>
      </c>
      <c r="R3" s="0" t="n">
        <v>59800</v>
      </c>
      <c r="S3" s="0" t="n">
        <v>94089</v>
      </c>
      <c r="T3" s="0" t="n">
        <v>168.95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567305</v>
      </c>
      <c r="C4" s="0" t="n">
        <v>348408</v>
      </c>
      <c r="D4" s="0" t="n">
        <v>218897</v>
      </c>
      <c r="E4" s="0" t="n">
        <v>38.6</v>
      </c>
      <c r="F4" s="0" t="n">
        <v>47446</v>
      </c>
      <c r="G4" s="0" t="n">
        <v>8.4</v>
      </c>
      <c r="H4" s="0" t="n">
        <v>66655</v>
      </c>
      <c r="I4" s="0" t="n">
        <v>32960</v>
      </c>
      <c r="J4" s="0" t="n">
        <v>5.8</v>
      </c>
      <c r="K4" s="0" t="n">
        <v>194.36</v>
      </c>
      <c r="L4" s="0" t="n">
        <v>62604</v>
      </c>
      <c r="M4" s="0" t="n">
        <v>34950</v>
      </c>
      <c r="N4" s="0" t="n">
        <v>27654</v>
      </c>
      <c r="O4" s="0" t="n">
        <v>297020</v>
      </c>
      <c r="P4" s="0" t="n">
        <v>553996</v>
      </c>
      <c r="Q4" s="0" t="n">
        <v>247942</v>
      </c>
      <c r="R4" s="0" t="n">
        <v>33955</v>
      </c>
      <c r="S4" s="0" t="n">
        <v>98384</v>
      </c>
      <c r="T4" s="0" t="n">
        <v>169.58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592301</v>
      </c>
      <c r="C5" s="0" t="n">
        <v>368149</v>
      </c>
      <c r="D5" s="0" t="n">
        <v>224152</v>
      </c>
      <c r="E5" s="0" t="n">
        <v>37.8</v>
      </c>
      <c r="F5" s="0" t="n">
        <v>52602</v>
      </c>
      <c r="G5" s="0" t="n">
        <v>8.9</v>
      </c>
      <c r="H5" s="0" t="n">
        <v>73959</v>
      </c>
      <c r="I5" s="0" t="n">
        <v>36798</v>
      </c>
      <c r="J5" s="0" t="n">
        <v>6.2</v>
      </c>
      <c r="K5" s="0" t="n">
        <v>216.96</v>
      </c>
      <c r="L5" s="0" t="n">
        <v>45489</v>
      </c>
      <c r="M5" s="0" t="n">
        <v>40341</v>
      </c>
      <c r="N5" s="0" t="n">
        <v>5148</v>
      </c>
      <c r="O5" s="0" t="n">
        <v>333254</v>
      </c>
      <c r="P5" s="0" t="n">
        <v>566132</v>
      </c>
      <c r="Q5" s="0" t="n">
        <v>223912</v>
      </c>
      <c r="R5" s="0" t="n">
        <v>35819</v>
      </c>
      <c r="S5" s="0" t="n">
        <v>97637</v>
      </c>
      <c r="T5" s="0" t="n">
        <v>169.61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586086</v>
      </c>
      <c r="C6" s="0" t="n">
        <v>371565</v>
      </c>
      <c r="D6" s="0" t="n">
        <v>214521</v>
      </c>
      <c r="E6" s="0" t="n">
        <v>36.6</v>
      </c>
      <c r="F6" s="0" t="n">
        <v>40167</v>
      </c>
      <c r="G6" s="0" t="n">
        <v>6.9</v>
      </c>
      <c r="H6" s="0" t="n">
        <v>63514</v>
      </c>
      <c r="I6" s="0" t="n">
        <v>32380</v>
      </c>
      <c r="J6" s="0" t="n">
        <v>5.5</v>
      </c>
      <c r="K6" s="0" t="n">
        <v>190.9</v>
      </c>
      <c r="L6" s="0" t="n">
        <v>14593</v>
      </c>
      <c r="M6" s="0" t="n">
        <v>35881</v>
      </c>
      <c r="N6" s="0" t="n">
        <v>-21288</v>
      </c>
      <c r="O6" s="0" t="n">
        <v>338709</v>
      </c>
      <c r="P6" s="0" t="n">
        <v>574960</v>
      </c>
      <c r="Q6" s="0" t="n">
        <v>228301</v>
      </c>
      <c r="R6" s="0" t="n">
        <v>65466</v>
      </c>
      <c r="S6" s="0" t="n">
        <v>96470</v>
      </c>
      <c r="T6" s="0" t="n">
        <v>169.62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596497</v>
      </c>
      <c r="C7" s="0" t="n">
        <v>383153</v>
      </c>
      <c r="D7" s="0" t="n">
        <v>213344</v>
      </c>
      <c r="E7" s="0" t="n">
        <v>35.8</v>
      </c>
      <c r="F7" s="0" t="n">
        <v>36760</v>
      </c>
      <c r="G7" s="0" t="n">
        <v>6.2</v>
      </c>
      <c r="H7" s="0" t="n">
        <v>62103</v>
      </c>
      <c r="I7" s="0" t="n">
        <v>23583</v>
      </c>
      <c r="J7" s="0" t="n">
        <v>4</v>
      </c>
      <c r="K7" s="0" t="n">
        <v>139.02</v>
      </c>
      <c r="L7" s="0" t="n">
        <v>63843</v>
      </c>
      <c r="M7" s="0" t="n">
        <v>35598</v>
      </c>
      <c r="N7" s="0" t="n">
        <v>28245</v>
      </c>
      <c r="O7" s="0" t="n">
        <v>334262</v>
      </c>
      <c r="P7" s="0" t="n">
        <v>583934</v>
      </c>
      <c r="Q7" s="0" t="n">
        <v>242793</v>
      </c>
      <c r="R7" s="0" t="n">
        <v>61213</v>
      </c>
      <c r="S7" s="0" t="n">
        <v>101711</v>
      </c>
      <c r="T7" s="0" t="n">
        <v>169.64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580935</v>
      </c>
      <c r="C8" s="0" t="n">
        <v>368441</v>
      </c>
      <c r="D8" s="0" t="n">
        <v>212494</v>
      </c>
      <c r="E8" s="0" t="n">
        <v>36.6</v>
      </c>
      <c r="F8" s="0" t="n">
        <v>41351</v>
      </c>
      <c r="G8" s="0" t="n">
        <v>7.1</v>
      </c>
      <c r="H8" s="0" t="n">
        <v>66582</v>
      </c>
      <c r="I8" s="0" t="n">
        <v>27199</v>
      </c>
      <c r="J8" s="0" t="n">
        <v>4.7</v>
      </c>
      <c r="K8" s="0" t="n">
        <v>160.3</v>
      </c>
      <c r="L8" s="0" t="n">
        <v>59551</v>
      </c>
      <c r="M8" s="0" t="n">
        <v>43731</v>
      </c>
      <c r="N8" s="0" t="n">
        <v>15820</v>
      </c>
      <c r="O8" s="0" t="n">
        <v>366663</v>
      </c>
      <c r="P8" s="0" t="n">
        <v>647635</v>
      </c>
      <c r="Q8" s="0" t="n">
        <v>273928</v>
      </c>
      <c r="R8" s="0" t="n">
        <v>97963</v>
      </c>
      <c r="S8" s="0" t="n">
        <v>141419</v>
      </c>
      <c r="T8" s="0" t="n">
        <v>169.68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645273</v>
      </c>
      <c r="C9" s="0" t="n">
        <v>408383</v>
      </c>
      <c r="D9" s="0" t="n">
        <v>236890</v>
      </c>
      <c r="E9" s="0" t="n">
        <v>36.7</v>
      </c>
      <c r="F9" s="0" t="n">
        <v>52180</v>
      </c>
      <c r="G9" s="0" t="n">
        <v>8.1</v>
      </c>
      <c r="H9" s="0" t="n">
        <v>79119</v>
      </c>
      <c r="I9" s="0" t="n">
        <v>40131</v>
      </c>
      <c r="J9" s="0" t="n">
        <v>6.2</v>
      </c>
      <c r="K9" s="0" t="n">
        <v>236.5</v>
      </c>
      <c r="L9" s="0" t="n">
        <v>49356</v>
      </c>
      <c r="M9" s="0" t="n">
        <v>35101</v>
      </c>
      <c r="N9" s="0" t="n">
        <v>14255</v>
      </c>
      <c r="O9" s="0" t="n">
        <v>405448</v>
      </c>
      <c r="P9" s="0" t="n">
        <v>641025</v>
      </c>
      <c r="Q9" s="0" t="n">
        <v>227652</v>
      </c>
      <c r="R9" s="0" t="n">
        <v>38038</v>
      </c>
      <c r="S9" s="0" t="n">
        <v>89601</v>
      </c>
      <c r="T9" s="0" t="n">
        <v>169.69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701187</v>
      </c>
      <c r="C10" s="0" t="n">
        <v>458218</v>
      </c>
      <c r="D10" s="0" t="n">
        <v>242969</v>
      </c>
      <c r="E10" s="0" t="n">
        <v>34.7</v>
      </c>
      <c r="F10" s="0" t="n">
        <v>49121</v>
      </c>
      <c r="G10" s="0" t="n">
        <v>7</v>
      </c>
      <c r="H10" s="0" t="n">
        <v>80533</v>
      </c>
      <c r="I10" s="0" t="n">
        <v>38943</v>
      </c>
      <c r="J10" s="0" t="n">
        <v>5.6</v>
      </c>
      <c r="K10" s="0" t="n">
        <v>229.47</v>
      </c>
      <c r="L10" s="0" t="n">
        <v>31579</v>
      </c>
      <c r="M10" s="0" t="n">
        <v>36331</v>
      </c>
      <c r="N10" s="0" t="n">
        <v>-4752</v>
      </c>
      <c r="O10" s="0" t="n">
        <v>453536</v>
      </c>
      <c r="P10" s="0" t="n">
        <v>731638</v>
      </c>
      <c r="Q10" s="0" t="n">
        <v>270546</v>
      </c>
      <c r="R10" s="0" t="n">
        <v>67918</v>
      </c>
      <c r="S10" s="0" t="n">
        <v>97493</v>
      </c>
      <c r="T10" s="0" t="n">
        <v>169.71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702284</v>
      </c>
      <c r="C11" s="0" t="n">
        <v>463285</v>
      </c>
      <c r="D11" s="0" t="n">
        <v>238999</v>
      </c>
      <c r="E11" s="0" t="n">
        <v>34</v>
      </c>
      <c r="F11" s="0" t="n">
        <v>42766</v>
      </c>
      <c r="G11" s="0" t="n">
        <v>6.1</v>
      </c>
      <c r="H11" s="0" t="n">
        <v>76902</v>
      </c>
      <c r="I11" s="0" t="n">
        <v>37196</v>
      </c>
      <c r="J11" s="0" t="n">
        <v>5.3</v>
      </c>
      <c r="K11" s="0" t="n">
        <v>219.14</v>
      </c>
      <c r="L11" s="0" t="n">
        <v>76311</v>
      </c>
      <c r="M11" s="0" t="n">
        <v>58145</v>
      </c>
      <c r="N11" s="0" t="n">
        <v>18166</v>
      </c>
      <c r="O11" s="0" t="n">
        <v>502473</v>
      </c>
      <c r="P11" s="0" t="n">
        <v>790255</v>
      </c>
      <c r="Q11" s="0" t="n">
        <v>279699</v>
      </c>
      <c r="R11" s="0" t="n">
        <v>67887</v>
      </c>
      <c r="S11" s="0" t="n">
        <v>102636</v>
      </c>
      <c r="T11" s="0" t="n">
        <v>169.74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724454</v>
      </c>
      <c r="C12" s="0" t="n">
        <v>470386</v>
      </c>
      <c r="D12" s="0" t="n">
        <v>254068</v>
      </c>
      <c r="E12" s="0" t="n">
        <v>35.1</v>
      </c>
      <c r="F12" s="0" t="n">
        <v>48479</v>
      </c>
      <c r="G12" s="0" t="n">
        <v>6.7</v>
      </c>
      <c r="H12" s="0" t="n">
        <v>83497</v>
      </c>
      <c r="I12" s="0" t="n">
        <v>12168</v>
      </c>
      <c r="J12" s="0" t="n">
        <v>1.7</v>
      </c>
      <c r="K12" s="0" t="n">
        <v>71.68</v>
      </c>
      <c r="L12" s="0" t="n">
        <v>71381</v>
      </c>
      <c r="M12" s="0" t="n">
        <v>50698</v>
      </c>
      <c r="N12" s="0" t="n">
        <v>20683</v>
      </c>
      <c r="O12" s="0" t="n">
        <v>522058</v>
      </c>
      <c r="P12" s="0" t="n">
        <v>813924</v>
      </c>
      <c r="Q12" s="0" t="n">
        <v>283519</v>
      </c>
      <c r="R12" s="0" t="n">
        <v>67873</v>
      </c>
      <c r="S12" s="0" t="n">
        <v>120702</v>
      </c>
      <c r="T12" s="0" t="n">
        <v>169.75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737441</v>
      </c>
      <c r="C13" s="0" t="n">
        <v>474862</v>
      </c>
      <c r="D13" s="0" t="n">
        <v>262579</v>
      </c>
      <c r="E13" s="0" t="n">
        <v>35.6</v>
      </c>
      <c r="F13" s="0" t="n">
        <v>53759</v>
      </c>
      <c r="G13" s="0" t="n">
        <v>7.3</v>
      </c>
      <c r="H13" s="0" t="n">
        <v>88119</v>
      </c>
      <c r="I13" s="0" t="n">
        <v>40257</v>
      </c>
      <c r="J13" s="0" t="n">
        <v>5.5</v>
      </c>
      <c r="K13" s="0" t="n">
        <v>242.91</v>
      </c>
      <c r="L13" s="0" t="n">
        <v>71240</v>
      </c>
      <c r="M13" s="0" t="n">
        <v>43158</v>
      </c>
      <c r="N13" s="0" t="n">
        <v>28082</v>
      </c>
      <c r="O13" s="0" t="n">
        <v>528086</v>
      </c>
      <c r="P13" s="0" t="n">
        <v>827483</v>
      </c>
      <c r="Q13" s="0" t="n">
        <v>293568</v>
      </c>
      <c r="R13" s="0" t="n">
        <v>67785</v>
      </c>
      <c r="S13" s="0" t="n">
        <v>131188</v>
      </c>
      <c r="T13" s="0" t="n">
        <v>165.73</v>
      </c>
      <c r="AA13" s="0" t="s">
        <v>17</v>
      </c>
      <c r="AB13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5746</v>
      </c>
    </row>
    <row r="3" customFormat="false" ht="15" hidden="false" customHeight="false" outlineLevel="0" collapsed="false">
      <c r="A3" s="0" t="s">
        <v>78</v>
      </c>
      <c r="B3" s="3" t="n">
        <v>164.48</v>
      </c>
    </row>
    <row r="4" customFormat="false" ht="15" hidden="false" customHeight="false" outlineLevel="0" collapsed="false">
      <c r="A4" s="0" t="s">
        <v>79</v>
      </c>
      <c r="B4" s="3" t="n">
        <v>-63403</v>
      </c>
    </row>
    <row r="5" customFormat="false" ht="15" hidden="false" customHeight="false" outlineLevel="0" collapsed="false">
      <c r="A5" s="0" t="s">
        <v>80</v>
      </c>
      <c r="B5" s="3" t="n">
        <v>37217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737441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3</v>
      </c>
      <c r="D13" s="3" t="n">
        <v>1</v>
      </c>
      <c r="E13" s="3" t="n">
        <v>1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99</v>
      </c>
      <c r="C14" s="3" t="n">
        <v>11.5</v>
      </c>
      <c r="D14" s="3" t="n">
        <v>11</v>
      </c>
      <c r="E14" s="3" t="n">
        <v>10.8</v>
      </c>
      <c r="F14" s="3" t="n">
        <v>10.8</v>
      </c>
      <c r="G14" s="3" t="n">
        <v>10.8</v>
      </c>
      <c r="H14" s="3" t="n">
        <v>10.8</v>
      </c>
      <c r="I14" s="3" t="n">
        <v>10.8</v>
      </c>
      <c r="J14" s="3" t="n">
        <v>10.8</v>
      </c>
      <c r="K14" s="3" t="n">
        <v>10.8</v>
      </c>
      <c r="L14" s="3" t="n">
        <v>10.8</v>
      </c>
    </row>
    <row r="15" customFormat="false" ht="15" hidden="false" customHeight="false" outlineLevel="0" collapsed="false">
      <c r="A15" s="0" t="s">
        <v>100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4.7</v>
      </c>
      <c r="D17" s="3" t="n">
        <v>4.8</v>
      </c>
      <c r="E17" s="3" t="n">
        <v>4.8</v>
      </c>
      <c r="F17" s="3" t="n">
        <v>4.8</v>
      </c>
      <c r="G17" s="3" t="n">
        <v>4.8</v>
      </c>
      <c r="H17" s="3" t="n">
        <v>4.8</v>
      </c>
      <c r="I17" s="3" t="n">
        <v>4.8</v>
      </c>
      <c r="J17" s="3" t="n">
        <v>4.8</v>
      </c>
      <c r="K17" s="3" t="n">
        <v>4.8</v>
      </c>
      <c r="L17" s="3" t="n">
        <v>4.8</v>
      </c>
    </row>
    <row r="18" customFormat="false" ht="15" hidden="false" customHeight="false" outlineLevel="0" collapsed="false">
      <c r="A18" s="0" t="s">
        <v>103</v>
      </c>
      <c r="C18" s="3" t="n">
        <v>6</v>
      </c>
      <c r="D18" s="3" t="n">
        <v>6</v>
      </c>
      <c r="E18" s="3" t="n">
        <v>5.8</v>
      </c>
      <c r="F18" s="3" t="n">
        <v>5.8</v>
      </c>
      <c r="G18" s="3" t="n">
        <v>5.8</v>
      </c>
      <c r="H18" s="3" t="n">
        <v>5.8</v>
      </c>
      <c r="I18" s="3" t="n">
        <v>5.8</v>
      </c>
      <c r="J18" s="3" t="n">
        <v>5.8</v>
      </c>
      <c r="K18" s="3" t="n">
        <v>5.8</v>
      </c>
      <c r="L18" s="3" t="n">
        <v>5.8</v>
      </c>
    </row>
    <row r="19" customFormat="false" ht="15" hidden="false" customHeight="false" outlineLevel="0" collapsed="false">
      <c r="A19" s="0" t="s">
        <v>104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105</v>
      </c>
      <c r="B20" s="3" t="n">
        <v>7.5</v>
      </c>
    </row>
    <row r="21" customFormat="false" ht="15" hidden="false" customHeight="false" outlineLevel="0" collapsed="false">
      <c r="A21" s="0" t="s">
        <v>106</v>
      </c>
      <c r="B21" s="3" t="n">
        <v>1</v>
      </c>
    </row>
    <row r="22" customFormat="false" ht="15" hidden="false" customHeight="false" outlineLevel="0" collapsed="false">
      <c r="A22" s="0" t="s">
        <v>107</v>
      </c>
      <c r="B22" s="3" t="n">
        <v>15</v>
      </c>
    </row>
    <row r="23" customFormat="false" ht="15" hidden="false" customHeight="false" outlineLevel="0" collapsed="false">
      <c r="A23" s="0" t="s">
        <v>108</v>
      </c>
      <c r="B23" s="3" t="n">
        <v>-12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6</v>
      </c>
      <c r="D27" s="3" t="n">
        <v>4.5</v>
      </c>
      <c r="E27" s="3" t="n">
        <v>4</v>
      </c>
      <c r="F27" s="3" t="n">
        <v>3.5</v>
      </c>
      <c r="G27" s="3" t="n">
        <v>3</v>
      </c>
      <c r="H27" s="3" t="n">
        <v>2.5</v>
      </c>
      <c r="I27" s="3" t="n">
        <v>2.5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99</v>
      </c>
      <c r="C28" s="3" t="n">
        <v>12.2</v>
      </c>
      <c r="D28" s="3" t="n">
        <v>12.5</v>
      </c>
      <c r="E28" s="3" t="n">
        <v>12.8</v>
      </c>
      <c r="F28" s="3" t="n">
        <v>13</v>
      </c>
      <c r="G28" s="3" t="n">
        <v>13.2</v>
      </c>
      <c r="H28" s="3" t="n">
        <v>13.3</v>
      </c>
      <c r="I28" s="3" t="n">
        <v>13.3</v>
      </c>
      <c r="J28" s="3" t="n">
        <v>13.3</v>
      </c>
      <c r="K28" s="3" t="n">
        <v>13.3</v>
      </c>
      <c r="L28" s="3" t="n">
        <v>13.3</v>
      </c>
    </row>
    <row r="29" customFormat="false" ht="15" hidden="false" customHeight="false" outlineLevel="0" collapsed="false">
      <c r="A29" s="0" t="s">
        <v>100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4.6</v>
      </c>
      <c r="D31" s="3" t="n">
        <v>4.6</v>
      </c>
      <c r="E31" s="3" t="n">
        <v>4.7</v>
      </c>
      <c r="F31" s="3" t="n">
        <v>4.7</v>
      </c>
      <c r="G31" s="3" t="n">
        <v>4.8</v>
      </c>
      <c r="H31" s="3" t="n">
        <v>4.8</v>
      </c>
      <c r="I31" s="3" t="n">
        <v>4.8</v>
      </c>
      <c r="J31" s="3" t="n">
        <v>4.8</v>
      </c>
      <c r="K31" s="3" t="n">
        <v>4.8</v>
      </c>
      <c r="L31" s="3" t="n">
        <v>4.8</v>
      </c>
    </row>
    <row r="32" customFormat="false" ht="15" hidden="false" customHeight="false" outlineLevel="0" collapsed="false">
      <c r="A32" s="0" t="s">
        <v>103</v>
      </c>
      <c r="C32" s="3" t="n">
        <v>6</v>
      </c>
      <c r="D32" s="3" t="n">
        <v>5.8</v>
      </c>
      <c r="E32" s="3" t="n">
        <v>5.6</v>
      </c>
      <c r="F32" s="3" t="n">
        <v>5.5</v>
      </c>
      <c r="G32" s="3" t="n">
        <v>5.5</v>
      </c>
      <c r="H32" s="3" t="n">
        <v>5.4</v>
      </c>
      <c r="I32" s="3" t="n">
        <v>5.4</v>
      </c>
      <c r="J32" s="3" t="n">
        <v>5.3</v>
      </c>
      <c r="K32" s="3" t="n">
        <v>5.3</v>
      </c>
      <c r="L32" s="3" t="n">
        <v>5.3</v>
      </c>
    </row>
    <row r="33" customFormat="false" ht="15" hidden="false" customHeight="false" outlineLevel="0" collapsed="false">
      <c r="A33" s="0" t="s">
        <v>104</v>
      </c>
      <c r="C33" s="3" t="n">
        <v>30</v>
      </c>
      <c r="D33" s="3" t="n">
        <v>30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105</v>
      </c>
      <c r="B34" s="3" t="n">
        <v>7.5</v>
      </c>
    </row>
    <row r="35" customFormat="false" ht="15" hidden="false" customHeight="false" outlineLevel="0" collapsed="false">
      <c r="A35" s="0" t="s">
        <v>106</v>
      </c>
      <c r="B35" s="3" t="n">
        <v>1.5</v>
      </c>
    </row>
    <row r="36" customFormat="false" ht="15" hidden="false" customHeight="false" outlineLevel="0" collapsed="false">
      <c r="A36" s="0" t="s">
        <v>107</v>
      </c>
      <c r="B36" s="3" t="n">
        <v>15</v>
      </c>
    </row>
    <row r="37" customFormat="false" ht="15" hidden="false" customHeight="false" outlineLevel="0" collapsed="false">
      <c r="A37" s="0" t="s">
        <v>108</v>
      </c>
      <c r="B37" s="3" t="n">
        <v>-12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7.5</v>
      </c>
      <c r="D41" s="3" t="n">
        <v>6</v>
      </c>
      <c r="E41" s="3" t="n">
        <v>5.5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2.5</v>
      </c>
    </row>
    <row r="42" customFormat="false" ht="15" hidden="false" customHeight="false" outlineLevel="0" collapsed="false">
      <c r="A42" s="0" t="s">
        <v>99</v>
      </c>
      <c r="C42" s="3" t="n">
        <v>12.5</v>
      </c>
      <c r="D42" s="3" t="n">
        <v>13</v>
      </c>
      <c r="E42" s="3" t="n">
        <v>13.5</v>
      </c>
      <c r="F42" s="3" t="n">
        <v>14</v>
      </c>
      <c r="G42" s="3" t="n">
        <v>14.3</v>
      </c>
      <c r="H42" s="3" t="n">
        <v>14.5</v>
      </c>
      <c r="I42" s="3" t="n">
        <v>14.5</v>
      </c>
      <c r="J42" s="3" t="n">
        <v>14.5</v>
      </c>
      <c r="K42" s="3" t="n">
        <v>14.5</v>
      </c>
      <c r="L42" s="3" t="n">
        <v>14.5</v>
      </c>
    </row>
    <row r="43" customFormat="false" ht="15" hidden="false" customHeight="false" outlineLevel="0" collapsed="false">
      <c r="A43" s="0" t="s">
        <v>100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4.6</v>
      </c>
      <c r="D45" s="3" t="n">
        <v>4.6</v>
      </c>
      <c r="E45" s="3" t="n">
        <v>4.6</v>
      </c>
      <c r="F45" s="3" t="n">
        <v>4.7</v>
      </c>
      <c r="G45" s="3" t="n">
        <v>4.7</v>
      </c>
      <c r="H45" s="3" t="n">
        <v>4.7</v>
      </c>
      <c r="I45" s="3" t="n">
        <v>4.7</v>
      </c>
      <c r="J45" s="3" t="n">
        <v>4.7</v>
      </c>
      <c r="K45" s="3" t="n">
        <v>4.7</v>
      </c>
      <c r="L45" s="3" t="n">
        <v>4.7</v>
      </c>
    </row>
    <row r="46" customFormat="false" ht="15" hidden="false" customHeight="false" outlineLevel="0" collapsed="false">
      <c r="A46" s="0" t="s">
        <v>103</v>
      </c>
      <c r="C46" s="3" t="n">
        <v>5.8</v>
      </c>
      <c r="D46" s="3" t="n">
        <v>5.6</v>
      </c>
      <c r="E46" s="3" t="n">
        <v>5.5</v>
      </c>
      <c r="F46" s="3" t="n">
        <v>5.4</v>
      </c>
      <c r="G46" s="3" t="n">
        <v>5.3</v>
      </c>
      <c r="H46" s="3" t="n">
        <v>5.2</v>
      </c>
      <c r="I46" s="3" t="n">
        <v>5.2</v>
      </c>
      <c r="J46" s="3" t="n">
        <v>5.1</v>
      </c>
      <c r="K46" s="3" t="n">
        <v>5.1</v>
      </c>
      <c r="L46" s="3" t="n">
        <v>5.1</v>
      </c>
    </row>
    <row r="47" customFormat="false" ht="15" hidden="false" customHeight="false" outlineLevel="0" collapsed="false">
      <c r="A47" s="0" t="s">
        <v>104</v>
      </c>
      <c r="C47" s="3" t="n">
        <v>30</v>
      </c>
      <c r="D47" s="3" t="n">
        <v>30</v>
      </c>
      <c r="E47" s="3" t="n">
        <v>30</v>
      </c>
      <c r="F47" s="3" t="n">
        <v>30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105</v>
      </c>
      <c r="B48" s="3" t="n">
        <v>7.5</v>
      </c>
    </row>
    <row r="49" customFormat="false" ht="15" hidden="false" customHeight="false" outlineLevel="0" collapsed="false">
      <c r="A49" s="0" t="s">
        <v>106</v>
      </c>
      <c r="B49" s="3" t="n">
        <v>2</v>
      </c>
    </row>
    <row r="50" customFormat="false" ht="15" hidden="false" customHeight="false" outlineLevel="0" collapsed="false">
      <c r="A50" s="0" t="s">
        <v>107</v>
      </c>
      <c r="B50" s="3" t="n">
        <v>15</v>
      </c>
    </row>
    <row r="51" customFormat="false" ht="15" hidden="false" customHeight="false" outlineLevel="0" collapsed="false">
      <c r="A51" s="0" t="s">
        <v>108</v>
      </c>
      <c r="B51" s="3" t="n">
        <v>-12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3</v>
      </c>
      <c r="D5" s="4" t="n">
        <f aca="false">Assumptions!D13</f>
        <v>1</v>
      </c>
      <c r="E5" s="4" t="n">
        <f aca="false">Assumptions!E13</f>
        <v>1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737441</v>
      </c>
      <c r="C6" s="0" t="n">
        <f aca="false">B6*(1+C5/100)</f>
        <v>759564.23</v>
      </c>
      <c r="D6" s="0" t="n">
        <f aca="false">C6*(1+D5/100)</f>
        <v>767159.8723</v>
      </c>
      <c r="E6" s="0" t="n">
        <f aca="false">D6*(1+E5/100)</f>
        <v>774831.471023</v>
      </c>
      <c r="F6" s="0" t="n">
        <f aca="false">E6*(1+F5/100)</f>
        <v>786453.943088345</v>
      </c>
      <c r="G6" s="0" t="n">
        <f aca="false">F6*(1+G5/100)</f>
        <v>798250.75223467</v>
      </c>
      <c r="H6" s="0" t="n">
        <f aca="false">G6*(1+H5/100)</f>
        <v>810224.51351819</v>
      </c>
      <c r="I6" s="0" t="n">
        <f aca="false">H6*(1+I5/100)</f>
        <v>822377.881220963</v>
      </c>
      <c r="J6" s="0" t="n">
        <f aca="false">I6*(1+J5/100)</f>
        <v>830601.660033172</v>
      </c>
      <c r="K6" s="0" t="n">
        <f aca="false">J6*(1+K5/100)</f>
        <v>838907.676633504</v>
      </c>
      <c r="L6" s="0" t="n">
        <f aca="false">K6*(1+L5/100)</f>
        <v>847296.753399839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11.5</v>
      </c>
      <c r="D7" s="4" t="n">
        <f aca="false">Assumptions!D14</f>
        <v>11</v>
      </c>
      <c r="E7" s="4" t="n">
        <f aca="false">Assumptions!E14</f>
        <v>10.8</v>
      </c>
      <c r="F7" s="4" t="n">
        <f aca="false">Assumptions!F14</f>
        <v>10.8</v>
      </c>
      <c r="G7" s="4" t="n">
        <f aca="false">Assumptions!G14</f>
        <v>10.8</v>
      </c>
      <c r="H7" s="4" t="n">
        <f aca="false">Assumptions!H14</f>
        <v>10.8</v>
      </c>
      <c r="I7" s="4" t="n">
        <f aca="false">Assumptions!I14</f>
        <v>10.8</v>
      </c>
      <c r="J7" s="4" t="n">
        <f aca="false">Assumptions!J14</f>
        <v>10.8</v>
      </c>
      <c r="K7" s="4" t="n">
        <f aca="false">Assumptions!K14</f>
        <v>10.8</v>
      </c>
      <c r="L7" s="4" t="n">
        <f aca="false">Assumptions!L14</f>
        <v>10.8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87349.88645</v>
      </c>
      <c r="D8" s="0" t="n">
        <f aca="false">D6*D7/100</f>
        <v>84387.585953</v>
      </c>
      <c r="E8" s="0" t="n">
        <f aca="false">E6*E7/100</f>
        <v>83681.798870484</v>
      </c>
      <c r="F8" s="0" t="n">
        <f aca="false">F6*F7/100</f>
        <v>84937.0258535413</v>
      </c>
      <c r="G8" s="0" t="n">
        <f aca="false">G6*G7/100</f>
        <v>86211.0812413444</v>
      </c>
      <c r="H8" s="0" t="n">
        <f aca="false">H6*H7/100</f>
        <v>87504.2474599645</v>
      </c>
      <c r="I8" s="0" t="n">
        <f aca="false">I6*I7/100</f>
        <v>88816.811171864</v>
      </c>
      <c r="J8" s="0" t="n">
        <f aca="false">J6*J7/100</f>
        <v>89704.9792835826</v>
      </c>
      <c r="K8" s="0" t="n">
        <f aca="false">K6*K7/100</f>
        <v>90602.0290764185</v>
      </c>
      <c r="L8" s="0" t="n">
        <f aca="false">L6*L7/100</f>
        <v>91508.0493671826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87349.88645</v>
      </c>
      <c r="D11" s="0" t="n">
        <f aca="false">D8+D10+D24</f>
        <v>84387.585953</v>
      </c>
      <c r="E11" s="0" t="n">
        <f aca="false">E8+E10+E24</f>
        <v>83681.798870484</v>
      </c>
      <c r="F11" s="0" t="n">
        <f aca="false">F8+F10+F24</f>
        <v>84937.0258535413</v>
      </c>
      <c r="G11" s="0" t="n">
        <f aca="false">G8+G10+G24</f>
        <v>86211.0812413444</v>
      </c>
      <c r="H11" s="0" t="n">
        <f aca="false">H8+H10+H24</f>
        <v>87504.2474599645</v>
      </c>
      <c r="I11" s="0" t="n">
        <f aca="false">I8+I10+I24</f>
        <v>88816.811171864</v>
      </c>
      <c r="J11" s="0" t="n">
        <f aca="false">J8+J10+J24</f>
        <v>89704.9792835826</v>
      </c>
      <c r="K11" s="0" t="n">
        <f aca="false">K8+K10+K24</f>
        <v>90602.0290764185</v>
      </c>
      <c r="L11" s="0" t="n">
        <f aca="false">L8+L10+L24</f>
        <v>91508.0493671826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-35699.51881</v>
      </c>
      <c r="D12" s="4" t="n">
        <f aca="false">-D6*Assumptions!D17/100</f>
        <v>-36823.6738704</v>
      </c>
      <c r="E12" s="4" t="n">
        <f aca="false">-E6*Assumptions!E17/100</f>
        <v>-37191.910609104</v>
      </c>
      <c r="F12" s="4" t="n">
        <f aca="false">-F6*Assumptions!F17/100</f>
        <v>-37749.7892682406</v>
      </c>
      <c r="G12" s="4" t="n">
        <f aca="false">-G6*Assumptions!G17/100</f>
        <v>-38316.0361072642</v>
      </c>
      <c r="H12" s="4" t="n">
        <f aca="false">-H6*Assumptions!H17/100</f>
        <v>-38890.7766488731</v>
      </c>
      <c r="I12" s="4" t="n">
        <f aca="false">-I6*Assumptions!I17/100</f>
        <v>-39474.1382986062</v>
      </c>
      <c r="J12" s="4" t="n">
        <f aca="false">-J6*Assumptions!J17/100</f>
        <v>-39868.8796815923</v>
      </c>
      <c r="K12" s="4" t="n">
        <f aca="false">-K6*Assumptions!K17/100</f>
        <v>-40267.5684784082</v>
      </c>
      <c r="L12" s="4" t="n">
        <f aca="false">-L6*Assumptions!L17/100</f>
        <v>-40670.2441631923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51650.36764</v>
      </c>
      <c r="D13" s="0" t="n">
        <f aca="false">D11+D12</f>
        <v>47563.9120826</v>
      </c>
      <c r="E13" s="0" t="n">
        <f aca="false">E11+E12</f>
        <v>46489.88826138</v>
      </c>
      <c r="F13" s="0" t="n">
        <f aca="false">F11+F12</f>
        <v>47187.2365853007</v>
      </c>
      <c r="G13" s="0" t="n">
        <f aca="false">G11+G12</f>
        <v>47895.0451340802</v>
      </c>
      <c r="H13" s="0" t="n">
        <f aca="false">H11+H12</f>
        <v>48613.4708110914</v>
      </c>
      <c r="I13" s="0" t="n">
        <f aca="false">I11+I12</f>
        <v>49342.6728732578</v>
      </c>
      <c r="J13" s="0" t="n">
        <f aca="false">J11+J12</f>
        <v>49836.0996019904</v>
      </c>
      <c r="K13" s="0" t="n">
        <f aca="false">K11+K12</f>
        <v>50334.4605980103</v>
      </c>
      <c r="L13" s="0" t="n">
        <f aca="false">L11+L12</f>
        <v>50837.8052039904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36155.257348</v>
      </c>
      <c r="D15" s="0" t="n">
        <f aca="false">D13-MAX(0,D13)*D14/100</f>
        <v>33294.73845782</v>
      </c>
      <c r="E15" s="0" t="n">
        <f aca="false">E13-MAX(0,E13)*E14/100</f>
        <v>32542.921782966</v>
      </c>
      <c r="F15" s="0" t="n">
        <f aca="false">F13-MAX(0,F13)*F14/100</f>
        <v>33031.0656097105</v>
      </c>
      <c r="G15" s="0" t="n">
        <f aca="false">G13-MAX(0,G13)*G14/100</f>
        <v>33526.5315938562</v>
      </c>
      <c r="H15" s="0" t="n">
        <f aca="false">H13-MAX(0,H13)*H14/100</f>
        <v>34029.429567764</v>
      </c>
      <c r="I15" s="0" t="n">
        <f aca="false">I13-MAX(0,I13)*I14/100</f>
        <v>34539.8710112804</v>
      </c>
      <c r="J15" s="0" t="n">
        <f aca="false">J13-MAX(0,J13)*J14/100</f>
        <v>34885.2697213933</v>
      </c>
      <c r="K15" s="0" t="n">
        <f aca="false">K13-MAX(0,K13)*K14/100</f>
        <v>35234.1224186072</v>
      </c>
      <c r="L15" s="0" t="n">
        <f aca="false">L13-MAX(0,L13)*L14/100</f>
        <v>35586.4636427932</v>
      </c>
    </row>
    <row r="16" customFormat="false" ht="15" hidden="false" customHeight="false" outlineLevel="0" collapsed="false">
      <c r="A16" s="0" t="s">
        <v>120</v>
      </c>
      <c r="C16" s="0" t="n">
        <f aca="false">-C12</f>
        <v>35699.51881</v>
      </c>
      <c r="D16" s="0" t="n">
        <f aca="false">-D12</f>
        <v>36823.6738704</v>
      </c>
      <c r="E16" s="0" t="n">
        <f aca="false">-E12</f>
        <v>37191.910609104</v>
      </c>
      <c r="F16" s="0" t="n">
        <f aca="false">-F12</f>
        <v>37749.7892682406</v>
      </c>
      <c r="G16" s="0" t="n">
        <f aca="false">-G12</f>
        <v>38316.0361072642</v>
      </c>
      <c r="H16" s="0" t="n">
        <f aca="false">-H12</f>
        <v>38890.7766488731</v>
      </c>
      <c r="I16" s="0" t="n">
        <f aca="false">-I12</f>
        <v>39474.1382986062</v>
      </c>
      <c r="J16" s="0" t="n">
        <f aca="false">-J12</f>
        <v>39868.8796815923</v>
      </c>
      <c r="K16" s="0" t="n">
        <f aca="false">-K12</f>
        <v>40267.5684784082</v>
      </c>
      <c r="L16" s="0" t="n">
        <f aca="false">-L12</f>
        <v>40670.2441631923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-45573.8538</v>
      </c>
      <c r="D17" s="4" t="n">
        <f aca="false">-D6*Assumptions!D18/100</f>
        <v>-46029.592338</v>
      </c>
      <c r="E17" s="4" t="n">
        <f aca="false">-E6*Assumptions!E18/100</f>
        <v>-44940.225319334</v>
      </c>
      <c r="F17" s="4" t="n">
        <f aca="false">-F6*Assumptions!F18/100</f>
        <v>-45614.328699124</v>
      </c>
      <c r="G17" s="4" t="n">
        <f aca="false">-G6*Assumptions!G18/100</f>
        <v>-46298.5436296109</v>
      </c>
      <c r="H17" s="4" t="n">
        <f aca="false">-H6*Assumptions!H18/100</f>
        <v>-46993.021784055</v>
      </c>
      <c r="I17" s="4" t="n">
        <f aca="false">-I6*Assumptions!I18/100</f>
        <v>-47697.9171108158</v>
      </c>
      <c r="J17" s="4" t="n">
        <f aca="false">-J6*Assumptions!J18/100</f>
        <v>-48174.896281924</v>
      </c>
      <c r="K17" s="4" t="n">
        <f aca="false">-K6*Assumptions!K18/100</f>
        <v>-48656.6452447432</v>
      </c>
      <c r="L17" s="4" t="n">
        <f aca="false">-L6*Assumptions!L18/100</f>
        <v>-49143.2116971907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-2654.7876</v>
      </c>
      <c r="D18" s="4" t="n">
        <f aca="false">(D6-C6)*Assumptions!$B$23/100</f>
        <v>-911.477075999994</v>
      </c>
      <c r="E18" s="4" t="n">
        <f aca="false">(E6-D6)*Assumptions!$B$23/100</f>
        <v>-920.591846760004</v>
      </c>
      <c r="F18" s="4" t="n">
        <f aca="false">(F6-E6)*Assumptions!$B$23/100</f>
        <v>-1394.69664784139</v>
      </c>
      <c r="G18" s="4" t="n">
        <f aca="false">(G6-F6)*Assumptions!$B$23/100</f>
        <v>-1415.61709755901</v>
      </c>
      <c r="H18" s="4" t="n">
        <f aca="false">(H6-G6)*Assumptions!$B$23/100</f>
        <v>-1436.8513540224</v>
      </c>
      <c r="I18" s="4" t="n">
        <f aca="false">(I6-H6)*Assumptions!$B$23/100</f>
        <v>-1458.40412433273</v>
      </c>
      <c r="J18" s="4" t="n">
        <f aca="false">(J6-I6)*Assumptions!$B$23/100</f>
        <v>-986.853457465153</v>
      </c>
      <c r="K18" s="4" t="n">
        <f aca="false">(K6-J6)*Assumptions!$B$23/100</f>
        <v>-996.721992039811</v>
      </c>
      <c r="L18" s="4" t="n">
        <f aca="false">(L6-K6)*Assumptions!$B$23/100</f>
        <v>-1006.68921196021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23626.134758</v>
      </c>
      <c r="D19" s="0" t="n">
        <f aca="false">D15+D16+D17+D18</f>
        <v>23177.34291422</v>
      </c>
      <c r="E19" s="0" t="n">
        <f aca="false">E15+E16+E17+E18</f>
        <v>23874.015225976</v>
      </c>
      <c r="F19" s="0" t="n">
        <f aca="false">F15+F16+F17+F18</f>
        <v>23771.8295309857</v>
      </c>
      <c r="G19" s="0" t="n">
        <f aca="false">G15+G16+G17+G18</f>
        <v>24128.4069739504</v>
      </c>
      <c r="H19" s="0" t="n">
        <f aca="false">H15+H16+H17+H18</f>
        <v>24490.3330785597</v>
      </c>
      <c r="I19" s="0" t="n">
        <f aca="false">I15+I16+I17+I18</f>
        <v>24857.6880747381</v>
      </c>
      <c r="J19" s="0" t="n">
        <f aca="false">J15+J16+J17+J18</f>
        <v>25592.3996635964</v>
      </c>
      <c r="K19" s="0" t="n">
        <f aca="false">K15+K16+K17+K18</f>
        <v>25848.3236602323</v>
      </c>
      <c r="L19" s="0" t="n">
        <f aca="false">L15+L16+L17+L18</f>
        <v>26106.8068968347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21977.7997748837</v>
      </c>
      <c r="D21" s="0" t="n">
        <f aca="false">D19*D20</f>
        <v>20056.1106883461</v>
      </c>
      <c r="E21" s="0" t="n">
        <f aca="false">E19*E20</f>
        <v>19217.6408927826</v>
      </c>
      <c r="F21" s="0" t="n">
        <f aca="false">F19*F20</f>
        <v>17800.3585465557</v>
      </c>
      <c r="G21" s="0" t="n">
        <f aca="false">G19*G20</f>
        <v>16806.8501625619</v>
      </c>
      <c r="H21" s="0" t="n">
        <f aca="false">H19*H20</f>
        <v>15868.7934093026</v>
      </c>
      <c r="I21" s="0" t="n">
        <f aca="false">I19*I20</f>
        <v>14983.0933120392</v>
      </c>
      <c r="J21" s="0" t="n">
        <f aca="false">J19*J20</f>
        <v>14349.7156492745</v>
      </c>
      <c r="K21" s="0" t="n">
        <f aca="false">K19*K20</f>
        <v>13482.0584239695</v>
      </c>
      <c r="L21" s="0" t="n">
        <f aca="false">L19*L20</f>
        <v>12666.864193683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167209.285053399</v>
      </c>
    </row>
    <row r="31" customFormat="false" ht="15" hidden="false" customHeight="false" outlineLevel="0" collapsed="false">
      <c r="A31" s="0" t="s">
        <v>129</v>
      </c>
      <c r="B31" s="0" t="n">
        <f aca="false">L19</f>
        <v>26106.8068968347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405659.614858508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391602.10345252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391602.10345252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190002.962905245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357212.247958643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457832.247958643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2783.51318068241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-0.515573759018028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2783.51318068241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188341.96404145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1633.20925652671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6</v>
      </c>
      <c r="D5" s="4" t="n">
        <f aca="false">Assumptions!D27</f>
        <v>4.5</v>
      </c>
      <c r="E5" s="4" t="n">
        <f aca="false">Assumptions!E27</f>
        <v>4</v>
      </c>
      <c r="F5" s="4" t="n">
        <f aca="false">Assumptions!F27</f>
        <v>3.5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737441</v>
      </c>
      <c r="C6" s="0" t="n">
        <f aca="false">B6*(1+C5/100)</f>
        <v>781687.46</v>
      </c>
      <c r="D6" s="0" t="n">
        <f aca="false">C6*(1+D5/100)</f>
        <v>816863.3957</v>
      </c>
      <c r="E6" s="0" t="n">
        <f aca="false">D6*(1+E5/100)</f>
        <v>849537.931528</v>
      </c>
      <c r="F6" s="0" t="n">
        <f aca="false">E6*(1+F5/100)</f>
        <v>879271.75913148</v>
      </c>
      <c r="G6" s="0" t="n">
        <f aca="false">F6*(1+G5/100)</f>
        <v>905649.911905424</v>
      </c>
      <c r="H6" s="0" t="n">
        <f aca="false">G6*(1+H5/100)</f>
        <v>928291.15970306</v>
      </c>
      <c r="I6" s="0" t="n">
        <f aca="false">H6*(1+I5/100)</f>
        <v>951498.438695636</v>
      </c>
      <c r="J6" s="0" t="n">
        <f aca="false">I6*(1+J5/100)</f>
        <v>970528.407469549</v>
      </c>
      <c r="K6" s="0" t="n">
        <f aca="false">J6*(1+K5/100)</f>
        <v>989938.97561894</v>
      </c>
      <c r="L6" s="0" t="n">
        <f aca="false">K6*(1+L5/100)</f>
        <v>1009737.75513132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12.2</v>
      </c>
      <c r="D7" s="4" t="n">
        <f aca="false">Assumptions!D28</f>
        <v>12.5</v>
      </c>
      <c r="E7" s="4" t="n">
        <f aca="false">Assumptions!E28</f>
        <v>12.8</v>
      </c>
      <c r="F7" s="4" t="n">
        <f aca="false">Assumptions!F28</f>
        <v>13</v>
      </c>
      <c r="G7" s="4" t="n">
        <f aca="false">Assumptions!G28</f>
        <v>13.2</v>
      </c>
      <c r="H7" s="4" t="n">
        <f aca="false">Assumptions!H28</f>
        <v>13.3</v>
      </c>
      <c r="I7" s="4" t="n">
        <f aca="false">Assumptions!I28</f>
        <v>13.3</v>
      </c>
      <c r="J7" s="4" t="n">
        <f aca="false">Assumptions!J28</f>
        <v>13.3</v>
      </c>
      <c r="K7" s="4" t="n">
        <f aca="false">Assumptions!K28</f>
        <v>13.3</v>
      </c>
      <c r="L7" s="4" t="n">
        <f aca="false">Assumptions!L28</f>
        <v>13.3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95365.87012</v>
      </c>
      <c r="D8" s="0" t="n">
        <f aca="false">D6*D7/100</f>
        <v>102107.9244625</v>
      </c>
      <c r="E8" s="0" t="n">
        <f aca="false">E6*E7/100</f>
        <v>108740.855235584</v>
      </c>
      <c r="F8" s="0" t="n">
        <f aca="false">F6*F7/100</f>
        <v>114305.328687092</v>
      </c>
      <c r="G8" s="0" t="n">
        <f aca="false">G6*G7/100</f>
        <v>119545.788371516</v>
      </c>
      <c r="H8" s="0" t="n">
        <f aca="false">H6*H7/100</f>
        <v>123462.724240507</v>
      </c>
      <c r="I8" s="0" t="n">
        <f aca="false">I6*I7/100</f>
        <v>126549.29234652</v>
      </c>
      <c r="J8" s="0" t="n">
        <f aca="false">J6*J7/100</f>
        <v>129080.27819345</v>
      </c>
      <c r="K8" s="0" t="n">
        <f aca="false">K6*K7/100</f>
        <v>131661.883757319</v>
      </c>
      <c r="L8" s="0" t="n">
        <f aca="false">L6*L7/100</f>
        <v>134295.121432465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95365.87012</v>
      </c>
      <c r="D11" s="0" t="n">
        <f aca="false">D8+D10+D24</f>
        <v>102107.9244625</v>
      </c>
      <c r="E11" s="0" t="n">
        <f aca="false">E8+E10+E24</f>
        <v>108740.855235584</v>
      </c>
      <c r="F11" s="0" t="n">
        <f aca="false">F8+F10+F24</f>
        <v>114305.328687092</v>
      </c>
      <c r="G11" s="0" t="n">
        <f aca="false">G8+G10+G24</f>
        <v>119545.788371516</v>
      </c>
      <c r="H11" s="0" t="n">
        <f aca="false">H8+H10+H24</f>
        <v>123462.724240507</v>
      </c>
      <c r="I11" s="0" t="n">
        <f aca="false">I8+I10+I24</f>
        <v>126549.29234652</v>
      </c>
      <c r="J11" s="0" t="n">
        <f aca="false">J8+J10+J24</f>
        <v>129080.27819345</v>
      </c>
      <c r="K11" s="0" t="n">
        <f aca="false">K8+K10+K24</f>
        <v>131661.883757319</v>
      </c>
      <c r="L11" s="0" t="n">
        <f aca="false">L8+L10+L24</f>
        <v>134295.121432465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-35957.62316</v>
      </c>
      <c r="D12" s="4" t="n">
        <f aca="false">-D6*Assumptions!D31/100</f>
        <v>-37575.7162022</v>
      </c>
      <c r="E12" s="4" t="n">
        <f aca="false">-E6*Assumptions!E31/100</f>
        <v>-39928.282781816</v>
      </c>
      <c r="F12" s="4" t="n">
        <f aca="false">-F6*Assumptions!F31/100</f>
        <v>-41325.7726791796</v>
      </c>
      <c r="G12" s="4" t="n">
        <f aca="false">-G6*Assumptions!G31/100</f>
        <v>-43471.1957714604</v>
      </c>
      <c r="H12" s="4" t="n">
        <f aca="false">-H6*Assumptions!H31/100</f>
        <v>-44557.9756657469</v>
      </c>
      <c r="I12" s="4" t="n">
        <f aca="false">-I6*Assumptions!I31/100</f>
        <v>-45671.9250573905</v>
      </c>
      <c r="J12" s="4" t="n">
        <f aca="false">-J6*Assumptions!J31/100</f>
        <v>-46585.3635585384</v>
      </c>
      <c r="K12" s="4" t="n">
        <f aca="false">-K6*Assumptions!K31/100</f>
        <v>-47517.0708297091</v>
      </c>
      <c r="L12" s="4" t="n">
        <f aca="false">-L6*Assumptions!L31/100</f>
        <v>-48467.4122463033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59408.24696</v>
      </c>
      <c r="D13" s="0" t="n">
        <f aca="false">D11+D12</f>
        <v>64532.2082603</v>
      </c>
      <c r="E13" s="0" t="n">
        <f aca="false">E11+E12</f>
        <v>68812.572453768</v>
      </c>
      <c r="F13" s="0" t="n">
        <f aca="false">F11+F12</f>
        <v>72979.5560079129</v>
      </c>
      <c r="G13" s="0" t="n">
        <f aca="false">G11+G12</f>
        <v>76074.5926000556</v>
      </c>
      <c r="H13" s="0" t="n">
        <f aca="false">H11+H12</f>
        <v>78904.7485747601</v>
      </c>
      <c r="I13" s="0" t="n">
        <f aca="false">I11+I12</f>
        <v>80877.3672891291</v>
      </c>
      <c r="J13" s="0" t="n">
        <f aca="false">J11+J12</f>
        <v>82494.9146349117</v>
      </c>
      <c r="K13" s="0" t="n">
        <f aca="false">K11+K12</f>
        <v>84144.8129276099</v>
      </c>
      <c r="L13" s="0" t="n">
        <f aca="false">L11+L12</f>
        <v>85827.7091861621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30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41585.772872</v>
      </c>
      <c r="D15" s="0" t="n">
        <f aca="false">D13-MAX(0,D13)*D14/100</f>
        <v>45172.54578221</v>
      </c>
      <c r="E15" s="0" t="n">
        <f aca="false">E13-MAX(0,E13)*E14/100</f>
        <v>48168.8007176376</v>
      </c>
      <c r="F15" s="0" t="n">
        <f aca="false">F13-MAX(0,F13)*F14/100</f>
        <v>51085.689205539</v>
      </c>
      <c r="G15" s="0" t="n">
        <f aca="false">G13-MAX(0,G13)*G14/100</f>
        <v>53252.214820039</v>
      </c>
      <c r="H15" s="0" t="n">
        <f aca="false">H13-MAX(0,H13)*H14/100</f>
        <v>55233.3240023321</v>
      </c>
      <c r="I15" s="0" t="n">
        <f aca="false">I13-MAX(0,I13)*I14/100</f>
        <v>56614.1571023904</v>
      </c>
      <c r="J15" s="0" t="n">
        <f aca="false">J13-MAX(0,J13)*J14/100</f>
        <v>57746.4402444382</v>
      </c>
      <c r="K15" s="0" t="n">
        <f aca="false">K13-MAX(0,K13)*K14/100</f>
        <v>58901.3690493269</v>
      </c>
      <c r="L15" s="0" t="n">
        <f aca="false">L13-MAX(0,L13)*L14/100</f>
        <v>60079.3964303135</v>
      </c>
    </row>
    <row r="16" customFormat="false" ht="15" hidden="false" customHeight="false" outlineLevel="0" collapsed="false">
      <c r="A16" s="0" t="s">
        <v>120</v>
      </c>
      <c r="C16" s="0" t="n">
        <f aca="false">-C12</f>
        <v>35957.62316</v>
      </c>
      <c r="D16" s="0" t="n">
        <f aca="false">-D12</f>
        <v>37575.7162022</v>
      </c>
      <c r="E16" s="0" t="n">
        <f aca="false">-E12</f>
        <v>39928.282781816</v>
      </c>
      <c r="F16" s="0" t="n">
        <f aca="false">-F12</f>
        <v>41325.7726791796</v>
      </c>
      <c r="G16" s="0" t="n">
        <f aca="false">-G12</f>
        <v>43471.1957714604</v>
      </c>
      <c r="H16" s="0" t="n">
        <f aca="false">-H12</f>
        <v>44557.9756657469</v>
      </c>
      <c r="I16" s="0" t="n">
        <f aca="false">-I12</f>
        <v>45671.9250573905</v>
      </c>
      <c r="J16" s="0" t="n">
        <f aca="false">-J12</f>
        <v>46585.3635585384</v>
      </c>
      <c r="K16" s="0" t="n">
        <f aca="false">-K12</f>
        <v>47517.0708297091</v>
      </c>
      <c r="L16" s="0" t="n">
        <f aca="false">-L12</f>
        <v>48467.4122463033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-46901.2476</v>
      </c>
      <c r="D17" s="4" t="n">
        <f aca="false">-D6*Assumptions!D32/100</f>
        <v>-47378.0769506</v>
      </c>
      <c r="E17" s="4" t="n">
        <f aca="false">-E6*Assumptions!E32/100</f>
        <v>-47574.124165568</v>
      </c>
      <c r="F17" s="4" t="n">
        <f aca="false">-F6*Assumptions!F32/100</f>
        <v>-48359.9467522314</v>
      </c>
      <c r="G17" s="4" t="n">
        <f aca="false">-G6*Assumptions!G32/100</f>
        <v>-49810.7451547984</v>
      </c>
      <c r="H17" s="4" t="n">
        <f aca="false">-H6*Assumptions!H32/100</f>
        <v>-50127.7226239652</v>
      </c>
      <c r="I17" s="4" t="n">
        <f aca="false">-I6*Assumptions!I32/100</f>
        <v>-51380.9156895644</v>
      </c>
      <c r="J17" s="4" t="n">
        <f aca="false">-J6*Assumptions!J32/100</f>
        <v>-51438.0055958861</v>
      </c>
      <c r="K17" s="4" t="n">
        <f aca="false">-K6*Assumptions!K32/100</f>
        <v>-52466.7657078038</v>
      </c>
      <c r="L17" s="4" t="n">
        <f aca="false">-L6*Assumptions!L32/100</f>
        <v>-53516.1010219599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-5309.57520000001</v>
      </c>
      <c r="D18" s="4" t="n">
        <f aca="false">(D6-C6)*Assumptions!$B$37/100</f>
        <v>-4221.11228399999</v>
      </c>
      <c r="E18" s="4" t="n">
        <f aca="false">(E6-D6)*Assumptions!$B$37/100</f>
        <v>-3920.94429936001</v>
      </c>
      <c r="F18" s="4" t="n">
        <f aca="false">(F6-E6)*Assumptions!$B$37/100</f>
        <v>-3568.0593124176</v>
      </c>
      <c r="G18" s="4" t="n">
        <f aca="false">(G6-F6)*Assumptions!$B$37/100</f>
        <v>-3165.37833287333</v>
      </c>
      <c r="H18" s="4" t="n">
        <f aca="false">(H6-G6)*Assumptions!$B$37/100</f>
        <v>-2716.94973571626</v>
      </c>
      <c r="I18" s="4" t="n">
        <f aca="false">(I6-H6)*Assumptions!$B$37/100</f>
        <v>-2784.87347910917</v>
      </c>
      <c r="J18" s="4" t="n">
        <f aca="false">(J6-I6)*Assumptions!$B$37/100</f>
        <v>-2283.59625286953</v>
      </c>
      <c r="K18" s="4" t="n">
        <f aca="false">(K6-J6)*Assumptions!$B$37/100</f>
        <v>-2329.26817792692</v>
      </c>
      <c r="L18" s="4" t="n">
        <f aca="false">(L6-K6)*Assumptions!$B$37/100</f>
        <v>-2375.85354148546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25332.573232</v>
      </c>
      <c r="D19" s="0" t="n">
        <f aca="false">D15+D16+D17+D18</f>
        <v>31149.07274981</v>
      </c>
      <c r="E19" s="0" t="n">
        <f aca="false">E15+E16+E17+E18</f>
        <v>36602.0150345256</v>
      </c>
      <c r="F19" s="0" t="n">
        <f aca="false">F15+F16+F17+F18</f>
        <v>40483.4558200696</v>
      </c>
      <c r="G19" s="0" t="n">
        <f aca="false">G15+G16+G17+G18</f>
        <v>43747.2871038276</v>
      </c>
      <c r="H19" s="0" t="n">
        <f aca="false">H15+H16+H17+H18</f>
        <v>46946.6273083975</v>
      </c>
      <c r="I19" s="0" t="n">
        <f aca="false">I15+I16+I17+I18</f>
        <v>48120.2929911074</v>
      </c>
      <c r="J19" s="0" t="n">
        <f aca="false">J15+J16+J17+J18</f>
        <v>50610.2019542209</v>
      </c>
      <c r="K19" s="0" t="n">
        <f aca="false">K15+K16+K17+K18</f>
        <v>51622.4059933053</v>
      </c>
      <c r="L19" s="0" t="n">
        <f aca="false">L15+L16+L17+L18</f>
        <v>52654.8541131714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23565.1844018605</v>
      </c>
      <c r="D21" s="0" t="n">
        <f aca="false">D19*D20</f>
        <v>26954.3084909119</v>
      </c>
      <c r="E21" s="0" t="n">
        <f aca="false">E19*E20</f>
        <v>29463.1788673908</v>
      </c>
      <c r="F21" s="0" t="n">
        <f aca="false">F19*F20</f>
        <v>30314.0331652466</v>
      </c>
      <c r="G21" s="0" t="n">
        <f aca="false">G19*G20</f>
        <v>30472.5504740701</v>
      </c>
      <c r="H21" s="0" t="n">
        <f aca="false">H19*H20</f>
        <v>30419.6079175702</v>
      </c>
      <c r="I21" s="0" t="n">
        <f aca="false">I19*I20</f>
        <v>29004.742433032</v>
      </c>
      <c r="J21" s="0" t="n">
        <f aca="false">J19*J20</f>
        <v>28377.2532682216</v>
      </c>
      <c r="K21" s="0" t="n">
        <f aca="false">K19*K20</f>
        <v>26925.3937986847</v>
      </c>
      <c r="L21" s="0" t="n">
        <f aca="false">L19*L20</f>
        <v>25547.8155113102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281044.068328298</v>
      </c>
    </row>
    <row r="31" customFormat="false" ht="15" hidden="false" customHeight="false" outlineLevel="0" collapsed="false">
      <c r="A31" s="0" t="s">
        <v>129</v>
      </c>
      <c r="B31" s="0" t="n">
        <f aca="false">L19</f>
        <v>52654.8541131714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890744.615414483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789822.811697571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789822.811697571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383217.232669652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664261.300997951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764881.300997951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4650.29973855758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-0.190689220578214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4650.29973855758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395886.49573977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2405.41438184542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7.5</v>
      </c>
      <c r="D5" s="4" t="n">
        <f aca="false">Assumptions!D41</f>
        <v>6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737441</v>
      </c>
      <c r="C6" s="0" t="n">
        <f aca="false">B6*(1+C5/100)</f>
        <v>792749.075</v>
      </c>
      <c r="D6" s="0" t="n">
        <f aca="false">C6*(1+D5/100)</f>
        <v>840314.0195</v>
      </c>
      <c r="E6" s="0" t="n">
        <f aca="false">D6*(1+E5/100)</f>
        <v>886531.2905725</v>
      </c>
      <c r="F6" s="0" t="n">
        <f aca="false">E6*(1+F5/100)</f>
        <v>930857.855101125</v>
      </c>
      <c r="G6" s="0" t="n">
        <f aca="false">F6*(1+G5/100)</f>
        <v>972746.458580675</v>
      </c>
      <c r="H6" s="0" t="n">
        <f aca="false">G6*(1+H5/100)</f>
        <v>1011656.3169239</v>
      </c>
      <c r="I6" s="0" t="n">
        <f aca="false">H6*(1+I5/100)</f>
        <v>1047064.28801624</v>
      </c>
      <c r="J6" s="0" t="n">
        <f aca="false">I6*(1+J5/100)</f>
        <v>1078476.21665673</v>
      </c>
      <c r="K6" s="0" t="n">
        <f aca="false">J6*(1+K5/100)</f>
        <v>1110830.50315643</v>
      </c>
      <c r="L6" s="0" t="n">
        <f aca="false">K6*(1+L5/100)</f>
        <v>1138601.26573534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12.5</v>
      </c>
      <c r="D7" s="4" t="n">
        <f aca="false">Assumptions!D42</f>
        <v>13</v>
      </c>
      <c r="E7" s="4" t="n">
        <f aca="false">Assumptions!E42</f>
        <v>13.5</v>
      </c>
      <c r="F7" s="4" t="n">
        <f aca="false">Assumptions!F42</f>
        <v>14</v>
      </c>
      <c r="G7" s="4" t="n">
        <f aca="false">Assumptions!G42</f>
        <v>14.3</v>
      </c>
      <c r="H7" s="4" t="n">
        <f aca="false">Assumptions!H42</f>
        <v>14.5</v>
      </c>
      <c r="I7" s="4" t="n">
        <f aca="false">Assumptions!I42</f>
        <v>14.5</v>
      </c>
      <c r="J7" s="4" t="n">
        <f aca="false">Assumptions!J42</f>
        <v>14.5</v>
      </c>
      <c r="K7" s="4" t="n">
        <f aca="false">Assumptions!K42</f>
        <v>14.5</v>
      </c>
      <c r="L7" s="4" t="n">
        <f aca="false">Assumptions!L42</f>
        <v>14.5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99093.634375</v>
      </c>
      <c r="D8" s="0" t="n">
        <f aca="false">D6*D7/100</f>
        <v>109240.822535</v>
      </c>
      <c r="E8" s="0" t="n">
        <f aca="false">E6*E7/100</f>
        <v>119681.724227287</v>
      </c>
      <c r="F8" s="0" t="n">
        <f aca="false">F6*F7/100</f>
        <v>130320.099714157</v>
      </c>
      <c r="G8" s="0" t="n">
        <f aca="false">G6*G7/100</f>
        <v>139102.743577037</v>
      </c>
      <c r="H8" s="0" t="n">
        <f aca="false">H6*H7/100</f>
        <v>146690.165953966</v>
      </c>
      <c r="I8" s="0" t="n">
        <f aca="false">I6*I7/100</f>
        <v>151824.321762355</v>
      </c>
      <c r="J8" s="0" t="n">
        <f aca="false">J6*J7/100</f>
        <v>156379.051415225</v>
      </c>
      <c r="K8" s="0" t="n">
        <f aca="false">K6*K7/100</f>
        <v>161070.422957682</v>
      </c>
      <c r="L8" s="0" t="n">
        <f aca="false">L6*L7/100</f>
        <v>165097.183531624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99093.634375</v>
      </c>
      <c r="D11" s="0" t="n">
        <f aca="false">D8+D10+D24</f>
        <v>109240.822535</v>
      </c>
      <c r="E11" s="0" t="n">
        <f aca="false">E8+E10+E24</f>
        <v>119681.724227287</v>
      </c>
      <c r="F11" s="0" t="n">
        <f aca="false">F8+F10+F24</f>
        <v>130320.099714157</v>
      </c>
      <c r="G11" s="0" t="n">
        <f aca="false">G8+G10+G24</f>
        <v>139102.743577037</v>
      </c>
      <c r="H11" s="0" t="n">
        <f aca="false">H8+H10+H24</f>
        <v>146690.165953966</v>
      </c>
      <c r="I11" s="0" t="n">
        <f aca="false">I8+I10+I24</f>
        <v>151824.321762355</v>
      </c>
      <c r="J11" s="0" t="n">
        <f aca="false">J8+J10+J24</f>
        <v>156379.051415225</v>
      </c>
      <c r="K11" s="0" t="n">
        <f aca="false">K8+K10+K24</f>
        <v>161070.422957682</v>
      </c>
      <c r="L11" s="0" t="n">
        <f aca="false">L8+L10+L24</f>
        <v>165097.183531624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-36466.45745</v>
      </c>
      <c r="D12" s="4" t="n">
        <f aca="false">-D6*Assumptions!D45/100</f>
        <v>-38654.444897</v>
      </c>
      <c r="E12" s="4" t="n">
        <f aca="false">-E6*Assumptions!E45/100</f>
        <v>-40780.439366335</v>
      </c>
      <c r="F12" s="4" t="n">
        <f aca="false">-F6*Assumptions!F45/100</f>
        <v>-43750.3191897529</v>
      </c>
      <c r="G12" s="4" t="n">
        <f aca="false">-G6*Assumptions!G45/100</f>
        <v>-45719.0835532918</v>
      </c>
      <c r="H12" s="4" t="n">
        <f aca="false">-H6*Assumptions!H45/100</f>
        <v>-47547.8468954234</v>
      </c>
      <c r="I12" s="4" t="n">
        <f aca="false">-I6*Assumptions!I45/100</f>
        <v>-49212.0215367632</v>
      </c>
      <c r="J12" s="4" t="n">
        <f aca="false">-J6*Assumptions!J45/100</f>
        <v>-50688.3821828661</v>
      </c>
      <c r="K12" s="4" t="n">
        <f aca="false">-K6*Assumptions!K45/100</f>
        <v>-52209.0336483521</v>
      </c>
      <c r="L12" s="4" t="n">
        <f aca="false">-L6*Assumptions!L45/100</f>
        <v>-53514.2594895609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62627.176925</v>
      </c>
      <c r="D13" s="0" t="n">
        <f aca="false">D11+D12</f>
        <v>70586.377638</v>
      </c>
      <c r="E13" s="0" t="n">
        <f aca="false">E11+E12</f>
        <v>78901.2848609525</v>
      </c>
      <c r="F13" s="0" t="n">
        <f aca="false">F11+F12</f>
        <v>86569.7805244046</v>
      </c>
      <c r="G13" s="0" t="n">
        <f aca="false">G11+G12</f>
        <v>93383.6600237449</v>
      </c>
      <c r="H13" s="0" t="n">
        <f aca="false">H11+H12</f>
        <v>99142.3190585424</v>
      </c>
      <c r="I13" s="0" t="n">
        <f aca="false">I11+I12</f>
        <v>102612.300225591</v>
      </c>
      <c r="J13" s="0" t="n">
        <f aca="false">J11+J12</f>
        <v>105690.669232359</v>
      </c>
      <c r="K13" s="0" t="n">
        <f aca="false">K11+K12</f>
        <v>108861.38930933</v>
      </c>
      <c r="L13" s="0" t="n">
        <f aca="false">L11+L12</f>
        <v>111582.924042063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30</v>
      </c>
      <c r="D14" s="4" t="n">
        <f aca="false">Assumptions!D47</f>
        <v>30</v>
      </c>
      <c r="E14" s="4" t="n">
        <f aca="false">Assumptions!E47</f>
        <v>30</v>
      </c>
      <c r="F14" s="4" t="n">
        <f aca="false">Assumptions!F47</f>
        <v>30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43839.0238475</v>
      </c>
      <c r="D15" s="0" t="n">
        <f aca="false">D13-MAX(0,D13)*D14/100</f>
        <v>49410.4643466</v>
      </c>
      <c r="E15" s="0" t="n">
        <f aca="false">E13-MAX(0,E13)*E14/100</f>
        <v>55230.8994026667</v>
      </c>
      <c r="F15" s="0" t="n">
        <f aca="false">F13-MAX(0,F13)*F14/100</f>
        <v>60598.8463670832</v>
      </c>
      <c r="G15" s="0" t="n">
        <f aca="false">G13-MAX(0,G13)*G14/100</f>
        <v>65368.5620166214</v>
      </c>
      <c r="H15" s="0" t="n">
        <f aca="false">H13-MAX(0,H13)*H14/100</f>
        <v>69399.6233409797</v>
      </c>
      <c r="I15" s="0" t="n">
        <f aca="false">I13-MAX(0,I13)*I14/100</f>
        <v>71828.610157914</v>
      </c>
      <c r="J15" s="0" t="n">
        <f aca="false">J13-MAX(0,J13)*J14/100</f>
        <v>73983.4684626514</v>
      </c>
      <c r="K15" s="0" t="n">
        <f aca="false">K13-MAX(0,K13)*K14/100</f>
        <v>76202.972516531</v>
      </c>
      <c r="L15" s="0" t="n">
        <f aca="false">L13-MAX(0,L13)*L14/100</f>
        <v>78108.0468294442</v>
      </c>
    </row>
    <row r="16" customFormat="false" ht="15" hidden="false" customHeight="false" outlineLevel="0" collapsed="false">
      <c r="A16" s="0" t="s">
        <v>120</v>
      </c>
      <c r="C16" s="0" t="n">
        <f aca="false">-C12</f>
        <v>36466.45745</v>
      </c>
      <c r="D16" s="0" t="n">
        <f aca="false">-D12</f>
        <v>38654.444897</v>
      </c>
      <c r="E16" s="0" t="n">
        <f aca="false">-E12</f>
        <v>40780.439366335</v>
      </c>
      <c r="F16" s="0" t="n">
        <f aca="false">-F12</f>
        <v>43750.3191897529</v>
      </c>
      <c r="G16" s="0" t="n">
        <f aca="false">-G12</f>
        <v>45719.0835532918</v>
      </c>
      <c r="H16" s="0" t="n">
        <f aca="false">-H12</f>
        <v>47547.8468954234</v>
      </c>
      <c r="I16" s="0" t="n">
        <f aca="false">-I12</f>
        <v>49212.0215367632</v>
      </c>
      <c r="J16" s="0" t="n">
        <f aca="false">-J12</f>
        <v>50688.3821828661</v>
      </c>
      <c r="K16" s="0" t="n">
        <f aca="false">-K12</f>
        <v>52209.0336483521</v>
      </c>
      <c r="L16" s="0" t="n">
        <f aca="false">-L12</f>
        <v>53514.2594895609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-45979.44635</v>
      </c>
      <c r="D17" s="4" t="n">
        <f aca="false">-D6*Assumptions!D46/100</f>
        <v>-47057.585092</v>
      </c>
      <c r="E17" s="4" t="n">
        <f aca="false">-E6*Assumptions!E46/100</f>
        <v>-48759.2209814875</v>
      </c>
      <c r="F17" s="4" t="n">
        <f aca="false">-F6*Assumptions!F46/100</f>
        <v>-50266.3241754608</v>
      </c>
      <c r="G17" s="4" t="n">
        <f aca="false">-G6*Assumptions!G46/100</f>
        <v>-51555.5623047758</v>
      </c>
      <c r="H17" s="4" t="n">
        <f aca="false">-H6*Assumptions!H46/100</f>
        <v>-52606.1284800429</v>
      </c>
      <c r="I17" s="4" t="n">
        <f aca="false">-I6*Assumptions!I46/100</f>
        <v>-54447.3429768444</v>
      </c>
      <c r="J17" s="4" t="n">
        <f aca="false">-J6*Assumptions!J46/100</f>
        <v>-55002.287049493</v>
      </c>
      <c r="K17" s="4" t="n">
        <f aca="false">-K6*Assumptions!K46/100</f>
        <v>-56652.3556609778</v>
      </c>
      <c r="L17" s="4" t="n">
        <f aca="false">-L6*Assumptions!L46/100</f>
        <v>-58068.6645525023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-6636.969</v>
      </c>
      <c r="D18" s="4" t="n">
        <f aca="false">(D6-C6)*Assumptions!$B$51/100</f>
        <v>-5707.79334</v>
      </c>
      <c r="E18" s="4" t="n">
        <f aca="false">(E6-D6)*Assumptions!$B$51/100</f>
        <v>-5546.07252869999</v>
      </c>
      <c r="F18" s="4" t="n">
        <f aca="false">(F6-E6)*Assumptions!$B$51/100</f>
        <v>-5319.187743435</v>
      </c>
      <c r="G18" s="4" t="n">
        <f aca="false">(G6-F6)*Assumptions!$B$51/100</f>
        <v>-5026.63241754607</v>
      </c>
      <c r="H18" s="4" t="n">
        <f aca="false">(H6-G6)*Assumptions!$B$51/100</f>
        <v>-4669.18300118725</v>
      </c>
      <c r="I18" s="4" t="n">
        <f aca="false">(I6-H6)*Assumptions!$B$51/100</f>
        <v>-4248.95653108038</v>
      </c>
      <c r="J18" s="4" t="n">
        <f aca="false">(J6-I6)*Assumptions!$B$51/100</f>
        <v>-3769.43143685846</v>
      </c>
      <c r="K18" s="4" t="n">
        <f aca="false">(K6-J6)*Assumptions!$B$51/100</f>
        <v>-3882.51437996423</v>
      </c>
      <c r="L18" s="4" t="n">
        <f aca="false">(L6-K6)*Assumptions!$B$51/100</f>
        <v>-3332.49150946928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27689.0659475</v>
      </c>
      <c r="D19" s="0" t="n">
        <f aca="false">D15+D16+D17+D18</f>
        <v>35299.5308116</v>
      </c>
      <c r="E19" s="0" t="n">
        <f aca="false">E15+E16+E17+E18</f>
        <v>41706.0452588142</v>
      </c>
      <c r="F19" s="0" t="n">
        <f aca="false">F15+F16+F17+F18</f>
        <v>48763.6536379403</v>
      </c>
      <c r="G19" s="0" t="n">
        <f aca="false">G15+G16+G17+G18</f>
        <v>54505.4508475913</v>
      </c>
      <c r="H19" s="0" t="n">
        <f aca="false">H15+H16+H17+H18</f>
        <v>59672.1587551729</v>
      </c>
      <c r="I19" s="0" t="n">
        <f aca="false">I15+I16+I17+I18</f>
        <v>62344.3321867525</v>
      </c>
      <c r="J19" s="0" t="n">
        <f aca="false">J15+J16+J17+J18</f>
        <v>65900.1321591661</v>
      </c>
      <c r="K19" s="0" t="n">
        <f aca="false">K15+K16+K17+K18</f>
        <v>67877.136123941</v>
      </c>
      <c r="L19" s="0" t="n">
        <f aca="false">L15+L16+L17+L18</f>
        <v>70221.1502570336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25757.2706488372</v>
      </c>
      <c r="D21" s="0" t="n">
        <f aca="false">D19*D20</f>
        <v>30545.8352074419</v>
      </c>
      <c r="E21" s="0" t="n">
        <f aca="false">E19*E20</f>
        <v>33571.7219435284</v>
      </c>
      <c r="F21" s="0" t="n">
        <f aca="false">F19*F20</f>
        <v>36514.2496779214</v>
      </c>
      <c r="G21" s="0" t="n">
        <f aca="false">G19*G20</f>
        <v>37966.2422980247</v>
      </c>
      <c r="H21" s="0" t="n">
        <f aca="false">H19*H20</f>
        <v>38665.2625970998</v>
      </c>
      <c r="I21" s="0" t="n">
        <f aca="false">I19*I20</f>
        <v>37578.3517687707</v>
      </c>
      <c r="J21" s="0" t="n">
        <f aca="false">J19*J20</f>
        <v>36950.3512825633</v>
      </c>
      <c r="K21" s="0" t="n">
        <f aca="false">K19*K20</f>
        <v>35403.5923916653</v>
      </c>
      <c r="L21" s="0" t="n">
        <f aca="false">L19*L20</f>
        <v>34070.8757430575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347023.75355891</v>
      </c>
    </row>
    <row r="31" customFormat="false" ht="15" hidden="false" customHeight="false" outlineLevel="0" collapsed="false">
      <c r="A31" s="0" t="s">
        <v>129</v>
      </c>
      <c r="B31" s="0" t="n">
        <f aca="false">L19</f>
        <v>70221.1502570336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1302283.15022135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1053317.2538555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1053317.2538555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511063.136145863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858086.889704773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958706.889704773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5828.71406678485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0.0143950690540993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5828.71406678485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550965.948170571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2902.55465689781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2783.51318068241</v>
      </c>
      <c r="C4" s="0" t="n">
        <f aca="false">B4/Assumptions!$B$2-1</f>
        <v>-0.515573759018028</v>
      </c>
      <c r="D4" s="4" t="n">
        <f aca="false">Assumptions!$B$24</f>
        <v>0.25</v>
      </c>
      <c r="E4" s="4" t="n">
        <f aca="false">DCF_Bear!$B$43</f>
        <v>2783.51318068241</v>
      </c>
      <c r="F4" s="4" t="n">
        <f aca="false">DCF_Bear!$B$47</f>
        <v>1633.20925652671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4650.29973855758</v>
      </c>
      <c r="C5" s="0" t="n">
        <f aca="false">B5/Assumptions!$B$2-1</f>
        <v>-0.190689220578214</v>
      </c>
      <c r="D5" s="4" t="n">
        <f aca="false">Assumptions!$B$38</f>
        <v>0.5</v>
      </c>
      <c r="E5" s="4" t="n">
        <f aca="false">DCF_Base!$B$43</f>
        <v>4650.29973855758</v>
      </c>
      <c r="F5" s="4" t="n">
        <f aca="false">DCF_Base!$B$47</f>
        <v>2405.41438184542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5828.71406678485</v>
      </c>
      <c r="C6" s="0" t="n">
        <f aca="false">B6/Assumptions!$B$2-1</f>
        <v>0.0143950690540993</v>
      </c>
      <c r="D6" s="4" t="n">
        <f aca="false">Assumptions!$B$52</f>
        <v>0.25</v>
      </c>
      <c r="E6" s="4" t="n">
        <f aca="false">DCF_Bull!$B$43</f>
        <v>5828.71406678485</v>
      </c>
      <c r="F6" s="4" t="n">
        <f aca="false">DCF_Bull!$B$47</f>
        <v>2902.55465689781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4478.20668114561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4478.20668114561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-0.283102904605124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2336.64816927884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4650.29973855758</v>
      </c>
      <c r="C15" s="3" t="n">
        <v>7.5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4025.95077634864</v>
      </c>
      <c r="C16" s="3" t="n">
        <v>9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3593.86164305612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3253.94823026862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2979.80892869714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2405.41438184542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5320.65225321298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5320.65225321298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5320.65225321298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5320.65225321298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5320.65225321298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4969.52407817635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4969.52407817635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4969.52407817635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4969.52407817635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4969.52407817635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4550.44811109015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4650.29973855758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4650.29973855758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4650.29973855758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4650.29973855758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4014.61144378485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4142.63103226363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4288.93913338225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4359.733375859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4359.733375859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3599.76202121775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3692.21199942484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3796.21822490783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3914.09194712187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4048.80477250936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2026-10-31T09:06:41Z</dcterms:created>
  <dc:creator>openpyxl</dc:creator>
  <dc:description/>
  <dc:language>en-NZ</dc:language>
  <cp:lastModifiedBy/>
  <dcterms:modified xsi:type="dcterms:W3CDTF">2026-10-31T09:06:41Z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