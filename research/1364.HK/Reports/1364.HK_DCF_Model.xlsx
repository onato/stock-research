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<sst xmlns="http://schemas.openxmlformats.org/spreadsheetml/2006/main" count="351" uniqueCount="167">
  <si>
    <t xml:space="preserve">Ticker</t>
  </si>
  <si>
    <t xml:space="preserve">1364.HK</t>
  </si>
  <si>
    <t xml:space="preserve">Company</t>
  </si>
  <si>
    <t xml:space="preserve">Guming Holdings Limited</t>
  </si>
  <si>
    <t xml:space="preserve">Valuation date</t>
  </si>
  <si>
    <t xml:space="preserve">2026-10-16</t>
  </si>
  <si>
    <t xml:space="preserve">Current price</t>
  </si>
  <si>
    <t xml:space="preserve">Price as of</t>
  </si>
  <si>
    <t xml:space="preserve">2026-10-16T08:08:14Z (16:08 HKT, regular-session close)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</si>
  <si>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</si>
  <si>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</si>
  <si>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</si>
  <si>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</si>
  <si>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</si>
  <si>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CNY</t>
  </si>
  <si>
    <t xml:space="preserve">Currency (quote)</t>
  </si>
  <si>
    <t xml:space="preserve">HKD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</si>
  <si>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</si>
  <si>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</si>
  <si>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</si>
  <si>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</si>
  <si>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</si>
  <si>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2026-10-16T10:36:00Z</t>
  </si>
  <si>
    <t xml:space="preserve">Drivers file</t>
  </si>
  <si>
    <t xml:space="preserve">1364.HK_Drivers.json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</si>
  <si>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</si>
  <si>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</si>
  <si>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</si>
  <si>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Guming on the owner cash flow of its franchise supply chain, not on headline earnings: strip the FY2025 RMB557m non-cash preferred-share gain from the margin anchor, give no value to the interest-rate arbitrage (restricted deposits and the matching bank loans both at face, interest income outside the flows), charge leases once inside EBIT, hold the share count at the post-buyback figure and treat the out-of-the-money convertible as debt. The franchise model converts ~17% of revenue into owner FCF with almost no SBC, so the valuation turns on how long store growth lasts and whether the EBITDA margin holds in the 26-28% range as the category matures -- hence a 15x terminal cap and a heavier-than-default bear weight rather than a higher discount rate.
key_risks_to_valuation: Store-network saturation and franchisee churn: revenue is goods sold to franchisees, so a stall in net openings or a rise in closures hits the top line directly (bear case).; Mixue price leadership and delivery-platform subsidy dynamics compressing per-store GMV and forcing Guming to absorb franchisee margin.; Chinese consumer spending slowdown; 100% mainland exposure with no diversification.; Food-safety or brand incident across a decentralised network of ~7,100 franchisees.; Treasury structure: RMB5.6bn of short-term bank loans against RMB6.5bn of pledged offshore deposits plus a HK$1.96bn CB due June 2027 -- rollover/counterparty complexity, though it nets to a cash surplus.; FX: CNY flows against an HKD quote; a 5% CNY move shifts the HKD value one-for-one.; Withholding tax on distributed PRC profits rising faster than the modelled 21% -&gt; 23% path as payouts grow.</t>
  </si>
  <si>
    <t xml:space="preserve">Data sources</t>
  </si>
  <si>
    <t xml:space="preserve">price: Yahoo Finance chart API at inputs.price_as_of; 52-week range 18.80-31.28 HKD. CNY/HKD from Yahoo CNYHKD=X (see inputs.fx_note).
financials: 1364.HK_Metrics.csv (FY2021-H1 FY2026, CNY millions) and kpis; FY2025 Annual Report and H1 FY2026 Interim Report text (balance sheet, cash-flow statement, note 14 cash/restricted cash/deposits, note 16 dividend payables, note 17 share capital, note 22 post-balance-date events, p.49 CB and dividends).
qualitative: 1364.HK_Analysis.json (2026-10-16); H1 FY2026 interim MD&amp;A. Correction to the Analysis JSON: no H1 FY2026 interim dividend was declared.</t>
  </si>
  <si>
    <t xml:space="preserve">Scenario narrative: bear</t>
  </si>
  <si>
    <t xml:space="preserve">The category saturates and churn bites: industry closures already run close to openings, Mixue's price leadership and premium players squeeze Guming's mid-price position, delivery-subsidy withdrawal exposes weak same-store trends, and franchisee returns compress so new openings dry up by FY2028 and the network shrinks modestly in FY2029 (revenue -2%). Guming absorbs more of the logistics and marketing burden to keep franchisees whole, taking EBITDA margin to 21%; receivables stretch (wc_capture -8%) and preferential tax rates roll off (25%). The balance sheet is not a solvency axis -- the bank debt is collateralised by deposits and nets to a cash surplus -- so the bear case is an earnings-power, not a going-concern, outcome.</t>
  </si>
  <si>
    <t xml:space="preserve">Scenario narrative: base</t>
  </si>
  <si>
    <t xml:space="preserve">Guming keeps compounding as the clear #2 mass-market tea franchisor: FY2026 revenue +25% (H1 +31.9% fading in H2 as delivery subsidies lap), store growth settling to ~10% in FY2027 and ~8% in FY2028 as densification of the existing 17 provinces and selective entry into adjacent ones continues, with coffee (12,000+ machine-equipped stores) and sixth-generation store upgrades adding low-single-digit per-store growth. Supply-chain scale lifts EBITDA margin (ex interest income and the FY2025 FV gain) from ~25-26% to 27.5%, while logistics subsidies to franchisees and ongoing warehouse capex (2.2-2.5% of revenue) cap operating leverage. Growth decays to 2.5% by FY2035 as the category's growth converges on ~7% and share gains slow. Cash tax ramps 21% -&gt; 23% as withholding tax on distributed profits grows with dividends.</t>
  </si>
  <si>
    <t xml:space="preserve">Scenario narrative: bull</t>
  </si>
  <si>
    <t xml:space="preserve">Store rollout runs longer and faster than the category: Guming enters most of the 17 untouched provinces, closures stay low because per-store franchisee profit keeps rising after the 2025 delivery-price increase, and coffee plus dessert/snack lines lift purchase frequency so revenue grows 28%/20%/15% over FY2026-28. Procurement scale and a maturing warehouse network push EBITDA margin to 29.5%; capex runs higher (3%) early to build the capacity. Overseas entry (CB proceeds earmarked) is an option not modelled. Sell-side targets around HK$36 broadly sit in this case.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</si>
  <si>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</si>
  <si>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</si>
  <si>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</si>
  <si>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</si>
  <si>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</si>
  <si>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</si>
  <si>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</si>
  <si>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</si>
  <si>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</si>
  <si>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</si>
  <si>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</si>
  <si>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</si>
  <si>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</si>
  <si>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</si>
  <si>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</si>
  <si>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</si>
  <si>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</si>
  <si>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</si>
  <si>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</si>
  <si>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</si>
  <si>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</si>
  <si>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</si>
  <si>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</si>
  <si>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</si>
  <si>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</si>
  <si>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</si>
  <si>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</si>
  <si>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AdjustedEBITDA</t>
  </si>
  <si>
    <t xml:space="preserve">EPSBasic</t>
  </si>
  <si>
    <t xml:space="preserve">GMV</t>
  </si>
  <si>
    <t xml:space="preserve">RestrictedCash</t>
  </si>
  <si>
    <t xml:space="preserve">ShortTermInvestments</t>
  </si>
  <si>
    <t xml:space="preserve">StoreCount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</si>
  <si>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</si>
  <si>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</si>
  <si>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</si>
  <si>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</si>
  <si>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</si>
  <si>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</si>
  <si>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</si>
  <si>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</si>
  <si>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</si>
  <si>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</si>
  <si>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</si>
  <si>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</si>
  <si>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</si>
  <si>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</si>
  <si>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</si>
  <si>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CNY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</si>
  <si>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</si>
  <si>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</si>
  <si>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</si>
  <si>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</si>
  <si>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</si>
  <si>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</si>
  <si>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</si>
  <si>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</si>
  <si>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</si>
  <si>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</si>
  <si>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</si>
  <si>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</si>
  <si>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</si>
  <si>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</si>
  <si>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</si>
  <si>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</si>
  <si>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</si>
  <si>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</si>
  <si>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</si>
  <si>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</si>
  <si>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</si>
  <si>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</si>
  <si>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</si>
  <si>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</si>
  <si>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</si>
  <si>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</si>
  <si>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1364.HK owner-FCF component DCF: bear case (millions, CNY)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</si>
  <si>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</si>
  <si>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</si>
  <si>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</si>
  <si>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</si>
  <si>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</si>
  <si>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</si>
  <si>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</si>
  <si>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</si>
  <si>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</si>
  <si>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</si>
  <si>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</si>
  <si>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</si>
  <si>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</si>
  <si>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</si>
  <si>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</si>
  <si>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</si>
  <si>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</si>
  <si>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</si>
  <si>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</si>
  <si>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</si>
  <si>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</si>
  <si>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</si>
  <si>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</si>
  <si>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</si>
  <si>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</si>
  <si>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</si>
  <si>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</si>
  <si>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</si>
  <si>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</si>
  <si>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</si>
  <si>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1364.HK owner-FCF component DCF: base case (millions, CNY)</t>
  </si>
  <si>
    <t xml:space="preserve">1364.HK owner-FCF component DCF: bull case (millions, CNY)</t>
  </si>
  <si>
    <t xml:space="preserve">1364.HK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</si>
  <si>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</si>
  <si>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</si>
  <si>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</si>
  <si>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</si>
  <si>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</si>
  <si>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</si>
  <si>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</si>
  <si>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</si>
  <si>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</si>
  <si>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</si>
  <si>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</si>
  <si>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</si>
  <si>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</si>
  <si>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</si>
  <si>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</si>
  <si>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9.5% (WACC)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</si>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</sst>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21.4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</row>
    <row r="2" customFormat="false" ht="15" hidden="false" customHeight="false" outlineLevel="0" collapsed="false">
      <c r="A2" s="0" t="s">
        <v>70</v>
      </c>
      <c r="B2" s="0" t="n">
        <v>4383.901</v>
      </c>
      <c r="D2" s="0" t="n">
        <v>1313.705</v>
      </c>
      <c r="E2" s="0" t="n">
        <v>30</v>
      </c>
      <c r="I2" s="0" t="n">
        <v>23.992</v>
      </c>
      <c r="J2" s="0" t="n">
        <v>0.5</v>
      </c>
      <c r="O2" s="0" t="n">
        <v>-1205.811</v>
      </c>
      <c r="P2" s="0" t="n">
        <v>2043.5</v>
      </c>
      <c r="Q2" s="0" t="n">
        <v>3249.311</v>
      </c>
      <c r="AA2" s="0" t="s">
        <v>18</v>
      </c>
      <c r="AB2" s="0" t="s">
        <v>14</v>
      </c>
    </row>
    <row r="3" customFormat="false" ht="15" hidden="false" customHeight="false" outlineLevel="0" collapsed="false">
      <c r="A3" s="0" t="s">
        <v>71</v>
      </c>
      <c r="B3" s="0" t="n">
        <v>5559.222</v>
      </c>
      <c r="D3" s="0" t="n">
        <v>1562.932</v>
      </c>
      <c r="E3" s="0" t="n">
        <v>28.1</v>
      </c>
      <c r="I3" s="0" t="n">
        <v>372.025</v>
      </c>
      <c r="J3" s="0" t="n">
        <v>6.7</v>
      </c>
      <c r="O3" s="0" t="n">
        <v>-816.594</v>
      </c>
      <c r="P3" s="0" t="n">
        <v>3031.676</v>
      </c>
      <c r="Q3" s="0" t="n">
        <v>3848.27</v>
      </c>
      <c r="S3" s="0" t="n">
        <v>1114.468</v>
      </c>
      <c r="AA3" s="0" t="s">
        <v>18</v>
      </c>
      <c r="AB3" s="0" t="s">
        <v>14</v>
      </c>
    </row>
    <row r="4" customFormat="false" ht="15" hidden="false" customHeight="false" outlineLevel="0" collapsed="false">
      <c r="A4" s="0" t="s">
        <v>72</v>
      </c>
      <c r="B4" s="0" t="n">
        <v>7675.665</v>
      </c>
      <c r="C4" s="0" t="n">
        <v>5272.334</v>
      </c>
      <c r="D4" s="0" t="n">
        <v>2403.331</v>
      </c>
      <c r="E4" s="0" t="n">
        <v>31.3</v>
      </c>
      <c r="F4" s="0" t="n">
        <v>1744.535</v>
      </c>
      <c r="G4" s="0" t="n">
        <v>22.7</v>
      </c>
      <c r="H4" s="0" t="n">
        <v>1531.722</v>
      </c>
      <c r="I4" s="0" t="n">
        <v>1079.628</v>
      </c>
      <c r="J4" s="0" t="n">
        <v>14.1</v>
      </c>
      <c r="K4" s="0" t="n">
        <v>0.58</v>
      </c>
      <c r="L4" s="0" t="n">
        <v>1573.306</v>
      </c>
      <c r="M4" s="0" t="n">
        <v>398.845</v>
      </c>
      <c r="N4" s="0" t="n">
        <v>1174.461</v>
      </c>
      <c r="O4" s="0" t="n">
        <v>582.992</v>
      </c>
      <c r="P4" s="0" t="n">
        <v>5152.929</v>
      </c>
      <c r="Q4" s="0" t="n">
        <v>4537.423</v>
      </c>
      <c r="R4" s="0" t="n">
        <v>124</v>
      </c>
      <c r="S4" s="0" t="n">
        <v>2427.979</v>
      </c>
      <c r="T4" s="0" t="n">
        <v>1876.22</v>
      </c>
      <c r="U4" s="0" t="n">
        <v>55.537</v>
      </c>
      <c r="AA4" s="0" t="s">
        <v>18</v>
      </c>
      <c r="AB4" s="0" t="s">
        <v>14</v>
      </c>
      <c r="AC4" s="0" t="n">
        <v>1894.358</v>
      </c>
      <c r="AD4" s="0" t="n">
        <v>0.58</v>
      </c>
      <c r="AF4" s="0" t="n">
        <v>124</v>
      </c>
      <c r="AG4" s="0" t="n">
        <v>197.285</v>
      </c>
    </row>
    <row r="5" customFormat="false" ht="15" hidden="false" customHeight="false" outlineLevel="0" collapsed="false">
      <c r="A5" s="0" t="s">
        <v>73</v>
      </c>
      <c r="B5" s="0" t="n">
        <v>8791.355</v>
      </c>
      <c r="C5" s="0" t="n">
        <v>6103.87</v>
      </c>
      <c r="D5" s="0" t="n">
        <v>2687.485</v>
      </c>
      <c r="E5" s="0" t="n">
        <v>30.6</v>
      </c>
      <c r="F5" s="0" t="n">
        <v>1833.297</v>
      </c>
      <c r="G5" s="0" t="n">
        <v>20.9</v>
      </c>
      <c r="H5" s="0" t="n">
        <v>1882.914</v>
      </c>
      <c r="I5" s="0" t="n">
        <v>1478.507</v>
      </c>
      <c r="J5" s="0" t="n">
        <v>16.8</v>
      </c>
      <c r="K5" s="0" t="n">
        <v>0.71</v>
      </c>
      <c r="L5" s="0" t="n">
        <v>1320.566</v>
      </c>
      <c r="M5" s="0" t="n">
        <v>450.14</v>
      </c>
      <c r="N5" s="0" t="n">
        <v>870.426</v>
      </c>
      <c r="O5" s="0" t="n">
        <v>2066.293</v>
      </c>
      <c r="P5" s="0" t="n">
        <v>6874.635</v>
      </c>
      <c r="Q5" s="0" t="n">
        <v>4762.617</v>
      </c>
      <c r="R5" s="0" t="n">
        <v>121.233</v>
      </c>
      <c r="S5" s="0" t="n">
        <v>1935.264</v>
      </c>
      <c r="T5" s="0" t="n">
        <v>2091.229</v>
      </c>
      <c r="U5" s="0" t="n">
        <v>0</v>
      </c>
      <c r="AA5" s="0" t="s">
        <v>18</v>
      </c>
      <c r="AB5" s="0" t="s">
        <v>14</v>
      </c>
      <c r="AC5" s="0" t="n">
        <v>1944.753</v>
      </c>
      <c r="AD5" s="0" t="n">
        <v>0.71</v>
      </c>
      <c r="AE5" s="0" t="n">
        <v>22396.5454</v>
      </c>
      <c r="AF5" s="0" t="n">
        <v>41.51</v>
      </c>
      <c r="AG5" s="0" t="n">
        <v>1244.649</v>
      </c>
      <c r="AH5" s="0" t="n">
        <v>9914</v>
      </c>
    </row>
    <row r="6" customFormat="false" ht="15" hidden="false" customHeight="false" outlineLevel="0" collapsed="false">
      <c r="A6" s="0" t="s">
        <v>74</v>
      </c>
      <c r="B6" s="0" t="n">
        <v>12913.774</v>
      </c>
      <c r="C6" s="0" t="n">
        <v>8651.591</v>
      </c>
      <c r="D6" s="0" t="n">
        <v>4262.183</v>
      </c>
      <c r="E6" s="0" t="n">
        <v>33</v>
      </c>
      <c r="F6" s="0" t="n">
        <v>3275.86</v>
      </c>
      <c r="G6" s="0" t="n">
        <v>25.4</v>
      </c>
      <c r="H6" s="0" t="n">
        <v>3810.899</v>
      </c>
      <c r="I6" s="0" t="n">
        <v>3109.118</v>
      </c>
      <c r="J6" s="0" t="n">
        <v>24.1</v>
      </c>
      <c r="K6" s="0" t="n">
        <v>1.08</v>
      </c>
      <c r="L6" s="0" t="n">
        <v>2408.612</v>
      </c>
      <c r="M6" s="0" t="n">
        <v>248.323</v>
      </c>
      <c r="N6" s="0" t="n">
        <v>2160.289</v>
      </c>
      <c r="O6" s="0" t="n">
        <v>5823.829</v>
      </c>
      <c r="P6" s="0" t="n">
        <v>16650.331</v>
      </c>
      <c r="Q6" s="0" t="n">
        <v>10808.076</v>
      </c>
      <c r="R6" s="0" t="n">
        <v>6461.772</v>
      </c>
      <c r="S6" s="0" t="n">
        <v>4320.595</v>
      </c>
      <c r="T6" s="0" t="n">
        <v>2352.934</v>
      </c>
      <c r="U6" s="0" t="n">
        <v>0</v>
      </c>
      <c r="AA6" s="0" t="s">
        <v>18</v>
      </c>
      <c r="AB6" s="0" t="s">
        <v>14</v>
      </c>
      <c r="AC6" s="0" t="n">
        <v>3365.701</v>
      </c>
      <c r="AD6" s="0" t="n">
        <v>1.34</v>
      </c>
      <c r="AE6" s="0" t="n">
        <v>32732.2092</v>
      </c>
      <c r="AF6" s="0" t="n">
        <v>6481.855</v>
      </c>
      <c r="AG6" s="0" t="n">
        <v>1347.282</v>
      </c>
      <c r="AH6" s="0" t="n">
        <v>13554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75</v>
      </c>
      <c r="B1" s="2" t="s">
        <v>76</v>
      </c>
    </row>
    <row r="2" customFormat="false" ht="15" hidden="false" customHeight="false" outlineLevel="0" collapsed="false">
      <c r="A2" s="0" t="s">
        <v>77</v>
      </c>
      <c r="B2" s="3" t="n">
        <v>21.4</v>
      </c>
    </row>
    <row r="3" customFormat="false" ht="15" hidden="false" customHeight="false" outlineLevel="0" collapsed="false">
      <c r="A3" s="0" t="s">
        <v>78</v>
      </c>
      <c r="B3" s="3" t="n">
        <v>2338.897</v>
      </c>
    </row>
    <row r="4" customFormat="false" ht="15" hidden="false" customHeight="false" outlineLevel="0" collapsed="false">
      <c r="A4" s="0" t="s">
        <v>79</v>
      </c>
      <c r="B4" s="3" t="n">
        <v>-5495.2</v>
      </c>
    </row>
    <row r="5" customFormat="false" ht="15" hidden="false" customHeight="false" outlineLevel="0" collapsed="false">
      <c r="A5" s="0" t="s">
        <v>80</v>
      </c>
      <c r="B5" s="3" t="n">
        <v>-1523.472</v>
      </c>
    </row>
    <row r="6" customFormat="false" ht="15" hidden="false" customHeight="false" outlineLevel="0" collapsed="false">
      <c r="A6" s="0" t="s">
        <v>81</v>
      </c>
      <c r="B6" s="3" t="n">
        <v>15</v>
      </c>
    </row>
    <row r="7" customFormat="false" ht="15" hidden="false" customHeight="false" outlineLevel="0" collapsed="false">
      <c r="A7" s="0" t="s">
        <v>82</v>
      </c>
      <c r="B7" s="3" t="n">
        <v>12913.774</v>
      </c>
    </row>
    <row r="8" customFormat="false" ht="15" hidden="false" customHeight="false" outlineLevel="0" collapsed="false">
      <c r="A8" s="0" t="s">
        <v>83</v>
      </c>
      <c r="B8" s="3" t="s">
        <v>74</v>
      </c>
    </row>
    <row r="9" customFormat="false" ht="15" hidden="false" customHeight="false" outlineLevel="0" collapsed="false">
      <c r="A9" s="0" t="s">
        <v>84</v>
      </c>
      <c r="B9" s="3" t="s">
        <v>85</v>
      </c>
    </row>
    <row r="10" customFormat="false" ht="15" hidden="false" customHeight="false" outlineLevel="0" collapsed="false">
      <c r="A10" s="0" t="s">
        <v>86</v>
      </c>
      <c r="B10" s="3" t="n">
        <v>1.1729</v>
      </c>
    </row>
    <row r="12" customFormat="false" ht="15" hidden="false" customHeight="false" outlineLevel="0" collapsed="false">
      <c r="A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  <c r="G12" s="2" t="s">
        <v>92</v>
      </c>
      <c r="H12" s="2" t="s">
        <v>93</v>
      </c>
      <c r="I12" s="2" t="s">
        <v>94</v>
      </c>
      <c r="J12" s="2" t="s">
        <v>95</v>
      </c>
      <c r="K12" s="2" t="s">
        <v>96</v>
      </c>
      <c r="L12" s="2" t="s">
        <v>97</v>
      </c>
    </row>
    <row r="13" customFormat="false" ht="15" hidden="false" customHeight="false" outlineLevel="0" collapsed="false">
      <c r="A13" s="0" t="s">
        <v>98</v>
      </c>
      <c r="C13" s="3" t="n">
        <v>20</v>
      </c>
      <c r="D13" s="3" t="n">
        <v>6</v>
      </c>
      <c r="E13" s="3" t="n">
        <v>1</v>
      </c>
      <c r="F13" s="3" t="n">
        <v>-2</v>
      </c>
      <c r="G13" s="3" t="n">
        <v>0</v>
      </c>
      <c r="H13" s="3" t="n">
        <v>1</v>
      </c>
      <c r="I13" s="3" t="n">
        <v>1.5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99</v>
      </c>
      <c r="C14" s="3" t="n">
        <v>25.5</v>
      </c>
      <c r="D14" s="3" t="n">
        <v>24</v>
      </c>
      <c r="E14" s="3" t="n">
        <v>22.5</v>
      </c>
      <c r="F14" s="3" t="n">
        <v>21.5</v>
      </c>
      <c r="G14" s="3" t="n">
        <v>21</v>
      </c>
      <c r="H14" s="3" t="n">
        <v>21</v>
      </c>
      <c r="I14" s="3" t="n">
        <v>21</v>
      </c>
      <c r="J14" s="3" t="n">
        <v>21</v>
      </c>
      <c r="K14" s="3" t="n">
        <v>21</v>
      </c>
      <c r="L14" s="3" t="n">
        <v>21</v>
      </c>
    </row>
    <row r="15" customFormat="false" ht="15" hidden="false" customHeight="false" outlineLevel="0" collapsed="false">
      <c r="A15" s="0" t="s">
        <v>100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</row>
    <row r="16" customFormat="false" ht="15" hidden="false" customHeight="false" outlineLevel="0" collapsed="false">
      <c r="A16" s="0" t="s">
        <v>101</v>
      </c>
      <c r="C16" s="3" t="n">
        <v>0.5</v>
      </c>
      <c r="D16" s="3" t="n">
        <v>0.5</v>
      </c>
      <c r="E16" s="3" t="n">
        <v>0.5</v>
      </c>
      <c r="F16" s="3" t="n">
        <v>0.5</v>
      </c>
      <c r="G16" s="3" t="n">
        <v>0.5</v>
      </c>
      <c r="H16" s="3" t="n">
        <v>0.5</v>
      </c>
      <c r="I16" s="3" t="n">
        <v>0.5</v>
      </c>
      <c r="J16" s="3" t="n">
        <v>0.5</v>
      </c>
      <c r="K16" s="3" t="n">
        <v>0.5</v>
      </c>
      <c r="L16" s="3" t="n">
        <v>0.5</v>
      </c>
    </row>
    <row r="17" customFormat="false" ht="15" hidden="false" customHeight="false" outlineLevel="0" collapsed="false">
      <c r="A17" s="0" t="s">
        <v>102</v>
      </c>
      <c r="C17" s="3" t="n">
        <v>0.9</v>
      </c>
      <c r="D17" s="3" t="n">
        <v>1</v>
      </c>
      <c r="E17" s="3" t="n">
        <v>1.2</v>
      </c>
      <c r="F17" s="3" t="n">
        <v>1.4</v>
      </c>
      <c r="G17" s="3" t="n">
        <v>1.5</v>
      </c>
      <c r="H17" s="3" t="n">
        <v>1.6</v>
      </c>
      <c r="I17" s="3" t="n">
        <v>1.6</v>
      </c>
      <c r="J17" s="3" t="n">
        <v>1.6</v>
      </c>
      <c r="K17" s="3" t="n">
        <v>1.6</v>
      </c>
      <c r="L17" s="3" t="n">
        <v>1.6</v>
      </c>
    </row>
    <row r="18" customFormat="false" ht="15" hidden="false" customHeight="false" outlineLevel="0" collapsed="false">
      <c r="A18" s="0" t="s">
        <v>103</v>
      </c>
      <c r="C18" s="3" t="n">
        <v>2.5</v>
      </c>
      <c r="D18" s="3" t="n">
        <v>2.2</v>
      </c>
      <c r="E18" s="3" t="n">
        <v>2</v>
      </c>
      <c r="F18" s="3" t="n">
        <v>1.8</v>
      </c>
      <c r="G18" s="3" t="n">
        <v>1.8</v>
      </c>
      <c r="H18" s="3" t="n">
        <v>1.8</v>
      </c>
      <c r="I18" s="3" t="n">
        <v>1.8</v>
      </c>
      <c r="J18" s="3" t="n">
        <v>1.8</v>
      </c>
      <c r="K18" s="3" t="n">
        <v>1.8</v>
      </c>
      <c r="L18" s="3" t="n">
        <v>1.8</v>
      </c>
    </row>
    <row r="19" customFormat="false" ht="15" hidden="false" customHeight="false" outlineLevel="0" collapsed="false">
      <c r="A19" s="0" t="s">
        <v>104</v>
      </c>
      <c r="C19" s="3" t="n">
        <v>22</v>
      </c>
      <c r="D19" s="3" t="n">
        <v>23</v>
      </c>
      <c r="E19" s="3" t="n">
        <v>24</v>
      </c>
      <c r="F19" s="3" t="n">
        <v>25</v>
      </c>
      <c r="G19" s="3" t="n">
        <v>25</v>
      </c>
      <c r="H19" s="3" t="n">
        <v>25</v>
      </c>
      <c r="I19" s="3" t="n">
        <v>25</v>
      </c>
      <c r="J19" s="3" t="n">
        <v>25</v>
      </c>
      <c r="K19" s="3" t="n">
        <v>25</v>
      </c>
      <c r="L19" s="3" t="n">
        <v>25</v>
      </c>
    </row>
    <row r="20" customFormat="false" ht="15" hidden="false" customHeight="false" outlineLevel="0" collapsed="false">
      <c r="A20" s="0" t="s">
        <v>105</v>
      </c>
      <c r="B20" s="3" t="n">
        <v>9.5</v>
      </c>
    </row>
    <row r="21" customFormat="false" ht="15" hidden="false" customHeight="false" outlineLevel="0" collapsed="false">
      <c r="A21" s="0" t="s">
        <v>106</v>
      </c>
      <c r="B21" s="3" t="n">
        <v>2.5</v>
      </c>
    </row>
    <row r="22" customFormat="false" ht="15" hidden="false" customHeight="false" outlineLevel="0" collapsed="false">
      <c r="A22" s="0" t="s">
        <v>107</v>
      </c>
      <c r="B22" s="3" t="n">
        <v>15</v>
      </c>
    </row>
    <row r="23" customFormat="false" ht="15" hidden="false" customHeight="false" outlineLevel="0" collapsed="false">
      <c r="A23" s="0" t="s">
        <v>108</v>
      </c>
      <c r="B23" s="3" t="n">
        <v>-8</v>
      </c>
    </row>
    <row r="24" customFormat="false" ht="15" hidden="false" customHeight="false" outlineLevel="0" collapsed="false">
      <c r="A24" s="0" t="s">
        <v>109</v>
      </c>
      <c r="B24" s="3" t="n">
        <v>0.25</v>
      </c>
    </row>
    <row r="26" customFormat="false" ht="15" hidden="false" customHeight="false" outlineLevel="0" collapsed="false">
      <c r="A26" s="2" t="s">
        <v>110</v>
      </c>
      <c r="C26" s="2" t="s">
        <v>88</v>
      </c>
      <c r="D26" s="2" t="s">
        <v>89</v>
      </c>
      <c r="E26" s="2" t="s">
        <v>90</v>
      </c>
      <c r="F26" s="2" t="s">
        <v>91</v>
      </c>
      <c r="G26" s="2" t="s">
        <v>92</v>
      </c>
      <c r="H26" s="2" t="s">
        <v>93</v>
      </c>
      <c r="I26" s="2" t="s">
        <v>94</v>
      </c>
      <c r="J26" s="2" t="s">
        <v>95</v>
      </c>
      <c r="K26" s="2" t="s">
        <v>96</v>
      </c>
      <c r="L26" s="2" t="s">
        <v>97</v>
      </c>
    </row>
    <row r="27" customFormat="false" ht="15" hidden="false" customHeight="false" outlineLevel="0" collapsed="false">
      <c r="A27" s="0" t="s">
        <v>98</v>
      </c>
      <c r="C27" s="3" t="n">
        <v>25</v>
      </c>
      <c r="D27" s="3" t="n">
        <v>15</v>
      </c>
      <c r="E27" s="3" t="n">
        <v>10</v>
      </c>
      <c r="F27" s="3" t="n">
        <v>7</v>
      </c>
      <c r="G27" s="3" t="n">
        <v>5</v>
      </c>
      <c r="H27" s="3" t="n">
        <v>4</v>
      </c>
      <c r="I27" s="3" t="n">
        <v>3.5</v>
      </c>
      <c r="J27" s="3" t="n">
        <v>3</v>
      </c>
      <c r="K27" s="3" t="n">
        <v>3</v>
      </c>
      <c r="L27" s="3" t="n">
        <v>2.5</v>
      </c>
    </row>
    <row r="28" customFormat="false" ht="15" hidden="false" customHeight="false" outlineLevel="0" collapsed="false">
      <c r="A28" s="0" t="s">
        <v>99</v>
      </c>
      <c r="C28" s="3" t="n">
        <v>26.5</v>
      </c>
      <c r="D28" s="3" t="n">
        <v>27</v>
      </c>
      <c r="E28" s="3" t="n">
        <v>27.3</v>
      </c>
      <c r="F28" s="3" t="n">
        <v>27.5</v>
      </c>
      <c r="G28" s="3" t="n">
        <v>27.5</v>
      </c>
      <c r="H28" s="3" t="n">
        <v>27.5</v>
      </c>
      <c r="I28" s="3" t="n">
        <v>27.5</v>
      </c>
      <c r="J28" s="3" t="n">
        <v>27.5</v>
      </c>
      <c r="K28" s="3" t="n">
        <v>27.5</v>
      </c>
      <c r="L28" s="3" t="n">
        <v>27.5</v>
      </c>
    </row>
    <row r="29" customFormat="false" ht="15" hidden="false" customHeight="false" outlineLevel="0" collapsed="false">
      <c r="A29" s="0" t="s">
        <v>100</v>
      </c>
      <c r="C29" s="3" t="n">
        <v>0</v>
      </c>
      <c r="D29" s="3" t="n">
        <v>0</v>
      </c>
      <c r="E29" s="3" t="n">
        <v>0</v>
      </c>
      <c r="F29" s="3" t="n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</row>
    <row r="30" customFormat="false" ht="15" hidden="false" customHeight="false" outlineLevel="0" collapsed="false">
      <c r="A30" s="0" t="s">
        <v>101</v>
      </c>
      <c r="C30" s="3" t="n">
        <v>0.5</v>
      </c>
      <c r="D30" s="3" t="n">
        <v>0.5</v>
      </c>
      <c r="E30" s="3" t="n">
        <v>0.5</v>
      </c>
      <c r="F30" s="3" t="n">
        <v>0.5</v>
      </c>
      <c r="G30" s="3" t="n">
        <v>0.5</v>
      </c>
      <c r="H30" s="3" t="n">
        <v>0.5</v>
      </c>
      <c r="I30" s="3" t="n">
        <v>0.5</v>
      </c>
      <c r="J30" s="3" t="n">
        <v>0.5</v>
      </c>
      <c r="K30" s="3" t="n">
        <v>0.5</v>
      </c>
      <c r="L30" s="3" t="n">
        <v>0.5</v>
      </c>
    </row>
    <row r="31" customFormat="false" ht="15" hidden="false" customHeight="false" outlineLevel="0" collapsed="false">
      <c r="A31" s="0" t="s">
        <v>102</v>
      </c>
      <c r="C31" s="3" t="n">
        <v>0.9</v>
      </c>
      <c r="D31" s="3" t="n">
        <v>1</v>
      </c>
      <c r="E31" s="3" t="n">
        <v>1.1</v>
      </c>
      <c r="F31" s="3" t="n">
        <v>1.2</v>
      </c>
      <c r="G31" s="3" t="n">
        <v>1.3</v>
      </c>
      <c r="H31" s="3" t="n">
        <v>1.4</v>
      </c>
      <c r="I31" s="3" t="n">
        <v>1.5</v>
      </c>
      <c r="J31" s="3" t="n">
        <v>1.6</v>
      </c>
      <c r="K31" s="3" t="n">
        <v>1.7</v>
      </c>
      <c r="L31" s="3" t="n">
        <v>1.7</v>
      </c>
    </row>
    <row r="32" customFormat="false" ht="15" hidden="false" customHeight="false" outlineLevel="0" collapsed="false">
      <c r="A32" s="0" t="s">
        <v>103</v>
      </c>
      <c r="C32" s="3" t="n">
        <v>2.5</v>
      </c>
      <c r="D32" s="3" t="n">
        <v>2.5</v>
      </c>
      <c r="E32" s="3" t="n">
        <v>2.5</v>
      </c>
      <c r="F32" s="3" t="n">
        <v>2.4</v>
      </c>
      <c r="G32" s="3" t="n">
        <v>2.3</v>
      </c>
      <c r="H32" s="3" t="n">
        <v>2.2</v>
      </c>
      <c r="I32" s="3" t="n">
        <v>2.2</v>
      </c>
      <c r="J32" s="3" t="n">
        <v>2.2</v>
      </c>
      <c r="K32" s="3" t="n">
        <v>2.2</v>
      </c>
      <c r="L32" s="3" t="n">
        <v>2.2</v>
      </c>
    </row>
    <row r="33" customFormat="false" ht="15" hidden="false" customHeight="false" outlineLevel="0" collapsed="false">
      <c r="A33" s="0" t="s">
        <v>104</v>
      </c>
      <c r="C33" s="3" t="n">
        <v>21</v>
      </c>
      <c r="D33" s="3" t="n">
        <v>21</v>
      </c>
      <c r="E33" s="3" t="n">
        <v>22</v>
      </c>
      <c r="F33" s="3" t="n">
        <v>22</v>
      </c>
      <c r="G33" s="3" t="n">
        <v>23</v>
      </c>
      <c r="H33" s="3" t="n">
        <v>23</v>
      </c>
      <c r="I33" s="3" t="n">
        <v>23</v>
      </c>
      <c r="J33" s="3" t="n">
        <v>23</v>
      </c>
      <c r="K33" s="3" t="n">
        <v>23</v>
      </c>
      <c r="L33" s="3" t="n">
        <v>23</v>
      </c>
    </row>
    <row r="34" customFormat="false" ht="15" hidden="false" customHeight="false" outlineLevel="0" collapsed="false">
      <c r="A34" s="0" t="s">
        <v>105</v>
      </c>
      <c r="B34" s="3" t="n">
        <v>9.5</v>
      </c>
    </row>
    <row r="35" customFormat="false" ht="15" hidden="false" customHeight="false" outlineLevel="0" collapsed="false">
      <c r="A35" s="0" t="s">
        <v>106</v>
      </c>
      <c r="B35" s="3" t="n">
        <v>2.5</v>
      </c>
    </row>
    <row r="36" customFormat="false" ht="15" hidden="false" customHeight="false" outlineLevel="0" collapsed="false">
      <c r="A36" s="0" t="s">
        <v>107</v>
      </c>
      <c r="B36" s="3" t="n">
        <v>15</v>
      </c>
    </row>
    <row r="37" customFormat="false" ht="15" hidden="false" customHeight="false" outlineLevel="0" collapsed="false">
      <c r="A37" s="0" t="s">
        <v>108</v>
      </c>
      <c r="B37" s="3" t="n">
        <v>-5</v>
      </c>
    </row>
    <row r="38" customFormat="false" ht="15" hidden="false" customHeight="false" outlineLevel="0" collapsed="false">
      <c r="A38" s="0" t="s">
        <v>109</v>
      </c>
      <c r="B38" s="3" t="n">
        <v>0.5</v>
      </c>
    </row>
    <row r="40" customFormat="false" ht="15" hidden="false" customHeight="false" outlineLevel="0" collapsed="false">
      <c r="A40" s="2" t="s">
        <v>111</v>
      </c>
      <c r="C40" s="2" t="s">
        <v>88</v>
      </c>
      <c r="D40" s="2" t="s">
        <v>89</v>
      </c>
      <c r="E40" s="2" t="s">
        <v>90</v>
      </c>
      <c r="F40" s="2" t="s">
        <v>91</v>
      </c>
      <c r="G40" s="2" t="s">
        <v>92</v>
      </c>
      <c r="H40" s="2" t="s">
        <v>93</v>
      </c>
      <c r="I40" s="2" t="s">
        <v>94</v>
      </c>
      <c r="J40" s="2" t="s">
        <v>95</v>
      </c>
      <c r="K40" s="2" t="s">
        <v>96</v>
      </c>
      <c r="L40" s="2" t="s">
        <v>97</v>
      </c>
    </row>
    <row r="41" customFormat="false" ht="15" hidden="false" customHeight="false" outlineLevel="0" collapsed="false">
      <c r="A41" s="0" t="s">
        <v>98</v>
      </c>
      <c r="C41" s="3" t="n">
        <v>28</v>
      </c>
      <c r="D41" s="3" t="n">
        <v>20</v>
      </c>
      <c r="E41" s="3" t="n">
        <v>15</v>
      </c>
      <c r="F41" s="3" t="n">
        <v>11</v>
      </c>
      <c r="G41" s="3" t="n">
        <v>8</v>
      </c>
      <c r="H41" s="3" t="n">
        <v>6</v>
      </c>
      <c r="I41" s="3" t="n">
        <v>5</v>
      </c>
      <c r="J41" s="3" t="n">
        <v>4</v>
      </c>
      <c r="K41" s="3" t="n">
        <v>3.5</v>
      </c>
      <c r="L41" s="3" t="n">
        <v>3</v>
      </c>
    </row>
    <row r="42" customFormat="false" ht="15" hidden="false" customHeight="false" outlineLevel="0" collapsed="false">
      <c r="A42" s="0" t="s">
        <v>99</v>
      </c>
      <c r="C42" s="3" t="n">
        <v>27</v>
      </c>
      <c r="D42" s="3" t="n">
        <v>28</v>
      </c>
      <c r="E42" s="3" t="n">
        <v>28.5</v>
      </c>
      <c r="F42" s="3" t="n">
        <v>29</v>
      </c>
      <c r="G42" s="3" t="n">
        <v>29.3</v>
      </c>
      <c r="H42" s="3" t="n">
        <v>29.5</v>
      </c>
      <c r="I42" s="3" t="n">
        <v>29.5</v>
      </c>
      <c r="J42" s="3" t="n">
        <v>29.5</v>
      </c>
      <c r="K42" s="3" t="n">
        <v>29.5</v>
      </c>
      <c r="L42" s="3" t="n">
        <v>29.5</v>
      </c>
    </row>
    <row r="43" customFormat="false" ht="15" hidden="false" customHeight="false" outlineLevel="0" collapsed="false">
      <c r="A43" s="0" t="s">
        <v>100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</row>
    <row r="44" customFormat="false" ht="15" hidden="false" customHeight="false" outlineLevel="0" collapsed="false">
      <c r="A44" s="0" t="s">
        <v>101</v>
      </c>
      <c r="C44" s="3" t="n">
        <v>0.5</v>
      </c>
      <c r="D44" s="3" t="n">
        <v>0.5</v>
      </c>
      <c r="E44" s="3" t="n">
        <v>0.5</v>
      </c>
      <c r="F44" s="3" t="n">
        <v>0.5</v>
      </c>
      <c r="G44" s="3" t="n">
        <v>0.5</v>
      </c>
      <c r="H44" s="3" t="n">
        <v>0.5</v>
      </c>
      <c r="I44" s="3" t="n">
        <v>0.5</v>
      </c>
      <c r="J44" s="3" t="n">
        <v>0.5</v>
      </c>
      <c r="K44" s="3" t="n">
        <v>0.5</v>
      </c>
      <c r="L44" s="3" t="n">
        <v>0.5</v>
      </c>
    </row>
    <row r="45" customFormat="false" ht="15" hidden="false" customHeight="false" outlineLevel="0" collapsed="false">
      <c r="A45" s="0" t="s">
        <v>102</v>
      </c>
      <c r="C45" s="3" t="n">
        <v>0.9</v>
      </c>
      <c r="D45" s="3" t="n">
        <v>1</v>
      </c>
      <c r="E45" s="3" t="n">
        <v>1.1</v>
      </c>
      <c r="F45" s="3" t="n">
        <v>1.2</v>
      </c>
      <c r="G45" s="3" t="n">
        <v>1.3</v>
      </c>
      <c r="H45" s="3" t="n">
        <v>1.4</v>
      </c>
      <c r="I45" s="3" t="n">
        <v>1.5</v>
      </c>
      <c r="J45" s="3" t="n">
        <v>1.6</v>
      </c>
      <c r="K45" s="3" t="n">
        <v>1.7</v>
      </c>
      <c r="L45" s="3" t="n">
        <v>1.7</v>
      </c>
    </row>
    <row r="46" customFormat="false" ht="15" hidden="false" customHeight="false" outlineLevel="0" collapsed="false">
      <c r="A46" s="0" t="s">
        <v>103</v>
      </c>
      <c r="C46" s="3" t="n">
        <v>3</v>
      </c>
      <c r="D46" s="3" t="n">
        <v>3</v>
      </c>
      <c r="E46" s="3" t="n">
        <v>2.8</v>
      </c>
      <c r="F46" s="3" t="n">
        <v>2.6</v>
      </c>
      <c r="G46" s="3" t="n">
        <v>2.5</v>
      </c>
      <c r="H46" s="3" t="n">
        <v>2.4</v>
      </c>
      <c r="I46" s="3" t="n">
        <v>2.3</v>
      </c>
      <c r="J46" s="3" t="n">
        <v>2.3</v>
      </c>
      <c r="K46" s="3" t="n">
        <v>2.3</v>
      </c>
      <c r="L46" s="3" t="n">
        <v>2.3</v>
      </c>
    </row>
    <row r="47" customFormat="false" ht="15" hidden="false" customHeight="false" outlineLevel="0" collapsed="false">
      <c r="A47" s="0" t="s">
        <v>104</v>
      </c>
      <c r="C47" s="3" t="n">
        <v>21</v>
      </c>
      <c r="D47" s="3" t="n">
        <v>21</v>
      </c>
      <c r="E47" s="3" t="n">
        <v>21</v>
      </c>
      <c r="F47" s="3" t="n">
        <v>22</v>
      </c>
      <c r="G47" s="3" t="n">
        <v>22</v>
      </c>
      <c r="H47" s="3" t="n">
        <v>22</v>
      </c>
      <c r="I47" s="3" t="n">
        <v>22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105</v>
      </c>
      <c r="B48" s="3" t="n">
        <v>9.5</v>
      </c>
    </row>
    <row r="49" customFormat="false" ht="15" hidden="false" customHeight="false" outlineLevel="0" collapsed="false">
      <c r="A49" s="0" t="s">
        <v>106</v>
      </c>
      <c r="B49" s="3" t="n">
        <v>2.5</v>
      </c>
    </row>
    <row r="50" customFormat="false" ht="15" hidden="false" customHeight="false" outlineLevel="0" collapsed="false">
      <c r="A50" s="0" t="s">
        <v>107</v>
      </c>
      <c r="B50" s="3" t="n">
        <v>15</v>
      </c>
    </row>
    <row r="51" customFormat="false" ht="15" hidden="false" customHeight="false" outlineLevel="0" collapsed="false">
      <c r="A51" s="0" t="s">
        <v>108</v>
      </c>
      <c r="B51" s="3" t="n">
        <v>-5</v>
      </c>
    </row>
    <row r="52" customFormat="false" ht="15" hidden="false" customHeight="false" outlineLevel="0" collapsed="false">
      <c r="A52" s="0" t="s">
        <v>109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112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Assumptions!C13</f>
        <v>20</v>
      </c>
      <c r="D5" s="4" t="n">
        <f aca="false">Assumptions!D13</f>
        <v>6</v>
      </c>
      <c r="E5" s="4" t="n">
        <f aca="false">Assumptions!E13</f>
        <v>1</v>
      </c>
      <c r="F5" s="4" t="n">
        <f aca="false">Assumptions!F13</f>
        <v>-2</v>
      </c>
      <c r="G5" s="4" t="n">
        <f aca="false">Assumptions!G13</f>
        <v>0</v>
      </c>
      <c r="H5" s="4" t="n">
        <f aca="false">Assumptions!H13</f>
        <v>1</v>
      </c>
      <c r="I5" s="4" t="n">
        <f aca="false">Assumptions!I13</f>
        <v>1.5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12913.774</v>
      </c>
      <c r="C6" s="0" t="n">
        <f aca="false">B6*(1+C5/100)</f>
        <v>15496.5288</v>
      </c>
      <c r="D6" s="0" t="n">
        <f aca="false">C6*(1+D5/100)</f>
        <v>16426.320528</v>
      </c>
      <c r="E6" s="0" t="n">
        <f aca="false">D6*(1+E5/100)</f>
        <v>16590.58373328</v>
      </c>
      <c r="F6" s="0" t="n">
        <f aca="false">E6*(1+F5/100)</f>
        <v>16258.7720586144</v>
      </c>
      <c r="G6" s="0" t="n">
        <f aca="false">F6*(1+G5/100)</f>
        <v>16258.7720586144</v>
      </c>
      <c r="H6" s="0" t="n">
        <f aca="false">G6*(1+H5/100)</f>
        <v>16421.3597792005</v>
      </c>
      <c r="I6" s="0" t="n">
        <f aca="false">H6*(1+I5/100)</f>
        <v>16667.6801758886</v>
      </c>
      <c r="J6" s="0" t="n">
        <f aca="false">I6*(1+J5/100)</f>
        <v>17001.0337794063</v>
      </c>
      <c r="K6" s="0" t="n">
        <f aca="false">J6*(1+K5/100)</f>
        <v>17341.0544549945</v>
      </c>
      <c r="L6" s="0" t="n">
        <f aca="false">K6*(1+L5/100)</f>
        <v>17687.8755440943</v>
      </c>
    </row>
    <row r="7" customFormat="false" ht="15" hidden="false" customHeight="false" outlineLevel="0" collapsed="false">
      <c r="A7" s="0" t="s">
        <v>99</v>
      </c>
      <c r="C7" s="4" t="n">
        <f aca="false">Assumptions!C14</f>
        <v>25.5</v>
      </c>
      <c r="D7" s="4" t="n">
        <f aca="false">Assumptions!D14</f>
        <v>24</v>
      </c>
      <c r="E7" s="4" t="n">
        <f aca="false">Assumptions!E14</f>
        <v>22.5</v>
      </c>
      <c r="F7" s="4" t="n">
        <f aca="false">Assumptions!F14</f>
        <v>21.5</v>
      </c>
      <c r="G7" s="4" t="n">
        <f aca="false">Assumptions!G14</f>
        <v>21</v>
      </c>
      <c r="H7" s="4" t="n">
        <f aca="false">Assumptions!H14</f>
        <v>21</v>
      </c>
      <c r="I7" s="4" t="n">
        <f aca="false">Assumptions!I14</f>
        <v>21</v>
      </c>
      <c r="J7" s="4" t="n">
        <f aca="false">Assumptions!J14</f>
        <v>21</v>
      </c>
      <c r="K7" s="4" t="n">
        <f aca="false">Assumptions!K14</f>
        <v>21</v>
      </c>
      <c r="L7" s="4" t="n">
        <f aca="false">Assumptions!L14</f>
        <v>21</v>
      </c>
    </row>
    <row r="8" customFormat="false" ht="15" hidden="false" customHeight="false" outlineLevel="0" collapsed="false">
      <c r="A8" s="0" t="s">
        <v>44</v>
      </c>
      <c r="C8" s="0" t="n">
        <f aca="false">C6*C7/100</f>
        <v>3951.614844</v>
      </c>
      <c r="D8" s="0" t="n">
        <f aca="false">D6*D7/100</f>
        <v>3942.31692672</v>
      </c>
      <c r="E8" s="0" t="n">
        <f aca="false">E6*E7/100</f>
        <v>3732.881339988</v>
      </c>
      <c r="F8" s="0" t="n">
        <f aca="false">F6*F7/100</f>
        <v>3495.6359926021</v>
      </c>
      <c r="G8" s="0" t="n">
        <f aca="false">G6*G7/100</f>
        <v>3414.34213230902</v>
      </c>
      <c r="H8" s="0" t="n">
        <f aca="false">H6*H7/100</f>
        <v>3448.48555363211</v>
      </c>
      <c r="I8" s="0" t="n">
        <f aca="false">I6*I7/100</f>
        <v>3500.2128369366</v>
      </c>
      <c r="J8" s="0" t="n">
        <f aca="false">J6*J7/100</f>
        <v>3570.21709367533</v>
      </c>
      <c r="K8" s="0" t="n">
        <f aca="false">K6*K7/100</f>
        <v>3641.62143554883</v>
      </c>
      <c r="L8" s="0" t="n">
        <f aca="false">L6*L7/100</f>
        <v>3714.45386425981</v>
      </c>
    </row>
    <row r="9" customFormat="false" ht="15" hidden="false" customHeight="false" outlineLevel="0" collapsed="false">
      <c r="A9" s="0" t="s">
        <v>100</v>
      </c>
      <c r="C9" s="4" t="n">
        <f aca="false">Assumptions!C15</f>
        <v>0</v>
      </c>
      <c r="D9" s="4" t="n">
        <f aca="false">Assumptions!D15</f>
        <v>0</v>
      </c>
      <c r="E9" s="4" t="n">
        <f aca="false">Assumptions!E15</f>
        <v>0</v>
      </c>
      <c r="F9" s="4" t="n">
        <f aca="false">Assumptions!F15</f>
        <v>0</v>
      </c>
      <c r="G9" s="4" t="n">
        <f aca="false">Assumptions!G15</f>
        <v>0</v>
      </c>
      <c r="H9" s="4" t="n">
        <f aca="false">Assumptions!H15</f>
        <v>0</v>
      </c>
      <c r="I9" s="4" t="n">
        <f aca="false">Assumptions!I15</f>
        <v>0</v>
      </c>
      <c r="J9" s="4" t="n">
        <f aca="false">Assumptions!J15</f>
        <v>0</v>
      </c>
      <c r="K9" s="4" t="n">
        <f aca="false">Assumptions!K15</f>
        <v>0</v>
      </c>
      <c r="L9" s="4" t="n">
        <f aca="false">Assumptions!L15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3874.1322</v>
      </c>
      <c r="D11" s="0" t="n">
        <f aca="false">D8+D10+D24</f>
        <v>3860.18532408</v>
      </c>
      <c r="E11" s="0" t="n">
        <f aca="false">E8+E10+E24</f>
        <v>3649.9284213216</v>
      </c>
      <c r="F11" s="0" t="n">
        <f aca="false">F8+F10+F24</f>
        <v>3414.34213230902</v>
      </c>
      <c r="G11" s="0" t="n">
        <f aca="false">G8+G10+G24</f>
        <v>3333.04827201595</v>
      </c>
      <c r="H11" s="0" t="n">
        <f aca="false">H8+H10+H24</f>
        <v>3366.37875473611</v>
      </c>
      <c r="I11" s="0" t="n">
        <f aca="false">I8+I10+I24</f>
        <v>3416.87443605715</v>
      </c>
      <c r="J11" s="0" t="n">
        <f aca="false">J8+J10+J24</f>
        <v>3485.2119247783</v>
      </c>
      <c r="K11" s="0" t="n">
        <f aca="false">K8+K10+K24</f>
        <v>3554.91616327386</v>
      </c>
      <c r="L11" s="0" t="n">
        <f aca="false">L8+L10+L24</f>
        <v>3626.01448653934</v>
      </c>
    </row>
    <row r="12" customFormat="false" ht="15" hidden="false" customHeight="false" outlineLevel="0" collapsed="false">
      <c r="A12" s="0" t="s">
        <v>117</v>
      </c>
      <c r="C12" s="4" t="n">
        <f aca="false">-C6*Assumptions!C17/100</f>
        <v>-139.4687592</v>
      </c>
      <c r="D12" s="4" t="n">
        <f aca="false">-D6*Assumptions!D17/100</f>
        <v>-164.26320528</v>
      </c>
      <c r="E12" s="4" t="n">
        <f aca="false">-E6*Assumptions!E17/100</f>
        <v>-199.08700479936</v>
      </c>
      <c r="F12" s="4" t="n">
        <f aca="false">-F6*Assumptions!F17/100</f>
        <v>-227.622808820602</v>
      </c>
      <c r="G12" s="4" t="n">
        <f aca="false">-G6*Assumptions!G17/100</f>
        <v>-243.881580879216</v>
      </c>
      <c r="H12" s="4" t="n">
        <f aca="false">-H6*Assumptions!H17/100</f>
        <v>-262.741756467209</v>
      </c>
      <c r="I12" s="4" t="n">
        <f aca="false">-I6*Assumptions!I17/100</f>
        <v>-266.682882814217</v>
      </c>
      <c r="J12" s="4" t="n">
        <f aca="false">-J6*Assumptions!J17/100</f>
        <v>-272.016540470501</v>
      </c>
      <c r="K12" s="4" t="n">
        <f aca="false">-K6*Assumptions!K17/100</f>
        <v>-277.456871279911</v>
      </c>
      <c r="L12" s="4" t="n">
        <f aca="false">-L6*Assumptions!L17/100</f>
        <v>-283.006008705509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3734.6634408</v>
      </c>
      <c r="D13" s="0" t="n">
        <f aca="false">D11+D12</f>
        <v>3695.9221188</v>
      </c>
      <c r="E13" s="0" t="n">
        <f aca="false">E11+E12</f>
        <v>3450.84141652224</v>
      </c>
      <c r="F13" s="0" t="n">
        <f aca="false">F11+F12</f>
        <v>3186.71932348842</v>
      </c>
      <c r="G13" s="0" t="n">
        <f aca="false">G11+G12</f>
        <v>3089.16669113674</v>
      </c>
      <c r="H13" s="0" t="n">
        <f aca="false">H11+H12</f>
        <v>3103.6369982689</v>
      </c>
      <c r="I13" s="0" t="n">
        <f aca="false">I11+I12</f>
        <v>3150.19155324294</v>
      </c>
      <c r="J13" s="0" t="n">
        <f aca="false">J11+J12</f>
        <v>3213.1953843078</v>
      </c>
      <c r="K13" s="0" t="n">
        <f aca="false">K11+K12</f>
        <v>3277.45929199395</v>
      </c>
      <c r="L13" s="0" t="n">
        <f aca="false">L11+L12</f>
        <v>3343.00847783383</v>
      </c>
    </row>
    <row r="14" customFormat="false" ht="15" hidden="false" customHeight="false" outlineLevel="0" collapsed="false">
      <c r="A14" s="0" t="s">
        <v>104</v>
      </c>
      <c r="C14" s="4" t="n">
        <f aca="false">Assumptions!C19</f>
        <v>22</v>
      </c>
      <c r="D14" s="4" t="n">
        <f aca="false">Assumptions!D19</f>
        <v>23</v>
      </c>
      <c r="E14" s="4" t="n">
        <f aca="false">Assumptions!E19</f>
        <v>24</v>
      </c>
      <c r="F14" s="4" t="n">
        <f aca="false">Assumptions!F19</f>
        <v>25</v>
      </c>
      <c r="G14" s="4" t="n">
        <f aca="false">Assumptions!G19</f>
        <v>25</v>
      </c>
      <c r="H14" s="4" t="n">
        <f aca="false">Assumptions!H19</f>
        <v>25</v>
      </c>
      <c r="I14" s="4" t="n">
        <f aca="false">Assumptions!I19</f>
        <v>25</v>
      </c>
      <c r="J14" s="4" t="n">
        <f aca="false">Assumptions!J19</f>
        <v>25</v>
      </c>
      <c r="K14" s="4" t="n">
        <f aca="false">Assumptions!K19</f>
        <v>25</v>
      </c>
      <c r="L14" s="4" t="n">
        <f aca="false">Assumptions!L19</f>
        <v>25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2913.037483824</v>
      </c>
      <c r="D15" s="0" t="n">
        <f aca="false">D13-MAX(0,D13)*D14/100</f>
        <v>2845.860031476</v>
      </c>
      <c r="E15" s="0" t="n">
        <f aca="false">E13-MAX(0,E13)*E14/100</f>
        <v>2622.6394765569</v>
      </c>
      <c r="F15" s="0" t="n">
        <f aca="false">F13-MAX(0,F13)*F14/100</f>
        <v>2390.03949261632</v>
      </c>
      <c r="G15" s="0" t="n">
        <f aca="false">G13-MAX(0,G13)*G14/100</f>
        <v>2316.87501835255</v>
      </c>
      <c r="H15" s="0" t="n">
        <f aca="false">H13-MAX(0,H13)*H14/100</f>
        <v>2327.72774870168</v>
      </c>
      <c r="I15" s="0" t="n">
        <f aca="false">I13-MAX(0,I13)*I14/100</f>
        <v>2362.6436649322</v>
      </c>
      <c r="J15" s="0" t="n">
        <f aca="false">J13-MAX(0,J13)*J14/100</f>
        <v>2409.89653823085</v>
      </c>
      <c r="K15" s="0" t="n">
        <f aca="false">K13-MAX(0,K13)*K14/100</f>
        <v>2458.09446899546</v>
      </c>
      <c r="L15" s="0" t="n">
        <f aca="false">L13-MAX(0,L13)*L14/100</f>
        <v>2507.25635837537</v>
      </c>
    </row>
    <row r="16" customFormat="false" ht="15" hidden="false" customHeight="false" outlineLevel="0" collapsed="false">
      <c r="A16" s="0" t="s">
        <v>120</v>
      </c>
      <c r="C16" s="0" t="n">
        <f aca="false">-C12</f>
        <v>139.4687592</v>
      </c>
      <c r="D16" s="0" t="n">
        <f aca="false">-D12</f>
        <v>164.26320528</v>
      </c>
      <c r="E16" s="0" t="n">
        <f aca="false">-E12</f>
        <v>199.08700479936</v>
      </c>
      <c r="F16" s="0" t="n">
        <f aca="false">-F12</f>
        <v>227.622808820602</v>
      </c>
      <c r="G16" s="0" t="n">
        <f aca="false">-G12</f>
        <v>243.881580879216</v>
      </c>
      <c r="H16" s="0" t="n">
        <f aca="false">-H12</f>
        <v>262.741756467209</v>
      </c>
      <c r="I16" s="0" t="n">
        <f aca="false">-I12</f>
        <v>266.682882814217</v>
      </c>
      <c r="J16" s="0" t="n">
        <f aca="false">-J12</f>
        <v>272.016540470501</v>
      </c>
      <c r="K16" s="0" t="n">
        <f aca="false">-K12</f>
        <v>277.456871279911</v>
      </c>
      <c r="L16" s="0" t="n">
        <f aca="false">-L12</f>
        <v>283.006008705509</v>
      </c>
    </row>
    <row r="17" customFormat="false" ht="15" hidden="false" customHeight="false" outlineLevel="0" collapsed="false">
      <c r="A17" s="0" t="s">
        <v>121</v>
      </c>
      <c r="C17" s="4" t="n">
        <f aca="false">-C6*Assumptions!C18/100</f>
        <v>-387.41322</v>
      </c>
      <c r="D17" s="4" t="n">
        <f aca="false">-D6*Assumptions!D18/100</f>
        <v>-361.379051616</v>
      </c>
      <c r="E17" s="4" t="n">
        <f aca="false">-E6*Assumptions!E18/100</f>
        <v>-331.8116746656</v>
      </c>
      <c r="F17" s="4" t="n">
        <f aca="false">-F6*Assumptions!F18/100</f>
        <v>-292.657897055059</v>
      </c>
      <c r="G17" s="4" t="n">
        <f aca="false">-G6*Assumptions!G18/100</f>
        <v>-292.657897055059</v>
      </c>
      <c r="H17" s="4" t="n">
        <f aca="false">-H6*Assumptions!H18/100</f>
        <v>-295.58447602561</v>
      </c>
      <c r="I17" s="4" t="n">
        <f aca="false">-I6*Assumptions!I18/100</f>
        <v>-300.018243165994</v>
      </c>
      <c r="J17" s="4" t="n">
        <f aca="false">-J6*Assumptions!J18/100</f>
        <v>-306.018608029314</v>
      </c>
      <c r="K17" s="4" t="n">
        <f aca="false">-K6*Assumptions!K18/100</f>
        <v>-312.1389801899</v>
      </c>
      <c r="L17" s="4" t="n">
        <f aca="false">-L6*Assumptions!L18/100</f>
        <v>-318.381759793698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(C6-B6)*Assumptions!$B$23/100</f>
        <v>-206.620384</v>
      </c>
      <c r="D18" s="4" t="n">
        <f aca="false">(D6-C6)*Assumptions!$B$23/100</f>
        <v>-74.3833382400002</v>
      </c>
      <c r="E18" s="4" t="n">
        <f aca="false">(E6-D6)*Assumptions!$B$23/100</f>
        <v>-13.1410564224</v>
      </c>
      <c r="F18" s="4" t="n">
        <f aca="false">(F6-E6)*Assumptions!$B$23/100</f>
        <v>26.544933973248</v>
      </c>
      <c r="G18" s="4" t="n">
        <f aca="false">(G6-F6)*Assumptions!$B$23/100</f>
        <v>-0</v>
      </c>
      <c r="H18" s="4" t="n">
        <f aca="false">(H6-G6)*Assumptions!$B$23/100</f>
        <v>-13.0070176468916</v>
      </c>
      <c r="I18" s="4" t="n">
        <f aca="false">(I6-H6)*Assumptions!$B$23/100</f>
        <v>-19.7056317350405</v>
      </c>
      <c r="J18" s="4" t="n">
        <f aca="false">(J6-I6)*Assumptions!$B$23/100</f>
        <v>-26.6682882814217</v>
      </c>
      <c r="K18" s="4" t="n">
        <f aca="false">(K6-J6)*Assumptions!$B$23/100</f>
        <v>-27.2016540470501</v>
      </c>
      <c r="L18" s="4" t="n">
        <f aca="false">(L6-K6)*Assumptions!$B$23/100</f>
        <v>-27.7456871279911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2458.472639024</v>
      </c>
      <c r="D19" s="0" t="n">
        <f aca="false">D15+D16+D17+D18</f>
        <v>2574.3608469</v>
      </c>
      <c r="E19" s="0" t="n">
        <f aca="false">E15+E16+E17+E18</f>
        <v>2476.77375026826</v>
      </c>
      <c r="F19" s="0" t="n">
        <f aca="false">F15+F16+F17+F18</f>
        <v>2351.54933835511</v>
      </c>
      <c r="G19" s="0" t="n">
        <f aca="false">G15+G16+G17+G18</f>
        <v>2268.09870217671</v>
      </c>
      <c r="H19" s="0" t="n">
        <f aca="false">H15+H16+H17+H18</f>
        <v>2281.87801149638</v>
      </c>
      <c r="I19" s="0" t="n">
        <f aca="false">I15+I16+I17+I18</f>
        <v>2309.60267284538</v>
      </c>
      <c r="J19" s="0" t="n">
        <f aca="false">J15+J16+J17+J18</f>
        <v>2349.22618239061</v>
      </c>
      <c r="K19" s="0" t="n">
        <f aca="false">K15+K16+K17+K18</f>
        <v>2396.21070603842</v>
      </c>
      <c r="L19" s="0" t="n">
        <f aca="false">L15+L16+L17+L18</f>
        <v>2444.13492015919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2245.18049225936</v>
      </c>
      <c r="D21" s="0" t="n">
        <f aca="false">D19*D20</f>
        <v>2147.04517995872</v>
      </c>
      <c r="E21" s="0" t="n">
        <f aca="false">E19*E20</f>
        <v>1886.44426585053</v>
      </c>
      <c r="F21" s="0" t="n">
        <f aca="false">F19*F20</f>
        <v>1635.67726961827</v>
      </c>
      <c r="G21" s="0" t="n">
        <f aca="false">G19*G20</f>
        <v>1440.75904321253</v>
      </c>
      <c r="H21" s="0" t="n">
        <f aca="false">H19*H20</f>
        <v>1323.75528922453</v>
      </c>
      <c r="I21" s="0" t="n">
        <f aca="false">I19*I20</f>
        <v>1223.59710064454</v>
      </c>
      <c r="J21" s="0" t="n">
        <f aca="false">J19*J20</f>
        <v>1136.61106350509</v>
      </c>
      <c r="K21" s="0" t="n">
        <f aca="false">K19*K20</f>
        <v>1058.76099066227</v>
      </c>
      <c r="L21" s="0" t="n">
        <f aca="false">L19*L20</f>
        <v>986.243114589514</v>
      </c>
    </row>
    <row r="23" customFormat="false" ht="15" hidden="false" customHeight="false" outlineLevel="0" collapsed="false">
      <c r="A23" s="0" t="s">
        <v>101</v>
      </c>
      <c r="C23" s="4" t="n">
        <f aca="false">Assumptions!C16</f>
        <v>0.5</v>
      </c>
      <c r="D23" s="4" t="n">
        <f aca="false">Assumptions!D16</f>
        <v>0.5</v>
      </c>
      <c r="E23" s="4" t="n">
        <f aca="false">Assumptions!E16</f>
        <v>0.5</v>
      </c>
      <c r="F23" s="4" t="n">
        <f aca="false">Assumptions!F16</f>
        <v>0.5</v>
      </c>
      <c r="G23" s="4" t="n">
        <f aca="false">Assumptions!G16</f>
        <v>0.5</v>
      </c>
      <c r="H23" s="4" t="n">
        <f aca="false">Assumptions!H16</f>
        <v>0.5</v>
      </c>
      <c r="I23" s="4" t="n">
        <f aca="false">Assumptions!I16</f>
        <v>0.5</v>
      </c>
      <c r="J23" s="4" t="n">
        <f aca="false">Assumptions!J16</f>
        <v>0.5</v>
      </c>
      <c r="K23" s="4" t="n">
        <f aca="false">Assumptions!K16</f>
        <v>0.5</v>
      </c>
      <c r="L23" s="4" t="n">
        <f aca="false">Assumptions!L16</f>
        <v>0.5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-77.482644</v>
      </c>
      <c r="D24" s="0" t="n">
        <f aca="false">-D6*D23/100</f>
        <v>-82.13160264</v>
      </c>
      <c r="E24" s="0" t="n">
        <f aca="false">-E6*E23/100</f>
        <v>-82.9529186664</v>
      </c>
      <c r="F24" s="0" t="n">
        <f aca="false">-F6*F23/100</f>
        <v>-81.293860293072</v>
      </c>
      <c r="G24" s="0" t="n">
        <f aca="false">-G6*G23/100</f>
        <v>-81.293860293072</v>
      </c>
      <c r="H24" s="0" t="n">
        <f aca="false">-H6*H23/100</f>
        <v>-82.1067988960027</v>
      </c>
      <c r="I24" s="0" t="n">
        <f aca="false">-I6*I23/100</f>
        <v>-83.3384008794428</v>
      </c>
      <c r="J24" s="0" t="n">
        <f aca="false">-J6*J23/100</f>
        <v>-85.0051688970316</v>
      </c>
      <c r="K24" s="0" t="n">
        <f aca="false">-K6*K23/100</f>
        <v>-86.7052722749722</v>
      </c>
      <c r="L24" s="0" t="n">
        <f aca="false">-L6*L23/100</f>
        <v>-88.4393777204717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Assumptions!$B$20</f>
        <v>9.5</v>
      </c>
    </row>
    <row r="28" customFormat="false" ht="15" hidden="false" customHeight="false" outlineLevel="0" collapsed="false">
      <c r="A28" s="0" t="s">
        <v>106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15084.0738095254</v>
      </c>
    </row>
    <row r="31" customFormat="false" ht="15" hidden="false" customHeight="false" outlineLevel="0" collapsed="false">
      <c r="A31" s="0" t="s">
        <v>129</v>
      </c>
      <c r="B31" s="0" t="n">
        <f aca="false">L19</f>
        <v>2444.13492015919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35789.1184737596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36662.0238023879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35789.1184737596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14441.4170350607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29525.4908445861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33497.2188445861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16.7980411205859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-0.215044807449256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16.7980411205859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20041.9063453054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10.5404655605593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Assumptions!C27</f>
        <v>25</v>
      </c>
      <c r="D5" s="4" t="n">
        <f aca="false">Assumptions!D27</f>
        <v>15</v>
      </c>
      <c r="E5" s="4" t="n">
        <f aca="false">Assumptions!E27</f>
        <v>10</v>
      </c>
      <c r="F5" s="4" t="n">
        <f aca="false">Assumptions!F27</f>
        <v>7</v>
      </c>
      <c r="G5" s="4" t="n">
        <f aca="false">Assumptions!G27</f>
        <v>5</v>
      </c>
      <c r="H5" s="4" t="n">
        <f aca="false">Assumptions!H27</f>
        <v>4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12913.774</v>
      </c>
      <c r="C6" s="0" t="n">
        <f aca="false">B6*(1+C5/100)</f>
        <v>16142.2175</v>
      </c>
      <c r="D6" s="0" t="n">
        <f aca="false">C6*(1+D5/100)</f>
        <v>18563.550125</v>
      </c>
      <c r="E6" s="0" t="n">
        <f aca="false">D6*(1+E5/100)</f>
        <v>20419.9051375</v>
      </c>
      <c r="F6" s="0" t="n">
        <f aca="false">E6*(1+F5/100)</f>
        <v>21849.298497125</v>
      </c>
      <c r="G6" s="0" t="n">
        <f aca="false">F6*(1+G5/100)</f>
        <v>22941.7634219813</v>
      </c>
      <c r="H6" s="0" t="n">
        <f aca="false">G6*(1+H5/100)</f>
        <v>23859.4339588605</v>
      </c>
      <c r="I6" s="0" t="n">
        <f aca="false">H6*(1+I5/100)</f>
        <v>24694.5141474206</v>
      </c>
      <c r="J6" s="0" t="n">
        <f aca="false">I6*(1+J5/100)</f>
        <v>25435.3495718432</v>
      </c>
      <c r="K6" s="0" t="n">
        <f aca="false">J6*(1+K5/100)</f>
        <v>26198.4100589985</v>
      </c>
      <c r="L6" s="0" t="n">
        <f aca="false">K6*(1+L5/100)</f>
        <v>26853.3703104735</v>
      </c>
    </row>
    <row r="7" customFormat="false" ht="15" hidden="false" customHeight="false" outlineLevel="0" collapsed="false">
      <c r="A7" s="0" t="s">
        <v>99</v>
      </c>
      <c r="C7" s="4" t="n">
        <f aca="false">Assumptions!C28</f>
        <v>26.5</v>
      </c>
      <c r="D7" s="4" t="n">
        <f aca="false">Assumptions!D28</f>
        <v>27</v>
      </c>
      <c r="E7" s="4" t="n">
        <f aca="false">Assumptions!E28</f>
        <v>27.3</v>
      </c>
      <c r="F7" s="4" t="n">
        <f aca="false">Assumptions!F28</f>
        <v>27.5</v>
      </c>
      <c r="G7" s="4" t="n">
        <f aca="false">Assumptions!G28</f>
        <v>27.5</v>
      </c>
      <c r="H7" s="4" t="n">
        <f aca="false">Assumptions!H28</f>
        <v>27.5</v>
      </c>
      <c r="I7" s="4" t="n">
        <f aca="false">Assumptions!I28</f>
        <v>27.5</v>
      </c>
      <c r="J7" s="4" t="n">
        <f aca="false">Assumptions!J28</f>
        <v>27.5</v>
      </c>
      <c r="K7" s="4" t="n">
        <f aca="false">Assumptions!K28</f>
        <v>27.5</v>
      </c>
      <c r="L7" s="4" t="n">
        <f aca="false">Assumptions!L28</f>
        <v>27.5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4277.6876375</v>
      </c>
      <c r="D8" s="0" t="n">
        <f aca="false">D6*D7/100</f>
        <v>5012.15853375</v>
      </c>
      <c r="E8" s="0" t="n">
        <f aca="false">E6*E7/100</f>
        <v>5574.6341025375</v>
      </c>
      <c r="F8" s="0" t="n">
        <f aca="false">F6*F7/100</f>
        <v>6008.55708670938</v>
      </c>
      <c r="G8" s="0" t="n">
        <f aca="false">G6*G7/100</f>
        <v>6308.98494104484</v>
      </c>
      <c r="H8" s="0" t="n">
        <f aca="false">H6*H7/100</f>
        <v>6561.34433868664</v>
      </c>
      <c r="I8" s="0" t="n">
        <f aca="false">I6*I7/100</f>
        <v>6790.99139054067</v>
      </c>
      <c r="J8" s="0" t="n">
        <f aca="false">J6*J7/100</f>
        <v>6994.72113225689</v>
      </c>
      <c r="K8" s="0" t="n">
        <f aca="false">K6*K7/100</f>
        <v>7204.5627662246</v>
      </c>
      <c r="L8" s="0" t="n">
        <f aca="false">L6*L7/100</f>
        <v>7384.67683538021</v>
      </c>
    </row>
    <row r="9" customFormat="false" ht="15" hidden="false" customHeight="false" outlineLevel="0" collapsed="false">
      <c r="A9" s="0" t="s">
        <v>100</v>
      </c>
      <c r="C9" s="4" t="n">
        <f aca="false">Assumptions!C29</f>
        <v>0</v>
      </c>
      <c r="D9" s="4" t="n">
        <f aca="false">Assumptions!D29</f>
        <v>0</v>
      </c>
      <c r="E9" s="4" t="n">
        <f aca="false">Assumptions!E29</f>
        <v>0</v>
      </c>
      <c r="F9" s="4" t="n">
        <f aca="false">Assumptions!F29</f>
        <v>0</v>
      </c>
      <c r="G9" s="4" t="n">
        <f aca="false">Assumptions!G29</f>
        <v>0</v>
      </c>
      <c r="H9" s="4" t="n">
        <f aca="false">Assumptions!H29</f>
        <v>0</v>
      </c>
      <c r="I9" s="4" t="n">
        <f aca="false">Assumptions!I29</f>
        <v>0</v>
      </c>
      <c r="J9" s="4" t="n">
        <f aca="false">Assumptions!J29</f>
        <v>0</v>
      </c>
      <c r="K9" s="4" t="n">
        <f aca="false">Assumptions!K29</f>
        <v>0</v>
      </c>
      <c r="L9" s="4" t="n">
        <f aca="false">Assumptions!L29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4196.97655</v>
      </c>
      <c r="D11" s="0" t="n">
        <f aca="false">D8+D10+D24</f>
        <v>4919.340783125</v>
      </c>
      <c r="E11" s="0" t="n">
        <f aca="false">E8+E10+E24</f>
        <v>5472.53457685</v>
      </c>
      <c r="F11" s="0" t="n">
        <f aca="false">F8+F10+F24</f>
        <v>5899.31059422375</v>
      </c>
      <c r="G11" s="0" t="n">
        <f aca="false">G8+G10+G24</f>
        <v>6194.27612393494</v>
      </c>
      <c r="H11" s="0" t="n">
        <f aca="false">H8+H10+H24</f>
        <v>6442.04716889234</v>
      </c>
      <c r="I11" s="0" t="n">
        <f aca="false">I8+I10+I24</f>
        <v>6667.51881980357</v>
      </c>
      <c r="J11" s="0" t="n">
        <f aca="false">J8+J10+J24</f>
        <v>6867.54438439767</v>
      </c>
      <c r="K11" s="0" t="n">
        <f aca="false">K8+K10+K24</f>
        <v>7073.5707159296</v>
      </c>
      <c r="L11" s="0" t="n">
        <f aca="false">L8+L10+L24</f>
        <v>7250.40998382784</v>
      </c>
    </row>
    <row r="12" customFormat="false" ht="15" hidden="false" customHeight="false" outlineLevel="0" collapsed="false">
      <c r="A12" s="0" t="s">
        <v>117</v>
      </c>
      <c r="C12" s="4" t="n">
        <f aca="false">-C6*Assumptions!C31/100</f>
        <v>-145.2799575</v>
      </c>
      <c r="D12" s="4" t="n">
        <f aca="false">-D6*Assumptions!D31/100</f>
        <v>-185.63550125</v>
      </c>
      <c r="E12" s="4" t="n">
        <f aca="false">-E6*Assumptions!E31/100</f>
        <v>-224.6189565125</v>
      </c>
      <c r="F12" s="4" t="n">
        <f aca="false">-F6*Assumptions!F31/100</f>
        <v>-262.1915819655</v>
      </c>
      <c r="G12" s="4" t="n">
        <f aca="false">-G6*Assumptions!G31/100</f>
        <v>-298.242924485756</v>
      </c>
      <c r="H12" s="4" t="n">
        <f aca="false">-H6*Assumptions!H31/100</f>
        <v>-334.032075424047</v>
      </c>
      <c r="I12" s="4" t="n">
        <f aca="false">-I6*Assumptions!I31/100</f>
        <v>-370.417712211309</v>
      </c>
      <c r="J12" s="4" t="n">
        <f aca="false">-J6*Assumptions!J31/100</f>
        <v>-406.965593149492</v>
      </c>
      <c r="K12" s="4" t="n">
        <f aca="false">-K6*Assumptions!K31/100</f>
        <v>-445.372971002975</v>
      </c>
      <c r="L12" s="4" t="n">
        <f aca="false">-L6*Assumptions!L31/100</f>
        <v>-456.507295278049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4051.6965925</v>
      </c>
      <c r="D13" s="0" t="n">
        <f aca="false">D11+D12</f>
        <v>4733.705281875</v>
      </c>
      <c r="E13" s="0" t="n">
        <f aca="false">E11+E12</f>
        <v>5247.9156203375</v>
      </c>
      <c r="F13" s="0" t="n">
        <f aca="false">F11+F12</f>
        <v>5637.11901225825</v>
      </c>
      <c r="G13" s="0" t="n">
        <f aca="false">G11+G12</f>
        <v>5896.03319944918</v>
      </c>
      <c r="H13" s="0" t="n">
        <f aca="false">H11+H12</f>
        <v>6108.01509346829</v>
      </c>
      <c r="I13" s="0" t="n">
        <f aca="false">I11+I12</f>
        <v>6297.10110759226</v>
      </c>
      <c r="J13" s="0" t="n">
        <f aca="false">J11+J12</f>
        <v>6460.57879124818</v>
      </c>
      <c r="K13" s="0" t="n">
        <f aca="false">K11+K12</f>
        <v>6628.19774492663</v>
      </c>
      <c r="L13" s="0" t="n">
        <f aca="false">L11+L12</f>
        <v>6793.90268854979</v>
      </c>
    </row>
    <row r="14" customFormat="false" ht="15" hidden="false" customHeight="false" outlineLevel="0" collapsed="false">
      <c r="A14" s="0" t="s">
        <v>104</v>
      </c>
      <c r="C14" s="4" t="n">
        <f aca="false">Assumptions!C33</f>
        <v>21</v>
      </c>
      <c r="D14" s="4" t="n">
        <f aca="false">Assumptions!D33</f>
        <v>21</v>
      </c>
      <c r="E14" s="4" t="n">
        <f aca="false">Assumptions!E33</f>
        <v>22</v>
      </c>
      <c r="F14" s="4" t="n">
        <f aca="false">Assumptions!F33</f>
        <v>22</v>
      </c>
      <c r="G14" s="4" t="n">
        <f aca="false">Assumptions!G33</f>
        <v>23</v>
      </c>
      <c r="H14" s="4" t="n">
        <f aca="false">Assumptions!H33</f>
        <v>23</v>
      </c>
      <c r="I14" s="4" t="n">
        <f aca="false">Assumptions!I33</f>
        <v>23</v>
      </c>
      <c r="J14" s="4" t="n">
        <f aca="false">Assumptions!J33</f>
        <v>23</v>
      </c>
      <c r="K14" s="4" t="n">
        <f aca="false">Assumptions!K33</f>
        <v>23</v>
      </c>
      <c r="L14" s="4" t="n">
        <f aca="false">Assumptions!L33</f>
        <v>23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3200.840308075</v>
      </c>
      <c r="D15" s="0" t="n">
        <f aca="false">D13-MAX(0,D13)*D14/100</f>
        <v>3739.62717268125</v>
      </c>
      <c r="E15" s="0" t="n">
        <f aca="false">E13-MAX(0,E13)*E14/100</f>
        <v>4093.37418386325</v>
      </c>
      <c r="F15" s="0" t="n">
        <f aca="false">F13-MAX(0,F13)*F14/100</f>
        <v>4396.95282956144</v>
      </c>
      <c r="G15" s="0" t="n">
        <f aca="false">G13-MAX(0,G13)*G14/100</f>
        <v>4539.94556357587</v>
      </c>
      <c r="H15" s="0" t="n">
        <f aca="false">H13-MAX(0,H13)*H14/100</f>
        <v>4703.17162197058</v>
      </c>
      <c r="I15" s="0" t="n">
        <f aca="false">I13-MAX(0,I13)*I14/100</f>
        <v>4848.76785284604</v>
      </c>
      <c r="J15" s="0" t="n">
        <f aca="false">J13-MAX(0,J13)*J14/100</f>
        <v>4974.6456692611</v>
      </c>
      <c r="K15" s="0" t="n">
        <f aca="false">K13-MAX(0,K13)*K14/100</f>
        <v>5103.7122635935</v>
      </c>
      <c r="L15" s="0" t="n">
        <f aca="false">L13-MAX(0,L13)*L14/100</f>
        <v>5231.30507018334</v>
      </c>
    </row>
    <row r="16" customFormat="false" ht="15" hidden="false" customHeight="false" outlineLevel="0" collapsed="false">
      <c r="A16" s="0" t="s">
        <v>120</v>
      </c>
      <c r="C16" s="0" t="n">
        <f aca="false">-C12</f>
        <v>145.2799575</v>
      </c>
      <c r="D16" s="0" t="n">
        <f aca="false">-D12</f>
        <v>185.63550125</v>
      </c>
      <c r="E16" s="0" t="n">
        <f aca="false">-E12</f>
        <v>224.6189565125</v>
      </c>
      <c r="F16" s="0" t="n">
        <f aca="false">-F12</f>
        <v>262.1915819655</v>
      </c>
      <c r="G16" s="0" t="n">
        <f aca="false">-G12</f>
        <v>298.242924485756</v>
      </c>
      <c r="H16" s="0" t="n">
        <f aca="false">-H12</f>
        <v>334.032075424047</v>
      </c>
      <c r="I16" s="0" t="n">
        <f aca="false">-I12</f>
        <v>370.417712211309</v>
      </c>
      <c r="J16" s="0" t="n">
        <f aca="false">-J12</f>
        <v>406.965593149492</v>
      </c>
      <c r="K16" s="0" t="n">
        <f aca="false">-K12</f>
        <v>445.372971002975</v>
      </c>
      <c r="L16" s="0" t="n">
        <f aca="false">-L12</f>
        <v>456.507295278049</v>
      </c>
    </row>
    <row r="17" customFormat="false" ht="15" hidden="false" customHeight="false" outlineLevel="0" collapsed="false">
      <c r="A17" s="0" t="s">
        <v>121</v>
      </c>
      <c r="C17" s="4" t="n">
        <f aca="false">-C6*Assumptions!C32/100</f>
        <v>-403.5554375</v>
      </c>
      <c r="D17" s="4" t="n">
        <f aca="false">-D6*Assumptions!D32/100</f>
        <v>-464.088753125</v>
      </c>
      <c r="E17" s="4" t="n">
        <f aca="false">-E6*Assumptions!E32/100</f>
        <v>-510.4976284375</v>
      </c>
      <c r="F17" s="4" t="n">
        <f aca="false">-F6*Assumptions!F32/100</f>
        <v>-524.383163931</v>
      </c>
      <c r="G17" s="4" t="n">
        <f aca="false">-G6*Assumptions!G32/100</f>
        <v>-527.660558705569</v>
      </c>
      <c r="H17" s="4" t="n">
        <f aca="false">-H6*Assumptions!H32/100</f>
        <v>-524.907547094931</v>
      </c>
      <c r="I17" s="4" t="n">
        <f aca="false">-I6*Assumptions!I32/100</f>
        <v>-543.279311243254</v>
      </c>
      <c r="J17" s="4" t="n">
        <f aca="false">-J6*Assumptions!J32/100</f>
        <v>-559.577690580551</v>
      </c>
      <c r="K17" s="4" t="n">
        <f aca="false">-K6*Assumptions!K32/100</f>
        <v>-576.365021297968</v>
      </c>
      <c r="L17" s="4" t="n">
        <f aca="false">-L6*Assumptions!L32/100</f>
        <v>-590.774146830417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(C6-B6)*Assumptions!$B$37/100</f>
        <v>-161.422175</v>
      </c>
      <c r="D18" s="4" t="n">
        <f aca="false">(D6-C6)*Assumptions!$B$37/100</f>
        <v>-121.06663125</v>
      </c>
      <c r="E18" s="4" t="n">
        <f aca="false">(E6-D6)*Assumptions!$B$37/100</f>
        <v>-92.817750625</v>
      </c>
      <c r="F18" s="4" t="n">
        <f aca="false">(F6-E6)*Assumptions!$B$37/100</f>
        <v>-71.4696679812501</v>
      </c>
      <c r="G18" s="4" t="n">
        <f aca="false">(G6-F6)*Assumptions!$B$37/100</f>
        <v>-54.6232462428126</v>
      </c>
      <c r="H18" s="4" t="n">
        <f aca="false">(H6-G6)*Assumptions!$B$37/100</f>
        <v>-45.8835268439625</v>
      </c>
      <c r="I18" s="4" t="n">
        <f aca="false">(I6-H6)*Assumptions!$B$37/100</f>
        <v>-41.7540094280057</v>
      </c>
      <c r="J18" s="4" t="n">
        <f aca="false">(J6-I6)*Assumptions!$B$37/100</f>
        <v>-37.0417712211309</v>
      </c>
      <c r="K18" s="4" t="n">
        <f aca="false">(K6-J6)*Assumptions!$B$37/100</f>
        <v>-38.1530243577648</v>
      </c>
      <c r="L18" s="4" t="n">
        <f aca="false">(L6-K6)*Assumptions!$B$37/100</f>
        <v>-32.748012573748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2781.142653075</v>
      </c>
      <c r="D19" s="0" t="n">
        <f aca="false">D15+D16+D17+D18</f>
        <v>3340.10728955625</v>
      </c>
      <c r="E19" s="0" t="n">
        <f aca="false">E15+E16+E17+E18</f>
        <v>3714.67776131325</v>
      </c>
      <c r="F19" s="0" t="n">
        <f aca="false">F15+F16+F17+F18</f>
        <v>4063.29157961469</v>
      </c>
      <c r="G19" s="0" t="n">
        <f aca="false">G15+G16+G17+G18</f>
        <v>4255.90468311325</v>
      </c>
      <c r="H19" s="0" t="n">
        <f aca="false">H15+H16+H17+H18</f>
        <v>4466.41262345574</v>
      </c>
      <c r="I19" s="0" t="n">
        <f aca="false">I15+I16+I17+I18</f>
        <v>4634.15224438609</v>
      </c>
      <c r="J19" s="0" t="n">
        <f aca="false">J15+J16+J17+J18</f>
        <v>4784.99180060891</v>
      </c>
      <c r="K19" s="0" t="n">
        <f aca="false">K15+K16+K17+K18</f>
        <v>4934.56718894075</v>
      </c>
      <c r="L19" s="0" t="n">
        <f aca="false">L15+L16+L17+L18</f>
        <v>5064.29020605723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2539.85630417808</v>
      </c>
      <c r="D21" s="0" t="n">
        <f aca="false">D19*D20</f>
        <v>2785.68611126228</v>
      </c>
      <c r="E21" s="0" t="n">
        <f aca="false">E19*E20</f>
        <v>2829.29862348261</v>
      </c>
      <c r="F21" s="0" t="n">
        <f aca="false">F19*F20</f>
        <v>2826.3211697085</v>
      </c>
      <c r="G21" s="0" t="n">
        <f aca="false">G19*G20</f>
        <v>2703.46839551617</v>
      </c>
      <c r="H21" s="0" t="n">
        <f aca="false">H19*H20</f>
        <v>2591.04005751892</v>
      </c>
      <c r="I21" s="0" t="n">
        <f aca="false">I19*I20</f>
        <v>2455.11287150983</v>
      </c>
      <c r="J21" s="0" t="n">
        <f aca="false">J19*J20</f>
        <v>2315.09194820003</v>
      </c>
      <c r="K21" s="0" t="n">
        <f aca="false">K19*K20</f>
        <v>2180.32881344145</v>
      </c>
      <c r="L21" s="0" t="n">
        <f aca="false">L19*L20</f>
        <v>2043.51294390972</v>
      </c>
    </row>
    <row r="23" customFormat="false" ht="15" hidden="false" customHeight="false" outlineLevel="0" collapsed="false">
      <c r="A23" s="0" t="s">
        <v>101</v>
      </c>
      <c r="C23" s="4" t="n">
        <f aca="false">Assumptions!C30</f>
        <v>0.5</v>
      </c>
      <c r="D23" s="4" t="n">
        <f aca="false">Assumptions!D30</f>
        <v>0.5</v>
      </c>
      <c r="E23" s="4" t="n">
        <f aca="false">Assumptions!E30</f>
        <v>0.5</v>
      </c>
      <c r="F23" s="4" t="n">
        <f aca="false">Assumptions!F30</f>
        <v>0.5</v>
      </c>
      <c r="G23" s="4" t="n">
        <f aca="false">Assumptions!G30</f>
        <v>0.5</v>
      </c>
      <c r="H23" s="4" t="n">
        <f aca="false">Assumptions!H30</f>
        <v>0.5</v>
      </c>
      <c r="I23" s="4" t="n">
        <f aca="false">Assumptions!I30</f>
        <v>0.5</v>
      </c>
      <c r="J23" s="4" t="n">
        <f aca="false">Assumptions!J30</f>
        <v>0.5</v>
      </c>
      <c r="K23" s="4" t="n">
        <f aca="false">Assumptions!K30</f>
        <v>0.5</v>
      </c>
      <c r="L23" s="4" t="n">
        <f aca="false">Assumptions!L30</f>
        <v>0.5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-80.7110875</v>
      </c>
      <c r="D24" s="0" t="n">
        <f aca="false">-D6*D23/100</f>
        <v>-92.817750625</v>
      </c>
      <c r="E24" s="0" t="n">
        <f aca="false">-E6*E23/100</f>
        <v>-102.0995256875</v>
      </c>
      <c r="F24" s="0" t="n">
        <f aca="false">-F6*F23/100</f>
        <v>-109.246492485625</v>
      </c>
      <c r="G24" s="0" t="n">
        <f aca="false">-G6*G23/100</f>
        <v>-114.708817109906</v>
      </c>
      <c r="H24" s="0" t="n">
        <f aca="false">-H6*H23/100</f>
        <v>-119.297169794303</v>
      </c>
      <c r="I24" s="0" t="n">
        <f aca="false">-I6*I23/100</f>
        <v>-123.472570737103</v>
      </c>
      <c r="J24" s="0" t="n">
        <f aca="false">-J6*J23/100</f>
        <v>-127.176747859216</v>
      </c>
      <c r="K24" s="0" t="n">
        <f aca="false">-K6*K23/100</f>
        <v>-130.992050294993</v>
      </c>
      <c r="L24" s="0" t="n">
        <f aca="false">-L6*L23/100</f>
        <v>-134.266851552367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Assumptions!$B$34</f>
        <v>9.5</v>
      </c>
    </row>
    <row r="28" customFormat="false" ht="15" hidden="false" customHeight="false" outlineLevel="0" collapsed="false">
      <c r="A28" s="0" t="s">
        <v>106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Assumptions!$B$36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25269.7172387276</v>
      </c>
    </row>
    <row r="31" customFormat="false" ht="15" hidden="false" customHeight="false" outlineLevel="0" collapsed="false">
      <c r="A31" s="0" t="s">
        <v>129</v>
      </c>
      <c r="B31" s="0" t="n">
        <f aca="false">L19</f>
        <v>5064.29020605723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74155.6780172665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75964.3530908584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74155.6780172665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29922.8681072494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55192.585345977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59164.313345977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29.6694651895729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0.386423606989386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29.6694651895729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41527.1796896693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17.0271297105511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0" t="s">
        <v>113</v>
      </c>
      <c r="B3" s="0" t="s">
        <v>74</v>
      </c>
      <c r="C3" s="2" t="s">
        <v>88</v>
      </c>
      <c r="D3" s="2" t="s">
        <v>89</v>
      </c>
      <c r="E3" s="2" t="s">
        <v>90</v>
      </c>
      <c r="F3" s="2" t="s">
        <v>91</v>
      </c>
      <c r="G3" s="2" t="s">
        <v>92</v>
      </c>
      <c r="H3" s="2" t="s">
        <v>93</v>
      </c>
      <c r="I3" s="2" t="s">
        <v>94</v>
      </c>
      <c r="J3" s="2" t="s">
        <v>95</v>
      </c>
      <c r="K3" s="2" t="s">
        <v>96</v>
      </c>
      <c r="L3" s="2" t="s">
        <v>97</v>
      </c>
    </row>
    <row r="4" customFormat="false" ht="15" hidden="false" customHeight="false" outlineLevel="0" collapsed="false">
      <c r="A4" s="0" t="s">
        <v>114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98</v>
      </c>
      <c r="C5" s="4" t="n">
        <f aca="false">Assumptions!C41</f>
        <v>28</v>
      </c>
      <c r="D5" s="4" t="n">
        <f aca="false">Assumptions!D41</f>
        <v>20</v>
      </c>
      <c r="E5" s="4" t="n">
        <f aca="false">Assumptions!E41</f>
        <v>15</v>
      </c>
      <c r="F5" s="4" t="n">
        <f aca="false">Assumptions!F41</f>
        <v>11</v>
      </c>
      <c r="G5" s="4" t="n">
        <f aca="false">Assumptions!G41</f>
        <v>8</v>
      </c>
      <c r="H5" s="4" t="n">
        <f aca="false">Assumptions!H41</f>
        <v>6</v>
      </c>
      <c r="I5" s="4" t="n">
        <f aca="false">Assumptions!I41</f>
        <v>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12913.774</v>
      </c>
      <c r="C6" s="0" t="n">
        <f aca="false">B6*(1+C5/100)</f>
        <v>16529.63072</v>
      </c>
      <c r="D6" s="0" t="n">
        <f aca="false">C6*(1+D5/100)</f>
        <v>19835.556864</v>
      </c>
      <c r="E6" s="0" t="n">
        <f aca="false">D6*(1+E5/100)</f>
        <v>22810.8903936</v>
      </c>
      <c r="F6" s="0" t="n">
        <f aca="false">E6*(1+F5/100)</f>
        <v>25320.088336896</v>
      </c>
      <c r="G6" s="0" t="n">
        <f aca="false">F6*(1+G5/100)</f>
        <v>27345.6954038477</v>
      </c>
      <c r="H6" s="0" t="n">
        <f aca="false">G6*(1+H5/100)</f>
        <v>28986.4371280785</v>
      </c>
      <c r="I6" s="0" t="n">
        <f aca="false">H6*(1+I5/100)</f>
        <v>30435.7589844825</v>
      </c>
      <c r="J6" s="0" t="n">
        <f aca="false">I6*(1+J5/100)</f>
        <v>31653.1893438618</v>
      </c>
      <c r="K6" s="0" t="n">
        <f aca="false">J6*(1+K5/100)</f>
        <v>32761.0509708969</v>
      </c>
      <c r="L6" s="0" t="n">
        <f aca="false">K6*(1+L5/100)</f>
        <v>33743.8825000238</v>
      </c>
    </row>
    <row r="7" customFormat="false" ht="15" hidden="false" customHeight="false" outlineLevel="0" collapsed="false">
      <c r="A7" s="0" t="s">
        <v>99</v>
      </c>
      <c r="C7" s="4" t="n">
        <f aca="false">Assumptions!C42</f>
        <v>27</v>
      </c>
      <c r="D7" s="4" t="n">
        <f aca="false">Assumptions!D42</f>
        <v>28</v>
      </c>
      <c r="E7" s="4" t="n">
        <f aca="false">Assumptions!E42</f>
        <v>28.5</v>
      </c>
      <c r="F7" s="4" t="n">
        <f aca="false">Assumptions!F42</f>
        <v>29</v>
      </c>
      <c r="G7" s="4" t="n">
        <f aca="false">Assumptions!G42</f>
        <v>29.3</v>
      </c>
      <c r="H7" s="4" t="n">
        <f aca="false">Assumptions!H42</f>
        <v>29.5</v>
      </c>
      <c r="I7" s="4" t="n">
        <f aca="false">Assumptions!I42</f>
        <v>29.5</v>
      </c>
      <c r="J7" s="4" t="n">
        <f aca="false">Assumptions!J42</f>
        <v>29.5</v>
      </c>
      <c r="K7" s="4" t="n">
        <f aca="false">Assumptions!K42</f>
        <v>29.5</v>
      </c>
      <c r="L7" s="4" t="n">
        <f aca="false">Assumptions!L42</f>
        <v>29.5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4463.0002944</v>
      </c>
      <c r="D8" s="0" t="n">
        <f aca="false">D6*D7/100</f>
        <v>5553.95592192</v>
      </c>
      <c r="E8" s="0" t="n">
        <f aca="false">E6*E7/100</f>
        <v>6501.103762176</v>
      </c>
      <c r="F8" s="0" t="n">
        <f aca="false">F6*F7/100</f>
        <v>7342.82561769984</v>
      </c>
      <c r="G8" s="0" t="n">
        <f aca="false">G6*G7/100</f>
        <v>8012.28875332737</v>
      </c>
      <c r="H8" s="0" t="n">
        <f aca="false">H6*H7/100</f>
        <v>8550.99895278317</v>
      </c>
      <c r="I8" s="0" t="n">
        <f aca="false">I6*I7/100</f>
        <v>8978.54890042233</v>
      </c>
      <c r="J8" s="0" t="n">
        <f aca="false">J6*J7/100</f>
        <v>9337.69085643922</v>
      </c>
      <c r="K8" s="0" t="n">
        <f aca="false">K6*K7/100</f>
        <v>9664.5100364146</v>
      </c>
      <c r="L8" s="0" t="n">
        <f aca="false">L6*L7/100</f>
        <v>9954.44533750703</v>
      </c>
    </row>
    <row r="9" customFormat="false" ht="15" hidden="false" customHeight="false" outlineLevel="0" collapsed="false">
      <c r="A9" s="0" t="s">
        <v>100</v>
      </c>
      <c r="C9" s="4" t="n">
        <f aca="false">Assumptions!C43</f>
        <v>0</v>
      </c>
      <c r="D9" s="4" t="n">
        <f aca="false">Assumptions!D43</f>
        <v>0</v>
      </c>
      <c r="E9" s="4" t="n">
        <f aca="false">Assumptions!E43</f>
        <v>0</v>
      </c>
      <c r="F9" s="4" t="n">
        <f aca="false">Assumptions!F43</f>
        <v>0</v>
      </c>
      <c r="G9" s="4" t="n">
        <f aca="false">Assumptions!G43</f>
        <v>0</v>
      </c>
      <c r="H9" s="4" t="n">
        <f aca="false">Assumptions!H43</f>
        <v>0</v>
      </c>
      <c r="I9" s="4" t="n">
        <f aca="false">Assumptions!I43</f>
        <v>0</v>
      </c>
      <c r="J9" s="4" t="n">
        <f aca="false">Assumptions!J43</f>
        <v>0</v>
      </c>
      <c r="K9" s="4" t="n">
        <f aca="false">Assumptions!K43</f>
        <v>0</v>
      </c>
      <c r="L9" s="4" t="n">
        <f aca="false">Assumptions!L43</f>
        <v>0</v>
      </c>
    </row>
    <row r="10" customFormat="false" ht="15" hidden="false" customHeight="false" outlineLevel="0" collapsed="false">
      <c r="A10" s="0" t="s">
        <v>115</v>
      </c>
      <c r="C10" s="0" t="n">
        <f aca="false">-C6*C9/100</f>
        <v>-0</v>
      </c>
      <c r="D10" s="0" t="n">
        <f aca="false">-D6*D9/100</f>
        <v>-0</v>
      </c>
      <c r="E10" s="0" t="n">
        <f aca="false">-E6*E9/100</f>
        <v>-0</v>
      </c>
      <c r="F10" s="0" t="n">
        <f aca="false">-F6*F9/100</f>
        <v>-0</v>
      </c>
      <c r="G10" s="0" t="n">
        <f aca="false">-G6*G9/100</f>
        <v>-0</v>
      </c>
      <c r="H10" s="0" t="n">
        <f aca="false">-H6*H9/100</f>
        <v>-0</v>
      </c>
      <c r="I10" s="0" t="n">
        <f aca="false">-I6*I9/100</f>
        <v>-0</v>
      </c>
      <c r="J10" s="0" t="n">
        <f aca="false">-J6*J9/100</f>
        <v>-0</v>
      </c>
      <c r="K10" s="0" t="n">
        <f aca="false">-K6*K9/100</f>
        <v>-0</v>
      </c>
      <c r="L10" s="0" t="n">
        <f aca="false">-L6*L9/100</f>
        <v>-0</v>
      </c>
    </row>
    <row r="11" customFormat="false" ht="15" hidden="false" customHeight="false" outlineLevel="0" collapsed="false">
      <c r="A11" s="0" t="s">
        <v>116</v>
      </c>
      <c r="C11" s="0" t="n">
        <f aca="false">C8+C10+C24</f>
        <v>4380.3521408</v>
      </c>
      <c r="D11" s="0" t="n">
        <f aca="false">D8+D10+D24</f>
        <v>5454.7781376</v>
      </c>
      <c r="E11" s="0" t="n">
        <f aca="false">E8+E10+E24</f>
        <v>6387.049310208</v>
      </c>
      <c r="F11" s="0" t="n">
        <f aca="false">F8+F10+F24</f>
        <v>7216.22517601536</v>
      </c>
      <c r="G11" s="0" t="n">
        <f aca="false">G8+G10+G24</f>
        <v>7875.56027630813</v>
      </c>
      <c r="H11" s="0" t="n">
        <f aca="false">H8+H10+H24</f>
        <v>8406.06676714278</v>
      </c>
      <c r="I11" s="0" t="n">
        <f aca="false">I8+I10+I24</f>
        <v>8826.37010549992</v>
      </c>
      <c r="J11" s="0" t="n">
        <f aca="false">J8+J10+J24</f>
        <v>9179.42490971992</v>
      </c>
      <c r="K11" s="0" t="n">
        <f aca="false">K8+K10+K24</f>
        <v>9500.70478156011</v>
      </c>
      <c r="L11" s="0" t="n">
        <f aca="false">L8+L10+L24</f>
        <v>9785.72592500692</v>
      </c>
    </row>
    <row r="12" customFormat="false" ht="15" hidden="false" customHeight="false" outlineLevel="0" collapsed="false">
      <c r="A12" s="0" t="s">
        <v>117</v>
      </c>
      <c r="C12" s="4" t="n">
        <f aca="false">-C6*Assumptions!C45/100</f>
        <v>-148.76667648</v>
      </c>
      <c r="D12" s="4" t="n">
        <f aca="false">-D6*Assumptions!D45/100</f>
        <v>-198.35556864</v>
      </c>
      <c r="E12" s="4" t="n">
        <f aca="false">-E6*Assumptions!E45/100</f>
        <v>-250.9197943296</v>
      </c>
      <c r="F12" s="4" t="n">
        <f aca="false">-F6*Assumptions!F45/100</f>
        <v>-303.841060042752</v>
      </c>
      <c r="G12" s="4" t="n">
        <f aca="false">-G6*Assumptions!G45/100</f>
        <v>-355.49404025002</v>
      </c>
      <c r="H12" s="4" t="n">
        <f aca="false">-H6*Assumptions!H45/100</f>
        <v>-405.8101197931</v>
      </c>
      <c r="I12" s="4" t="n">
        <f aca="false">-I6*Assumptions!I45/100</f>
        <v>-456.536384767237</v>
      </c>
      <c r="J12" s="4" t="n">
        <f aca="false">-J6*Assumptions!J45/100</f>
        <v>-506.451029501788</v>
      </c>
      <c r="K12" s="4" t="n">
        <f aca="false">-K6*Assumptions!K45/100</f>
        <v>-556.937866505248</v>
      </c>
      <c r="L12" s="4" t="n">
        <f aca="false">-L6*Assumptions!L45/100</f>
        <v>-573.646002500405</v>
      </c>
    </row>
    <row r="13" customFormat="false" ht="15" hidden="false" customHeight="false" outlineLevel="0" collapsed="false">
      <c r="A13" s="0" t="s">
        <v>118</v>
      </c>
      <c r="C13" s="0" t="n">
        <f aca="false">C11+C12</f>
        <v>4231.58546432</v>
      </c>
      <c r="D13" s="0" t="n">
        <f aca="false">D11+D12</f>
        <v>5256.42256896</v>
      </c>
      <c r="E13" s="0" t="n">
        <f aca="false">E11+E12</f>
        <v>6136.1295158784</v>
      </c>
      <c r="F13" s="0" t="n">
        <f aca="false">F11+F12</f>
        <v>6912.38411597261</v>
      </c>
      <c r="G13" s="0" t="n">
        <f aca="false">G11+G12</f>
        <v>7520.06623605811</v>
      </c>
      <c r="H13" s="0" t="n">
        <f aca="false">H11+H12</f>
        <v>8000.25664734968</v>
      </c>
      <c r="I13" s="0" t="n">
        <f aca="false">I11+I12</f>
        <v>8369.83372073268</v>
      </c>
      <c r="J13" s="0" t="n">
        <f aca="false">J11+J12</f>
        <v>8672.97388021813</v>
      </c>
      <c r="K13" s="0" t="n">
        <f aca="false">K11+K12</f>
        <v>8943.76691505486</v>
      </c>
      <c r="L13" s="0" t="n">
        <f aca="false">L11+L12</f>
        <v>9212.07992250651</v>
      </c>
    </row>
    <row r="14" customFormat="false" ht="15" hidden="false" customHeight="false" outlineLevel="0" collapsed="false">
      <c r="A14" s="0" t="s">
        <v>104</v>
      </c>
      <c r="C14" s="4" t="n">
        <f aca="false">Assumptions!C47</f>
        <v>21</v>
      </c>
      <c r="D14" s="4" t="n">
        <f aca="false">Assumptions!D47</f>
        <v>21</v>
      </c>
      <c r="E14" s="4" t="n">
        <f aca="false">Assumptions!E47</f>
        <v>21</v>
      </c>
      <c r="F14" s="4" t="n">
        <f aca="false">Assumptions!F47</f>
        <v>22</v>
      </c>
      <c r="G14" s="4" t="n">
        <f aca="false">Assumptions!G47</f>
        <v>22</v>
      </c>
      <c r="H14" s="4" t="n">
        <f aca="false">Assumptions!H47</f>
        <v>22</v>
      </c>
      <c r="I14" s="4" t="n">
        <f aca="false">Assumptions!I47</f>
        <v>22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119</v>
      </c>
      <c r="C15" s="0" t="n">
        <f aca="false">C13-MAX(0,C13)*C14/100</f>
        <v>3342.9525168128</v>
      </c>
      <c r="D15" s="0" t="n">
        <f aca="false">D13-MAX(0,D13)*D14/100</f>
        <v>4152.5738294784</v>
      </c>
      <c r="E15" s="0" t="n">
        <f aca="false">E13-MAX(0,E13)*E14/100</f>
        <v>4847.54231754394</v>
      </c>
      <c r="F15" s="0" t="n">
        <f aca="false">F13-MAX(0,F13)*F14/100</f>
        <v>5391.65961045864</v>
      </c>
      <c r="G15" s="0" t="n">
        <f aca="false">G13-MAX(0,G13)*G14/100</f>
        <v>5865.65166412533</v>
      </c>
      <c r="H15" s="0" t="n">
        <f aca="false">H13-MAX(0,H13)*H14/100</f>
        <v>6240.20018493275</v>
      </c>
      <c r="I15" s="0" t="n">
        <f aca="false">I13-MAX(0,I13)*I14/100</f>
        <v>6528.47030217149</v>
      </c>
      <c r="J15" s="0" t="n">
        <f aca="false">J13-MAX(0,J13)*J14/100</f>
        <v>6764.91962657014</v>
      </c>
      <c r="K15" s="0" t="n">
        <f aca="false">K13-MAX(0,K13)*K14/100</f>
        <v>6976.13819374279</v>
      </c>
      <c r="L15" s="0" t="n">
        <f aca="false">L13-MAX(0,L13)*L14/100</f>
        <v>7185.42233955508</v>
      </c>
    </row>
    <row r="16" customFormat="false" ht="15" hidden="false" customHeight="false" outlineLevel="0" collapsed="false">
      <c r="A16" s="0" t="s">
        <v>120</v>
      </c>
      <c r="C16" s="0" t="n">
        <f aca="false">-C12</f>
        <v>148.76667648</v>
      </c>
      <c r="D16" s="0" t="n">
        <f aca="false">-D12</f>
        <v>198.35556864</v>
      </c>
      <c r="E16" s="0" t="n">
        <f aca="false">-E12</f>
        <v>250.9197943296</v>
      </c>
      <c r="F16" s="0" t="n">
        <f aca="false">-F12</f>
        <v>303.841060042752</v>
      </c>
      <c r="G16" s="0" t="n">
        <f aca="false">-G12</f>
        <v>355.49404025002</v>
      </c>
      <c r="H16" s="0" t="n">
        <f aca="false">-H12</f>
        <v>405.8101197931</v>
      </c>
      <c r="I16" s="0" t="n">
        <f aca="false">-I12</f>
        <v>456.536384767237</v>
      </c>
      <c r="J16" s="0" t="n">
        <f aca="false">-J12</f>
        <v>506.451029501788</v>
      </c>
      <c r="K16" s="0" t="n">
        <f aca="false">-K12</f>
        <v>556.937866505248</v>
      </c>
      <c r="L16" s="0" t="n">
        <f aca="false">-L12</f>
        <v>573.646002500405</v>
      </c>
    </row>
    <row r="17" customFormat="false" ht="15" hidden="false" customHeight="false" outlineLevel="0" collapsed="false">
      <c r="A17" s="0" t="s">
        <v>121</v>
      </c>
      <c r="C17" s="4" t="n">
        <f aca="false">-C6*Assumptions!C46/100</f>
        <v>-495.8889216</v>
      </c>
      <c r="D17" s="4" t="n">
        <f aca="false">-D6*Assumptions!D46/100</f>
        <v>-595.06670592</v>
      </c>
      <c r="E17" s="4" t="n">
        <f aca="false">-E6*Assumptions!E46/100</f>
        <v>-638.7049310208</v>
      </c>
      <c r="F17" s="4" t="n">
        <f aca="false">-F6*Assumptions!F46/100</f>
        <v>-658.322296759296</v>
      </c>
      <c r="G17" s="4" t="n">
        <f aca="false">-G6*Assumptions!G46/100</f>
        <v>-683.642385096192</v>
      </c>
      <c r="H17" s="4" t="n">
        <f aca="false">-H6*Assumptions!H46/100</f>
        <v>-695.674491073885</v>
      </c>
      <c r="I17" s="4" t="n">
        <f aca="false">-I6*Assumptions!I46/100</f>
        <v>-700.022456643097</v>
      </c>
      <c r="J17" s="4" t="n">
        <f aca="false">-J6*Assumptions!J46/100</f>
        <v>-728.023354908821</v>
      </c>
      <c r="K17" s="4" t="n">
        <f aca="false">-K6*Assumptions!K46/100</f>
        <v>-753.504172330629</v>
      </c>
      <c r="L17" s="4" t="n">
        <f aca="false">-L6*Assumptions!L46/100</f>
        <v>-776.109297500548</v>
      </c>
    </row>
    <row r="18" customFormat="false" ht="15" hidden="false" customHeight="false" outlineLevel="0" collapsed="false">
      <c r="A18" s="0" t="s">
        <v>122</v>
      </c>
      <c r="C18" s="4" t="n">
        <f aca="false">(C6-B6)*Assumptions!$B$51/100</f>
        <v>-180.792836</v>
      </c>
      <c r="D18" s="4" t="n">
        <f aca="false">(D6-C6)*Assumptions!$B$51/100</f>
        <v>-165.2963072</v>
      </c>
      <c r="E18" s="4" t="n">
        <f aca="false">(E6-D6)*Assumptions!$B$51/100</f>
        <v>-148.76667648</v>
      </c>
      <c r="F18" s="4" t="n">
        <f aca="false">(F6-E6)*Assumptions!$B$51/100</f>
        <v>-125.4598971648</v>
      </c>
      <c r="G18" s="4" t="n">
        <f aca="false">(G6-F6)*Assumptions!$B$51/100</f>
        <v>-101.280353347584</v>
      </c>
      <c r="H18" s="4" t="n">
        <f aca="false">(H6-G6)*Assumptions!$B$51/100</f>
        <v>-82.0370862115431</v>
      </c>
      <c r="I18" s="4" t="n">
        <f aca="false">(I6-H6)*Assumptions!$B$51/100</f>
        <v>-72.4660928201964</v>
      </c>
      <c r="J18" s="4" t="n">
        <f aca="false">(J6-I6)*Assumptions!$B$51/100</f>
        <v>-60.8715179689651</v>
      </c>
      <c r="K18" s="4" t="n">
        <f aca="false">(K6-J6)*Assumptions!$B$51/100</f>
        <v>-55.393081351758</v>
      </c>
      <c r="L18" s="4" t="n">
        <f aca="false">(L6-K6)*Assumptions!$B$51/100</f>
        <v>-49.1415764563455</v>
      </c>
    </row>
    <row r="19" customFormat="false" ht="15" hidden="false" customHeight="false" outlineLevel="0" collapsed="false">
      <c r="A19" s="0" t="s">
        <v>123</v>
      </c>
      <c r="C19" s="0" t="n">
        <f aca="false">C15+C16+C17+C18</f>
        <v>2815.0374356928</v>
      </c>
      <c r="D19" s="0" t="n">
        <f aca="false">D15+D16+D17+D18</f>
        <v>3590.5663849984</v>
      </c>
      <c r="E19" s="0" t="n">
        <f aca="false">E15+E16+E17+E18</f>
        <v>4310.99050437274</v>
      </c>
      <c r="F19" s="0" t="n">
        <f aca="false">F15+F16+F17+F18</f>
        <v>4911.71847657729</v>
      </c>
      <c r="G19" s="0" t="n">
        <f aca="false">G15+G16+G17+G18</f>
        <v>5436.22296593157</v>
      </c>
      <c r="H19" s="0" t="n">
        <f aca="false">H15+H16+H17+H18</f>
        <v>5868.29872744042</v>
      </c>
      <c r="I19" s="0" t="n">
        <f aca="false">I15+I16+I17+I18</f>
        <v>6212.51813747543</v>
      </c>
      <c r="J19" s="0" t="n">
        <f aca="false">J15+J16+J17+J18</f>
        <v>6482.47578319414</v>
      </c>
      <c r="K19" s="0" t="n">
        <f aca="false">K15+K16+K17+K18</f>
        <v>6724.17880656565</v>
      </c>
      <c r="L19" s="0" t="n">
        <f aca="false">L15+L16+L17+L18</f>
        <v>6933.81746809859</v>
      </c>
    </row>
    <row r="20" customFormat="false" ht="15" hidden="false" customHeight="false" outlineLevel="0" collapsed="false">
      <c r="A20" s="0" t="s">
        <v>124</v>
      </c>
      <c r="C20" s="0" t="n">
        <f aca="false">1/(1+$B$27/100)^C4</f>
        <v>0.91324200913242</v>
      </c>
      <c r="D20" s="0" t="n">
        <f aca="false">1/(1+$B$27/100)^D4</f>
        <v>0.834010967244219</v>
      </c>
      <c r="E20" s="0" t="n">
        <f aca="false">1/(1+$B$27/100)^E4</f>
        <v>0.761653851364584</v>
      </c>
      <c r="F20" s="0" t="n">
        <f aca="false">1/(1+$B$27/100)^F4</f>
        <v>0.695574293483638</v>
      </c>
      <c r="G20" s="0" t="n">
        <f aca="false">1/(1+$B$27/100)^G4</f>
        <v>0.635227665281862</v>
      </c>
      <c r="H20" s="0" t="n">
        <f aca="false">1/(1+$B$27/100)^H4</f>
        <v>0.580116589298504</v>
      </c>
      <c r="I20" s="0" t="n">
        <f aca="false">1/(1+$B$27/100)^I4</f>
        <v>0.529786839542012</v>
      </c>
      <c r="J20" s="0" t="n">
        <f aca="false">1/(1+$B$27/100)^J4</f>
        <v>0.483823597755263</v>
      </c>
      <c r="K20" s="0" t="n">
        <f aca="false">1/(1+$B$27/100)^K4</f>
        <v>0.441848034479692</v>
      </c>
      <c r="L20" s="0" t="n">
        <f aca="false">1/(1+$B$27/100)^L4</f>
        <v>0.403514186739445</v>
      </c>
    </row>
    <row r="21" customFormat="false" ht="15" hidden="false" customHeight="false" outlineLevel="0" collapsed="false">
      <c r="A21" s="0" t="s">
        <v>125</v>
      </c>
      <c r="C21" s="0" t="n">
        <f aca="false">C19*C20</f>
        <v>2570.81044355507</v>
      </c>
      <c r="D21" s="0" t="n">
        <f aca="false">D19*D20</f>
        <v>2994.5717437071</v>
      </c>
      <c r="E21" s="0" t="n">
        <f aca="false">E19*E20</f>
        <v>3283.48252085164</v>
      </c>
      <c r="F21" s="0" t="n">
        <f aca="false">F19*F20</f>
        <v>3416.46510913578</v>
      </c>
      <c r="G21" s="0" t="n">
        <f aca="false">G19*G20</f>
        <v>3453.23922260035</v>
      </c>
      <c r="H21" s="0" t="n">
        <f aca="false">H19*H20</f>
        <v>3404.29744274749</v>
      </c>
      <c r="I21" s="0" t="n">
        <f aca="false">I19*I20</f>
        <v>3291.31034965054</v>
      </c>
      <c r="J21" s="0" t="n">
        <f aca="false">J19*J20</f>
        <v>3136.37475578635</v>
      </c>
      <c r="K21" s="0" t="n">
        <f aca="false">K19*K20</f>
        <v>2971.06518917103</v>
      </c>
      <c r="L21" s="0" t="n">
        <f aca="false">L19*L20</f>
        <v>2797.89371663956</v>
      </c>
    </row>
    <row r="23" customFormat="false" ht="15" hidden="false" customHeight="false" outlineLevel="0" collapsed="false">
      <c r="A23" s="0" t="s">
        <v>101</v>
      </c>
      <c r="C23" s="4" t="n">
        <f aca="false">Assumptions!C44</f>
        <v>0.5</v>
      </c>
      <c r="D23" s="4" t="n">
        <f aca="false">Assumptions!D44</f>
        <v>0.5</v>
      </c>
      <c r="E23" s="4" t="n">
        <f aca="false">Assumptions!E44</f>
        <v>0.5</v>
      </c>
      <c r="F23" s="4" t="n">
        <f aca="false">Assumptions!F44</f>
        <v>0.5</v>
      </c>
      <c r="G23" s="4" t="n">
        <f aca="false">Assumptions!G44</f>
        <v>0.5</v>
      </c>
      <c r="H23" s="4" t="n">
        <f aca="false">Assumptions!H44</f>
        <v>0.5</v>
      </c>
      <c r="I23" s="4" t="n">
        <f aca="false">Assumptions!I44</f>
        <v>0.5</v>
      </c>
      <c r="J23" s="4" t="n">
        <f aca="false">Assumptions!J44</f>
        <v>0.5</v>
      </c>
      <c r="K23" s="4" t="n">
        <f aca="false">Assumptions!K44</f>
        <v>0.5</v>
      </c>
      <c r="L23" s="4" t="n">
        <f aca="false">Assumptions!L44</f>
        <v>0.5</v>
      </c>
    </row>
    <row r="24" customFormat="false" ht="15" hidden="false" customHeight="false" outlineLevel="0" collapsed="false">
      <c r="A24" s="0" t="s">
        <v>126</v>
      </c>
      <c r="C24" s="0" t="n">
        <f aca="false">-C6*C23/100</f>
        <v>-82.6481536</v>
      </c>
      <c r="D24" s="0" t="n">
        <f aca="false">-D6*D23/100</f>
        <v>-99.17778432</v>
      </c>
      <c r="E24" s="0" t="n">
        <f aca="false">-E6*E23/100</f>
        <v>-114.054451968</v>
      </c>
      <c r="F24" s="0" t="n">
        <f aca="false">-F6*F23/100</f>
        <v>-126.60044168448</v>
      </c>
      <c r="G24" s="0" t="n">
        <f aca="false">-G6*G23/100</f>
        <v>-136.728477019238</v>
      </c>
      <c r="H24" s="0" t="n">
        <f aca="false">-H6*H23/100</f>
        <v>-144.932185640393</v>
      </c>
      <c r="I24" s="0" t="n">
        <f aca="false">-I6*I23/100</f>
        <v>-152.178794922412</v>
      </c>
      <c r="J24" s="0" t="n">
        <f aca="false">-J6*J23/100</f>
        <v>-158.265946719309</v>
      </c>
      <c r="K24" s="0" t="n">
        <f aca="false">-K6*K23/100</f>
        <v>-163.805254854485</v>
      </c>
      <c r="L24" s="0" t="n">
        <f aca="false">-L6*L23/100</f>
        <v>-168.719412500119</v>
      </c>
    </row>
    <row r="26" customFormat="false" ht="15" hidden="false" customHeight="false" outlineLevel="0" collapsed="false">
      <c r="A26" s="2" t="s">
        <v>127</v>
      </c>
    </row>
    <row r="27" customFormat="false" ht="15" hidden="false" customHeight="false" outlineLevel="0" collapsed="false">
      <c r="A27" s="0" t="s">
        <v>105</v>
      </c>
      <c r="B27" s="4" t="n">
        <f aca="false">Assumptions!$B$48</f>
        <v>9.5</v>
      </c>
    </row>
    <row r="28" customFormat="false" ht="15" hidden="false" customHeight="false" outlineLevel="0" collapsed="false">
      <c r="A28" s="0" t="s">
        <v>106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107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128</v>
      </c>
      <c r="B30" s="0" t="n">
        <f aca="false">SUM(C21:L21)</f>
        <v>31319.5104938449</v>
      </c>
    </row>
    <row r="31" customFormat="false" ht="15" hidden="false" customHeight="false" outlineLevel="0" collapsed="false">
      <c r="A31" s="0" t="s">
        <v>129</v>
      </c>
      <c r="B31" s="0" t="n">
        <f aca="false">L19</f>
        <v>6933.81746809859</v>
      </c>
    </row>
    <row r="32" customFormat="false" ht="15" hidden="false" customHeight="false" outlineLevel="0" collapsed="false">
      <c r="A32" s="0" t="s">
        <v>130</v>
      </c>
      <c r="B32" s="0" t="n">
        <f aca="false">IF(B27&gt;B28,B31*(1+B28/100)/((B27-B28)/100),B31*B29)</f>
        <v>101530.898640015</v>
      </c>
    </row>
    <row r="33" customFormat="false" ht="15" hidden="false" customHeight="false" outlineLevel="0" collapsed="false">
      <c r="A33" s="0" t="s">
        <v>131</v>
      </c>
      <c r="B33" s="0" t="n">
        <f aca="false">B31*B29</f>
        <v>104007.262021479</v>
      </c>
    </row>
    <row r="34" customFormat="false" ht="15" hidden="false" customHeight="false" outlineLevel="0" collapsed="false">
      <c r="A34" s="0" t="s">
        <v>132</v>
      </c>
      <c r="B34" s="0" t="n">
        <f aca="false">MAX(0,MIN(B32,B33))</f>
        <v>101530.898640015</v>
      </c>
    </row>
    <row r="35" customFormat="false" ht="15" hidden="false" customHeight="false" outlineLevel="0" collapsed="false">
      <c r="A35" s="0" t="s">
        <v>133</v>
      </c>
      <c r="B35" s="0" t="n">
        <f aca="false">B34/(1+B27/100)^L4</f>
        <v>40969.1579936506</v>
      </c>
    </row>
    <row r="36" customFormat="false" ht="15" hidden="false" customHeight="false" outlineLevel="0" collapsed="false">
      <c r="A36" s="0" t="s">
        <v>134</v>
      </c>
      <c r="B36" s="0" t="n">
        <f aca="false">B30+B35</f>
        <v>72288.6684874956</v>
      </c>
    </row>
    <row r="37" customFormat="false" ht="15" hidden="false" customHeight="false" outlineLevel="0" collapsed="false">
      <c r="A37" s="0" t="s">
        <v>135</v>
      </c>
      <c r="B37" s="0" t="n">
        <f aca="false">B36+Assumptions!$B$5-Assumptions!$B$4</f>
        <v>76260.3964874956</v>
      </c>
    </row>
    <row r="38" customFormat="false" ht="15" hidden="false" customHeight="false" outlineLevel="0" collapsed="false">
      <c r="A38" s="0" t="s">
        <v>136</v>
      </c>
      <c r="B38" s="0" t="n">
        <f aca="false">B37/Assumptions!$B$3*Assumptions!$B$10</f>
        <v>38.2427353749154</v>
      </c>
    </row>
    <row r="39" customFormat="false" ht="15" hidden="false" customHeight="false" outlineLevel="0" collapsed="false">
      <c r="A39" s="0" t="s">
        <v>137</v>
      </c>
      <c r="B39" s="4" t="n">
        <f aca="false">B38/Assumptions!$B$2-1</f>
        <v>0.787043709108197</v>
      </c>
    </row>
    <row r="41" customFormat="false" ht="15" hidden="false" customHeight="false" outlineLevel="0" collapsed="false">
      <c r="A41" s="0" t="s">
        <v>138</v>
      </c>
      <c r="B41" s="0" t="n">
        <f aca="false">SUMPRODUCT(-C10:L10/(1+$B$27/100)^C4:L4)</f>
        <v>0</v>
      </c>
    </row>
    <row r="42" customFormat="false" ht="15" hidden="false" customHeight="false" outlineLevel="0" collapsed="false">
      <c r="A42" s="0" t="s">
        <v>139</v>
      </c>
      <c r="B42" s="0" t="n">
        <f aca="false">IF(B27&gt;B28,-L10*(1+B28/100)/((B27-B28)/100),-L10*20)/(1+B27/100)^L4</f>
        <v>0</v>
      </c>
    </row>
    <row r="43" customFormat="false" ht="15" hidden="false" customHeight="false" outlineLevel="0" collapsed="false">
      <c r="A43" s="0" t="s">
        <v>140</v>
      </c>
      <c r="B43" s="0" t="n">
        <f aca="false">(B37+B41+B42)/Assumptions!$B$3*Assumptions!$B$10</f>
        <v>38.2427353749154</v>
      </c>
    </row>
    <row r="45" customFormat="false" ht="15" hidden="false" customHeight="false" outlineLevel="0" collapsed="false">
      <c r="A45" s="0" t="s">
        <v>81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141</v>
      </c>
      <c r="B46" s="0" t="n">
        <f aca="false">MAX(0,MIN(IF(B45&gt;B28,B31*(1+B28/100)/((B45-B28)/100),B31*B29),B31*B29))</f>
        <v>56857.3032384084</v>
      </c>
    </row>
    <row r="47" customFormat="false" ht="15" hidden="false" customHeight="false" outlineLevel="0" collapsed="false">
      <c r="A47" s="0" t="s">
        <v>142</v>
      </c>
      <c r="B47" s="0" t="n">
        <f aca="false">(SUMPRODUCT(C19:L19/(1+B45/100)^C4:L4)+B46/(1+B45/100)^L4+Assumptions!$B$5-Assumptions!$B$4)/Assumptions!$B$3*Assumptions!$B$10</f>
        <v>21.137936825526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2" t="s">
        <v>146</v>
      </c>
      <c r="B3" s="2" t="s">
        <v>147</v>
      </c>
      <c r="C3" s="2" t="s">
        <v>137</v>
      </c>
      <c r="D3" s="2" t="s">
        <v>148</v>
      </c>
      <c r="E3" s="2" t="s">
        <v>140</v>
      </c>
      <c r="F3" s="2" t="s">
        <v>149</v>
      </c>
    </row>
    <row r="4" customFormat="false" ht="15" hidden="false" customHeight="false" outlineLevel="0" collapsed="false">
      <c r="A4" s="0" t="s">
        <v>150</v>
      </c>
      <c r="B4" s="4" t="n">
        <f aca="false">DCF_Bear!$B$38</f>
        <v>16.7980411205859</v>
      </c>
      <c r="C4" s="0" t="n">
        <f aca="false">B4/Assumptions!$B$2-1</f>
        <v>-0.215044807449256</v>
      </c>
      <c r="D4" s="4" t="n">
        <f aca="false">Assumptions!$B$24</f>
        <v>0.25</v>
      </c>
      <c r="E4" s="4" t="n">
        <f aca="false">DCF_Bear!$B$43</f>
        <v>16.7980411205859</v>
      </c>
      <c r="F4" s="4" t="n">
        <f aca="false">DCF_Bear!$B$47</f>
        <v>10.5404655605593</v>
      </c>
    </row>
    <row r="5" customFormat="false" ht="15" hidden="false" customHeight="false" outlineLevel="0" collapsed="false">
      <c r="A5" s="0" t="s">
        <v>151</v>
      </c>
      <c r="B5" s="4" t="n">
        <f aca="false">DCF_Base!$B$38</f>
        <v>29.6694651895729</v>
      </c>
      <c r="C5" s="0" t="n">
        <f aca="false">B5/Assumptions!$B$2-1</f>
        <v>0.386423606989386</v>
      </c>
      <c r="D5" s="4" t="n">
        <f aca="false">Assumptions!$B$38</f>
        <v>0.5</v>
      </c>
      <c r="E5" s="4" t="n">
        <f aca="false">DCF_Base!$B$43</f>
        <v>29.6694651895729</v>
      </c>
      <c r="F5" s="4" t="n">
        <f aca="false">DCF_Base!$B$47</f>
        <v>17.0271297105511</v>
      </c>
    </row>
    <row r="6" customFormat="false" ht="15" hidden="false" customHeight="false" outlineLevel="0" collapsed="false">
      <c r="A6" s="0" t="s">
        <v>152</v>
      </c>
      <c r="B6" s="4" t="n">
        <f aca="false">DCF_Bull!$B$38</f>
        <v>38.2427353749154</v>
      </c>
      <c r="C6" s="0" t="n">
        <f aca="false">B6/Assumptions!$B$2-1</f>
        <v>0.787043709108197</v>
      </c>
      <c r="D6" s="4" t="n">
        <f aca="false">Assumptions!$B$52</f>
        <v>0.25</v>
      </c>
      <c r="E6" s="4" t="n">
        <f aca="false">DCF_Bull!$B$43</f>
        <v>38.2427353749154</v>
      </c>
      <c r="F6" s="4" t="n">
        <f aca="false">DCF_Bull!$B$47</f>
        <v>21.137936825526</v>
      </c>
    </row>
    <row r="8" customFormat="false" ht="15" hidden="false" customHeight="false" outlineLevel="0" collapsed="false">
      <c r="A8" s="0" t="s">
        <v>153</v>
      </c>
      <c r="B8" s="0" t="n">
        <f aca="false">SUMPRODUCT(B4:B6,D4:D6)</f>
        <v>28.5949267186618</v>
      </c>
    </row>
    <row r="9" customFormat="false" ht="15" hidden="false" customHeight="false" outlineLevel="0" collapsed="false">
      <c r="A9" s="0" t="s">
        <v>154</v>
      </c>
      <c r="B9" s="0" t="n">
        <f aca="false">SUMPRODUCT(E4:E6,D4:D6)</f>
        <v>28.5949267186618</v>
      </c>
    </row>
    <row r="10" customFormat="false" ht="15" hidden="false" customHeight="false" outlineLevel="0" collapsed="false">
      <c r="A10" s="0" t="s">
        <v>155</v>
      </c>
      <c r="B10" s="0" t="n">
        <f aca="false">1-Assumptions!$B$2/B8</f>
        <v>0.251615497722754</v>
      </c>
    </row>
    <row r="11" customFormat="false" ht="15" hidden="false" customHeight="false" outlineLevel="0" collapsed="false">
      <c r="A11" s="0" t="s">
        <v>156</v>
      </c>
      <c r="B11" s="0" t="str">
        <f aca="false">IF(ABS(B9-B8)&gt;0.01*ABS(B8),(Assumptions!$B$2-B8)/(B9-B8)*100,"n/a")</f>
        <v>n/a</v>
      </c>
    </row>
    <row r="12" customFormat="false" ht="15" hidden="false" customHeight="false" outlineLevel="0" collapsed="false">
      <c r="A12" s="0" t="s">
        <v>157</v>
      </c>
      <c r="B12" s="0" t="n">
        <f aca="false">SUMPRODUCT(F4:F6,D4:D6)</f>
        <v>16.4331654517968</v>
      </c>
    </row>
    <row r="14" customFormat="false" ht="15" hidden="false" customHeight="false" outlineLevel="0" collapsed="false">
      <c r="A14" s="2" t="s">
        <v>158</v>
      </c>
      <c r="C14" s="0" t="s">
        <v>159</v>
      </c>
    </row>
    <row r="15" customFormat="false" ht="15" hidden="false" customHeight="false" outlineLevel="0" collapsed="false">
      <c r="A15" s="0" t="s">
        <v>160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31.0646951992622</v>
      </c>
      <c r="C15" s="3" t="n">
        <v>9</v>
      </c>
    </row>
    <row r="16" customFormat="false" ht="15" hidden="false" customHeight="false" outlineLevel="0" collapsed="false">
      <c r="A16" s="0" t="s">
        <v>161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29.6694651895729</v>
      </c>
      <c r="C16" s="3" t="n">
        <v>9.5</v>
      </c>
    </row>
    <row r="17" customFormat="false" ht="15" hidden="false" customHeight="false" outlineLevel="0" collapsed="false">
      <c r="A17" s="0" t="s">
        <v>162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27.7467137428053</v>
      </c>
      <c r="C17" s="3" t="n">
        <v>10</v>
      </c>
    </row>
    <row r="18" customFormat="false" ht="15" hidden="false" customHeight="false" outlineLevel="0" collapsed="false">
      <c r="A18" s="0" t="s">
        <v>163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24.5839602194733</v>
      </c>
      <c r="C18" s="3" t="n">
        <v>11</v>
      </c>
    </row>
    <row r="19" customFormat="false" ht="15" hidden="false" customHeight="false" outlineLevel="0" collapsed="false">
      <c r="A19" s="0" t="s">
        <v>164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22.0917461465888</v>
      </c>
      <c r="C19" s="3" t="n">
        <v>12</v>
      </c>
    </row>
    <row r="20" customFormat="false" ht="15" hidden="false" customHeight="false" outlineLevel="0" collapsed="false">
      <c r="A20" s="0" t="s">
        <v>165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17.0271297105511</v>
      </c>
      <c r="C20" s="3" t="n">
        <v>15</v>
      </c>
    </row>
    <row r="22" customFormat="false" ht="15" hidden="false" customHeight="false" outlineLevel="0" collapsed="false">
      <c r="A22" s="2" t="s">
        <v>166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7.5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34.4539196999411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34.4539196999411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34.4539196999411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34.4539196999411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34.4539196999411</v>
      </c>
    </row>
    <row r="25" customFormat="false" ht="15" hidden="false" customHeight="false" outlineLevel="0" collapsed="false">
      <c r="A25" s="3" t="n">
        <v>8.5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31.5807965472899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32.1424146482221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32.1424146482221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32.1424146482221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32.1424146482221</v>
      </c>
    </row>
    <row r="26" customFormat="false" ht="15" hidden="false" customHeight="false" outlineLevel="0" collapsed="false">
      <c r="A26" s="3" t="n">
        <v>9.5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27.6656697929124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28.6007743113539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29.6694651895729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30.0354552163602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30.0354552163602</v>
      </c>
    </row>
    <row r="27" customFormat="false" ht="15" hidden="false" customHeight="false" outlineLevel="0" collapsed="false">
      <c r="A27" s="3" t="n">
        <v>10.5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24.629713955148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25.3055113933768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26.0657835113842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26.9274252451259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27.9121586551164</v>
      </c>
    </row>
    <row r="28" customFormat="false" ht="15" hidden="false" customHeight="false" outlineLevel="0" collapsed="false">
      <c r="A28" s="3" t="n">
        <v>11.5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22.2086420673735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22.7104540953462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23.2680230153159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23.8911882788115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24.5922492002439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2026-10-16T10:36:00Z</dcterms:created>
  <dc:creator>openpyxl</dc:creator>
  <dc:description/>
  <dc:language>en-NZ</dc:language>
  <cp:lastModifiedBy/>
  <dcterms:modified xsi:type="dcterms:W3CDTF">2026-10-16T10:36:00Z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