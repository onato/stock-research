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<sst xmlns="http://schemas.openxmlformats.org/spreadsheetml/2006/main" count="370" uniqueCount="170">
  <si>
    <t xml:space="preserve">Ticker</t>
  </si>
  <si>
    <t xml:space="preserve">BCE</t>
  </si>
  <si>
    <t xml:space="preserve">Company</t>
  </si>
  <si>
    <t xml:space="preserve">BCE Inc.</t>
  </si>
  <si>
    <t xml:space="preserve">Valuation date</t>
  </si>
  <si>
    <t xml:space="preserve">2026-10-03</t>
  </si>
  <si>
    <t xml:space="preserve">Current price</t>
  </si>
  <si>
    <t xml:space="preserve">Price as of</t>
  </si>
  <si>
    <t xml:space="preserve">2026-10-02T20:00:02Z regular-session close (NYSE)</t>
  </si>
  <si>
    <t xml:space="preserve">Balance sheet date</t>
  </si>
  <si>
    <t xml:space="preserve">2026-06-30</t>
  </si>
  <si>
    <t xml:space="preserve">Model</t>
  </si>
  <si>
    <t xml:space="preserve">owner_fcf_dcf_component</t>
  </si>
  <si>
    <t xml:space="preserve">Currency (model)</t>
  </si>
  <si>
    <t xml:space="preserve">CAD</t>
  </si>
  <si>
    <t xml:space="preserve">Currency (quote)</t>
  </si>
  <si>
    <t xml:space="preserve">USD</t>
  </si>
  <si>
    <t xml:space="preserve">Units</t>
  </si>
  <si>
    <t xml:space="preserve">millions</t>
  </si>
  <si>
    <t xml:space="preserve">Engine</t>
  </si>
  <si>
    <t xml:space="preserve">dcf_engine v1</t>
  </si>
  <si>
    <t xml:space="preserve">Built at</t>
  </si>
  <si>
    <t xml:space="preserve">2026-10-02T22:47:07Z</t>
  </si>
  <si>
    <t xml:space="preserve">Drivers file</t>
  </si>
  <si>
    <t xml:space="preserve">BCE_Drivers.json</t>
  </si>
  <si>
    <t xml:space="preserve">Convention</t>
  </si>
  <si>
    <t xml:space="preserve">Percents stored as percents; formulas divide by 100. Blue = input, green = link, black = formula.</t>
  </si>
  <si>
    <t xml:space="preserve">Methodology</t>
  </si>
  <si>
    <t xml:space="preserve">summary: BCE is valued as a levered, low-growth, regulated infrastructure operator: unlevered owner FCF after the full lease cash cost, a normalised allowance for the restructuring and working-capital drains that adjusted EBITDA excludes, and the AI data-centre capex spike charged in full, discounted at a CAD WACC that reflects a 60%-debt capital structure. With ~C$41B of senior claims (debt ex-leases, preferreds, NCI) ahead of ~C$26B of common equity, the equity is a thin, leveraged slice of the enterprise: every 1x of terminal FCF multiple is worth roughly C$3.20 (~US$2.25) per share, which is why the terminal cap is the most consequential single assumption and is set below the Gordon-implied multiple in every scenario.
key_risks_to_valuation: Terminal cap multiple: Gordon at 6.75%/1.5% implies ~19x terminal FCF vs the 15x base cap; equity leverage turns each 1x into ~C$3.20/share.; Wireless price war duration: each 1pp of sustained normalised EBITDA margin is ~C$250M/yr of pre-tax cash, roughly C$3/share in value.; CRTC wholesale fibre mandate: caps returns on new Canadian fibre and could let resellers take share of BCE's own network.; Refinancing: C$4.3B due within one year at Jun-2026 and a growing hybrid layer resetting off GoC + ~240bp; a 50bp WACC move is worth ~C$5/share.; AI data centre execution: C$1.7B committed to a 300 MW Saskatchewan build with two anchor tenants; returns are unproven and the capex is charged in full in every scenario.; Normalised cash drains: the 2.5pp margin allowance for severance and working-capital outflows is a judgment; if BCE's restructuring genuinely ends after 2028, base value rises.</t>
  </si>
  <si>
    <t xml:space="preserve">Data sources</t>
  </si>
  <si>
    <t xml:space="preserve">price: Yahoo Finance chart API, NYSE listing 'BCE' (USD), at inputs.price_as_of; 52-week range 19.73-26.52 (at the 52-week low). TSX line BCE.TO and CADUSD=X fetched at the same close for the FX parity check in inputs.fx_note.
financials: BCE_Metrics.csv (core_metrics, CAD millions) FY2013-Q2 2026; BCE_Annual_FS_FY2025.txt (balance sheet, cash-flow statement, ROU asset table, lease note, financing-liability reconciliation); BCE_Quarterly_FS_Q2-2026.txt (Jun-2026 balance sheet, H1 cash flow, lease principal, Note 10 associates, Note 11 debt); BCE_Quarterly_MDA_Q2-2026.txt (capital intensity by segment, FCF definition and reconciliation, Saskatchewan data-centre capex).
qualitative: BCE_Analysis.json (FY2026 guidance reaffirmed at Q2 2026, bull/bear points, risk register, recent developments).</t>
  </si>
  <si>
    <t xml:space="preserve">Scenario narrative: bear</t>
  </si>
  <si>
    <t xml:space="preserve">The 'race to the bottom' is structural. Three national carriers plus Freedom keep cutting wireless prices with no subscriber winner, the CRTC wholesale fibre regime caps returns on fibre and lets resellers take share on BCE's own network, and Bell Media's linear decline accelerates. Revenue stalls at 0-0.5% after the Ziply annualisation, the normalised margin falls ~1.7pp to 39.5% as cost savings are competed away, capex cannot fall below 16% because Ziply build and AI data-centre maintenance offset the Canadian plateau, and lease costs creep up. Leverage stays near 3.8x, refinancing happens at hybrid-style spreads, and the market pays only 12x terminal FCF for a no-growth, regulated, levered utility-like asset.</t>
  </si>
  <si>
    <t xml:space="preserve">Scenario narrative: base</t>
  </si>
  <si>
    <t xml:space="preserve">Guidance delivered, nothing more. Ziply's first full year and the AI data centres carry FY2026-27 revenue to ~2-2.5% growth while Canadian wireless ARPU erodes under a price war in which no carrier wins share; the C$1.5B cost programme roughly offsets that erosion, so the normalised margin edges up only ~0.4pp. Capex spikes on the C$1.7B Saskatchewan build and then settles at a 15% capital intensity as the CRTC wholesale-access mandate makes BCE's own fibre build plateau. Growth fades to the 1.5% the company has averaged for a decade; Bell Media keeps shrinking but is now too small to move the total. Leverage reaches ~3.5x by 2027-28 through asset sales and the halved dividend, not through faster growth.</t>
  </si>
  <si>
    <t xml:space="preserve">Scenario narrative: bull</t>
  </si>
  <si>
    <t xml:space="preserve">The three new vectors all work. The Canadian wireless price war rationalises within 12-18 months (as the 2017 and 2023 episodes did) and postpaid ARPU recovers; Bell AI Fabric fills the Saskatchewan and Merritt capacity with Cerebras, CoreWeave and Cohere and adds further sovereign-AI contracts; Ziply and the PSP FiberCo scale toward their up-to-8-million US locations with BCE's capital share kept off the balance sheet. Revenue grows 3-3.5% for three years, the C$1.5B savings fall through to a ~43% normalised margin by 2030, capital intensity drops to 14% as Canadian FTTP completes, and a deleveraged BCE earns a 17x terminal FCF multiple with 2% perpetual growth.</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</si>
  <si>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</si>
  <si>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</si>
  <si>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</si>
  <si>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</si>
  <si>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</si>
  <si>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</si>
  <si>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</si>
  <si>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</si>
  <si>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</si>
  <si>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</si>
  <si>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</si>
  <si>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</si>
  <si>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</si>
  <si>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</si>
  <si>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</si>
  <si>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</si>
  <si>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</si>
  <si>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</si>
  <si>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</si>
  <si>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</si>
  <si>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</si>
  <si>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</si>
  <si>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</si>
  <si>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</si>
  <si>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</si>
  <si>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</si>
  <si>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</si>
  <si>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</si>
  <si>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</si>
  <si>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</si>
  <si>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</si>
  <si>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</si>
  <si>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</si>
  <si>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</si>
  <si>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</si>
  <si>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</si>
  <si>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</si>
  <si>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</si>
  <si>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</si>
  <si>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</si>
  <si>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</si>
  <si>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</si>
  <si>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</si>
  <si>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</si>
  <si>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</si>
  <si>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</si>
  <si>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</si>
  <si>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</si>
  <si>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</si>
  <si>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</si>
  <si>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</si>
  <si>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CAD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</si>
  <si>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</si>
  <si>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</si>
  <si>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</si>
  <si>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</si>
  <si>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</si>
  <si>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</si>
  <si>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</si>
  <si>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</si>
  <si>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</si>
  <si>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</si>
  <si>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</si>
  <si>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</si>
  <si>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</si>
  <si>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</si>
  <si>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</si>
  <si>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</si>
  <si>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</si>
  <si>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</si>
  <si>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</si>
  <si>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</si>
  <si>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</si>
  <si>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</si>
  <si>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</si>
  <si>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</si>
  <si>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</si>
  <si>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</si>
  <si>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BCE owner-FCF component DCF: bear case (millions, CAD)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</si>
  <si>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</si>
  <si>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</si>
  <si>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</si>
  <si>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</si>
  <si>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</si>
  <si>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</si>
  <si>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</si>
  <si>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</si>
  <si>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</si>
  <si>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</si>
  <si>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</si>
  <si>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</si>
  <si>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</si>
  <si>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</si>
  <si>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</si>
  <si>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</si>
  <si>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</si>
  <si>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</si>
  <si>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</si>
  <si>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</si>
  <si>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</si>
  <si>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</si>
  <si>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</si>
  <si>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</si>
  <si>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</si>
  <si>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</si>
  <si>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</si>
  <si>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</si>
  <si>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</si>
  <si>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</si>
  <si>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BCE owner-FCF component DCF: base case (millions, CAD)</t>
  </si>
  <si>
    <t xml:space="preserve">BCE owner-FCF component DCF: bull case (millions, CAD)</t>
  </si>
  <si>
    <t xml:space="preserve">BCE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</si>
  <si>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</si>
  <si>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</si>
  <si>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</si>
  <si>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</si>
  <si>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</si>
  <si>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</si>
  <si>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</si>
  <si>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</si>
  <si>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</si>
  <si>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</si>
  <si>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</si>
  <si>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</si>
  <si>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</si>
  <si>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</si>
  <si>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6.75%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</si>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</sst>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19.73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20400</v>
      </c>
      <c r="F2" s="0" t="n">
        <v>4303</v>
      </c>
      <c r="G2" s="0" t="n">
        <v>21.1</v>
      </c>
      <c r="H2" s="0" t="n">
        <v>8089</v>
      </c>
      <c r="I2" s="0" t="n">
        <v>1975</v>
      </c>
      <c r="J2" s="0" t="n">
        <v>9.7</v>
      </c>
      <c r="K2" s="0" t="n">
        <v>2.55</v>
      </c>
      <c r="L2" s="0" t="n">
        <v>6476</v>
      </c>
      <c r="M2" s="0" t="n">
        <v>3571</v>
      </c>
      <c r="N2" s="0" t="n">
        <v>2905</v>
      </c>
      <c r="O2" s="0" t="n">
        <v>15011</v>
      </c>
      <c r="P2" s="0" t="n">
        <v>45384</v>
      </c>
      <c r="Q2" s="0" t="n">
        <v>29134</v>
      </c>
      <c r="R2" s="0" t="n">
        <v>18912</v>
      </c>
      <c r="S2" s="0" t="n">
        <v>335</v>
      </c>
      <c r="T2" s="0" t="n">
        <v>775.8</v>
      </c>
      <c r="U2" s="0" t="n">
        <v>98</v>
      </c>
      <c r="V2" s="0" t="n">
        <v>2.33</v>
      </c>
      <c r="AA2" s="0" t="s">
        <v>18</v>
      </c>
      <c r="AB2" s="0" t="s">
        <v>14</v>
      </c>
      <c r="AC2" s="0" t="n">
        <v>8089</v>
      </c>
    </row>
    <row r="3" customFormat="false" ht="15" hidden="false" customHeight="false" outlineLevel="0" collapsed="false">
      <c r="A3" s="0" t="s">
        <v>66</v>
      </c>
      <c r="B3" s="0" t="n">
        <v>21042</v>
      </c>
      <c r="F3" s="0" t="n">
        <v>4635</v>
      </c>
      <c r="G3" s="0" t="n">
        <v>22</v>
      </c>
      <c r="H3" s="0" t="n">
        <v>8303</v>
      </c>
      <c r="I3" s="0" t="n">
        <v>2363</v>
      </c>
      <c r="J3" s="0" t="n">
        <v>11.2</v>
      </c>
      <c r="K3" s="0" t="n">
        <v>2.98</v>
      </c>
      <c r="L3" s="0" t="n">
        <v>6241</v>
      </c>
      <c r="M3" s="0" t="n">
        <v>3717</v>
      </c>
      <c r="N3" s="0" t="n">
        <v>2524</v>
      </c>
      <c r="O3" s="0" t="n">
        <v>14946</v>
      </c>
      <c r="P3" s="0" t="n">
        <v>46297</v>
      </c>
      <c r="Q3" s="0" t="n">
        <v>31058</v>
      </c>
      <c r="R3" s="0" t="n">
        <v>20098</v>
      </c>
      <c r="S3" s="0" t="n">
        <v>566</v>
      </c>
      <c r="T3" s="0" t="n">
        <v>793.7</v>
      </c>
      <c r="U3" s="0" t="n">
        <v>99</v>
      </c>
      <c r="V3" s="0" t="n">
        <v>2.47</v>
      </c>
      <c r="AA3" s="0" t="s">
        <v>18</v>
      </c>
      <c r="AB3" s="0" t="s">
        <v>14</v>
      </c>
      <c r="AC3" s="0" t="n">
        <v>8303</v>
      </c>
    </row>
    <row r="4" customFormat="false" ht="15" hidden="false" customHeight="false" outlineLevel="0" collapsed="false">
      <c r="A4" s="0" t="s">
        <v>67</v>
      </c>
      <c r="B4" s="0" t="n">
        <v>21514</v>
      </c>
      <c r="F4" s="0" t="n">
        <v>4685</v>
      </c>
      <c r="G4" s="0" t="n">
        <v>21.8</v>
      </c>
      <c r="H4" s="0" t="n">
        <v>8551</v>
      </c>
      <c r="I4" s="0" t="n">
        <v>2526</v>
      </c>
      <c r="J4" s="0" t="n">
        <v>11.7</v>
      </c>
      <c r="K4" s="0" t="n">
        <v>2.98</v>
      </c>
      <c r="L4" s="0" t="n">
        <v>6274</v>
      </c>
      <c r="M4" s="0" t="n">
        <v>3626</v>
      </c>
      <c r="N4" s="0" t="n">
        <v>2648</v>
      </c>
      <c r="O4" s="0" t="n">
        <v>17023</v>
      </c>
      <c r="P4" s="0" t="n">
        <v>47993</v>
      </c>
      <c r="Q4" s="0" t="n">
        <v>30664</v>
      </c>
      <c r="R4" s="0" t="n">
        <v>20285</v>
      </c>
      <c r="S4" s="0" t="n">
        <v>613</v>
      </c>
      <c r="T4" s="0" t="n">
        <v>847.1</v>
      </c>
      <c r="U4" s="0" t="n">
        <v>94</v>
      </c>
      <c r="V4" s="0" t="n">
        <v>2.6</v>
      </c>
      <c r="AA4" s="0" t="s">
        <v>18</v>
      </c>
      <c r="AB4" s="0" t="s">
        <v>14</v>
      </c>
      <c r="AC4" s="0" t="n">
        <v>8551</v>
      </c>
    </row>
    <row r="5" customFormat="false" ht="15" hidden="false" customHeight="false" outlineLevel="0" collapsed="false">
      <c r="A5" s="0" t="s">
        <v>68</v>
      </c>
      <c r="B5" s="0" t="n">
        <v>21719</v>
      </c>
      <c r="F5" s="0" t="n">
        <v>5145</v>
      </c>
      <c r="G5" s="0" t="n">
        <v>23.7</v>
      </c>
      <c r="H5" s="0" t="n">
        <v>8788</v>
      </c>
      <c r="I5" s="0" t="n">
        <v>2894</v>
      </c>
      <c r="J5" s="0" t="n">
        <v>13.3</v>
      </c>
      <c r="K5" s="0" t="n">
        <v>3.33</v>
      </c>
      <c r="L5" s="0" t="n">
        <v>6643</v>
      </c>
      <c r="M5" s="0" t="n">
        <v>3771</v>
      </c>
      <c r="N5" s="0" t="n">
        <v>2872</v>
      </c>
      <c r="O5" s="0" t="n">
        <v>17540</v>
      </c>
      <c r="P5" s="0" t="n">
        <v>50108</v>
      </c>
      <c r="Q5" s="0" t="n">
        <v>32254</v>
      </c>
      <c r="R5" s="0" t="n">
        <v>21459</v>
      </c>
      <c r="S5" s="0" t="n">
        <v>853</v>
      </c>
      <c r="T5" s="0" t="n">
        <v>869.1</v>
      </c>
      <c r="U5" s="0" t="n">
        <v>90</v>
      </c>
      <c r="V5" s="0" t="n">
        <v>2.73</v>
      </c>
      <c r="AA5" s="0" t="s">
        <v>18</v>
      </c>
      <c r="AB5" s="0" t="s">
        <v>14</v>
      </c>
      <c r="AC5" s="0" t="n">
        <v>8788</v>
      </c>
    </row>
    <row r="6" customFormat="false" ht="15" hidden="false" customHeight="false" outlineLevel="0" collapsed="false">
      <c r="A6" s="0" t="s">
        <v>69</v>
      </c>
      <c r="B6" s="0" t="n">
        <v>22719</v>
      </c>
      <c r="F6" s="0" t="n">
        <v>5138</v>
      </c>
      <c r="G6" s="0" t="n">
        <v>22.6</v>
      </c>
      <c r="H6" s="0" t="n">
        <v>9178</v>
      </c>
      <c r="I6" s="0" t="n">
        <v>2786</v>
      </c>
      <c r="J6" s="0" t="n">
        <v>12.3</v>
      </c>
      <c r="K6" s="0" t="n">
        <v>3.12</v>
      </c>
      <c r="L6" s="0" t="n">
        <v>7358</v>
      </c>
      <c r="M6" s="0" t="n">
        <v>4034</v>
      </c>
      <c r="N6" s="0" t="n">
        <v>3324</v>
      </c>
      <c r="O6" s="0" t="n">
        <v>19160</v>
      </c>
      <c r="P6" s="0" t="n">
        <v>54263</v>
      </c>
      <c r="Q6" s="0" t="n">
        <v>34780</v>
      </c>
      <c r="R6" s="0" t="n">
        <v>23393</v>
      </c>
      <c r="S6" s="0" t="n">
        <v>625</v>
      </c>
      <c r="T6" s="0" t="n">
        <v>894.3</v>
      </c>
      <c r="U6" s="0" t="n">
        <v>81</v>
      </c>
      <c r="V6" s="0" t="n">
        <v>2.87</v>
      </c>
      <c r="AA6" s="0" t="s">
        <v>18</v>
      </c>
      <c r="AB6" s="0" t="s">
        <v>14</v>
      </c>
      <c r="AC6" s="0" t="n">
        <v>9178</v>
      </c>
    </row>
    <row r="7" customFormat="false" ht="15" hidden="false" customHeight="false" outlineLevel="0" collapsed="false">
      <c r="A7" s="0" t="s">
        <v>70</v>
      </c>
      <c r="B7" s="0" t="n">
        <v>23468</v>
      </c>
      <c r="F7" s="0" t="n">
        <v>5385</v>
      </c>
      <c r="G7" s="0" t="n">
        <v>22.9</v>
      </c>
      <c r="H7" s="0" t="n">
        <v>9535</v>
      </c>
      <c r="I7" s="0" t="n">
        <v>2785</v>
      </c>
      <c r="J7" s="0" t="n">
        <v>11.9</v>
      </c>
      <c r="K7" s="0" t="n">
        <v>3.1</v>
      </c>
      <c r="L7" s="0" t="n">
        <v>7384</v>
      </c>
      <c r="M7" s="0" t="n">
        <v>3971</v>
      </c>
      <c r="N7" s="0" t="n">
        <v>3413</v>
      </c>
      <c r="O7" s="0" t="n">
        <v>20363</v>
      </c>
      <c r="P7" s="0" t="n">
        <v>57100</v>
      </c>
      <c r="Q7" s="0" t="n">
        <v>36411</v>
      </c>
      <c r="R7" s="0" t="n">
        <v>24405</v>
      </c>
      <c r="S7" s="0" t="n">
        <v>425</v>
      </c>
      <c r="T7" s="0" t="n">
        <v>898.6</v>
      </c>
      <c r="U7" s="0" t="n">
        <v>89</v>
      </c>
      <c r="V7" s="0" t="n">
        <v>3.02</v>
      </c>
      <c r="AA7" s="0" t="s">
        <v>18</v>
      </c>
      <c r="AB7" s="0" t="s">
        <v>14</v>
      </c>
      <c r="AC7" s="0" t="n">
        <v>9535</v>
      </c>
    </row>
    <row r="8" customFormat="false" ht="15" hidden="false" customHeight="false" outlineLevel="0" collapsed="false">
      <c r="A8" s="0" t="s">
        <v>71</v>
      </c>
      <c r="B8" s="0" t="n">
        <v>23964</v>
      </c>
      <c r="F8" s="0" t="n">
        <v>5594</v>
      </c>
      <c r="G8" s="0" t="n">
        <v>23.3</v>
      </c>
      <c r="H8" s="0" t="n">
        <v>10106</v>
      </c>
      <c r="I8" s="0" t="n">
        <v>3040</v>
      </c>
      <c r="J8" s="0" t="n">
        <v>12.7</v>
      </c>
      <c r="K8" s="0" t="n">
        <v>3.37</v>
      </c>
      <c r="L8" s="0" t="n">
        <v>7958</v>
      </c>
      <c r="M8" s="0" t="n">
        <v>3988</v>
      </c>
      <c r="N8" s="0" t="n">
        <v>3970</v>
      </c>
      <c r="O8" s="0" t="n">
        <v>21074</v>
      </c>
      <c r="P8" s="0" t="n">
        <v>60146</v>
      </c>
      <c r="Q8" s="0" t="n">
        <v>38738</v>
      </c>
      <c r="R8" s="0" t="n">
        <v>26296</v>
      </c>
      <c r="S8" s="0" t="n">
        <v>145</v>
      </c>
      <c r="T8" s="0" t="n">
        <v>900.8</v>
      </c>
      <c r="U8" s="0" t="n">
        <v>93</v>
      </c>
      <c r="V8" s="0" t="n">
        <v>3.17</v>
      </c>
      <c r="AA8" s="0" t="s">
        <v>18</v>
      </c>
      <c r="AB8" s="0" t="s">
        <v>14</v>
      </c>
      <c r="AC8" s="0" t="n">
        <v>10106</v>
      </c>
    </row>
    <row r="9" customFormat="false" ht="15" hidden="false" customHeight="false" outlineLevel="0" collapsed="false">
      <c r="A9" s="0" t="s">
        <v>72</v>
      </c>
      <c r="B9" s="0" t="n">
        <v>22883</v>
      </c>
      <c r="C9" s="0" t="n">
        <v>6967</v>
      </c>
      <c r="D9" s="0" t="n">
        <v>15916</v>
      </c>
      <c r="E9" s="0" t="n">
        <v>69.6</v>
      </c>
      <c r="F9" s="0" t="n">
        <v>5087</v>
      </c>
      <c r="G9" s="0" t="n">
        <v>22.2</v>
      </c>
      <c r="H9" s="0" t="n">
        <v>9607</v>
      </c>
      <c r="I9" s="0" t="n">
        <v>2498</v>
      </c>
      <c r="J9" s="0" t="n">
        <v>10.9</v>
      </c>
      <c r="K9" s="0" t="n">
        <v>2.76</v>
      </c>
      <c r="L9" s="0" t="n">
        <v>7754</v>
      </c>
      <c r="M9" s="0" t="n">
        <v>4202</v>
      </c>
      <c r="N9" s="0" t="n">
        <v>3552</v>
      </c>
      <c r="O9" s="0" t="n">
        <v>20989</v>
      </c>
      <c r="P9" s="0" t="n">
        <v>60665</v>
      </c>
      <c r="Q9" s="0" t="n">
        <v>39336</v>
      </c>
      <c r="R9" s="0" t="n">
        <v>26323</v>
      </c>
      <c r="S9" s="0" t="n">
        <v>224</v>
      </c>
      <c r="T9" s="0" t="n">
        <v>904.3</v>
      </c>
      <c r="U9" s="0" t="n">
        <v>91</v>
      </c>
      <c r="V9" s="0" t="n">
        <v>3.33</v>
      </c>
      <c r="AA9" s="0" t="s">
        <v>18</v>
      </c>
      <c r="AB9" s="0" t="s">
        <v>14</v>
      </c>
      <c r="AC9" s="0" t="n">
        <v>9607</v>
      </c>
    </row>
    <row r="10" customFormat="false" ht="15" hidden="false" customHeight="false" outlineLevel="0" collapsed="false">
      <c r="A10" s="0" t="s">
        <v>73</v>
      </c>
      <c r="B10" s="0" t="n">
        <v>23449</v>
      </c>
      <c r="C10" s="0" t="n">
        <v>7290</v>
      </c>
      <c r="D10" s="0" t="n">
        <v>16159</v>
      </c>
      <c r="E10" s="0" t="n">
        <v>68.9</v>
      </c>
      <c r="F10" s="0" t="n">
        <v>5075</v>
      </c>
      <c r="G10" s="0" t="n">
        <v>21.6</v>
      </c>
      <c r="H10" s="0" t="n">
        <v>9893</v>
      </c>
      <c r="I10" s="0" t="n">
        <v>2709</v>
      </c>
      <c r="J10" s="0" t="n">
        <v>11.6</v>
      </c>
      <c r="K10" s="0" t="n">
        <v>2.99</v>
      </c>
      <c r="L10" s="0" t="n">
        <v>8008</v>
      </c>
      <c r="M10" s="0" t="n">
        <v>4837</v>
      </c>
      <c r="N10" s="0" t="n">
        <v>3171</v>
      </c>
      <c r="O10" s="0" t="n">
        <v>22635</v>
      </c>
      <c r="P10" s="0" t="n">
        <v>66764</v>
      </c>
      <c r="Q10" s="0" t="n">
        <v>43823</v>
      </c>
      <c r="R10" s="0" t="n">
        <v>29673</v>
      </c>
      <c r="S10" s="0" t="n">
        <v>207</v>
      </c>
      <c r="T10" s="0" t="n">
        <v>906.3</v>
      </c>
      <c r="U10" s="0" t="n">
        <v>95</v>
      </c>
      <c r="V10" s="0" t="n">
        <v>3.5</v>
      </c>
      <c r="AA10" s="0" t="s">
        <v>18</v>
      </c>
      <c r="AB10" s="0" t="s">
        <v>14</v>
      </c>
      <c r="AC10" s="0" t="n">
        <v>9893</v>
      </c>
    </row>
    <row r="11" customFormat="false" ht="15" hidden="false" customHeight="false" outlineLevel="0" collapsed="false">
      <c r="A11" s="0" t="s">
        <v>74</v>
      </c>
      <c r="B11" s="0" t="n">
        <v>24174</v>
      </c>
      <c r="C11" s="0" t="n">
        <v>7641</v>
      </c>
      <c r="D11" s="0" t="n">
        <v>16533</v>
      </c>
      <c r="E11" s="0" t="n">
        <v>68.4</v>
      </c>
      <c r="F11" s="0" t="n">
        <v>5382</v>
      </c>
      <c r="G11" s="0" t="n">
        <v>22.3</v>
      </c>
      <c r="H11" s="0" t="n">
        <v>10199</v>
      </c>
      <c r="I11" s="0" t="n">
        <v>2716</v>
      </c>
      <c r="J11" s="0" t="n">
        <v>11.2</v>
      </c>
      <c r="K11" s="0" t="n">
        <v>2.98</v>
      </c>
      <c r="L11" s="0" t="n">
        <v>8365</v>
      </c>
      <c r="M11" s="0" t="n">
        <v>5133</v>
      </c>
      <c r="N11" s="0" t="n">
        <v>3232</v>
      </c>
      <c r="O11" s="0" t="n">
        <v>22178</v>
      </c>
      <c r="P11" s="0" t="n">
        <v>69329</v>
      </c>
      <c r="Q11" s="0" t="n">
        <v>46814</v>
      </c>
      <c r="R11" s="0" t="n">
        <v>31920</v>
      </c>
      <c r="S11" s="0" t="n">
        <v>149</v>
      </c>
      <c r="T11" s="0" t="n">
        <v>911.5</v>
      </c>
      <c r="U11" s="0" t="n">
        <v>101</v>
      </c>
      <c r="V11" s="0" t="n">
        <v>3.68</v>
      </c>
      <c r="AA11" s="0" t="s">
        <v>18</v>
      </c>
      <c r="AB11" s="0" t="s">
        <v>14</v>
      </c>
      <c r="AC11" s="0" t="n">
        <v>10199</v>
      </c>
    </row>
    <row r="12" customFormat="false" ht="15" hidden="false" customHeight="false" outlineLevel="0" collapsed="false">
      <c r="A12" s="0" t="s">
        <v>75</v>
      </c>
      <c r="B12" s="0" t="n">
        <v>24673</v>
      </c>
      <c r="C12" s="0" t="n">
        <v>7926</v>
      </c>
      <c r="D12" s="0" t="n">
        <v>16747</v>
      </c>
      <c r="E12" s="0" t="n">
        <v>67.9</v>
      </c>
      <c r="F12" s="0" t="n">
        <v>5299</v>
      </c>
      <c r="G12" s="0" t="n">
        <v>21.5</v>
      </c>
      <c r="H12" s="0" t="n">
        <v>10417</v>
      </c>
      <c r="I12" s="0" t="n">
        <v>2076</v>
      </c>
      <c r="J12" s="0" t="n">
        <v>8.4</v>
      </c>
      <c r="K12" s="0" t="n">
        <v>2.28</v>
      </c>
      <c r="L12" s="0" t="n">
        <v>7946</v>
      </c>
      <c r="M12" s="0" t="n">
        <v>4581</v>
      </c>
      <c r="N12" s="0" t="n">
        <v>3365</v>
      </c>
      <c r="O12" s="0" t="n">
        <v>20229</v>
      </c>
      <c r="P12" s="0" t="n">
        <v>71940</v>
      </c>
      <c r="Q12" s="0" t="n">
        <v>51383</v>
      </c>
      <c r="R12" s="0" t="n">
        <v>36177</v>
      </c>
      <c r="S12" s="0" t="n">
        <v>1772</v>
      </c>
      <c r="T12" s="0" t="n">
        <v>912.2</v>
      </c>
      <c r="U12" s="0" t="n">
        <v>95</v>
      </c>
      <c r="V12" s="0" t="n">
        <v>3.87</v>
      </c>
      <c r="AA12" s="0" t="s">
        <v>18</v>
      </c>
      <c r="AB12" s="0" t="s">
        <v>14</v>
      </c>
      <c r="AC12" s="0" t="n">
        <v>10417</v>
      </c>
    </row>
    <row r="13" customFormat="false" ht="15" hidden="false" customHeight="false" outlineLevel="0" collapsed="false">
      <c r="A13" s="0" t="s">
        <v>76</v>
      </c>
      <c r="B13" s="0" t="n">
        <v>24409</v>
      </c>
      <c r="C13" s="0" t="n">
        <v>7705</v>
      </c>
      <c r="D13" s="0" t="n">
        <v>16704</v>
      </c>
      <c r="E13" s="0" t="n">
        <v>68.4</v>
      </c>
      <c r="F13" s="0" t="n">
        <v>5094</v>
      </c>
      <c r="G13" s="0" t="n">
        <v>20.9</v>
      </c>
      <c r="H13" s="0" t="n">
        <v>10589</v>
      </c>
      <c r="I13" s="0" t="n">
        <v>163</v>
      </c>
      <c r="J13" s="0" t="n">
        <v>0.7</v>
      </c>
      <c r="K13" s="0" t="n">
        <v>0.18</v>
      </c>
      <c r="L13" s="0" t="n">
        <v>6988</v>
      </c>
      <c r="M13" s="0" t="n">
        <v>3897</v>
      </c>
      <c r="N13" s="0" t="n">
        <v>3091</v>
      </c>
      <c r="O13" s="0" t="n">
        <v>17071</v>
      </c>
      <c r="P13" s="0" t="n">
        <v>73485</v>
      </c>
      <c r="Q13" s="0" t="n">
        <v>56125</v>
      </c>
      <c r="R13" s="0" t="n">
        <v>40504</v>
      </c>
      <c r="S13" s="0" t="n">
        <v>1972</v>
      </c>
      <c r="T13" s="0" t="n">
        <v>912.3</v>
      </c>
      <c r="U13" s="0" t="n">
        <v>84</v>
      </c>
      <c r="V13" s="0" t="n">
        <v>3.99</v>
      </c>
      <c r="AA13" s="0" t="s">
        <v>18</v>
      </c>
      <c r="AB13" s="0" t="s">
        <v>14</v>
      </c>
      <c r="AC13" s="0" t="n">
        <v>10589</v>
      </c>
    </row>
    <row r="14" customFormat="false" ht="15" hidden="false" customHeight="false" outlineLevel="0" collapsed="false">
      <c r="A14" s="0" t="s">
        <v>77</v>
      </c>
      <c r="B14" s="0" t="n">
        <v>24468</v>
      </c>
      <c r="C14" s="0" t="n">
        <v>7720</v>
      </c>
      <c r="D14" s="0" t="n">
        <v>16748</v>
      </c>
      <c r="E14" s="0" t="n">
        <v>68.4</v>
      </c>
      <c r="F14" s="0" t="n">
        <v>4903</v>
      </c>
      <c r="G14" s="0" t="n">
        <v>20</v>
      </c>
      <c r="H14" s="0" t="n">
        <v>10658</v>
      </c>
      <c r="I14" s="0" t="n">
        <v>6305</v>
      </c>
      <c r="J14" s="0" t="n">
        <v>25.8</v>
      </c>
      <c r="K14" s="0" t="n">
        <v>6.79</v>
      </c>
      <c r="L14" s="0" t="n">
        <v>6993</v>
      </c>
      <c r="M14" s="0" t="n">
        <v>3700</v>
      </c>
      <c r="N14" s="0" t="n">
        <v>3293</v>
      </c>
      <c r="O14" s="0" t="n">
        <v>23020</v>
      </c>
      <c r="P14" s="0" t="n">
        <v>80165</v>
      </c>
      <c r="Q14" s="0" t="n">
        <v>56855</v>
      </c>
      <c r="R14" s="0" t="n">
        <v>41059</v>
      </c>
      <c r="S14" s="0" t="n">
        <v>320</v>
      </c>
      <c r="T14" s="0" t="n">
        <v>929.1</v>
      </c>
      <c r="U14" s="0" t="n">
        <v>90</v>
      </c>
      <c r="V14" s="0" t="n">
        <v>2.31</v>
      </c>
      <c r="AA14" s="0" t="s">
        <v>18</v>
      </c>
      <c r="AB14" s="0" t="s">
        <v>14</v>
      </c>
      <c r="AC14" s="0" t="n">
        <v>10658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19.73</v>
      </c>
    </row>
    <row r="3" customFormat="false" ht="15" hidden="false" customHeight="false" outlineLevel="0" collapsed="false">
      <c r="A3" s="0" t="s">
        <v>81</v>
      </c>
      <c r="B3" s="3" t="n">
        <v>932.5</v>
      </c>
    </row>
    <row r="4" customFormat="false" ht="15" hidden="false" customHeight="false" outlineLevel="0" collapsed="false">
      <c r="A4" s="0" t="s">
        <v>82</v>
      </c>
      <c r="B4" s="3" t="n">
        <v>36988</v>
      </c>
    </row>
    <row r="5" customFormat="false" ht="15" hidden="false" customHeight="false" outlineLevel="0" collapsed="false">
      <c r="A5" s="0" t="s">
        <v>83</v>
      </c>
      <c r="B5" s="3" t="n">
        <v>-2707</v>
      </c>
    </row>
    <row r="6" customFormat="false" ht="15" hidden="false" customHeight="false" outlineLevel="0" collapsed="false">
      <c r="A6" s="0" t="s">
        <v>84</v>
      </c>
      <c r="B6" s="3" t="n">
        <v>15</v>
      </c>
    </row>
    <row r="7" customFormat="false" ht="15" hidden="false" customHeight="false" outlineLevel="0" collapsed="false">
      <c r="A7" s="0" t="s">
        <v>85</v>
      </c>
      <c r="B7" s="3" t="n">
        <v>24468</v>
      </c>
    </row>
    <row r="8" customFormat="false" ht="15" hidden="false" customHeight="false" outlineLevel="0" collapsed="false">
      <c r="A8" s="0" t="s">
        <v>86</v>
      </c>
      <c r="B8" s="3" t="s">
        <v>77</v>
      </c>
    </row>
    <row r="9" customFormat="false" ht="15" hidden="false" customHeight="false" outlineLevel="0" collapsed="false">
      <c r="A9" s="0" t="s">
        <v>87</v>
      </c>
      <c r="B9" s="3" t="s">
        <v>88</v>
      </c>
    </row>
    <row r="10" customFormat="false" ht="15" hidden="false" customHeight="false" outlineLevel="0" collapsed="false">
      <c r="A10" s="0" t="s">
        <v>89</v>
      </c>
      <c r="B10" s="3" t="n">
        <v>0.702</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1.5</v>
      </c>
      <c r="D13" s="3" t="n">
        <v>0.5</v>
      </c>
      <c r="E13" s="3" t="n">
        <v>0</v>
      </c>
      <c r="F13" s="3" t="n">
        <v>0</v>
      </c>
      <c r="G13" s="3" t="n">
        <v>0.5</v>
      </c>
      <c r="H13" s="3" t="n">
        <v>0.5</v>
      </c>
      <c r="I13" s="3" t="n">
        <v>0.5</v>
      </c>
      <c r="J13" s="3" t="n">
        <v>0.5</v>
      </c>
      <c r="K13" s="3" t="n">
        <v>0.5</v>
      </c>
      <c r="L13" s="3" t="n">
        <v>0.5</v>
      </c>
    </row>
    <row r="14" customFormat="false" ht="15" hidden="false" customHeight="false" outlineLevel="0" collapsed="false">
      <c r="A14" s="0" t="s">
        <v>102</v>
      </c>
      <c r="C14" s="3" t="n">
        <v>40.8</v>
      </c>
      <c r="D14" s="3" t="n">
        <v>40.3</v>
      </c>
      <c r="E14" s="3" t="n">
        <v>39.8</v>
      </c>
      <c r="F14" s="3" t="n">
        <v>39.5</v>
      </c>
      <c r="G14" s="3" t="n">
        <v>39.5</v>
      </c>
      <c r="H14" s="3" t="n">
        <v>39.5</v>
      </c>
      <c r="I14" s="3" t="n">
        <v>39.5</v>
      </c>
      <c r="J14" s="3" t="n">
        <v>39.5</v>
      </c>
      <c r="K14" s="3" t="n">
        <v>39.5</v>
      </c>
      <c r="L14" s="3" t="n">
        <v>39.5</v>
      </c>
    </row>
    <row r="15" customFormat="false" ht="15" hidden="false" customHeight="false" outlineLevel="0" collapsed="false">
      <c r="A15" s="0" t="s">
        <v>103</v>
      </c>
      <c r="C15" s="3" t="n">
        <v>0.37</v>
      </c>
      <c r="D15" s="3" t="n">
        <v>0.37</v>
      </c>
      <c r="E15" s="3" t="n">
        <v>0.37</v>
      </c>
      <c r="F15" s="3" t="n">
        <v>0.37</v>
      </c>
      <c r="G15" s="3" t="n">
        <v>0.37</v>
      </c>
      <c r="H15" s="3" t="n">
        <v>0.37</v>
      </c>
      <c r="I15" s="3" t="n">
        <v>0.37</v>
      </c>
      <c r="J15" s="3" t="n">
        <v>0.37</v>
      </c>
      <c r="K15" s="3" t="n">
        <v>0.37</v>
      </c>
      <c r="L15" s="3" t="n">
        <v>0.37</v>
      </c>
    </row>
    <row r="16" customFormat="false" ht="15" hidden="false" customHeight="false" outlineLevel="0" collapsed="false">
      <c r="A16" s="0" t="s">
        <v>104</v>
      </c>
      <c r="C16" s="3" t="n">
        <v>4.8</v>
      </c>
      <c r="D16" s="3" t="n">
        <v>4.9</v>
      </c>
      <c r="E16" s="3" t="n">
        <v>5</v>
      </c>
      <c r="F16" s="3" t="n">
        <v>5</v>
      </c>
      <c r="G16" s="3" t="n">
        <v>5</v>
      </c>
      <c r="H16" s="3" t="n">
        <v>5</v>
      </c>
      <c r="I16" s="3" t="n">
        <v>5</v>
      </c>
      <c r="J16" s="3" t="n">
        <v>5</v>
      </c>
      <c r="K16" s="3" t="n">
        <v>5</v>
      </c>
      <c r="L16" s="3" t="n">
        <v>5</v>
      </c>
    </row>
    <row r="17" customFormat="false" ht="15" hidden="false" customHeight="false" outlineLevel="0" collapsed="false">
      <c r="A17" s="0" t="s">
        <v>105</v>
      </c>
      <c r="C17" s="3" t="n">
        <v>18.3</v>
      </c>
      <c r="D17" s="3" t="n">
        <v>18.5</v>
      </c>
      <c r="E17" s="3" t="n">
        <v>18.3</v>
      </c>
      <c r="F17" s="3" t="n">
        <v>18</v>
      </c>
      <c r="G17" s="3" t="n">
        <v>17.5</v>
      </c>
      <c r="H17" s="3" t="n">
        <v>17</v>
      </c>
      <c r="I17" s="3" t="n">
        <v>16.5</v>
      </c>
      <c r="J17" s="3" t="n">
        <v>16.3</v>
      </c>
      <c r="K17" s="3" t="n">
        <v>16</v>
      </c>
      <c r="L17" s="3" t="n">
        <v>16</v>
      </c>
    </row>
    <row r="18" customFormat="false" ht="15" hidden="false" customHeight="false" outlineLevel="0" collapsed="false">
      <c r="A18" s="0" t="s">
        <v>106</v>
      </c>
      <c r="C18" s="3" t="n">
        <v>19.5</v>
      </c>
      <c r="D18" s="3" t="n">
        <v>17</v>
      </c>
      <c r="E18" s="3" t="n">
        <v>16</v>
      </c>
      <c r="F18" s="3" t="n">
        <v>16</v>
      </c>
      <c r="G18" s="3" t="n">
        <v>16</v>
      </c>
      <c r="H18" s="3" t="n">
        <v>16</v>
      </c>
      <c r="I18" s="3" t="n">
        <v>16</v>
      </c>
      <c r="J18" s="3" t="n">
        <v>16</v>
      </c>
      <c r="K18" s="3" t="n">
        <v>16</v>
      </c>
      <c r="L18" s="3" t="n">
        <v>16</v>
      </c>
    </row>
    <row r="19" customFormat="false" ht="15" hidden="false" customHeight="false" outlineLevel="0" collapsed="false">
      <c r="A19" s="0" t="s">
        <v>107</v>
      </c>
      <c r="C19" s="3" t="n">
        <v>22</v>
      </c>
      <c r="D19" s="3" t="n">
        <v>23</v>
      </c>
      <c r="E19" s="3" t="n">
        <v>24</v>
      </c>
      <c r="F19" s="3" t="n">
        <v>25</v>
      </c>
      <c r="G19" s="3" t="n">
        <v>25.5</v>
      </c>
      <c r="H19" s="3" t="n">
        <v>26</v>
      </c>
      <c r="I19" s="3" t="n">
        <v>26</v>
      </c>
      <c r="J19" s="3" t="n">
        <v>26</v>
      </c>
      <c r="K19" s="3" t="n">
        <v>26</v>
      </c>
      <c r="L19" s="3" t="n">
        <v>26</v>
      </c>
    </row>
    <row r="20" customFormat="false" ht="15" hidden="false" customHeight="false" outlineLevel="0" collapsed="false">
      <c r="A20" s="0" t="s">
        <v>108</v>
      </c>
      <c r="B20" s="3" t="n">
        <v>6.75</v>
      </c>
    </row>
    <row r="21" customFormat="false" ht="15" hidden="false" customHeight="false" outlineLevel="0" collapsed="false">
      <c r="A21" s="0" t="s">
        <v>109</v>
      </c>
      <c r="B21" s="3" t="n">
        <v>0.5</v>
      </c>
    </row>
    <row r="22" customFormat="false" ht="15" hidden="false" customHeight="false" outlineLevel="0" collapsed="false">
      <c r="A22" s="0" t="s">
        <v>110</v>
      </c>
      <c r="B22" s="3" t="n">
        <v>12</v>
      </c>
    </row>
    <row r="23" customFormat="false" ht="15" hidden="false" customHeight="false" outlineLevel="0" collapsed="false">
      <c r="A23" s="0" t="s">
        <v>111</v>
      </c>
      <c r="B23" s="3" t="n">
        <v>-5</v>
      </c>
    </row>
    <row r="24" customFormat="false" ht="15" hidden="false" customHeight="false" outlineLevel="0" collapsed="false">
      <c r="A24" s="0" t="s">
        <v>112</v>
      </c>
      <c r="B24" s="3" t="n">
        <v>0.3</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2.5</v>
      </c>
      <c r="D27" s="3" t="n">
        <v>2</v>
      </c>
      <c r="E27" s="3" t="n">
        <v>1.8</v>
      </c>
      <c r="F27" s="3" t="n">
        <v>1.6</v>
      </c>
      <c r="G27" s="3" t="n">
        <v>1.5</v>
      </c>
      <c r="H27" s="3" t="n">
        <v>1.5</v>
      </c>
      <c r="I27" s="3" t="n">
        <v>1.5</v>
      </c>
      <c r="J27" s="3" t="n">
        <v>1.5</v>
      </c>
      <c r="K27" s="3" t="n">
        <v>1.5</v>
      </c>
      <c r="L27" s="3" t="n">
        <v>1.5</v>
      </c>
    </row>
    <row r="28" customFormat="false" ht="15" hidden="false" customHeight="false" outlineLevel="0" collapsed="false">
      <c r="A28" s="0" t="s">
        <v>102</v>
      </c>
      <c r="C28" s="3" t="n">
        <v>41.2</v>
      </c>
      <c r="D28" s="3" t="n">
        <v>41.3</v>
      </c>
      <c r="E28" s="3" t="n">
        <v>41.5</v>
      </c>
      <c r="F28" s="3" t="n">
        <v>41.6</v>
      </c>
      <c r="G28" s="3" t="n">
        <v>41.6</v>
      </c>
      <c r="H28" s="3" t="n">
        <v>41.6</v>
      </c>
      <c r="I28" s="3" t="n">
        <v>41.6</v>
      </c>
      <c r="J28" s="3" t="n">
        <v>41.6</v>
      </c>
      <c r="K28" s="3" t="n">
        <v>41.6</v>
      </c>
      <c r="L28" s="3" t="n">
        <v>41.6</v>
      </c>
    </row>
    <row r="29" customFormat="false" ht="15" hidden="false" customHeight="false" outlineLevel="0" collapsed="false">
      <c r="A29" s="0" t="s">
        <v>103</v>
      </c>
      <c r="C29" s="3" t="n">
        <v>0.37</v>
      </c>
      <c r="D29" s="3" t="n">
        <v>0.37</v>
      </c>
      <c r="E29" s="3" t="n">
        <v>0.37</v>
      </c>
      <c r="F29" s="3" t="n">
        <v>0.37</v>
      </c>
      <c r="G29" s="3" t="n">
        <v>0.37</v>
      </c>
      <c r="H29" s="3" t="n">
        <v>0.37</v>
      </c>
      <c r="I29" s="3" t="n">
        <v>0.37</v>
      </c>
      <c r="J29" s="3" t="n">
        <v>0.37</v>
      </c>
      <c r="K29" s="3" t="n">
        <v>0.37</v>
      </c>
      <c r="L29" s="3" t="n">
        <v>0.37</v>
      </c>
    </row>
    <row r="30" customFormat="false" ht="15" hidden="false" customHeight="false" outlineLevel="0" collapsed="false">
      <c r="A30" s="0" t="s">
        <v>104</v>
      </c>
      <c r="C30" s="3" t="n">
        <v>4.8</v>
      </c>
      <c r="D30" s="3" t="n">
        <v>4.8</v>
      </c>
      <c r="E30" s="3" t="n">
        <v>4.8</v>
      </c>
      <c r="F30" s="3" t="n">
        <v>4.8</v>
      </c>
      <c r="G30" s="3" t="n">
        <v>4.8</v>
      </c>
      <c r="H30" s="3" t="n">
        <v>4.8</v>
      </c>
      <c r="I30" s="3" t="n">
        <v>4.8</v>
      </c>
      <c r="J30" s="3" t="n">
        <v>4.8</v>
      </c>
      <c r="K30" s="3" t="n">
        <v>4.8</v>
      </c>
      <c r="L30" s="3" t="n">
        <v>4.8</v>
      </c>
    </row>
    <row r="31" customFormat="false" ht="15" hidden="false" customHeight="false" outlineLevel="0" collapsed="false">
      <c r="A31" s="0" t="s">
        <v>105</v>
      </c>
      <c r="C31" s="3" t="n">
        <v>18.3</v>
      </c>
      <c r="D31" s="3" t="n">
        <v>18.3</v>
      </c>
      <c r="E31" s="3" t="n">
        <v>18</v>
      </c>
      <c r="F31" s="3" t="n">
        <v>17.5</v>
      </c>
      <c r="G31" s="3" t="n">
        <v>17</v>
      </c>
      <c r="H31" s="3" t="n">
        <v>16.5</v>
      </c>
      <c r="I31" s="3" t="n">
        <v>16</v>
      </c>
      <c r="J31" s="3" t="n">
        <v>15.7</v>
      </c>
      <c r="K31" s="3" t="n">
        <v>15.5</v>
      </c>
      <c r="L31" s="3" t="n">
        <v>15.5</v>
      </c>
    </row>
    <row r="32" customFormat="false" ht="15" hidden="false" customHeight="false" outlineLevel="0" collapsed="false">
      <c r="A32" s="0" t="s">
        <v>106</v>
      </c>
      <c r="C32" s="3" t="n">
        <v>19.5</v>
      </c>
      <c r="D32" s="3" t="n">
        <v>16.5</v>
      </c>
      <c r="E32" s="3" t="n">
        <v>15</v>
      </c>
      <c r="F32" s="3" t="n">
        <v>15</v>
      </c>
      <c r="G32" s="3" t="n">
        <v>15</v>
      </c>
      <c r="H32" s="3" t="n">
        <v>15</v>
      </c>
      <c r="I32" s="3" t="n">
        <v>15</v>
      </c>
      <c r="J32" s="3" t="n">
        <v>15</v>
      </c>
      <c r="K32" s="3" t="n">
        <v>15</v>
      </c>
      <c r="L32" s="3" t="n">
        <v>15</v>
      </c>
    </row>
    <row r="33" customFormat="false" ht="15" hidden="false" customHeight="false" outlineLevel="0" collapsed="false">
      <c r="A33" s="0" t="s">
        <v>107</v>
      </c>
      <c r="C33" s="3" t="n">
        <v>22</v>
      </c>
      <c r="D33" s="3" t="n">
        <v>23</v>
      </c>
      <c r="E33" s="3" t="n">
        <v>24</v>
      </c>
      <c r="F33" s="3" t="n">
        <v>25</v>
      </c>
      <c r="G33" s="3" t="n">
        <v>25.5</v>
      </c>
      <c r="H33" s="3" t="n">
        <v>26</v>
      </c>
      <c r="I33" s="3" t="n">
        <v>26</v>
      </c>
      <c r="J33" s="3" t="n">
        <v>26</v>
      </c>
      <c r="K33" s="3" t="n">
        <v>26</v>
      </c>
      <c r="L33" s="3" t="n">
        <v>26</v>
      </c>
    </row>
    <row r="34" customFormat="false" ht="15" hidden="false" customHeight="false" outlineLevel="0" collapsed="false">
      <c r="A34" s="0" t="s">
        <v>108</v>
      </c>
      <c r="B34" s="3" t="n">
        <v>6.75</v>
      </c>
    </row>
    <row r="35" customFormat="false" ht="15" hidden="false" customHeight="false" outlineLevel="0" collapsed="false">
      <c r="A35" s="0" t="s">
        <v>109</v>
      </c>
      <c r="B35" s="3" t="n">
        <v>1.5</v>
      </c>
    </row>
    <row r="36" customFormat="false" ht="15" hidden="false" customHeight="false" outlineLevel="0" collapsed="false">
      <c r="A36" s="0" t="s">
        <v>110</v>
      </c>
      <c r="B36" s="3" t="n">
        <v>15</v>
      </c>
    </row>
    <row r="37" customFormat="false" ht="15" hidden="false" customHeight="false" outlineLevel="0" collapsed="false">
      <c r="A37" s="0" t="s">
        <v>111</v>
      </c>
      <c r="B37" s="3" t="n">
        <v>-5</v>
      </c>
    </row>
    <row r="38" customFormat="false" ht="15" hidden="false" customHeight="false" outlineLevel="0" collapsed="false">
      <c r="A38" s="0" t="s">
        <v>112</v>
      </c>
      <c r="B38" s="3" t="n">
        <v>0.5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3.5</v>
      </c>
      <c r="D41" s="3" t="n">
        <v>3.5</v>
      </c>
      <c r="E41" s="3" t="n">
        <v>3</v>
      </c>
      <c r="F41" s="3" t="n">
        <v>2.5</v>
      </c>
      <c r="G41" s="3" t="n">
        <v>2.3</v>
      </c>
      <c r="H41" s="3" t="n">
        <v>2</v>
      </c>
      <c r="I41" s="3" t="n">
        <v>2</v>
      </c>
      <c r="J41" s="3" t="n">
        <v>2</v>
      </c>
      <c r="K41" s="3" t="n">
        <v>2</v>
      </c>
      <c r="L41" s="3" t="n">
        <v>2</v>
      </c>
    </row>
    <row r="42" customFormat="false" ht="15" hidden="false" customHeight="false" outlineLevel="0" collapsed="false">
      <c r="A42" s="0" t="s">
        <v>102</v>
      </c>
      <c r="C42" s="3" t="n">
        <v>41.4</v>
      </c>
      <c r="D42" s="3" t="n">
        <v>41.8</v>
      </c>
      <c r="E42" s="3" t="n">
        <v>42.3</v>
      </c>
      <c r="F42" s="3" t="n">
        <v>42.8</v>
      </c>
      <c r="G42" s="3" t="n">
        <v>43</v>
      </c>
      <c r="H42" s="3" t="n">
        <v>43</v>
      </c>
      <c r="I42" s="3" t="n">
        <v>43</v>
      </c>
      <c r="J42" s="3" t="n">
        <v>43</v>
      </c>
      <c r="K42" s="3" t="n">
        <v>43</v>
      </c>
      <c r="L42" s="3" t="n">
        <v>43</v>
      </c>
    </row>
    <row r="43" customFormat="false" ht="15" hidden="false" customHeight="false" outlineLevel="0" collapsed="false">
      <c r="A43" s="0" t="s">
        <v>103</v>
      </c>
      <c r="C43" s="3" t="n">
        <v>0.37</v>
      </c>
      <c r="D43" s="3" t="n">
        <v>0.37</v>
      </c>
      <c r="E43" s="3" t="n">
        <v>0.37</v>
      </c>
      <c r="F43" s="3" t="n">
        <v>0.37</v>
      </c>
      <c r="G43" s="3" t="n">
        <v>0.37</v>
      </c>
      <c r="H43" s="3" t="n">
        <v>0.37</v>
      </c>
      <c r="I43" s="3" t="n">
        <v>0.37</v>
      </c>
      <c r="J43" s="3" t="n">
        <v>0.37</v>
      </c>
      <c r="K43" s="3" t="n">
        <v>0.37</v>
      </c>
      <c r="L43" s="3" t="n">
        <v>0.37</v>
      </c>
    </row>
    <row r="44" customFormat="false" ht="15" hidden="false" customHeight="false" outlineLevel="0" collapsed="false">
      <c r="A44" s="0" t="s">
        <v>104</v>
      </c>
      <c r="C44" s="3" t="n">
        <v>4.8</v>
      </c>
      <c r="D44" s="3" t="n">
        <v>4.8</v>
      </c>
      <c r="E44" s="3" t="n">
        <v>4.8</v>
      </c>
      <c r="F44" s="3" t="n">
        <v>4.8</v>
      </c>
      <c r="G44" s="3" t="n">
        <v>4.8</v>
      </c>
      <c r="H44" s="3" t="n">
        <v>4.8</v>
      </c>
      <c r="I44" s="3" t="n">
        <v>4.8</v>
      </c>
      <c r="J44" s="3" t="n">
        <v>4.8</v>
      </c>
      <c r="K44" s="3" t="n">
        <v>4.8</v>
      </c>
      <c r="L44" s="3" t="n">
        <v>4.8</v>
      </c>
    </row>
    <row r="45" customFormat="false" ht="15" hidden="false" customHeight="false" outlineLevel="0" collapsed="false">
      <c r="A45" s="0" t="s">
        <v>105</v>
      </c>
      <c r="C45" s="3" t="n">
        <v>18.3</v>
      </c>
      <c r="D45" s="3" t="n">
        <v>18.3</v>
      </c>
      <c r="E45" s="3" t="n">
        <v>18</v>
      </c>
      <c r="F45" s="3" t="n">
        <v>17.5</v>
      </c>
      <c r="G45" s="3" t="n">
        <v>17</v>
      </c>
      <c r="H45" s="3" t="n">
        <v>16.5</v>
      </c>
      <c r="I45" s="3" t="n">
        <v>16</v>
      </c>
      <c r="J45" s="3" t="n">
        <v>15.5</v>
      </c>
      <c r="K45" s="3" t="n">
        <v>15</v>
      </c>
      <c r="L45" s="3" t="n">
        <v>15</v>
      </c>
    </row>
    <row r="46" customFormat="false" ht="15" hidden="false" customHeight="false" outlineLevel="0" collapsed="false">
      <c r="A46" s="0" t="s">
        <v>106</v>
      </c>
      <c r="C46" s="3" t="n">
        <v>19.5</v>
      </c>
      <c r="D46" s="3" t="n">
        <v>16</v>
      </c>
      <c r="E46" s="3" t="n">
        <v>14.5</v>
      </c>
      <c r="F46" s="3" t="n">
        <v>14</v>
      </c>
      <c r="G46" s="3" t="n">
        <v>14</v>
      </c>
      <c r="H46" s="3" t="n">
        <v>14</v>
      </c>
      <c r="I46" s="3" t="n">
        <v>14</v>
      </c>
      <c r="J46" s="3" t="n">
        <v>14</v>
      </c>
      <c r="K46" s="3" t="n">
        <v>14</v>
      </c>
      <c r="L46" s="3" t="n">
        <v>14</v>
      </c>
    </row>
    <row r="47" customFormat="false" ht="15" hidden="false" customHeight="false" outlineLevel="0" collapsed="false">
      <c r="A47" s="0" t="s">
        <v>107</v>
      </c>
      <c r="C47" s="3" t="n">
        <v>22</v>
      </c>
      <c r="D47" s="3" t="n">
        <v>23</v>
      </c>
      <c r="E47" s="3" t="n">
        <v>24</v>
      </c>
      <c r="F47" s="3" t="n">
        <v>25</v>
      </c>
      <c r="G47" s="3" t="n">
        <v>25.5</v>
      </c>
      <c r="H47" s="3" t="n">
        <v>26</v>
      </c>
      <c r="I47" s="3" t="n">
        <v>26</v>
      </c>
      <c r="J47" s="3" t="n">
        <v>26</v>
      </c>
      <c r="K47" s="3" t="n">
        <v>26</v>
      </c>
      <c r="L47" s="3" t="n">
        <v>26</v>
      </c>
    </row>
    <row r="48" customFormat="false" ht="15" hidden="false" customHeight="false" outlineLevel="0" collapsed="false">
      <c r="A48" s="0" t="s">
        <v>108</v>
      </c>
      <c r="B48" s="3" t="n">
        <v>6.75</v>
      </c>
    </row>
    <row r="49" customFormat="false" ht="15" hidden="false" customHeight="false" outlineLevel="0" collapsed="false">
      <c r="A49" s="0" t="s">
        <v>109</v>
      </c>
      <c r="B49" s="3" t="n">
        <v>2</v>
      </c>
    </row>
    <row r="50" customFormat="false" ht="15" hidden="false" customHeight="false" outlineLevel="0" collapsed="false">
      <c r="A50" s="0" t="s">
        <v>110</v>
      </c>
      <c r="B50" s="3" t="n">
        <v>17</v>
      </c>
    </row>
    <row r="51" customFormat="false" ht="15" hidden="false" customHeight="false" outlineLevel="0" collapsed="false">
      <c r="A51" s="0" t="s">
        <v>111</v>
      </c>
      <c r="B51" s="3" t="n">
        <v>-5</v>
      </c>
    </row>
    <row r="52" customFormat="false" ht="15" hidden="false" customHeight="false" outlineLevel="0" collapsed="false">
      <c r="A52" s="0" t="s">
        <v>112</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1.5</v>
      </c>
      <c r="D5" s="4" t="n">
        <f aca="false">Assumptions!D13</f>
        <v>0.5</v>
      </c>
      <c r="E5" s="4" t="n">
        <f aca="false">Assumptions!E13</f>
        <v>0</v>
      </c>
      <c r="F5" s="4" t="n">
        <f aca="false">Assumptions!F13</f>
        <v>0</v>
      </c>
      <c r="G5" s="4" t="n">
        <f aca="false">Assumptions!G13</f>
        <v>0.5</v>
      </c>
      <c r="H5" s="4" t="n">
        <f aca="false">Assumptions!H13</f>
        <v>0.5</v>
      </c>
      <c r="I5" s="4" t="n">
        <f aca="false">Assumptions!I13</f>
        <v>0.5</v>
      </c>
      <c r="J5" s="4" t="n">
        <f aca="false">Assumptions!J13</f>
        <v>0.5</v>
      </c>
      <c r="K5" s="4" t="n">
        <f aca="false">Assumptions!K13</f>
        <v>0.5</v>
      </c>
      <c r="L5" s="4" t="n">
        <f aca="false">Assumptions!L13</f>
        <v>0.5</v>
      </c>
    </row>
    <row r="6" customFormat="false" ht="15" hidden="false" customHeight="false" outlineLevel="0" collapsed="false">
      <c r="A6" s="0" t="s">
        <v>38</v>
      </c>
      <c r="B6" s="3" t="n">
        <v>24468</v>
      </c>
      <c r="C6" s="0" t="n">
        <f aca="false">B6*(1+C5/100)</f>
        <v>24835.02</v>
      </c>
      <c r="D6" s="0" t="n">
        <f aca="false">C6*(1+D5/100)</f>
        <v>24959.1951</v>
      </c>
      <c r="E6" s="0" t="n">
        <f aca="false">D6*(1+E5/100)</f>
        <v>24959.1951</v>
      </c>
      <c r="F6" s="0" t="n">
        <f aca="false">E6*(1+F5/100)</f>
        <v>24959.1951</v>
      </c>
      <c r="G6" s="0" t="n">
        <f aca="false">F6*(1+G5/100)</f>
        <v>25083.9910755</v>
      </c>
      <c r="H6" s="0" t="n">
        <f aca="false">G6*(1+H5/100)</f>
        <v>25209.4110308775</v>
      </c>
      <c r="I6" s="0" t="n">
        <f aca="false">H6*(1+I5/100)</f>
        <v>25335.4580860319</v>
      </c>
      <c r="J6" s="0" t="n">
        <f aca="false">I6*(1+J5/100)</f>
        <v>25462.135376462</v>
      </c>
      <c r="K6" s="0" t="n">
        <f aca="false">J6*(1+K5/100)</f>
        <v>25589.4460533443</v>
      </c>
      <c r="L6" s="0" t="n">
        <f aca="false">K6*(1+L5/100)</f>
        <v>25717.3932836111</v>
      </c>
    </row>
    <row r="7" customFormat="false" ht="15" hidden="false" customHeight="false" outlineLevel="0" collapsed="false">
      <c r="A7" s="0" t="s">
        <v>102</v>
      </c>
      <c r="C7" s="4" t="n">
        <f aca="false">Assumptions!C14</f>
        <v>40.8</v>
      </c>
      <c r="D7" s="4" t="n">
        <f aca="false">Assumptions!D14</f>
        <v>40.3</v>
      </c>
      <c r="E7" s="4" t="n">
        <f aca="false">Assumptions!E14</f>
        <v>39.8</v>
      </c>
      <c r="F7" s="4" t="n">
        <f aca="false">Assumptions!F14</f>
        <v>39.5</v>
      </c>
      <c r="G7" s="4" t="n">
        <f aca="false">Assumptions!G14</f>
        <v>39.5</v>
      </c>
      <c r="H7" s="4" t="n">
        <f aca="false">Assumptions!H14</f>
        <v>39.5</v>
      </c>
      <c r="I7" s="4" t="n">
        <f aca="false">Assumptions!I14</f>
        <v>39.5</v>
      </c>
      <c r="J7" s="4" t="n">
        <f aca="false">Assumptions!J14</f>
        <v>39.5</v>
      </c>
      <c r="K7" s="4" t="n">
        <f aca="false">Assumptions!K14</f>
        <v>39.5</v>
      </c>
      <c r="L7" s="4" t="n">
        <f aca="false">Assumptions!L14</f>
        <v>39.5</v>
      </c>
    </row>
    <row r="8" customFormat="false" ht="15" hidden="false" customHeight="false" outlineLevel="0" collapsed="false">
      <c r="A8" s="0" t="s">
        <v>44</v>
      </c>
      <c r="C8" s="0" t="n">
        <f aca="false">C6*C7/100</f>
        <v>10132.68816</v>
      </c>
      <c r="D8" s="0" t="n">
        <f aca="false">D6*D7/100</f>
        <v>10058.5556253</v>
      </c>
      <c r="E8" s="0" t="n">
        <f aca="false">E6*E7/100</f>
        <v>9933.7596498</v>
      </c>
      <c r="F8" s="0" t="n">
        <f aca="false">F6*F7/100</f>
        <v>9858.8820645</v>
      </c>
      <c r="G8" s="0" t="n">
        <f aca="false">G6*G7/100</f>
        <v>9908.1764748225</v>
      </c>
      <c r="H8" s="0" t="n">
        <f aca="false">H6*H7/100</f>
        <v>9957.71735719661</v>
      </c>
      <c r="I8" s="0" t="n">
        <f aca="false">I6*I7/100</f>
        <v>10007.5059439826</v>
      </c>
      <c r="J8" s="0" t="n">
        <f aca="false">J6*J7/100</f>
        <v>10057.5434737025</v>
      </c>
      <c r="K8" s="0" t="n">
        <f aca="false">K6*K7/100</f>
        <v>10107.831191071</v>
      </c>
      <c r="L8" s="0" t="n">
        <f aca="false">L6*L7/100</f>
        <v>10158.3703470264</v>
      </c>
    </row>
    <row r="9" customFormat="false" ht="15" hidden="false" customHeight="false" outlineLevel="0" collapsed="false">
      <c r="A9" s="0" t="s">
        <v>103</v>
      </c>
      <c r="C9" s="4" t="n">
        <f aca="false">Assumptions!C15</f>
        <v>0.37</v>
      </c>
      <c r="D9" s="4" t="n">
        <f aca="false">Assumptions!D15</f>
        <v>0.37</v>
      </c>
      <c r="E9" s="4" t="n">
        <f aca="false">Assumptions!E15</f>
        <v>0.37</v>
      </c>
      <c r="F9" s="4" t="n">
        <f aca="false">Assumptions!F15</f>
        <v>0.37</v>
      </c>
      <c r="G9" s="4" t="n">
        <f aca="false">Assumptions!G15</f>
        <v>0.37</v>
      </c>
      <c r="H9" s="4" t="n">
        <f aca="false">Assumptions!H15</f>
        <v>0.37</v>
      </c>
      <c r="I9" s="4" t="n">
        <f aca="false">Assumptions!I15</f>
        <v>0.37</v>
      </c>
      <c r="J9" s="4" t="n">
        <f aca="false">Assumptions!J15</f>
        <v>0.37</v>
      </c>
      <c r="K9" s="4" t="n">
        <f aca="false">Assumptions!K15</f>
        <v>0.37</v>
      </c>
      <c r="L9" s="4" t="n">
        <f aca="false">Assumptions!L15</f>
        <v>0.37</v>
      </c>
    </row>
    <row r="10" customFormat="false" ht="15" hidden="false" customHeight="false" outlineLevel="0" collapsed="false">
      <c r="A10" s="0" t="s">
        <v>118</v>
      </c>
      <c r="C10" s="0" t="n">
        <f aca="false">-C6*C9/100</f>
        <v>-91.889574</v>
      </c>
      <c r="D10" s="0" t="n">
        <f aca="false">-D6*D9/100</f>
        <v>-92.34902187</v>
      </c>
      <c r="E10" s="0" t="n">
        <f aca="false">-E6*E9/100</f>
        <v>-92.34902187</v>
      </c>
      <c r="F10" s="0" t="n">
        <f aca="false">-F6*F9/100</f>
        <v>-92.34902187</v>
      </c>
      <c r="G10" s="0" t="n">
        <f aca="false">-G6*G9/100</f>
        <v>-92.81076697935</v>
      </c>
      <c r="H10" s="0" t="n">
        <f aca="false">-H6*H9/100</f>
        <v>-93.2748208142467</v>
      </c>
      <c r="I10" s="0" t="n">
        <f aca="false">-I6*I9/100</f>
        <v>-93.7411949183179</v>
      </c>
      <c r="J10" s="0" t="n">
        <f aca="false">-J6*J9/100</f>
        <v>-94.2099008929095</v>
      </c>
      <c r="K10" s="0" t="n">
        <f aca="false">-K6*K9/100</f>
        <v>-94.6809503973741</v>
      </c>
      <c r="L10" s="0" t="n">
        <f aca="false">-L6*L9/100</f>
        <v>-95.1543551493609</v>
      </c>
    </row>
    <row r="11" customFormat="false" ht="15" hidden="false" customHeight="false" outlineLevel="0" collapsed="false">
      <c r="A11" s="0" t="s">
        <v>119</v>
      </c>
      <c r="C11" s="0" t="n">
        <f aca="false">C8+C10+C24</f>
        <v>8848.717626</v>
      </c>
      <c r="D11" s="0" t="n">
        <f aca="false">D8+D10+D24</f>
        <v>8743.20604353</v>
      </c>
      <c r="E11" s="0" t="n">
        <f aca="false">E8+E10+E24</f>
        <v>8593.45087293</v>
      </c>
      <c r="F11" s="0" t="n">
        <f aca="false">F8+F10+F24</f>
        <v>8518.57328763</v>
      </c>
      <c r="G11" s="0" t="n">
        <f aca="false">G8+G10+G24</f>
        <v>8561.16615406815</v>
      </c>
      <c r="H11" s="0" t="n">
        <f aca="false">H8+H10+H24</f>
        <v>8603.97198483849</v>
      </c>
      <c r="I11" s="0" t="n">
        <f aca="false">I8+I10+I24</f>
        <v>8646.99184476268</v>
      </c>
      <c r="J11" s="0" t="n">
        <f aca="false">J8+J10+J24</f>
        <v>8690.22680398649</v>
      </c>
      <c r="K11" s="0" t="n">
        <f aca="false">K8+K10+K24</f>
        <v>8733.67793800642</v>
      </c>
      <c r="L11" s="0" t="n">
        <f aca="false">L8+L10+L24</f>
        <v>8777.34632769645</v>
      </c>
    </row>
    <row r="12" customFormat="false" ht="15" hidden="false" customHeight="false" outlineLevel="0" collapsed="false">
      <c r="A12" s="0" t="s">
        <v>120</v>
      </c>
      <c r="C12" s="4" t="n">
        <f aca="false">-C6*Assumptions!C17/100</f>
        <v>-4544.80866</v>
      </c>
      <c r="D12" s="4" t="n">
        <f aca="false">-D6*Assumptions!D17/100</f>
        <v>-4617.4510935</v>
      </c>
      <c r="E12" s="4" t="n">
        <f aca="false">-E6*Assumptions!E17/100</f>
        <v>-4567.5327033</v>
      </c>
      <c r="F12" s="4" t="n">
        <f aca="false">-F6*Assumptions!F17/100</f>
        <v>-4492.655118</v>
      </c>
      <c r="G12" s="4" t="n">
        <f aca="false">-G6*Assumptions!G17/100</f>
        <v>-4389.6984382125</v>
      </c>
      <c r="H12" s="4" t="n">
        <f aca="false">-H6*Assumptions!H17/100</f>
        <v>-4285.59987524917</v>
      </c>
      <c r="I12" s="4" t="n">
        <f aca="false">-I6*Assumptions!I17/100</f>
        <v>-4180.35058419526</v>
      </c>
      <c r="J12" s="4" t="n">
        <f aca="false">-J6*Assumptions!J17/100</f>
        <v>-4150.32806636331</v>
      </c>
      <c r="K12" s="4" t="n">
        <f aca="false">-K6*Assumptions!K17/100</f>
        <v>-4094.31136853509</v>
      </c>
      <c r="L12" s="4" t="n">
        <f aca="false">-L6*Assumptions!L17/100</f>
        <v>-4114.78292537777</v>
      </c>
    </row>
    <row r="13" customFormat="false" ht="15" hidden="false" customHeight="false" outlineLevel="0" collapsed="false">
      <c r="A13" s="0" t="s">
        <v>121</v>
      </c>
      <c r="C13" s="0" t="n">
        <f aca="false">C11+C12</f>
        <v>4303.908966</v>
      </c>
      <c r="D13" s="0" t="n">
        <f aca="false">D11+D12</f>
        <v>4125.75495003</v>
      </c>
      <c r="E13" s="0" t="n">
        <f aca="false">E11+E12</f>
        <v>4025.91816963</v>
      </c>
      <c r="F13" s="0" t="n">
        <f aca="false">F11+F12</f>
        <v>4025.91816963</v>
      </c>
      <c r="G13" s="0" t="n">
        <f aca="false">G11+G12</f>
        <v>4171.46771585565</v>
      </c>
      <c r="H13" s="0" t="n">
        <f aca="false">H11+H12</f>
        <v>4318.37210958931</v>
      </c>
      <c r="I13" s="0" t="n">
        <f aca="false">I11+I12</f>
        <v>4466.64126056742</v>
      </c>
      <c r="J13" s="0" t="n">
        <f aca="false">J11+J12</f>
        <v>4539.89873762318</v>
      </c>
      <c r="K13" s="0" t="n">
        <f aca="false">K11+K12</f>
        <v>4639.36656947133</v>
      </c>
      <c r="L13" s="0" t="n">
        <f aca="false">L11+L12</f>
        <v>4662.56340231869</v>
      </c>
    </row>
    <row r="14" customFormat="false" ht="15" hidden="false" customHeight="false" outlineLevel="0" collapsed="false">
      <c r="A14" s="0" t="s">
        <v>107</v>
      </c>
      <c r="C14" s="4" t="n">
        <f aca="false">Assumptions!C19</f>
        <v>22</v>
      </c>
      <c r="D14" s="4" t="n">
        <f aca="false">Assumptions!D19</f>
        <v>23</v>
      </c>
      <c r="E14" s="4" t="n">
        <f aca="false">Assumptions!E19</f>
        <v>24</v>
      </c>
      <c r="F14" s="4" t="n">
        <f aca="false">Assumptions!F19</f>
        <v>25</v>
      </c>
      <c r="G14" s="4" t="n">
        <f aca="false">Assumptions!G19</f>
        <v>25.5</v>
      </c>
      <c r="H14" s="4" t="n">
        <f aca="false">Assumptions!H19</f>
        <v>26</v>
      </c>
      <c r="I14" s="4" t="n">
        <f aca="false">Assumptions!I19</f>
        <v>26</v>
      </c>
      <c r="J14" s="4" t="n">
        <f aca="false">Assumptions!J19</f>
        <v>26</v>
      </c>
      <c r="K14" s="4" t="n">
        <f aca="false">Assumptions!K19</f>
        <v>26</v>
      </c>
      <c r="L14" s="4" t="n">
        <f aca="false">Assumptions!L19</f>
        <v>26</v>
      </c>
    </row>
    <row r="15" customFormat="false" ht="15" hidden="false" customHeight="false" outlineLevel="0" collapsed="false">
      <c r="A15" s="0" t="s">
        <v>122</v>
      </c>
      <c r="C15" s="0" t="n">
        <f aca="false">C13-MAX(0,C13)*C14/100</f>
        <v>3357.04899348</v>
      </c>
      <c r="D15" s="0" t="n">
        <f aca="false">D13-MAX(0,D13)*D14/100</f>
        <v>3176.8313115231</v>
      </c>
      <c r="E15" s="0" t="n">
        <f aca="false">E13-MAX(0,E13)*E14/100</f>
        <v>3059.6978089188</v>
      </c>
      <c r="F15" s="0" t="n">
        <f aca="false">F13-MAX(0,F13)*F14/100</f>
        <v>3019.4386272225</v>
      </c>
      <c r="G15" s="0" t="n">
        <f aca="false">G13-MAX(0,G13)*G14/100</f>
        <v>3107.74344831246</v>
      </c>
      <c r="H15" s="0" t="n">
        <f aca="false">H13-MAX(0,H13)*H14/100</f>
        <v>3195.59536109609</v>
      </c>
      <c r="I15" s="0" t="n">
        <f aca="false">I13-MAX(0,I13)*I14/100</f>
        <v>3305.31453281989</v>
      </c>
      <c r="J15" s="0" t="n">
        <f aca="false">J13-MAX(0,J13)*J14/100</f>
        <v>3359.52506584115</v>
      </c>
      <c r="K15" s="0" t="n">
        <f aca="false">K13-MAX(0,K13)*K14/100</f>
        <v>3433.13126140878</v>
      </c>
      <c r="L15" s="0" t="n">
        <f aca="false">L13-MAX(0,L13)*L14/100</f>
        <v>3450.29691771583</v>
      </c>
    </row>
    <row r="16" customFormat="false" ht="15" hidden="false" customHeight="false" outlineLevel="0" collapsed="false">
      <c r="A16" s="0" t="s">
        <v>123</v>
      </c>
      <c r="C16" s="0" t="n">
        <f aca="false">-C12</f>
        <v>4544.80866</v>
      </c>
      <c r="D16" s="0" t="n">
        <f aca="false">-D12</f>
        <v>4617.4510935</v>
      </c>
      <c r="E16" s="0" t="n">
        <f aca="false">-E12</f>
        <v>4567.5327033</v>
      </c>
      <c r="F16" s="0" t="n">
        <f aca="false">-F12</f>
        <v>4492.655118</v>
      </c>
      <c r="G16" s="0" t="n">
        <f aca="false">-G12</f>
        <v>4389.6984382125</v>
      </c>
      <c r="H16" s="0" t="n">
        <f aca="false">-H12</f>
        <v>4285.59987524917</v>
      </c>
      <c r="I16" s="0" t="n">
        <f aca="false">-I12</f>
        <v>4180.35058419526</v>
      </c>
      <c r="J16" s="0" t="n">
        <f aca="false">-J12</f>
        <v>4150.32806636331</v>
      </c>
      <c r="K16" s="0" t="n">
        <f aca="false">-K12</f>
        <v>4094.31136853509</v>
      </c>
      <c r="L16" s="0" t="n">
        <f aca="false">-L12</f>
        <v>4114.78292537777</v>
      </c>
    </row>
    <row r="17" customFormat="false" ht="15" hidden="false" customHeight="false" outlineLevel="0" collapsed="false">
      <c r="A17" s="0" t="s">
        <v>124</v>
      </c>
      <c r="C17" s="4" t="n">
        <f aca="false">-C6*Assumptions!C18/100</f>
        <v>-4842.8289</v>
      </c>
      <c r="D17" s="4" t="n">
        <f aca="false">-D6*Assumptions!D18/100</f>
        <v>-4243.063167</v>
      </c>
      <c r="E17" s="4" t="n">
        <f aca="false">-E6*Assumptions!E18/100</f>
        <v>-3993.471216</v>
      </c>
      <c r="F17" s="4" t="n">
        <f aca="false">-F6*Assumptions!F18/100</f>
        <v>-3993.471216</v>
      </c>
      <c r="G17" s="4" t="n">
        <f aca="false">-G6*Assumptions!G18/100</f>
        <v>-4013.43857208</v>
      </c>
      <c r="H17" s="4" t="n">
        <f aca="false">-H6*Assumptions!H18/100</f>
        <v>-4033.5057649404</v>
      </c>
      <c r="I17" s="4" t="n">
        <f aca="false">-I6*Assumptions!I18/100</f>
        <v>-4053.6732937651</v>
      </c>
      <c r="J17" s="4" t="n">
        <f aca="false">-J6*Assumptions!J18/100</f>
        <v>-4073.94166023392</v>
      </c>
      <c r="K17" s="4" t="n">
        <f aca="false">-K6*Assumptions!K18/100</f>
        <v>-4094.31136853509</v>
      </c>
      <c r="L17" s="4" t="n">
        <f aca="false">-L6*Assumptions!L18/100</f>
        <v>-4114.78292537777</v>
      </c>
    </row>
    <row r="18" customFormat="false" ht="15" hidden="false" customHeight="false" outlineLevel="0" collapsed="false">
      <c r="A18" s="0" t="s">
        <v>125</v>
      </c>
      <c r="C18" s="4" t="n">
        <f aca="false">(C6-B6)*Assumptions!$B$23/100</f>
        <v>-18.3509999999998</v>
      </c>
      <c r="D18" s="4" t="n">
        <f aca="false">(D6-C6)*Assumptions!$B$23/100</f>
        <v>-6.20875499999984</v>
      </c>
      <c r="E18" s="4" t="n">
        <f aca="false">(E6-D6)*Assumptions!$B$23/100</f>
        <v>-0</v>
      </c>
      <c r="F18" s="4" t="n">
        <f aca="false">(F6-E6)*Assumptions!$B$23/100</f>
        <v>-0</v>
      </c>
      <c r="G18" s="4" t="n">
        <f aca="false">(G6-F6)*Assumptions!$B$23/100</f>
        <v>-6.23979877499987</v>
      </c>
      <c r="H18" s="4" t="n">
        <f aca="false">(H6-G6)*Assumptions!$B$23/100</f>
        <v>-6.2709977688748</v>
      </c>
      <c r="I18" s="4" t="n">
        <f aca="false">(I6-H6)*Assumptions!$B$23/100</f>
        <v>-6.3023527577192</v>
      </c>
      <c r="J18" s="4" t="n">
        <f aca="false">(J6-I6)*Assumptions!$B$23/100</f>
        <v>-6.33386452150789</v>
      </c>
      <c r="K18" s="4" t="n">
        <f aca="false">(K6-J6)*Assumptions!$B$23/100</f>
        <v>-6.36553384411545</v>
      </c>
      <c r="L18" s="4" t="n">
        <f aca="false">(L6-K6)*Assumptions!$B$23/100</f>
        <v>-6.397361513336</v>
      </c>
    </row>
    <row r="19" customFormat="false" ht="15" hidden="false" customHeight="false" outlineLevel="0" collapsed="false">
      <c r="A19" s="0" t="s">
        <v>126</v>
      </c>
      <c r="C19" s="0" t="n">
        <f aca="false">C15+C16+C17+C18</f>
        <v>3040.67775348</v>
      </c>
      <c r="D19" s="0" t="n">
        <f aca="false">D15+D16+D17+D18</f>
        <v>3545.0104830231</v>
      </c>
      <c r="E19" s="0" t="n">
        <f aca="false">E15+E16+E17+E18</f>
        <v>3633.7592962188</v>
      </c>
      <c r="F19" s="0" t="n">
        <f aca="false">F15+F16+F17+F18</f>
        <v>3518.6225292225</v>
      </c>
      <c r="G19" s="0" t="n">
        <f aca="false">G15+G16+G17+G18</f>
        <v>3477.76351566996</v>
      </c>
      <c r="H19" s="0" t="n">
        <f aca="false">H15+H16+H17+H18</f>
        <v>3441.41847363599</v>
      </c>
      <c r="I19" s="0" t="n">
        <f aca="false">I15+I16+I17+I18</f>
        <v>3425.68947049233</v>
      </c>
      <c r="J19" s="0" t="n">
        <f aca="false">J15+J16+J17+J18</f>
        <v>3429.57760744903</v>
      </c>
      <c r="K19" s="0" t="n">
        <f aca="false">K15+K16+K17+K18</f>
        <v>3426.76572756467</v>
      </c>
      <c r="L19" s="0" t="n">
        <f aca="false">L15+L16+L17+L18</f>
        <v>3443.89955620249</v>
      </c>
    </row>
    <row r="20" customFormat="false" ht="15" hidden="false" customHeight="false" outlineLevel="0" collapsed="false">
      <c r="A20" s="0" t="s">
        <v>127</v>
      </c>
      <c r="C20" s="0" t="n">
        <f aca="false">1/(1+$B$27/100)^C4</f>
        <v>0.936768149882904</v>
      </c>
      <c r="D20" s="0" t="n">
        <f aca="false">1/(1+$B$27/100)^D4</f>
        <v>0.877534566635039</v>
      </c>
      <c r="E20" s="0" t="n">
        <f aca="false">1/(1+$B$27/100)^E4</f>
        <v>0.822046432445002</v>
      </c>
      <c r="F20" s="0" t="n">
        <f aca="false">1/(1+$B$27/100)^F4</f>
        <v>0.770066915639346</v>
      </c>
      <c r="G20" s="0" t="n">
        <f aca="false">1/(1+$B$27/100)^G4</f>
        <v>0.721374159849504</v>
      </c>
      <c r="H20" s="0" t="n">
        <f aca="false">1/(1+$B$27/100)^H4</f>
        <v>0.675760337095555</v>
      </c>
      <c r="I20" s="0" t="n">
        <f aca="false">1/(1+$B$27/100)^I4</f>
        <v>0.63303076074525</v>
      </c>
      <c r="J20" s="0" t="n">
        <f aca="false">1/(1+$B$27/100)^J4</f>
        <v>0.593003054562295</v>
      </c>
      <c r="K20" s="0" t="n">
        <f aca="false">1/(1+$B$27/100)^K4</f>
        <v>0.555506374297232</v>
      </c>
      <c r="L20" s="0" t="n">
        <f aca="false">1/(1+$B$27/100)^L4</f>
        <v>0.520380678498578</v>
      </c>
    </row>
    <row r="21" customFormat="false" ht="15" hidden="false" customHeight="false" outlineLevel="0" collapsed="false">
      <c r="A21" s="0" t="s">
        <v>128</v>
      </c>
      <c r="C21" s="0" t="n">
        <f aca="false">C19*C20</f>
        <v>2848.41007351756</v>
      </c>
      <c r="D21" s="0" t="n">
        <f aca="false">D19*D20</f>
        <v>3110.86923793634</v>
      </c>
      <c r="E21" s="0" t="n">
        <f aca="false">E19*E20</f>
        <v>2987.11886582052</v>
      </c>
      <c r="F21" s="0" t="n">
        <f aca="false">F19*F20</f>
        <v>2709.57479837748</v>
      </c>
      <c r="G21" s="0" t="n">
        <f aca="false">G19*G20</f>
        <v>2508.76873427167</v>
      </c>
      <c r="H21" s="0" t="n">
        <f aca="false">H19*H20</f>
        <v>2325.57410783113</v>
      </c>
      <c r="I21" s="0" t="n">
        <f aca="false">I19*I20</f>
        <v>2168.56681158275</v>
      </c>
      <c r="J21" s="0" t="n">
        <f aca="false">J19*J20</f>
        <v>2033.74999707572</v>
      </c>
      <c r="K21" s="0" t="n">
        <f aca="false">K19*K20</f>
        <v>1903.59020488547</v>
      </c>
      <c r="L21" s="0" t="n">
        <f aca="false">L19*L20</f>
        <v>1792.1387877376</v>
      </c>
    </row>
    <row r="23" customFormat="false" ht="15" hidden="false" customHeight="false" outlineLevel="0" collapsed="false">
      <c r="A23" s="0" t="s">
        <v>104</v>
      </c>
      <c r="C23" s="4" t="n">
        <f aca="false">Assumptions!C16</f>
        <v>4.8</v>
      </c>
      <c r="D23" s="4" t="n">
        <f aca="false">Assumptions!D16</f>
        <v>4.9</v>
      </c>
      <c r="E23" s="4" t="n">
        <f aca="false">Assumptions!E16</f>
        <v>5</v>
      </c>
      <c r="F23" s="4" t="n">
        <f aca="false">Assumptions!F16</f>
        <v>5</v>
      </c>
      <c r="G23" s="4" t="n">
        <f aca="false">Assumptions!G16</f>
        <v>5</v>
      </c>
      <c r="H23" s="4" t="n">
        <f aca="false">Assumptions!H16</f>
        <v>5</v>
      </c>
      <c r="I23" s="4" t="n">
        <f aca="false">Assumptions!I16</f>
        <v>5</v>
      </c>
      <c r="J23" s="4" t="n">
        <f aca="false">Assumptions!J16</f>
        <v>5</v>
      </c>
      <c r="K23" s="4" t="n">
        <f aca="false">Assumptions!K16</f>
        <v>5</v>
      </c>
      <c r="L23" s="4" t="n">
        <f aca="false">Assumptions!L16</f>
        <v>5</v>
      </c>
    </row>
    <row r="24" customFormat="false" ht="15" hidden="false" customHeight="false" outlineLevel="0" collapsed="false">
      <c r="A24" s="0" t="s">
        <v>129</v>
      </c>
      <c r="C24" s="0" t="n">
        <f aca="false">-C6*C23/100</f>
        <v>-1192.08096</v>
      </c>
      <c r="D24" s="0" t="n">
        <f aca="false">-D6*D23/100</f>
        <v>-1223.0005599</v>
      </c>
      <c r="E24" s="0" t="n">
        <f aca="false">-E6*E23/100</f>
        <v>-1247.959755</v>
      </c>
      <c r="F24" s="0" t="n">
        <f aca="false">-F6*F23/100</f>
        <v>-1247.959755</v>
      </c>
      <c r="G24" s="0" t="n">
        <f aca="false">-G6*G23/100</f>
        <v>-1254.199553775</v>
      </c>
      <c r="H24" s="0" t="n">
        <f aca="false">-H6*H23/100</f>
        <v>-1260.47055154387</v>
      </c>
      <c r="I24" s="0" t="n">
        <f aca="false">-I6*I23/100</f>
        <v>-1266.77290430159</v>
      </c>
      <c r="J24" s="0" t="n">
        <f aca="false">-J6*J23/100</f>
        <v>-1273.1067688231</v>
      </c>
      <c r="K24" s="0" t="n">
        <f aca="false">-K6*K23/100</f>
        <v>-1279.47230266722</v>
      </c>
      <c r="L24" s="0" t="n">
        <f aca="false">-L6*L23/100</f>
        <v>-1285.86966418055</v>
      </c>
    </row>
    <row r="26" customFormat="false" ht="15" hidden="false" customHeight="false" outlineLevel="0" collapsed="false">
      <c r="A26" s="2" t="s">
        <v>130</v>
      </c>
    </row>
    <row r="27" customFormat="false" ht="15" hidden="false" customHeight="false" outlineLevel="0" collapsed="false">
      <c r="A27" s="0" t="s">
        <v>108</v>
      </c>
      <c r="B27" s="4" t="n">
        <f aca="false">Assumptions!$B$20</f>
        <v>6.75</v>
      </c>
    </row>
    <row r="28" customFormat="false" ht="15" hidden="false" customHeight="false" outlineLevel="0" collapsed="false">
      <c r="A28" s="0" t="s">
        <v>109</v>
      </c>
      <c r="B28" s="4" t="n">
        <f aca="false">Assumptions!$B$21</f>
        <v>0.5</v>
      </c>
    </row>
    <row r="29" customFormat="false" ht="15" hidden="false" customHeight="false" outlineLevel="0" collapsed="false">
      <c r="A29" s="0" t="s">
        <v>110</v>
      </c>
      <c r="B29" s="4" t="n">
        <f aca="false">Assumptions!$B$22</f>
        <v>12</v>
      </c>
    </row>
    <row r="30" customFormat="false" ht="15" hidden="false" customHeight="false" outlineLevel="0" collapsed="false">
      <c r="A30" s="0" t="s">
        <v>131</v>
      </c>
      <c r="B30" s="0" t="n">
        <f aca="false">SUM(C21:L21)</f>
        <v>24388.3616190363</v>
      </c>
    </row>
    <row r="31" customFormat="false" ht="15" hidden="false" customHeight="false" outlineLevel="0" collapsed="false">
      <c r="A31" s="0" t="s">
        <v>132</v>
      </c>
      <c r="B31" s="0" t="n">
        <f aca="false">L19</f>
        <v>3443.89955620249</v>
      </c>
    </row>
    <row r="32" customFormat="false" ht="15" hidden="false" customHeight="false" outlineLevel="0" collapsed="false">
      <c r="A32" s="0" t="s">
        <v>133</v>
      </c>
      <c r="B32" s="0" t="n">
        <f aca="false">IF(B27&gt;B28,B31*(1+B28/100)/((B27-B28)/100),B31*B29)</f>
        <v>55377.9048637361</v>
      </c>
    </row>
    <row r="33" customFormat="false" ht="15" hidden="false" customHeight="false" outlineLevel="0" collapsed="false">
      <c r="A33" s="0" t="s">
        <v>134</v>
      </c>
      <c r="B33" s="0" t="n">
        <f aca="false">B31*B29</f>
        <v>41326.7946744299</v>
      </c>
    </row>
    <row r="34" customFormat="false" ht="15" hidden="false" customHeight="false" outlineLevel="0" collapsed="false">
      <c r="A34" s="0" t="s">
        <v>135</v>
      </c>
      <c r="B34" s="0" t="n">
        <f aca="false">MAX(0,MIN(B32,B33))</f>
        <v>41326.7946744299</v>
      </c>
    </row>
    <row r="35" customFormat="false" ht="15" hidden="false" customHeight="false" outlineLevel="0" collapsed="false">
      <c r="A35" s="0" t="s">
        <v>136</v>
      </c>
      <c r="B35" s="0" t="n">
        <f aca="false">B34/(1+B27/100)^L4</f>
        <v>21505.6654528513</v>
      </c>
    </row>
    <row r="36" customFormat="false" ht="15" hidden="false" customHeight="false" outlineLevel="0" collapsed="false">
      <c r="A36" s="0" t="s">
        <v>137</v>
      </c>
      <c r="B36" s="0" t="n">
        <f aca="false">B30+B35</f>
        <v>45894.0270718875</v>
      </c>
    </row>
    <row r="37" customFormat="false" ht="15" hidden="false" customHeight="false" outlineLevel="0" collapsed="false">
      <c r="A37" s="0" t="s">
        <v>138</v>
      </c>
      <c r="B37" s="0" t="n">
        <f aca="false">B36+Assumptions!$B$5-Assumptions!$B$4</f>
        <v>6199.02707188751</v>
      </c>
    </row>
    <row r="38" customFormat="false" ht="15" hidden="false" customHeight="false" outlineLevel="0" collapsed="false">
      <c r="A38" s="0" t="s">
        <v>139</v>
      </c>
      <c r="B38" s="0" t="n">
        <f aca="false">B37/Assumptions!$B$3*Assumptions!$B$10</f>
        <v>4.66672064821987</v>
      </c>
    </row>
    <row r="39" customFormat="false" ht="15" hidden="false" customHeight="false" outlineLevel="0" collapsed="false">
      <c r="A39" s="0" t="s">
        <v>140</v>
      </c>
      <c r="B39" s="4" t="n">
        <f aca="false">B38/Assumptions!$B$2-1</f>
        <v>-0.763470823709079</v>
      </c>
    </row>
    <row r="41" customFormat="false" ht="15" hidden="false" customHeight="false" outlineLevel="0" collapsed="false">
      <c r="A41" s="0" t="s">
        <v>141</v>
      </c>
      <c r="B41" s="0" t="n">
        <f aca="false">SUMPRODUCT(-C10:L10/(1+$B$27/100)^C4:L4)</f>
        <v>661.451687224607</v>
      </c>
    </row>
    <row r="42" customFormat="false" ht="15" hidden="false" customHeight="false" outlineLevel="0" collapsed="false">
      <c r="A42" s="0" t="s">
        <v>142</v>
      </c>
      <c r="B42" s="0" t="n">
        <f aca="false">IF(B27&gt;B28,-L10*(1+B28/100)/((B27-B28)/100),-L10*20)/(1+B27/100)^L4</f>
        <v>796.225125347083</v>
      </c>
    </row>
    <row r="43" customFormat="false" ht="15" hidden="false" customHeight="false" outlineLevel="0" collapsed="false">
      <c r="A43" s="0" t="s">
        <v>143</v>
      </c>
      <c r="B43" s="0" t="n">
        <f aca="false">(B37+B41+B42)/Assumptions!$B$3*Assumptions!$B$10</f>
        <v>5.76408163741593</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23869.7865791966</v>
      </c>
    </row>
    <row r="47" customFormat="false" ht="15" hidden="false" customHeight="false" outlineLevel="0" collapsed="false">
      <c r="A47" s="0" t="s">
        <v>145</v>
      </c>
      <c r="B47" s="0" t="n">
        <f aca="false">(SUMPRODUCT(C19:L19/(1+B45/100)^C4:L4)+B46/(1+B45/100)^L4+Assumptions!$B$5-Assumptions!$B$4)/Assumptions!$B$3*Assumptions!$B$10</f>
        <v>-12.5101801955752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2.5</v>
      </c>
      <c r="D5" s="4" t="n">
        <f aca="false">Assumptions!D27</f>
        <v>2</v>
      </c>
      <c r="E5" s="4" t="n">
        <f aca="false">Assumptions!E27</f>
        <v>1.8</v>
      </c>
      <c r="F5" s="4" t="n">
        <f aca="false">Assumptions!F27</f>
        <v>1.6</v>
      </c>
      <c r="G5" s="4" t="n">
        <f aca="false">Assumptions!G27</f>
        <v>1.5</v>
      </c>
      <c r="H5" s="4" t="n">
        <f aca="false">Assumptions!H27</f>
        <v>1.5</v>
      </c>
      <c r="I5" s="4" t="n">
        <f aca="false">Assumptions!I27</f>
        <v>1.5</v>
      </c>
      <c r="J5" s="4" t="n">
        <f aca="false">Assumptions!J27</f>
        <v>1.5</v>
      </c>
      <c r="K5" s="4" t="n">
        <f aca="false">Assumptions!K27</f>
        <v>1.5</v>
      </c>
      <c r="L5" s="4" t="n">
        <f aca="false">Assumptions!L27</f>
        <v>1.5</v>
      </c>
    </row>
    <row r="6" customFormat="false" ht="15" hidden="false" customHeight="false" outlineLevel="0" collapsed="false">
      <c r="A6" s="0" t="s">
        <v>38</v>
      </c>
      <c r="B6" s="3" t="n">
        <v>24468</v>
      </c>
      <c r="C6" s="0" t="n">
        <f aca="false">B6*(1+C5/100)</f>
        <v>25079.7</v>
      </c>
      <c r="D6" s="0" t="n">
        <f aca="false">C6*(1+D5/100)</f>
        <v>25581.294</v>
      </c>
      <c r="E6" s="0" t="n">
        <f aca="false">D6*(1+E5/100)</f>
        <v>26041.757292</v>
      </c>
      <c r="F6" s="0" t="n">
        <f aca="false">E6*(1+F5/100)</f>
        <v>26458.425408672</v>
      </c>
      <c r="G6" s="0" t="n">
        <f aca="false">F6*(1+G5/100)</f>
        <v>26855.3017898021</v>
      </c>
      <c r="H6" s="0" t="n">
        <f aca="false">G6*(1+H5/100)</f>
        <v>27258.1313166491</v>
      </c>
      <c r="I6" s="0" t="n">
        <f aca="false">H6*(1+I5/100)</f>
        <v>27667.0032863988</v>
      </c>
      <c r="J6" s="0" t="n">
        <f aca="false">I6*(1+J5/100)</f>
        <v>28082.0083356948</v>
      </c>
      <c r="K6" s="0" t="n">
        <f aca="false">J6*(1+K5/100)</f>
        <v>28503.2384607302</v>
      </c>
      <c r="L6" s="0" t="n">
        <f aca="false">K6*(1+L5/100)</f>
        <v>28930.7870376412</v>
      </c>
    </row>
    <row r="7" customFormat="false" ht="15" hidden="false" customHeight="false" outlineLevel="0" collapsed="false">
      <c r="A7" s="0" t="s">
        <v>102</v>
      </c>
      <c r="C7" s="4" t="n">
        <f aca="false">Assumptions!C28</f>
        <v>41.2</v>
      </c>
      <c r="D7" s="4" t="n">
        <f aca="false">Assumptions!D28</f>
        <v>41.3</v>
      </c>
      <c r="E7" s="4" t="n">
        <f aca="false">Assumptions!E28</f>
        <v>41.5</v>
      </c>
      <c r="F7" s="4" t="n">
        <f aca="false">Assumptions!F28</f>
        <v>41.6</v>
      </c>
      <c r="G7" s="4" t="n">
        <f aca="false">Assumptions!G28</f>
        <v>41.6</v>
      </c>
      <c r="H7" s="4" t="n">
        <f aca="false">Assumptions!H28</f>
        <v>41.6</v>
      </c>
      <c r="I7" s="4" t="n">
        <f aca="false">Assumptions!I28</f>
        <v>41.6</v>
      </c>
      <c r="J7" s="4" t="n">
        <f aca="false">Assumptions!J28</f>
        <v>41.6</v>
      </c>
      <c r="K7" s="4" t="n">
        <f aca="false">Assumptions!K28</f>
        <v>41.6</v>
      </c>
      <c r="L7" s="4" t="n">
        <f aca="false">Assumptions!L28</f>
        <v>41.6</v>
      </c>
    </row>
    <row r="8" customFormat="false" ht="15" hidden="false" customHeight="false" outlineLevel="0" collapsed="false">
      <c r="A8" s="0" t="s">
        <v>44</v>
      </c>
      <c r="C8" s="0" t="n">
        <f aca="false">C6*C7/100</f>
        <v>10332.8364</v>
      </c>
      <c r="D8" s="0" t="n">
        <f aca="false">D6*D7/100</f>
        <v>10565.074422</v>
      </c>
      <c r="E8" s="0" t="n">
        <f aca="false">E6*E7/100</f>
        <v>10807.32927618</v>
      </c>
      <c r="F8" s="0" t="n">
        <f aca="false">F6*F7/100</f>
        <v>11006.7049700076</v>
      </c>
      <c r="G8" s="0" t="n">
        <f aca="false">G6*G7/100</f>
        <v>11171.8055445577</v>
      </c>
      <c r="H8" s="0" t="n">
        <f aca="false">H6*H7/100</f>
        <v>11339.382627726</v>
      </c>
      <c r="I8" s="0" t="n">
        <f aca="false">I6*I7/100</f>
        <v>11509.4733671419</v>
      </c>
      <c r="J8" s="0" t="n">
        <f aca="false">J6*J7/100</f>
        <v>11682.115467649</v>
      </c>
      <c r="K8" s="0" t="n">
        <f aca="false">K6*K7/100</f>
        <v>11857.3471996638</v>
      </c>
      <c r="L8" s="0" t="n">
        <f aca="false">L6*L7/100</f>
        <v>12035.2074076587</v>
      </c>
    </row>
    <row r="9" customFormat="false" ht="15" hidden="false" customHeight="false" outlineLevel="0" collapsed="false">
      <c r="A9" s="0" t="s">
        <v>103</v>
      </c>
      <c r="C9" s="4" t="n">
        <f aca="false">Assumptions!C29</f>
        <v>0.37</v>
      </c>
      <c r="D9" s="4" t="n">
        <f aca="false">Assumptions!D29</f>
        <v>0.37</v>
      </c>
      <c r="E9" s="4" t="n">
        <f aca="false">Assumptions!E29</f>
        <v>0.37</v>
      </c>
      <c r="F9" s="4" t="n">
        <f aca="false">Assumptions!F29</f>
        <v>0.37</v>
      </c>
      <c r="G9" s="4" t="n">
        <f aca="false">Assumptions!G29</f>
        <v>0.37</v>
      </c>
      <c r="H9" s="4" t="n">
        <f aca="false">Assumptions!H29</f>
        <v>0.37</v>
      </c>
      <c r="I9" s="4" t="n">
        <f aca="false">Assumptions!I29</f>
        <v>0.37</v>
      </c>
      <c r="J9" s="4" t="n">
        <f aca="false">Assumptions!J29</f>
        <v>0.37</v>
      </c>
      <c r="K9" s="4" t="n">
        <f aca="false">Assumptions!K29</f>
        <v>0.37</v>
      </c>
      <c r="L9" s="4" t="n">
        <f aca="false">Assumptions!L29</f>
        <v>0.37</v>
      </c>
    </row>
    <row r="10" customFormat="false" ht="15" hidden="false" customHeight="false" outlineLevel="0" collapsed="false">
      <c r="A10" s="0" t="s">
        <v>118</v>
      </c>
      <c r="C10" s="0" t="n">
        <f aca="false">-C6*C9/100</f>
        <v>-92.79489</v>
      </c>
      <c r="D10" s="0" t="n">
        <f aca="false">-D6*D9/100</f>
        <v>-94.6507878</v>
      </c>
      <c r="E10" s="0" t="n">
        <f aca="false">-E6*E9/100</f>
        <v>-96.3545019804</v>
      </c>
      <c r="F10" s="0" t="n">
        <f aca="false">-F6*F9/100</f>
        <v>-97.8961740120864</v>
      </c>
      <c r="G10" s="0" t="n">
        <f aca="false">-G6*G9/100</f>
        <v>-99.3646166222677</v>
      </c>
      <c r="H10" s="0" t="n">
        <f aca="false">-H6*H9/100</f>
        <v>-100.855085871602</v>
      </c>
      <c r="I10" s="0" t="n">
        <f aca="false">-I6*I9/100</f>
        <v>-102.367912159676</v>
      </c>
      <c r="J10" s="0" t="n">
        <f aca="false">-J6*J9/100</f>
        <v>-103.903430842071</v>
      </c>
      <c r="K10" s="0" t="n">
        <f aca="false">-K6*K9/100</f>
        <v>-105.461982304702</v>
      </c>
      <c r="L10" s="0" t="n">
        <f aca="false">-L6*L9/100</f>
        <v>-107.043912039272</v>
      </c>
    </row>
    <row r="11" customFormat="false" ht="15" hidden="false" customHeight="false" outlineLevel="0" collapsed="false">
      <c r="A11" s="0" t="s">
        <v>119</v>
      </c>
      <c r="C11" s="0" t="n">
        <f aca="false">C8+C10+C24</f>
        <v>9036.21591</v>
      </c>
      <c r="D11" s="0" t="n">
        <f aca="false">D8+D10+D24</f>
        <v>9242.5215222</v>
      </c>
      <c r="E11" s="0" t="n">
        <f aca="false">E8+E10+E24</f>
        <v>9460.9704241836</v>
      </c>
      <c r="F11" s="0" t="n">
        <f aca="false">F8+F10+F24</f>
        <v>9638.80437637921</v>
      </c>
      <c r="G11" s="0" t="n">
        <f aca="false">G8+G10+G24</f>
        <v>9783.3864420249</v>
      </c>
      <c r="H11" s="0" t="n">
        <f aca="false">H8+H10+H24</f>
        <v>9930.13723865527</v>
      </c>
      <c r="I11" s="0" t="n">
        <f aca="false">I8+I10+I24</f>
        <v>10079.0892972351</v>
      </c>
      <c r="J11" s="0" t="n">
        <f aca="false">J8+J10+J24</f>
        <v>10230.2756366936</v>
      </c>
      <c r="K11" s="0" t="n">
        <f aca="false">K8+K10+K24</f>
        <v>10383.729771244</v>
      </c>
      <c r="L11" s="0" t="n">
        <f aca="false">L8+L10+L24</f>
        <v>10539.4857178127</v>
      </c>
    </row>
    <row r="12" customFormat="false" ht="15" hidden="false" customHeight="false" outlineLevel="0" collapsed="false">
      <c r="A12" s="0" t="s">
        <v>120</v>
      </c>
      <c r="C12" s="4" t="n">
        <f aca="false">-C6*Assumptions!C31/100</f>
        <v>-4589.5851</v>
      </c>
      <c r="D12" s="4" t="n">
        <f aca="false">-D6*Assumptions!D31/100</f>
        <v>-4681.376802</v>
      </c>
      <c r="E12" s="4" t="n">
        <f aca="false">-E6*Assumptions!E31/100</f>
        <v>-4687.51631256</v>
      </c>
      <c r="F12" s="4" t="n">
        <f aca="false">-F6*Assumptions!F31/100</f>
        <v>-4630.2244465176</v>
      </c>
      <c r="G12" s="4" t="n">
        <f aca="false">-G6*Assumptions!G31/100</f>
        <v>-4565.40130426635</v>
      </c>
      <c r="H12" s="4" t="n">
        <f aca="false">-H6*Assumptions!H31/100</f>
        <v>-4497.5916672471</v>
      </c>
      <c r="I12" s="4" t="n">
        <f aca="false">-I6*Assumptions!I31/100</f>
        <v>-4426.72052582381</v>
      </c>
      <c r="J12" s="4" t="n">
        <f aca="false">-J6*Assumptions!J31/100</f>
        <v>-4408.87530870409</v>
      </c>
      <c r="K12" s="4" t="n">
        <f aca="false">-K6*Assumptions!K31/100</f>
        <v>-4418.00196141319</v>
      </c>
      <c r="L12" s="4" t="n">
        <f aca="false">-L6*Assumptions!L31/100</f>
        <v>-4484.27199083438</v>
      </c>
    </row>
    <row r="13" customFormat="false" ht="15" hidden="false" customHeight="false" outlineLevel="0" collapsed="false">
      <c r="A13" s="0" t="s">
        <v>121</v>
      </c>
      <c r="C13" s="0" t="n">
        <f aca="false">C11+C12</f>
        <v>4446.63081</v>
      </c>
      <c r="D13" s="0" t="n">
        <f aca="false">D11+D12</f>
        <v>4561.1447202</v>
      </c>
      <c r="E13" s="0" t="n">
        <f aca="false">E11+E12</f>
        <v>4773.4541116236</v>
      </c>
      <c r="F13" s="0" t="n">
        <f aca="false">F11+F12</f>
        <v>5008.57992986161</v>
      </c>
      <c r="G13" s="0" t="n">
        <f aca="false">G11+G12</f>
        <v>5217.98513775854</v>
      </c>
      <c r="H13" s="0" t="n">
        <f aca="false">H11+H12</f>
        <v>5432.54557140816</v>
      </c>
      <c r="I13" s="0" t="n">
        <f aca="false">I11+I12</f>
        <v>5652.36877141128</v>
      </c>
      <c r="J13" s="0" t="n">
        <f aca="false">J11+J12</f>
        <v>5821.40032798954</v>
      </c>
      <c r="K13" s="0" t="n">
        <f aca="false">K11+K12</f>
        <v>5965.72780983084</v>
      </c>
      <c r="L13" s="0" t="n">
        <f aca="false">L11+L12</f>
        <v>6055.2137269783</v>
      </c>
    </row>
    <row r="14" customFormat="false" ht="15" hidden="false" customHeight="false" outlineLevel="0" collapsed="false">
      <c r="A14" s="0" t="s">
        <v>107</v>
      </c>
      <c r="C14" s="4" t="n">
        <f aca="false">Assumptions!C33</f>
        <v>22</v>
      </c>
      <c r="D14" s="4" t="n">
        <f aca="false">Assumptions!D33</f>
        <v>23</v>
      </c>
      <c r="E14" s="4" t="n">
        <f aca="false">Assumptions!E33</f>
        <v>24</v>
      </c>
      <c r="F14" s="4" t="n">
        <f aca="false">Assumptions!F33</f>
        <v>25</v>
      </c>
      <c r="G14" s="4" t="n">
        <f aca="false">Assumptions!G33</f>
        <v>25.5</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122</v>
      </c>
      <c r="C15" s="0" t="n">
        <f aca="false">C13-MAX(0,C13)*C14/100</f>
        <v>3468.3720318</v>
      </c>
      <c r="D15" s="0" t="n">
        <f aca="false">D13-MAX(0,D13)*D14/100</f>
        <v>3512.081434554</v>
      </c>
      <c r="E15" s="0" t="n">
        <f aca="false">E13-MAX(0,E13)*E14/100</f>
        <v>3627.82512483394</v>
      </c>
      <c r="F15" s="0" t="n">
        <f aca="false">F13-MAX(0,F13)*F14/100</f>
        <v>3756.43494739621</v>
      </c>
      <c r="G15" s="0" t="n">
        <f aca="false">G13-MAX(0,G13)*G14/100</f>
        <v>3887.39892763012</v>
      </c>
      <c r="H15" s="0" t="n">
        <f aca="false">H13-MAX(0,H13)*H14/100</f>
        <v>4020.08372284204</v>
      </c>
      <c r="I15" s="0" t="n">
        <f aca="false">I13-MAX(0,I13)*I14/100</f>
        <v>4182.75289084435</v>
      </c>
      <c r="J15" s="0" t="n">
        <f aca="false">J13-MAX(0,J13)*J14/100</f>
        <v>4307.83624271226</v>
      </c>
      <c r="K15" s="0" t="n">
        <f aca="false">K13-MAX(0,K13)*K14/100</f>
        <v>4414.63857927482</v>
      </c>
      <c r="L15" s="0" t="n">
        <f aca="false">L13-MAX(0,L13)*L14/100</f>
        <v>4480.85815796394</v>
      </c>
    </row>
    <row r="16" customFormat="false" ht="15" hidden="false" customHeight="false" outlineLevel="0" collapsed="false">
      <c r="A16" s="0" t="s">
        <v>123</v>
      </c>
      <c r="C16" s="0" t="n">
        <f aca="false">-C12</f>
        <v>4589.5851</v>
      </c>
      <c r="D16" s="0" t="n">
        <f aca="false">-D12</f>
        <v>4681.376802</v>
      </c>
      <c r="E16" s="0" t="n">
        <f aca="false">-E12</f>
        <v>4687.51631256</v>
      </c>
      <c r="F16" s="0" t="n">
        <f aca="false">-F12</f>
        <v>4630.2244465176</v>
      </c>
      <c r="G16" s="0" t="n">
        <f aca="false">-G12</f>
        <v>4565.40130426635</v>
      </c>
      <c r="H16" s="0" t="n">
        <f aca="false">-H12</f>
        <v>4497.5916672471</v>
      </c>
      <c r="I16" s="0" t="n">
        <f aca="false">-I12</f>
        <v>4426.72052582381</v>
      </c>
      <c r="J16" s="0" t="n">
        <f aca="false">-J12</f>
        <v>4408.87530870409</v>
      </c>
      <c r="K16" s="0" t="n">
        <f aca="false">-K12</f>
        <v>4418.00196141319</v>
      </c>
      <c r="L16" s="0" t="n">
        <f aca="false">-L12</f>
        <v>4484.27199083438</v>
      </c>
    </row>
    <row r="17" customFormat="false" ht="15" hidden="false" customHeight="false" outlineLevel="0" collapsed="false">
      <c r="A17" s="0" t="s">
        <v>124</v>
      </c>
      <c r="C17" s="4" t="n">
        <f aca="false">-C6*Assumptions!C32/100</f>
        <v>-4890.5415</v>
      </c>
      <c r="D17" s="4" t="n">
        <f aca="false">-D6*Assumptions!D32/100</f>
        <v>-4220.91351</v>
      </c>
      <c r="E17" s="4" t="n">
        <f aca="false">-E6*Assumptions!E32/100</f>
        <v>-3906.2635938</v>
      </c>
      <c r="F17" s="4" t="n">
        <f aca="false">-F6*Assumptions!F32/100</f>
        <v>-3968.7638113008</v>
      </c>
      <c r="G17" s="4" t="n">
        <f aca="false">-G6*Assumptions!G32/100</f>
        <v>-4028.29526847031</v>
      </c>
      <c r="H17" s="4" t="n">
        <f aca="false">-H6*Assumptions!H32/100</f>
        <v>-4088.71969749737</v>
      </c>
      <c r="I17" s="4" t="n">
        <f aca="false">-I6*Assumptions!I32/100</f>
        <v>-4150.05049295983</v>
      </c>
      <c r="J17" s="4" t="n">
        <f aca="false">-J6*Assumptions!J32/100</f>
        <v>-4212.30125035422</v>
      </c>
      <c r="K17" s="4" t="n">
        <f aca="false">-K6*Assumptions!K32/100</f>
        <v>-4275.48576910954</v>
      </c>
      <c r="L17" s="4" t="n">
        <f aca="false">-L6*Assumptions!L32/100</f>
        <v>-4339.61805564618</v>
      </c>
    </row>
    <row r="18" customFormat="false" ht="15" hidden="false" customHeight="false" outlineLevel="0" collapsed="false">
      <c r="A18" s="0" t="s">
        <v>125</v>
      </c>
      <c r="C18" s="4" t="n">
        <f aca="false">(C6-B6)*Assumptions!$B$37/100</f>
        <v>-30.5849999999999</v>
      </c>
      <c r="D18" s="4" t="n">
        <f aca="false">(D6-C6)*Assumptions!$B$37/100</f>
        <v>-25.0797000000001</v>
      </c>
      <c r="E18" s="4" t="n">
        <f aca="false">(E6-D6)*Assumptions!$B$37/100</f>
        <v>-23.0231646</v>
      </c>
      <c r="F18" s="4" t="n">
        <f aca="false">(F6-E6)*Assumptions!$B$37/100</f>
        <v>-20.8334058336</v>
      </c>
      <c r="G18" s="4" t="n">
        <f aca="false">(G6-F6)*Assumptions!$B$37/100</f>
        <v>-19.8438190565039</v>
      </c>
      <c r="H18" s="4" t="n">
        <f aca="false">(H6-G6)*Assumptions!$B$37/100</f>
        <v>-20.1414763423514</v>
      </c>
      <c r="I18" s="4" t="n">
        <f aca="false">(I6-H6)*Assumptions!$B$37/100</f>
        <v>-20.4435984874866</v>
      </c>
      <c r="J18" s="4" t="n">
        <f aca="false">(J6-I6)*Assumptions!$B$37/100</f>
        <v>-20.7502524647989</v>
      </c>
      <c r="K18" s="4" t="n">
        <f aca="false">(K6-J6)*Assumptions!$B$37/100</f>
        <v>-21.0615062517711</v>
      </c>
      <c r="L18" s="4" t="n">
        <f aca="false">(L6-K6)*Assumptions!$B$37/100</f>
        <v>-21.3774288455476</v>
      </c>
    </row>
    <row r="19" customFormat="false" ht="15" hidden="false" customHeight="false" outlineLevel="0" collapsed="false">
      <c r="A19" s="0" t="s">
        <v>126</v>
      </c>
      <c r="C19" s="0" t="n">
        <f aca="false">C15+C16+C17+C18</f>
        <v>3136.8306318</v>
      </c>
      <c r="D19" s="0" t="n">
        <f aca="false">D15+D16+D17+D18</f>
        <v>3947.465026554</v>
      </c>
      <c r="E19" s="0" t="n">
        <f aca="false">E15+E16+E17+E18</f>
        <v>4386.05467899394</v>
      </c>
      <c r="F19" s="0" t="n">
        <f aca="false">F15+F16+F17+F18</f>
        <v>4397.06217677941</v>
      </c>
      <c r="G19" s="0" t="n">
        <f aca="false">G15+G16+G17+G18</f>
        <v>4404.66114436965</v>
      </c>
      <c r="H19" s="0" t="n">
        <f aca="false">H15+H16+H17+H18</f>
        <v>4408.81421624943</v>
      </c>
      <c r="I19" s="0" t="n">
        <f aca="false">I15+I16+I17+I18</f>
        <v>4438.97932522085</v>
      </c>
      <c r="J19" s="0" t="n">
        <f aca="false">J15+J16+J17+J18</f>
        <v>4483.66004859732</v>
      </c>
      <c r="K19" s="0" t="n">
        <f aca="false">K15+K16+K17+K18</f>
        <v>4536.0932653267</v>
      </c>
      <c r="L19" s="0" t="n">
        <f aca="false">L15+L16+L17+L18</f>
        <v>4604.1346643066</v>
      </c>
    </row>
    <row r="20" customFormat="false" ht="15" hidden="false" customHeight="false" outlineLevel="0" collapsed="false">
      <c r="A20" s="0" t="s">
        <v>127</v>
      </c>
      <c r="C20" s="0" t="n">
        <f aca="false">1/(1+$B$27/100)^C4</f>
        <v>0.936768149882904</v>
      </c>
      <c r="D20" s="0" t="n">
        <f aca="false">1/(1+$B$27/100)^D4</f>
        <v>0.877534566635039</v>
      </c>
      <c r="E20" s="0" t="n">
        <f aca="false">1/(1+$B$27/100)^E4</f>
        <v>0.822046432445002</v>
      </c>
      <c r="F20" s="0" t="n">
        <f aca="false">1/(1+$B$27/100)^F4</f>
        <v>0.770066915639346</v>
      </c>
      <c r="G20" s="0" t="n">
        <f aca="false">1/(1+$B$27/100)^G4</f>
        <v>0.721374159849504</v>
      </c>
      <c r="H20" s="0" t="n">
        <f aca="false">1/(1+$B$27/100)^H4</f>
        <v>0.675760337095555</v>
      </c>
      <c r="I20" s="0" t="n">
        <f aca="false">1/(1+$B$27/100)^I4</f>
        <v>0.63303076074525</v>
      </c>
      <c r="J20" s="0" t="n">
        <f aca="false">1/(1+$B$27/100)^J4</f>
        <v>0.593003054562295</v>
      </c>
      <c r="K20" s="0" t="n">
        <f aca="false">1/(1+$B$27/100)^K4</f>
        <v>0.555506374297232</v>
      </c>
      <c r="L20" s="0" t="n">
        <f aca="false">1/(1+$B$27/100)^L4</f>
        <v>0.520380678498578</v>
      </c>
    </row>
    <row r="21" customFormat="false" ht="15" hidden="false" customHeight="false" outlineLevel="0" collapsed="false">
      <c r="A21" s="0" t="s">
        <v>128</v>
      </c>
      <c r="C21" s="0" t="n">
        <f aca="false">C19*C20</f>
        <v>2938.48302744731</v>
      </c>
      <c r="D21" s="0" t="n">
        <f aca="false">D19*D20</f>
        <v>3464.03701138404</v>
      </c>
      <c r="E21" s="0" t="n">
        <f aca="false">E19*E20</f>
        <v>3605.54060137567</v>
      </c>
      <c r="F21" s="0" t="n">
        <f aca="false">F19*F20</f>
        <v>3386.03210834695</v>
      </c>
      <c r="G21" s="0" t="n">
        <f aca="false">G19*G20</f>
        <v>3177.40873244141</v>
      </c>
      <c r="H21" s="0" t="n">
        <f aca="false">H19*H20</f>
        <v>2979.30178096438</v>
      </c>
      <c r="I21" s="0" t="n">
        <f aca="false">I19*I20</f>
        <v>2810.01045917699</v>
      </c>
      <c r="J21" s="0" t="n">
        <f aca="false">J19*J20</f>
        <v>2658.82410443714</v>
      </c>
      <c r="K21" s="0" t="n">
        <f aca="false">K19*K20</f>
        <v>2519.82872329573</v>
      </c>
      <c r="L21" s="0" t="n">
        <f aca="false">L19*L20</f>
        <v>2395.90272051069</v>
      </c>
    </row>
    <row r="23" customFormat="false" ht="15" hidden="false" customHeight="false" outlineLevel="0" collapsed="false">
      <c r="A23" s="0" t="s">
        <v>104</v>
      </c>
      <c r="C23" s="4" t="n">
        <f aca="false">Assumptions!C30</f>
        <v>4.8</v>
      </c>
      <c r="D23" s="4" t="n">
        <f aca="false">Assumptions!D30</f>
        <v>4.8</v>
      </c>
      <c r="E23" s="4" t="n">
        <f aca="false">Assumptions!E30</f>
        <v>4.8</v>
      </c>
      <c r="F23" s="4" t="n">
        <f aca="false">Assumptions!F30</f>
        <v>4.8</v>
      </c>
      <c r="G23" s="4" t="n">
        <f aca="false">Assumptions!G30</f>
        <v>4.8</v>
      </c>
      <c r="H23" s="4" t="n">
        <f aca="false">Assumptions!H30</f>
        <v>4.8</v>
      </c>
      <c r="I23" s="4" t="n">
        <f aca="false">Assumptions!I30</f>
        <v>4.8</v>
      </c>
      <c r="J23" s="4" t="n">
        <f aca="false">Assumptions!J30</f>
        <v>4.8</v>
      </c>
      <c r="K23" s="4" t="n">
        <f aca="false">Assumptions!K30</f>
        <v>4.8</v>
      </c>
      <c r="L23" s="4" t="n">
        <f aca="false">Assumptions!L30</f>
        <v>4.8</v>
      </c>
    </row>
    <row r="24" customFormat="false" ht="15" hidden="false" customHeight="false" outlineLevel="0" collapsed="false">
      <c r="A24" s="0" t="s">
        <v>129</v>
      </c>
      <c r="C24" s="0" t="n">
        <f aca="false">-C6*C23/100</f>
        <v>-1203.8256</v>
      </c>
      <c r="D24" s="0" t="n">
        <f aca="false">-D6*D23/100</f>
        <v>-1227.902112</v>
      </c>
      <c r="E24" s="0" t="n">
        <f aca="false">-E6*E23/100</f>
        <v>-1250.004350016</v>
      </c>
      <c r="F24" s="0" t="n">
        <f aca="false">-F6*F23/100</f>
        <v>-1270.00441961626</v>
      </c>
      <c r="G24" s="0" t="n">
        <f aca="false">-G6*G23/100</f>
        <v>-1289.0544859105</v>
      </c>
      <c r="H24" s="0" t="n">
        <f aca="false">-H6*H23/100</f>
        <v>-1308.39030319916</v>
      </c>
      <c r="I24" s="0" t="n">
        <f aca="false">-I6*I23/100</f>
        <v>-1328.01615774714</v>
      </c>
      <c r="J24" s="0" t="n">
        <f aca="false">-J6*J23/100</f>
        <v>-1347.93640011335</v>
      </c>
      <c r="K24" s="0" t="n">
        <f aca="false">-K6*K23/100</f>
        <v>-1368.15544611505</v>
      </c>
      <c r="L24" s="0" t="n">
        <f aca="false">-L6*L23/100</f>
        <v>-1388.67777780678</v>
      </c>
    </row>
    <row r="26" customFormat="false" ht="15" hidden="false" customHeight="false" outlineLevel="0" collapsed="false">
      <c r="A26" s="2" t="s">
        <v>130</v>
      </c>
    </row>
    <row r="27" customFormat="false" ht="15" hidden="false" customHeight="false" outlineLevel="0" collapsed="false">
      <c r="A27" s="0" t="s">
        <v>108</v>
      </c>
      <c r="B27" s="4" t="n">
        <f aca="false">Assumptions!$B$34</f>
        <v>6.75</v>
      </c>
    </row>
    <row r="28" customFormat="false" ht="15" hidden="false" customHeight="false" outlineLevel="0" collapsed="false">
      <c r="A28" s="0" t="s">
        <v>109</v>
      </c>
      <c r="B28" s="4" t="n">
        <f aca="false">Assumptions!$B$35</f>
        <v>1.5</v>
      </c>
    </row>
    <row r="29" customFormat="false" ht="15" hidden="false" customHeight="false" outlineLevel="0" collapsed="false">
      <c r="A29" s="0" t="s">
        <v>110</v>
      </c>
      <c r="B29" s="4" t="n">
        <f aca="false">Assumptions!$B$36</f>
        <v>15</v>
      </c>
    </row>
    <row r="30" customFormat="false" ht="15" hidden="false" customHeight="false" outlineLevel="0" collapsed="false">
      <c r="A30" s="0" t="s">
        <v>131</v>
      </c>
      <c r="B30" s="0" t="n">
        <f aca="false">SUM(C21:L21)</f>
        <v>29935.3692693803</v>
      </c>
    </row>
    <row r="31" customFormat="false" ht="15" hidden="false" customHeight="false" outlineLevel="0" collapsed="false">
      <c r="A31" s="0" t="s">
        <v>132</v>
      </c>
      <c r="B31" s="0" t="n">
        <f aca="false">L19</f>
        <v>4604.1346643066</v>
      </c>
    </row>
    <row r="32" customFormat="false" ht="15" hidden="false" customHeight="false" outlineLevel="0" collapsed="false">
      <c r="A32" s="0" t="s">
        <v>133</v>
      </c>
      <c r="B32" s="0" t="n">
        <f aca="false">IF(B27&gt;B28,B31*(1+B28/100)/((B27-B28)/100),B31*B29)</f>
        <v>89013.2701765943</v>
      </c>
    </row>
    <row r="33" customFormat="false" ht="15" hidden="false" customHeight="false" outlineLevel="0" collapsed="false">
      <c r="A33" s="0" t="s">
        <v>134</v>
      </c>
      <c r="B33" s="0" t="n">
        <f aca="false">B31*B29</f>
        <v>69062.019964599</v>
      </c>
    </row>
    <row r="34" customFormat="false" ht="15" hidden="false" customHeight="false" outlineLevel="0" collapsed="false">
      <c r="A34" s="0" t="s">
        <v>135</v>
      </c>
      <c r="B34" s="0" t="n">
        <f aca="false">MAX(0,MIN(B32,B33))</f>
        <v>69062.019964599</v>
      </c>
    </row>
    <row r="35" customFormat="false" ht="15" hidden="false" customHeight="false" outlineLevel="0" collapsed="false">
      <c r="A35" s="0" t="s">
        <v>136</v>
      </c>
      <c r="B35" s="0" t="n">
        <f aca="false">B34/(1+B27/100)^L4</f>
        <v>35938.5408076604</v>
      </c>
    </row>
    <row r="36" customFormat="false" ht="15" hidden="false" customHeight="false" outlineLevel="0" collapsed="false">
      <c r="A36" s="0" t="s">
        <v>137</v>
      </c>
      <c r="B36" s="0" t="n">
        <f aca="false">B30+B35</f>
        <v>65873.9100770407</v>
      </c>
    </row>
    <row r="37" customFormat="false" ht="15" hidden="false" customHeight="false" outlineLevel="0" collapsed="false">
      <c r="A37" s="0" t="s">
        <v>138</v>
      </c>
      <c r="B37" s="0" t="n">
        <f aca="false">B36+Assumptions!$B$5-Assumptions!$B$4</f>
        <v>26178.9100770407</v>
      </c>
    </row>
    <row r="38" customFormat="false" ht="15" hidden="false" customHeight="false" outlineLevel="0" collapsed="false">
      <c r="A38" s="0" t="s">
        <v>139</v>
      </c>
      <c r="B38" s="0" t="n">
        <f aca="false">B37/Assumptions!$B$3*Assumptions!$B$10</f>
        <v>19.7078765405711</v>
      </c>
    </row>
    <row r="39" customFormat="false" ht="15" hidden="false" customHeight="false" outlineLevel="0" collapsed="false">
      <c r="A39" s="0" t="s">
        <v>140</v>
      </c>
      <c r="B39" s="4" t="n">
        <f aca="false">B38/Assumptions!$B$2-1</f>
        <v>-0.00112131066542742</v>
      </c>
    </row>
    <row r="41" customFormat="false" ht="15" hidden="false" customHeight="false" outlineLevel="0" collapsed="false">
      <c r="A41" s="0" t="s">
        <v>141</v>
      </c>
      <c r="B41" s="0" t="n">
        <f aca="false">SUMPRODUCT(-C10:L10/(1+$B$27/100)^C4:L4)</f>
        <v>705.119524687675</v>
      </c>
    </row>
    <row r="42" customFormat="false" ht="15" hidden="false" customHeight="false" outlineLevel="0" collapsed="false">
      <c r="A42" s="0" t="s">
        <v>142</v>
      </c>
      <c r="B42" s="0" t="n">
        <f aca="false">IF(B27&gt;B28,-L10*(1+B28/100)/((B27-B28)/100),-L10*20)/(1+B27/100)^L4</f>
        <v>1076.93594913868</v>
      </c>
    </row>
    <row r="43" customFormat="false" ht="15" hidden="false" customHeight="false" outlineLevel="0" collapsed="false">
      <c r="A43" s="0" t="s">
        <v>143</v>
      </c>
      <c r="B43" s="0" t="n">
        <f aca="false">(B37+B41+B42)/Assumptions!$B$3*Assumptions!$B$10</f>
        <v>21.0494346559879</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34616.2717353422</v>
      </c>
    </row>
    <row r="47" customFormat="false" ht="15" hidden="false" customHeight="false" outlineLevel="0" collapsed="false">
      <c r="A47" s="0" t="s">
        <v>145</v>
      </c>
      <c r="B47" s="0" t="n">
        <f aca="false">(SUMPRODUCT(C19:L19/(1+B45/100)^C4:L4)+B46/(1+B45/100)^L4+Assumptions!$B$5-Assumptions!$B$4)/Assumptions!$B$3*Assumptions!$B$10</f>
        <v>-7.80666765696822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3.5</v>
      </c>
      <c r="D5" s="4" t="n">
        <f aca="false">Assumptions!D41</f>
        <v>3.5</v>
      </c>
      <c r="E5" s="4" t="n">
        <f aca="false">Assumptions!E41</f>
        <v>3</v>
      </c>
      <c r="F5" s="4" t="n">
        <f aca="false">Assumptions!F41</f>
        <v>2.5</v>
      </c>
      <c r="G5" s="4" t="n">
        <f aca="false">Assumptions!G41</f>
        <v>2.3</v>
      </c>
      <c r="H5" s="4" t="n">
        <f aca="false">Assumptions!H41</f>
        <v>2</v>
      </c>
      <c r="I5" s="4" t="n">
        <f aca="false">Assumptions!I41</f>
        <v>2</v>
      </c>
      <c r="J5" s="4" t="n">
        <f aca="false">Assumptions!J41</f>
        <v>2</v>
      </c>
      <c r="K5" s="4" t="n">
        <f aca="false">Assumptions!K41</f>
        <v>2</v>
      </c>
      <c r="L5" s="4" t="n">
        <f aca="false">Assumptions!L41</f>
        <v>2</v>
      </c>
    </row>
    <row r="6" customFormat="false" ht="15" hidden="false" customHeight="false" outlineLevel="0" collapsed="false">
      <c r="A6" s="0" t="s">
        <v>38</v>
      </c>
      <c r="B6" s="3" t="n">
        <v>24468</v>
      </c>
      <c r="C6" s="0" t="n">
        <f aca="false">B6*(1+C5/100)</f>
        <v>25324.38</v>
      </c>
      <c r="D6" s="0" t="n">
        <f aca="false">C6*(1+D5/100)</f>
        <v>26210.7333</v>
      </c>
      <c r="E6" s="0" t="n">
        <f aca="false">D6*(1+E5/100)</f>
        <v>26997.055299</v>
      </c>
      <c r="F6" s="0" t="n">
        <f aca="false">E6*(1+F5/100)</f>
        <v>27671.981681475</v>
      </c>
      <c r="G6" s="0" t="n">
        <f aca="false">F6*(1+G5/100)</f>
        <v>28308.4372601489</v>
      </c>
      <c r="H6" s="0" t="n">
        <f aca="false">G6*(1+H5/100)</f>
        <v>28874.6060053519</v>
      </c>
      <c r="I6" s="0" t="n">
        <f aca="false">H6*(1+I5/100)</f>
        <v>29452.0981254589</v>
      </c>
      <c r="J6" s="0" t="n">
        <f aca="false">I6*(1+J5/100)</f>
        <v>30041.1400879681</v>
      </c>
      <c r="K6" s="0" t="n">
        <f aca="false">J6*(1+K5/100)</f>
        <v>30641.9628897275</v>
      </c>
      <c r="L6" s="0" t="n">
        <f aca="false">K6*(1+L5/100)</f>
        <v>31254.802147522</v>
      </c>
    </row>
    <row r="7" customFormat="false" ht="15" hidden="false" customHeight="false" outlineLevel="0" collapsed="false">
      <c r="A7" s="0" t="s">
        <v>102</v>
      </c>
      <c r="C7" s="4" t="n">
        <f aca="false">Assumptions!C42</f>
        <v>41.4</v>
      </c>
      <c r="D7" s="4" t="n">
        <f aca="false">Assumptions!D42</f>
        <v>41.8</v>
      </c>
      <c r="E7" s="4" t="n">
        <f aca="false">Assumptions!E42</f>
        <v>42.3</v>
      </c>
      <c r="F7" s="4" t="n">
        <f aca="false">Assumptions!F42</f>
        <v>42.8</v>
      </c>
      <c r="G7" s="4" t="n">
        <f aca="false">Assumptions!G42</f>
        <v>43</v>
      </c>
      <c r="H7" s="4" t="n">
        <f aca="false">Assumptions!H42</f>
        <v>43</v>
      </c>
      <c r="I7" s="4" t="n">
        <f aca="false">Assumptions!I42</f>
        <v>43</v>
      </c>
      <c r="J7" s="4" t="n">
        <f aca="false">Assumptions!J42</f>
        <v>43</v>
      </c>
      <c r="K7" s="4" t="n">
        <f aca="false">Assumptions!K42</f>
        <v>43</v>
      </c>
      <c r="L7" s="4" t="n">
        <f aca="false">Assumptions!L42</f>
        <v>43</v>
      </c>
    </row>
    <row r="8" customFormat="false" ht="15" hidden="false" customHeight="false" outlineLevel="0" collapsed="false">
      <c r="A8" s="0" t="s">
        <v>44</v>
      </c>
      <c r="C8" s="0" t="n">
        <f aca="false">C6*C7/100</f>
        <v>10484.29332</v>
      </c>
      <c r="D8" s="0" t="n">
        <f aca="false">D6*D7/100</f>
        <v>10956.0865194</v>
      </c>
      <c r="E8" s="0" t="n">
        <f aca="false">E6*E7/100</f>
        <v>11419.754391477</v>
      </c>
      <c r="F8" s="0" t="n">
        <f aca="false">F6*F7/100</f>
        <v>11843.6081596713</v>
      </c>
      <c r="G8" s="0" t="n">
        <f aca="false">G6*G7/100</f>
        <v>12172.628021864</v>
      </c>
      <c r="H8" s="0" t="n">
        <f aca="false">H6*H7/100</f>
        <v>12416.0805823013</v>
      </c>
      <c r="I8" s="0" t="n">
        <f aca="false">I6*I7/100</f>
        <v>12664.4021939473</v>
      </c>
      <c r="J8" s="0" t="n">
        <f aca="false">J6*J7/100</f>
        <v>12917.6902378263</v>
      </c>
      <c r="K8" s="0" t="n">
        <f aca="false">K6*K7/100</f>
        <v>13176.0440425828</v>
      </c>
      <c r="L8" s="0" t="n">
        <f aca="false">L6*L7/100</f>
        <v>13439.5649234345</v>
      </c>
    </row>
    <row r="9" customFormat="false" ht="15" hidden="false" customHeight="false" outlineLevel="0" collapsed="false">
      <c r="A9" s="0" t="s">
        <v>103</v>
      </c>
      <c r="C9" s="4" t="n">
        <f aca="false">Assumptions!C43</f>
        <v>0.37</v>
      </c>
      <c r="D9" s="4" t="n">
        <f aca="false">Assumptions!D43</f>
        <v>0.37</v>
      </c>
      <c r="E9" s="4" t="n">
        <f aca="false">Assumptions!E43</f>
        <v>0.37</v>
      </c>
      <c r="F9" s="4" t="n">
        <f aca="false">Assumptions!F43</f>
        <v>0.37</v>
      </c>
      <c r="G9" s="4" t="n">
        <f aca="false">Assumptions!G43</f>
        <v>0.37</v>
      </c>
      <c r="H9" s="4" t="n">
        <f aca="false">Assumptions!H43</f>
        <v>0.37</v>
      </c>
      <c r="I9" s="4" t="n">
        <f aca="false">Assumptions!I43</f>
        <v>0.37</v>
      </c>
      <c r="J9" s="4" t="n">
        <f aca="false">Assumptions!J43</f>
        <v>0.37</v>
      </c>
      <c r="K9" s="4" t="n">
        <f aca="false">Assumptions!K43</f>
        <v>0.37</v>
      </c>
      <c r="L9" s="4" t="n">
        <f aca="false">Assumptions!L43</f>
        <v>0.37</v>
      </c>
    </row>
    <row r="10" customFormat="false" ht="15" hidden="false" customHeight="false" outlineLevel="0" collapsed="false">
      <c r="A10" s="0" t="s">
        <v>118</v>
      </c>
      <c r="C10" s="0" t="n">
        <f aca="false">-C6*C9/100</f>
        <v>-93.700206</v>
      </c>
      <c r="D10" s="0" t="n">
        <f aca="false">-D6*D9/100</f>
        <v>-96.97971321</v>
      </c>
      <c r="E10" s="0" t="n">
        <f aca="false">-E6*E9/100</f>
        <v>-99.8891046063</v>
      </c>
      <c r="F10" s="0" t="n">
        <f aca="false">-F6*F9/100</f>
        <v>-102.386332221457</v>
      </c>
      <c r="G10" s="0" t="n">
        <f aca="false">-G6*G9/100</f>
        <v>-104.741217862551</v>
      </c>
      <c r="H10" s="0" t="n">
        <f aca="false">-H6*H9/100</f>
        <v>-106.836042219802</v>
      </c>
      <c r="I10" s="0" t="n">
        <f aca="false">-I6*I9/100</f>
        <v>-108.972763064198</v>
      </c>
      <c r="J10" s="0" t="n">
        <f aca="false">-J6*J9/100</f>
        <v>-111.152218325482</v>
      </c>
      <c r="K10" s="0" t="n">
        <f aca="false">-K6*K9/100</f>
        <v>-113.375262691992</v>
      </c>
      <c r="L10" s="0" t="n">
        <f aca="false">-L6*L9/100</f>
        <v>-115.642767945832</v>
      </c>
    </row>
    <row r="11" customFormat="false" ht="15" hidden="false" customHeight="false" outlineLevel="0" collapsed="false">
      <c r="A11" s="0" t="s">
        <v>119</v>
      </c>
      <c r="C11" s="0" t="n">
        <f aca="false">C8+C10+C24</f>
        <v>9175.022874</v>
      </c>
      <c r="D11" s="0" t="n">
        <f aca="false">D8+D10+D24</f>
        <v>9600.99160779</v>
      </c>
      <c r="E11" s="0" t="n">
        <f aca="false">E8+E10+E24</f>
        <v>10024.0066325187</v>
      </c>
      <c r="F11" s="0" t="n">
        <f aca="false">F8+F10+F24</f>
        <v>10412.966706739</v>
      </c>
      <c r="G11" s="0" t="n">
        <f aca="false">G8+G10+G24</f>
        <v>10709.0818155143</v>
      </c>
      <c r="H11" s="0" t="n">
        <f aca="false">H8+H10+H24</f>
        <v>10923.2634518246</v>
      </c>
      <c r="I11" s="0" t="n">
        <f aca="false">I8+I10+I24</f>
        <v>11141.7287208611</v>
      </c>
      <c r="J11" s="0" t="n">
        <f aca="false">J8+J10+J24</f>
        <v>11364.5632952783</v>
      </c>
      <c r="K11" s="0" t="n">
        <f aca="false">K8+K10+K24</f>
        <v>11591.8545611839</v>
      </c>
      <c r="L11" s="0" t="n">
        <f aca="false">L8+L10+L24</f>
        <v>11823.6916524076</v>
      </c>
    </row>
    <row r="12" customFormat="false" ht="15" hidden="false" customHeight="false" outlineLevel="0" collapsed="false">
      <c r="A12" s="0" t="s">
        <v>120</v>
      </c>
      <c r="C12" s="4" t="n">
        <f aca="false">-C6*Assumptions!C45/100</f>
        <v>-4634.36154</v>
      </c>
      <c r="D12" s="4" t="n">
        <f aca="false">-D6*Assumptions!D45/100</f>
        <v>-4796.5641939</v>
      </c>
      <c r="E12" s="4" t="n">
        <f aca="false">-E6*Assumptions!E45/100</f>
        <v>-4859.46995382</v>
      </c>
      <c r="F12" s="4" t="n">
        <f aca="false">-F6*Assumptions!F45/100</f>
        <v>-4842.59679425812</v>
      </c>
      <c r="G12" s="4" t="n">
        <f aca="false">-G6*Assumptions!G45/100</f>
        <v>-4812.43433422532</v>
      </c>
      <c r="H12" s="4" t="n">
        <f aca="false">-H6*Assumptions!H45/100</f>
        <v>-4764.30999088306</v>
      </c>
      <c r="I12" s="4" t="n">
        <f aca="false">-I6*Assumptions!I45/100</f>
        <v>-4712.33570007343</v>
      </c>
      <c r="J12" s="4" t="n">
        <f aca="false">-J6*Assumptions!J45/100</f>
        <v>-4656.37671363506</v>
      </c>
      <c r="K12" s="4" t="n">
        <f aca="false">-K6*Assumptions!K45/100</f>
        <v>-4596.29443345912</v>
      </c>
      <c r="L12" s="4" t="n">
        <f aca="false">-L6*Assumptions!L45/100</f>
        <v>-4688.2203221283</v>
      </c>
    </row>
    <row r="13" customFormat="false" ht="15" hidden="false" customHeight="false" outlineLevel="0" collapsed="false">
      <c r="A13" s="0" t="s">
        <v>121</v>
      </c>
      <c r="C13" s="0" t="n">
        <f aca="false">C11+C12</f>
        <v>4540.661334</v>
      </c>
      <c r="D13" s="0" t="n">
        <f aca="false">D11+D12</f>
        <v>4804.42741389</v>
      </c>
      <c r="E13" s="0" t="n">
        <f aca="false">E11+E12</f>
        <v>5164.5366786987</v>
      </c>
      <c r="F13" s="0" t="n">
        <f aca="false">F11+F12</f>
        <v>5570.36991248091</v>
      </c>
      <c r="G13" s="0" t="n">
        <f aca="false">G11+G12</f>
        <v>5896.64748128902</v>
      </c>
      <c r="H13" s="0" t="n">
        <f aca="false">H11+H12</f>
        <v>6158.95346094156</v>
      </c>
      <c r="I13" s="0" t="n">
        <f aca="false">I11+I12</f>
        <v>6429.39302078769</v>
      </c>
      <c r="J13" s="0" t="n">
        <f aca="false">J11+J12</f>
        <v>6708.18658164328</v>
      </c>
      <c r="K13" s="0" t="n">
        <f aca="false">K11+K12</f>
        <v>6995.56012772478</v>
      </c>
      <c r="L13" s="0" t="n">
        <f aca="false">L11+L12</f>
        <v>7135.47133027928</v>
      </c>
    </row>
    <row r="14" customFormat="false" ht="15" hidden="false" customHeight="false" outlineLevel="0" collapsed="false">
      <c r="A14" s="0" t="s">
        <v>107</v>
      </c>
      <c r="C14" s="4" t="n">
        <f aca="false">Assumptions!C47</f>
        <v>22</v>
      </c>
      <c r="D14" s="4" t="n">
        <f aca="false">Assumptions!D47</f>
        <v>23</v>
      </c>
      <c r="E14" s="4" t="n">
        <f aca="false">Assumptions!E47</f>
        <v>24</v>
      </c>
      <c r="F14" s="4" t="n">
        <f aca="false">Assumptions!F47</f>
        <v>25</v>
      </c>
      <c r="G14" s="4" t="n">
        <f aca="false">Assumptions!G47</f>
        <v>25.5</v>
      </c>
      <c r="H14" s="4" t="n">
        <f aca="false">Assumptions!H47</f>
        <v>26</v>
      </c>
      <c r="I14" s="4" t="n">
        <f aca="false">Assumptions!I47</f>
        <v>26</v>
      </c>
      <c r="J14" s="4" t="n">
        <f aca="false">Assumptions!J47</f>
        <v>26</v>
      </c>
      <c r="K14" s="4" t="n">
        <f aca="false">Assumptions!K47</f>
        <v>26</v>
      </c>
      <c r="L14" s="4" t="n">
        <f aca="false">Assumptions!L47</f>
        <v>26</v>
      </c>
    </row>
    <row r="15" customFormat="false" ht="15" hidden="false" customHeight="false" outlineLevel="0" collapsed="false">
      <c r="A15" s="0" t="s">
        <v>122</v>
      </c>
      <c r="C15" s="0" t="n">
        <f aca="false">C13-MAX(0,C13)*C14/100</f>
        <v>3541.71584052</v>
      </c>
      <c r="D15" s="0" t="n">
        <f aca="false">D13-MAX(0,D13)*D14/100</f>
        <v>3699.4091086953</v>
      </c>
      <c r="E15" s="0" t="n">
        <f aca="false">E13-MAX(0,E13)*E14/100</f>
        <v>3925.04787581101</v>
      </c>
      <c r="F15" s="0" t="n">
        <f aca="false">F13-MAX(0,F13)*F14/100</f>
        <v>4177.77743436069</v>
      </c>
      <c r="G15" s="0" t="n">
        <f aca="false">G13-MAX(0,G13)*G14/100</f>
        <v>4393.00237356032</v>
      </c>
      <c r="H15" s="0" t="n">
        <f aca="false">H13-MAX(0,H13)*H14/100</f>
        <v>4557.62556109676</v>
      </c>
      <c r="I15" s="0" t="n">
        <f aca="false">I13-MAX(0,I13)*I14/100</f>
        <v>4757.75083538289</v>
      </c>
      <c r="J15" s="0" t="n">
        <f aca="false">J13-MAX(0,J13)*J14/100</f>
        <v>4964.05807041603</v>
      </c>
      <c r="K15" s="0" t="n">
        <f aca="false">K13-MAX(0,K13)*K14/100</f>
        <v>5176.71449451634</v>
      </c>
      <c r="L15" s="0" t="n">
        <f aca="false">L13-MAX(0,L13)*L14/100</f>
        <v>5280.24878440667</v>
      </c>
    </row>
    <row r="16" customFormat="false" ht="15" hidden="false" customHeight="false" outlineLevel="0" collapsed="false">
      <c r="A16" s="0" t="s">
        <v>123</v>
      </c>
      <c r="C16" s="0" t="n">
        <f aca="false">-C12</f>
        <v>4634.36154</v>
      </c>
      <c r="D16" s="0" t="n">
        <f aca="false">-D12</f>
        <v>4796.5641939</v>
      </c>
      <c r="E16" s="0" t="n">
        <f aca="false">-E12</f>
        <v>4859.46995382</v>
      </c>
      <c r="F16" s="0" t="n">
        <f aca="false">-F12</f>
        <v>4842.59679425812</v>
      </c>
      <c r="G16" s="0" t="n">
        <f aca="false">-G12</f>
        <v>4812.43433422532</v>
      </c>
      <c r="H16" s="0" t="n">
        <f aca="false">-H12</f>
        <v>4764.30999088306</v>
      </c>
      <c r="I16" s="0" t="n">
        <f aca="false">-I12</f>
        <v>4712.33570007343</v>
      </c>
      <c r="J16" s="0" t="n">
        <f aca="false">-J12</f>
        <v>4656.37671363506</v>
      </c>
      <c r="K16" s="0" t="n">
        <f aca="false">-K12</f>
        <v>4596.29443345912</v>
      </c>
      <c r="L16" s="0" t="n">
        <f aca="false">-L12</f>
        <v>4688.2203221283</v>
      </c>
    </row>
    <row r="17" customFormat="false" ht="15" hidden="false" customHeight="false" outlineLevel="0" collapsed="false">
      <c r="A17" s="0" t="s">
        <v>124</v>
      </c>
      <c r="C17" s="4" t="n">
        <f aca="false">-C6*Assumptions!C46/100</f>
        <v>-4938.2541</v>
      </c>
      <c r="D17" s="4" t="n">
        <f aca="false">-D6*Assumptions!D46/100</f>
        <v>-4193.717328</v>
      </c>
      <c r="E17" s="4" t="n">
        <f aca="false">-E6*Assumptions!E46/100</f>
        <v>-3914.573018355</v>
      </c>
      <c r="F17" s="4" t="n">
        <f aca="false">-F6*Assumptions!F46/100</f>
        <v>-3874.0774354065</v>
      </c>
      <c r="G17" s="4" t="n">
        <f aca="false">-G6*Assumptions!G46/100</f>
        <v>-3963.18121642085</v>
      </c>
      <c r="H17" s="4" t="n">
        <f aca="false">-H6*Assumptions!H46/100</f>
        <v>-4042.44484074927</v>
      </c>
      <c r="I17" s="4" t="n">
        <f aca="false">-I6*Assumptions!I46/100</f>
        <v>-4123.29373756425</v>
      </c>
      <c r="J17" s="4" t="n">
        <f aca="false">-J6*Assumptions!J46/100</f>
        <v>-4205.75961231554</v>
      </c>
      <c r="K17" s="4" t="n">
        <f aca="false">-K6*Assumptions!K46/100</f>
        <v>-4289.87480456185</v>
      </c>
      <c r="L17" s="4" t="n">
        <f aca="false">-L6*Assumptions!L46/100</f>
        <v>-4375.67230065308</v>
      </c>
    </row>
    <row r="18" customFormat="false" ht="15" hidden="false" customHeight="false" outlineLevel="0" collapsed="false">
      <c r="A18" s="0" t="s">
        <v>125</v>
      </c>
      <c r="C18" s="4" t="n">
        <f aca="false">(C6-B6)*Assumptions!$B$51/100</f>
        <v>-42.8189999999999</v>
      </c>
      <c r="D18" s="4" t="n">
        <f aca="false">(D6-C6)*Assumptions!$B$51/100</f>
        <v>-44.3176649999999</v>
      </c>
      <c r="E18" s="4" t="n">
        <f aca="false">(E6-D6)*Assumptions!$B$51/100</f>
        <v>-39.31609995</v>
      </c>
      <c r="F18" s="4" t="n">
        <f aca="false">(F6-E6)*Assumptions!$B$51/100</f>
        <v>-33.7463191237499</v>
      </c>
      <c r="G18" s="4" t="n">
        <f aca="false">(G6-F6)*Assumptions!$B$51/100</f>
        <v>-31.8227789336961</v>
      </c>
      <c r="H18" s="4" t="n">
        <f aca="false">(H6-G6)*Assumptions!$B$51/100</f>
        <v>-28.308437260149</v>
      </c>
      <c r="I18" s="4" t="n">
        <f aca="false">(I6-H6)*Assumptions!$B$51/100</f>
        <v>-28.874606005352</v>
      </c>
      <c r="J18" s="4" t="n">
        <f aca="false">(J6-I6)*Assumptions!$B$51/100</f>
        <v>-29.4520981254589</v>
      </c>
      <c r="K18" s="4" t="n">
        <f aca="false">(K6-J6)*Assumptions!$B$51/100</f>
        <v>-30.0411400879681</v>
      </c>
      <c r="L18" s="4" t="n">
        <f aca="false">(L6-K6)*Assumptions!$B$51/100</f>
        <v>-30.6419628897274</v>
      </c>
    </row>
    <row r="19" customFormat="false" ht="15" hidden="false" customHeight="false" outlineLevel="0" collapsed="false">
      <c r="A19" s="0" t="s">
        <v>126</v>
      </c>
      <c r="C19" s="0" t="n">
        <f aca="false">C15+C16+C17+C18</f>
        <v>3195.00428052</v>
      </c>
      <c r="D19" s="0" t="n">
        <f aca="false">D15+D16+D17+D18</f>
        <v>4257.9383095953</v>
      </c>
      <c r="E19" s="0" t="n">
        <f aca="false">E15+E16+E17+E18</f>
        <v>4830.62871132601</v>
      </c>
      <c r="F19" s="0" t="n">
        <f aca="false">F15+F16+F17+F18</f>
        <v>5112.55047408856</v>
      </c>
      <c r="G19" s="0" t="n">
        <f aca="false">G15+G16+G17+G18</f>
        <v>5210.43271243109</v>
      </c>
      <c r="H19" s="0" t="n">
        <f aca="false">H15+H16+H17+H18</f>
        <v>5251.1822739704</v>
      </c>
      <c r="I19" s="0" t="n">
        <f aca="false">I15+I16+I17+I18</f>
        <v>5317.91819188671</v>
      </c>
      <c r="J19" s="0" t="n">
        <f aca="false">J15+J16+J17+J18</f>
        <v>5385.22307361009</v>
      </c>
      <c r="K19" s="0" t="n">
        <f aca="false">K15+K16+K17+K18</f>
        <v>5453.09298332565</v>
      </c>
      <c r="L19" s="0" t="n">
        <f aca="false">L15+L16+L17+L18</f>
        <v>5562.15484299216</v>
      </c>
    </row>
    <row r="20" customFormat="false" ht="15" hidden="false" customHeight="false" outlineLevel="0" collapsed="false">
      <c r="A20" s="0" t="s">
        <v>127</v>
      </c>
      <c r="C20" s="0" t="n">
        <f aca="false">1/(1+$B$27/100)^C4</f>
        <v>0.936768149882904</v>
      </c>
      <c r="D20" s="0" t="n">
        <f aca="false">1/(1+$B$27/100)^D4</f>
        <v>0.877534566635039</v>
      </c>
      <c r="E20" s="0" t="n">
        <f aca="false">1/(1+$B$27/100)^E4</f>
        <v>0.822046432445002</v>
      </c>
      <c r="F20" s="0" t="n">
        <f aca="false">1/(1+$B$27/100)^F4</f>
        <v>0.770066915639346</v>
      </c>
      <c r="G20" s="0" t="n">
        <f aca="false">1/(1+$B$27/100)^G4</f>
        <v>0.721374159849504</v>
      </c>
      <c r="H20" s="0" t="n">
        <f aca="false">1/(1+$B$27/100)^H4</f>
        <v>0.675760337095555</v>
      </c>
      <c r="I20" s="0" t="n">
        <f aca="false">1/(1+$B$27/100)^I4</f>
        <v>0.63303076074525</v>
      </c>
      <c r="J20" s="0" t="n">
        <f aca="false">1/(1+$B$27/100)^J4</f>
        <v>0.593003054562295</v>
      </c>
      <c r="K20" s="0" t="n">
        <f aca="false">1/(1+$B$27/100)^K4</f>
        <v>0.555506374297232</v>
      </c>
      <c r="L20" s="0" t="n">
        <f aca="false">1/(1+$B$27/100)^L4</f>
        <v>0.520380678498578</v>
      </c>
    </row>
    <row r="21" customFormat="false" ht="15" hidden="false" customHeight="false" outlineLevel="0" collapsed="false">
      <c r="A21" s="0" t="s">
        <v>128</v>
      </c>
      <c r="C21" s="0" t="n">
        <f aca="false">C19*C20</f>
        <v>2992.97824873068</v>
      </c>
      <c r="D21" s="0" t="n">
        <f aca="false">D19*D20</f>
        <v>3736.48804926944</v>
      </c>
      <c r="E21" s="0" t="n">
        <f aca="false">E19*E20</f>
        <v>3971.00109861194</v>
      </c>
      <c r="F21" s="0" t="n">
        <f aca="false">F19*F20</f>
        <v>3937.00597463185</v>
      </c>
      <c r="G21" s="0" t="n">
        <f aca="false">G19*G20</f>
        <v>3758.67152038235</v>
      </c>
      <c r="H21" s="0" t="n">
        <f aca="false">H19*H20</f>
        <v>3548.54070360844</v>
      </c>
      <c r="I21" s="0" t="n">
        <f aca="false">I19*I20</f>
        <v>3366.40579859105</v>
      </c>
      <c r="J21" s="0" t="n">
        <f aca="false">J19*J20</f>
        <v>3193.45373215014</v>
      </c>
      <c r="K21" s="0" t="n">
        <f aca="false">K19*K20</f>
        <v>3029.22791187291</v>
      </c>
      <c r="L21" s="0" t="n">
        <f aca="false">L19*L20</f>
        <v>2894.43791111041</v>
      </c>
    </row>
    <row r="23" customFormat="false" ht="15" hidden="false" customHeight="false" outlineLevel="0" collapsed="false">
      <c r="A23" s="0" t="s">
        <v>104</v>
      </c>
      <c r="C23" s="4" t="n">
        <f aca="false">Assumptions!C44</f>
        <v>4.8</v>
      </c>
      <c r="D23" s="4" t="n">
        <f aca="false">Assumptions!D44</f>
        <v>4.8</v>
      </c>
      <c r="E23" s="4" t="n">
        <f aca="false">Assumptions!E44</f>
        <v>4.8</v>
      </c>
      <c r="F23" s="4" t="n">
        <f aca="false">Assumptions!F44</f>
        <v>4.8</v>
      </c>
      <c r="G23" s="4" t="n">
        <f aca="false">Assumptions!G44</f>
        <v>4.8</v>
      </c>
      <c r="H23" s="4" t="n">
        <f aca="false">Assumptions!H44</f>
        <v>4.8</v>
      </c>
      <c r="I23" s="4" t="n">
        <f aca="false">Assumptions!I44</f>
        <v>4.8</v>
      </c>
      <c r="J23" s="4" t="n">
        <f aca="false">Assumptions!J44</f>
        <v>4.8</v>
      </c>
      <c r="K23" s="4" t="n">
        <f aca="false">Assumptions!K44</f>
        <v>4.8</v>
      </c>
      <c r="L23" s="4" t="n">
        <f aca="false">Assumptions!L44</f>
        <v>4.8</v>
      </c>
    </row>
    <row r="24" customFormat="false" ht="15" hidden="false" customHeight="false" outlineLevel="0" collapsed="false">
      <c r="A24" s="0" t="s">
        <v>129</v>
      </c>
      <c r="C24" s="0" t="n">
        <f aca="false">-C6*C23/100</f>
        <v>-1215.57024</v>
      </c>
      <c r="D24" s="0" t="n">
        <f aca="false">-D6*D23/100</f>
        <v>-1258.1151984</v>
      </c>
      <c r="E24" s="0" t="n">
        <f aca="false">-E6*E23/100</f>
        <v>-1295.858654352</v>
      </c>
      <c r="F24" s="0" t="n">
        <f aca="false">-F6*F23/100</f>
        <v>-1328.2551207108</v>
      </c>
      <c r="G24" s="0" t="n">
        <f aca="false">-G6*G23/100</f>
        <v>-1358.80498848715</v>
      </c>
      <c r="H24" s="0" t="n">
        <f aca="false">-H6*H23/100</f>
        <v>-1385.98108825689</v>
      </c>
      <c r="I24" s="0" t="n">
        <f aca="false">-I6*I23/100</f>
        <v>-1413.70071002203</v>
      </c>
      <c r="J24" s="0" t="n">
        <f aca="false">-J6*J23/100</f>
        <v>-1441.97472422247</v>
      </c>
      <c r="K24" s="0" t="n">
        <f aca="false">-K6*K23/100</f>
        <v>-1470.81421870692</v>
      </c>
      <c r="L24" s="0" t="n">
        <f aca="false">-L6*L23/100</f>
        <v>-1500.23050308106</v>
      </c>
    </row>
    <row r="26" customFormat="false" ht="15" hidden="false" customHeight="false" outlineLevel="0" collapsed="false">
      <c r="A26" s="2" t="s">
        <v>130</v>
      </c>
    </row>
    <row r="27" customFormat="false" ht="15" hidden="false" customHeight="false" outlineLevel="0" collapsed="false">
      <c r="A27" s="0" t="s">
        <v>108</v>
      </c>
      <c r="B27" s="4" t="n">
        <f aca="false">Assumptions!$B$48</f>
        <v>6.75</v>
      </c>
    </row>
    <row r="28" customFormat="false" ht="15" hidden="false" customHeight="false" outlineLevel="0" collapsed="false">
      <c r="A28" s="0" t="s">
        <v>109</v>
      </c>
      <c r="B28" s="4" t="n">
        <f aca="false">Assumptions!$B$49</f>
        <v>2</v>
      </c>
    </row>
    <row r="29" customFormat="false" ht="15" hidden="false" customHeight="false" outlineLevel="0" collapsed="false">
      <c r="A29" s="0" t="s">
        <v>110</v>
      </c>
      <c r="B29" s="4" t="n">
        <f aca="false">Assumptions!$B$50</f>
        <v>17</v>
      </c>
    </row>
    <row r="30" customFormat="false" ht="15" hidden="false" customHeight="false" outlineLevel="0" collapsed="false">
      <c r="A30" s="0" t="s">
        <v>131</v>
      </c>
      <c r="B30" s="0" t="n">
        <f aca="false">SUM(C21:L21)</f>
        <v>34428.2109489592</v>
      </c>
    </row>
    <row r="31" customFormat="false" ht="15" hidden="false" customHeight="false" outlineLevel="0" collapsed="false">
      <c r="A31" s="0" t="s">
        <v>132</v>
      </c>
      <c r="B31" s="0" t="n">
        <f aca="false">L19</f>
        <v>5562.15484299216</v>
      </c>
    </row>
    <row r="32" customFormat="false" ht="15" hidden="false" customHeight="false" outlineLevel="0" collapsed="false">
      <c r="A32" s="0" t="s">
        <v>133</v>
      </c>
      <c r="B32" s="0" t="n">
        <f aca="false">IF(B27&gt;B28,B31*(1+B28/100)/((B27-B28)/100),B31*B29)</f>
        <v>119439.956628463</v>
      </c>
    </row>
    <row r="33" customFormat="false" ht="15" hidden="false" customHeight="false" outlineLevel="0" collapsed="false">
      <c r="A33" s="0" t="s">
        <v>134</v>
      </c>
      <c r="B33" s="0" t="n">
        <f aca="false">B31*B29</f>
        <v>94556.6323308667</v>
      </c>
    </row>
    <row r="34" customFormat="false" ht="15" hidden="false" customHeight="false" outlineLevel="0" collapsed="false">
      <c r="A34" s="0" t="s">
        <v>135</v>
      </c>
      <c r="B34" s="0" t="n">
        <f aca="false">MAX(0,MIN(B32,B33))</f>
        <v>94556.6323308667</v>
      </c>
    </row>
    <row r="35" customFormat="false" ht="15" hidden="false" customHeight="false" outlineLevel="0" collapsed="false">
      <c r="A35" s="0" t="s">
        <v>136</v>
      </c>
      <c r="B35" s="0" t="n">
        <f aca="false">B34/(1+B27/100)^L4</f>
        <v>49205.444488877</v>
      </c>
    </row>
    <row r="36" customFormat="false" ht="15" hidden="false" customHeight="false" outlineLevel="0" collapsed="false">
      <c r="A36" s="0" t="s">
        <v>137</v>
      </c>
      <c r="B36" s="0" t="n">
        <f aca="false">B30+B35</f>
        <v>83633.6554378362</v>
      </c>
    </row>
    <row r="37" customFormat="false" ht="15" hidden="false" customHeight="false" outlineLevel="0" collapsed="false">
      <c r="A37" s="0" t="s">
        <v>138</v>
      </c>
      <c r="B37" s="0" t="n">
        <f aca="false">B36+Assumptions!$B$5-Assumptions!$B$4</f>
        <v>43938.6554378362</v>
      </c>
    </row>
    <row r="38" customFormat="false" ht="15" hidden="false" customHeight="false" outlineLevel="0" collapsed="false">
      <c r="A38" s="0" t="s">
        <v>139</v>
      </c>
      <c r="B38" s="0" t="n">
        <f aca="false">B37/Assumptions!$B$3*Assumptions!$B$10</f>
        <v>33.0776794824247</v>
      </c>
    </row>
    <row r="39" customFormat="false" ht="15" hidden="false" customHeight="false" outlineLevel="0" collapsed="false">
      <c r="A39" s="0" t="s">
        <v>140</v>
      </c>
      <c r="B39" s="4" t="n">
        <f aca="false">B38/Assumptions!$B$2-1</f>
        <v>0.676516952986553</v>
      </c>
    </row>
    <row r="41" customFormat="false" ht="15" hidden="false" customHeight="false" outlineLevel="0" collapsed="false">
      <c r="A41" s="0" t="s">
        <v>141</v>
      </c>
      <c r="B41" s="0" t="n">
        <f aca="false">SUMPRODUCT(-C10:L10/(1+$B$27/100)^C4:L4)</f>
        <v>739.645055554709</v>
      </c>
    </row>
    <row r="42" customFormat="false" ht="15" hidden="false" customHeight="false" outlineLevel="0" collapsed="false">
      <c r="A42" s="0" t="s">
        <v>142</v>
      </c>
      <c r="B42" s="0" t="n">
        <f aca="false">IF(B27&gt;B28,-L10*(1+B28/100)/((B27-B28)/100),-L10*20)/(1+B27/100)^L4</f>
        <v>1292.24899553784</v>
      </c>
    </row>
    <row r="43" customFormat="false" ht="15" hidden="false" customHeight="false" outlineLevel="0" collapsed="false">
      <c r="A43" s="0" t="s">
        <v>143</v>
      </c>
      <c r="B43" s="0" t="n">
        <f aca="false">(B37+B41+B42)/Assumptions!$B$3*Assumptions!$B$10</f>
        <v>34.6073198297351</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43641.5226142462</v>
      </c>
    </row>
    <row r="47" customFormat="false" ht="15" hidden="false" customHeight="false" outlineLevel="0" collapsed="false">
      <c r="A47" s="0" t="s">
        <v>145</v>
      </c>
      <c r="B47" s="0" t="n">
        <f aca="false">(SUMPRODUCT(C19:L19/(1+B45/100)^C4:L4)+B46/(1+B45/100)^L4+Assumptions!$B$5-Assumptions!$B$4)/Assumptions!$B$3*Assumptions!$B$10</f>
        <v>-3.96349873983622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4.66672064821987</v>
      </c>
      <c r="C4" s="0" t="n">
        <f aca="false">B4/Assumptions!$B$2-1</f>
        <v>-0.763470823709079</v>
      </c>
      <c r="D4" s="4" t="n">
        <f aca="false">Assumptions!$B$24</f>
        <v>0.3</v>
      </c>
      <c r="E4" s="4" t="n">
        <f aca="false">DCF_Bear!$B$43</f>
        <v>5.76408163741593</v>
      </c>
      <c r="F4" s="4" t="n">
        <f aca="false">DCF_Bear!$B$47</f>
        <v>-12.5101801955752</v>
      </c>
    </row>
    <row r="5" customFormat="false" ht="15" hidden="false" customHeight="false" outlineLevel="0" collapsed="false">
      <c r="A5" s="0" t="s">
        <v>154</v>
      </c>
      <c r="B5" s="4" t="n">
        <f aca="false">DCF_Base!$B$38</f>
        <v>19.7078765405711</v>
      </c>
      <c r="C5" s="0" t="n">
        <f aca="false">B5/Assumptions!$B$2-1</f>
        <v>-0.00112131066542742</v>
      </c>
      <c r="D5" s="4" t="n">
        <f aca="false">Assumptions!$B$38</f>
        <v>0.5</v>
      </c>
      <c r="E5" s="4" t="n">
        <f aca="false">DCF_Base!$B$43</f>
        <v>21.0494346559879</v>
      </c>
      <c r="F5" s="4" t="n">
        <f aca="false">DCF_Base!$B$47</f>
        <v>-7.80666765696822</v>
      </c>
    </row>
    <row r="6" customFormat="false" ht="15" hidden="false" customHeight="false" outlineLevel="0" collapsed="false">
      <c r="A6" s="0" t="s">
        <v>155</v>
      </c>
      <c r="B6" s="4" t="n">
        <f aca="false">DCF_Bull!$B$38</f>
        <v>33.0776794824247</v>
      </c>
      <c r="C6" s="0" t="n">
        <f aca="false">B6/Assumptions!$B$2-1</f>
        <v>0.676516952986553</v>
      </c>
      <c r="D6" s="4" t="n">
        <f aca="false">Assumptions!$B$52</f>
        <v>0.2</v>
      </c>
      <c r="E6" s="4" t="n">
        <f aca="false">DCF_Bull!$B$43</f>
        <v>34.6073198297351</v>
      </c>
      <c r="F6" s="4" t="n">
        <f aca="false">DCF_Bull!$B$47</f>
        <v>-3.96349873983622</v>
      </c>
    </row>
    <row r="8" customFormat="false" ht="15" hidden="false" customHeight="false" outlineLevel="0" collapsed="false">
      <c r="A8" s="0" t="s">
        <v>156</v>
      </c>
      <c r="B8" s="0" t="n">
        <f aca="false">SUMPRODUCT(B4:B6,D4:D6)</f>
        <v>17.8694903612365</v>
      </c>
    </row>
    <row r="9" customFormat="false" ht="15" hidden="false" customHeight="false" outlineLevel="0" collapsed="false">
      <c r="A9" s="0" t="s">
        <v>157</v>
      </c>
      <c r="B9" s="0" t="n">
        <f aca="false">SUMPRODUCT(E4:E6,D4:D6)</f>
        <v>19.1754057851657</v>
      </c>
    </row>
    <row r="10" customFormat="false" ht="15" hidden="false" customHeight="false" outlineLevel="0" collapsed="false">
      <c r="A10" s="0" t="s">
        <v>158</v>
      </c>
      <c r="B10" s="0" t="n">
        <f aca="false">1-Assumptions!$B$2/B8</f>
        <v>-0.104116547319081</v>
      </c>
    </row>
    <row r="11" customFormat="false" ht="15" hidden="false" customHeight="false" outlineLevel="0" collapsed="false">
      <c r="A11" s="0" t="s">
        <v>159</v>
      </c>
      <c r="B11" s="0" t="n">
        <f aca="false">IF(ABS(B9-B8)&gt;0.01*ABS(B8),(Assumptions!$B$2-B8)/(B9-B8)*100,"n/a")</f>
        <v>142.46785087855</v>
      </c>
    </row>
    <row r="12" customFormat="false" ht="15" hidden="false" customHeight="false" outlineLevel="0" collapsed="false">
      <c r="A12" s="0" t="s">
        <v>160</v>
      </c>
      <c r="B12" s="0" t="n">
        <f aca="false">SUMPRODUCT(F4:F6,D4:D6)</f>
        <v>-8.44908763512391</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19.7078765405711</v>
      </c>
      <c r="C15" s="3" t="n">
        <v>6.75</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10.1861026872841</v>
      </c>
      <c r="C16" s="3" t="n">
        <v>9</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5.42501153144429</v>
      </c>
      <c r="C17" s="3" t="n">
        <v>10</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1.6654979583458</v>
      </c>
      <c r="C18" s="3" t="n">
        <v>11</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-1.37849478251366</v>
      </c>
      <c r="C19" s="3" t="n">
        <v>12</v>
      </c>
    </row>
    <row r="20" customFormat="false" ht="15" hidden="false" customHeight="false" outlineLevel="0" collapsed="false">
      <c r="A20" s="0" t="s">
        <v>168</v>
      </c>
      <c r="B20" s="0" t="n">
        <f aca="false">(SUMPRODUCT(DCF_Base!$C$19:$L$19/(1+$C$20/100)^DCF_Base!$C$4:$L$4)+MAX(0,MIN(IF($C$20&gt;DCF_Base!$B$28,DCF_Base!$L$19*(1+DCF_Base!$B$28/100)/(($C$20-DCF_Base!$B$28)/100),DCF_Base!$L$19*DCF_Base!$B$29),DCF_Base!$L$19*DCF_Base!$B$29))/(1+$C$20/100)^DCF_Base!$L$4+Assumptions!$B$5-Assumptions!$B$4)/Assumptions!$B$3*Assumptions!$B$10</f>
        <v>-7.80666765696822</v>
      </c>
      <c r="C20" s="3" t="n">
        <v>15</v>
      </c>
    </row>
    <row r="22" customFormat="false" ht="15" hidden="false" customHeight="false" outlineLevel="0" collapsed="false">
      <c r="A22" s="2" t="s">
        <v>169</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4.75</v>
      </c>
      <c r="B24" s="0" t="n">
        <f aca="false">(SUMPRODUCT(DCF_Base!$C$19:$L$19/(1+$A$24/100)^DCF_Base!$C$4:$L$4)+MAX(0,MIN(IF($A$24&gt;$B$23,DCF_Base!$L$19*(1+$B$23/100)/(($A$24-$B$23)/100),DCF_Base!$L$19*DCF_Base!$B$29),DCF_Base!$L$19*DCF_Base!$B$29))/(1+$A$24/100)^DCF_Base!$L$4+Assumptions!$B$5-Assumptions!$B$4)/Assumptions!$B$3*Assumptions!$B$10</f>
        <v>27.7029759929727</v>
      </c>
      <c r="C24" s="0" t="n">
        <f aca="false">(SUMPRODUCT(DCF_Base!$C$19:$L$19/(1+$A$24/100)^DCF_Base!$C$4:$L$4)+MAX(0,MIN(IF($A$24&gt;$C$23,DCF_Base!$L$19*(1+$C$23/100)/(($A$24-$C$23)/100),DCF_Base!$L$19*DCF_Base!$B$29),DCF_Base!$L$19*DCF_Base!$B$29))/(1+$A$24/100)^DCF_Base!$L$4+Assumptions!$B$5-Assumptions!$B$4)/Assumptions!$B$3*Assumptions!$B$10</f>
        <v>27.7029759929727</v>
      </c>
      <c r="D24" s="0" t="n">
        <f aca="false">(SUMPRODUCT(DCF_Base!$C$19:$L$19/(1+$A$24/100)^DCF_Base!$C$4:$L$4)+MAX(0,MIN(IF($A$24&gt;$D$23,DCF_Base!$L$19*(1+$D$23/100)/(($A$24-$D$23)/100),DCF_Base!$L$19*DCF_Base!$B$29),DCF_Base!$L$19*DCF_Base!$B$29))/(1+$A$24/100)^DCF_Base!$L$4+Assumptions!$B$5-Assumptions!$B$4)/Assumptions!$B$3*Assumptions!$B$10</f>
        <v>27.7029759929727</v>
      </c>
      <c r="E24" s="0" t="n">
        <f aca="false">(SUMPRODUCT(DCF_Base!$C$19:$L$19/(1+$A$24/100)^DCF_Base!$C$4:$L$4)+MAX(0,MIN(IF($A$24&gt;$E$23,DCF_Base!$L$19*(1+$E$23/100)/(($A$24-$E$23)/100),DCF_Base!$L$19*DCF_Base!$B$29),DCF_Base!$L$19*DCF_Base!$B$29))/(1+$A$24/100)^DCF_Base!$L$4+Assumptions!$B$5-Assumptions!$B$4)/Assumptions!$B$3*Assumptions!$B$10</f>
        <v>27.7029759929727</v>
      </c>
      <c r="F24" s="0" t="n">
        <f aca="false">(SUMPRODUCT(DCF_Base!$C$19:$L$19/(1+$A$24/100)^DCF_Base!$C$4:$L$4)+MAX(0,MIN(IF($A$24&gt;$F$23,DCF_Base!$L$19*(1+$F$23/100)/(($A$24-$F$23)/100),DCF_Base!$L$19*DCF_Base!$B$29),DCF_Base!$L$19*DCF_Base!$B$29))/(1+$A$24/100)^DCF_Base!$L$4+Assumptions!$B$5-Assumptions!$B$4)/Assumptions!$B$3*Assumptions!$B$10</f>
        <v>27.7029759929727</v>
      </c>
    </row>
    <row r="25" customFormat="false" ht="15" hidden="false" customHeight="false" outlineLevel="0" collapsed="false">
      <c r="A25" s="3" t="n">
        <v>5.75</v>
      </c>
      <c r="B25" s="0" t="n">
        <f aca="false">(SUMPRODUCT(DCF_Base!$C$19:$L$19/(1+$A$25/100)^DCF_Base!$C$4:$L$4)+MAX(0,MIN(IF($A$25&gt;$B$23,DCF_Base!$L$19*(1+$B$23/100)/(($A$25-$B$23)/100),DCF_Base!$L$19*DCF_Base!$B$29),DCF_Base!$L$19*DCF_Base!$B$29))/(1+$A$25/100)^DCF_Base!$L$4+Assumptions!$B$5-Assumptions!$B$4)/Assumptions!$B$3*Assumptions!$B$10</f>
        <v>23.5157738370478</v>
      </c>
      <c r="C25" s="0" t="n">
        <f aca="false">(SUMPRODUCT(DCF_Base!$C$19:$L$19/(1+$A$25/100)^DCF_Base!$C$4:$L$4)+MAX(0,MIN(IF($A$25&gt;$C$23,DCF_Base!$L$19*(1+$C$23/100)/(($A$25-$C$23)/100),DCF_Base!$L$19*DCF_Base!$B$29),DCF_Base!$L$19*DCF_Base!$B$29))/(1+$A$25/100)^DCF_Base!$L$4+Assumptions!$B$5-Assumptions!$B$4)/Assumptions!$B$3*Assumptions!$B$10</f>
        <v>23.5157738370478</v>
      </c>
      <c r="D25" s="0" t="n">
        <f aca="false">(SUMPRODUCT(DCF_Base!$C$19:$L$19/(1+$A$25/100)^DCF_Base!$C$4:$L$4)+MAX(0,MIN(IF($A$25&gt;$D$23,DCF_Base!$L$19*(1+$D$23/100)/(($A$25-$D$23)/100),DCF_Base!$L$19*DCF_Base!$B$29),DCF_Base!$L$19*DCF_Base!$B$29))/(1+$A$25/100)^DCF_Base!$L$4+Assumptions!$B$5-Assumptions!$B$4)/Assumptions!$B$3*Assumptions!$B$10</f>
        <v>23.5157738370478</v>
      </c>
      <c r="E25" s="0" t="n">
        <f aca="false">(SUMPRODUCT(DCF_Base!$C$19:$L$19/(1+$A$25/100)^DCF_Base!$C$4:$L$4)+MAX(0,MIN(IF($A$25&gt;$E$23,DCF_Base!$L$19*(1+$E$23/100)/(($A$25-$E$23)/100),DCF_Base!$L$19*DCF_Base!$B$29),DCF_Base!$L$19*DCF_Base!$B$29))/(1+$A$25/100)^DCF_Base!$L$4+Assumptions!$B$5-Assumptions!$B$4)/Assumptions!$B$3*Assumptions!$B$10</f>
        <v>23.5157738370478</v>
      </c>
      <c r="F25" s="0" t="n">
        <f aca="false">(SUMPRODUCT(DCF_Base!$C$19:$L$19/(1+$A$25/100)^DCF_Base!$C$4:$L$4)+MAX(0,MIN(IF($A$25&gt;$F$23,DCF_Base!$L$19*(1+$F$23/100)/(($A$25-$F$23)/100),DCF_Base!$L$19*DCF_Base!$B$29),DCF_Base!$L$19*DCF_Base!$B$29))/(1+$A$25/100)^DCF_Base!$L$4+Assumptions!$B$5-Assumptions!$B$4)/Assumptions!$B$3*Assumptions!$B$10</f>
        <v>23.5157738370478</v>
      </c>
    </row>
    <row r="26" customFormat="false" ht="15" hidden="false" customHeight="false" outlineLevel="0" collapsed="false">
      <c r="A26" s="3" t="n">
        <v>6.75</v>
      </c>
      <c r="B26" s="0" t="n">
        <f aca="false">(SUMPRODUCT(DCF_Base!$C$19:$L$19/(1+$A$26/100)^DCF_Base!$C$4:$L$4)+MAX(0,MIN(IF($A$26&gt;$B$23,DCF_Base!$L$19*(1+$B$23/100)/(($A$26-$B$23)/100),DCF_Base!$L$19*DCF_Base!$B$29),DCF_Base!$L$19*DCF_Base!$B$29))/(1+$A$26/100)^DCF_Base!$L$4+Assumptions!$B$5-Assumptions!$B$4)/Assumptions!$B$3*Assumptions!$B$10</f>
        <v>19.7078765405711</v>
      </c>
      <c r="C26" s="0" t="n">
        <f aca="false">(SUMPRODUCT(DCF_Base!$C$19:$L$19/(1+$A$26/100)^DCF_Base!$C$4:$L$4)+MAX(0,MIN(IF($A$26&gt;$C$23,DCF_Base!$L$19*(1+$C$23/100)/(($A$26-$C$23)/100),DCF_Base!$L$19*DCF_Base!$B$29),DCF_Base!$L$19*DCF_Base!$B$29))/(1+$A$26/100)^DCF_Base!$L$4+Assumptions!$B$5-Assumptions!$B$4)/Assumptions!$B$3*Assumptions!$B$10</f>
        <v>19.7078765405711</v>
      </c>
      <c r="D26" s="0" t="n">
        <f aca="false">(SUMPRODUCT(DCF_Base!$C$19:$L$19/(1+$A$26/100)^DCF_Base!$C$4:$L$4)+MAX(0,MIN(IF($A$26&gt;$D$23,DCF_Base!$L$19*(1+$D$23/100)/(($A$26-$D$23)/100),DCF_Base!$L$19*DCF_Base!$B$29),DCF_Base!$L$19*DCF_Base!$B$29))/(1+$A$26/100)^DCF_Base!$L$4+Assumptions!$B$5-Assumptions!$B$4)/Assumptions!$B$3*Assumptions!$B$10</f>
        <v>19.7078765405711</v>
      </c>
      <c r="E26" s="0" t="n">
        <f aca="false">(SUMPRODUCT(DCF_Base!$C$19:$L$19/(1+$A$26/100)^DCF_Base!$C$4:$L$4)+MAX(0,MIN(IF($A$26&gt;$E$23,DCF_Base!$L$19*(1+$E$23/100)/(($A$26-$E$23)/100),DCF_Base!$L$19*DCF_Base!$B$29),DCF_Base!$L$19*DCF_Base!$B$29))/(1+$A$26/100)^DCF_Base!$L$4+Assumptions!$B$5-Assumptions!$B$4)/Assumptions!$B$3*Assumptions!$B$10</f>
        <v>19.7078765405711</v>
      </c>
      <c r="F26" s="0" t="n">
        <f aca="false">(SUMPRODUCT(DCF_Base!$C$19:$L$19/(1+$A$26/100)^DCF_Base!$C$4:$L$4)+MAX(0,MIN(IF($A$26&gt;$F$23,DCF_Base!$L$19*(1+$F$23/100)/(($A$26-$F$23)/100),DCF_Base!$L$19*DCF_Base!$B$29),DCF_Base!$L$19*DCF_Base!$B$29))/(1+$A$26/100)^DCF_Base!$L$4+Assumptions!$B$5-Assumptions!$B$4)/Assumptions!$B$3*Assumptions!$B$10</f>
        <v>19.7078765405711</v>
      </c>
    </row>
    <row r="27" customFormat="false" ht="15" hidden="false" customHeight="false" outlineLevel="0" collapsed="false">
      <c r="A27" s="3" t="n">
        <v>7.75</v>
      </c>
      <c r="B27" s="0" t="n">
        <f aca="false">(SUMPRODUCT(DCF_Base!$C$19:$L$19/(1+$A$27/100)^DCF_Base!$C$4:$L$4)+MAX(0,MIN(IF($A$27&gt;$B$23,DCF_Base!$L$19*(1+$B$23/100)/(($A$27-$B$23)/100),DCF_Base!$L$19*DCF_Base!$B$29),DCF_Base!$L$19*DCF_Base!$B$29))/(1+$A$27/100)^DCF_Base!$L$4+Assumptions!$B$5-Assumptions!$B$4)/Assumptions!$B$3*Assumptions!$B$10</f>
        <v>14.3708565407505</v>
      </c>
      <c r="C27" s="0" t="n">
        <f aca="false">(SUMPRODUCT(DCF_Base!$C$19:$L$19/(1+$A$27/100)^DCF_Base!$C$4:$L$4)+MAX(0,MIN(IF($A$27&gt;$C$23,DCF_Base!$L$19*(1+$C$23/100)/(($A$27-$C$23)/100),DCF_Base!$L$19*DCF_Base!$B$29),DCF_Base!$L$19*DCF_Base!$B$29))/(1+$A$27/100)^DCF_Base!$L$4+Assumptions!$B$5-Assumptions!$B$4)/Assumptions!$B$3*Assumptions!$B$10</f>
        <v>16.1797334074995</v>
      </c>
      <c r="D27" s="0" t="n">
        <f aca="false">(SUMPRODUCT(DCF_Base!$C$19:$L$19/(1+$A$27/100)^DCF_Base!$C$4:$L$4)+MAX(0,MIN(IF($A$27&gt;$D$23,DCF_Base!$L$19*(1+$D$23/100)/(($A$27-$D$23)/100),DCF_Base!$L$19*DCF_Base!$B$29),DCF_Base!$L$19*DCF_Base!$B$29))/(1+$A$27/100)^DCF_Base!$L$4+Assumptions!$B$5-Assumptions!$B$4)/Assumptions!$B$3*Assumptions!$B$10</f>
        <v>16.2405888937358</v>
      </c>
      <c r="E27" s="0" t="n">
        <f aca="false">(SUMPRODUCT(DCF_Base!$C$19:$L$19/(1+$A$27/100)^DCF_Base!$C$4:$L$4)+MAX(0,MIN(IF($A$27&gt;$E$23,DCF_Base!$L$19*(1+$E$23/100)/(($A$27-$E$23)/100),DCF_Base!$L$19*DCF_Base!$B$29),DCF_Base!$L$19*DCF_Base!$B$29))/(1+$A$27/100)^DCF_Base!$L$4+Assumptions!$B$5-Assumptions!$B$4)/Assumptions!$B$3*Assumptions!$B$10</f>
        <v>16.2405888937358</v>
      </c>
      <c r="F27" s="0" t="n">
        <f aca="false">(SUMPRODUCT(DCF_Base!$C$19:$L$19/(1+$A$27/100)^DCF_Base!$C$4:$L$4)+MAX(0,MIN(IF($A$27&gt;$F$23,DCF_Base!$L$19*(1+$F$23/100)/(($A$27-$F$23)/100),DCF_Base!$L$19*DCF_Base!$B$29),DCF_Base!$L$19*DCF_Base!$B$29))/(1+$A$27/100)^DCF_Base!$L$4+Assumptions!$B$5-Assumptions!$B$4)/Assumptions!$B$3*Assumptions!$B$10</f>
        <v>16.2405888937358</v>
      </c>
    </row>
    <row r="28" customFormat="false" ht="15" hidden="false" customHeight="false" outlineLevel="0" collapsed="false">
      <c r="A28" s="3" t="n">
        <v>8.75</v>
      </c>
      <c r="B28" s="0" t="n">
        <f aca="false">(SUMPRODUCT(DCF_Base!$C$19:$L$19/(1+$A$28/100)^DCF_Base!$C$4:$L$4)+MAX(0,MIN(IF($A$28&gt;$B$23,DCF_Base!$L$19*(1+$B$23/100)/(($A$28-$B$23)/100),DCF_Base!$L$19*DCF_Base!$B$29),DCF_Base!$L$19*DCF_Base!$B$29))/(1+$A$28/100)^DCF_Base!$L$4+Assumptions!$B$5-Assumptions!$B$4)/Assumptions!$B$3*Assumptions!$B$10</f>
        <v>8.85758400957385</v>
      </c>
      <c r="C28" s="0" t="n">
        <f aca="false">(SUMPRODUCT(DCF_Base!$C$19:$L$19/(1+$A$28/100)^DCF_Base!$C$4:$L$4)+MAX(0,MIN(IF($A$28&gt;$C$23,DCF_Base!$L$19*(1+$C$23/100)/(($A$28-$C$23)/100),DCF_Base!$L$19*DCF_Base!$B$29),DCF_Base!$L$19*DCF_Base!$B$29))/(1+$A$28/100)^DCF_Base!$L$4+Assumptions!$B$5-Assumptions!$B$4)/Assumptions!$B$3*Assumptions!$B$10</f>
        <v>10.1316362970015</v>
      </c>
      <c r="D28" s="0" t="n">
        <f aca="false">(SUMPRODUCT(DCF_Base!$C$19:$L$19/(1+$A$28/100)^DCF_Base!$C$4:$L$4)+MAX(0,MIN(IF($A$28&gt;$D$23,DCF_Base!$L$19*(1+$D$23/100)/(($A$28-$D$23)/100),DCF_Base!$L$19*DCF_Base!$B$29),DCF_Base!$L$19*DCF_Base!$B$29))/(1+$A$28/100)^DCF_Base!$L$4+Assumptions!$B$5-Assumptions!$B$4)/Assumptions!$B$3*Assumptions!$B$10</f>
        <v>11.5814199344191</v>
      </c>
      <c r="E28" s="0" t="n">
        <f aca="false">(SUMPRODUCT(DCF_Base!$C$19:$L$19/(1+$A$28/100)^DCF_Base!$C$4:$L$4)+MAX(0,MIN(IF($A$28&gt;$E$23,DCF_Base!$L$19*(1+$E$23/100)/(($A$28-$E$23)/100),DCF_Base!$L$19*DCF_Base!$B$29),DCF_Base!$L$19*DCF_Base!$B$29))/(1+$A$28/100)^DCF_Base!$L$4+Assumptions!$B$5-Assumptions!$B$4)/Assumptions!$B$3*Assumptions!$B$10</f>
        <v>13.079529693084</v>
      </c>
      <c r="F28" s="0" t="n">
        <f aca="false">(SUMPRODUCT(DCF_Base!$C$19:$L$19/(1+$A$28/100)^DCF_Base!$C$4:$L$4)+MAX(0,MIN(IF($A$28&gt;$F$23,DCF_Base!$L$19*(1+$F$23/100)/(($A$28-$F$23)/100),DCF_Base!$L$19*DCF_Base!$B$29),DCF_Base!$L$19*DCF_Base!$B$29))/(1+$A$28/100)^DCF_Base!$L$4+Assumptions!$B$5-Assumptions!$B$4)/Assumptions!$B$3*Assumptions!$B$10</f>
        <v>13.079529693084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2026-10-02T22:47:07Z</dcterms:created>
  <dc:creator>openpyxl</dc:creator>
  <dc:description/>
  <dc:language>en-NZ</dc:language>
  <cp:lastModifiedBy/>
  <dcterms:modified xsi:type="dcterms:W3CDTF">2026-10-02T22:47:07Z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