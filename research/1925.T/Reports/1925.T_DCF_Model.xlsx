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<sst xmlns="http://schemas.openxmlformats.org/spreadsheetml/2006/main" count="375" uniqueCount="172">
  <si>
    <t xml:space="preserve">Ticker</t>
  </si>
  <si>
    <t xml:space="preserve">1925.T</t>
  </si>
  <si>
    <t xml:space="preserve">Company</t>
  </si>
  <si>
    <t xml:space="preserve">Daiwa House Industry Co., Ltd.</t>
  </si>
  <si>
    <t xml:space="preserve">Valuation date</t>
  </si>
  <si>
    <t xml:space="preserve">2026-10-26</t>
  </si>
  <si>
    <t xml:space="preserve">Current price</t>
  </si>
  <si>
    <t xml:space="preserve">Price as of</t>
  </si>
  <si>
    <t xml:space="preserve">2026-10-26T02:30:00Z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</si>
  <si>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</si>
  <si>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</si>
  <si>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</si>
  <si>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</si>
  <si>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</si>
  <si>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</si>
  <si>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</si>
  <si>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</si>
  <si>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</si>
  <si>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</si>
  <si>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</si>
  <si>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</si>
  <si>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2026-10-26T03:16:02Z</t>
  </si>
  <si>
    <t xml:space="preserve">Drivers file</t>
  </si>
  <si>
    <t xml:space="preserve">1925.T_Drivers.json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</si>
  <si>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</si>
  <si>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</si>
  <si>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</si>
  <si>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a strict basis for Japan's largest diversified homebuilder-contractor-developer: cash flows built from underlying (ex-actuarial) EBITDA through 31% cash tax, D&amp;A, gross investment and working-capital consumption, discounted at a JPY WACC built on the company's own target capital structure, with the terminal value capped at a cyclical multiple. Investment securities are added and minorities deducted once in the bridge; leases follow J-GAAP (expensed, excluded from debt); SBC is zero and the house/street band collapses. The central finding is about reinvestment, not growth: for ten years Daiwa House has reinvested all of its operating cash flow and funded dividends with debt, earning roughly 3.5-4% on the incremental capital. A DCF that charges that history values the equity well below the book value the market is paying; the gap between the model and the price is the market's bet that the D/E constraint forces discipline (the bull case) or that leverage at 1.5% JPY debt is a permanent source of value (an implied WACC of ~4.4%). Both are stated as scenarios rather than baked into the base. A supplementary NTA memo is included because, on the bear path, the flows-only model falls below the asset floor and understates what equity holders would actually recover.
key_risks_to_valuation: Reinvestment intensity (capex_pct_path and wc_capture_pct) is the dominant driver: each 1pp of terminal capex/revenue is worth ~Y450/share; if management does not reduce gross investment from ~7.5% of revenue, owner FCF never becomes positive and the equity value on a flows basis is near zero in every scenario; Net debt of Y3.0tn (June 2026) is 1.0x market capitalisation, so every Y100bn of EV moves the equity ~Y80/share; the seasonal Q1 debt peak (vs Y2.64tn at March) is itself ~Y290/share; Terminal multiple: Gordon at 5.5%/1.0% is 22x and the 16x cap binds; at 20x the base case rises roughly a quarter. The cap is a judgment that a cyclical, levered developer does not get a compounder's multiple; JPY WACC is built at the 0.6x target D/E; the market-weight WACC is ~4.4% and the house industrial reference is ~9% -- the valuation is highly rate-sensitive in both directions, see the sensitivity grid; FY2026 full-year cash flow statement is absent from the English extracts; the capex and FCF anchors are interim and prior-year figures, and the actuarial-gain split relies on the company's disclosed ex-actuarial operating income; The 2-for-1 split (October 2026): all values here are post-split on 1,238.7m shares; a reader comparing with pre-split broker targets must halve them; BOJ policy (1.0% and rising) hits both mortgage demand and the ~Y55bn/yr interest bill; the new J-GAAP lease standard from April 2027 will restate EBITDA and debt; Integration of ~Y292bn Sumitomo Densetsu/SEMLINKS, three US homebuilders, Alliance Residential and the European modular business concurrently with a two-headquarters reorganisation and a CEO/COO split</t>
  </si>
  <si>
    <t xml:space="preserve">Data sources</t>
  </si>
  <si>
    <t xml:space="preserve">price: Yahoo Finance chart API (query1.finance.yahoo.com/v8/finance/chart/1925.T) at inputs.price_as_of, intraday; 2:1 split event 2026-09-28 confirmed in the same response; 52-week range 2,040.5-2,902.5 split-adjusted
financials: 1925.T_Metrics.csv (metrics_normalized, 48 periods FY2013-Q1 FY2027); Q1 FY2027 tanshin (1925.T_Quarterly_Q1-2026.txt lines 405-547) for the 30 June 2026 balance sheet, debt detail, NCI, investment securities and P&amp;L; H1 FY2026 tanshin (1925.T_HalfYear_H1-2025.txt lines 696-795) for the cash flow statement; Integrated Report 2025 (1925.T_Annual_FY2025.txt lines 6314-6345) for the FY2017-FY2025 financial highlights incl. OCF/investing/financing CF and ex-actuarial operating income; FY2025-4Q results presentation summary (lines 160-166) for the Y614.8bn/Y499.2bn and Y350.5bn/Y271.4bn actuarial split, DPS Y175 and D/E 0.98x
qualitative: 1925.T_Analysis.json (2026-10-26): Sumitomo Densetsu/SEMLINKS, US homebuilding platform, 8th Plan postponement, FY2027 guidance (Y5.8-5.9tn sales, Y400bn ex-actuarial operating income), BOJ at 1.0%, 2-for-1 split</t>
  </si>
  <si>
    <t xml:space="preserve">Scenario narrative: bear</t>
  </si>
  <si>
    <t xml:space="preserve">As in assumptions.bear.narrative: the COVID-like guidance scenario is realised, BOJ tightening and a US housing downturn coincide, revenue falls for two years, reinvestment lags, and the flows-only equity value falls to or below zero against a Y2,349/share book floor.</t>
  </si>
  <si>
    <t xml:space="preserve">Scenario narrative: base</t>
  </si>
  <si>
    <t xml:space="preserve">Daiwa House keeps compounding revenue at 3-5% near term, fading to 1.5%, on a flat-to-FY0 underlying EBITDA margin of ~11.5%, while partially honouring its own leverage target: gross investment falls from ~7.5% of revenue to ~3.8% over seven years and inventory intensity of new growth drops to about two-thirds of today's stock ratio. The result is owner FCF that is roughly zero in year 1 (as it has been for a decade) and ~Y320bn by year 10. The valuation is then a question of what a buyer pays for a Y320bn FCF stream from a cyclical, 1.0x-levered developer-contractor in a 1.5%-growth economy; at 16x the equity is worth materially less than the Y2.9tn market capitalisation, because ~Y3.0tn of net debt sits ahead of it. The market is paying book value (P/B ~1.0, P/E ~10.7 underlying) and, implicitly, assuming reinvestment earns its cost of capital; the ten-year record (incremental ROIC ~3.5-4%) says it has not.</t>
  </si>
  <si>
    <t xml:space="preserve">Scenario narrative: bull</t>
  </si>
  <si>
    <t xml:space="preserve">As in assumptions.bull.narrative: capital discipline is enforced by the D/E constraint, development property recycles faster, SEMLINKS and data-centre/semiconductor construction lift the mix, US deliveries scale on the land bank, and the underlying EBITDA margin reaches 12.5%.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</si>
  <si>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</si>
  <si>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</si>
  <si>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</si>
  <si>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</si>
  <si>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</si>
  <si>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</si>
  <si>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</si>
  <si>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</si>
  <si>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</si>
  <si>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</si>
  <si>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</si>
  <si>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</si>
  <si>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</si>
  <si>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</si>
  <si>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</si>
  <si>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</si>
  <si>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</si>
  <si>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</si>
  <si>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</si>
  <si>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</si>
  <si>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</si>
  <si>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</si>
  <si>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</si>
  <si>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</si>
  <si>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</si>
  <si>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</si>
  <si>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</si>
  <si>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Occupancy</t>
  </si>
  <si>
    <t xml:space="preserve">SegmentRevenueOther</t>
  </si>
  <si>
    <t xml:space="preserve">UnitsManaged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</si>
  <si>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</si>
  <si>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</si>
  <si>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</si>
  <si>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</si>
  <si>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</si>
  <si>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</si>
  <si>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</si>
  <si>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</si>
  <si>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</si>
  <si>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</si>
  <si>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</si>
  <si>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</si>
  <si>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</si>
  <si>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</si>
  <si>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</si>
  <si>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</si>
  <si>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</si>
  <si>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</si>
  <si>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</si>
  <si>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</si>
  <si>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</si>
  <si>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</si>
  <si>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</si>
  <si>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</si>
  <si>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</si>
  <si>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</si>
  <si>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</si>
  <si>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</si>
  <si>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</si>
  <si>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</si>
  <si>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</si>
  <si>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</si>
  <si>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</si>
  <si>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</si>
  <si>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</si>
  <si>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</si>
  <si>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</si>
  <si>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</si>
  <si>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</si>
  <si>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</si>
  <si>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</si>
  <si>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</si>
  <si>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</si>
  <si>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</si>
  <si>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</si>
  <si>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</si>
  <si>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</si>
  <si>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</si>
  <si>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</si>
  <si>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</si>
  <si>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</si>
  <si>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1925.T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</si>
  <si>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</si>
  <si>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</si>
  <si>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</si>
  <si>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</si>
  <si>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</si>
  <si>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</si>
  <si>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</si>
  <si>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</si>
  <si>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</si>
  <si>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</si>
  <si>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</si>
  <si>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</si>
  <si>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</si>
  <si>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</si>
  <si>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</si>
  <si>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</si>
  <si>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</si>
  <si>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</si>
  <si>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</si>
  <si>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</si>
  <si>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</si>
  <si>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</si>
  <si>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</si>
  <si>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</si>
  <si>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</si>
  <si>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</si>
  <si>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</si>
  <si>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</si>
  <si>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</si>
  <si>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</si>
  <si>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1925.T owner-FCF component DCF: base case (millions, JPY)</t>
  </si>
  <si>
    <t xml:space="preserve">1925.T owner-FCF component DCF: bull case (millions, JPY)</t>
  </si>
  <si>
    <t xml:space="preserve">1925.T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</si>
  <si>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</si>
  <si>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</si>
  <si>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</si>
  <si>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</si>
  <si>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</si>
  <si>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</si>
  <si>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</si>
  <si>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</si>
  <si>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</si>
  <si>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</si>
  <si>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</si>
  <si>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</si>
  <si>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</si>
  <si>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</si>
  <si>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5.5%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</si>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</sst>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2342.5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</row>
    <row r="2" customFormat="false" ht="15" hidden="false" customHeight="false" outlineLevel="0" collapsed="false">
      <c r="A2" s="0" t="s">
        <v>66</v>
      </c>
      <c r="B2" s="0" t="n">
        <v>2007989</v>
      </c>
      <c r="C2" s="0" t="n">
        <v>1592218</v>
      </c>
      <c r="D2" s="0" t="n">
        <v>415771</v>
      </c>
      <c r="E2" s="0" t="n">
        <v>20.7</v>
      </c>
      <c r="F2" s="0" t="n">
        <v>128024</v>
      </c>
      <c r="G2" s="0" t="n">
        <v>6.4</v>
      </c>
      <c r="H2" s="0" t="n">
        <v>173861</v>
      </c>
      <c r="I2" s="0" t="n">
        <v>66274</v>
      </c>
      <c r="J2" s="0" t="n">
        <v>3.3</v>
      </c>
      <c r="K2" s="0" t="n">
        <v>114.52</v>
      </c>
      <c r="L2" s="0" t="n">
        <v>164247</v>
      </c>
      <c r="M2" s="0" t="n">
        <v>109157</v>
      </c>
      <c r="N2" s="0" t="n">
        <v>55090</v>
      </c>
      <c r="O2" s="0" t="n">
        <v>733623</v>
      </c>
      <c r="P2" s="0" t="n">
        <v>2371238</v>
      </c>
      <c r="R2" s="0" t="n">
        <v>374788</v>
      </c>
      <c r="V2" s="0" t="n">
        <v>35</v>
      </c>
      <c r="AA2" s="0" t="s">
        <v>17</v>
      </c>
      <c r="AB2" s="0" t="s">
        <v>14</v>
      </c>
      <c r="AC2" s="0" t="n">
        <v>97.6</v>
      </c>
      <c r="AD2" s="0" t="n">
        <v>335300</v>
      </c>
      <c r="AE2" s="0" t="n">
        <v>346068</v>
      </c>
    </row>
    <row r="3" customFormat="false" ht="15" hidden="false" customHeight="false" outlineLevel="0" collapsed="false">
      <c r="A3" s="0" t="s">
        <v>67</v>
      </c>
      <c r="B3" s="0" t="n">
        <v>2700318</v>
      </c>
      <c r="C3" s="0" t="n">
        <v>2192415</v>
      </c>
      <c r="D3" s="0" t="n">
        <v>507903</v>
      </c>
      <c r="E3" s="0" t="n">
        <v>18.8</v>
      </c>
      <c r="F3" s="0" t="n">
        <v>163576</v>
      </c>
      <c r="G3" s="0" t="n">
        <v>6.1</v>
      </c>
      <c r="H3" s="0" t="n">
        <v>212110</v>
      </c>
      <c r="I3" s="0" t="n">
        <v>102095</v>
      </c>
      <c r="J3" s="0" t="n">
        <v>3.8</v>
      </c>
      <c r="K3" s="0" t="n">
        <v>161.08</v>
      </c>
      <c r="L3" s="0" t="n">
        <v>78451</v>
      </c>
      <c r="M3" s="0" t="n">
        <v>217296</v>
      </c>
      <c r="N3" s="0" t="n">
        <v>-138845</v>
      </c>
      <c r="O3" s="0" t="n">
        <v>986518</v>
      </c>
      <c r="P3" s="0" t="n">
        <v>2665946</v>
      </c>
      <c r="R3" s="0" t="n">
        <v>393568</v>
      </c>
      <c r="V3" s="0" t="n">
        <v>50</v>
      </c>
      <c r="AA3" s="0" t="s">
        <v>17</v>
      </c>
      <c r="AB3" s="0" t="s">
        <v>14</v>
      </c>
      <c r="AC3" s="0" t="n">
        <v>97.2</v>
      </c>
      <c r="AD3" s="0" t="n">
        <v>393900</v>
      </c>
      <c r="AE3" s="0" t="n">
        <v>391778</v>
      </c>
    </row>
    <row r="4" customFormat="false" ht="15" hidden="false" customHeight="false" outlineLevel="0" collapsed="false">
      <c r="A4" s="0" t="s">
        <v>68</v>
      </c>
      <c r="B4" s="0" t="n">
        <v>2810714</v>
      </c>
      <c r="C4" s="0" t="n">
        <v>2269846</v>
      </c>
      <c r="D4" s="0" t="n">
        <v>540868</v>
      </c>
      <c r="E4" s="0" t="n">
        <v>19.2</v>
      </c>
      <c r="F4" s="0" t="n">
        <v>180352</v>
      </c>
      <c r="G4" s="0" t="n">
        <v>6.4</v>
      </c>
      <c r="H4" s="0" t="n">
        <v>233636</v>
      </c>
      <c r="I4" s="0" t="n">
        <v>117133</v>
      </c>
      <c r="J4" s="0" t="n">
        <v>4.2</v>
      </c>
      <c r="K4" s="0" t="n">
        <v>177.74</v>
      </c>
      <c r="L4" s="0" t="n">
        <v>139465</v>
      </c>
      <c r="M4" s="0" t="n">
        <v>232212</v>
      </c>
      <c r="N4" s="0" t="n">
        <v>-92747</v>
      </c>
      <c r="O4" s="0" t="n">
        <v>1105628</v>
      </c>
      <c r="P4" s="0" t="n">
        <v>3021007</v>
      </c>
      <c r="R4" s="0" t="n">
        <v>563530</v>
      </c>
      <c r="V4" s="0" t="n">
        <v>60</v>
      </c>
      <c r="AA4" s="0" t="s">
        <v>17</v>
      </c>
      <c r="AB4" s="0" t="s">
        <v>14</v>
      </c>
      <c r="AC4" s="0" t="n">
        <v>97.5</v>
      </c>
      <c r="AD4" s="0" t="n">
        <v>426500</v>
      </c>
      <c r="AE4" s="0" t="n">
        <v>435515</v>
      </c>
    </row>
    <row r="5" customFormat="false" ht="15" hidden="false" customHeight="false" outlineLevel="0" collapsed="false">
      <c r="A5" s="0" t="s">
        <v>69</v>
      </c>
      <c r="B5" s="0" t="n">
        <v>3192900</v>
      </c>
      <c r="C5" s="0" t="n">
        <v>2560483</v>
      </c>
      <c r="D5" s="0" t="n">
        <v>632417</v>
      </c>
      <c r="E5" s="0" t="n">
        <v>19.8</v>
      </c>
      <c r="F5" s="0" t="n">
        <v>243100</v>
      </c>
      <c r="G5" s="0" t="n">
        <v>7.6</v>
      </c>
      <c r="H5" s="0" t="n">
        <v>299615</v>
      </c>
      <c r="I5" s="0" t="n">
        <v>103577</v>
      </c>
      <c r="J5" s="0" t="n">
        <v>3.2</v>
      </c>
      <c r="K5" s="0" t="n">
        <v>156.4</v>
      </c>
      <c r="L5" s="0" t="n">
        <v>278497</v>
      </c>
      <c r="O5" s="0" t="n">
        <v>1170279</v>
      </c>
      <c r="P5" s="0" t="n">
        <v>3257805</v>
      </c>
      <c r="Q5" s="0" t="n">
        <v>2075818</v>
      </c>
      <c r="R5" s="0" t="n">
        <v>491962</v>
      </c>
      <c r="S5" s="0" t="n">
        <v>192571</v>
      </c>
      <c r="T5" s="0" t="n">
        <v>663.808783</v>
      </c>
      <c r="V5" s="0" t="n">
        <v>80</v>
      </c>
      <c r="AA5" s="0" t="s">
        <v>17</v>
      </c>
      <c r="AB5" s="0" t="s">
        <v>14</v>
      </c>
      <c r="AC5" s="0" t="n">
        <v>97.4</v>
      </c>
      <c r="AD5" s="0" t="n">
        <v>458800</v>
      </c>
      <c r="AE5" s="0" t="n">
        <v>471342</v>
      </c>
    </row>
    <row r="6" customFormat="false" ht="15" hidden="false" customHeight="false" outlineLevel="0" collapsed="false">
      <c r="A6" s="0" t="s">
        <v>70</v>
      </c>
      <c r="B6" s="0" t="n">
        <v>3512909</v>
      </c>
      <c r="C6" s="0" t="n">
        <v>2791597</v>
      </c>
      <c r="D6" s="0" t="n">
        <v>721312</v>
      </c>
      <c r="E6" s="0" t="n">
        <v>20.5</v>
      </c>
      <c r="F6" s="0" t="n">
        <v>310092</v>
      </c>
      <c r="G6" s="0" t="n">
        <v>8.8</v>
      </c>
      <c r="I6" s="0" t="n">
        <v>201700</v>
      </c>
      <c r="J6" s="0" t="n">
        <v>5.7</v>
      </c>
      <c r="K6" s="0" t="n">
        <v>304.14</v>
      </c>
      <c r="L6" s="0" t="n">
        <v>287691</v>
      </c>
      <c r="O6" s="0" t="n">
        <v>1308291</v>
      </c>
      <c r="P6" s="0" t="n">
        <v>3555885</v>
      </c>
      <c r="Q6" s="0" t="n">
        <v>2225983</v>
      </c>
      <c r="R6" s="0" t="n">
        <v>640671</v>
      </c>
      <c r="S6" s="0" t="n">
        <v>216749</v>
      </c>
      <c r="T6" s="0" t="n">
        <v>663.546654</v>
      </c>
      <c r="V6" s="0" t="n">
        <v>92</v>
      </c>
      <c r="AA6" s="0" t="s">
        <v>17</v>
      </c>
      <c r="AB6" s="0" t="s">
        <v>14</v>
      </c>
      <c r="AC6" s="0" t="n">
        <v>97.1</v>
      </c>
      <c r="AD6" s="0" t="n">
        <v>513500</v>
      </c>
      <c r="AE6" s="0" t="n">
        <v>510208</v>
      </c>
    </row>
    <row r="7" customFormat="false" ht="15" hidden="false" customHeight="false" outlineLevel="0" collapsed="false">
      <c r="A7" s="0" t="s">
        <v>71</v>
      </c>
      <c r="B7" s="0" t="n">
        <v>3795992</v>
      </c>
      <c r="C7" s="0" t="n">
        <v>3002160</v>
      </c>
      <c r="D7" s="0" t="n">
        <v>793832</v>
      </c>
      <c r="E7" s="0" t="n">
        <v>20.9</v>
      </c>
      <c r="F7" s="0" t="n">
        <v>347141</v>
      </c>
      <c r="G7" s="0" t="n">
        <v>9.1</v>
      </c>
      <c r="I7" s="0" t="n">
        <v>236357</v>
      </c>
      <c r="J7" s="0" t="n">
        <v>6.2</v>
      </c>
      <c r="K7" s="0" t="n">
        <v>355.87</v>
      </c>
      <c r="L7" s="0" t="n">
        <v>382365</v>
      </c>
      <c r="O7" s="0" t="n">
        <v>1474541</v>
      </c>
      <c r="P7" s="0" t="n">
        <v>4035059</v>
      </c>
      <c r="Q7" s="0" t="n">
        <v>2521474</v>
      </c>
      <c r="R7" s="0" t="n">
        <v>780571</v>
      </c>
      <c r="S7" s="0" t="n">
        <v>330806</v>
      </c>
      <c r="T7" s="0" t="n">
        <v>664.755712</v>
      </c>
      <c r="V7" s="0" t="n">
        <v>107</v>
      </c>
      <c r="AA7" s="0" t="s">
        <v>17</v>
      </c>
      <c r="AB7" s="0" t="s">
        <v>14</v>
      </c>
      <c r="AC7" s="0" t="n">
        <v>97.3</v>
      </c>
      <c r="AD7" s="0" t="n">
        <v>637100</v>
      </c>
      <c r="AE7" s="0" t="n">
        <v>543124</v>
      </c>
    </row>
    <row r="8" customFormat="false" ht="15" hidden="false" customHeight="false" outlineLevel="0" collapsed="false">
      <c r="A8" s="0" t="s">
        <v>72</v>
      </c>
      <c r="B8" s="0" t="n">
        <v>4143505</v>
      </c>
      <c r="C8" s="0" t="n">
        <v>3300738</v>
      </c>
      <c r="D8" s="0" t="n">
        <v>842767</v>
      </c>
      <c r="E8" s="0" t="n">
        <v>20.3</v>
      </c>
      <c r="F8" s="0" t="n">
        <v>372195</v>
      </c>
      <c r="G8" s="0" t="n">
        <v>9</v>
      </c>
      <c r="I8" s="0" t="n">
        <v>237439</v>
      </c>
      <c r="J8" s="0" t="n">
        <v>5.7</v>
      </c>
      <c r="K8" s="0" t="n">
        <v>357.29</v>
      </c>
      <c r="L8" s="0" t="n">
        <v>355599</v>
      </c>
      <c r="O8" s="0" t="n">
        <v>1595993</v>
      </c>
      <c r="P8" s="0" t="n">
        <v>4334037</v>
      </c>
      <c r="Q8" s="0" t="n">
        <v>2690320</v>
      </c>
      <c r="R8" s="0" t="n">
        <v>775645</v>
      </c>
      <c r="S8" s="0" t="n">
        <v>279859</v>
      </c>
      <c r="T8" s="0" t="n">
        <v>663.801244</v>
      </c>
      <c r="V8" s="0" t="n">
        <v>114</v>
      </c>
      <c r="AA8" s="0" t="s">
        <v>17</v>
      </c>
      <c r="AB8" s="0" t="s">
        <v>14</v>
      </c>
      <c r="AC8" s="0" t="n">
        <v>96.9</v>
      </c>
      <c r="AD8" s="0" t="n">
        <v>716100</v>
      </c>
      <c r="AE8" s="0" t="n">
        <v>572238</v>
      </c>
    </row>
    <row r="9" customFormat="false" ht="15" hidden="false" customHeight="false" outlineLevel="0" collapsed="false">
      <c r="A9" s="0" t="s">
        <v>73</v>
      </c>
      <c r="B9" s="0" t="n">
        <v>4380209</v>
      </c>
      <c r="C9" s="0" t="n">
        <v>3510003</v>
      </c>
      <c r="D9" s="0" t="n">
        <v>870206</v>
      </c>
      <c r="E9" s="0" t="n">
        <v>19.9</v>
      </c>
      <c r="F9" s="0" t="n">
        <v>381114</v>
      </c>
      <c r="G9" s="0" t="n">
        <v>8.7</v>
      </c>
      <c r="I9" s="0" t="n">
        <v>233603</v>
      </c>
      <c r="J9" s="0" t="n">
        <v>5.3</v>
      </c>
      <c r="K9" s="0" t="n">
        <v>351.84</v>
      </c>
      <c r="L9" s="0" t="n">
        <v>149651</v>
      </c>
      <c r="O9" s="0" t="n">
        <v>1726995</v>
      </c>
      <c r="P9" s="0" t="n">
        <v>4627388</v>
      </c>
      <c r="Q9" s="0" t="n">
        <v>2853999</v>
      </c>
      <c r="R9" s="0" t="n">
        <v>1040877</v>
      </c>
      <c r="S9" s="0" t="n">
        <v>281434</v>
      </c>
      <c r="T9" s="0" t="n">
        <v>664.019434</v>
      </c>
      <c r="V9" s="0" t="n">
        <v>115</v>
      </c>
      <c r="AA9" s="0" t="s">
        <v>17</v>
      </c>
      <c r="AB9" s="0" t="s">
        <v>14</v>
      </c>
      <c r="AC9" s="0" t="n">
        <v>97.6</v>
      </c>
      <c r="AD9" s="0" t="n">
        <v>530000</v>
      </c>
      <c r="AE9" s="0" t="n">
        <v>595182</v>
      </c>
    </row>
    <row r="10" customFormat="false" ht="15" hidden="false" customHeight="false" outlineLevel="0" collapsed="false">
      <c r="A10" s="0" t="s">
        <v>74</v>
      </c>
      <c r="B10" s="0" t="n">
        <v>4126769</v>
      </c>
      <c r="C10" s="0" t="n">
        <v>3299886</v>
      </c>
      <c r="D10" s="0" t="n">
        <v>826883</v>
      </c>
      <c r="E10" s="0" t="n">
        <v>20</v>
      </c>
      <c r="F10" s="0" t="n">
        <v>357121</v>
      </c>
      <c r="G10" s="0" t="n">
        <v>8.7</v>
      </c>
      <c r="I10" s="0" t="n">
        <v>195076</v>
      </c>
      <c r="J10" s="0" t="n">
        <v>4.7</v>
      </c>
      <c r="K10" s="0" t="n">
        <v>297.18</v>
      </c>
      <c r="L10" s="0" t="n">
        <v>430314</v>
      </c>
      <c r="O10" s="0" t="n">
        <v>1835197</v>
      </c>
      <c r="P10" s="0" t="n">
        <v>5053052</v>
      </c>
      <c r="Q10" s="0" t="n">
        <v>3159548</v>
      </c>
      <c r="R10" s="0" t="n">
        <v>1271984</v>
      </c>
      <c r="S10" s="0" t="n">
        <v>425980</v>
      </c>
      <c r="T10" s="0" t="n">
        <v>654.237616</v>
      </c>
      <c r="V10" s="0" t="n">
        <v>116</v>
      </c>
      <c r="AA10" s="0" t="s">
        <v>17</v>
      </c>
      <c r="AB10" s="0" t="s">
        <v>14</v>
      </c>
      <c r="AC10" s="0" t="n">
        <v>98.2</v>
      </c>
      <c r="AD10" s="0" t="n">
        <v>507300</v>
      </c>
      <c r="AE10" s="0" t="n">
        <v>611874</v>
      </c>
    </row>
    <row r="11" customFormat="false" ht="15" hidden="false" customHeight="false" outlineLevel="0" collapsed="false">
      <c r="A11" s="0" t="s">
        <v>75</v>
      </c>
      <c r="B11" s="0" t="n">
        <v>4439536</v>
      </c>
      <c r="C11" s="0" t="n">
        <v>3574854</v>
      </c>
      <c r="D11" s="0" t="n">
        <v>864682</v>
      </c>
      <c r="E11" s="0" t="n">
        <v>19.5</v>
      </c>
      <c r="F11" s="0" t="n">
        <v>383256</v>
      </c>
      <c r="G11" s="0" t="n">
        <v>8.6</v>
      </c>
      <c r="I11" s="0" t="n">
        <v>225272</v>
      </c>
      <c r="J11" s="0" t="n">
        <v>5.1</v>
      </c>
      <c r="K11" s="0" t="n">
        <v>343.82</v>
      </c>
      <c r="L11" s="0" t="n">
        <v>336436</v>
      </c>
      <c r="O11" s="0" t="n">
        <v>2020158</v>
      </c>
      <c r="P11" s="0" t="n">
        <v>5521662</v>
      </c>
      <c r="Q11" s="0" t="n">
        <v>3410277</v>
      </c>
      <c r="R11" s="0" t="n">
        <v>1422506</v>
      </c>
      <c r="S11" s="0" t="n">
        <v>337632</v>
      </c>
      <c r="T11" s="0" t="n">
        <v>655.668128</v>
      </c>
      <c r="V11" s="0" t="n">
        <v>126</v>
      </c>
      <c r="AA11" s="0" t="s">
        <v>17</v>
      </c>
      <c r="AB11" s="0" t="s">
        <v>14</v>
      </c>
      <c r="AC11" s="0" t="n">
        <v>98.2</v>
      </c>
      <c r="AD11" s="0" t="n">
        <v>63000</v>
      </c>
      <c r="AE11" s="0" t="n">
        <v>630555</v>
      </c>
    </row>
    <row r="12" customFormat="false" ht="15" hidden="false" customHeight="false" outlineLevel="0" collapsed="false">
      <c r="A12" s="0" t="s">
        <v>76</v>
      </c>
      <c r="B12" s="0" t="n">
        <v>4908199</v>
      </c>
      <c r="C12" s="0" t="n">
        <v>3953005</v>
      </c>
      <c r="D12" s="0" t="n">
        <v>955194</v>
      </c>
      <c r="E12" s="0" t="n">
        <v>19.5</v>
      </c>
      <c r="F12" s="0" t="n">
        <v>465370</v>
      </c>
      <c r="G12" s="0" t="n">
        <v>9.5</v>
      </c>
      <c r="I12" s="0" t="n">
        <v>308399</v>
      </c>
      <c r="J12" s="0" t="n">
        <v>6.3</v>
      </c>
      <c r="K12" s="0" t="n">
        <v>469.12</v>
      </c>
      <c r="L12" s="0" t="n">
        <v>230298</v>
      </c>
      <c r="O12" s="0" t="n">
        <v>2284213</v>
      </c>
      <c r="P12" s="0" t="n">
        <v>6142067</v>
      </c>
      <c r="Q12" s="0" t="n">
        <v>3753153</v>
      </c>
      <c r="R12" s="0" t="n">
        <v>1846579</v>
      </c>
      <c r="S12" s="0" t="n">
        <v>358086</v>
      </c>
      <c r="T12" s="0" t="n">
        <v>658.871301</v>
      </c>
      <c r="V12" s="0" t="n">
        <v>130</v>
      </c>
      <c r="AA12" s="0" t="s">
        <v>17</v>
      </c>
      <c r="AB12" s="0" t="s">
        <v>14</v>
      </c>
      <c r="AC12" s="0" t="n">
        <v>97.8</v>
      </c>
      <c r="AD12" s="0" t="n">
        <v>81800</v>
      </c>
      <c r="AE12" s="0" t="n">
        <v>649891</v>
      </c>
    </row>
    <row r="13" customFormat="false" ht="15" hidden="false" customHeight="false" outlineLevel="0" collapsed="false">
      <c r="A13" s="0" t="s">
        <v>77</v>
      </c>
      <c r="B13" s="0" t="n">
        <v>5202919</v>
      </c>
      <c r="C13" s="0" t="n">
        <v>4210512</v>
      </c>
      <c r="D13" s="0" t="n">
        <v>992407</v>
      </c>
      <c r="E13" s="0" t="n">
        <v>19.1</v>
      </c>
      <c r="F13" s="0" t="n">
        <v>440210</v>
      </c>
      <c r="G13" s="0" t="n">
        <v>8.5</v>
      </c>
      <c r="I13" s="0" t="n">
        <v>298752</v>
      </c>
      <c r="J13" s="0" t="n">
        <v>5.7</v>
      </c>
      <c r="K13" s="0" t="n">
        <v>457.16</v>
      </c>
      <c r="L13" s="0" t="n">
        <v>302294</v>
      </c>
      <c r="O13" s="0" t="n">
        <v>2437862</v>
      </c>
      <c r="P13" s="0" t="n">
        <v>6533721</v>
      </c>
      <c r="Q13" s="0" t="n">
        <v>4009959</v>
      </c>
      <c r="R13" s="0" t="n">
        <v>2087837</v>
      </c>
      <c r="S13" s="0" t="n">
        <v>450129</v>
      </c>
      <c r="T13" s="0" t="n">
        <v>639.822767</v>
      </c>
      <c r="V13" s="0" t="n">
        <v>143</v>
      </c>
      <c r="AA13" s="0" t="s">
        <v>17</v>
      </c>
      <c r="AB13" s="0" t="s">
        <v>14</v>
      </c>
      <c r="AC13" s="0" t="n">
        <v>97.2</v>
      </c>
      <c r="AD13" s="0" t="n">
        <v>68000</v>
      </c>
      <c r="AE13" s="0" t="n">
        <v>684460</v>
      </c>
    </row>
    <row r="14" customFormat="false" ht="15" hidden="false" customHeight="false" outlineLevel="0" collapsed="false">
      <c r="A14" s="0" t="s">
        <v>78</v>
      </c>
      <c r="B14" s="0" t="n">
        <v>5434819</v>
      </c>
      <c r="C14" s="0" t="n">
        <v>4333754</v>
      </c>
      <c r="D14" s="0" t="n">
        <v>1101065</v>
      </c>
      <c r="E14" s="0" t="n">
        <v>20.3</v>
      </c>
      <c r="F14" s="0" t="n">
        <v>546279</v>
      </c>
      <c r="G14" s="0" t="n">
        <v>10.1</v>
      </c>
      <c r="I14" s="0" t="n">
        <v>325058</v>
      </c>
      <c r="J14" s="0" t="n">
        <v>6</v>
      </c>
      <c r="K14" s="0" t="n">
        <v>514</v>
      </c>
      <c r="L14" s="0" t="n">
        <v>420561</v>
      </c>
      <c r="O14" s="0" t="n">
        <v>2614238</v>
      </c>
      <c r="P14" s="0" t="n">
        <v>7049323</v>
      </c>
      <c r="Q14" s="0" t="n">
        <v>4332577</v>
      </c>
      <c r="R14" s="0" t="n">
        <v>2309076</v>
      </c>
      <c r="S14" s="0" t="n">
        <v>333198</v>
      </c>
      <c r="T14" s="0" t="n">
        <v>618.583915</v>
      </c>
      <c r="V14" s="0" t="n">
        <v>150</v>
      </c>
      <c r="AA14" s="0" t="s">
        <v>17</v>
      </c>
      <c r="AB14" s="0" t="s">
        <v>14</v>
      </c>
      <c r="AC14" s="0" t="n">
        <v>97.4</v>
      </c>
      <c r="AD14" s="0" t="n">
        <v>50900</v>
      </c>
      <c r="AE14" s="0" t="n">
        <v>702859</v>
      </c>
    </row>
    <row r="15" customFormat="false" ht="15" hidden="false" customHeight="false" outlineLevel="0" collapsed="false">
      <c r="A15" s="0" t="s">
        <v>79</v>
      </c>
      <c r="B15" s="0" t="n">
        <v>5576861</v>
      </c>
      <c r="F15" s="0" t="n">
        <v>499203</v>
      </c>
      <c r="G15" s="0" t="n">
        <v>9</v>
      </c>
      <c r="I15" s="0" t="n">
        <v>271439</v>
      </c>
      <c r="J15" s="0" t="n">
        <v>4.9</v>
      </c>
      <c r="O15" s="0" t="n">
        <v>2896744</v>
      </c>
      <c r="P15" s="0" t="n">
        <v>8412419</v>
      </c>
      <c r="Q15" s="0" t="n">
        <v>5390144</v>
      </c>
      <c r="R15" s="0" t="n">
        <v>3076705</v>
      </c>
      <c r="S15" s="0" t="n">
        <v>434371</v>
      </c>
      <c r="T15" s="0" t="n">
        <v>619.347095</v>
      </c>
      <c r="V15" s="0" t="n">
        <v>175</v>
      </c>
      <c r="AA15" s="0" t="s">
        <v>17</v>
      </c>
      <c r="AB15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80</v>
      </c>
      <c r="B1" s="2" t="s">
        <v>81</v>
      </c>
    </row>
    <row r="2" customFormat="false" ht="15" hidden="false" customHeight="false" outlineLevel="0" collapsed="false">
      <c r="A2" s="0" t="s">
        <v>82</v>
      </c>
      <c r="B2" s="3" t="n">
        <v>2342.5</v>
      </c>
    </row>
    <row r="3" customFormat="false" ht="15" hidden="false" customHeight="false" outlineLevel="0" collapsed="false">
      <c r="A3" s="0" t="s">
        <v>83</v>
      </c>
      <c r="B3" s="3" t="n">
        <v>1238.692</v>
      </c>
    </row>
    <row r="4" customFormat="false" ht="15" hidden="false" customHeight="false" outlineLevel="0" collapsed="false">
      <c r="A4" s="0" t="s">
        <v>84</v>
      </c>
      <c r="B4" s="3" t="n">
        <v>3004291</v>
      </c>
    </row>
    <row r="5" customFormat="false" ht="15" hidden="false" customHeight="false" outlineLevel="0" collapsed="false">
      <c r="A5" s="0" t="s">
        <v>85</v>
      </c>
      <c r="B5" s="3" t="n">
        <v>216174</v>
      </c>
    </row>
    <row r="6" customFormat="false" ht="15" hidden="false" customHeight="false" outlineLevel="0" collapsed="false">
      <c r="A6" s="0" t="s">
        <v>86</v>
      </c>
      <c r="B6" s="3" t="n">
        <v>15</v>
      </c>
    </row>
    <row r="7" customFormat="false" ht="15" hidden="false" customHeight="false" outlineLevel="0" collapsed="false">
      <c r="A7" s="0" t="s">
        <v>87</v>
      </c>
      <c r="B7" s="3" t="n">
        <v>5576861</v>
      </c>
    </row>
    <row r="8" customFormat="false" ht="15" hidden="false" customHeight="false" outlineLevel="0" collapsed="false">
      <c r="A8" s="0" t="s">
        <v>88</v>
      </c>
      <c r="B8" s="3" t="s">
        <v>79</v>
      </c>
    </row>
    <row r="9" customFormat="false" ht="15" hidden="false" customHeight="false" outlineLevel="0" collapsed="false">
      <c r="A9" s="0" t="s">
        <v>89</v>
      </c>
      <c r="B9" s="3" t="s">
        <v>90</v>
      </c>
    </row>
    <row r="10" customFormat="false" ht="15" hidden="false" customHeight="false" outlineLevel="0" collapsed="false">
      <c r="A10" s="0" t="s">
        <v>91</v>
      </c>
      <c r="B10" s="3" t="n">
        <v>1</v>
      </c>
    </row>
    <row r="12" customFormat="false" ht="15" hidden="false" customHeight="false" outlineLevel="0" collapsed="false">
      <c r="A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101</v>
      </c>
      <c r="L12" s="2" t="s">
        <v>102</v>
      </c>
    </row>
    <row r="13" customFormat="false" ht="15" hidden="false" customHeight="false" outlineLevel="0" collapsed="false">
      <c r="A13" s="0" t="s">
        <v>103</v>
      </c>
      <c r="C13" s="3" t="n">
        <v>3</v>
      </c>
      <c r="D13" s="3" t="n">
        <v>-1</v>
      </c>
      <c r="E13" s="3" t="n">
        <v>-2</v>
      </c>
      <c r="F13" s="3" t="n">
        <v>1</v>
      </c>
      <c r="G13" s="3" t="n">
        <v>1.5</v>
      </c>
      <c r="H13" s="3" t="n">
        <v>1.5</v>
      </c>
      <c r="I13" s="3" t="n">
        <v>1.5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104</v>
      </c>
      <c r="C14" s="3" t="n">
        <v>9.3</v>
      </c>
      <c r="D14" s="3" t="n">
        <v>8.8</v>
      </c>
      <c r="E14" s="3" t="n">
        <v>8.5</v>
      </c>
      <c r="F14" s="3" t="n">
        <v>8.8</v>
      </c>
      <c r="G14" s="3" t="n">
        <v>9.2</v>
      </c>
      <c r="H14" s="3" t="n">
        <v>9.5</v>
      </c>
      <c r="I14" s="3" t="n">
        <v>9.8</v>
      </c>
      <c r="J14" s="3" t="n">
        <v>10</v>
      </c>
      <c r="K14" s="3" t="n">
        <v>10</v>
      </c>
      <c r="L14" s="3" t="n">
        <v>10</v>
      </c>
    </row>
    <row r="15" customFormat="false" ht="15" hidden="false" customHeight="false" outlineLevel="0" collapsed="false">
      <c r="A15" s="0" t="s">
        <v>105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106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107</v>
      </c>
      <c r="C17" s="3" t="n">
        <v>2.5</v>
      </c>
      <c r="D17" s="3" t="n">
        <v>2.6</v>
      </c>
      <c r="E17" s="3" t="n">
        <v>2.7</v>
      </c>
      <c r="F17" s="3" t="n">
        <v>2.7</v>
      </c>
      <c r="G17" s="3" t="n">
        <v>2.7</v>
      </c>
      <c r="H17" s="3" t="n">
        <v>2.7</v>
      </c>
      <c r="I17" s="3" t="n">
        <v>2.7</v>
      </c>
      <c r="J17" s="3" t="n">
        <v>2.7</v>
      </c>
      <c r="K17" s="3" t="n">
        <v>2.7</v>
      </c>
      <c r="L17" s="3" t="n">
        <v>2.7</v>
      </c>
    </row>
    <row r="18" customFormat="false" ht="15" hidden="false" customHeight="false" outlineLevel="0" collapsed="false">
      <c r="A18" s="0" t="s">
        <v>108</v>
      </c>
      <c r="C18" s="3" t="n">
        <v>6.5</v>
      </c>
      <c r="D18" s="3" t="n">
        <v>6</v>
      </c>
      <c r="E18" s="3" t="n">
        <v>5.5</v>
      </c>
      <c r="F18" s="3" t="n">
        <v>5</v>
      </c>
      <c r="G18" s="3" t="n">
        <v>4.6</v>
      </c>
      <c r="H18" s="3" t="n">
        <v>4.3</v>
      </c>
      <c r="I18" s="3" t="n">
        <v>4.2</v>
      </c>
      <c r="J18" s="3" t="n">
        <v>4.2</v>
      </c>
      <c r="K18" s="3" t="n">
        <v>4.2</v>
      </c>
      <c r="L18" s="3" t="n">
        <v>4.2</v>
      </c>
    </row>
    <row r="19" customFormat="false" ht="15" hidden="false" customHeight="false" outlineLevel="0" collapsed="false">
      <c r="A19" s="0" t="s">
        <v>109</v>
      </c>
      <c r="C19" s="3" t="n">
        <v>31</v>
      </c>
      <c r="D19" s="3" t="n">
        <v>31</v>
      </c>
      <c r="E19" s="3" t="n">
        <v>31</v>
      </c>
      <c r="F19" s="3" t="n">
        <v>31</v>
      </c>
      <c r="G19" s="3" t="n">
        <v>31</v>
      </c>
      <c r="H19" s="3" t="n">
        <v>31</v>
      </c>
      <c r="I19" s="3" t="n">
        <v>31</v>
      </c>
      <c r="J19" s="3" t="n">
        <v>31</v>
      </c>
      <c r="K19" s="3" t="n">
        <v>31</v>
      </c>
      <c r="L19" s="3" t="n">
        <v>31</v>
      </c>
    </row>
    <row r="20" customFormat="false" ht="15" hidden="false" customHeight="false" outlineLevel="0" collapsed="false">
      <c r="A20" s="0" t="s">
        <v>110</v>
      </c>
      <c r="B20" s="3" t="n">
        <v>5.5</v>
      </c>
    </row>
    <row r="21" customFormat="false" ht="15" hidden="false" customHeight="false" outlineLevel="0" collapsed="false">
      <c r="A21" s="0" t="s">
        <v>111</v>
      </c>
      <c r="B21" s="3" t="n">
        <v>0.5</v>
      </c>
    </row>
    <row r="22" customFormat="false" ht="15" hidden="false" customHeight="false" outlineLevel="0" collapsed="false">
      <c r="A22" s="0" t="s">
        <v>112</v>
      </c>
      <c r="B22" s="3" t="n">
        <v>14</v>
      </c>
    </row>
    <row r="23" customFormat="false" ht="15" hidden="false" customHeight="false" outlineLevel="0" collapsed="false">
      <c r="A23" s="0" t="s">
        <v>113</v>
      </c>
      <c r="B23" s="3" t="n">
        <v>-35</v>
      </c>
    </row>
    <row r="24" customFormat="false" ht="15" hidden="false" customHeight="false" outlineLevel="0" collapsed="false">
      <c r="A24" s="0" t="s">
        <v>114</v>
      </c>
      <c r="B24" s="3" t="n">
        <v>0.3</v>
      </c>
    </row>
    <row r="26" customFormat="false" ht="15" hidden="false" customHeight="false" outlineLevel="0" collapsed="false">
      <c r="A26" s="2" t="s">
        <v>115</v>
      </c>
      <c r="C26" s="2" t="s">
        <v>93</v>
      </c>
      <c r="D26" s="2" t="s">
        <v>94</v>
      </c>
      <c r="E26" s="2" t="s">
        <v>95</v>
      </c>
      <c r="F26" s="2" t="s">
        <v>96</v>
      </c>
      <c r="G26" s="2" t="s">
        <v>97</v>
      </c>
      <c r="H26" s="2" t="s">
        <v>98</v>
      </c>
      <c r="I26" s="2" t="s">
        <v>99</v>
      </c>
      <c r="J26" s="2" t="s">
        <v>100</v>
      </c>
      <c r="K26" s="2" t="s">
        <v>101</v>
      </c>
      <c r="L26" s="2" t="s">
        <v>102</v>
      </c>
    </row>
    <row r="27" customFormat="false" ht="15" hidden="false" customHeight="false" outlineLevel="0" collapsed="false">
      <c r="A27" s="0" t="s">
        <v>103</v>
      </c>
      <c r="C27" s="3" t="n">
        <v>5</v>
      </c>
      <c r="D27" s="3" t="n">
        <v>4</v>
      </c>
      <c r="E27" s="3" t="n">
        <v>3.5</v>
      </c>
      <c r="F27" s="3" t="n">
        <v>3</v>
      </c>
      <c r="G27" s="3" t="n">
        <v>2.5</v>
      </c>
      <c r="H27" s="3" t="n">
        <v>2</v>
      </c>
      <c r="I27" s="3" t="n">
        <v>2</v>
      </c>
      <c r="J27" s="3" t="n">
        <v>1.5</v>
      </c>
      <c r="K27" s="3" t="n">
        <v>1.5</v>
      </c>
      <c r="L27" s="3" t="n">
        <v>1.5</v>
      </c>
    </row>
    <row r="28" customFormat="false" ht="15" hidden="false" customHeight="false" outlineLevel="0" collapsed="false">
      <c r="A28" s="0" t="s">
        <v>104</v>
      </c>
      <c r="C28" s="3" t="n">
        <v>10.5</v>
      </c>
      <c r="D28" s="3" t="n">
        <v>10.8</v>
      </c>
      <c r="E28" s="3" t="n">
        <v>11</v>
      </c>
      <c r="F28" s="3" t="n">
        <v>11.2</v>
      </c>
      <c r="G28" s="3" t="n">
        <v>11.3</v>
      </c>
      <c r="H28" s="3" t="n">
        <v>11.4</v>
      </c>
      <c r="I28" s="3" t="n">
        <v>11.5</v>
      </c>
      <c r="J28" s="3" t="n">
        <v>11.5</v>
      </c>
      <c r="K28" s="3" t="n">
        <v>11.5</v>
      </c>
      <c r="L28" s="3" t="n">
        <v>11.5</v>
      </c>
    </row>
    <row r="29" customFormat="false" ht="15" hidden="false" customHeight="false" outlineLevel="0" collapsed="false">
      <c r="A29" s="0" t="s">
        <v>105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106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107</v>
      </c>
      <c r="C31" s="3" t="n">
        <v>2.5</v>
      </c>
      <c r="D31" s="3" t="n">
        <v>2.55</v>
      </c>
      <c r="E31" s="3" t="n">
        <v>2.6</v>
      </c>
      <c r="F31" s="3" t="n">
        <v>2.6</v>
      </c>
      <c r="G31" s="3" t="n">
        <v>2.65</v>
      </c>
      <c r="H31" s="3" t="n">
        <v>2.65</v>
      </c>
      <c r="I31" s="3" t="n">
        <v>2.7</v>
      </c>
      <c r="J31" s="3" t="n">
        <v>2.7</v>
      </c>
      <c r="K31" s="3" t="n">
        <v>2.7</v>
      </c>
      <c r="L31" s="3" t="n">
        <v>2.7</v>
      </c>
    </row>
    <row r="32" customFormat="false" ht="15" hidden="false" customHeight="false" outlineLevel="0" collapsed="false">
      <c r="A32" s="0" t="s">
        <v>108</v>
      </c>
      <c r="C32" s="3" t="n">
        <v>6</v>
      </c>
      <c r="D32" s="3" t="n">
        <v>5.5</v>
      </c>
      <c r="E32" s="3" t="n">
        <v>5</v>
      </c>
      <c r="F32" s="3" t="n">
        <v>4.5</v>
      </c>
      <c r="G32" s="3" t="n">
        <v>4.2</v>
      </c>
      <c r="H32" s="3" t="n">
        <v>4</v>
      </c>
      <c r="I32" s="3" t="n">
        <v>3.8</v>
      </c>
      <c r="J32" s="3" t="n">
        <v>3.8</v>
      </c>
      <c r="K32" s="3" t="n">
        <v>3.8</v>
      </c>
      <c r="L32" s="3" t="n">
        <v>3.8</v>
      </c>
    </row>
    <row r="33" customFormat="false" ht="15" hidden="false" customHeight="false" outlineLevel="0" collapsed="false">
      <c r="A33" s="0" t="s">
        <v>109</v>
      </c>
      <c r="C33" s="3" t="n">
        <v>31</v>
      </c>
      <c r="D33" s="3" t="n">
        <v>31</v>
      </c>
      <c r="E33" s="3" t="n">
        <v>31</v>
      </c>
      <c r="F33" s="3" t="n">
        <v>31</v>
      </c>
      <c r="G33" s="3" t="n">
        <v>31</v>
      </c>
      <c r="H33" s="3" t="n">
        <v>31</v>
      </c>
      <c r="I33" s="3" t="n">
        <v>31</v>
      </c>
      <c r="J33" s="3" t="n">
        <v>31</v>
      </c>
      <c r="K33" s="3" t="n">
        <v>31</v>
      </c>
      <c r="L33" s="3" t="n">
        <v>31</v>
      </c>
    </row>
    <row r="34" customFormat="false" ht="15" hidden="false" customHeight="false" outlineLevel="0" collapsed="false">
      <c r="A34" s="0" t="s">
        <v>110</v>
      </c>
      <c r="B34" s="3" t="n">
        <v>5.5</v>
      </c>
    </row>
    <row r="35" customFormat="false" ht="15" hidden="false" customHeight="false" outlineLevel="0" collapsed="false">
      <c r="A35" s="0" t="s">
        <v>111</v>
      </c>
      <c r="B35" s="3" t="n">
        <v>1</v>
      </c>
    </row>
    <row r="36" customFormat="false" ht="15" hidden="false" customHeight="false" outlineLevel="0" collapsed="false">
      <c r="A36" s="0" t="s">
        <v>112</v>
      </c>
      <c r="B36" s="3" t="n">
        <v>16</v>
      </c>
    </row>
    <row r="37" customFormat="false" ht="15" hidden="false" customHeight="false" outlineLevel="0" collapsed="false">
      <c r="A37" s="0" t="s">
        <v>113</v>
      </c>
      <c r="B37" s="3" t="n">
        <v>-35</v>
      </c>
    </row>
    <row r="38" customFormat="false" ht="15" hidden="false" customHeight="false" outlineLevel="0" collapsed="false">
      <c r="A38" s="0" t="s">
        <v>114</v>
      </c>
      <c r="B38" s="3" t="n">
        <v>0.5</v>
      </c>
    </row>
    <row r="40" customFormat="false" ht="15" hidden="false" customHeight="false" outlineLevel="0" collapsed="false">
      <c r="A40" s="2" t="s">
        <v>116</v>
      </c>
      <c r="C40" s="2" t="s">
        <v>93</v>
      </c>
      <c r="D40" s="2" t="s">
        <v>94</v>
      </c>
      <c r="E40" s="2" t="s">
        <v>95</v>
      </c>
      <c r="F40" s="2" t="s">
        <v>96</v>
      </c>
      <c r="G40" s="2" t="s">
        <v>97</v>
      </c>
      <c r="H40" s="2" t="s">
        <v>98</v>
      </c>
      <c r="I40" s="2" t="s">
        <v>99</v>
      </c>
      <c r="J40" s="2" t="s">
        <v>100</v>
      </c>
      <c r="K40" s="2" t="s">
        <v>101</v>
      </c>
      <c r="L40" s="2" t="s">
        <v>102</v>
      </c>
    </row>
    <row r="41" customFormat="false" ht="15" hidden="false" customHeight="false" outlineLevel="0" collapsed="false">
      <c r="A41" s="0" t="s">
        <v>103</v>
      </c>
      <c r="C41" s="3" t="n">
        <v>6.5</v>
      </c>
      <c r="D41" s="3" t="n">
        <v>5.5</v>
      </c>
      <c r="E41" s="3" t="n">
        <v>5</v>
      </c>
      <c r="F41" s="3" t="n">
        <v>4.5</v>
      </c>
      <c r="G41" s="3" t="n">
        <v>4</v>
      </c>
      <c r="H41" s="3" t="n">
        <v>3.5</v>
      </c>
      <c r="I41" s="3" t="n">
        <v>3</v>
      </c>
      <c r="J41" s="3" t="n">
        <v>2.5</v>
      </c>
      <c r="K41" s="3" t="n">
        <v>2</v>
      </c>
      <c r="L41" s="3" t="n">
        <v>2</v>
      </c>
    </row>
    <row r="42" customFormat="false" ht="15" hidden="false" customHeight="false" outlineLevel="0" collapsed="false">
      <c r="A42" s="0" t="s">
        <v>104</v>
      </c>
      <c r="C42" s="3" t="n">
        <v>11.3</v>
      </c>
      <c r="D42" s="3" t="n">
        <v>11.6</v>
      </c>
      <c r="E42" s="3" t="n">
        <v>11.9</v>
      </c>
      <c r="F42" s="3" t="n">
        <v>12.1</v>
      </c>
      <c r="G42" s="3" t="n">
        <v>12.3</v>
      </c>
      <c r="H42" s="3" t="n">
        <v>12.4</v>
      </c>
      <c r="I42" s="3" t="n">
        <v>12.5</v>
      </c>
      <c r="J42" s="3" t="n">
        <v>12.5</v>
      </c>
      <c r="K42" s="3" t="n">
        <v>12.5</v>
      </c>
      <c r="L42" s="3" t="n">
        <v>12.5</v>
      </c>
    </row>
    <row r="43" customFormat="false" ht="15" hidden="false" customHeight="false" outlineLevel="0" collapsed="false">
      <c r="A43" s="0" t="s">
        <v>105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106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107</v>
      </c>
      <c r="C45" s="3" t="n">
        <v>2.5</v>
      </c>
      <c r="D45" s="3" t="n">
        <v>2.55</v>
      </c>
      <c r="E45" s="3" t="n">
        <v>2.6</v>
      </c>
      <c r="F45" s="3" t="n">
        <v>2.6</v>
      </c>
      <c r="G45" s="3" t="n">
        <v>2.65</v>
      </c>
      <c r="H45" s="3" t="n">
        <v>2.65</v>
      </c>
      <c r="I45" s="3" t="n">
        <v>2.7</v>
      </c>
      <c r="J45" s="3" t="n">
        <v>2.7</v>
      </c>
      <c r="K45" s="3" t="n">
        <v>2.7</v>
      </c>
      <c r="L45" s="3" t="n">
        <v>2.7</v>
      </c>
    </row>
    <row r="46" customFormat="false" ht="15" hidden="false" customHeight="false" outlineLevel="0" collapsed="false">
      <c r="A46" s="0" t="s">
        <v>108</v>
      </c>
      <c r="C46" s="3" t="n">
        <v>5.5</v>
      </c>
      <c r="D46" s="3" t="n">
        <v>5</v>
      </c>
      <c r="E46" s="3" t="n">
        <v>4.5</v>
      </c>
      <c r="F46" s="3" t="n">
        <v>4</v>
      </c>
      <c r="G46" s="3" t="n">
        <v>3.7</v>
      </c>
      <c r="H46" s="3" t="n">
        <v>3.5</v>
      </c>
      <c r="I46" s="3" t="n">
        <v>3.3</v>
      </c>
      <c r="J46" s="3" t="n">
        <v>3.2</v>
      </c>
      <c r="K46" s="3" t="n">
        <v>3.2</v>
      </c>
      <c r="L46" s="3" t="n">
        <v>3.2</v>
      </c>
    </row>
    <row r="47" customFormat="false" ht="15" hidden="false" customHeight="false" outlineLevel="0" collapsed="false">
      <c r="A47" s="0" t="s">
        <v>109</v>
      </c>
      <c r="C47" s="3" t="n">
        <v>31</v>
      </c>
      <c r="D47" s="3" t="n">
        <v>31</v>
      </c>
      <c r="E47" s="3" t="n">
        <v>31</v>
      </c>
      <c r="F47" s="3" t="n">
        <v>31</v>
      </c>
      <c r="G47" s="3" t="n">
        <v>31</v>
      </c>
      <c r="H47" s="3" t="n">
        <v>31</v>
      </c>
      <c r="I47" s="3" t="n">
        <v>31</v>
      </c>
      <c r="J47" s="3" t="n">
        <v>31</v>
      </c>
      <c r="K47" s="3" t="n">
        <v>31</v>
      </c>
      <c r="L47" s="3" t="n">
        <v>31</v>
      </c>
    </row>
    <row r="48" customFormat="false" ht="15" hidden="false" customHeight="false" outlineLevel="0" collapsed="false">
      <c r="A48" s="0" t="s">
        <v>110</v>
      </c>
      <c r="B48" s="3" t="n">
        <v>5.5</v>
      </c>
    </row>
    <row r="49" customFormat="false" ht="15" hidden="false" customHeight="false" outlineLevel="0" collapsed="false">
      <c r="A49" s="0" t="s">
        <v>111</v>
      </c>
      <c r="B49" s="3" t="n">
        <v>1.5</v>
      </c>
    </row>
    <row r="50" customFormat="false" ht="15" hidden="false" customHeight="false" outlineLevel="0" collapsed="false">
      <c r="A50" s="0" t="s">
        <v>112</v>
      </c>
      <c r="B50" s="3" t="n">
        <v>18</v>
      </c>
    </row>
    <row r="51" customFormat="false" ht="15" hidden="false" customHeight="false" outlineLevel="0" collapsed="false">
      <c r="A51" s="0" t="s">
        <v>113</v>
      </c>
      <c r="B51" s="3" t="n">
        <v>-25</v>
      </c>
    </row>
    <row r="52" customFormat="false" ht="15" hidden="false" customHeight="false" outlineLevel="0" collapsed="false">
      <c r="A52" s="0" t="s">
        <v>114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117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Assumptions!C13</f>
        <v>3</v>
      </c>
      <c r="D5" s="4" t="n">
        <f aca="false">Assumptions!D13</f>
        <v>-1</v>
      </c>
      <c r="E5" s="4" t="n">
        <f aca="false">Assumptions!E13</f>
        <v>-2</v>
      </c>
      <c r="F5" s="4" t="n">
        <f aca="false">Assumptions!F13</f>
        <v>1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5576861</v>
      </c>
      <c r="C6" s="0" t="n">
        <f aca="false">B6*(1+C5/100)</f>
        <v>5744166.83</v>
      </c>
      <c r="D6" s="0" t="n">
        <f aca="false">C6*(1+D5/100)</f>
        <v>5686725.1617</v>
      </c>
      <c r="E6" s="0" t="n">
        <f aca="false">D6*(1+E5/100)</f>
        <v>5572990.658466</v>
      </c>
      <c r="F6" s="0" t="n">
        <f aca="false">E6*(1+F5/100)</f>
        <v>5628720.56505066</v>
      </c>
      <c r="G6" s="0" t="n">
        <f aca="false">F6*(1+G5/100)</f>
        <v>5713151.37352642</v>
      </c>
      <c r="H6" s="0" t="n">
        <f aca="false">G6*(1+H5/100)</f>
        <v>5798848.64412931</v>
      </c>
      <c r="I6" s="0" t="n">
        <f aca="false">H6*(1+I5/100)</f>
        <v>5885831.37379125</v>
      </c>
      <c r="J6" s="0" t="n">
        <f aca="false">I6*(1+J5/100)</f>
        <v>5944689.68752917</v>
      </c>
      <c r="K6" s="0" t="n">
        <f aca="false">J6*(1+K5/100)</f>
        <v>6004136.58440446</v>
      </c>
      <c r="L6" s="0" t="n">
        <f aca="false">K6*(1+L5/100)</f>
        <v>6064177.9502485</v>
      </c>
    </row>
    <row r="7" customFormat="false" ht="15" hidden="false" customHeight="false" outlineLevel="0" collapsed="false">
      <c r="A7" s="0" t="s">
        <v>104</v>
      </c>
      <c r="C7" s="4" t="n">
        <f aca="false">Assumptions!C14</f>
        <v>9.3</v>
      </c>
      <c r="D7" s="4" t="n">
        <f aca="false">Assumptions!D14</f>
        <v>8.8</v>
      </c>
      <c r="E7" s="4" t="n">
        <f aca="false">Assumptions!E14</f>
        <v>8.5</v>
      </c>
      <c r="F7" s="4" t="n">
        <f aca="false">Assumptions!F14</f>
        <v>8.8</v>
      </c>
      <c r="G7" s="4" t="n">
        <f aca="false">Assumptions!G14</f>
        <v>9.2</v>
      </c>
      <c r="H7" s="4" t="n">
        <f aca="false">Assumptions!H14</f>
        <v>9.5</v>
      </c>
      <c r="I7" s="4" t="n">
        <f aca="false">Assumptions!I14</f>
        <v>9.8</v>
      </c>
      <c r="J7" s="4" t="n">
        <f aca="false">Assumptions!J14</f>
        <v>10</v>
      </c>
      <c r="K7" s="4" t="n">
        <f aca="false">Assumptions!K14</f>
        <v>10</v>
      </c>
      <c r="L7" s="4" t="n">
        <f aca="false">Assumptions!L14</f>
        <v>10</v>
      </c>
    </row>
    <row r="8" customFormat="false" ht="15" hidden="false" customHeight="false" outlineLevel="0" collapsed="false">
      <c r="A8" s="0" t="s">
        <v>43</v>
      </c>
      <c r="C8" s="0" t="n">
        <f aca="false">C6*C7/100</f>
        <v>534207.51519</v>
      </c>
      <c r="D8" s="0" t="n">
        <f aca="false">D6*D7/100</f>
        <v>500431.8142296</v>
      </c>
      <c r="E8" s="0" t="n">
        <f aca="false">E6*E7/100</f>
        <v>473704.20596961</v>
      </c>
      <c r="F8" s="0" t="n">
        <f aca="false">F6*F7/100</f>
        <v>495327.409724458</v>
      </c>
      <c r="G8" s="0" t="n">
        <f aca="false">G6*G7/100</f>
        <v>525609.926364431</v>
      </c>
      <c r="H8" s="0" t="n">
        <f aca="false">H6*H7/100</f>
        <v>550890.621192285</v>
      </c>
      <c r="I8" s="0" t="n">
        <f aca="false">I6*I7/100</f>
        <v>576811.474631543</v>
      </c>
      <c r="J8" s="0" t="n">
        <f aca="false">J6*J7/100</f>
        <v>594468.968752917</v>
      </c>
      <c r="K8" s="0" t="n">
        <f aca="false">K6*K7/100</f>
        <v>600413.658440446</v>
      </c>
      <c r="L8" s="0" t="n">
        <f aca="false">L6*L7/100</f>
        <v>606417.79502485</v>
      </c>
    </row>
    <row r="9" customFormat="false" ht="15" hidden="false" customHeight="false" outlineLevel="0" collapsed="false">
      <c r="A9" s="0" t="s">
        <v>105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534207.51519</v>
      </c>
      <c r="D11" s="0" t="n">
        <f aca="false">D8+D10+D24</f>
        <v>500431.8142296</v>
      </c>
      <c r="E11" s="0" t="n">
        <f aca="false">E8+E10+E24</f>
        <v>473704.20596961</v>
      </c>
      <c r="F11" s="0" t="n">
        <f aca="false">F8+F10+F24</f>
        <v>495327.409724458</v>
      </c>
      <c r="G11" s="0" t="n">
        <f aca="false">G8+G10+G24</f>
        <v>525609.926364431</v>
      </c>
      <c r="H11" s="0" t="n">
        <f aca="false">H8+H10+H24</f>
        <v>550890.621192285</v>
      </c>
      <c r="I11" s="0" t="n">
        <f aca="false">I8+I10+I24</f>
        <v>576811.474631543</v>
      </c>
      <c r="J11" s="0" t="n">
        <f aca="false">J8+J10+J24</f>
        <v>594468.968752917</v>
      </c>
      <c r="K11" s="0" t="n">
        <f aca="false">K8+K10+K24</f>
        <v>600413.658440446</v>
      </c>
      <c r="L11" s="0" t="n">
        <f aca="false">L8+L10+L24</f>
        <v>606417.79502485</v>
      </c>
    </row>
    <row r="12" customFormat="false" ht="15" hidden="false" customHeight="false" outlineLevel="0" collapsed="false">
      <c r="A12" s="0" t="s">
        <v>122</v>
      </c>
      <c r="C12" s="4" t="n">
        <f aca="false">-C6*Assumptions!C17/100</f>
        <v>-143604.17075</v>
      </c>
      <c r="D12" s="4" t="n">
        <f aca="false">-D6*Assumptions!D17/100</f>
        <v>-147854.8542042</v>
      </c>
      <c r="E12" s="4" t="n">
        <f aca="false">-E6*Assumptions!E17/100</f>
        <v>-150470.747778582</v>
      </c>
      <c r="F12" s="4" t="n">
        <f aca="false">-F6*Assumptions!F17/100</f>
        <v>-151975.455256368</v>
      </c>
      <c r="G12" s="4" t="n">
        <f aca="false">-G6*Assumptions!G17/100</f>
        <v>-154255.087085213</v>
      </c>
      <c r="H12" s="4" t="n">
        <f aca="false">-H6*Assumptions!H17/100</f>
        <v>-156568.913391492</v>
      </c>
      <c r="I12" s="4" t="n">
        <f aca="false">-I6*Assumptions!I17/100</f>
        <v>-158917.447092364</v>
      </c>
      <c r="J12" s="4" t="n">
        <f aca="false">-J6*Assumptions!J17/100</f>
        <v>-160506.621563288</v>
      </c>
      <c r="K12" s="4" t="n">
        <f aca="false">-K6*Assumptions!K17/100</f>
        <v>-162111.68777892</v>
      </c>
      <c r="L12" s="4" t="n">
        <f aca="false">-L6*Assumptions!L17/100</f>
        <v>-163732.80465671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390603.34444</v>
      </c>
      <c r="D13" s="0" t="n">
        <f aca="false">D11+D12</f>
        <v>352576.9600254</v>
      </c>
      <c r="E13" s="0" t="n">
        <f aca="false">E11+E12</f>
        <v>323233.458191028</v>
      </c>
      <c r="F13" s="0" t="n">
        <f aca="false">F11+F12</f>
        <v>343351.95446809</v>
      </c>
      <c r="G13" s="0" t="n">
        <f aca="false">G11+G12</f>
        <v>371354.839279217</v>
      </c>
      <c r="H13" s="0" t="n">
        <f aca="false">H11+H12</f>
        <v>394321.707800793</v>
      </c>
      <c r="I13" s="0" t="n">
        <f aca="false">I11+I12</f>
        <v>417894.027539179</v>
      </c>
      <c r="J13" s="0" t="n">
        <f aca="false">J11+J12</f>
        <v>433962.347189629</v>
      </c>
      <c r="K13" s="0" t="n">
        <f aca="false">K11+K12</f>
        <v>438301.970661525</v>
      </c>
      <c r="L13" s="0" t="n">
        <f aca="false">L11+L12</f>
        <v>442684.990368141</v>
      </c>
    </row>
    <row r="14" customFormat="false" ht="15" hidden="false" customHeight="false" outlineLevel="0" collapsed="false">
      <c r="A14" s="0" t="s">
        <v>109</v>
      </c>
      <c r="C14" s="4" t="n">
        <f aca="false">Assumptions!C19</f>
        <v>31</v>
      </c>
      <c r="D14" s="4" t="n">
        <f aca="false">Assumptions!D19</f>
        <v>31</v>
      </c>
      <c r="E14" s="4" t="n">
        <f aca="false">Assumptions!E19</f>
        <v>31</v>
      </c>
      <c r="F14" s="4" t="n">
        <f aca="false">Assumptions!F19</f>
        <v>31</v>
      </c>
      <c r="G14" s="4" t="n">
        <f aca="false">Assumptions!G19</f>
        <v>31</v>
      </c>
      <c r="H14" s="4" t="n">
        <f aca="false">Assumptions!H19</f>
        <v>31</v>
      </c>
      <c r="I14" s="4" t="n">
        <f aca="false">Assumptions!I19</f>
        <v>31</v>
      </c>
      <c r="J14" s="4" t="n">
        <f aca="false">Assumptions!J19</f>
        <v>31</v>
      </c>
      <c r="K14" s="4" t="n">
        <f aca="false">Assumptions!K19</f>
        <v>31</v>
      </c>
      <c r="L14" s="4" t="n">
        <f aca="false">Assumptions!L19</f>
        <v>31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269516.3076636</v>
      </c>
      <c r="D15" s="0" t="n">
        <f aca="false">D13-MAX(0,D13)*D14/100</f>
        <v>243278.102417526</v>
      </c>
      <c r="E15" s="0" t="n">
        <f aca="false">E13-MAX(0,E13)*E14/100</f>
        <v>223031.086151809</v>
      </c>
      <c r="F15" s="0" t="n">
        <f aca="false">F13-MAX(0,F13)*F14/100</f>
        <v>236912.848582982</v>
      </c>
      <c r="G15" s="0" t="n">
        <f aca="false">G13-MAX(0,G13)*G14/100</f>
        <v>256234.83910266</v>
      </c>
      <c r="H15" s="0" t="n">
        <f aca="false">H13-MAX(0,H13)*H14/100</f>
        <v>272081.978382547</v>
      </c>
      <c r="I15" s="0" t="n">
        <f aca="false">I13-MAX(0,I13)*I14/100</f>
        <v>288346.879002034</v>
      </c>
      <c r="J15" s="0" t="n">
        <f aca="false">J13-MAX(0,J13)*J14/100</f>
        <v>299434.019560844</v>
      </c>
      <c r="K15" s="0" t="n">
        <f aca="false">K13-MAX(0,K13)*K14/100</f>
        <v>302428.359756453</v>
      </c>
      <c r="L15" s="0" t="n">
        <f aca="false">L13-MAX(0,L13)*L14/100</f>
        <v>305452.643354017</v>
      </c>
    </row>
    <row r="16" customFormat="false" ht="15" hidden="false" customHeight="false" outlineLevel="0" collapsed="false">
      <c r="A16" s="0" t="s">
        <v>125</v>
      </c>
      <c r="C16" s="0" t="n">
        <f aca="false">-C12</f>
        <v>143604.17075</v>
      </c>
      <c r="D16" s="0" t="n">
        <f aca="false">-D12</f>
        <v>147854.8542042</v>
      </c>
      <c r="E16" s="0" t="n">
        <f aca="false">-E12</f>
        <v>150470.747778582</v>
      </c>
      <c r="F16" s="0" t="n">
        <f aca="false">-F12</f>
        <v>151975.455256368</v>
      </c>
      <c r="G16" s="0" t="n">
        <f aca="false">-G12</f>
        <v>154255.087085213</v>
      </c>
      <c r="H16" s="0" t="n">
        <f aca="false">-H12</f>
        <v>156568.913391492</v>
      </c>
      <c r="I16" s="0" t="n">
        <f aca="false">-I12</f>
        <v>158917.447092364</v>
      </c>
      <c r="J16" s="0" t="n">
        <f aca="false">-J12</f>
        <v>160506.621563288</v>
      </c>
      <c r="K16" s="0" t="n">
        <f aca="false">-K12</f>
        <v>162111.68777892</v>
      </c>
      <c r="L16" s="0" t="n">
        <f aca="false">-L12</f>
        <v>163732.80465671</v>
      </c>
    </row>
    <row r="17" customFormat="false" ht="15" hidden="false" customHeight="false" outlineLevel="0" collapsed="false">
      <c r="A17" s="0" t="s">
        <v>126</v>
      </c>
      <c r="C17" s="4" t="n">
        <f aca="false">-C6*Assumptions!C18/100</f>
        <v>-373370.84395</v>
      </c>
      <c r="D17" s="4" t="n">
        <f aca="false">-D6*Assumptions!D18/100</f>
        <v>-341203.509702</v>
      </c>
      <c r="E17" s="4" t="n">
        <f aca="false">-E6*Assumptions!E18/100</f>
        <v>-306514.48621563</v>
      </c>
      <c r="F17" s="4" t="n">
        <f aca="false">-F6*Assumptions!F18/100</f>
        <v>-281436.028252533</v>
      </c>
      <c r="G17" s="4" t="n">
        <f aca="false">-G6*Assumptions!G18/100</f>
        <v>-262804.963182215</v>
      </c>
      <c r="H17" s="4" t="n">
        <f aca="false">-H6*Assumptions!H18/100</f>
        <v>-249350.491697561</v>
      </c>
      <c r="I17" s="4" t="n">
        <f aca="false">-I6*Assumptions!I18/100</f>
        <v>-247204.917699233</v>
      </c>
      <c r="J17" s="4" t="n">
        <f aca="false">-J6*Assumptions!J18/100</f>
        <v>-249676.966876225</v>
      </c>
      <c r="K17" s="4" t="n">
        <f aca="false">-K6*Assumptions!K18/100</f>
        <v>-252173.736544987</v>
      </c>
      <c r="L17" s="4" t="n">
        <f aca="false">-L6*Assumptions!L18/100</f>
        <v>-254695.473910437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(C6-B6)*Assumptions!$B$23/100</f>
        <v>-58557.0405</v>
      </c>
      <c r="D18" s="4" t="n">
        <f aca="false">(D6-C6)*Assumptions!$B$23/100</f>
        <v>20104.583905</v>
      </c>
      <c r="E18" s="4" t="n">
        <f aca="false">(E6-D6)*Assumptions!$B$23/100</f>
        <v>39807.0761319</v>
      </c>
      <c r="F18" s="4" t="n">
        <f aca="false">(F6-E6)*Assumptions!$B$23/100</f>
        <v>-19505.4673046309</v>
      </c>
      <c r="G18" s="4" t="n">
        <f aca="false">(G6-F6)*Assumptions!$B$23/100</f>
        <v>-29550.7829665156</v>
      </c>
      <c r="H18" s="4" t="n">
        <f aca="false">(H6-G6)*Assumptions!$B$23/100</f>
        <v>-29994.0447110136</v>
      </c>
      <c r="I18" s="4" t="n">
        <f aca="false">(I6-H6)*Assumptions!$B$23/100</f>
        <v>-30443.9553816786</v>
      </c>
      <c r="J18" s="4" t="n">
        <f aca="false">(J6-I6)*Assumptions!$B$23/100</f>
        <v>-20600.4098082696</v>
      </c>
      <c r="K18" s="4" t="n">
        <f aca="false">(K6-J6)*Assumptions!$B$23/100</f>
        <v>-20806.4139063522</v>
      </c>
      <c r="L18" s="4" t="n">
        <f aca="false">(L6-K6)*Assumptions!$B$23/100</f>
        <v>-21014.4780454157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-18807.4060364</v>
      </c>
      <c r="D19" s="0" t="n">
        <f aca="false">D15+D16+D17+D18</f>
        <v>70034.030824726</v>
      </c>
      <c r="E19" s="0" t="n">
        <f aca="false">E15+E16+E17+E18</f>
        <v>106794.423846661</v>
      </c>
      <c r="F19" s="0" t="n">
        <f aca="false">F15+F16+F17+F18</f>
        <v>87946.8082821863</v>
      </c>
      <c r="G19" s="0" t="n">
        <f aca="false">G15+G16+G17+G18</f>
        <v>118134.180039142</v>
      </c>
      <c r="H19" s="0" t="n">
        <f aca="false">H15+H16+H17+H18</f>
        <v>149306.355365465</v>
      </c>
      <c r="I19" s="0" t="n">
        <f aca="false">I15+I16+I17+I18</f>
        <v>169615.453013486</v>
      </c>
      <c r="J19" s="0" t="n">
        <f aca="false">J15+J16+J17+J18</f>
        <v>189663.264439637</v>
      </c>
      <c r="K19" s="0" t="n">
        <f aca="false">K15+K16+K17+K18</f>
        <v>191559.897084033</v>
      </c>
      <c r="L19" s="0" t="n">
        <f aca="false">L15+L16+L17+L18</f>
        <v>193475.496054874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0.947867298578199</v>
      </c>
      <c r="D20" s="0" t="n">
        <f aca="false">1/(1+$B$27/100)^D4</f>
        <v>0.898452415713933</v>
      </c>
      <c r="E20" s="0" t="n">
        <f aca="false">1/(1+$B$27/100)^E4</f>
        <v>0.851613664183823</v>
      </c>
      <c r="F20" s="0" t="n">
        <f aca="false">1/(1+$B$27/100)^F4</f>
        <v>0.807216743302202</v>
      </c>
      <c r="G20" s="0" t="n">
        <f aca="false">1/(1+$B$27/100)^G4</f>
        <v>0.765134353840949</v>
      </c>
      <c r="H20" s="0" t="n">
        <f aca="false">1/(1+$B$27/100)^H4</f>
        <v>0.725245833024597</v>
      </c>
      <c r="I20" s="0" t="n">
        <f aca="false">1/(1+$B$27/100)^I4</f>
        <v>0.68743680855412</v>
      </c>
      <c r="J20" s="0" t="n">
        <f aca="false">1/(1+$B$27/100)^J4</f>
        <v>0.651598870667413</v>
      </c>
      <c r="K20" s="0" t="n">
        <f aca="false">1/(1+$B$27/100)^K4</f>
        <v>0.617629261296126</v>
      </c>
      <c r="L20" s="0" t="n">
        <f aca="false">1/(1+$B$27/100)^L4</f>
        <v>0.585430579427607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-17826.9251529858</v>
      </c>
      <c r="D21" s="0" t="n">
        <f aca="false">D19*D20</f>
        <v>62922.2441766592</v>
      </c>
      <c r="E21" s="0" t="n">
        <f aca="false">E19*E20</f>
        <v>90947.5906064555</v>
      </c>
      <c r="F21" s="0" t="n">
        <f aca="false">F19*F20</f>
        <v>70992.1361653695</v>
      </c>
      <c r="G21" s="0" t="n">
        <f aca="false">G19*G20</f>
        <v>90388.5195107795</v>
      </c>
      <c r="H21" s="0" t="n">
        <f aca="false">H19*H20</f>
        <v>108283.812072893</v>
      </c>
      <c r="I21" s="0" t="n">
        <f aca="false">I19*I20</f>
        <v>116599.905701052</v>
      </c>
      <c r="J21" s="0" t="n">
        <f aca="false">J19*J20</f>
        <v>123584.368915962</v>
      </c>
      <c r="K21" s="0" t="n">
        <f aca="false">K19*K20</f>
        <v>118312.997729973</v>
      </c>
      <c r="L21" s="0" t="n">
        <f aca="false">L19*L20</f>
        <v>113266.471760449</v>
      </c>
    </row>
    <row r="23" customFormat="false" ht="15" hidden="false" customHeight="false" outlineLevel="0" collapsed="false">
      <c r="A23" s="0" t="s">
        <v>106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Assumptions!$B$20</f>
        <v>5.5</v>
      </c>
    </row>
    <row r="28" customFormat="false" ht="15" hidden="false" customHeight="false" outlineLevel="0" collapsed="false">
      <c r="A28" s="0" t="s">
        <v>111</v>
      </c>
      <c r="B28" s="4" t="n">
        <f aca="false">Assumptions!$B$21</f>
        <v>0.5</v>
      </c>
    </row>
    <row r="29" customFormat="false" ht="15" hidden="false" customHeight="false" outlineLevel="0" collapsed="false">
      <c r="A29" s="0" t="s">
        <v>112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877471.121486607</v>
      </c>
    </row>
    <row r="31" customFormat="false" ht="15" hidden="false" customHeight="false" outlineLevel="0" collapsed="false">
      <c r="A31" s="0" t="s">
        <v>134</v>
      </c>
      <c r="B31" s="0" t="n">
        <f aca="false">L19</f>
        <v>193475.496054874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3888857.47070296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2708656.94476823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2708656.94476823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1585730.60464628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2463201.72613289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-324915.273867113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-262.30513627852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-1.11197657898763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-262.30513627852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1340985.33472516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-1572.80033816513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Assumptions!C27</f>
        <v>5</v>
      </c>
      <c r="D5" s="4" t="n">
        <f aca="false">Assumptions!D27</f>
        <v>4</v>
      </c>
      <c r="E5" s="4" t="n">
        <f aca="false">Assumptions!E27</f>
        <v>3.5</v>
      </c>
      <c r="F5" s="4" t="n">
        <f aca="false">Assumptions!F27</f>
        <v>3</v>
      </c>
      <c r="G5" s="4" t="n">
        <f aca="false">Assumptions!G27</f>
        <v>2.5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1.5</v>
      </c>
      <c r="K5" s="4" t="n">
        <f aca="false">Assumptions!K27</f>
        <v>1.5</v>
      </c>
      <c r="L5" s="4" t="n">
        <f aca="false">Assumptions!L27</f>
        <v>1.5</v>
      </c>
    </row>
    <row r="6" customFormat="false" ht="15" hidden="false" customHeight="false" outlineLevel="0" collapsed="false">
      <c r="A6" s="0" t="s">
        <v>37</v>
      </c>
      <c r="B6" s="3" t="n">
        <v>5576861</v>
      </c>
      <c r="C6" s="0" t="n">
        <f aca="false">B6*(1+C5/100)</f>
        <v>5855704.05</v>
      </c>
      <c r="D6" s="0" t="n">
        <f aca="false">C6*(1+D5/100)</f>
        <v>6089932.212</v>
      </c>
      <c r="E6" s="0" t="n">
        <f aca="false">D6*(1+E5/100)</f>
        <v>6303079.83942</v>
      </c>
      <c r="F6" s="0" t="n">
        <f aca="false">E6*(1+F5/100)</f>
        <v>6492172.2346026</v>
      </c>
      <c r="G6" s="0" t="n">
        <f aca="false">F6*(1+G5/100)</f>
        <v>6654476.54046767</v>
      </c>
      <c r="H6" s="0" t="n">
        <f aca="false">G6*(1+H5/100)</f>
        <v>6787566.07127702</v>
      </c>
      <c r="I6" s="0" t="n">
        <f aca="false">H6*(1+I5/100)</f>
        <v>6923317.39270256</v>
      </c>
      <c r="J6" s="0" t="n">
        <f aca="false">I6*(1+J5/100)</f>
        <v>7027167.1535931</v>
      </c>
      <c r="K6" s="0" t="n">
        <f aca="false">J6*(1+K5/100)</f>
        <v>7132574.66089699</v>
      </c>
      <c r="L6" s="0" t="n">
        <f aca="false">K6*(1+L5/100)</f>
        <v>7239563.28081045</v>
      </c>
    </row>
    <row r="7" customFormat="false" ht="15" hidden="false" customHeight="false" outlineLevel="0" collapsed="false">
      <c r="A7" s="0" t="s">
        <v>104</v>
      </c>
      <c r="C7" s="4" t="n">
        <f aca="false">Assumptions!C28</f>
        <v>10.5</v>
      </c>
      <c r="D7" s="4" t="n">
        <f aca="false">Assumptions!D28</f>
        <v>10.8</v>
      </c>
      <c r="E7" s="4" t="n">
        <f aca="false">Assumptions!E28</f>
        <v>11</v>
      </c>
      <c r="F7" s="4" t="n">
        <f aca="false">Assumptions!F28</f>
        <v>11.2</v>
      </c>
      <c r="G7" s="4" t="n">
        <f aca="false">Assumptions!G28</f>
        <v>11.3</v>
      </c>
      <c r="H7" s="4" t="n">
        <f aca="false">Assumptions!H28</f>
        <v>11.4</v>
      </c>
      <c r="I7" s="4" t="n">
        <f aca="false">Assumptions!I28</f>
        <v>11.5</v>
      </c>
      <c r="J7" s="4" t="n">
        <f aca="false">Assumptions!J28</f>
        <v>11.5</v>
      </c>
      <c r="K7" s="4" t="n">
        <f aca="false">Assumptions!K28</f>
        <v>11.5</v>
      </c>
      <c r="L7" s="4" t="n">
        <f aca="false">Assumptions!L28</f>
        <v>11.5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614848.92525</v>
      </c>
      <c r="D8" s="0" t="n">
        <f aca="false">D6*D7/100</f>
        <v>657712.678896</v>
      </c>
      <c r="E8" s="0" t="n">
        <f aca="false">E6*E7/100</f>
        <v>693338.7823362</v>
      </c>
      <c r="F8" s="0" t="n">
        <f aca="false">F6*F7/100</f>
        <v>727123.290275491</v>
      </c>
      <c r="G8" s="0" t="n">
        <f aca="false">G6*G7/100</f>
        <v>751955.849072846</v>
      </c>
      <c r="H8" s="0" t="n">
        <f aca="false">H6*H7/100</f>
        <v>773782.53212558</v>
      </c>
      <c r="I8" s="0" t="n">
        <f aca="false">I6*I7/100</f>
        <v>796181.500160794</v>
      </c>
      <c r="J8" s="0" t="n">
        <f aca="false">J6*J7/100</f>
        <v>808124.222663206</v>
      </c>
      <c r="K8" s="0" t="n">
        <f aca="false">K6*K7/100</f>
        <v>820246.086003154</v>
      </c>
      <c r="L8" s="0" t="n">
        <f aca="false">L6*L7/100</f>
        <v>832549.777293201</v>
      </c>
    </row>
    <row r="9" customFormat="false" ht="15" hidden="false" customHeight="false" outlineLevel="0" collapsed="false">
      <c r="A9" s="0" t="s">
        <v>105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614848.92525</v>
      </c>
      <c r="D11" s="0" t="n">
        <f aca="false">D8+D10+D24</f>
        <v>657712.678896</v>
      </c>
      <c r="E11" s="0" t="n">
        <f aca="false">E8+E10+E24</f>
        <v>693338.7823362</v>
      </c>
      <c r="F11" s="0" t="n">
        <f aca="false">F8+F10+F24</f>
        <v>727123.290275491</v>
      </c>
      <c r="G11" s="0" t="n">
        <f aca="false">G8+G10+G24</f>
        <v>751955.849072846</v>
      </c>
      <c r="H11" s="0" t="n">
        <f aca="false">H8+H10+H24</f>
        <v>773782.53212558</v>
      </c>
      <c r="I11" s="0" t="n">
        <f aca="false">I8+I10+I24</f>
        <v>796181.500160794</v>
      </c>
      <c r="J11" s="0" t="n">
        <f aca="false">J8+J10+J24</f>
        <v>808124.222663206</v>
      </c>
      <c r="K11" s="0" t="n">
        <f aca="false">K8+K10+K24</f>
        <v>820246.086003154</v>
      </c>
      <c r="L11" s="0" t="n">
        <f aca="false">L8+L10+L24</f>
        <v>832549.777293201</v>
      </c>
    </row>
    <row r="12" customFormat="false" ht="15" hidden="false" customHeight="false" outlineLevel="0" collapsed="false">
      <c r="A12" s="0" t="s">
        <v>122</v>
      </c>
      <c r="C12" s="4" t="n">
        <f aca="false">-C6*Assumptions!C31/100</f>
        <v>-146392.60125</v>
      </c>
      <c r="D12" s="4" t="n">
        <f aca="false">-D6*Assumptions!D31/100</f>
        <v>-155293.271406</v>
      </c>
      <c r="E12" s="4" t="n">
        <f aca="false">-E6*Assumptions!E31/100</f>
        <v>-163880.07582492</v>
      </c>
      <c r="F12" s="4" t="n">
        <f aca="false">-F6*Assumptions!F31/100</f>
        <v>-168796.478099668</v>
      </c>
      <c r="G12" s="4" t="n">
        <f aca="false">-G6*Assumptions!G31/100</f>
        <v>-176343.628322393</v>
      </c>
      <c r="H12" s="4" t="n">
        <f aca="false">-H6*Assumptions!H31/100</f>
        <v>-179870.500888841</v>
      </c>
      <c r="I12" s="4" t="n">
        <f aca="false">-I6*Assumptions!I31/100</f>
        <v>-186929.569602969</v>
      </c>
      <c r="J12" s="4" t="n">
        <f aca="false">-J6*Assumptions!J31/100</f>
        <v>-189733.513147014</v>
      </c>
      <c r="K12" s="4" t="n">
        <f aca="false">-K6*Assumptions!K31/100</f>
        <v>-192579.515844219</v>
      </c>
      <c r="L12" s="4" t="n">
        <f aca="false">-L6*Assumptions!L31/100</f>
        <v>-195468.208581882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468456.324</v>
      </c>
      <c r="D13" s="0" t="n">
        <f aca="false">D11+D12</f>
        <v>502419.40749</v>
      </c>
      <c r="E13" s="0" t="n">
        <f aca="false">E11+E12</f>
        <v>529458.70651128</v>
      </c>
      <c r="F13" s="0" t="n">
        <f aca="false">F11+F12</f>
        <v>558326.812175824</v>
      </c>
      <c r="G13" s="0" t="n">
        <f aca="false">G11+G12</f>
        <v>575612.220750453</v>
      </c>
      <c r="H13" s="0" t="n">
        <f aca="false">H11+H12</f>
        <v>593912.031236739</v>
      </c>
      <c r="I13" s="0" t="n">
        <f aca="false">I11+I12</f>
        <v>609251.930557825</v>
      </c>
      <c r="J13" s="0" t="n">
        <f aca="false">J11+J12</f>
        <v>618390.709516192</v>
      </c>
      <c r="K13" s="0" t="n">
        <f aca="false">K11+K12</f>
        <v>627666.570158935</v>
      </c>
      <c r="L13" s="0" t="n">
        <f aca="false">L11+L12</f>
        <v>637081.568711319</v>
      </c>
    </row>
    <row r="14" customFormat="false" ht="15" hidden="false" customHeight="false" outlineLevel="0" collapsed="false">
      <c r="A14" s="0" t="s">
        <v>109</v>
      </c>
      <c r="C14" s="4" t="n">
        <f aca="false">Assumptions!C33</f>
        <v>31</v>
      </c>
      <c r="D14" s="4" t="n">
        <f aca="false">Assumptions!D33</f>
        <v>31</v>
      </c>
      <c r="E14" s="4" t="n">
        <f aca="false">Assumptions!E33</f>
        <v>31</v>
      </c>
      <c r="F14" s="4" t="n">
        <f aca="false">Assumptions!F33</f>
        <v>31</v>
      </c>
      <c r="G14" s="4" t="n">
        <f aca="false">Assumptions!G33</f>
        <v>31</v>
      </c>
      <c r="H14" s="4" t="n">
        <f aca="false">Assumptions!H33</f>
        <v>31</v>
      </c>
      <c r="I14" s="4" t="n">
        <f aca="false">Assumptions!I33</f>
        <v>31</v>
      </c>
      <c r="J14" s="4" t="n">
        <f aca="false">Assumptions!J33</f>
        <v>31</v>
      </c>
      <c r="K14" s="4" t="n">
        <f aca="false">Assumptions!K33</f>
        <v>31</v>
      </c>
      <c r="L14" s="4" t="n">
        <f aca="false">Assumptions!L33</f>
        <v>31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323234.86356</v>
      </c>
      <c r="D15" s="0" t="n">
        <f aca="false">D13-MAX(0,D13)*D14/100</f>
        <v>346669.3911681</v>
      </c>
      <c r="E15" s="0" t="n">
        <f aca="false">E13-MAX(0,E13)*E14/100</f>
        <v>365326.507492783</v>
      </c>
      <c r="F15" s="0" t="n">
        <f aca="false">F13-MAX(0,F13)*F14/100</f>
        <v>385245.500401318</v>
      </c>
      <c r="G15" s="0" t="n">
        <f aca="false">G13-MAX(0,G13)*G14/100</f>
        <v>397172.432317813</v>
      </c>
      <c r="H15" s="0" t="n">
        <f aca="false">H13-MAX(0,H13)*H14/100</f>
        <v>409799.30155335</v>
      </c>
      <c r="I15" s="0" t="n">
        <f aca="false">I13-MAX(0,I13)*I14/100</f>
        <v>420383.832084899</v>
      </c>
      <c r="J15" s="0" t="n">
        <f aca="false">J13-MAX(0,J13)*J14/100</f>
        <v>426689.589566173</v>
      </c>
      <c r="K15" s="0" t="n">
        <f aca="false">K13-MAX(0,K13)*K14/100</f>
        <v>433089.933409665</v>
      </c>
      <c r="L15" s="0" t="n">
        <f aca="false">L13-MAX(0,L13)*L14/100</f>
        <v>439586.28241081</v>
      </c>
    </row>
    <row r="16" customFormat="false" ht="15" hidden="false" customHeight="false" outlineLevel="0" collapsed="false">
      <c r="A16" s="0" t="s">
        <v>125</v>
      </c>
      <c r="C16" s="0" t="n">
        <f aca="false">-C12</f>
        <v>146392.60125</v>
      </c>
      <c r="D16" s="0" t="n">
        <f aca="false">-D12</f>
        <v>155293.271406</v>
      </c>
      <c r="E16" s="0" t="n">
        <f aca="false">-E12</f>
        <v>163880.07582492</v>
      </c>
      <c r="F16" s="0" t="n">
        <f aca="false">-F12</f>
        <v>168796.478099668</v>
      </c>
      <c r="G16" s="0" t="n">
        <f aca="false">-G12</f>
        <v>176343.628322393</v>
      </c>
      <c r="H16" s="0" t="n">
        <f aca="false">-H12</f>
        <v>179870.500888841</v>
      </c>
      <c r="I16" s="0" t="n">
        <f aca="false">-I12</f>
        <v>186929.569602969</v>
      </c>
      <c r="J16" s="0" t="n">
        <f aca="false">-J12</f>
        <v>189733.513147014</v>
      </c>
      <c r="K16" s="0" t="n">
        <f aca="false">-K12</f>
        <v>192579.515844219</v>
      </c>
      <c r="L16" s="0" t="n">
        <f aca="false">-L12</f>
        <v>195468.208581882</v>
      </c>
    </row>
    <row r="17" customFormat="false" ht="15" hidden="false" customHeight="false" outlineLevel="0" collapsed="false">
      <c r="A17" s="0" t="s">
        <v>126</v>
      </c>
      <c r="C17" s="4" t="n">
        <f aca="false">-C6*Assumptions!C32/100</f>
        <v>-351342.243</v>
      </c>
      <c r="D17" s="4" t="n">
        <f aca="false">-D6*Assumptions!D32/100</f>
        <v>-334946.27166</v>
      </c>
      <c r="E17" s="4" t="n">
        <f aca="false">-E6*Assumptions!E32/100</f>
        <v>-315153.991971</v>
      </c>
      <c r="F17" s="4" t="n">
        <f aca="false">-F6*Assumptions!F32/100</f>
        <v>-292147.750557117</v>
      </c>
      <c r="G17" s="4" t="n">
        <f aca="false">-G6*Assumptions!G32/100</f>
        <v>-279488.014699642</v>
      </c>
      <c r="H17" s="4" t="n">
        <f aca="false">-H6*Assumptions!H32/100</f>
        <v>-271502.642851081</v>
      </c>
      <c r="I17" s="4" t="n">
        <f aca="false">-I6*Assumptions!I32/100</f>
        <v>-263086.060922697</v>
      </c>
      <c r="J17" s="4" t="n">
        <f aca="false">-J6*Assumptions!J32/100</f>
        <v>-267032.351836538</v>
      </c>
      <c r="K17" s="4" t="n">
        <f aca="false">-K6*Assumptions!K32/100</f>
        <v>-271037.837114086</v>
      </c>
      <c r="L17" s="4" t="n">
        <f aca="false">-L6*Assumptions!L32/100</f>
        <v>-275103.404670797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(C6-B6)*Assumptions!$B$37/100</f>
        <v>-97595.0674999999</v>
      </c>
      <c r="D18" s="4" t="n">
        <f aca="false">(D6-C6)*Assumptions!$B$37/100</f>
        <v>-81979.8567000002</v>
      </c>
      <c r="E18" s="4" t="n">
        <f aca="false">(E6-D6)*Assumptions!$B$37/100</f>
        <v>-74601.6695969999</v>
      </c>
      <c r="F18" s="4" t="n">
        <f aca="false">(F6-E6)*Assumptions!$B$37/100</f>
        <v>-66182.3383139101</v>
      </c>
      <c r="G18" s="4" t="n">
        <f aca="false">(G6-F6)*Assumptions!$B$37/100</f>
        <v>-56806.5070527725</v>
      </c>
      <c r="H18" s="4" t="n">
        <f aca="false">(H6-G6)*Assumptions!$B$37/100</f>
        <v>-46581.3357832736</v>
      </c>
      <c r="I18" s="4" t="n">
        <f aca="false">(I6-H6)*Assumptions!$B$37/100</f>
        <v>-47512.9624989391</v>
      </c>
      <c r="J18" s="4" t="n">
        <f aca="false">(J6-I6)*Assumptions!$B$37/100</f>
        <v>-36347.4163116883</v>
      </c>
      <c r="K18" s="4" t="n">
        <f aca="false">(K6-J6)*Assumptions!$B$37/100</f>
        <v>-36892.6275563634</v>
      </c>
      <c r="L18" s="4" t="n">
        <f aca="false">(L6-K6)*Assumptions!$B$37/100</f>
        <v>-37446.016969709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20690.1543100001</v>
      </c>
      <c r="D19" s="0" t="n">
        <f aca="false">D15+D16+D17+D18</f>
        <v>85036.5342140999</v>
      </c>
      <c r="E19" s="0" t="n">
        <f aca="false">E15+E16+E17+E18</f>
        <v>139450.921749703</v>
      </c>
      <c r="F19" s="0" t="n">
        <f aca="false">F15+F16+F17+F18</f>
        <v>195711.889629959</v>
      </c>
      <c r="G19" s="0" t="n">
        <f aca="false">G15+G16+G17+G18</f>
        <v>237221.538887791</v>
      </c>
      <c r="H19" s="0" t="n">
        <f aca="false">H15+H16+H17+H18</f>
        <v>271585.823807837</v>
      </c>
      <c r="I19" s="0" t="n">
        <f aca="false">I15+I16+I17+I18</f>
        <v>296714.378266232</v>
      </c>
      <c r="J19" s="0" t="n">
        <f aca="false">J15+J16+J17+J18</f>
        <v>313043.334564961</v>
      </c>
      <c r="K19" s="0" t="n">
        <f aca="false">K15+K16+K17+K18</f>
        <v>317738.984583435</v>
      </c>
      <c r="L19" s="0" t="n">
        <f aca="false">L15+L16+L17+L18</f>
        <v>322505.069352186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0.947867298578199</v>
      </c>
      <c r="D20" s="0" t="n">
        <f aca="false">1/(1+$B$27/100)^D4</f>
        <v>0.898452415713933</v>
      </c>
      <c r="E20" s="0" t="n">
        <f aca="false">1/(1+$B$27/100)^E4</f>
        <v>0.851613664183823</v>
      </c>
      <c r="F20" s="0" t="n">
        <f aca="false">1/(1+$B$27/100)^F4</f>
        <v>0.807216743302202</v>
      </c>
      <c r="G20" s="0" t="n">
        <f aca="false">1/(1+$B$27/100)^G4</f>
        <v>0.765134353840949</v>
      </c>
      <c r="H20" s="0" t="n">
        <f aca="false">1/(1+$B$27/100)^H4</f>
        <v>0.725245833024597</v>
      </c>
      <c r="I20" s="0" t="n">
        <f aca="false">1/(1+$B$27/100)^I4</f>
        <v>0.68743680855412</v>
      </c>
      <c r="J20" s="0" t="n">
        <f aca="false">1/(1+$B$27/100)^J4</f>
        <v>0.651598870667413</v>
      </c>
      <c r="K20" s="0" t="n">
        <f aca="false">1/(1+$B$27/100)^K4</f>
        <v>0.617629261296126</v>
      </c>
      <c r="L20" s="0" t="n">
        <f aca="false">1/(1+$B$27/100)^L4</f>
        <v>0.585430579427607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19611.5206729859</v>
      </c>
      <c r="D21" s="0" t="n">
        <f aca="false">D19*D20</f>
        <v>76401.2795885985</v>
      </c>
      <c r="E21" s="0" t="n">
        <f aca="false">E19*E20</f>
        <v>118758.310445076</v>
      </c>
      <c r="F21" s="0" t="n">
        <f aca="false">F19*F20</f>
        <v>157981.914172615</v>
      </c>
      <c r="G21" s="0" t="n">
        <f aca="false">G19*G20</f>
        <v>181506.348874066</v>
      </c>
      <c r="H21" s="0" t="n">
        <f aca="false">H19*H20</f>
        <v>196966.487025186</v>
      </c>
      <c r="I21" s="0" t="n">
        <f aca="false">I19*I20</f>
        <v>203972.385247459</v>
      </c>
      <c r="J21" s="0" t="n">
        <f aca="false">J19*J20</f>
        <v>203978.683272489</v>
      </c>
      <c r="K21" s="0" t="n">
        <f aca="false">K19*K20</f>
        <v>196244.894333248</v>
      </c>
      <c r="L21" s="0" t="n">
        <f aca="false">L19*L20</f>
        <v>188804.329619191</v>
      </c>
    </row>
    <row r="23" customFormat="false" ht="15" hidden="false" customHeight="false" outlineLevel="0" collapsed="false">
      <c r="A23" s="0" t="s">
        <v>106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Assumptions!$B$34</f>
        <v>5.5</v>
      </c>
    </row>
    <row r="28" customFormat="false" ht="15" hidden="false" customHeight="false" outlineLevel="0" collapsed="false">
      <c r="A28" s="0" t="s">
        <v>111</v>
      </c>
      <c r="B28" s="4" t="n">
        <f aca="false">Assumptions!$B$35</f>
        <v>1</v>
      </c>
    </row>
    <row r="29" customFormat="false" ht="15" hidden="false" customHeight="false" outlineLevel="0" collapsed="false">
      <c r="A29" s="0" t="s">
        <v>112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1544226.15325091</v>
      </c>
    </row>
    <row r="31" customFormat="false" ht="15" hidden="false" customHeight="false" outlineLevel="0" collapsed="false">
      <c r="A31" s="0" t="s">
        <v>134</v>
      </c>
      <c r="B31" s="0" t="n">
        <f aca="false">L19</f>
        <v>322505.069352186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7238447.11212685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5160081.10963498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5160081.10963498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3020869.27390706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4565095.42715797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1776978.42715797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1434.56034846271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-0.387594301616772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1434.56034846271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2326643.7146122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-1055.83134072085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Assumptions!C41</f>
        <v>6.5</v>
      </c>
      <c r="D5" s="4" t="n">
        <f aca="false">Assumptions!D41</f>
        <v>5.5</v>
      </c>
      <c r="E5" s="4" t="n">
        <f aca="false">Assumptions!E41</f>
        <v>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2.5</v>
      </c>
      <c r="K5" s="4" t="n">
        <f aca="false">Assumptions!K41</f>
        <v>2</v>
      </c>
      <c r="L5" s="4" t="n">
        <f aca="false">Assumptions!L41</f>
        <v>2</v>
      </c>
    </row>
    <row r="6" customFormat="false" ht="15" hidden="false" customHeight="false" outlineLevel="0" collapsed="false">
      <c r="A6" s="0" t="s">
        <v>37</v>
      </c>
      <c r="B6" s="3" t="n">
        <v>5576861</v>
      </c>
      <c r="C6" s="0" t="n">
        <f aca="false">B6*(1+C5/100)</f>
        <v>5939356.965</v>
      </c>
      <c r="D6" s="0" t="n">
        <f aca="false">C6*(1+D5/100)</f>
        <v>6266021.598075</v>
      </c>
      <c r="E6" s="0" t="n">
        <f aca="false">D6*(1+E5/100)</f>
        <v>6579322.67797875</v>
      </c>
      <c r="F6" s="0" t="n">
        <f aca="false">E6*(1+F5/100)</f>
        <v>6875392.19848779</v>
      </c>
      <c r="G6" s="0" t="n">
        <f aca="false">F6*(1+G5/100)</f>
        <v>7150407.88642731</v>
      </c>
      <c r="H6" s="0" t="n">
        <f aca="false">G6*(1+H5/100)</f>
        <v>7400672.16245226</v>
      </c>
      <c r="I6" s="0" t="n">
        <f aca="false">H6*(1+I5/100)</f>
        <v>7622692.32732583</v>
      </c>
      <c r="J6" s="0" t="n">
        <f aca="false">I6*(1+J5/100)</f>
        <v>7813259.63550897</v>
      </c>
      <c r="K6" s="0" t="n">
        <f aca="false">J6*(1+K5/100)</f>
        <v>7969524.82821915</v>
      </c>
      <c r="L6" s="0" t="n">
        <f aca="false">K6*(1+L5/100)</f>
        <v>8128915.32478354</v>
      </c>
    </row>
    <row r="7" customFormat="false" ht="15" hidden="false" customHeight="false" outlineLevel="0" collapsed="false">
      <c r="A7" s="0" t="s">
        <v>104</v>
      </c>
      <c r="C7" s="4" t="n">
        <f aca="false">Assumptions!C42</f>
        <v>11.3</v>
      </c>
      <c r="D7" s="4" t="n">
        <f aca="false">Assumptions!D42</f>
        <v>11.6</v>
      </c>
      <c r="E7" s="4" t="n">
        <f aca="false">Assumptions!E42</f>
        <v>11.9</v>
      </c>
      <c r="F7" s="4" t="n">
        <f aca="false">Assumptions!F42</f>
        <v>12.1</v>
      </c>
      <c r="G7" s="4" t="n">
        <f aca="false">Assumptions!G42</f>
        <v>12.3</v>
      </c>
      <c r="H7" s="4" t="n">
        <f aca="false">Assumptions!H42</f>
        <v>12.4</v>
      </c>
      <c r="I7" s="4" t="n">
        <f aca="false">Assumptions!I42</f>
        <v>12.5</v>
      </c>
      <c r="J7" s="4" t="n">
        <f aca="false">Assumptions!J42</f>
        <v>12.5</v>
      </c>
      <c r="K7" s="4" t="n">
        <f aca="false">Assumptions!K42</f>
        <v>12.5</v>
      </c>
      <c r="L7" s="4" t="n">
        <f aca="false">Assumptions!L42</f>
        <v>12.5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671147.337045</v>
      </c>
      <c r="D8" s="0" t="n">
        <f aca="false">D6*D7/100</f>
        <v>726858.5053767</v>
      </c>
      <c r="E8" s="0" t="n">
        <f aca="false">E6*E7/100</f>
        <v>782939.398679471</v>
      </c>
      <c r="F8" s="0" t="n">
        <f aca="false">F6*F7/100</f>
        <v>831922.456017023</v>
      </c>
      <c r="G8" s="0" t="n">
        <f aca="false">G6*G7/100</f>
        <v>879500.170030559</v>
      </c>
      <c r="H8" s="0" t="n">
        <f aca="false">H6*H7/100</f>
        <v>917683.34814408</v>
      </c>
      <c r="I8" s="0" t="n">
        <f aca="false">I6*I7/100</f>
        <v>952836.540915729</v>
      </c>
      <c r="J8" s="0" t="n">
        <f aca="false">J6*J7/100</f>
        <v>976657.454438622</v>
      </c>
      <c r="K8" s="0" t="n">
        <f aca="false">K6*K7/100</f>
        <v>996190.603527394</v>
      </c>
      <c r="L8" s="0" t="n">
        <f aca="false">L6*L7/100</f>
        <v>1016114.41559794</v>
      </c>
    </row>
    <row r="9" customFormat="false" ht="15" hidden="false" customHeight="false" outlineLevel="0" collapsed="false">
      <c r="A9" s="0" t="s">
        <v>105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671147.337045</v>
      </c>
      <c r="D11" s="0" t="n">
        <f aca="false">D8+D10+D24</f>
        <v>726858.5053767</v>
      </c>
      <c r="E11" s="0" t="n">
        <f aca="false">E8+E10+E24</f>
        <v>782939.398679471</v>
      </c>
      <c r="F11" s="0" t="n">
        <f aca="false">F8+F10+F24</f>
        <v>831922.456017023</v>
      </c>
      <c r="G11" s="0" t="n">
        <f aca="false">G8+G10+G24</f>
        <v>879500.170030559</v>
      </c>
      <c r="H11" s="0" t="n">
        <f aca="false">H8+H10+H24</f>
        <v>917683.34814408</v>
      </c>
      <c r="I11" s="0" t="n">
        <f aca="false">I8+I10+I24</f>
        <v>952836.540915729</v>
      </c>
      <c r="J11" s="0" t="n">
        <f aca="false">J8+J10+J24</f>
        <v>976657.454438622</v>
      </c>
      <c r="K11" s="0" t="n">
        <f aca="false">K8+K10+K24</f>
        <v>996190.603527394</v>
      </c>
      <c r="L11" s="0" t="n">
        <f aca="false">L8+L10+L24</f>
        <v>1016114.41559794</v>
      </c>
    </row>
    <row r="12" customFormat="false" ht="15" hidden="false" customHeight="false" outlineLevel="0" collapsed="false">
      <c r="A12" s="0" t="s">
        <v>122</v>
      </c>
      <c r="C12" s="4" t="n">
        <f aca="false">-C6*Assumptions!C45/100</f>
        <v>-148483.924125</v>
      </c>
      <c r="D12" s="4" t="n">
        <f aca="false">-D6*Assumptions!D45/100</f>
        <v>-159783.550750913</v>
      </c>
      <c r="E12" s="4" t="n">
        <f aca="false">-E6*Assumptions!E45/100</f>
        <v>-171062.389627448</v>
      </c>
      <c r="F12" s="4" t="n">
        <f aca="false">-F6*Assumptions!F45/100</f>
        <v>-178760.197160683</v>
      </c>
      <c r="G12" s="4" t="n">
        <f aca="false">-G6*Assumptions!G45/100</f>
        <v>-189485.808990324</v>
      </c>
      <c r="H12" s="4" t="n">
        <f aca="false">-H6*Assumptions!H45/100</f>
        <v>-196117.812304985</v>
      </c>
      <c r="I12" s="4" t="n">
        <f aca="false">-I6*Assumptions!I45/100</f>
        <v>-205812.692837797</v>
      </c>
      <c r="J12" s="4" t="n">
        <f aca="false">-J6*Assumptions!J45/100</f>
        <v>-210958.010158742</v>
      </c>
      <c r="K12" s="4" t="n">
        <f aca="false">-K6*Assumptions!K45/100</f>
        <v>-215177.170361917</v>
      </c>
      <c r="L12" s="4" t="n">
        <f aca="false">-L6*Assumptions!L45/100</f>
        <v>-219480.713769156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522663.41292</v>
      </c>
      <c r="D13" s="0" t="n">
        <f aca="false">D11+D12</f>
        <v>567074.954625787</v>
      </c>
      <c r="E13" s="0" t="n">
        <f aca="false">E11+E12</f>
        <v>611877.009052024</v>
      </c>
      <c r="F13" s="0" t="n">
        <f aca="false">F11+F12</f>
        <v>653162.25885634</v>
      </c>
      <c r="G13" s="0" t="n">
        <f aca="false">G11+G12</f>
        <v>690014.361040235</v>
      </c>
      <c r="H13" s="0" t="n">
        <f aca="false">H11+H12</f>
        <v>721565.535839096</v>
      </c>
      <c r="I13" s="0" t="n">
        <f aca="false">I11+I12</f>
        <v>747023.848077931</v>
      </c>
      <c r="J13" s="0" t="n">
        <f aca="false">J11+J12</f>
        <v>765699.444279879</v>
      </c>
      <c r="K13" s="0" t="n">
        <f aca="false">K11+K12</f>
        <v>781013.433165477</v>
      </c>
      <c r="L13" s="0" t="n">
        <f aca="false">L11+L12</f>
        <v>796633.701828787</v>
      </c>
    </row>
    <row r="14" customFormat="false" ht="15" hidden="false" customHeight="false" outlineLevel="0" collapsed="false">
      <c r="A14" s="0" t="s">
        <v>109</v>
      </c>
      <c r="C14" s="4" t="n">
        <f aca="false">Assumptions!C47</f>
        <v>31</v>
      </c>
      <c r="D14" s="4" t="n">
        <f aca="false">Assumptions!D47</f>
        <v>31</v>
      </c>
      <c r="E14" s="4" t="n">
        <f aca="false">Assumptions!E47</f>
        <v>31</v>
      </c>
      <c r="F14" s="4" t="n">
        <f aca="false">Assumptions!F47</f>
        <v>31</v>
      </c>
      <c r="G14" s="4" t="n">
        <f aca="false">Assumptions!G47</f>
        <v>31</v>
      </c>
      <c r="H14" s="4" t="n">
        <f aca="false">Assumptions!H47</f>
        <v>31</v>
      </c>
      <c r="I14" s="4" t="n">
        <f aca="false">Assumptions!I47</f>
        <v>31</v>
      </c>
      <c r="J14" s="4" t="n">
        <f aca="false">Assumptions!J47</f>
        <v>31</v>
      </c>
      <c r="K14" s="4" t="n">
        <f aca="false">Assumptions!K47</f>
        <v>31</v>
      </c>
      <c r="L14" s="4" t="n">
        <f aca="false">Assumptions!L47</f>
        <v>31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360637.7549148</v>
      </c>
      <c r="D15" s="0" t="n">
        <f aca="false">D13-MAX(0,D13)*D14/100</f>
        <v>391281.718691793</v>
      </c>
      <c r="E15" s="0" t="n">
        <f aca="false">E13-MAX(0,E13)*E14/100</f>
        <v>422195.136245896</v>
      </c>
      <c r="F15" s="0" t="n">
        <f aca="false">F13-MAX(0,F13)*F14/100</f>
        <v>450681.958610875</v>
      </c>
      <c r="G15" s="0" t="n">
        <f aca="false">G13-MAX(0,G13)*G14/100</f>
        <v>476109.909117762</v>
      </c>
      <c r="H15" s="0" t="n">
        <f aca="false">H13-MAX(0,H13)*H14/100</f>
        <v>497880.219728976</v>
      </c>
      <c r="I15" s="0" t="n">
        <f aca="false">I13-MAX(0,I13)*I14/100</f>
        <v>515446.455173773</v>
      </c>
      <c r="J15" s="0" t="n">
        <f aca="false">J13-MAX(0,J13)*J14/100</f>
        <v>528332.616553117</v>
      </c>
      <c r="K15" s="0" t="n">
        <f aca="false">K13-MAX(0,K13)*K14/100</f>
        <v>538899.268884179</v>
      </c>
      <c r="L15" s="0" t="n">
        <f aca="false">L13-MAX(0,L13)*L14/100</f>
        <v>549677.254261863</v>
      </c>
    </row>
    <row r="16" customFormat="false" ht="15" hidden="false" customHeight="false" outlineLevel="0" collapsed="false">
      <c r="A16" s="0" t="s">
        <v>125</v>
      </c>
      <c r="C16" s="0" t="n">
        <f aca="false">-C12</f>
        <v>148483.924125</v>
      </c>
      <c r="D16" s="0" t="n">
        <f aca="false">-D12</f>
        <v>159783.550750913</v>
      </c>
      <c r="E16" s="0" t="n">
        <f aca="false">-E12</f>
        <v>171062.389627448</v>
      </c>
      <c r="F16" s="0" t="n">
        <f aca="false">-F12</f>
        <v>178760.197160683</v>
      </c>
      <c r="G16" s="0" t="n">
        <f aca="false">-G12</f>
        <v>189485.808990324</v>
      </c>
      <c r="H16" s="0" t="n">
        <f aca="false">-H12</f>
        <v>196117.812304985</v>
      </c>
      <c r="I16" s="0" t="n">
        <f aca="false">-I12</f>
        <v>205812.692837797</v>
      </c>
      <c r="J16" s="0" t="n">
        <f aca="false">-J12</f>
        <v>210958.010158742</v>
      </c>
      <c r="K16" s="0" t="n">
        <f aca="false">-K12</f>
        <v>215177.170361917</v>
      </c>
      <c r="L16" s="0" t="n">
        <f aca="false">-L12</f>
        <v>219480.713769156</v>
      </c>
    </row>
    <row r="17" customFormat="false" ht="15" hidden="false" customHeight="false" outlineLevel="0" collapsed="false">
      <c r="A17" s="0" t="s">
        <v>126</v>
      </c>
      <c r="C17" s="4" t="n">
        <f aca="false">-C6*Assumptions!C46/100</f>
        <v>-326664.633075</v>
      </c>
      <c r="D17" s="4" t="n">
        <f aca="false">-D6*Assumptions!D46/100</f>
        <v>-313301.07990375</v>
      </c>
      <c r="E17" s="4" t="n">
        <f aca="false">-E6*Assumptions!E46/100</f>
        <v>-296069.520509044</v>
      </c>
      <c r="F17" s="4" t="n">
        <f aca="false">-F6*Assumptions!F46/100</f>
        <v>-275015.687939512</v>
      </c>
      <c r="G17" s="4" t="n">
        <f aca="false">-G6*Assumptions!G46/100</f>
        <v>-264565.09179781</v>
      </c>
      <c r="H17" s="4" t="n">
        <f aca="false">-H6*Assumptions!H46/100</f>
        <v>-259023.525685829</v>
      </c>
      <c r="I17" s="4" t="n">
        <f aca="false">-I6*Assumptions!I46/100</f>
        <v>-251548.846801752</v>
      </c>
      <c r="J17" s="4" t="n">
        <f aca="false">-J6*Assumptions!J46/100</f>
        <v>-250024.308336287</v>
      </c>
      <c r="K17" s="4" t="n">
        <f aca="false">-K6*Assumptions!K46/100</f>
        <v>-255024.794503013</v>
      </c>
      <c r="L17" s="4" t="n">
        <f aca="false">-L6*Assumptions!L46/100</f>
        <v>-260125.290393073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(C6-B6)*Assumptions!$B$51/100</f>
        <v>-90623.99125</v>
      </c>
      <c r="D18" s="4" t="n">
        <f aca="false">(D6-C6)*Assumptions!$B$51/100</f>
        <v>-81666.15826875</v>
      </c>
      <c r="E18" s="4" t="n">
        <f aca="false">(E6-D6)*Assumptions!$B$51/100</f>
        <v>-78325.2699759377</v>
      </c>
      <c r="F18" s="4" t="n">
        <f aca="false">(F6-E6)*Assumptions!$B$51/100</f>
        <v>-74017.3801272609</v>
      </c>
      <c r="G18" s="4" t="n">
        <f aca="false">(G6-F6)*Assumptions!$B$51/100</f>
        <v>-68753.9219848779</v>
      </c>
      <c r="H18" s="4" t="n">
        <f aca="false">(H6-G6)*Assumptions!$B$51/100</f>
        <v>-62566.0690062388</v>
      </c>
      <c r="I18" s="4" t="n">
        <f aca="false">(I6-H6)*Assumptions!$B$51/100</f>
        <v>-55505.0412183921</v>
      </c>
      <c r="J18" s="4" t="n">
        <f aca="false">(J6-I6)*Assumptions!$B$51/100</f>
        <v>-47641.8270457862</v>
      </c>
      <c r="K18" s="4" t="n">
        <f aca="false">(K6-J6)*Assumptions!$B$51/100</f>
        <v>-39066.298177545</v>
      </c>
      <c r="L18" s="4" t="n">
        <f aca="false">(L6-K6)*Assumptions!$B$51/100</f>
        <v>-39847.6241410959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91833.0547148002</v>
      </c>
      <c r="D19" s="0" t="n">
        <f aca="false">D15+D16+D17+D18</f>
        <v>156098.031270206</v>
      </c>
      <c r="E19" s="0" t="n">
        <f aca="false">E15+E16+E17+E18</f>
        <v>218862.735388363</v>
      </c>
      <c r="F19" s="0" t="n">
        <f aca="false">F15+F16+F17+F18</f>
        <v>280409.087704785</v>
      </c>
      <c r="G19" s="0" t="n">
        <f aca="false">G15+G16+G17+G18</f>
        <v>332276.704325398</v>
      </c>
      <c r="H19" s="0" t="n">
        <f aca="false">H15+H16+H17+H18</f>
        <v>372408.437341893</v>
      </c>
      <c r="I19" s="0" t="n">
        <f aca="false">I15+I16+I17+I18</f>
        <v>414205.259991425</v>
      </c>
      <c r="J19" s="0" t="n">
        <f aca="false">J15+J16+J17+J18</f>
        <v>441624.491329786</v>
      </c>
      <c r="K19" s="0" t="n">
        <f aca="false">K15+K16+K17+K18</f>
        <v>459985.346565539</v>
      </c>
      <c r="L19" s="0" t="n">
        <f aca="false">L15+L16+L17+L18</f>
        <v>469185.053496849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0.947867298578199</v>
      </c>
      <c r="D20" s="0" t="n">
        <f aca="false">1/(1+$B$27/100)^D4</f>
        <v>0.898452415713933</v>
      </c>
      <c r="E20" s="0" t="n">
        <f aca="false">1/(1+$B$27/100)^E4</f>
        <v>0.851613664183823</v>
      </c>
      <c r="F20" s="0" t="n">
        <f aca="false">1/(1+$B$27/100)^F4</f>
        <v>0.807216743302202</v>
      </c>
      <c r="G20" s="0" t="n">
        <f aca="false">1/(1+$B$27/100)^G4</f>
        <v>0.765134353840949</v>
      </c>
      <c r="H20" s="0" t="n">
        <f aca="false">1/(1+$B$27/100)^H4</f>
        <v>0.725245833024597</v>
      </c>
      <c r="I20" s="0" t="n">
        <f aca="false">1/(1+$B$27/100)^I4</f>
        <v>0.68743680855412</v>
      </c>
      <c r="J20" s="0" t="n">
        <f aca="false">1/(1+$B$27/100)^J4</f>
        <v>0.651598870667413</v>
      </c>
      <c r="K20" s="0" t="n">
        <f aca="false">1/(1+$B$27/100)^K4</f>
        <v>0.617629261296126</v>
      </c>
      <c r="L20" s="0" t="n">
        <f aca="false">1/(1+$B$27/100)^L4</f>
        <v>0.585430579427607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87045.5494927016</v>
      </c>
      <c r="D21" s="0" t="n">
        <f aca="false">D19*D20</f>
        <v>140246.653282906</v>
      </c>
      <c r="E21" s="0" t="n">
        <f aca="false">E19*E20</f>
        <v>186386.496037378</v>
      </c>
      <c r="F21" s="0" t="n">
        <f aca="false">F19*F20</f>
        <v>226350.910569398</v>
      </c>
      <c r="G21" s="0" t="n">
        <f aca="false">G19*G20</f>
        <v>254236.321460413</v>
      </c>
      <c r="H21" s="0" t="n">
        <f aca="false">H19*H20</f>
        <v>270087.667365409</v>
      </c>
      <c r="I21" s="0" t="n">
        <f aca="false">I19*I20</f>
        <v>284739.942014835</v>
      </c>
      <c r="J21" s="0" t="n">
        <f aca="false">J19*J20</f>
        <v>287762.019809559</v>
      </c>
      <c r="K21" s="0" t="n">
        <f aca="false">K19*K20</f>
        <v>284100.409806316</v>
      </c>
      <c r="L21" s="0" t="n">
        <f aca="false">L19*L20</f>
        <v>274675.277727433</v>
      </c>
    </row>
    <row r="23" customFormat="false" ht="15" hidden="false" customHeight="false" outlineLevel="0" collapsed="false">
      <c r="A23" s="0" t="s">
        <v>106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Assumptions!$B$48</f>
        <v>5.5</v>
      </c>
    </row>
    <row r="28" customFormat="false" ht="15" hidden="false" customHeight="false" outlineLevel="0" collapsed="false">
      <c r="A28" s="0" t="s">
        <v>111</v>
      </c>
      <c r="B28" s="4" t="n">
        <f aca="false">Assumptions!$B$49</f>
        <v>1.5</v>
      </c>
    </row>
    <row r="29" customFormat="false" ht="15" hidden="false" customHeight="false" outlineLevel="0" collapsed="false">
      <c r="A29" s="0" t="s">
        <v>112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2295631.24756635</v>
      </c>
    </row>
    <row r="31" customFormat="false" ht="15" hidden="false" customHeight="false" outlineLevel="0" collapsed="false">
      <c r="A31" s="0" t="s">
        <v>134</v>
      </c>
      <c r="B31" s="0" t="n">
        <f aca="false">L19</f>
        <v>469185.053496849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11905570.7324825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8445330.96294328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8445330.96294328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4944154.9990938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7239786.24666015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4451669.24666015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3593.84677277333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0.534192859241552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3593.84677277333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3527576.51332816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-436.765981309358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2" t="s">
        <v>151</v>
      </c>
      <c r="B3" s="2" t="s">
        <v>152</v>
      </c>
      <c r="C3" s="2" t="s">
        <v>142</v>
      </c>
      <c r="D3" s="2" t="s">
        <v>153</v>
      </c>
      <c r="E3" s="2" t="s">
        <v>145</v>
      </c>
      <c r="F3" s="2" t="s">
        <v>154</v>
      </c>
    </row>
    <row r="4" customFormat="false" ht="15" hidden="false" customHeight="false" outlineLevel="0" collapsed="false">
      <c r="A4" s="0" t="s">
        <v>155</v>
      </c>
      <c r="B4" s="4" t="n">
        <f aca="false">DCF_Bear!$B$38</f>
        <v>-262.30513627852</v>
      </c>
      <c r="C4" s="0" t="n">
        <f aca="false">B4/Assumptions!$B$2-1</f>
        <v>-1.11197657898763</v>
      </c>
      <c r="D4" s="4" t="n">
        <f aca="false">Assumptions!$B$24</f>
        <v>0.3</v>
      </c>
      <c r="E4" s="4" t="n">
        <f aca="false">DCF_Bear!$B$43</f>
        <v>-262.30513627852</v>
      </c>
      <c r="F4" s="4" t="n">
        <f aca="false">DCF_Bear!$B$47</f>
        <v>-1572.80033816513</v>
      </c>
    </row>
    <row r="5" customFormat="false" ht="15" hidden="false" customHeight="false" outlineLevel="0" collapsed="false">
      <c r="A5" s="0" t="s">
        <v>156</v>
      </c>
      <c r="B5" s="4" t="n">
        <f aca="false">DCF_Base!$B$38</f>
        <v>1434.56034846271</v>
      </c>
      <c r="C5" s="0" t="n">
        <f aca="false">B5/Assumptions!$B$2-1</f>
        <v>-0.387594301616772</v>
      </c>
      <c r="D5" s="4" t="n">
        <f aca="false">Assumptions!$B$38</f>
        <v>0.5</v>
      </c>
      <c r="E5" s="4" t="n">
        <f aca="false">DCF_Base!$B$43</f>
        <v>1434.56034846271</v>
      </c>
      <c r="F5" s="4" t="n">
        <f aca="false">DCF_Base!$B$47</f>
        <v>-1055.83134072085</v>
      </c>
    </row>
    <row r="6" customFormat="false" ht="15" hidden="false" customHeight="false" outlineLevel="0" collapsed="false">
      <c r="A6" s="0" t="s">
        <v>157</v>
      </c>
      <c r="B6" s="4" t="n">
        <f aca="false">DCF_Bull!$B$38</f>
        <v>3593.84677277333</v>
      </c>
      <c r="C6" s="0" t="n">
        <f aca="false">B6/Assumptions!$B$2-1</f>
        <v>0.534192859241552</v>
      </c>
      <c r="D6" s="4" t="n">
        <f aca="false">Assumptions!$B$52</f>
        <v>0.2</v>
      </c>
      <c r="E6" s="4" t="n">
        <f aca="false">DCF_Bull!$B$43</f>
        <v>3593.84677277333</v>
      </c>
      <c r="F6" s="4" t="n">
        <f aca="false">DCF_Bull!$B$47</f>
        <v>-436.765981309358</v>
      </c>
    </row>
    <row r="8" customFormat="false" ht="15" hidden="false" customHeight="false" outlineLevel="0" collapsed="false">
      <c r="A8" s="0" t="s">
        <v>158</v>
      </c>
      <c r="B8" s="0" t="n">
        <f aca="false">SUMPRODUCT(B4:B6,D4:D6)</f>
        <v>1357.35798790247</v>
      </c>
    </row>
    <row r="9" customFormat="false" ht="15" hidden="false" customHeight="false" outlineLevel="0" collapsed="false">
      <c r="A9" s="0" t="s">
        <v>159</v>
      </c>
      <c r="B9" s="0" t="n">
        <f aca="false">SUMPRODUCT(E4:E6,D4:D6)</f>
        <v>1357.35798790247</v>
      </c>
    </row>
    <row r="10" customFormat="false" ht="15" hidden="false" customHeight="false" outlineLevel="0" collapsed="false">
      <c r="A10" s="0" t="s">
        <v>160</v>
      </c>
      <c r="B10" s="0" t="n">
        <f aca="false">1-Assumptions!$B$2/B8</f>
        <v>-0.725779065565364</v>
      </c>
    </row>
    <row r="11" customFormat="false" ht="15" hidden="false" customHeight="false" outlineLevel="0" collapsed="false">
      <c r="A11" s="0" t="s">
        <v>161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162</v>
      </c>
      <c r="B12" s="0" t="n">
        <f aca="false">SUMPRODUCT(F4:F6,D4:D6)</f>
        <v>-1087.10896807183</v>
      </c>
    </row>
    <row r="14" customFormat="false" ht="15" hidden="false" customHeight="false" outlineLevel="0" collapsed="false">
      <c r="A14" s="2" t="s">
        <v>163</v>
      </c>
      <c r="C14" s="0" t="s">
        <v>164</v>
      </c>
    </row>
    <row r="15" customFormat="false" ht="15" hidden="false" customHeight="false" outlineLevel="0" collapsed="false">
      <c r="A15" s="0" t="s">
        <v>165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1434.56034846271</v>
      </c>
      <c r="C15" s="3" t="n">
        <v>5.5</v>
      </c>
    </row>
    <row r="16" customFormat="false" ht="15" hidden="false" customHeight="false" outlineLevel="0" collapsed="false">
      <c r="A16" s="0" t="s">
        <v>166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150.744568311382</v>
      </c>
      <c r="C16" s="3" t="n">
        <v>9</v>
      </c>
    </row>
    <row r="17" customFormat="false" ht="15" hidden="false" customHeight="false" outlineLevel="0" collapsed="false">
      <c r="A17" s="0" t="s">
        <v>167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-167.295366363034</v>
      </c>
      <c r="C17" s="3" t="n">
        <v>10</v>
      </c>
    </row>
    <row r="18" customFormat="false" ht="15" hidden="false" customHeight="false" outlineLevel="0" collapsed="false">
      <c r="A18" s="0" t="s">
        <v>168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-419.697179817318</v>
      </c>
      <c r="C18" s="3" t="n">
        <v>11</v>
      </c>
    </row>
    <row r="19" customFormat="false" ht="15" hidden="false" customHeight="false" outlineLevel="0" collapsed="false">
      <c r="A19" s="0" t="s">
        <v>169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-624.469607600784</v>
      </c>
      <c r="C19" s="3" t="n">
        <v>12</v>
      </c>
    </row>
    <row r="20" customFormat="false" ht="15" hidden="false" customHeight="false" outlineLevel="0" collapsed="false">
      <c r="A20" s="0" t="s">
        <v>170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-1055.83134072085</v>
      </c>
      <c r="C20" s="3" t="n">
        <v>15</v>
      </c>
    </row>
    <row r="22" customFormat="false" ht="15" hidden="false" customHeight="false" outlineLevel="0" collapsed="false">
      <c r="A22" s="2" t="s">
        <v>171</v>
      </c>
    </row>
    <row r="23" customFormat="false" ht="15" hidden="false" customHeight="false" outlineLevel="0" collapsed="false">
      <c r="B23" s="3" t="n">
        <v>0</v>
      </c>
      <c r="C23" s="3" t="n">
        <v>0.5</v>
      </c>
      <c r="D23" s="3" t="n">
        <v>1</v>
      </c>
      <c r="E23" s="3" t="n">
        <v>1.5</v>
      </c>
      <c r="F23" s="3" t="n">
        <v>2</v>
      </c>
    </row>
    <row r="24" customFormat="false" ht="15" hidden="false" customHeight="false" outlineLevel="0" collapsed="false">
      <c r="A24" s="3" t="n">
        <v>3.5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2114.35993034456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2114.35993034456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2114.35993034456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2114.35993034456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2114.35993034456</v>
      </c>
    </row>
    <row r="25" customFormat="false" ht="15" hidden="false" customHeight="false" outlineLevel="0" collapsed="false">
      <c r="A25" s="3" t="n">
        <v>4.5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1757.60909122096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1757.60909122096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1757.60909122096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1757.60909122096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1757.60909122096</v>
      </c>
    </row>
    <row r="26" customFormat="false" ht="15" hidden="false" customHeight="false" outlineLevel="0" collapsed="false">
      <c r="A26" s="3" t="n">
        <v>5.5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1434.56034846271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1434.56034846271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1434.56034846271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1434.56034846271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1434.56034846271</v>
      </c>
    </row>
    <row r="27" customFormat="false" ht="15" hidden="false" customHeight="false" outlineLevel="0" collapsed="false">
      <c r="A27" s="3" t="n">
        <v>6.5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1056.33784743247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1141.69182604925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1141.69182604925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1141.69182604925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1141.69182604925</v>
      </c>
    </row>
    <row r="28" customFormat="false" ht="15" hidden="false" customHeight="false" outlineLevel="0" collapsed="false">
      <c r="A28" s="3" t="n">
        <v>7.5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539.015193967777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668.347712700157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817.577542006751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875.881289270722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875.881289270722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2026-10-26T03:16:02Z</dcterms:created>
  <dc:creator>openpyxl</dc:creator>
  <dc:description/>
  <dc:language>en-NZ</dc:language>
  <cp:lastModifiedBy/>
  <dcterms:modified xsi:type="dcterms:W3CDTF">2026-10-26T03:16:02Z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